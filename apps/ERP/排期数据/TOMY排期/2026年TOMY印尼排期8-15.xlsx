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fileSharing userName="Unknown User" reservationPassword="CC74"/>
  <workbookPr codeName="ThisWorkbook"/>
  <bookViews>
    <workbookView windowWidth="20980" windowHeight="12280" tabRatio="923" firstSheet="1" activeTab="2"/>
  </bookViews>
  <sheets>
    <sheet name="名称" sheetId="48" state="hidden" r:id="rId1"/>
    <sheet name="总接单" sheetId="60" r:id="rId2"/>
    <sheet name="KIK总排期" sheetId="57" r:id="rId3"/>
    <sheet name="RRM总排期" sheetId="58" r:id="rId4"/>
    <sheet name="测试明细" sheetId="61" r:id="rId5"/>
    <sheet name="KIK已走货" sheetId="55" r:id="rId6"/>
    <sheet name="RRM已走货" sheetId="59" r:id="rId7"/>
    <sheet name="取消单" sheetId="56" r:id="rId8"/>
    <sheet name="汇总" sheetId="63" r:id="rId9"/>
    <sheet name="JD" sheetId="65" r:id="rId10"/>
  </sheets>
  <externalReferences>
    <externalReference r:id="rId11"/>
    <externalReference r:id="rId12"/>
    <externalReference r:id="rId13"/>
  </externalReferences>
  <definedNames>
    <definedName name="_xlnm._FilterDatabase" localSheetId="0" hidden="1">名称!$A$1:$D$133</definedName>
    <definedName name="_xlnm._FilterDatabase" localSheetId="1" hidden="1">总接单!$A$2:$BT$781</definedName>
    <definedName name="_xlnm._FilterDatabase" localSheetId="2" hidden="1">KIK总排期!$A$1:$AP$166</definedName>
    <definedName name="_xlnm._FilterDatabase" localSheetId="3" hidden="1">RRM总排期!$A$1:$AP$52</definedName>
    <definedName name="_xlnm._FilterDatabase" localSheetId="5" hidden="1">KIK已走货!$A$1:$AS$597</definedName>
    <definedName name="_xlnm._FilterDatabase" localSheetId="7" hidden="1">取消单!$A$1:$AP$70</definedName>
    <definedName name="_xlnm._FilterDatabase" localSheetId="8" hidden="1">汇总!$A$1:$M$719</definedName>
    <definedName name="_xlnm._FilterDatabase" localSheetId="6" hidden="1">RRM已走货!$A$1:$AS$13</definedName>
    <definedName name="_xlnm.Print_Area" localSheetId="5">KIK已走货!#REF!</definedName>
    <definedName name="_xlnm.Print_Area" localSheetId="7">取消单!#REF!</definedName>
    <definedName name="_xlnm.Print_Titles" localSheetId="2">KIK总排期!$1:$1</definedName>
    <definedName name="_xlnm.Print_Area" localSheetId="3">RRM总排期!$A$1:$AO$1</definedName>
    <definedName name="_xlnm.Print_Titles" localSheetId="3">RRM总排期!$1:$1</definedName>
    <definedName name="_xlnm.Print_Area" localSheetId="6">RRM已走货!#REF!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Unknown User</author>
    <author>DELL</author>
  </authors>
  <commentList>
    <comment ref="F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转600PCS到10107799</t>
        </r>
      </text>
    </comment>
    <comment ref="F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转396PCS到10113988</t>
        </r>
      </text>
    </comment>
    <comment ref="F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转600PCS到10113988</t>
        </r>
      </text>
    </comment>
    <comment ref="F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转500PCS到PO10113988</t>
        </r>
      </text>
    </comment>
    <comment ref="F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从10107795转入600PCS
转600PCS到10118672
</t>
        </r>
      </text>
    </comment>
    <comment ref="F5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转120PCS到10112872</t>
        </r>
      </text>
    </comment>
    <comment ref="F5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从10112827转入</t>
        </r>
      </text>
    </comment>
    <comment ref="F6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从10107798转入500PCS</t>
        </r>
      </text>
    </comment>
    <comment ref="F8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转600PCS到10118672</t>
        </r>
      </text>
    </comment>
    <comment ref="F8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转480PCS到10118672</t>
        </r>
      </text>
    </comment>
    <comment ref="F9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转600pcs到10118672</t>
        </r>
      </text>
    </comment>
    <comment ref="F9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转4000PCS到10123469</t>
        </r>
      </text>
    </comment>
    <comment ref="F9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转600pcs到10118672</t>
        </r>
      </text>
    </comment>
    <comment ref="F9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转2000PCS到10123469</t>
        </r>
      </text>
    </comment>
    <comment ref="F9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转480PCS到10118672</t>
        </r>
      </text>
    </comment>
    <comment ref="F9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转1200PCS到10118672</t>
        </r>
      </text>
    </comment>
    <comment ref="F10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转1000PCS到10120342</t>
        </r>
      </text>
    </comment>
    <comment ref="F16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转1000PCS到10120342</t>
        </r>
      </text>
    </comment>
    <comment ref="F16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3/20转900PCS到PO#10122974</t>
        </r>
      </text>
    </comment>
    <comment ref="F1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转480PCS到10123675</t>
        </r>
      </text>
    </comment>
    <comment ref="F20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从10118802转入</t>
        </r>
      </text>
    </comment>
    <comment ref="F20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从10116827转入</t>
        </r>
      </text>
    </comment>
    <comment ref="F2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3000pcs转至PO10128113</t>
        </r>
      </text>
    </comment>
    <comment ref="F2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转480PCS到 PO#10123675</t>
        </r>
      </text>
    </comment>
    <comment ref="F2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转480PCS到 PO#10123675</t>
        </r>
      </text>
    </comment>
    <comment ref="F243" authorId="0">
      <text>
        <r>
          <rPr>
            <sz val="9"/>
            <rFont val="宋体"/>
            <charset val="134"/>
          </rPr>
          <t>120pcs转至PO20219135</t>
        </r>
      </text>
    </comment>
    <comment ref="F2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120pcs转至PO10127318</t>
        </r>
      </text>
    </comment>
    <comment ref="F253" authorId="1">
      <text>
        <r>
          <rPr>
            <b/>
            <sz val="9"/>
            <rFont val="宋体"/>
            <charset val="0"/>
          </rPr>
          <t>杨大兴:</t>
        </r>
        <r>
          <rPr>
            <sz val="9"/>
            <rFont val="宋体"/>
            <charset val="0"/>
          </rPr>
          <t xml:space="preserve">
从数量1762转出</t>
        </r>
      </text>
    </comment>
    <comment ref="F28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从PO#10118672转入</t>
        </r>
      </text>
    </comment>
    <comment ref="F28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从PO#10118672转入</t>
        </r>
      </text>
    </comment>
    <comment ref="F28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从PO#10118672转入</t>
        </r>
      </text>
    </comment>
    <comment ref="F28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从PO#10118672转入</t>
        </r>
      </text>
    </comment>
    <comment ref="F28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从PO#10118672转入</t>
        </r>
      </text>
    </comment>
    <comment ref="F28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从PO#10118672转入</t>
        </r>
      </text>
    </comment>
    <comment ref="F3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从10119190转入</t>
        </r>
      </text>
    </comment>
    <comment ref="F35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从MPO202607170051转入</t>
        </r>
      </text>
    </comment>
    <comment ref="F35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从MPO202607170051转入
</t>
        </r>
      </text>
    </comment>
    <comment ref="F3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从MPO202607170051转入
</t>
        </r>
      </text>
    </comment>
    <comment ref="F35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从MPO202607170051转入
</t>
        </r>
      </text>
    </comment>
    <comment ref="F3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从MPO202607170051转入
</t>
        </r>
      </text>
    </comment>
    <comment ref="F3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从MPO202607170051转入
</t>
        </r>
      </text>
    </comment>
    <comment ref="F36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从MPO202607170051转入
</t>
        </r>
      </text>
    </comment>
    <comment ref="F3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从MPO202607270046转入</t>
        </r>
      </text>
    </comment>
    <comment ref="F3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从MPO202607270046转入</t>
        </r>
      </text>
    </comment>
    <comment ref="F3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从MPO202607270046转入</t>
        </r>
      </text>
    </comment>
    <comment ref="F36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从MPO202607270046转入</t>
        </r>
      </text>
    </comment>
    <comment ref="F3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从MPO202607270046转入</t>
        </r>
      </text>
    </comment>
    <comment ref="F36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从MPO202607270046转入</t>
        </r>
      </text>
    </comment>
    <comment ref="F3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从MPO202607270046转入</t>
        </r>
      </text>
    </comment>
    <comment ref="F3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从MPO202607270046转入</t>
        </r>
      </text>
    </comment>
    <comment ref="F3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从MPO202607270046转入</t>
        </r>
      </text>
    </comment>
    <comment ref="F37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从10115934转入</t>
        </r>
      </text>
    </comment>
    <comment ref="F38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从10115934转入</t>
        </r>
      </text>
    </comment>
    <comment ref="F38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转2000PCS到PO10127016
2026.5.30取消2000pcs</t>
        </r>
      </text>
    </comment>
    <comment ref="F38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从10119222转入</t>
        </r>
      </text>
    </comment>
    <comment ref="F38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从10121640转入</t>
        </r>
      </text>
    </comment>
    <comment ref="F38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转出1500pcs到po10125937</t>
        </r>
      </text>
    </comment>
    <comment ref="F401" authorId="2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转出1500pcs到po10125937</t>
        </r>
      </text>
    </comment>
    <comment ref="F40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0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0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0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0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11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从202607270046转入</t>
        </r>
      </text>
    </comment>
    <comment ref="F4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
</t>
        </r>
      </text>
    </comment>
    <comment ref="F4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
</t>
        </r>
      </text>
    </comment>
    <comment ref="F4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5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5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5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5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6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6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6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7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7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7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7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7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7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8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8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8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8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8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8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8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8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8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8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9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9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9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9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9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9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9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9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49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F49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50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50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50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50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50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50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50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50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F50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F59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从po10123689/10123756各转入1500PCS</t>
        </r>
      </text>
    </comment>
    <comment ref="F604" authorId="2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F605" authorId="2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F606" authorId="2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F607" authorId="2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F609" authorId="2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F610" authorId="2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F611" authorId="2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F612" authorId="2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F613" authorId="2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F614" authorId="2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F615" authorId="2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F616" authorId="2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F6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480pcs转至PO10127804</t>
        </r>
      </text>
    </comment>
    <comment ref="F6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480pcs转至PO10127804</t>
        </r>
      </text>
    </comment>
    <comment ref="F6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从PO10115934转入2000PCS</t>
        </r>
      </text>
    </comment>
    <comment ref="F6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从202607170125转入</t>
        </r>
      </text>
    </comment>
    <comment ref="F6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从202607170125转入</t>
        </r>
      </text>
    </comment>
    <comment ref="F6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从PO10122386转入</t>
        </r>
      </text>
    </comment>
    <comment ref="F6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从PO10122386转入</t>
        </r>
      </text>
    </comment>
    <comment ref="F6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从202607170125转入</t>
        </r>
      </text>
    </comment>
    <comment ref="F6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从202607170125转入</t>
        </r>
      </text>
    </comment>
    <comment ref="F6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从202607170125转入</t>
        </r>
      </text>
    </comment>
    <comment ref="F6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从202607170125转入
</t>
        </r>
      </text>
    </comment>
    <comment ref="F6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从202607170125转入</t>
        </r>
      </text>
    </comment>
    <comment ref="F6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从202607170125转入</t>
        </r>
      </text>
    </comment>
    <comment ref="F6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从PO10126801转入</t>
        </r>
      </text>
    </comment>
    <comment ref="F6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增加10008pcs</t>
        </r>
      </text>
    </comment>
    <comment ref="F6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从PO10121314转入3000pcs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J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480pcs转至PO10127804</t>
        </r>
      </text>
    </comment>
    <comment ref="J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从PO10126801转入</t>
        </r>
      </text>
    </comment>
    <comment ref="J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增加10008pcs</t>
        </r>
      </text>
    </comment>
    <comment ref="J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从po10123689/10123756各转入1500PCS</t>
        </r>
      </text>
    </comment>
    <comment ref="J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从PO10121314转入3000pcs</t>
        </r>
      </text>
    </comment>
  </commentList>
</comments>
</file>

<file path=xl/comments3.xml><?xml version="1.0" encoding="utf-8"?>
<comments xmlns="http://schemas.openxmlformats.org/spreadsheetml/2006/main">
  <authors>
    <author>Administrator</author>
    <author>DELL</author>
    <author>dell</author>
    <author>Unknown User</author>
  </authors>
  <commentList>
    <comment ref="AJ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仓库回复5/25开始交-6/10齐</t>
        </r>
      </text>
    </comment>
    <comment ref="AK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此单开始中国下单
</t>
        </r>
      </text>
    </comment>
    <comment ref="J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转600PCS到10113988</t>
        </r>
      </text>
    </comment>
    <comment ref="J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转500PCS到PO10113988</t>
        </r>
      </text>
    </comment>
    <comment ref="J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从10106730转入</t>
        </r>
      </text>
    </comment>
    <comment ref="AI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转单</t>
        </r>
      </text>
    </comment>
    <comment ref="J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转120PCS到10112872</t>
        </r>
      </text>
    </comment>
    <comment ref="J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从10107795转入600PCS
转600PCS到10118672
</t>
        </r>
      </text>
    </comment>
    <comment ref="AN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退回返工
</t>
        </r>
      </text>
    </comment>
    <comment ref="J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从10107796转入</t>
        </r>
      </text>
    </comment>
    <comment ref="J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从10107796转入</t>
        </r>
      </text>
    </comment>
    <comment ref="J7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从10107798转入500PCS</t>
        </r>
      </text>
    </comment>
    <comment ref="J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转396PCS到10113988</t>
        </r>
      </text>
    </comment>
    <comment ref="J7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转600PCS到10107799</t>
        </r>
      </text>
    </comment>
    <comment ref="J9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转600pcs到10118672</t>
        </r>
      </text>
    </comment>
    <comment ref="J10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转600PCS到10118672</t>
        </r>
      </text>
    </comment>
    <comment ref="AN10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退回返工
</t>
        </r>
      </text>
    </comment>
    <comment ref="J10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转480PCS到10118672</t>
        </r>
      </text>
    </comment>
    <comment ref="J10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转1000PCS到10120342</t>
        </r>
      </text>
    </comment>
    <comment ref="J1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从10112827转入</t>
        </r>
      </text>
    </comment>
    <comment ref="J1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从10115934转入</t>
        </r>
      </text>
    </comment>
    <comment ref="J1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从10115934转入</t>
        </r>
      </text>
    </comment>
    <comment ref="AJ1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搪胶件</t>
        </r>
      </text>
    </comment>
    <comment ref="J1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转600pcs到10118672</t>
        </r>
      </text>
    </comment>
    <comment ref="J1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转2000PCS到10123469</t>
        </r>
      </text>
    </comment>
    <comment ref="J1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转4000PCS到10123469</t>
        </r>
      </text>
    </comment>
    <comment ref="J1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转480PCS到10118672</t>
        </r>
      </text>
    </comment>
    <comment ref="J16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转1000PCS到10120342</t>
        </r>
      </text>
    </comment>
    <comment ref="J1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转1200PCS到10118672</t>
        </r>
      </text>
    </comment>
    <comment ref="AI1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欠吸塑</t>
        </r>
      </text>
    </comment>
    <comment ref="AI16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欠吸塑</t>
        </r>
      </text>
    </comment>
    <comment ref="J1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3/20转900PCS到PO#10122974</t>
        </r>
      </text>
    </comment>
    <comment ref="J1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从10116827转入</t>
        </r>
      </text>
    </comment>
    <comment ref="J1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从10118802转入</t>
        </r>
      </text>
    </comment>
    <comment ref="J17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从PO#10118672转入</t>
        </r>
      </text>
    </comment>
    <comment ref="J17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从PO#10118672转入</t>
        </r>
      </text>
    </comment>
    <comment ref="J17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从PO#10118672转入</t>
        </r>
      </text>
    </comment>
    <comment ref="J1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从PO#10118672转入</t>
        </r>
      </text>
    </comment>
    <comment ref="J17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从PO#10118672转入</t>
        </r>
      </text>
    </comment>
    <comment ref="J17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从PO#10118672转入</t>
        </r>
      </text>
    </comment>
    <comment ref="J17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从10119190转入</t>
        </r>
      </text>
    </comment>
    <comment ref="J18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转480PCS到10123675</t>
        </r>
      </text>
    </comment>
    <comment ref="AJ214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AJ220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J2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2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从MPO202607270046转入</t>
        </r>
      </text>
    </comment>
    <comment ref="AI243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AI245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AI252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AI253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AI258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AI261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AI264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AI267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AI269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J2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从MPO202607270046转入</t>
        </r>
      </text>
    </comment>
    <comment ref="J27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480pcs转至PO10127804</t>
        </r>
      </text>
    </comment>
    <comment ref="J27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转480PCS到 PO#10123675</t>
        </r>
      </text>
    </comment>
    <comment ref="J27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27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27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28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28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28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AI282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J28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28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28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28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28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AI287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J28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28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29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29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29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29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AI293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J30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0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0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0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0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0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AI308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J30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转480PCS到 PO#10123675</t>
        </r>
      </text>
    </comment>
    <comment ref="J3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从MPO202607170051转入
</t>
        </r>
      </text>
    </comment>
    <comment ref="J3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从MPO202607170051转入
</t>
        </r>
      </text>
    </comment>
    <comment ref="J3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从MPO202607170051转入
</t>
        </r>
      </text>
    </comment>
    <comment ref="J3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从MPO202607170051转入
</t>
        </r>
      </text>
    </comment>
    <comment ref="J3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从MPO202607170051转入
</t>
        </r>
      </text>
    </comment>
    <comment ref="J3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从MPO202607170051转入</t>
        </r>
      </text>
    </comment>
    <comment ref="J3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从MPO202607170051转入
</t>
        </r>
      </text>
    </comment>
    <comment ref="J3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从MPO202607170051转入</t>
        </r>
      </text>
    </comment>
    <comment ref="J3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从MPO202607170051转入</t>
        </r>
      </text>
    </comment>
    <comment ref="J3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从MPO202607170051转入</t>
        </r>
      </text>
    </comment>
    <comment ref="J3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从MPO202607170051转入</t>
        </r>
      </text>
    </comment>
    <comment ref="J3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从MPO202607170051转入</t>
        </r>
      </text>
    </comment>
    <comment ref="AI325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J3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从MPO202607170051转入</t>
        </r>
      </text>
    </comment>
    <comment ref="J3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从MPO202607170051转入</t>
        </r>
      </text>
    </comment>
    <comment ref="J3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AI347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AI374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J38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从10121640转入</t>
        </r>
      </text>
    </comment>
    <comment ref="J38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从10119222转入</t>
        </r>
      </text>
    </comment>
    <comment ref="J38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8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8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8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9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9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AI391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J39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9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9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9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9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9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9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39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0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0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0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AI402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J40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0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0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0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0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0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0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AI413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J4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J4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J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
</t>
        </r>
      </text>
    </comment>
    <comment ref="J4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AI425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J4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
</t>
        </r>
      </text>
    </comment>
    <comment ref="J4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AI438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J4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AI447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AI450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AI453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J4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6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AI464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J46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46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AI478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搪胶件</t>
        </r>
      </text>
    </comment>
    <comment ref="J483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J484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J48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从202607170125转入</t>
        </r>
      </text>
    </comment>
    <comment ref="J48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从202607170125转入</t>
        </r>
      </text>
    </comment>
    <comment ref="J487" authorId="2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AH487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业务漏单</t>
        </r>
      </text>
    </comment>
    <comment ref="J488" authorId="2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J48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从202607170125转入
</t>
        </r>
      </text>
    </comment>
    <comment ref="J49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120pcs转至PO10127318</t>
        </r>
      </text>
    </comment>
    <comment ref="J49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从202607170125转入</t>
        </r>
      </text>
    </comment>
    <comment ref="J499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J500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J502" authorId="0">
      <text>
        <r>
          <rPr>
            <sz val="9"/>
            <rFont val="宋体"/>
            <charset val="134"/>
          </rPr>
          <t>120pcs转至PO20219135</t>
        </r>
      </text>
    </comment>
    <comment ref="J50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转出1500pcs到po10125937</t>
        </r>
      </text>
    </comment>
    <comment ref="J5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从MPO202607270046转入</t>
        </r>
      </text>
    </comment>
    <comment ref="J5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从MPO202607270046转入</t>
        </r>
      </text>
    </comment>
    <comment ref="J5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从MPO202607270046转入</t>
        </r>
      </text>
    </comment>
    <comment ref="J522" authorId="3">
      <text>
        <r>
          <rPr>
            <b/>
            <sz val="9"/>
            <rFont val="宋体"/>
            <charset val="0"/>
          </rPr>
          <t>杨大兴:</t>
        </r>
        <r>
          <rPr>
            <sz val="9"/>
            <rFont val="宋体"/>
            <charset val="0"/>
          </rPr>
          <t xml:space="preserve">
从数量1762转出</t>
        </r>
      </text>
    </comment>
    <comment ref="J524" authorId="2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J525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J526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J527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J5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从202607170125转入
</t>
        </r>
      </text>
    </comment>
    <comment ref="J529" authorId="2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AH529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业务漏单</t>
        </r>
      </text>
    </comment>
    <comment ref="J5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从202607170125转入</t>
        </r>
      </text>
    </comment>
    <comment ref="J531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J532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J5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从MPO202607270046转入</t>
        </r>
      </text>
    </comment>
    <comment ref="J5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从MPO202607270046转入</t>
        </r>
      </text>
    </comment>
    <comment ref="J5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从202607270046转入</t>
        </r>
      </text>
    </comment>
    <comment ref="J536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从202607270046转入</t>
        </r>
      </text>
    </comment>
    <comment ref="J537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AH538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业务漏单</t>
        </r>
      </text>
    </comment>
    <comment ref="J549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J550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从202607170125转入</t>
        </r>
      </text>
    </comment>
    <comment ref="J5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从PO10122386转入</t>
        </r>
      </text>
    </comment>
    <comment ref="J5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从PO10115934转入2000PCS</t>
        </r>
      </text>
    </comment>
    <comment ref="AH5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已确认印尼有库存</t>
        </r>
      </text>
    </comment>
    <comment ref="J56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从MPO202607270046转入</t>
        </r>
      </text>
    </comment>
    <comment ref="J567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转出1500pcs到po10125937</t>
        </r>
      </text>
    </comment>
    <comment ref="J5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从MPO202607270046转入</t>
        </r>
      </text>
    </comment>
    <comment ref="J57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从PO10122386转入</t>
        </r>
      </text>
    </comment>
    <comment ref="J59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从202607170125转入</t>
        </r>
      </text>
    </comment>
  </commentList>
</comments>
</file>

<file path=xl/comments4.xml><?xml version="1.0" encoding="utf-8"?>
<comments xmlns="http://schemas.openxmlformats.org/spreadsheetml/2006/main">
  <authors>
    <author>Administrator</author>
    <author>DELL</author>
  </authors>
  <commentList>
    <comment ref="AI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业务漏上排期，挪用3月份的物料先走</t>
        </r>
      </text>
    </comment>
    <comment ref="J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从10115213转入</t>
        </r>
      </text>
    </comment>
    <comment ref="J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从10115577转入</t>
        </r>
      </text>
    </comment>
    <comment ref="J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从10115934转入</t>
        </r>
      </text>
    </comment>
    <comment ref="J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从10115935转入</t>
        </r>
      </text>
    </comment>
    <comment ref="J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从10107799传入</t>
        </r>
      </text>
    </comment>
    <comment ref="J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从10115935转入</t>
        </r>
      </text>
    </comment>
    <comment ref="AI54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MA加单
4/16先上35000</t>
        </r>
      </text>
    </comment>
    <comment ref="J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936pcs转至PO10127719</t>
        </r>
      </text>
    </comment>
    <comment ref="J5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1020pcs转至PO288858876
1020pcs转至PO10127469
1020pcs转至PO10127470
1020pcs转至PO10127470
1020pcs转至PO10127470
940PCS转至PO10127472
1060pcs转至PO10127473</t>
        </r>
      </text>
    </comment>
    <comment ref="J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16pcs转至PO10127472</t>
        </r>
      </text>
    </comment>
    <comment ref="J6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转2000PCS到PO10127016
2026.5.30取消2000pcs</t>
        </r>
      </text>
    </comment>
  </commentList>
</comments>
</file>

<file path=xl/sharedStrings.xml><?xml version="1.0" encoding="utf-8"?>
<sst xmlns="http://schemas.openxmlformats.org/spreadsheetml/2006/main" count="11478" uniqueCount="1030">
  <si>
    <r>
      <rPr>
        <sz val="10"/>
        <color theme="1"/>
        <rFont val="宋体"/>
        <charset val="134"/>
      </rPr>
      <t>货号</t>
    </r>
  </si>
  <si>
    <r>
      <rPr>
        <sz val="10"/>
        <color theme="1"/>
        <rFont val="宋体"/>
        <charset val="134"/>
      </rPr>
      <t>产品名称</t>
    </r>
  </si>
  <si>
    <r>
      <rPr>
        <sz val="10"/>
        <color theme="1"/>
        <rFont val="宋体"/>
        <charset val="134"/>
      </rPr>
      <t>外箱</t>
    </r>
  </si>
  <si>
    <r>
      <rPr>
        <sz val="10"/>
        <color theme="1"/>
        <rFont val="宋体"/>
        <charset val="134"/>
      </rPr>
      <t>车间</t>
    </r>
  </si>
  <si>
    <r>
      <rPr>
        <sz val="10"/>
        <color theme="1"/>
        <rFont val="宋体"/>
        <charset val="134"/>
      </rPr>
      <t>收割车</t>
    </r>
  </si>
  <si>
    <t>A</t>
  </si>
  <si>
    <r>
      <rPr>
        <sz val="10"/>
        <color theme="1"/>
        <rFont val="宋体"/>
        <charset val="134"/>
      </rPr>
      <t>洒水车</t>
    </r>
  </si>
  <si>
    <t>B</t>
  </si>
  <si>
    <r>
      <rPr>
        <sz val="10"/>
        <color theme="1"/>
        <rFont val="宋体"/>
        <charset val="134"/>
      </rPr>
      <t>回力车</t>
    </r>
  </si>
  <si>
    <r>
      <rPr>
        <sz val="10"/>
        <color theme="1"/>
        <rFont val="宋体"/>
        <charset val="134"/>
      </rPr>
      <t>跳舞的玉米</t>
    </r>
  </si>
  <si>
    <r>
      <rPr>
        <sz val="10"/>
        <color theme="1"/>
        <rFont val="宋体"/>
        <charset val="134"/>
      </rPr>
      <t>半挂车</t>
    </r>
  </si>
  <si>
    <r>
      <rPr>
        <sz val="10"/>
        <color theme="1"/>
        <rFont val="宋体"/>
        <charset val="134"/>
      </rPr>
      <t>动物车</t>
    </r>
  </si>
  <si>
    <t>KIK</t>
  </si>
  <si>
    <r>
      <rPr>
        <sz val="10"/>
        <color theme="1"/>
        <rFont val="Times New Roman"/>
        <charset val="134"/>
      </rPr>
      <t>JD LNS</t>
    </r>
    <r>
      <rPr>
        <sz val="10"/>
        <color theme="1"/>
        <rFont val="宋体"/>
        <charset val="134"/>
      </rPr>
      <t>圆轮拖拉机</t>
    </r>
  </si>
  <si>
    <t>35189AZ</t>
  </si>
  <si>
    <r>
      <rPr>
        <sz val="10"/>
        <color theme="1"/>
        <rFont val="宋体"/>
        <charset val="134"/>
      </rPr>
      <t>吹气车</t>
    </r>
  </si>
  <si>
    <t>35189B</t>
  </si>
  <si>
    <t>35189C</t>
  </si>
  <si>
    <t>35206B</t>
  </si>
  <si>
    <r>
      <rPr>
        <sz val="10"/>
        <color theme="1"/>
        <rFont val="宋体"/>
        <charset val="134"/>
      </rPr>
      <t>猪马牛羊车（单支装）</t>
    </r>
  </si>
  <si>
    <t>35802J</t>
  </si>
  <si>
    <r>
      <rPr>
        <sz val="10"/>
        <color theme="1"/>
        <rFont val="宋体"/>
        <charset val="134"/>
      </rPr>
      <t>挖土机</t>
    </r>
  </si>
  <si>
    <t>46644B</t>
  </si>
  <si>
    <r>
      <rPr>
        <sz val="10"/>
        <color theme="1"/>
        <rFont val="宋体"/>
        <charset val="134"/>
      </rPr>
      <t>发光车</t>
    </r>
  </si>
  <si>
    <t>46656EU1</t>
  </si>
  <si>
    <r>
      <rPr>
        <sz val="10"/>
        <color theme="1"/>
        <rFont val="Times New Roman"/>
        <charset val="134"/>
      </rPr>
      <t>6"</t>
    </r>
    <r>
      <rPr>
        <sz val="10"/>
        <color theme="1"/>
        <rFont val="宋体"/>
        <charset val="134"/>
      </rPr>
      <t>拖拉机</t>
    </r>
  </si>
  <si>
    <t>46670C</t>
  </si>
  <si>
    <r>
      <rPr>
        <sz val="10"/>
        <color theme="1"/>
        <rFont val="Times New Roman"/>
        <charset val="134"/>
      </rPr>
      <t xml:space="preserve">46656/46748
</t>
    </r>
    <r>
      <rPr>
        <sz val="10"/>
        <color theme="1"/>
        <rFont val="宋体"/>
        <charset val="134"/>
      </rPr>
      <t>混装</t>
    </r>
  </si>
  <si>
    <t>46670TSC</t>
  </si>
  <si>
    <t>46720J</t>
  </si>
  <si>
    <r>
      <rPr>
        <sz val="10"/>
        <color theme="1"/>
        <rFont val="宋体"/>
        <charset val="134"/>
      </rPr>
      <t>木材运输车</t>
    </r>
  </si>
  <si>
    <t>47101J</t>
  </si>
  <si>
    <r>
      <rPr>
        <sz val="10"/>
        <color theme="1"/>
        <rFont val="Times New Roman"/>
        <charset val="134"/>
      </rPr>
      <t>1:16</t>
    </r>
    <r>
      <rPr>
        <sz val="10"/>
        <color theme="1"/>
        <rFont val="宋体"/>
        <charset val="134"/>
      </rPr>
      <t>收割机</t>
    </r>
  </si>
  <si>
    <t>47280A</t>
  </si>
  <si>
    <r>
      <rPr>
        <sz val="10"/>
        <color theme="1"/>
        <rFont val="宋体"/>
        <charset val="134"/>
      </rPr>
      <t>童车</t>
    </r>
  </si>
  <si>
    <t>47367J</t>
  </si>
  <si>
    <r>
      <rPr>
        <sz val="10"/>
        <color theme="1"/>
        <rFont val="Times New Roman"/>
        <charset val="134"/>
      </rPr>
      <t>1:16</t>
    </r>
    <r>
      <rPr>
        <sz val="10"/>
        <color theme="1"/>
        <rFont val="宋体"/>
        <charset val="134"/>
      </rPr>
      <t>拖车厢</t>
    </r>
  </si>
  <si>
    <t>47465J1</t>
  </si>
  <si>
    <r>
      <rPr>
        <sz val="10"/>
        <color theme="1"/>
        <rFont val="宋体"/>
        <charset val="134"/>
      </rPr>
      <t>牵引车</t>
    </r>
  </si>
  <si>
    <t>47600J</t>
  </si>
  <si>
    <r>
      <rPr>
        <sz val="10"/>
        <color theme="1"/>
        <rFont val="Times New Roman"/>
        <charset val="134"/>
      </rPr>
      <t>1:16</t>
    </r>
    <r>
      <rPr>
        <sz val="10"/>
        <color theme="1"/>
        <rFont val="宋体"/>
        <charset val="134"/>
      </rPr>
      <t>货柜车</t>
    </r>
  </si>
  <si>
    <t>47602J</t>
  </si>
  <si>
    <r>
      <rPr>
        <sz val="10"/>
        <color theme="1"/>
        <rFont val="Times New Roman"/>
        <charset val="134"/>
      </rPr>
      <t>1:16</t>
    </r>
    <r>
      <rPr>
        <sz val="10"/>
        <color theme="1"/>
        <rFont val="宋体"/>
        <charset val="134"/>
      </rPr>
      <t>翻斗车</t>
    </r>
  </si>
  <si>
    <t>47669TSC</t>
  </si>
  <si>
    <t>47674DG</t>
  </si>
  <si>
    <t>47674TSC</t>
  </si>
  <si>
    <t>E73254</t>
  </si>
  <si>
    <r>
      <rPr>
        <sz val="10"/>
        <color theme="1"/>
        <rFont val="宋体"/>
        <charset val="134"/>
      </rPr>
      <t>恐龙推车（开窗盒）</t>
    </r>
  </si>
  <si>
    <t>E73622A</t>
  </si>
  <si>
    <r>
      <rPr>
        <sz val="10"/>
        <color theme="1"/>
        <rFont val="宋体"/>
        <charset val="134"/>
      </rPr>
      <t>布鲁伊家族杯子套装</t>
    </r>
  </si>
  <si>
    <t>E73622AWM</t>
  </si>
  <si>
    <r>
      <rPr>
        <sz val="10"/>
        <color theme="1"/>
        <rFont val="宋体"/>
        <charset val="134"/>
      </rPr>
      <t>布鲁伊家族沐浴玩具</t>
    </r>
  </si>
  <si>
    <t>E73622AZ</t>
  </si>
  <si>
    <t>E73623A1</t>
  </si>
  <si>
    <r>
      <rPr>
        <sz val="10"/>
        <color theme="1"/>
        <rFont val="宋体"/>
        <charset val="134"/>
      </rPr>
      <t>布鲁伊</t>
    </r>
    <r>
      <rPr>
        <sz val="10"/>
        <color theme="1"/>
        <rFont val="Times New Roman"/>
        <charset val="134"/>
      </rPr>
      <t>+</t>
    </r>
    <r>
      <rPr>
        <sz val="10"/>
        <color theme="1"/>
        <rFont val="宋体"/>
        <charset val="134"/>
      </rPr>
      <t>宾果沐浴玩具混装</t>
    </r>
  </si>
  <si>
    <t>E73635A</t>
  </si>
  <si>
    <r>
      <rPr>
        <sz val="10"/>
        <color theme="1"/>
        <rFont val="宋体"/>
        <charset val="134"/>
      </rPr>
      <t>布鲁伊沐浴玩具</t>
    </r>
  </si>
  <si>
    <t>E73636A</t>
  </si>
  <si>
    <r>
      <rPr>
        <sz val="10"/>
        <color theme="1"/>
        <rFont val="宋体"/>
        <charset val="134"/>
      </rPr>
      <t>宾果沐浴玩具</t>
    </r>
  </si>
  <si>
    <t>E73697</t>
  </si>
  <si>
    <r>
      <rPr>
        <sz val="10"/>
        <color theme="1"/>
        <rFont val="Times New Roman"/>
        <charset val="134"/>
      </rPr>
      <t>EVA</t>
    </r>
    <r>
      <rPr>
        <sz val="10"/>
        <color theme="1"/>
        <rFont val="宋体"/>
        <charset val="134"/>
      </rPr>
      <t>拼图</t>
    </r>
  </si>
  <si>
    <t>E73697WM</t>
  </si>
  <si>
    <t>E73814C</t>
  </si>
  <si>
    <r>
      <rPr>
        <sz val="10"/>
        <color theme="1"/>
        <rFont val="宋体"/>
        <charset val="134"/>
      </rPr>
      <t>泡泡壶</t>
    </r>
  </si>
  <si>
    <t>E73860C</t>
  </si>
  <si>
    <r>
      <rPr>
        <sz val="10"/>
        <color theme="1"/>
        <rFont val="宋体"/>
        <charset val="134"/>
      </rPr>
      <t>泡泡壶密封盒</t>
    </r>
  </si>
  <si>
    <t>L27870TG</t>
  </si>
  <si>
    <r>
      <rPr>
        <sz val="10"/>
        <color theme="1"/>
        <rFont val="宋体"/>
        <charset val="134"/>
      </rPr>
      <t>杯子</t>
    </r>
  </si>
  <si>
    <t>T72465EN6</t>
  </si>
  <si>
    <r>
      <rPr>
        <sz val="10"/>
        <color theme="1"/>
        <rFont val="宋体"/>
        <charset val="134"/>
      </rPr>
      <t>贪婪的老奶奶</t>
    </r>
  </si>
  <si>
    <t>T72465IT3</t>
  </si>
  <si>
    <t>T72465SPT</t>
  </si>
  <si>
    <t>T73785EN</t>
  </si>
  <si>
    <r>
      <rPr>
        <sz val="10"/>
        <color theme="1"/>
        <rFont val="宋体"/>
        <charset val="134"/>
      </rPr>
      <t>游戏转盘</t>
    </r>
  </si>
  <si>
    <t>Y2049L</t>
  </si>
  <si>
    <r>
      <rPr>
        <sz val="10"/>
        <color theme="1"/>
        <rFont val="宋体"/>
        <charset val="134"/>
      </rPr>
      <t>锁匙</t>
    </r>
  </si>
  <si>
    <t>Y2341G</t>
  </si>
  <si>
    <t>Y2049G1</t>
  </si>
  <si>
    <r>
      <rPr>
        <sz val="10"/>
        <color theme="1"/>
        <rFont val="宋体"/>
        <charset val="134"/>
      </rPr>
      <t>吹气三轮车</t>
    </r>
  </si>
  <si>
    <t>E73647BZR</t>
  </si>
  <si>
    <r>
      <rPr>
        <sz val="10"/>
        <color theme="1"/>
        <rFont val="宋体"/>
        <charset val="134"/>
      </rPr>
      <t>手镯和球</t>
    </r>
  </si>
  <si>
    <t>T72465ML3</t>
  </si>
  <si>
    <t>T72465ADR2</t>
  </si>
  <si>
    <t>L27870B</t>
  </si>
  <si>
    <t>T72465ASC1</t>
  </si>
  <si>
    <t>T72465RO</t>
  </si>
  <si>
    <t>T72465BZR2</t>
  </si>
  <si>
    <t>47391J</t>
  </si>
  <si>
    <t>Y2341C</t>
  </si>
  <si>
    <t>E73855A1</t>
  </si>
  <si>
    <r>
      <rPr>
        <sz val="10"/>
        <color theme="1"/>
        <rFont val="宋体"/>
        <charset val="134"/>
      </rPr>
      <t>马里奥能量蘑菇吸塑混装</t>
    </r>
  </si>
  <si>
    <t>E73906</t>
  </si>
  <si>
    <r>
      <rPr>
        <sz val="10"/>
        <color theme="1"/>
        <rFont val="宋体"/>
        <charset val="134"/>
      </rPr>
      <t>马里奥和他的蘑菇</t>
    </r>
  </si>
  <si>
    <t>E73907</t>
  </si>
  <si>
    <r>
      <rPr>
        <sz val="10"/>
        <color theme="1"/>
        <rFont val="宋体"/>
        <charset val="134"/>
      </rPr>
      <t>能量蘑菇</t>
    </r>
  </si>
  <si>
    <t>E73856</t>
  </si>
  <si>
    <r>
      <rPr>
        <sz val="10"/>
        <color theme="1"/>
        <rFont val="宋体"/>
        <charset val="134"/>
      </rPr>
      <t>宝箱马里奥</t>
    </r>
  </si>
  <si>
    <t>E73857</t>
  </si>
  <si>
    <r>
      <rPr>
        <sz val="10"/>
        <color theme="1"/>
        <rFont val="宋体"/>
        <charset val="134"/>
      </rPr>
      <t>管道马里奥</t>
    </r>
  </si>
  <si>
    <t>E73956</t>
  </si>
  <si>
    <r>
      <rPr>
        <sz val="10"/>
        <color theme="1"/>
        <rFont val="宋体"/>
        <charset val="134"/>
      </rPr>
      <t>马里奥能量蘑菇密封盒混装</t>
    </r>
  </si>
  <si>
    <t>T73955</t>
  </si>
  <si>
    <t>L27870C</t>
  </si>
  <si>
    <t>Y2049G2</t>
  </si>
  <si>
    <t>E73860PL</t>
  </si>
  <si>
    <t>47722A</t>
  </si>
  <si>
    <r>
      <rPr>
        <sz val="10"/>
        <color theme="1"/>
        <rFont val="宋体"/>
        <charset val="134"/>
      </rPr>
      <t>农场男孩套装</t>
    </r>
  </si>
  <si>
    <t>47723A</t>
  </si>
  <si>
    <r>
      <rPr>
        <sz val="10"/>
        <color theme="1"/>
        <rFont val="宋体"/>
        <charset val="134"/>
      </rPr>
      <t>农场女孩套装</t>
    </r>
  </si>
  <si>
    <t>47711A</t>
  </si>
  <si>
    <r>
      <rPr>
        <sz val="10"/>
        <color theme="1"/>
        <rFont val="宋体"/>
        <charset val="134"/>
      </rPr>
      <t>红色铲车</t>
    </r>
  </si>
  <si>
    <t>47713A</t>
  </si>
  <si>
    <r>
      <rPr>
        <sz val="10"/>
        <color theme="1"/>
        <rFont val="宋体"/>
        <charset val="134"/>
      </rPr>
      <t>黄色铲车</t>
    </r>
  </si>
  <si>
    <t>47714A</t>
  </si>
  <si>
    <r>
      <rPr>
        <sz val="10"/>
        <color theme="1"/>
        <rFont val="宋体"/>
        <charset val="134"/>
      </rPr>
      <t>绿色铲车</t>
    </r>
  </si>
  <si>
    <t>E73705A</t>
  </si>
  <si>
    <r>
      <rPr>
        <sz val="10"/>
        <color theme="1"/>
        <rFont val="宋体"/>
        <charset val="134"/>
      </rPr>
      <t>布鲁伊混装</t>
    </r>
  </si>
  <si>
    <t>E73907A</t>
  </si>
  <si>
    <t>47716A</t>
  </si>
  <si>
    <r>
      <rPr>
        <sz val="10"/>
        <color theme="1"/>
        <rFont val="宋体"/>
        <charset val="134"/>
      </rPr>
      <t>滑板拖车</t>
    </r>
  </si>
  <si>
    <t>47712A</t>
  </si>
  <si>
    <r>
      <rPr>
        <sz val="10"/>
        <color theme="1"/>
        <rFont val="宋体"/>
        <charset val="134"/>
      </rPr>
      <t>绿色拖拉机</t>
    </r>
  </si>
  <si>
    <t>E73906US</t>
  </si>
  <si>
    <t>E73907US</t>
  </si>
  <si>
    <t>E73855US</t>
  </si>
  <si>
    <t>E73956US</t>
  </si>
  <si>
    <t>47274J</t>
  </si>
  <si>
    <r>
      <rPr>
        <sz val="10"/>
        <color theme="1"/>
        <rFont val="Times New Roman"/>
        <charset val="134"/>
      </rPr>
      <t>1#</t>
    </r>
    <r>
      <rPr>
        <sz val="10"/>
        <color theme="1"/>
        <rFont val="宋体"/>
        <charset val="134"/>
      </rPr>
      <t>农场朋友混合</t>
    </r>
  </si>
  <si>
    <t>RRM</t>
  </si>
  <si>
    <t>Y2049L1</t>
  </si>
  <si>
    <t>995135(E73857)</t>
  </si>
  <si>
    <t>995142(E73856)</t>
  </si>
  <si>
    <t>995159(E73906)</t>
  </si>
  <si>
    <t>096283(E73907)</t>
  </si>
  <si>
    <t>E74041BULK</t>
  </si>
  <si>
    <r>
      <rPr>
        <sz val="10"/>
        <color theme="1"/>
        <rFont val="宋体"/>
        <charset val="134"/>
      </rPr>
      <t>布鲁伊批量装</t>
    </r>
  </si>
  <si>
    <t>47674DG2</t>
  </si>
  <si>
    <t>35765D</t>
  </si>
  <si>
    <r>
      <rPr>
        <sz val="10"/>
        <color theme="1"/>
        <rFont val="Times New Roman"/>
        <charset val="134"/>
      </rPr>
      <t xml:space="preserve">JD </t>
    </r>
    <r>
      <rPr>
        <sz val="10"/>
        <color theme="1"/>
        <rFont val="宋体"/>
        <charset val="134"/>
      </rPr>
      <t>大铲斗挖掘机</t>
    </r>
  </si>
  <si>
    <t>35766C</t>
  </si>
  <si>
    <r>
      <rPr>
        <sz val="10"/>
        <color theme="1"/>
        <rFont val="Times New Roman"/>
        <charset val="134"/>
      </rPr>
      <t xml:space="preserve">JD15 </t>
    </r>
    <r>
      <rPr>
        <sz val="10"/>
        <color theme="1"/>
        <rFont val="宋体"/>
        <charset val="134"/>
      </rPr>
      <t>英寸大铲斗自卸卡车</t>
    </r>
  </si>
  <si>
    <t>E73956A1</t>
  </si>
  <si>
    <t>E73858</t>
  </si>
  <si>
    <r>
      <rPr>
        <sz val="10"/>
        <color theme="1"/>
        <rFont val="宋体"/>
        <charset val="134"/>
      </rPr>
      <t>浮水马里奥</t>
    </r>
  </si>
  <si>
    <t>L21106</t>
  </si>
  <si>
    <r>
      <rPr>
        <sz val="10"/>
        <color theme="1"/>
        <rFont val="宋体"/>
        <charset val="134"/>
      </rPr>
      <t>盲盒公仔</t>
    </r>
    <r>
      <rPr>
        <sz val="10"/>
        <color theme="1"/>
        <rFont val="Times New Roman"/>
        <charset val="134"/>
      </rPr>
      <t>(</t>
    </r>
    <r>
      <rPr>
        <sz val="10"/>
        <color theme="1"/>
        <rFont val="宋体"/>
        <charset val="134"/>
      </rPr>
      <t>塑胶毛绒</t>
    </r>
    <r>
      <rPr>
        <sz val="10"/>
        <color theme="1"/>
        <rFont val="Times New Roman"/>
        <charset val="134"/>
      </rPr>
      <t>)</t>
    </r>
  </si>
  <si>
    <t>河源</t>
  </si>
  <si>
    <r>
      <rPr>
        <sz val="10"/>
        <color theme="1"/>
        <rFont val="Times New Roman"/>
        <charset val="134"/>
      </rPr>
      <t>6</t>
    </r>
    <r>
      <rPr>
        <sz val="10"/>
        <rFont val="Times New Roman"/>
        <charset val="134"/>
      </rPr>
      <t>PCS</t>
    </r>
    <r>
      <rPr>
        <sz val="10"/>
        <rFont val="宋体"/>
        <charset val="134"/>
      </rPr>
      <t>一</t>
    </r>
    <r>
      <rPr>
        <sz val="10"/>
        <rFont val="Times New Roman"/>
        <charset val="134"/>
      </rPr>
      <t>PDQ</t>
    </r>
    <r>
      <rPr>
        <sz val="10"/>
        <rFont val="宋体"/>
        <charset val="134"/>
      </rPr>
      <t>，</t>
    </r>
    <r>
      <rPr>
        <sz val="10"/>
        <rFont val="Times New Roman"/>
        <charset val="134"/>
      </rPr>
      <t xml:space="preserve">1PDQ </t>
    </r>
    <r>
      <rPr>
        <sz val="10"/>
        <rFont val="宋体"/>
        <charset val="134"/>
      </rPr>
      <t>一箱</t>
    </r>
  </si>
  <si>
    <t>L21011</t>
  </si>
  <si>
    <r>
      <rPr>
        <sz val="10"/>
        <color theme="1"/>
        <rFont val="Times New Roman"/>
        <charset val="134"/>
      </rPr>
      <t>11</t>
    </r>
    <r>
      <rPr>
        <sz val="10"/>
        <color theme="1"/>
        <rFont val="宋体"/>
        <charset val="134"/>
      </rPr>
      <t>寸大毛绒</t>
    </r>
  </si>
  <si>
    <t>L19200</t>
  </si>
  <si>
    <t>L19201</t>
  </si>
  <si>
    <t>L19202</t>
  </si>
  <si>
    <t>E73907A1</t>
  </si>
  <si>
    <t>47669TSCA</t>
  </si>
  <si>
    <t>47674TSCA</t>
  </si>
  <si>
    <t>46670TSCA</t>
  </si>
  <si>
    <t>电子洒水车</t>
  </si>
  <si>
    <t>47674A</t>
  </si>
  <si>
    <t>E73858AZ</t>
  </si>
  <si>
    <t>47714ATSC</t>
  </si>
  <si>
    <t>43452PL</t>
  </si>
  <si>
    <r>
      <rPr>
        <sz val="10"/>
        <color theme="1"/>
        <rFont val="Times New Roman"/>
        <charset val="134"/>
      </rPr>
      <t>47674PL/47714PL</t>
    </r>
    <r>
      <rPr>
        <sz val="10"/>
        <color theme="1"/>
        <rFont val="宋体"/>
        <charset val="134"/>
      </rPr>
      <t>混装</t>
    </r>
  </si>
  <si>
    <t>47023A1</t>
  </si>
  <si>
    <r>
      <rPr>
        <sz val="10"/>
        <color theme="1"/>
        <rFont val="宋体"/>
        <charset val="134"/>
      </rPr>
      <t>工程玩具挖掘机</t>
    </r>
  </si>
  <si>
    <t>47616A</t>
  </si>
  <si>
    <r>
      <rPr>
        <sz val="10"/>
        <color theme="1"/>
        <rFont val="宋体"/>
        <charset val="134"/>
      </rPr>
      <t>沙盒建造三件套</t>
    </r>
  </si>
  <si>
    <t>35874VAZ</t>
  </si>
  <si>
    <t>46745V</t>
  </si>
  <si>
    <t>35874A1</t>
  </si>
  <si>
    <t>37558V2</t>
  </si>
  <si>
    <t>47339A</t>
  </si>
  <si>
    <t>47274A</t>
  </si>
  <si>
    <t>47193B</t>
  </si>
  <si>
    <t>47207A</t>
  </si>
  <si>
    <t>46701V1</t>
  </si>
  <si>
    <t>47023V1</t>
  </si>
  <si>
    <t>35765C</t>
  </si>
  <si>
    <t>35766B</t>
  </si>
  <si>
    <t>35766V</t>
  </si>
  <si>
    <t>46510V2</t>
  </si>
  <si>
    <t>35850CM</t>
  </si>
  <si>
    <t>E73855A2</t>
  </si>
  <si>
    <t>E73856AZ</t>
  </si>
  <si>
    <t>E73857AZ</t>
  </si>
  <si>
    <t>F5861ML2</t>
  </si>
  <si>
    <t>拉管机</t>
  </si>
  <si>
    <t>47023AZ2</t>
  </si>
  <si>
    <t>工程玩具挖掘机</t>
  </si>
  <si>
    <t>L21010A7</t>
  </si>
  <si>
    <t>盲盒系列兔子</t>
  </si>
  <si>
    <t>35874A1J</t>
  </si>
  <si>
    <t>沙河交通工具两件套</t>
  </si>
  <si>
    <t>35874VAZJ</t>
  </si>
  <si>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宋体"/>
        <charset val="134"/>
      </rPr>
      <t>沙河交通工具两件套</t>
    </r>
  </si>
  <si>
    <t>47193C</t>
  </si>
  <si>
    <t>农场朋友组合</t>
  </si>
  <si>
    <t>产品名称</t>
  </si>
  <si>
    <t>E73956/E73956US/E73855A1/E73855US/E73956A1/E73855A2</t>
  </si>
  <si>
    <t>接单日期</t>
  </si>
  <si>
    <t>国家</t>
  </si>
  <si>
    <t>TOMY PO</t>
  </si>
  <si>
    <t>CUSTOMER PO</t>
  </si>
  <si>
    <t>货号</t>
  </si>
  <si>
    <t>数量</t>
  </si>
  <si>
    <t>PO走货期</t>
  </si>
  <si>
    <t>L27870TG/L27870B/L27870C</t>
  </si>
  <si>
    <t>Y2049L/Y2049G1//Y2049G2/Y2049L1</t>
  </si>
  <si>
    <t>E73622A/E73622AZ</t>
  </si>
  <si>
    <t>E74062C</t>
  </si>
  <si>
    <t>E73917C</t>
  </si>
  <si>
    <t>47669/47669TSC/47669TSCA</t>
  </si>
  <si>
    <t>47674DG/47674TSC/47674DG2/47674A/47674TSCA</t>
  </si>
  <si>
    <t>E73814C1</t>
  </si>
  <si>
    <t>E73860C/E73860PL</t>
  </si>
  <si>
    <t>E73906/E73906US</t>
  </si>
  <si>
    <t>E73907/E73907A/E73907US/E73907A1</t>
  </si>
  <si>
    <t>E73856/E73856AZ</t>
  </si>
  <si>
    <t>47714A/47714ATSC</t>
  </si>
  <si>
    <t>E74041BULK/47274J</t>
  </si>
  <si>
    <t>E73858/E73858AZ</t>
  </si>
  <si>
    <t>47020A1</t>
  </si>
  <si>
    <t>46510A1</t>
  </si>
  <si>
    <t>L21015</t>
  </si>
  <si>
    <t>L21014</t>
  </si>
  <si>
    <t>47207B</t>
  </si>
  <si>
    <t>47339B</t>
  </si>
  <si>
    <t>T12694N</t>
  </si>
  <si>
    <t>46701A1</t>
  </si>
  <si>
    <t>L67988A</t>
  </si>
  <si>
    <t>068266</t>
  </si>
  <si>
    <t>单价USD</t>
  </si>
  <si>
    <t>金额USD</t>
  </si>
  <si>
    <t>金额HKD</t>
  </si>
  <si>
    <t>车间</t>
  </si>
  <si>
    <t>比利时</t>
  </si>
  <si>
    <t>澳大利亚</t>
  </si>
  <si>
    <t>美国</t>
  </si>
  <si>
    <t>MPO</t>
  </si>
  <si>
    <t>马里奥身子搪胶件+帽子</t>
  </si>
  <si>
    <t>阿拉伯</t>
  </si>
  <si>
    <t>MA</t>
  </si>
  <si>
    <t>日本</t>
  </si>
  <si>
    <t>420251209004900770001</t>
  </si>
  <si>
    <t>CM 22.12.25 Indonesia</t>
  </si>
  <si>
    <t>法国</t>
  </si>
  <si>
    <t>S260001</t>
  </si>
  <si>
    <t>29CBR1</t>
  </si>
  <si>
    <t>英国</t>
  </si>
  <si>
    <t>S260004</t>
  </si>
  <si>
    <t>S260007</t>
  </si>
  <si>
    <t>欧美</t>
  </si>
  <si>
    <t>S260011</t>
  </si>
  <si>
    <t>S260014</t>
  </si>
  <si>
    <t>S260013</t>
  </si>
  <si>
    <t>S260016</t>
  </si>
  <si>
    <t>S260017</t>
  </si>
  <si>
    <t>S260022</t>
  </si>
  <si>
    <t>波兰</t>
  </si>
  <si>
    <t>V126651</t>
  </si>
  <si>
    <t>V126650</t>
  </si>
  <si>
    <t>V126649</t>
  </si>
  <si>
    <t>4509194-99</t>
  </si>
  <si>
    <t>280681PT</t>
  </si>
  <si>
    <t>280680PT</t>
  </si>
  <si>
    <t>4851114-9</t>
  </si>
  <si>
    <t>K251522099</t>
  </si>
  <si>
    <t>4851116-99</t>
  </si>
  <si>
    <t>4509195-99</t>
  </si>
  <si>
    <t>K251523093</t>
  </si>
  <si>
    <t>4509192-99</t>
  </si>
  <si>
    <t>荷兰</t>
  </si>
  <si>
    <t>280684PT</t>
  </si>
  <si>
    <t>280683PT</t>
  </si>
  <si>
    <t>280686PT</t>
  </si>
  <si>
    <t>280689PT</t>
  </si>
  <si>
    <t>280687PT</t>
  </si>
  <si>
    <t>280688PT</t>
  </si>
  <si>
    <t>1726165-99</t>
  </si>
  <si>
    <t>P10049988</t>
  </si>
  <si>
    <t>4852896-99</t>
  </si>
  <si>
    <t>4512346-97</t>
  </si>
  <si>
    <t>4512346-99</t>
  </si>
  <si>
    <t>389525-99</t>
  </si>
  <si>
    <t>4851124-99</t>
  </si>
  <si>
    <t>4512346-95</t>
  </si>
  <si>
    <t>4512346-98</t>
  </si>
  <si>
    <t>2602-K48459</t>
  </si>
  <si>
    <t>A000213544</t>
  </si>
  <si>
    <t>S260023</t>
  </si>
  <si>
    <t>样品</t>
  </si>
  <si>
    <t>S260026</t>
  </si>
  <si>
    <t>PO-000000064</t>
  </si>
  <si>
    <t>PO-000000089</t>
  </si>
  <si>
    <t>PO-000000080</t>
  </si>
  <si>
    <t>S260025</t>
  </si>
  <si>
    <t>PO-000000072</t>
  </si>
  <si>
    <t>PO-000000115</t>
  </si>
  <si>
    <t>PO-000000101</t>
  </si>
  <si>
    <t>中国</t>
  </si>
  <si>
    <t>PO-000000647</t>
  </si>
  <si>
    <t xml:space="preserve"> PO-000000746</t>
  </si>
  <si>
    <t>PO-000000943</t>
  </si>
  <si>
    <t>PO-000001105</t>
  </si>
  <si>
    <t>PO-000001107</t>
  </si>
  <si>
    <t>PO-000001205</t>
  </si>
  <si>
    <t>PO-000001299</t>
  </si>
  <si>
    <t>PO-000001294</t>
  </si>
  <si>
    <t>PO-000001300</t>
  </si>
  <si>
    <t>PO-000001319</t>
  </si>
  <si>
    <t>PO-000001315</t>
  </si>
  <si>
    <t>PO-000001398</t>
  </si>
  <si>
    <t>PO-000001397</t>
  </si>
  <si>
    <t>PO-000001513</t>
  </si>
  <si>
    <t>FA586-2AUT</t>
  </si>
  <si>
    <t>PO-000001565</t>
  </si>
  <si>
    <t>20260623005015620001</t>
  </si>
  <si>
    <t>德国</t>
  </si>
  <si>
    <t>PO-000001594</t>
  </si>
  <si>
    <t>70 527345</t>
  </si>
  <si>
    <t>80 527345</t>
  </si>
  <si>
    <t>06 527337</t>
  </si>
  <si>
    <t>04 527337</t>
  </si>
  <si>
    <t>07 527337</t>
  </si>
  <si>
    <t>08 527337</t>
  </si>
  <si>
    <t>PO-000001612</t>
  </si>
  <si>
    <t>10 527344</t>
  </si>
  <si>
    <t>40 527344</t>
  </si>
  <si>
    <t>60 527344</t>
  </si>
  <si>
    <t>70 527344</t>
  </si>
  <si>
    <t>80 527344</t>
  </si>
  <si>
    <t>01 527336</t>
  </si>
  <si>
    <t>04 527336</t>
  </si>
  <si>
    <t>06 527336</t>
  </si>
  <si>
    <t>07 527336</t>
  </si>
  <si>
    <t>08 527336</t>
  </si>
  <si>
    <t>10 527345</t>
  </si>
  <si>
    <t>40 527345</t>
  </si>
  <si>
    <t>60 527345</t>
  </si>
  <si>
    <t>10 527341</t>
  </si>
  <si>
    <t>40 527341</t>
  </si>
  <si>
    <t>60 527341</t>
  </si>
  <si>
    <t>70 527341</t>
  </si>
  <si>
    <t>80 527341</t>
  </si>
  <si>
    <t>01 527328</t>
  </si>
  <si>
    <t>04 527328</t>
  </si>
  <si>
    <t>06 527328</t>
  </si>
  <si>
    <t>07 527328</t>
  </si>
  <si>
    <t>08 527328</t>
  </si>
  <si>
    <t>10 527340</t>
  </si>
  <si>
    <t>40 527340</t>
  </si>
  <si>
    <t>60 527340</t>
  </si>
  <si>
    <t>70 527340</t>
  </si>
  <si>
    <t>01 527327</t>
  </si>
  <si>
    <t>04 527327</t>
  </si>
  <si>
    <t>06 527327</t>
  </si>
  <si>
    <t>08 527327</t>
  </si>
  <si>
    <t>01 527337</t>
  </si>
  <si>
    <t>80 527340</t>
  </si>
  <si>
    <t>PO-000001902</t>
  </si>
  <si>
    <t>PO-000002055</t>
  </si>
  <si>
    <t>PO-000002061</t>
  </si>
  <si>
    <t>PO-000002068</t>
  </si>
  <si>
    <t>印尼开PP单</t>
  </si>
  <si>
    <t>PO-000002218</t>
  </si>
  <si>
    <r>
      <rPr>
        <b/>
        <sz val="9"/>
        <color rgb="FF0000FF"/>
        <rFont val="Times New Roman"/>
        <charset val="134"/>
      </rPr>
      <t>2025</t>
    </r>
    <r>
      <rPr>
        <b/>
        <sz val="9"/>
        <color rgb="FF0000FF"/>
        <rFont val="宋体"/>
        <charset val="134"/>
      </rPr>
      <t>年年存</t>
    </r>
  </si>
  <si>
    <t>总接单：</t>
  </si>
  <si>
    <r>
      <rPr>
        <b/>
        <sz val="9"/>
        <color rgb="FFFF0000"/>
        <rFont val="Times New Roman"/>
        <charset val="134"/>
      </rPr>
      <t>KIK</t>
    </r>
    <r>
      <rPr>
        <b/>
        <sz val="9"/>
        <color rgb="FFFF0000"/>
        <rFont val="宋体"/>
        <charset val="134"/>
      </rPr>
      <t>总排期：</t>
    </r>
  </si>
  <si>
    <r>
      <rPr>
        <b/>
        <sz val="9"/>
        <color rgb="FFFF0000"/>
        <rFont val="Times New Roman"/>
        <charset val="134"/>
      </rPr>
      <t>RRM</t>
    </r>
    <r>
      <rPr>
        <b/>
        <sz val="9"/>
        <color rgb="FFFF0000"/>
        <rFont val="宋体"/>
        <charset val="134"/>
      </rPr>
      <t>总排期：</t>
    </r>
  </si>
  <si>
    <t>KIK已走货：</t>
  </si>
  <si>
    <r>
      <rPr>
        <b/>
        <sz val="9"/>
        <color rgb="FFFF0000"/>
        <rFont val="Times New Roman"/>
        <charset val="134"/>
      </rPr>
      <t>RRM</t>
    </r>
    <r>
      <rPr>
        <b/>
        <sz val="9"/>
        <color rgb="FFFF0000"/>
        <rFont val="宋体"/>
        <charset val="134"/>
      </rPr>
      <t>已走货：</t>
    </r>
  </si>
  <si>
    <t>以下标注内容区分识别备注：</t>
  </si>
  <si>
    <t>类型</t>
  </si>
  <si>
    <t>内容</t>
  </si>
  <si>
    <t>黄色填充</t>
  </si>
  <si>
    <t>新加单或更改</t>
  </si>
  <si>
    <t>粉色填充</t>
  </si>
  <si>
    <t>扣单/转单</t>
  </si>
  <si>
    <t>蓝色字体</t>
  </si>
  <si>
    <t>已经完成订单</t>
  </si>
  <si>
    <t>粉色字体</t>
  </si>
  <si>
    <t>已经出货</t>
  </si>
  <si>
    <t>红色字体</t>
  </si>
  <si>
    <t>取消单</t>
  </si>
  <si>
    <t>接单期</t>
  </si>
  <si>
    <t>提交化学测试</t>
  </si>
  <si>
    <t>第三客户名称</t>
  </si>
  <si>
    <t>客跟单</t>
  </si>
  <si>
    <t>外箱</t>
  </si>
  <si>
    <t>总箱数</t>
  </si>
  <si>
    <t>验货期</t>
  </si>
  <si>
    <t>实际验货期</t>
  </si>
  <si>
    <t>日期码</t>
  </si>
  <si>
    <t>箱唛资料</t>
  </si>
  <si>
    <t>Spot check</t>
  </si>
  <si>
    <t>年报测试</t>
  </si>
  <si>
    <t>客贴纸</t>
  </si>
  <si>
    <t>印尼回复上拉时间</t>
  </si>
  <si>
    <t>印尼回复完成时间</t>
  </si>
  <si>
    <t>箱唛状态</t>
  </si>
  <si>
    <t>备注</t>
  </si>
  <si>
    <t>发票号</t>
  </si>
  <si>
    <t>船期</t>
  </si>
  <si>
    <t>是否入系统</t>
  </si>
  <si>
    <t>混装比例</t>
  </si>
  <si>
    <t>确认采购日期</t>
  </si>
  <si>
    <t>包材上料时间</t>
  </si>
  <si>
    <t>塑胶件上料时间</t>
  </si>
  <si>
    <t>纸吉</t>
  </si>
  <si>
    <t>PCBA</t>
  </si>
  <si>
    <t>五金</t>
  </si>
  <si>
    <t>贴纸</t>
  </si>
  <si>
    <t>仓库复来料时间</t>
  </si>
  <si>
    <t>接单周期</t>
  </si>
  <si>
    <t>印尼周期</t>
  </si>
  <si>
    <t>内部释放MA</t>
  </si>
  <si>
    <t xml:space="preserve">2025/11/27
</t>
  </si>
  <si>
    <t>内部释放MA/塑胶件和喷油</t>
  </si>
  <si>
    <t>5/25 ok</t>
  </si>
  <si>
    <t>内部释放MA/马里奥搪胶喷油</t>
  </si>
  <si>
    <t>无</t>
  </si>
  <si>
    <t>TOMY UK CO LTD</t>
  </si>
  <si>
    <t>Gary</t>
  </si>
  <si>
    <t>D1526RR02</t>
  </si>
  <si>
    <t>标准唛+TTT+欧盟信息</t>
  </si>
  <si>
    <t>6/5ok</t>
  </si>
  <si>
    <t>3/23放产</t>
  </si>
  <si>
    <t>TOMY INTERNATIONAL INC.</t>
  </si>
  <si>
    <t>Olivia</t>
  </si>
  <si>
    <t>F1526RR02</t>
  </si>
  <si>
    <t>标准唛+TTT</t>
  </si>
  <si>
    <t>6/9 ok</t>
  </si>
  <si>
    <t>彩盒6/16，
吸塑6/24</t>
  </si>
  <si>
    <t>未放产</t>
  </si>
  <si>
    <t>7/7 ok</t>
  </si>
  <si>
    <t>E1526RR02</t>
  </si>
  <si>
    <t>7/15 ok</t>
  </si>
  <si>
    <t>ARGOS LIMITED</t>
  </si>
  <si>
    <t>Nancy</t>
  </si>
  <si>
    <t>G1526RR02</t>
  </si>
  <si>
    <t>客唛+TTT+欧盟信息</t>
  </si>
  <si>
    <t>有特殊贴纸</t>
  </si>
  <si>
    <t>TOMY AUSTRALIA PTY, LTD.</t>
  </si>
  <si>
    <t>Toby</t>
  </si>
  <si>
    <t>6/2 ok</t>
  </si>
  <si>
    <t>5/20 ok</t>
  </si>
  <si>
    <t>Warren</t>
  </si>
  <si>
    <t>从PO10126801转入</t>
  </si>
  <si>
    <t>5/29ok</t>
  </si>
  <si>
    <t>4/1 ok</t>
  </si>
  <si>
    <t>6/22 ok</t>
  </si>
  <si>
    <t>6/22ok</t>
  </si>
  <si>
    <t>有JD贴纸</t>
  </si>
  <si>
    <t>已上</t>
  </si>
  <si>
    <t>预计8/19</t>
  </si>
  <si>
    <t>7/31 ok</t>
  </si>
  <si>
    <t>NEWTON BUYING CORP. (T.J.MAXX)</t>
  </si>
  <si>
    <t>2026/8/19周三</t>
  </si>
  <si>
    <t>客唛7/27确认</t>
  </si>
  <si>
    <t>有价钱贴纸</t>
  </si>
  <si>
    <t>使用PO#10129047的物料</t>
  </si>
  <si>
    <t>MARSHALLS OF MA, INC</t>
  </si>
  <si>
    <t>6/25 ok</t>
  </si>
  <si>
    <t>7/30 ok</t>
  </si>
  <si>
    <t>预计8/26</t>
  </si>
  <si>
    <t>TOMY COMPANY, LTD.</t>
  </si>
  <si>
    <t>Angel</t>
  </si>
  <si>
    <t/>
  </si>
  <si>
    <t>G1526</t>
  </si>
  <si>
    <t>客唛</t>
  </si>
  <si>
    <t>7/31 寄出</t>
  </si>
  <si>
    <t>印尼的旧彩盒可以使用，但是一箱里面不能出现两种彩盒</t>
  </si>
  <si>
    <t>纸箱7/17</t>
  </si>
  <si>
    <t>H1426RR02</t>
  </si>
  <si>
    <t>消耗取消单
10115934</t>
  </si>
  <si>
    <t>待定/客人预计取消</t>
  </si>
  <si>
    <t>7/2 ok</t>
  </si>
  <si>
    <t>从po10123689/10123756各转入1500PCS</t>
  </si>
  <si>
    <t>8/3 寄出</t>
  </si>
  <si>
    <t>预计6/18</t>
  </si>
  <si>
    <t>8/4 ok</t>
  </si>
  <si>
    <t>使用PO#10128553的包装物料</t>
  </si>
  <si>
    <t>使用PO#10128554的包装物料</t>
  </si>
  <si>
    <t>泡泡壶</t>
  </si>
  <si>
    <t>产品印：G1526RR02     彩盒外箱印：G1526</t>
  </si>
  <si>
    <t>待定</t>
  </si>
  <si>
    <t>8/6 寄出</t>
  </si>
  <si>
    <t>7/30上彩盒
7/31上吸塑</t>
  </si>
  <si>
    <t>7/9已上2957pcs
7/18 上2810pcs
7/17上1270pcs</t>
  </si>
  <si>
    <t>7/3 ok</t>
  </si>
  <si>
    <t>2026/6/22周一</t>
  </si>
  <si>
    <t>从PO10121314转入3000pcs</t>
  </si>
  <si>
    <t>TOMY INTERNATIONAL INC</t>
  </si>
  <si>
    <t>SMYTHS TOYS EU HQ LTD</t>
  </si>
  <si>
    <t>确认+TTT+欧盟信息</t>
  </si>
  <si>
    <t>SMYTHS TOYS HQ UC</t>
  </si>
  <si>
    <t>有价钱贴纸/有JD贴纸</t>
  </si>
  <si>
    <t>I1526RR02</t>
  </si>
  <si>
    <t>模具6/11装印尼</t>
  </si>
  <si>
    <t>7/31上5590pcs</t>
  </si>
  <si>
    <t>杯子</t>
  </si>
  <si>
    <t xml:space="preserve"> PO-000001565</t>
  </si>
  <si>
    <t>7/31上彩盒2252pcs</t>
  </si>
  <si>
    <t>电镀件7/25
喷油待付</t>
  </si>
  <si>
    <t>6/25已通过</t>
  </si>
  <si>
    <t>有JD贴纸/客供镭射贴纸</t>
  </si>
  <si>
    <t>预计8/25</t>
  </si>
  <si>
    <t>TOMY AUSTRALIA PTY, LTD</t>
  </si>
  <si>
    <t>Tob</t>
  </si>
  <si>
    <t>浮水佩奇</t>
  </si>
  <si>
    <t>J1526RR02</t>
  </si>
  <si>
    <t>K1326RR02</t>
  </si>
  <si>
    <t>彩盒有新文档，按最新文档做货</t>
  </si>
  <si>
    <t>绿鳄鱼</t>
  </si>
  <si>
    <t>J1226RR02</t>
  </si>
  <si>
    <t>咖啡色小狗</t>
  </si>
  <si>
    <t>马里奥盲盒</t>
  </si>
  <si>
    <t>合计</t>
  </si>
  <si>
    <t>五金上料时间</t>
  </si>
  <si>
    <t>Doreen</t>
  </si>
  <si>
    <t>F1526RR03</t>
  </si>
  <si>
    <t>7/28 ok</t>
  </si>
  <si>
    <t>OK</t>
  </si>
  <si>
    <t>2026/6/24
OPP带 7/1空运</t>
  </si>
  <si>
    <t>7/1空运</t>
  </si>
  <si>
    <t>G1526RR03</t>
  </si>
  <si>
    <t>彩盒6/25 OK</t>
  </si>
  <si>
    <t>密盒6/25 OK</t>
  </si>
  <si>
    <t>8.14寄出</t>
  </si>
  <si>
    <t>吊牌退货
7/18已装柜</t>
  </si>
  <si>
    <t>8.19寄出</t>
  </si>
  <si>
    <t>7/21 OK</t>
  </si>
  <si>
    <t xml:space="preserve"> Nancy</t>
  </si>
  <si>
    <t xml:space="preserve"> Toby</t>
  </si>
  <si>
    <t xml:space="preserve"> TOMY AUSTRALIA PTY, LTD.</t>
  </si>
  <si>
    <t>TOMY UK CO., Ltd.</t>
  </si>
  <si>
    <t>管道吹风球</t>
  </si>
  <si>
    <t>欧洲版本充电器，有在Fat Brain扣MA</t>
  </si>
  <si>
    <t>Tomy Australia Pty Ltd</t>
  </si>
  <si>
    <t>有特殊贴纸，档案待提供，我司负责印刷。
说明书跟美文版不同</t>
  </si>
  <si>
    <t>澳洲版本充电器，有在Fat Brain扣MA</t>
  </si>
  <si>
    <t>6 英寸工程车辆 两件套装</t>
  </si>
  <si>
    <t>I1526RR03</t>
  </si>
  <si>
    <t>大铲斗配沙池工具</t>
  </si>
  <si>
    <t>8/12放订</t>
  </si>
  <si>
    <t xml:space="preserve"> PO-000001300</t>
  </si>
  <si>
    <t>适配器待定，有在Fat Brain扣MA</t>
  </si>
  <si>
    <t>彩盒底部需贴标签</t>
  </si>
  <si>
    <t>农场朋友运输套装</t>
  </si>
  <si>
    <t>8/11 寄出</t>
  </si>
  <si>
    <t>J1526RR03</t>
  </si>
  <si>
    <t>H1426RR03</t>
  </si>
  <si>
    <t>7/15放箱唛</t>
  </si>
  <si>
    <t>弹出皮特寻宝器</t>
  </si>
  <si>
    <t>沙河三件套</t>
  </si>
  <si>
    <t>拳头毛绒</t>
  </si>
  <si>
    <t>J2026RR03</t>
  </si>
  <si>
    <t>客供标签贴纸（无备品）</t>
  </si>
  <si>
    <t>贴纸7/31上RRM :QC大货抽六套回中国，做EU测试（十月中跟进）</t>
  </si>
  <si>
    <t>印尼 PP单</t>
  </si>
  <si>
    <t>贪婪的老奶奶</t>
  </si>
  <si>
    <t>只需胶件与五金</t>
  </si>
  <si>
    <t>需做测试订单</t>
  </si>
  <si>
    <t>序号</t>
  </si>
  <si>
    <t>PO号</t>
  </si>
  <si>
    <t>货期</t>
  </si>
  <si>
    <t>产地</t>
  </si>
  <si>
    <t>需寄出时间</t>
  </si>
  <si>
    <t>印尼</t>
  </si>
  <si>
    <t>4/1 测试OK</t>
  </si>
  <si>
    <t>2026/4/1</t>
  </si>
  <si>
    <t>已走货</t>
  </si>
  <si>
    <t>4.9 pass</t>
  </si>
  <si>
    <t>47669</t>
  </si>
  <si>
    <t>2026/4/11</t>
  </si>
  <si>
    <t>4.8 pass</t>
  </si>
  <si>
    <t>46696</t>
  </si>
  <si>
    <t>2026/4/22</t>
  </si>
  <si>
    <t>东莞</t>
  </si>
  <si>
    <t>2026/5/6</t>
  </si>
  <si>
    <t>5.27 pass</t>
  </si>
  <si>
    <t>5.28 pass</t>
  </si>
  <si>
    <t>2026/5/13</t>
  </si>
  <si>
    <t>使用之前的测试结果</t>
  </si>
  <si>
    <t>ok</t>
  </si>
  <si>
    <t>2026/5/20</t>
  </si>
  <si>
    <t>5/28 ok</t>
  </si>
  <si>
    <t>2026/5/27</t>
  </si>
  <si>
    <t>5/26 ok</t>
  </si>
  <si>
    <t>5/24 pass</t>
  </si>
  <si>
    <t>2026/6/3</t>
  </si>
  <si>
    <t>运输测试 印尼 4/27 ok</t>
  </si>
  <si>
    <t>2026/6/24</t>
  </si>
  <si>
    <t>无需寄出</t>
  </si>
  <si>
    <t>2026/6/10</t>
  </si>
  <si>
    <t>5/20 pass</t>
  </si>
  <si>
    <t>5/27 pass</t>
  </si>
  <si>
    <t>6/8 pass</t>
  </si>
  <si>
    <t>2026/6/1</t>
  </si>
  <si>
    <t>6/4 pass</t>
  </si>
  <si>
    <t>6/3 pass</t>
  </si>
  <si>
    <t>2026/6/17</t>
  </si>
  <si>
    <t>6/4 ok</t>
  </si>
  <si>
    <t>6/8 ok</t>
  </si>
  <si>
    <t>2026/7/1</t>
  </si>
  <si>
    <t>6/11 Fail 无需寄板</t>
  </si>
  <si>
    <t>2026/7/29</t>
  </si>
  <si>
    <t>7/6 pass</t>
  </si>
  <si>
    <t>2026/7/8</t>
  </si>
  <si>
    <t>2026/8/26</t>
  </si>
  <si>
    <t>7/21pass</t>
  </si>
  <si>
    <t>2026/8/12</t>
  </si>
  <si>
    <t>印尼寄出做测试</t>
  </si>
  <si>
    <t>2026/8/5</t>
  </si>
  <si>
    <t>6/18 pass</t>
  </si>
  <si>
    <t xml:space="preserve"> 47723A</t>
  </si>
  <si>
    <t>6/17 寄出</t>
  </si>
  <si>
    <t>08/05/2026</t>
  </si>
  <si>
    <t>7/24寄出</t>
  </si>
  <si>
    <t>09/02/2026</t>
  </si>
  <si>
    <t>运输测试</t>
  </si>
  <si>
    <t xml:space="preserve">spot check：2pcs+干油办一套+贴纸
运输测试：两箱
年报：6pcs＋干油办一套+贴纸
</t>
  </si>
  <si>
    <t>预计物料上印尼时间</t>
  </si>
  <si>
    <t>物料到印尼时间</t>
  </si>
  <si>
    <t>L1525RR02</t>
  </si>
  <si>
    <t>12/31 OK</t>
  </si>
  <si>
    <t>HK92523</t>
  </si>
  <si>
    <t>12/30 OK</t>
  </si>
  <si>
    <t>不需要笑脸说明书</t>
  </si>
  <si>
    <t>HK92541REV1</t>
  </si>
  <si>
    <t>G1525RR02</t>
  </si>
  <si>
    <t>7/7 OK</t>
  </si>
  <si>
    <t>有JD贴纸/9/25上印尼</t>
  </si>
  <si>
    <t>HK92539</t>
  </si>
  <si>
    <t>使用旧款的花朵</t>
  </si>
  <si>
    <t>E73855A1=E73906(4个用量）+E73907（2个用量）</t>
  </si>
  <si>
    <t>E73956=E73906(1个用量）+E73907(1个用量）-每款各5K</t>
  </si>
  <si>
    <t>TRUCARE FZC</t>
  </si>
  <si>
    <t>K1525RR02</t>
  </si>
  <si>
    <t>12/1 OK</t>
  </si>
  <si>
    <t>HK92548</t>
  </si>
  <si>
    <t>HK92542</t>
  </si>
  <si>
    <t>HK92543REV1</t>
  </si>
  <si>
    <t>HK92545</t>
  </si>
  <si>
    <t>HK92559</t>
  </si>
  <si>
    <t>需要用新的花朵，旧款不可用,不需要笑脸说明书，取消内箱</t>
  </si>
  <si>
    <t>HK92564</t>
  </si>
  <si>
    <t>需要用新的花朵，旧款不可用,不需要笑脸说明书，</t>
  </si>
  <si>
    <t>J1525RR02</t>
  </si>
  <si>
    <t>8/12 OK</t>
  </si>
  <si>
    <t>HK92549</t>
  </si>
  <si>
    <t>印尼备料</t>
  </si>
  <si>
    <t>H1325RR02</t>
  </si>
  <si>
    <t>9/2 OK</t>
  </si>
  <si>
    <t>12/4 寄出</t>
  </si>
  <si>
    <t>L2425RR02</t>
  </si>
  <si>
    <t>12/24 OK</t>
  </si>
  <si>
    <t>L0225RR02</t>
  </si>
  <si>
    <t>印尼龙昌下单</t>
  </si>
  <si>
    <t>HK92552</t>
  </si>
  <si>
    <t>未</t>
  </si>
  <si>
    <t>1、需要进行质量检查2、请在纸箱上贴上以下信息。收件人:TOMY澳大利亚
收件人:PaulHodgkiss
项目:
描述:
数量:</t>
  </si>
  <si>
    <t>HK92553</t>
  </si>
  <si>
    <t>1.需验货
2.请在纸箱上注明:TOMY英国的样品
项目:
描述:
数量:</t>
  </si>
  <si>
    <t>HK92554</t>
  </si>
  <si>
    <t>HK92556</t>
  </si>
  <si>
    <t>1.需验货
2.请在纸箱上注明:任天堂美国的样品
项目:
描述:
数量:</t>
  </si>
  <si>
    <t>HK92557</t>
  </si>
  <si>
    <t>1.需验货
2.请在纸箱上注明:NCL开发样品
项目:
描述:
数量:</t>
  </si>
  <si>
    <t>HK92558</t>
  </si>
  <si>
    <t>需要用新的花朵，旧款不可用,
不需要笑脸说明书</t>
  </si>
  <si>
    <t>HK92576</t>
  </si>
  <si>
    <t>Leung，Gary</t>
  </si>
  <si>
    <t>2/12 Hold</t>
  </si>
  <si>
    <t>2/6 OK</t>
  </si>
  <si>
    <t>运输测试未寄出</t>
  </si>
  <si>
    <t>1:16拖车厢</t>
  </si>
  <si>
    <t>2/6 ok</t>
  </si>
  <si>
    <t>HK92590</t>
  </si>
  <si>
    <t>2/27 Hold</t>
  </si>
  <si>
    <t>B1326RR02</t>
  </si>
  <si>
    <t>3/11 OK</t>
  </si>
  <si>
    <t>HK92574</t>
  </si>
  <si>
    <t>12/11 OK</t>
  </si>
  <si>
    <t>HK92562</t>
  </si>
  <si>
    <t>HK92563</t>
  </si>
  <si>
    <t>A1526RR02</t>
  </si>
  <si>
    <t>1/30 OK</t>
  </si>
  <si>
    <t>HK92561</t>
  </si>
  <si>
    <t>HK92560</t>
  </si>
  <si>
    <t>需要用新的花朵，旧款不可用
不需要笑脸说明书</t>
  </si>
  <si>
    <t>HK92565</t>
  </si>
  <si>
    <t>标准唛+TTT＋欧盟信息</t>
  </si>
  <si>
    <t>1.需验货
2.请在纸箱上注明:TOMY欧洲样品
项目:
描述:
数量:</t>
  </si>
  <si>
    <t>HK92567</t>
  </si>
  <si>
    <t>B1326</t>
  </si>
  <si>
    <t>3/16 OK</t>
  </si>
  <si>
    <t>包装物料多备1%，有客供小卡片</t>
  </si>
  <si>
    <t>HK92571</t>
  </si>
  <si>
    <t>3/9 OK</t>
  </si>
  <si>
    <t>3/13 OK</t>
  </si>
  <si>
    <t>HK92570</t>
  </si>
  <si>
    <t>HK92575</t>
  </si>
  <si>
    <t>3/10 OK</t>
  </si>
  <si>
    <t>用新的吊牌做</t>
  </si>
  <si>
    <t>HK92577</t>
  </si>
  <si>
    <t>农场男孩套装</t>
  </si>
  <si>
    <t>3/26 ok</t>
  </si>
  <si>
    <t>HK92589</t>
  </si>
  <si>
    <t>农场女孩套装</t>
  </si>
  <si>
    <t>1:16货柜车</t>
  </si>
  <si>
    <t>3/30 ok</t>
  </si>
  <si>
    <t>3/5 寄出</t>
  </si>
  <si>
    <t>3/4 OK</t>
  </si>
  <si>
    <t>HK92583</t>
  </si>
  <si>
    <t>HK92584</t>
  </si>
  <si>
    <t>HK92587</t>
  </si>
  <si>
    <t>C1326RR02</t>
  </si>
  <si>
    <t>3/26 OK</t>
  </si>
  <si>
    <t>彩盒，吊咭在生产前需要增加FSC LOGO给客确认后才能做大货。</t>
  </si>
  <si>
    <t>3/31 ok</t>
  </si>
  <si>
    <t>转单已上</t>
  </si>
  <si>
    <t>4/2 ok</t>
  </si>
  <si>
    <t>动物车</t>
  </si>
  <si>
    <t>3/36 ok</t>
  </si>
  <si>
    <t>4/10 ok</t>
  </si>
  <si>
    <t>DOLLENCORP LLC</t>
  </si>
  <si>
    <t>Janice</t>
  </si>
  <si>
    <t>JD LNS圆轮拖拉机</t>
  </si>
  <si>
    <t>本厂日期码 C0326RR02
客日期码 DOLGEN44056401C26</t>
  </si>
  <si>
    <t>HK92595</t>
  </si>
  <si>
    <t>HK92596</t>
  </si>
  <si>
    <t>HK92597</t>
  </si>
  <si>
    <t>HK92598</t>
  </si>
  <si>
    <t>HK92599</t>
  </si>
  <si>
    <t>LINKBIZ SAS</t>
  </si>
  <si>
    <t>3/16 ok</t>
  </si>
  <si>
    <t>HK92591</t>
  </si>
  <si>
    <t>HK92592</t>
  </si>
  <si>
    <t>需要用新的花朵，旧款不可用</t>
  </si>
  <si>
    <t>HK92600</t>
  </si>
  <si>
    <t>HK92601</t>
  </si>
  <si>
    <t>HK92602</t>
  </si>
  <si>
    <t>HK92603</t>
  </si>
  <si>
    <t>HK92604</t>
  </si>
  <si>
    <t>HK92605</t>
  </si>
  <si>
    <t>HK92606</t>
  </si>
  <si>
    <t>HK92607</t>
  </si>
  <si>
    <t>HK92608</t>
  </si>
  <si>
    <t>HK92609</t>
  </si>
  <si>
    <t>HK92610</t>
  </si>
  <si>
    <t>HK92611</t>
  </si>
  <si>
    <t>HK92612</t>
  </si>
  <si>
    <t>HK92613</t>
  </si>
  <si>
    <t>HK92614</t>
  </si>
  <si>
    <t>HK92615</t>
  </si>
  <si>
    <t>未寄出</t>
  </si>
  <si>
    <t>布鲁伊家族杯子套装</t>
  </si>
  <si>
    <t>4/7 ok</t>
  </si>
  <si>
    <t>1.需验货
2.请在纸箱上注明:
关于:物品#
的生产样品收件人:TOMY USA DYERSVILLE 办公室
收件人:Fox, Duane
物品:
描述:
数量:</t>
  </si>
  <si>
    <t>HK92582</t>
  </si>
  <si>
    <t>马里奥能量蘑菇密封盒混装</t>
  </si>
  <si>
    <t>HK92616</t>
  </si>
  <si>
    <t>4/13 ok</t>
  </si>
  <si>
    <t>泡泡壶密封盒</t>
  </si>
  <si>
    <t>HK92617</t>
  </si>
  <si>
    <t>HK92618</t>
  </si>
  <si>
    <t>HK92623</t>
  </si>
  <si>
    <t>Leung, Gary</t>
  </si>
  <si>
    <t>旧模</t>
  </si>
  <si>
    <t>HK92624</t>
  </si>
  <si>
    <t>4/28 ok</t>
  </si>
  <si>
    <t>HK92634</t>
  </si>
  <si>
    <t>HK92640</t>
  </si>
  <si>
    <t>HK92636</t>
  </si>
  <si>
    <t>4/27 ok</t>
  </si>
  <si>
    <t>4/24 ok</t>
  </si>
  <si>
    <t>箱唛 ok</t>
  </si>
  <si>
    <t>HK92642</t>
  </si>
  <si>
    <t>5/11 ok</t>
  </si>
  <si>
    <t>HK92643</t>
  </si>
  <si>
    <t>HK92648</t>
  </si>
  <si>
    <t xml:space="preserve">  5/6 OK</t>
  </si>
  <si>
    <t>4/29 寄出</t>
  </si>
  <si>
    <t>HK92649</t>
  </si>
  <si>
    <t>4/16 寄出</t>
  </si>
  <si>
    <t>HK92661</t>
  </si>
  <si>
    <t>2026/3/4周三</t>
  </si>
  <si>
    <t>202605870364</t>
  </si>
  <si>
    <t>布鲁伊家族沐浴玩具</t>
  </si>
  <si>
    <t>2026/6/10周三</t>
  </si>
  <si>
    <t>2026/6/8周一</t>
  </si>
  <si>
    <t>2026/5/25周一</t>
  </si>
  <si>
    <t>HK92666</t>
  </si>
  <si>
    <t>2026/3/26周四</t>
  </si>
  <si>
    <t>使用之前测试结果</t>
  </si>
  <si>
    <t>5/26 寄出</t>
  </si>
  <si>
    <t>HK92666-2</t>
  </si>
  <si>
    <t>5/23 寄出</t>
  </si>
  <si>
    <t>MILLS FLEET FARM</t>
  </si>
  <si>
    <t>6/2三方</t>
  </si>
  <si>
    <t>HK92667</t>
  </si>
  <si>
    <t>TRACTOR SUPPLY CO.</t>
  </si>
  <si>
    <t>5/29第三方验货</t>
  </si>
  <si>
    <t>E1526RR02
客人日期码 784478-04-26</t>
  </si>
  <si>
    <t>有JD贴纸/价格贴纸</t>
  </si>
  <si>
    <t>第三方验货</t>
  </si>
  <si>
    <t>HK92668</t>
  </si>
  <si>
    <t>E1526RR02
 客人日期码784478-04-26</t>
  </si>
  <si>
    <t>5/8 寄出</t>
  </si>
  <si>
    <t>HK92669</t>
  </si>
  <si>
    <t>HK92670</t>
  </si>
  <si>
    <t>5/20ok</t>
  </si>
  <si>
    <t>HK92671</t>
  </si>
  <si>
    <t>2026/3/19周四</t>
  </si>
  <si>
    <t>2026/6/17周三</t>
  </si>
  <si>
    <t>2026/6/15周一</t>
  </si>
  <si>
    <t>2026/6/19周五</t>
  </si>
  <si>
    <t>HK92673-3</t>
  </si>
  <si>
    <t>2026/4/3周五</t>
  </si>
  <si>
    <t>2026/4/16周四</t>
  </si>
  <si>
    <t>HK92673</t>
  </si>
  <si>
    <t>2026/5/4周一</t>
  </si>
  <si>
    <t>2026/5/29周五</t>
  </si>
  <si>
    <t>2026/4/28周二</t>
  </si>
  <si>
    <t>木材运输车</t>
  </si>
  <si>
    <t>6/5 ok</t>
  </si>
  <si>
    <t>2026/4/27周一</t>
  </si>
  <si>
    <t>电镀件预计5/21上齐</t>
  </si>
  <si>
    <t>2026/5/14周四</t>
  </si>
  <si>
    <t>1:16收割机</t>
  </si>
  <si>
    <t>2026/5/7周四</t>
  </si>
  <si>
    <t>2026/5/16周六</t>
  </si>
  <si>
    <t>滑板拖车</t>
  </si>
  <si>
    <t>HK92673-2</t>
  </si>
  <si>
    <t>2026/4/22周三</t>
  </si>
  <si>
    <t>2026/4/23周四</t>
  </si>
  <si>
    <t>HK92675</t>
  </si>
  <si>
    <t>MIDSTATES DISTRIBUTING LLC</t>
  </si>
  <si>
    <t>从202607270046转入</t>
  </si>
  <si>
    <t>HK92676</t>
  </si>
  <si>
    <t>HK92677</t>
  </si>
  <si>
    <t>HK93022</t>
  </si>
  <si>
    <t>2026/4/17周五</t>
  </si>
  <si>
    <t>盲盒公仔(塑胶毛绒)</t>
  </si>
  <si>
    <t>2026/6/3周三</t>
  </si>
  <si>
    <t>2026/6/1周一</t>
  </si>
  <si>
    <t>11寸大毛绒</t>
  </si>
  <si>
    <t>HK92684</t>
  </si>
  <si>
    <t>布鲁伊混装</t>
  </si>
  <si>
    <t>HK92685-2</t>
  </si>
  <si>
    <t>HK92685</t>
  </si>
  <si>
    <t>HK92686</t>
  </si>
  <si>
    <t>HK92687</t>
  </si>
  <si>
    <t>HK92688</t>
  </si>
  <si>
    <t>5/8寄出</t>
  </si>
  <si>
    <t>HK92689</t>
  </si>
  <si>
    <t>HK92690</t>
  </si>
  <si>
    <t>HK92691</t>
  </si>
  <si>
    <t>HK92692</t>
  </si>
  <si>
    <t>HK92693</t>
  </si>
  <si>
    <t>HK92694</t>
  </si>
  <si>
    <t>HK92695</t>
  </si>
  <si>
    <t>HK92696</t>
  </si>
  <si>
    <t>HK92697</t>
  </si>
  <si>
    <t>HK92698</t>
  </si>
  <si>
    <t>HK92699</t>
  </si>
  <si>
    <t>HK92709</t>
  </si>
  <si>
    <t>HK92710</t>
  </si>
  <si>
    <t>HK92711</t>
  </si>
  <si>
    <t>HK92712</t>
  </si>
  <si>
    <t>HK92713</t>
  </si>
  <si>
    <t>HK92714</t>
  </si>
  <si>
    <t>从202607270046转入 
有特殊镭射贴纸</t>
  </si>
  <si>
    <t>HK92715</t>
  </si>
  <si>
    <t>HK92716</t>
  </si>
  <si>
    <t>5/24 寄出</t>
  </si>
  <si>
    <t>BLAIN SUPPLY, INC.</t>
  </si>
  <si>
    <t>从202607170051转入</t>
  </si>
  <si>
    <t>HK92717</t>
  </si>
  <si>
    <t>4/2寄出</t>
  </si>
  <si>
    <t>HK92718</t>
  </si>
  <si>
    <t>HK92719</t>
  </si>
  <si>
    <t>5/27 ok</t>
  </si>
  <si>
    <t>HK92720</t>
  </si>
  <si>
    <t>5/6 ok</t>
  </si>
  <si>
    <t>HK92721</t>
  </si>
  <si>
    <t>HK92722</t>
  </si>
  <si>
    <t>HK92726</t>
  </si>
  <si>
    <t>4/2 寄出</t>
  </si>
  <si>
    <t>HK92727</t>
  </si>
  <si>
    <t>6/15 ok</t>
  </si>
  <si>
    <t>HK92728</t>
  </si>
  <si>
    <t>HK92729</t>
  </si>
  <si>
    <t>SPECTRON BV</t>
  </si>
  <si>
    <t>需要在包装上贴标签，位置在条形码面板上</t>
  </si>
  <si>
    <t>HK92730</t>
  </si>
  <si>
    <t>HK92731</t>
  </si>
  <si>
    <t>HK92732</t>
  </si>
  <si>
    <t>HK92733</t>
  </si>
  <si>
    <t>绿色铲车</t>
  </si>
  <si>
    <t>黄色铲车</t>
  </si>
  <si>
    <t>绿色拖拉机</t>
  </si>
  <si>
    <t>HK92734</t>
  </si>
  <si>
    <t>HK92735</t>
  </si>
  <si>
    <t>红色铲车</t>
  </si>
  <si>
    <t>5/29 ok</t>
  </si>
  <si>
    <t>HK92736</t>
  </si>
  <si>
    <t>HK92637</t>
  </si>
  <si>
    <t>HK92738</t>
  </si>
  <si>
    <t>HK92739</t>
  </si>
  <si>
    <t>HK92740</t>
  </si>
  <si>
    <t>HK93022-3</t>
  </si>
  <si>
    <t>管道马里奥</t>
  </si>
  <si>
    <t>马里奥能量蘑菇吸塑混装</t>
  </si>
  <si>
    <t>HK92741</t>
  </si>
  <si>
    <t>HK92742</t>
  </si>
  <si>
    <t>HK92743</t>
  </si>
  <si>
    <t>HK92744</t>
  </si>
  <si>
    <t>RURAL KING DISTRIBUTING</t>
  </si>
  <si>
    <t>从202607170125转入</t>
  </si>
  <si>
    <t>HK92747</t>
  </si>
  <si>
    <t>HK92745</t>
  </si>
  <si>
    <t>HK92746</t>
  </si>
  <si>
    <t>HK93020</t>
  </si>
  <si>
    <t>HK92748</t>
  </si>
  <si>
    <t>HK92749</t>
  </si>
  <si>
    <t>HK92750</t>
  </si>
  <si>
    <t>宝箱马里奥</t>
  </si>
  <si>
    <t>待定+TTT</t>
  </si>
  <si>
    <t>HK92751</t>
  </si>
  <si>
    <t>HK92752</t>
  </si>
  <si>
    <t>HK92753</t>
  </si>
  <si>
    <t>HK92754</t>
  </si>
  <si>
    <t>HK93039</t>
  </si>
  <si>
    <t>转出1500pcs到po10125937</t>
  </si>
  <si>
    <t>HK92754-2</t>
  </si>
  <si>
    <t>待定+TTT+欧盟信息</t>
  </si>
  <si>
    <t>HK92755</t>
  </si>
  <si>
    <t>HK92757</t>
  </si>
  <si>
    <t>6/26 ok</t>
  </si>
  <si>
    <t>HK92758</t>
  </si>
  <si>
    <t>HK92759</t>
  </si>
  <si>
    <t>HK93001</t>
  </si>
  <si>
    <t>HK93004</t>
  </si>
  <si>
    <t>HK93005</t>
  </si>
  <si>
    <t>HK93006</t>
  </si>
  <si>
    <t>HK93007</t>
  </si>
  <si>
    <t>HK93008</t>
  </si>
  <si>
    <t>HK93009</t>
  </si>
  <si>
    <t>RURAL KING DISTRIBUTING.</t>
  </si>
  <si>
    <t>7/27 预计</t>
  </si>
  <si>
    <t>HK93010</t>
  </si>
  <si>
    <t>HK93011</t>
  </si>
  <si>
    <t>HK93012</t>
  </si>
  <si>
    <t>4851114-99</t>
  </si>
  <si>
    <t>HK93013</t>
  </si>
  <si>
    <t>HK93014</t>
  </si>
  <si>
    <t>HK93015</t>
  </si>
  <si>
    <t>HK93016</t>
  </si>
  <si>
    <t>HK93017</t>
  </si>
  <si>
    <t>HK93018</t>
  </si>
  <si>
    <t>HK93019</t>
  </si>
  <si>
    <t>HK93019-2</t>
  </si>
  <si>
    <t>HK93019-3</t>
  </si>
  <si>
    <t>HK93021</t>
  </si>
  <si>
    <t>从PO10122386转入</t>
  </si>
  <si>
    <t>4/20 寄出</t>
  </si>
  <si>
    <t>HK93022-2</t>
  </si>
  <si>
    <t>HK93022-4</t>
  </si>
  <si>
    <t>从PO10115934转入2000PCS</t>
  </si>
  <si>
    <t>HK93023</t>
  </si>
  <si>
    <t>能量蘑菇</t>
  </si>
  <si>
    <t>7/1 ok</t>
  </si>
  <si>
    <t>HK93024</t>
  </si>
  <si>
    <t>HK93024-2</t>
  </si>
  <si>
    <t>HK93029</t>
  </si>
  <si>
    <t>HK93032</t>
  </si>
  <si>
    <t>HK93033</t>
  </si>
  <si>
    <t>HK93034</t>
  </si>
  <si>
    <t>HK93035</t>
  </si>
  <si>
    <t>PO-000000074</t>
  </si>
  <si>
    <t>HK93046</t>
  </si>
  <si>
    <t>HK93067</t>
  </si>
  <si>
    <t>HK93068</t>
  </si>
  <si>
    <t>HK93069</t>
  </si>
  <si>
    <t>HK93070</t>
  </si>
  <si>
    <t>HK93071</t>
  </si>
  <si>
    <t>M &amp; Z SP. Z.O.O.</t>
  </si>
  <si>
    <t>HK93072</t>
  </si>
  <si>
    <t>HK93074</t>
  </si>
  <si>
    <t>取消日期</t>
  </si>
  <si>
    <t>S250030</t>
  </si>
  <si>
    <t>本厂日期码 C1325RR02
客日期码 DOLGEN41228101D25</t>
  </si>
  <si>
    <t>客箱唛</t>
  </si>
  <si>
    <t>6-5 OK</t>
  </si>
  <si>
    <t>样板单</t>
  </si>
  <si>
    <t>转单</t>
  </si>
  <si>
    <t>TOMY COMPANY, LTD. (TKY-US)</t>
  </si>
  <si>
    <t xml:space="preserve"> PO-00001594</t>
  </si>
  <si>
    <t>转2000PCS到PO10127016     2026.5.30取消2000pcs</t>
  </si>
  <si>
    <r>
      <rPr>
        <b/>
        <sz val="10"/>
        <rFont val="宋体"/>
        <charset val="134"/>
      </rPr>
      <t>货号</t>
    </r>
  </si>
  <si>
    <r>
      <rPr>
        <b/>
        <sz val="10"/>
        <rFont val="宋体"/>
        <charset val="134"/>
      </rPr>
      <t>接单</t>
    </r>
  </si>
  <si>
    <r>
      <rPr>
        <b/>
        <sz val="10"/>
        <rFont val="Times New Roman"/>
        <charset val="134"/>
      </rPr>
      <t>KIK</t>
    </r>
    <r>
      <rPr>
        <b/>
        <sz val="10"/>
        <rFont val="宋体"/>
        <charset val="134"/>
      </rPr>
      <t>总排期</t>
    </r>
  </si>
  <si>
    <r>
      <rPr>
        <b/>
        <sz val="10"/>
        <rFont val="Times New Roman"/>
        <charset val="134"/>
      </rPr>
      <t>RRM</t>
    </r>
    <r>
      <rPr>
        <b/>
        <sz val="10"/>
        <rFont val="宋体"/>
        <charset val="134"/>
      </rPr>
      <t>总排期</t>
    </r>
    <r>
      <rPr>
        <b/>
        <sz val="10"/>
        <rFont val="Times New Roman"/>
        <charset val="134"/>
      </rPr>
      <t xml:space="preserve">
</t>
    </r>
  </si>
  <si>
    <r>
      <rPr>
        <b/>
        <sz val="10"/>
        <rFont val="Times New Roman"/>
        <charset val="134"/>
      </rPr>
      <t>KIK</t>
    </r>
    <r>
      <rPr>
        <b/>
        <sz val="10"/>
        <rFont val="宋体"/>
        <charset val="134"/>
      </rPr>
      <t>已走货</t>
    </r>
  </si>
  <si>
    <r>
      <rPr>
        <b/>
        <sz val="10"/>
        <rFont val="Times New Roman"/>
        <charset val="134"/>
      </rPr>
      <t>RRM</t>
    </r>
    <r>
      <rPr>
        <b/>
        <sz val="10"/>
        <rFont val="宋体"/>
        <charset val="134"/>
      </rPr>
      <t>已走货</t>
    </r>
  </si>
  <si>
    <t>相差</t>
  </si>
  <si>
    <r>
      <rPr>
        <sz val="10"/>
        <rFont val="宋体"/>
        <charset val="134"/>
      </rPr>
      <t>马里奥身子搪胶件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帽子</t>
    </r>
  </si>
  <si>
    <r>
      <rPr>
        <b/>
        <sz val="10"/>
        <color rgb="FFFF0000"/>
        <rFont val="汉仪书宋二KW"/>
        <charset val="134"/>
      </rPr>
      <t>合计：</t>
    </r>
  </si>
  <si>
    <t>客供日期</t>
  </si>
  <si>
    <t>客供数量</t>
  </si>
  <si>
    <t>发贴纸日期</t>
  </si>
  <si>
    <t>收货人</t>
  </si>
  <si>
    <t>剩余数量</t>
  </si>
  <si>
    <t>柯贤龙</t>
  </si>
  <si>
    <t>跟柜</t>
  </si>
  <si>
    <t>10980pcs</t>
  </si>
  <si>
    <t>E73622A塞柜</t>
  </si>
  <si>
    <t>6580pcs</t>
  </si>
  <si>
    <t>E73635A塞柜</t>
  </si>
  <si>
    <t>5000pcs</t>
  </si>
  <si>
    <t>日本客供说明书塞柜</t>
  </si>
  <si>
    <t>2卷</t>
  </si>
  <si>
    <t>E73622A、E73635价钱贴纸快递</t>
  </si>
  <si>
    <t>6000pcs</t>
  </si>
  <si>
    <t>47716A贴纸，</t>
  </si>
  <si>
    <t>24000pcs</t>
  </si>
  <si>
    <t>JD贴纸，</t>
  </si>
  <si>
    <t>陈东锋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</si>
</sst>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0.00_ "/>
    <numFmt numFmtId="178" formatCode="0_ "/>
    <numFmt numFmtId="179" formatCode="yyyy/m/d&quot;周&quot;aaa"/>
    <numFmt numFmtId="180" formatCode="0.000_ ;[Red]\-0.000\ "/>
    <numFmt numFmtId="181" formatCode="0.00_ ;[Red]\-0.00\ "/>
    <numFmt numFmtId="182" formatCode="m&quot;月&quot;d&quot;日&quot;;@"/>
    <numFmt numFmtId="183" formatCode="m&quot;月&quot;d&quot;日&quot;\(aaa\)"/>
    <numFmt numFmtId="184" formatCode="0.000_ "/>
    <numFmt numFmtId="185" formatCode="yyyy/m/d;@"/>
    <numFmt numFmtId="186" formatCode="0_ ;[Red]\-0\ "/>
    <numFmt numFmtId="187" formatCode="yyyy&quot;年&quot;m&quot;月&quot;d&quot;日&quot;;@"/>
  </numFmts>
  <fonts count="77">
    <font>
      <sz val="12"/>
      <name val="宋体"/>
      <charset val="134"/>
    </font>
    <font>
      <sz val="12"/>
      <color rgb="FF000000"/>
      <name val="宋体"/>
      <charset val="134"/>
    </font>
    <font>
      <sz val="9"/>
      <color theme="1"/>
      <name val="宋体"/>
      <charset val="134"/>
      <scheme val="major"/>
    </font>
    <font>
      <sz val="9"/>
      <color rgb="FF000000"/>
      <name val="宋体"/>
      <charset val="134"/>
    </font>
    <font>
      <sz val="9"/>
      <name val="宋体"/>
      <charset val="134"/>
      <scheme val="major"/>
    </font>
    <font>
      <b/>
      <sz val="10"/>
      <color rgb="FFFF0000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sz val="9"/>
      <color rgb="FFFF0000"/>
      <name val="宋体"/>
      <charset val="134"/>
      <scheme val="major"/>
    </font>
    <font>
      <b/>
      <sz val="9"/>
      <color rgb="FFFF0000"/>
      <name val="Times New Roman"/>
      <charset val="134"/>
    </font>
    <font>
      <sz val="9"/>
      <name val="宋体"/>
      <charset val="134"/>
    </font>
    <font>
      <sz val="9"/>
      <color rgb="FFFF0000"/>
      <name val="宋体"/>
      <charset val="134"/>
    </font>
    <font>
      <b/>
      <sz val="9"/>
      <color rgb="FFFF0000"/>
      <name val="宋体"/>
      <charset val="134"/>
      <scheme val="major"/>
    </font>
    <font>
      <sz val="12"/>
      <color rgb="FFFF0000"/>
      <name val="宋体"/>
      <charset val="134"/>
    </font>
    <font>
      <sz val="9"/>
      <color rgb="FFFF00FF"/>
      <name val="宋体"/>
      <charset val="134"/>
      <scheme val="major"/>
    </font>
    <font>
      <sz val="9"/>
      <color rgb="FFE82EE6"/>
      <name val="宋体"/>
      <charset val="134"/>
      <scheme val="major"/>
    </font>
    <font>
      <b/>
      <sz val="9"/>
      <color rgb="FFFF00FF"/>
      <name val="宋体"/>
      <charset val="134"/>
      <scheme val="major"/>
    </font>
    <font>
      <sz val="12"/>
      <color rgb="FFFF00FF"/>
      <name val="宋体"/>
      <charset val="134"/>
    </font>
    <font>
      <sz val="6"/>
      <color rgb="FFFF00FF"/>
      <name val="宋体"/>
      <charset val="134"/>
      <scheme val="major"/>
    </font>
    <font>
      <b/>
      <sz val="9"/>
      <color rgb="FFFF0000"/>
      <name val="宋体"/>
      <charset val="134"/>
    </font>
    <font>
      <sz val="9"/>
      <color rgb="FFFF00FF"/>
      <name val="宋体"/>
      <charset val="134"/>
    </font>
    <font>
      <b/>
      <sz val="9"/>
      <color rgb="FFFF00FF"/>
      <name val="宋体"/>
      <charset val="134"/>
    </font>
    <font>
      <sz val="11"/>
      <color theme="1"/>
      <name val="宋体"/>
      <charset val="134"/>
      <scheme val="minor"/>
    </font>
    <font>
      <b/>
      <sz val="18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1"/>
      <color rgb="FFDAE3F3"/>
      <name val="宋体"/>
      <charset val="134"/>
      <scheme val="minor"/>
    </font>
    <font>
      <sz val="9"/>
      <color rgb="FF417FF9"/>
      <name val="宋体"/>
      <charset val="134"/>
      <scheme val="major"/>
    </font>
    <font>
      <sz val="9"/>
      <color rgb="FF000000"/>
      <name val="宋体"/>
      <charset val="134"/>
      <scheme val="major"/>
    </font>
    <font>
      <sz val="9"/>
      <color rgb="FF417FF9"/>
      <name val="宋体"/>
      <charset val="134"/>
    </font>
    <font>
      <b/>
      <sz val="9"/>
      <color rgb="FF417FF9"/>
      <name val="宋体"/>
      <charset val="134"/>
      <scheme val="major"/>
    </font>
    <font>
      <b/>
      <sz val="9"/>
      <color rgb="FF000000"/>
      <name val="宋体"/>
      <charset val="134"/>
      <scheme val="major"/>
    </font>
    <font>
      <b/>
      <sz val="9"/>
      <name val="宋体"/>
      <charset val="134"/>
      <scheme val="major"/>
    </font>
    <font>
      <b/>
      <sz val="9"/>
      <color rgb="FF000000"/>
      <name val="Helvetica-Bold"/>
      <charset val="134"/>
    </font>
    <font>
      <sz val="12"/>
      <color rgb="FF417FF9"/>
      <name val="宋体"/>
      <charset val="134"/>
    </font>
    <font>
      <strike/>
      <sz val="9"/>
      <color rgb="FFFF0000"/>
      <name val="宋体"/>
      <charset val="134"/>
    </font>
    <font>
      <strike/>
      <sz val="9"/>
      <color rgb="FFFF0000"/>
      <name val="宋体"/>
      <charset val="134"/>
      <scheme val="major"/>
    </font>
    <font>
      <b/>
      <sz val="9"/>
      <color rgb="FF0000FF"/>
      <name val="Times New Roman"/>
      <charset val="134"/>
    </font>
    <font>
      <b/>
      <sz val="18"/>
      <name val="黑体"/>
      <charset val="134"/>
    </font>
    <font>
      <sz val="12"/>
      <name val="黑体"/>
      <charset val="134"/>
    </font>
    <font>
      <sz val="9"/>
      <color rgb="FF0000FF"/>
      <name val="宋体"/>
      <charset val="134"/>
      <scheme val="major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name val="Helv"/>
      <charset val="134"/>
    </font>
    <font>
      <sz val="12"/>
      <name val="Times New Roman"/>
      <charset val="134"/>
    </font>
    <font>
      <sz val="10"/>
      <name val="Helv"/>
      <charset val="0"/>
    </font>
    <font>
      <sz val="10"/>
      <color indexed="8"/>
      <name val="Arial"/>
      <charset val="134"/>
    </font>
    <font>
      <sz val="10"/>
      <name val="Arial"/>
      <charset val="0"/>
    </font>
    <font>
      <b/>
      <sz val="10"/>
      <name val="宋体"/>
      <charset val="134"/>
    </font>
    <font>
      <sz val="10"/>
      <name val="宋体"/>
      <charset val="134"/>
    </font>
    <font>
      <b/>
      <sz val="10"/>
      <color rgb="FFFF0000"/>
      <name val="汉仪书宋二KW"/>
      <charset val="134"/>
    </font>
    <font>
      <b/>
      <sz val="9"/>
      <color rgb="FF0000FF"/>
      <name val="宋体"/>
      <charset val="134"/>
    </font>
    <font>
      <sz val="9"/>
      <name val="宋体"/>
      <charset val="0"/>
    </font>
    <font>
      <b/>
      <sz val="9"/>
      <name val="宋体"/>
      <charset val="0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2C528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4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B8D4E8"/>
      </left>
      <right style="thin">
        <color rgb="FFB8D4E8"/>
      </right>
      <top style="thin">
        <color rgb="FFB8D4E8"/>
      </top>
      <bottom style="thin">
        <color rgb="FFB8D4E8"/>
      </bottom>
      <diagonal/>
    </border>
    <border>
      <left style="thin">
        <color rgb="FFB8D4E8"/>
      </left>
      <right/>
      <top style="thin">
        <color rgb="FFB8D4E8"/>
      </top>
      <bottom style="thin">
        <color rgb="FFB8D4E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0">
    <xf numFmtId="0" fontId="0" fillId="0" borderId="0"/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2" fillId="9" borderId="13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0" borderId="16" applyNumberFormat="0" applyAlignment="0" applyProtection="0">
      <alignment vertical="center"/>
    </xf>
    <xf numFmtId="0" fontId="53" fillId="11" borderId="17" applyNumberFormat="0" applyAlignment="0" applyProtection="0">
      <alignment vertical="center"/>
    </xf>
    <xf numFmtId="0" fontId="54" fillId="11" borderId="16" applyNumberFormat="0" applyAlignment="0" applyProtection="0">
      <alignment vertical="center"/>
    </xf>
    <xf numFmtId="0" fontId="55" fillId="12" borderId="18" applyNumberFormat="0" applyAlignment="0" applyProtection="0">
      <alignment vertical="center"/>
    </xf>
    <xf numFmtId="0" fontId="56" fillId="0" borderId="19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176" fontId="0" fillId="0" borderId="0"/>
    <xf numFmtId="0" fontId="0" fillId="0" borderId="0" applyProtection="0"/>
    <xf numFmtId="0" fontId="22" fillId="0" borderId="0">
      <alignment vertical="center"/>
    </xf>
    <xf numFmtId="0" fontId="63" fillId="0" borderId="0"/>
    <xf numFmtId="0" fontId="22" fillId="0" borderId="0">
      <alignment vertical="center"/>
    </xf>
    <xf numFmtId="0" fontId="64" fillId="0" borderId="0"/>
    <xf numFmtId="0" fontId="0" fillId="0" borderId="0" applyProtection="0"/>
    <xf numFmtId="0" fontId="0" fillId="0" borderId="0"/>
    <xf numFmtId="176" fontId="0" fillId="0" borderId="0"/>
    <xf numFmtId="176" fontId="0" fillId="0" borderId="0"/>
    <xf numFmtId="0" fontId="0" fillId="0" borderId="0"/>
    <xf numFmtId="0" fontId="65" fillId="0" borderId="0"/>
    <xf numFmtId="0" fontId="0" fillId="0" borderId="0"/>
    <xf numFmtId="176" fontId="0" fillId="0" borderId="0"/>
    <xf numFmtId="0" fontId="0" fillId="0" borderId="0" applyProtection="0"/>
    <xf numFmtId="0" fontId="0" fillId="0" borderId="0" applyProtection="0"/>
    <xf numFmtId="176" fontId="0" fillId="0" borderId="0"/>
    <xf numFmtId="0" fontId="0" fillId="0" borderId="0" applyProtection="0"/>
    <xf numFmtId="0" fontId="0" fillId="0" borderId="0" applyProtection="0"/>
    <xf numFmtId="0" fontId="0" fillId="0" borderId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66" fillId="0" borderId="0"/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7" fillId="0" borderId="0">
      <alignment vertical="top"/>
    </xf>
    <xf numFmtId="0" fontId="0" fillId="0" borderId="0"/>
    <xf numFmtId="0" fontId="68" fillId="0" borderId="0"/>
    <xf numFmtId="0" fontId="68" fillId="0" borderId="0"/>
  </cellStyleXfs>
  <cellXfs count="547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7" fontId="4" fillId="0" borderId="0" xfId="0" applyNumberFormat="1" applyFont="1" applyFill="1" applyBorder="1" applyAlignment="1" applyProtection="1">
      <alignment horizontal="center" vertical="center" wrapText="1"/>
    </xf>
    <xf numFmtId="58" fontId="2" fillId="0" borderId="0" xfId="0" applyNumberFormat="1" applyFont="1" applyFill="1" applyAlignment="1">
      <alignment horizontal="center" vertical="center"/>
    </xf>
    <xf numFmtId="58" fontId="3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58" fontId="3" fillId="0" borderId="0" xfId="0" applyNumberFormat="1" applyFont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79" fontId="4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 wrapText="1"/>
    </xf>
    <xf numFmtId="178" fontId="4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/>
    </xf>
    <xf numFmtId="180" fontId="4" fillId="0" borderId="0" xfId="0" applyNumberFormat="1" applyFont="1" applyFill="1" applyBorder="1" applyAlignment="1" applyProtection="1">
      <alignment horizontal="center" vertical="center" wrapText="1"/>
    </xf>
    <xf numFmtId="181" fontId="4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 wrapText="1" shrinkToFit="1"/>
    </xf>
    <xf numFmtId="182" fontId="4" fillId="0" borderId="0" xfId="0" applyNumberFormat="1" applyFont="1" applyFill="1" applyBorder="1" applyAlignment="1" applyProtection="1">
      <alignment horizontal="center" vertical="center" wrapText="1"/>
    </xf>
    <xf numFmtId="179" fontId="10" fillId="0" borderId="1" xfId="0" applyNumberFormat="1" applyFont="1" applyFill="1" applyBorder="1" applyAlignment="1" applyProtection="1">
      <alignment horizontal="center" vertical="center" wrapText="1" shrinkToFit="1"/>
    </xf>
    <xf numFmtId="179" fontId="11" fillId="0" borderId="1" xfId="0" applyNumberFormat="1" applyFont="1" applyFill="1" applyBorder="1" applyAlignment="1" applyProtection="1">
      <alignment horizontal="center" vertical="center" wrapText="1" shrinkToFit="1"/>
    </xf>
    <xf numFmtId="179" fontId="4" fillId="0" borderId="1" xfId="0" applyNumberFormat="1" applyFont="1" applyFill="1" applyBorder="1" applyAlignment="1" applyProtection="1">
      <alignment horizontal="center" vertical="center" wrapText="1" shrinkToFit="1"/>
    </xf>
    <xf numFmtId="179" fontId="4" fillId="0" borderId="1" xfId="0" applyNumberFormat="1" applyFont="1" applyFill="1" applyBorder="1" applyAlignment="1">
      <alignment horizontal="center" vertical="center" wrapText="1" shrinkToFit="1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 shrinkToFit="1"/>
    </xf>
    <xf numFmtId="0" fontId="4" fillId="0" borderId="1" xfId="0" applyFont="1" applyFill="1" applyBorder="1" applyAlignment="1" applyProtection="1">
      <alignment horizontal="center" vertical="center" wrapText="1" shrinkToFi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/>
    </xf>
    <xf numFmtId="181" fontId="4" fillId="0" borderId="1" xfId="0" applyNumberFormat="1" applyFont="1" applyFill="1" applyBorder="1" applyAlignment="1" applyProtection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 vertical="center" wrapText="1" shrinkToFit="1"/>
    </xf>
    <xf numFmtId="0" fontId="4" fillId="0" borderId="1" xfId="0" applyFont="1" applyFill="1" applyBorder="1" applyAlignment="1" applyProtection="1">
      <alignment horizontal="center" vertical="center"/>
    </xf>
    <xf numFmtId="182" fontId="10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9" fontId="10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9" fontId="11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>
      <alignment horizontal="center" vertical="center"/>
    </xf>
    <xf numFmtId="179" fontId="8" fillId="0" borderId="1" xfId="0" applyNumberFormat="1" applyFont="1" applyFill="1" applyBorder="1" applyAlignment="1" applyProtection="1">
      <alignment horizontal="center" vertical="center" wrapText="1"/>
    </xf>
    <xf numFmtId="183" fontId="8" fillId="0" borderId="1" xfId="0" applyNumberFormat="1" applyFont="1" applyFill="1" applyBorder="1" applyAlignment="1" applyProtection="1">
      <alignment horizontal="center" vertical="center" wrapText="1"/>
    </xf>
    <xf numFmtId="178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 shrinkToFit="1"/>
    </xf>
    <xf numFmtId="0" fontId="8" fillId="0" borderId="1" xfId="0" applyNumberFormat="1" applyFont="1" applyFill="1" applyBorder="1" applyAlignment="1" applyProtection="1">
      <alignment horizontal="center" vertical="center" wrapText="1" shrinkToFi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180" fontId="8" fillId="0" borderId="1" xfId="0" applyNumberFormat="1" applyFont="1" applyFill="1" applyBorder="1" applyAlignment="1" applyProtection="1">
      <alignment horizontal="center" vertical="center" wrapText="1"/>
    </xf>
    <xf numFmtId="181" fontId="8" fillId="0" borderId="1" xfId="0" applyNumberFormat="1" applyFont="1" applyFill="1" applyBorder="1" applyAlignment="1" applyProtection="1">
      <alignment horizontal="center" vertical="center" wrapText="1"/>
    </xf>
    <xf numFmtId="58" fontId="12" fillId="0" borderId="1" xfId="0" applyNumberFormat="1" applyFont="1" applyFill="1" applyBorder="1" applyAlignment="1" applyProtection="1">
      <alignment horizontal="center" vertical="center"/>
    </xf>
    <xf numFmtId="179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>
      <alignment horizontal="center" vertical="center"/>
    </xf>
    <xf numFmtId="0" fontId="13" fillId="0" borderId="0" xfId="0" applyFont="1" applyFill="1"/>
    <xf numFmtId="184" fontId="8" fillId="0" borderId="1" xfId="0" applyNumberFormat="1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/>
    </xf>
    <xf numFmtId="179" fontId="8" fillId="0" borderId="1" xfId="0" applyNumberFormat="1" applyFont="1" applyFill="1" applyBorder="1" applyAlignment="1" applyProtection="1">
      <alignment horizontal="center" vertical="center" wrapText="1" shrinkToFit="1"/>
    </xf>
    <xf numFmtId="0" fontId="9" fillId="0" borderId="1" xfId="0" applyFont="1" applyFill="1" applyBorder="1" applyAlignment="1" applyProtection="1">
      <alignment horizontal="center" vertical="center"/>
    </xf>
    <xf numFmtId="182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 applyProtection="1">
      <alignment horizontal="center" vertical="center" wrapText="1"/>
    </xf>
    <xf numFmtId="0" fontId="8" fillId="3" borderId="1" xfId="0" applyNumberFormat="1" applyFont="1" applyFill="1" applyBorder="1" applyAlignment="1" applyProtection="1">
      <alignment horizontal="center" vertical="center" wrapText="1" shrinkToFit="1"/>
    </xf>
    <xf numFmtId="0" fontId="8" fillId="4" borderId="1" xfId="0" applyNumberFormat="1" applyFont="1" applyFill="1" applyBorder="1" applyAlignment="1" applyProtection="1">
      <alignment horizontal="center" vertical="center" wrapText="1" shrinkToFit="1"/>
    </xf>
    <xf numFmtId="185" fontId="8" fillId="0" borderId="1" xfId="0" applyNumberFormat="1" applyFont="1" applyFill="1" applyBorder="1" applyAlignment="1" applyProtection="1">
      <alignment horizontal="center" vertical="center" wrapText="1"/>
    </xf>
    <xf numFmtId="58" fontId="8" fillId="0" borderId="1" xfId="0" applyNumberFormat="1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 applyProtection="1">
      <alignment horizontal="center" vertical="center" wrapText="1" shrinkToFit="1"/>
    </xf>
    <xf numFmtId="179" fontId="11" fillId="0" borderId="1" xfId="0" applyNumberFormat="1" applyFont="1" applyFill="1" applyBorder="1" applyAlignment="1" applyProtection="1">
      <alignment horizontal="center" vertical="center" wrapText="1"/>
    </xf>
    <xf numFmtId="183" fontId="11" fillId="0" borderId="1" xfId="0" applyNumberFormat="1" applyFont="1" applyFill="1" applyBorder="1" applyAlignment="1" applyProtection="1">
      <alignment horizontal="center" vertical="center" wrapText="1"/>
    </xf>
    <xf numFmtId="178" fontId="11" fillId="0" borderId="1" xfId="0" applyNumberFormat="1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 wrapText="1"/>
    </xf>
    <xf numFmtId="179" fontId="8" fillId="0" borderId="1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 applyProtection="1">
      <alignment horizontal="center" vertical="center" wrapText="1"/>
    </xf>
    <xf numFmtId="179" fontId="11" fillId="0" borderId="2" xfId="0" applyNumberFormat="1" applyFont="1" applyFill="1" applyBorder="1" applyAlignment="1" applyProtection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179" fontId="8" fillId="0" borderId="2" xfId="0" applyNumberFormat="1" applyFont="1" applyFill="1" applyBorder="1" applyAlignment="1" applyProtection="1">
      <alignment horizontal="center" vertical="center" wrapText="1"/>
    </xf>
    <xf numFmtId="183" fontId="8" fillId="0" borderId="2" xfId="0" applyNumberFormat="1" applyFont="1" applyFill="1" applyBorder="1" applyAlignment="1" applyProtection="1">
      <alignment horizontal="center" vertical="center" wrapText="1"/>
    </xf>
    <xf numFmtId="178" fontId="8" fillId="0" borderId="2" xfId="0" applyNumberFormat="1" applyFont="1" applyFill="1" applyBorder="1" applyAlignment="1" applyProtection="1">
      <alignment horizontal="center" vertical="center" wrapText="1"/>
    </xf>
    <xf numFmtId="0" fontId="8" fillId="0" borderId="2" xfId="0" applyFont="1" applyFill="1" applyBorder="1" applyAlignment="1" applyProtection="1">
      <alignment horizontal="center" vertical="center" wrapText="1" shrinkToFit="1"/>
    </xf>
    <xf numFmtId="3" fontId="8" fillId="0" borderId="2" xfId="0" applyNumberFormat="1" applyFont="1" applyFill="1" applyBorder="1" applyAlignment="1" applyProtection="1">
      <alignment horizontal="center" vertical="center" wrapText="1" shrinkToFit="1"/>
    </xf>
    <xf numFmtId="0" fontId="8" fillId="0" borderId="2" xfId="0" applyNumberFormat="1" applyFont="1" applyFill="1" applyBorder="1" applyAlignment="1" applyProtection="1">
      <alignment horizontal="center" vertical="center" wrapText="1"/>
    </xf>
    <xf numFmtId="184" fontId="8" fillId="0" borderId="2" xfId="0" applyNumberFormat="1" applyFont="1" applyFill="1" applyBorder="1" applyAlignment="1" applyProtection="1">
      <alignment horizontal="center" vertical="center" wrapText="1"/>
    </xf>
    <xf numFmtId="181" fontId="8" fillId="0" borderId="2" xfId="0" applyNumberFormat="1" applyFont="1" applyFill="1" applyBorder="1" applyAlignment="1" applyProtection="1">
      <alignment horizontal="center" vertical="center" wrapText="1"/>
    </xf>
    <xf numFmtId="0" fontId="12" fillId="0" borderId="2" xfId="0" applyFont="1" applyFill="1" applyBorder="1" applyAlignment="1" applyProtection="1">
      <alignment horizontal="center" vertical="center"/>
    </xf>
    <xf numFmtId="179" fontId="8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2" xfId="0" applyNumberFormat="1" applyFont="1" applyFill="1" applyBorder="1" applyAlignment="1" applyProtection="1">
      <alignment horizontal="center" vertical="center" wrapText="1" shrinkToFit="1"/>
    </xf>
    <xf numFmtId="0" fontId="11" fillId="0" borderId="2" xfId="0" applyNumberFormat="1" applyFont="1" applyFill="1" applyBorder="1" applyAlignment="1" applyProtection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/>
    <xf numFmtId="184" fontId="4" fillId="0" borderId="1" xfId="0" applyNumberFormat="1" applyFont="1" applyFill="1" applyBorder="1" applyAlignment="1" applyProtection="1">
      <alignment horizontal="center" vertical="center" wrapText="1"/>
    </xf>
    <xf numFmtId="179" fontId="14" fillId="0" borderId="1" xfId="0" applyNumberFormat="1" applyFont="1" applyFill="1" applyBorder="1" applyAlignment="1" applyProtection="1">
      <alignment horizontal="center" vertical="center" wrapText="1"/>
    </xf>
    <xf numFmtId="179" fontId="15" fillId="0" borderId="1" xfId="0" applyNumberFormat="1" applyFont="1" applyFill="1" applyBorder="1" applyAlignment="1" applyProtection="1">
      <alignment horizontal="center" vertical="center" wrapText="1"/>
    </xf>
    <xf numFmtId="183" fontId="14" fillId="0" borderId="1" xfId="0" applyNumberFormat="1" applyFont="1" applyFill="1" applyBorder="1" applyAlignment="1" applyProtection="1">
      <alignment horizontal="center" vertical="center" wrapText="1"/>
    </xf>
    <xf numFmtId="178" fontId="14" fillId="0" borderId="1" xfId="0" applyNumberFormat="1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 applyProtection="1">
      <alignment horizontal="center" vertical="center" wrapText="1" shrinkToFit="1"/>
    </xf>
    <xf numFmtId="0" fontId="14" fillId="0" borderId="1" xfId="0" applyNumberFormat="1" applyFont="1" applyFill="1" applyBorder="1" applyAlignment="1" applyProtection="1">
      <alignment horizontal="center" vertical="center" wrapText="1" shrinkToFit="1"/>
    </xf>
    <xf numFmtId="0" fontId="14" fillId="0" borderId="1" xfId="0" applyNumberFormat="1" applyFont="1" applyFill="1" applyBorder="1" applyAlignment="1" applyProtection="1">
      <alignment horizontal="center" vertical="center" wrapText="1"/>
    </xf>
    <xf numFmtId="0" fontId="15" fillId="0" borderId="1" xfId="0" applyFont="1" applyFill="1" applyBorder="1" applyAlignment="1" applyProtection="1">
      <alignment horizontal="center" vertical="center" wrapText="1"/>
    </xf>
    <xf numFmtId="184" fontId="14" fillId="0" borderId="1" xfId="0" applyNumberFormat="1" applyFont="1" applyFill="1" applyBorder="1" applyAlignment="1" applyProtection="1">
      <alignment horizontal="center" vertical="center" wrapText="1"/>
    </xf>
    <xf numFmtId="181" fontId="14" fillId="0" borderId="1" xfId="0" applyNumberFormat="1" applyFont="1" applyFill="1" applyBorder="1" applyAlignment="1" applyProtection="1">
      <alignment horizontal="center" vertical="center" wrapText="1"/>
    </xf>
    <xf numFmtId="0" fontId="16" fillId="0" borderId="1" xfId="0" applyFont="1" applyFill="1" applyBorder="1" applyAlignment="1" applyProtection="1">
      <alignment horizontal="center" vertical="center"/>
    </xf>
    <xf numFmtId="179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Fill="1" applyBorder="1"/>
    <xf numFmtId="179" fontId="4" fillId="0" borderId="1" xfId="0" applyNumberFormat="1" applyFont="1" applyFill="1" applyBorder="1" applyAlignment="1" applyProtection="1">
      <alignment horizontal="center" vertical="center" wrapText="1"/>
    </xf>
    <xf numFmtId="183" fontId="4" fillId="0" borderId="1" xfId="0" applyNumberFormat="1" applyFont="1" applyFill="1" applyBorder="1" applyAlignment="1" applyProtection="1">
      <alignment horizontal="center" vertical="center" wrapText="1"/>
    </xf>
    <xf numFmtId="178" fontId="4" fillId="0" borderId="1" xfId="0" applyNumberFormat="1" applyFont="1" applyFill="1" applyBorder="1" applyAlignment="1" applyProtection="1">
      <alignment horizontal="center" vertical="center" wrapText="1"/>
    </xf>
    <xf numFmtId="180" fontId="4" fillId="0" borderId="1" xfId="0" applyNumberFormat="1" applyFont="1" applyFill="1" applyBorder="1" applyAlignment="1" applyProtection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179" fontId="4" fillId="0" borderId="1" xfId="0" applyNumberFormat="1" applyFont="1" applyFill="1" applyBorder="1" applyAlignment="1" applyProtection="1">
      <alignment horizontal="center" vertical="center"/>
    </xf>
    <xf numFmtId="0" fontId="0" fillId="0" borderId="1" xfId="0" applyFont="1" applyFill="1" applyBorder="1"/>
    <xf numFmtId="181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/>
    </xf>
    <xf numFmtId="0" fontId="17" fillId="0" borderId="0" xfId="0" applyFont="1"/>
    <xf numFmtId="0" fontId="17" fillId="0" borderId="0" xfId="0" applyFont="1" applyFill="1"/>
    <xf numFmtId="180" fontId="1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Border="1"/>
    <xf numFmtId="0" fontId="18" fillId="0" borderId="1" xfId="0" applyNumberFormat="1" applyFont="1" applyFill="1" applyBorder="1" applyAlignment="1" applyProtection="1">
      <alignment horizontal="center" vertical="center" wrapText="1"/>
    </xf>
    <xf numFmtId="0" fontId="14" fillId="0" borderId="1" xfId="0" applyNumberFormat="1" applyFont="1" applyFill="1" applyBorder="1" applyAlignment="1" applyProtection="1">
      <alignment horizontal="left" vertical="center" wrapText="1"/>
    </xf>
    <xf numFmtId="179" fontId="14" fillId="0" borderId="1" xfId="0" applyNumberFormat="1" applyFont="1" applyFill="1" applyBorder="1" applyAlignment="1" applyProtection="1">
      <alignment horizontal="center" vertical="center" wrapText="1" shrinkToFit="1"/>
    </xf>
    <xf numFmtId="58" fontId="14" fillId="0" borderId="1" xfId="0" applyNumberFormat="1" applyFont="1" applyFill="1" applyBorder="1" applyAlignment="1" applyProtection="1">
      <alignment horizontal="center" vertical="center" wrapText="1"/>
    </xf>
    <xf numFmtId="0" fontId="14" fillId="0" borderId="0" xfId="0" applyNumberFormat="1" applyFont="1" applyFill="1" applyBorder="1" applyAlignment="1" applyProtection="1">
      <alignment horizontal="center" vertical="center" wrapText="1"/>
    </xf>
    <xf numFmtId="185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0" applyNumberFormat="1" applyFont="1" applyFill="1" applyAlignment="1" applyProtection="1">
      <alignment horizontal="center" vertical="center" wrapText="1"/>
    </xf>
    <xf numFmtId="0" fontId="14" fillId="3" borderId="1" xfId="0" applyNumberFormat="1" applyFont="1" applyFill="1" applyBorder="1" applyAlignment="1" applyProtection="1">
      <alignment horizontal="center" vertical="center" wrapText="1" shrinkToFit="1"/>
    </xf>
    <xf numFmtId="179" fontId="14" fillId="3" borderId="1" xfId="0" applyNumberFormat="1" applyFont="1" applyFill="1" applyBorder="1" applyAlignment="1" applyProtection="1">
      <alignment horizontal="center" vertical="center" wrapText="1"/>
    </xf>
    <xf numFmtId="3" fontId="14" fillId="0" borderId="1" xfId="0" applyNumberFormat="1" applyFont="1" applyFill="1" applyBorder="1" applyAlignment="1" applyProtection="1">
      <alignment horizontal="center" vertical="center" wrapText="1" shrinkToFit="1"/>
    </xf>
    <xf numFmtId="0" fontId="14" fillId="2" borderId="1" xfId="0" applyNumberFormat="1" applyFont="1" applyFill="1" applyBorder="1" applyAlignment="1" applyProtection="1">
      <alignment horizontal="center" vertical="center" wrapText="1" shrinkToFit="1"/>
    </xf>
    <xf numFmtId="179" fontId="14" fillId="2" borderId="1" xfId="0" applyNumberFormat="1" applyFont="1" applyFill="1" applyBorder="1" applyAlignment="1" applyProtection="1">
      <alignment horizontal="center" vertical="center" wrapText="1"/>
    </xf>
    <xf numFmtId="179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1" xfId="0" applyFont="1" applyFill="1" applyBorder="1" applyAlignment="1" applyProtection="1">
      <alignment horizontal="center" vertical="center"/>
    </xf>
    <xf numFmtId="179" fontId="14" fillId="0" borderId="0" xfId="0" applyNumberFormat="1" applyFont="1" applyFill="1" applyBorder="1" applyAlignment="1" applyProtection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179" fontId="20" fillId="0" borderId="1" xfId="0" applyNumberFormat="1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4" fillId="0" borderId="3" xfId="0" applyNumberFormat="1" applyFont="1" applyFill="1" applyBorder="1" applyAlignment="1" applyProtection="1">
      <alignment horizontal="center" vertical="center" wrapText="1"/>
    </xf>
    <xf numFmtId="179" fontId="20" fillId="0" borderId="2" xfId="0" applyNumberFormat="1" applyFont="1" applyBorder="1" applyAlignment="1">
      <alignment horizontal="center" vertical="center" wrapText="1"/>
    </xf>
    <xf numFmtId="0" fontId="14" fillId="0" borderId="4" xfId="0" applyNumberFormat="1" applyFont="1" applyFill="1" applyBorder="1" applyAlignment="1" applyProtection="1">
      <alignment horizontal="center" vertical="center" wrapText="1"/>
    </xf>
    <xf numFmtId="0" fontId="14" fillId="0" borderId="2" xfId="0" applyNumberFormat="1" applyFont="1" applyFill="1" applyBorder="1" applyAlignment="1" applyProtection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81" fontId="14" fillId="0" borderId="4" xfId="0" applyNumberFormat="1" applyFont="1" applyFill="1" applyBorder="1" applyAlignment="1" applyProtection="1">
      <alignment horizontal="center" vertical="center" wrapText="1"/>
    </xf>
    <xf numFmtId="179" fontId="14" fillId="0" borderId="5" xfId="0" applyNumberFormat="1" applyFont="1" applyFill="1" applyBorder="1" applyAlignment="1" applyProtection="1">
      <alignment horizontal="center" vertical="center" wrapText="1"/>
    </xf>
    <xf numFmtId="179" fontId="20" fillId="0" borderId="2" xfId="0" applyNumberFormat="1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185" fontId="14" fillId="0" borderId="1" xfId="0" applyNumberFormat="1" applyFont="1" applyFill="1" applyBorder="1" applyAlignment="1" applyProtection="1">
      <alignment horizontal="center" vertical="center" wrapText="1"/>
    </xf>
    <xf numFmtId="179" fontId="14" fillId="0" borderId="2" xfId="0" applyNumberFormat="1" applyFont="1" applyFill="1" applyBorder="1" applyAlignment="1" applyProtection="1">
      <alignment horizontal="center" vertical="center" wrapText="1"/>
    </xf>
    <xf numFmtId="179" fontId="20" fillId="0" borderId="1" xfId="0" applyNumberFormat="1" applyFont="1" applyFill="1" applyBorder="1" applyAlignment="1">
      <alignment horizontal="center" vertical="center" wrapText="1"/>
    </xf>
    <xf numFmtId="0" fontId="16" fillId="0" borderId="3" xfId="0" applyFont="1" applyFill="1" applyBorder="1" applyAlignment="1" applyProtection="1">
      <alignment horizontal="center" vertical="center"/>
    </xf>
    <xf numFmtId="179" fontId="20" fillId="0" borderId="1" xfId="0" applyNumberFormat="1" applyFont="1" applyFill="1" applyBorder="1" applyAlignment="1" applyProtection="1">
      <alignment horizontal="center" vertical="center" wrapText="1"/>
      <protection locked="0"/>
    </xf>
    <xf numFmtId="58" fontId="20" fillId="0" borderId="2" xfId="0" applyNumberFormat="1" applyFont="1" applyFill="1" applyBorder="1" applyAlignment="1">
      <alignment horizontal="center" vertical="center" wrapText="1"/>
    </xf>
    <xf numFmtId="179" fontId="14" fillId="0" borderId="3" xfId="0" applyNumberFormat="1" applyFont="1" applyFill="1" applyBorder="1" applyAlignment="1" applyProtection="1">
      <alignment horizontal="center" vertical="center" wrapText="1"/>
    </xf>
    <xf numFmtId="183" fontId="14" fillId="0" borderId="3" xfId="0" applyNumberFormat="1" applyFont="1" applyFill="1" applyBorder="1" applyAlignment="1" applyProtection="1">
      <alignment horizontal="center" vertical="center" wrapText="1"/>
    </xf>
    <xf numFmtId="0" fontId="14" fillId="0" borderId="3" xfId="0" applyFont="1" applyFill="1" applyBorder="1" applyAlignment="1" applyProtection="1">
      <alignment horizontal="center" vertical="center" wrapText="1"/>
    </xf>
    <xf numFmtId="178" fontId="14" fillId="0" borderId="3" xfId="0" applyNumberFormat="1" applyFont="1" applyFill="1" applyBorder="1" applyAlignment="1" applyProtection="1">
      <alignment horizontal="center" vertical="center" wrapText="1"/>
    </xf>
    <xf numFmtId="0" fontId="14" fillId="0" borderId="3" xfId="0" applyNumberFormat="1" applyFont="1" applyFill="1" applyBorder="1" applyAlignment="1" applyProtection="1">
      <alignment horizontal="center" vertical="center" wrapText="1" shrinkToFit="1"/>
    </xf>
    <xf numFmtId="0" fontId="17" fillId="0" borderId="3" xfId="0" applyFont="1" applyFill="1" applyBorder="1"/>
    <xf numFmtId="184" fontId="14" fillId="0" borderId="3" xfId="0" applyNumberFormat="1" applyFont="1" applyFill="1" applyBorder="1" applyAlignment="1" applyProtection="1">
      <alignment horizontal="center" vertical="center" wrapText="1"/>
    </xf>
    <xf numFmtId="179" fontId="14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1" xfId="0" applyFont="1" applyFill="1" applyBorder="1" applyProtection="1">
      <protection locked="0"/>
    </xf>
    <xf numFmtId="0" fontId="17" fillId="0" borderId="3" xfId="0" applyFont="1" applyFill="1" applyBorder="1" applyProtection="1">
      <protection locked="0"/>
    </xf>
    <xf numFmtId="185" fontId="17" fillId="0" borderId="3" xfId="0" applyNumberFormat="1" applyFont="1" applyFill="1" applyBorder="1" applyProtection="1">
      <protection locked="0"/>
    </xf>
    <xf numFmtId="58" fontId="17" fillId="0" borderId="3" xfId="0" applyNumberFormat="1" applyFont="1" applyFill="1" applyBorder="1" applyProtection="1">
      <protection locked="0"/>
    </xf>
    <xf numFmtId="0" fontId="14" fillId="0" borderId="3" xfId="0" applyFont="1" applyFill="1" applyBorder="1" applyAlignment="1" applyProtection="1">
      <alignment horizontal="center" vertical="center" wrapText="1" shrinkToFit="1"/>
    </xf>
    <xf numFmtId="179" fontId="20" fillId="0" borderId="6" xfId="0" applyNumberFormat="1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 applyProtection="1">
      <alignment horizontal="center" vertical="center"/>
    </xf>
    <xf numFmtId="183" fontId="14" fillId="0" borderId="2" xfId="0" applyNumberFormat="1" applyFont="1" applyFill="1" applyBorder="1" applyAlignment="1" applyProtection="1">
      <alignment horizontal="center" vertical="center" wrapText="1"/>
    </xf>
    <xf numFmtId="178" fontId="14" fillId="0" borderId="2" xfId="0" applyNumberFormat="1" applyFont="1" applyFill="1" applyBorder="1" applyAlignment="1" applyProtection="1">
      <alignment horizontal="center" vertical="center" wrapText="1"/>
    </xf>
    <xf numFmtId="0" fontId="14" fillId="0" borderId="2" xfId="0" applyFont="1" applyFill="1" applyBorder="1" applyAlignment="1" applyProtection="1">
      <alignment horizontal="center" vertical="center" wrapText="1"/>
    </xf>
    <xf numFmtId="0" fontId="14" fillId="0" borderId="2" xfId="0" applyFont="1" applyFill="1" applyBorder="1" applyAlignment="1" applyProtection="1">
      <alignment horizontal="center" vertical="center" wrapText="1" shrinkToFit="1"/>
    </xf>
    <xf numFmtId="0" fontId="14" fillId="0" borderId="2" xfId="0" applyNumberFormat="1" applyFont="1" applyFill="1" applyBorder="1" applyAlignment="1" applyProtection="1">
      <alignment horizontal="center" vertical="center" wrapText="1" shrinkToFit="1"/>
    </xf>
    <xf numFmtId="184" fontId="14" fillId="0" borderId="2" xfId="0" applyNumberFormat="1" applyFont="1" applyFill="1" applyBorder="1" applyAlignment="1" applyProtection="1">
      <alignment horizontal="center" vertical="center" wrapText="1"/>
    </xf>
    <xf numFmtId="0" fontId="19" fillId="0" borderId="2" xfId="0" applyFont="1" applyFill="1" applyBorder="1" applyAlignment="1" applyProtection="1">
      <alignment horizontal="center" vertical="center"/>
    </xf>
    <xf numFmtId="179" fontId="14" fillId="0" borderId="2" xfId="0" applyNumberFormat="1" applyFont="1" applyFill="1" applyBorder="1" applyAlignment="1" applyProtection="1">
      <alignment horizontal="center" vertical="center" wrapText="1"/>
      <protection locked="0"/>
    </xf>
    <xf numFmtId="58" fontId="14" fillId="0" borderId="2" xfId="0" applyNumberFormat="1" applyFont="1" applyFill="1" applyBorder="1" applyAlignment="1" applyProtection="1">
      <alignment horizontal="center" vertical="center" wrapText="1"/>
    </xf>
    <xf numFmtId="0" fontId="14" fillId="0" borderId="2" xfId="0" applyFont="1" applyFill="1" applyBorder="1" applyAlignment="1">
      <alignment horizontal="center" vertical="center"/>
    </xf>
    <xf numFmtId="0" fontId="19" fillId="0" borderId="6" xfId="0" applyFont="1" applyFill="1" applyBorder="1" applyAlignment="1" applyProtection="1">
      <alignment horizontal="center" vertical="center"/>
    </xf>
    <xf numFmtId="0" fontId="14" fillId="2" borderId="2" xfId="0" applyNumberFormat="1" applyFont="1" applyFill="1" applyBorder="1" applyAlignment="1" applyProtection="1">
      <alignment horizontal="center" vertical="center" wrapText="1" shrinkToFit="1"/>
    </xf>
    <xf numFmtId="179" fontId="14" fillId="0" borderId="0" xfId="0" applyNumberFormat="1" applyFont="1" applyFill="1" applyBorder="1" applyAlignment="1" applyProtection="1">
      <alignment horizontal="center" vertical="center" wrapText="1"/>
      <protection locked="0"/>
    </xf>
    <xf numFmtId="179" fontId="14" fillId="0" borderId="7" xfId="0" applyNumberFormat="1" applyFont="1" applyFill="1" applyBorder="1" applyAlignment="1" applyProtection="1">
      <alignment horizontal="center" vertical="center" wrapText="1"/>
    </xf>
    <xf numFmtId="183" fontId="14" fillId="0" borderId="7" xfId="0" applyNumberFormat="1" applyFont="1" applyFill="1" applyBorder="1" applyAlignment="1" applyProtection="1">
      <alignment horizontal="center" vertical="center" wrapText="1"/>
    </xf>
    <xf numFmtId="178" fontId="14" fillId="0" borderId="7" xfId="0" applyNumberFormat="1" applyFont="1" applyFill="1" applyBorder="1" applyAlignment="1" applyProtection="1">
      <alignment horizontal="center" vertical="center" wrapText="1"/>
    </xf>
    <xf numFmtId="0" fontId="14" fillId="0" borderId="7" xfId="0" applyFont="1" applyFill="1" applyBorder="1" applyAlignment="1" applyProtection="1">
      <alignment horizontal="center" vertical="center" wrapText="1"/>
    </xf>
    <xf numFmtId="0" fontId="14" fillId="0" borderId="7" xfId="0" applyFont="1" applyFill="1" applyBorder="1" applyAlignment="1" applyProtection="1">
      <alignment horizontal="center" vertical="center" wrapText="1" shrinkToFit="1"/>
    </xf>
    <xf numFmtId="0" fontId="14" fillId="0" borderId="7" xfId="0" applyNumberFormat="1" applyFont="1" applyFill="1" applyBorder="1" applyAlignment="1" applyProtection="1">
      <alignment horizontal="center" vertical="center" wrapText="1" shrinkToFit="1"/>
    </xf>
    <xf numFmtId="0" fontId="14" fillId="0" borderId="7" xfId="0" applyNumberFormat="1" applyFont="1" applyFill="1" applyBorder="1" applyAlignment="1" applyProtection="1">
      <alignment horizontal="center" vertical="center" wrapText="1"/>
    </xf>
    <xf numFmtId="179" fontId="20" fillId="0" borderId="7" xfId="0" applyNumberFormat="1" applyFont="1" applyFill="1" applyBorder="1" applyAlignment="1" applyProtection="1">
      <alignment horizontal="center" vertical="center" wrapText="1"/>
    </xf>
    <xf numFmtId="0" fontId="20" fillId="0" borderId="8" xfId="0" applyFont="1" applyFill="1" applyBorder="1" applyAlignment="1">
      <alignment horizontal="center" vertical="center" wrapText="1"/>
    </xf>
    <xf numFmtId="184" fontId="14" fillId="0" borderId="7" xfId="0" applyNumberFormat="1" applyFont="1" applyFill="1" applyBorder="1" applyAlignment="1" applyProtection="1">
      <alignment horizontal="center" vertical="center" wrapText="1"/>
    </xf>
    <xf numFmtId="0" fontId="19" fillId="0" borderId="8" xfId="0" applyFont="1" applyFill="1" applyBorder="1" applyAlignment="1" applyProtection="1">
      <alignment horizontal="center" vertical="center"/>
    </xf>
    <xf numFmtId="179" fontId="14" fillId="0" borderId="7" xfId="0" applyNumberFormat="1" applyFont="1" applyFill="1" applyBorder="1" applyAlignment="1" applyProtection="1">
      <alignment horizontal="center" vertical="center" wrapText="1"/>
      <protection locked="0"/>
    </xf>
    <xf numFmtId="179" fontId="20" fillId="0" borderId="2" xfId="0" applyNumberFormat="1" applyFont="1" applyFill="1" applyBorder="1" applyAlignment="1" applyProtection="1">
      <alignment horizontal="center" vertical="center" wrapText="1"/>
    </xf>
    <xf numFmtId="185" fontId="14" fillId="0" borderId="2" xfId="0" applyNumberFormat="1" applyFont="1" applyFill="1" applyBorder="1" applyAlignment="1" applyProtection="1">
      <alignment horizontal="center" vertical="center" wrapText="1"/>
    </xf>
    <xf numFmtId="181" fontId="14" fillId="0" borderId="2" xfId="0" applyNumberFormat="1" applyFont="1" applyFill="1" applyBorder="1" applyAlignment="1" applyProtection="1">
      <alignment horizontal="center" vertical="center" wrapText="1"/>
    </xf>
    <xf numFmtId="185" fontId="14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2" xfId="0" applyFont="1" applyFill="1" applyBorder="1" applyAlignment="1" applyProtection="1">
      <alignment horizontal="center" vertical="center"/>
    </xf>
    <xf numFmtId="0" fontId="20" fillId="0" borderId="2" xfId="0" applyNumberFormat="1" applyFont="1" applyFill="1" applyBorder="1" applyAlignment="1" applyProtection="1">
      <alignment horizontal="center" vertical="center" wrapText="1" shrinkToFit="1"/>
    </xf>
    <xf numFmtId="179" fontId="14" fillId="2" borderId="2" xfId="0" applyNumberFormat="1" applyFont="1" applyFill="1" applyBorder="1" applyAlignment="1" applyProtection="1">
      <alignment horizontal="center" vertical="center" wrapText="1"/>
    </xf>
    <xf numFmtId="3" fontId="14" fillId="0" borderId="2" xfId="0" applyNumberFormat="1" applyFont="1" applyFill="1" applyBorder="1" applyAlignment="1" applyProtection="1">
      <alignment horizontal="center" vertical="center" wrapText="1" shrinkToFit="1"/>
    </xf>
    <xf numFmtId="0" fontId="20" fillId="0" borderId="2" xfId="0" applyFont="1" applyFill="1" applyBorder="1" applyAlignment="1" applyProtection="1">
      <alignment horizontal="center" vertical="center" wrapText="1"/>
    </xf>
    <xf numFmtId="0" fontId="19" fillId="2" borderId="2" xfId="0" applyFont="1" applyFill="1" applyBorder="1" applyAlignment="1" applyProtection="1">
      <alignment horizontal="center" vertical="center"/>
    </xf>
    <xf numFmtId="179" fontId="20" fillId="0" borderId="2" xfId="0" applyNumberFormat="1" applyFont="1" applyFill="1" applyBorder="1" applyAlignment="1" applyProtection="1">
      <alignment horizontal="center" vertical="center" wrapText="1"/>
      <protection locked="0"/>
    </xf>
    <xf numFmtId="3" fontId="14" fillId="0" borderId="2" xfId="0" applyNumberFormat="1" applyFont="1" applyFill="1" applyBorder="1" applyAlignment="1" applyProtection="1">
      <alignment horizontal="center" vertical="center" wrapText="1"/>
    </xf>
    <xf numFmtId="0" fontId="17" fillId="0" borderId="2" xfId="0" applyFont="1" applyFill="1" applyBorder="1"/>
    <xf numFmtId="0" fontId="17" fillId="0" borderId="2" xfId="0" applyFont="1" applyFill="1" applyBorder="1" applyProtection="1">
      <protection locked="0"/>
    </xf>
    <xf numFmtId="185" fontId="17" fillId="0" borderId="2" xfId="0" applyNumberFormat="1" applyFont="1" applyFill="1" applyBorder="1" applyProtection="1">
      <protection locked="0"/>
    </xf>
    <xf numFmtId="58" fontId="17" fillId="0" borderId="2" xfId="0" applyNumberFormat="1" applyFont="1" applyFill="1" applyBorder="1" applyAlignment="1" applyProtection="1">
      <alignment horizontal="center" vertical="center"/>
      <protection locked="0"/>
    </xf>
    <xf numFmtId="183" fontId="20" fillId="0" borderId="2" xfId="0" applyNumberFormat="1" applyFont="1" applyFill="1" applyBorder="1" applyAlignment="1" applyProtection="1">
      <alignment horizontal="center" vertical="center" wrapText="1"/>
    </xf>
    <xf numFmtId="180" fontId="14" fillId="0" borderId="2" xfId="0" applyNumberFormat="1" applyFont="1" applyFill="1" applyBorder="1" applyAlignment="1" applyProtection="1">
      <alignment horizontal="center" vertical="center" wrapText="1"/>
    </xf>
    <xf numFmtId="178" fontId="20" fillId="0" borderId="2" xfId="0" applyNumberFormat="1" applyFont="1" applyFill="1" applyBorder="1" applyAlignment="1" applyProtection="1">
      <alignment horizontal="center" vertical="center" wrapText="1"/>
    </xf>
    <xf numFmtId="179" fontId="20" fillId="0" borderId="1" xfId="0" applyNumberFormat="1" applyFont="1" applyFill="1" applyBorder="1" applyAlignment="1" applyProtection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 applyProtection="1">
      <alignment horizontal="center" vertical="center" wrapText="1" shrinkToFit="1"/>
    </xf>
    <xf numFmtId="181" fontId="4" fillId="0" borderId="4" xfId="0" applyNumberFormat="1" applyFont="1" applyFill="1" applyBorder="1" applyAlignment="1" applyProtection="1">
      <alignment horizontal="center" vertical="center" wrapText="1"/>
    </xf>
    <xf numFmtId="179" fontId="4" fillId="0" borderId="5" xfId="0" applyNumberFormat="1" applyFont="1" applyFill="1" applyBorder="1" applyAlignment="1" applyProtection="1">
      <alignment horizontal="center" vertical="center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12" fillId="0" borderId="0" xfId="0" applyFont="1" applyFill="1" applyBorder="1" applyAlignment="1" applyProtection="1">
      <alignment horizontal="center" vertical="center"/>
    </xf>
    <xf numFmtId="0" fontId="22" fillId="0" borderId="0" xfId="0" applyFont="1" applyFill="1" applyAlignment="1"/>
    <xf numFmtId="0" fontId="23" fillId="5" borderId="9" xfId="0" applyFont="1" applyFill="1" applyBorder="1" applyAlignment="1">
      <alignment horizontal="center" vertical="center" wrapText="1"/>
    </xf>
    <xf numFmtId="0" fontId="24" fillId="6" borderId="10" xfId="0" applyFont="1" applyFill="1" applyBorder="1" applyAlignment="1">
      <alignment horizontal="center" vertical="center" wrapText="1"/>
    </xf>
    <xf numFmtId="0" fontId="25" fillId="7" borderId="10" xfId="0" applyFont="1" applyFill="1" applyBorder="1" applyAlignment="1">
      <alignment horizontal="center" vertical="center" wrapText="1"/>
    </xf>
    <xf numFmtId="1" fontId="25" fillId="7" borderId="10" xfId="0" applyNumberFormat="1" applyFont="1" applyFill="1" applyBorder="1" applyAlignment="1">
      <alignment horizontal="center" vertical="center" wrapText="1"/>
    </xf>
    <xf numFmtId="14" fontId="25" fillId="7" borderId="10" xfId="0" applyNumberFormat="1" applyFont="1" applyFill="1" applyBorder="1" applyAlignment="1">
      <alignment horizontal="center" vertical="center" wrapText="1"/>
    </xf>
    <xf numFmtId="185" fontId="25" fillId="8" borderId="10" xfId="0" applyNumberFormat="1" applyFont="1" applyFill="1" applyBorder="1" applyAlignment="1">
      <alignment horizontal="center" vertical="center" wrapText="1"/>
    </xf>
    <xf numFmtId="0" fontId="25" fillId="7" borderId="10" xfId="0" applyFont="1" applyFill="1" applyBorder="1" applyAlignment="1">
      <alignment horizontal="left" vertical="center" wrapText="1" indent="1"/>
    </xf>
    <xf numFmtId="0" fontId="26" fillId="7" borderId="10" xfId="0" applyFont="1" applyFill="1" applyBorder="1" applyAlignment="1">
      <alignment horizontal="left" vertical="center" wrapText="1" indent="1"/>
    </xf>
    <xf numFmtId="58" fontId="26" fillId="7" borderId="10" xfId="0" applyNumberFormat="1" applyFont="1" applyFill="1" applyBorder="1" applyAlignment="1">
      <alignment horizontal="left" vertical="center" wrapText="1" indent="1"/>
    </xf>
    <xf numFmtId="1" fontId="25" fillId="8" borderId="10" xfId="0" applyNumberFormat="1" applyFont="1" applyFill="1" applyBorder="1" applyAlignment="1">
      <alignment horizontal="center" vertical="center" wrapText="1"/>
    </xf>
    <xf numFmtId="0" fontId="25" fillId="8" borderId="10" xfId="0" applyFont="1" applyFill="1" applyBorder="1" applyAlignment="1">
      <alignment horizontal="center" vertical="center" wrapText="1"/>
    </xf>
    <xf numFmtId="0" fontId="26" fillId="8" borderId="10" xfId="0" applyFont="1" applyFill="1" applyBorder="1" applyAlignment="1">
      <alignment horizontal="left" vertical="center" wrapText="1" indent="1"/>
    </xf>
    <xf numFmtId="1" fontId="25" fillId="8" borderId="10" xfId="0" applyNumberFormat="1" applyFont="1" applyFill="1" applyBorder="1" applyAlignment="1">
      <alignment horizontal="center" vertical="center"/>
    </xf>
    <xf numFmtId="0" fontId="25" fillId="8" borderId="10" xfId="0" applyFont="1" applyFill="1" applyBorder="1" applyAlignment="1">
      <alignment horizontal="left" vertical="center" wrapText="1" indent="1"/>
    </xf>
    <xf numFmtId="14" fontId="25" fillId="8" borderId="10" xfId="0" applyNumberFormat="1" applyFont="1" applyFill="1" applyBorder="1" applyAlignment="1">
      <alignment horizontal="center" vertical="center" wrapText="1"/>
    </xf>
    <xf numFmtId="0" fontId="27" fillId="0" borderId="0" xfId="0" applyFont="1" applyFill="1" applyAlignment="1"/>
    <xf numFmtId="0" fontId="26" fillId="8" borderId="10" xfId="0" applyFont="1" applyFill="1" applyBorder="1" applyAlignment="1">
      <alignment horizontal="center" vertical="center" wrapText="1"/>
    </xf>
    <xf numFmtId="185" fontId="26" fillId="8" borderId="10" xfId="0" applyNumberFormat="1" applyFont="1" applyFill="1" applyBorder="1" applyAlignment="1">
      <alignment horizontal="center" vertical="center" wrapText="1"/>
    </xf>
    <xf numFmtId="0" fontId="25" fillId="7" borderId="11" xfId="0" applyFont="1" applyFill="1" applyBorder="1" applyAlignment="1">
      <alignment horizontal="center" vertical="center" wrapText="1"/>
    </xf>
    <xf numFmtId="0" fontId="22" fillId="0" borderId="0" xfId="0" applyFont="1" applyFill="1" applyAlignment="1">
      <alignment horizontal="left" vertical="center" wrapText="1"/>
    </xf>
    <xf numFmtId="0" fontId="22" fillId="0" borderId="0" xfId="0" applyFont="1" applyFill="1" applyAlignment="1">
      <alignment horizontal="left" vertical="center"/>
    </xf>
    <xf numFmtId="0" fontId="28" fillId="0" borderId="0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179" fontId="8" fillId="0" borderId="0" xfId="0" applyNumberFormat="1" applyFont="1" applyFill="1" applyBorder="1" applyAlignment="1" applyProtection="1">
      <alignment horizontal="center" vertical="center" wrapText="1"/>
    </xf>
    <xf numFmtId="184" fontId="4" fillId="0" borderId="0" xfId="0" applyNumberFormat="1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 applyProtection="1">
      <alignment horizontal="center" vertical="center" wrapText="1" shrinkToFit="1"/>
    </xf>
    <xf numFmtId="0" fontId="4" fillId="0" borderId="0" xfId="0" applyFont="1" applyFill="1" applyAlignment="1" applyProtection="1">
      <alignment horizontal="center" vertical="center" wrapText="1"/>
    </xf>
    <xf numFmtId="0" fontId="0" fillId="0" borderId="0" xfId="0" applyFill="1" applyProtection="1">
      <protection locked="0"/>
    </xf>
    <xf numFmtId="0" fontId="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</xf>
    <xf numFmtId="179" fontId="28" fillId="0" borderId="1" xfId="0" applyNumberFormat="1" applyFont="1" applyFill="1" applyBorder="1" applyAlignment="1" applyProtection="1">
      <alignment horizontal="center" vertical="center" wrapText="1"/>
    </xf>
    <xf numFmtId="183" fontId="28" fillId="0" borderId="1" xfId="0" applyNumberFormat="1" applyFont="1" applyFill="1" applyBorder="1" applyAlignment="1" applyProtection="1">
      <alignment horizontal="center" vertical="center" wrapText="1"/>
    </xf>
    <xf numFmtId="178" fontId="28" fillId="0" borderId="1" xfId="0" applyNumberFormat="1" applyFont="1" applyFill="1" applyBorder="1" applyAlignment="1" applyProtection="1">
      <alignment horizontal="center" vertical="center" wrapText="1"/>
    </xf>
    <xf numFmtId="0" fontId="28" fillId="0" borderId="1" xfId="0" applyFont="1" applyFill="1" applyBorder="1" applyAlignment="1" applyProtection="1">
      <alignment horizontal="center" vertical="center" wrapText="1"/>
    </xf>
    <xf numFmtId="0" fontId="28" fillId="0" borderId="1" xfId="0" applyFont="1" applyFill="1" applyBorder="1" applyAlignment="1" applyProtection="1">
      <alignment horizontal="center" vertical="center" wrapText="1" shrinkToFit="1"/>
    </xf>
    <xf numFmtId="0" fontId="28" fillId="0" borderId="1" xfId="0" applyNumberFormat="1" applyFont="1" applyFill="1" applyBorder="1" applyAlignment="1" applyProtection="1">
      <alignment horizontal="center" vertical="center" wrapText="1" shrinkToFit="1"/>
    </xf>
    <xf numFmtId="0" fontId="28" fillId="0" borderId="1" xfId="0" applyNumberFormat="1" applyFont="1" applyFill="1" applyBorder="1" applyAlignment="1" applyProtection="1">
      <alignment horizontal="center" vertical="center" wrapText="1"/>
    </xf>
    <xf numFmtId="179" fontId="30" fillId="0" borderId="1" xfId="0" applyNumberFormat="1" applyFont="1" applyFill="1" applyBorder="1" applyAlignment="1" applyProtection="1">
      <alignment horizontal="center" vertical="center" wrapText="1"/>
    </xf>
    <xf numFmtId="185" fontId="30" fillId="0" borderId="2" xfId="0" applyNumberFormat="1" applyFont="1" applyFill="1" applyBorder="1" applyAlignment="1">
      <alignment horizontal="center" vertical="center" wrapText="1"/>
    </xf>
    <xf numFmtId="184" fontId="28" fillId="0" borderId="1" xfId="0" applyNumberFormat="1" applyFont="1" applyFill="1" applyBorder="1" applyAlignment="1" applyProtection="1">
      <alignment horizontal="center" vertical="center" wrapText="1"/>
    </xf>
    <xf numFmtId="181" fontId="28" fillId="0" borderId="1" xfId="0" applyNumberFormat="1" applyFont="1" applyFill="1" applyBorder="1" applyAlignment="1" applyProtection="1">
      <alignment horizontal="center" vertical="center" wrapText="1"/>
    </xf>
    <xf numFmtId="0" fontId="31" fillId="0" borderId="1" xfId="0" applyFont="1" applyFill="1" applyBorder="1" applyAlignment="1" applyProtection="1">
      <alignment horizontal="center" vertical="center"/>
    </xf>
    <xf numFmtId="179" fontId="30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28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29" fillId="0" borderId="1" xfId="0" applyNumberFormat="1" applyFont="1" applyFill="1" applyBorder="1" applyAlignment="1" applyProtection="1">
      <alignment horizontal="center" vertical="center" wrapText="1"/>
    </xf>
    <xf numFmtId="183" fontId="29" fillId="0" borderId="1" xfId="0" applyNumberFormat="1" applyFont="1" applyFill="1" applyBorder="1" applyAlignment="1" applyProtection="1">
      <alignment horizontal="center" vertical="center" wrapText="1"/>
    </xf>
    <xf numFmtId="0" fontId="29" fillId="0" borderId="1" xfId="0" applyFont="1" applyFill="1" applyBorder="1" applyAlignment="1" applyProtection="1">
      <alignment horizontal="center" vertical="center" wrapText="1"/>
    </xf>
    <xf numFmtId="178" fontId="29" fillId="0" borderId="1" xfId="0" applyNumberFormat="1" applyFont="1" applyFill="1" applyBorder="1" applyAlignment="1" applyProtection="1">
      <alignment horizontal="center" vertical="center" wrapText="1"/>
    </xf>
    <xf numFmtId="0" fontId="29" fillId="0" borderId="1" xfId="0" applyFont="1" applyFill="1" applyBorder="1" applyAlignment="1" applyProtection="1">
      <alignment horizontal="center" vertical="center" wrapText="1" shrinkToFit="1"/>
    </xf>
    <xf numFmtId="0" fontId="29" fillId="0" borderId="1" xfId="0" applyNumberFormat="1" applyFont="1" applyFill="1" applyBorder="1" applyAlignment="1" applyProtection="1">
      <alignment horizontal="center" vertical="center" wrapText="1" shrinkToFit="1"/>
    </xf>
    <xf numFmtId="0" fontId="29" fillId="0" borderId="1" xfId="0" applyNumberFormat="1" applyFont="1" applyFill="1" applyBorder="1" applyAlignment="1" applyProtection="1">
      <alignment horizontal="center" vertical="center" wrapText="1"/>
    </xf>
    <xf numFmtId="179" fontId="3" fillId="0" borderId="1" xfId="0" applyNumberFormat="1" applyFont="1" applyFill="1" applyBorder="1" applyAlignment="1" applyProtection="1">
      <alignment horizontal="center" vertical="center" wrapText="1"/>
    </xf>
    <xf numFmtId="58" fontId="3" fillId="0" borderId="1" xfId="0" applyNumberFormat="1" applyFont="1" applyFill="1" applyBorder="1" applyAlignment="1" applyProtection="1">
      <alignment horizontal="center" vertical="center" wrapText="1"/>
    </xf>
    <xf numFmtId="184" fontId="29" fillId="0" borderId="1" xfId="0" applyNumberFormat="1" applyFont="1" applyFill="1" applyBorder="1" applyAlignment="1" applyProtection="1">
      <alignment horizontal="center" vertical="center" wrapText="1"/>
    </xf>
    <xf numFmtId="181" fontId="29" fillId="0" borderId="1" xfId="0" applyNumberFormat="1" applyFont="1" applyFill="1" applyBorder="1" applyAlignment="1" applyProtection="1">
      <alignment horizontal="center" vertical="center" wrapText="1"/>
    </xf>
    <xf numFmtId="0" fontId="32" fillId="0" borderId="1" xfId="0" applyFont="1" applyFill="1" applyBorder="1" applyAlignment="1" applyProtection="1">
      <alignment horizontal="center" vertical="center"/>
    </xf>
    <xf numFmtId="17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29" fillId="0" borderId="1" xfId="0" applyNumberFormat="1" applyFont="1" applyFill="1" applyBorder="1" applyAlignment="1" applyProtection="1">
      <alignment horizontal="center" vertical="center" wrapText="1"/>
      <protection locked="0"/>
    </xf>
    <xf numFmtId="3" fontId="4" fillId="0" borderId="1" xfId="0" applyNumberFormat="1" applyFont="1" applyFill="1" applyBorder="1" applyAlignment="1" applyProtection="1">
      <alignment horizontal="center" vertical="center" wrapText="1" shrinkToFit="1"/>
    </xf>
    <xf numFmtId="0" fontId="33" fillId="0" borderId="1" xfId="0" applyFont="1" applyFill="1" applyBorder="1" applyAlignment="1" applyProtection="1">
      <alignment horizontal="center" vertical="center"/>
    </xf>
    <xf numFmtId="179" fontId="4" fillId="0" borderId="3" xfId="0" applyNumberFormat="1" applyFont="1" applyFill="1" applyBorder="1" applyAlignment="1" applyProtection="1">
      <alignment horizontal="center" vertical="center" wrapText="1"/>
    </xf>
    <xf numFmtId="183" fontId="3" fillId="0" borderId="1" xfId="0" applyNumberFormat="1" applyFont="1" applyFill="1" applyBorder="1" applyAlignment="1" applyProtection="1">
      <alignment horizontal="center" vertical="center" wrapText="1"/>
    </xf>
    <xf numFmtId="179" fontId="4" fillId="0" borderId="1" xfId="0" applyNumberFormat="1" applyFont="1" applyFill="1" applyBorder="1" applyAlignment="1">
      <alignment horizontal="center" vertical="center" wrapText="1"/>
    </xf>
    <xf numFmtId="183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 shrinkToFi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3" fontId="4" fillId="0" borderId="3" xfId="0" applyNumberFormat="1" applyFont="1" applyFill="1" applyBorder="1" applyAlignment="1" applyProtection="1">
      <alignment horizontal="center" vertical="center" wrapText="1" shrinkToFit="1"/>
    </xf>
    <xf numFmtId="180" fontId="4" fillId="0" borderId="3" xfId="0" applyNumberFormat="1" applyFont="1" applyFill="1" applyBorder="1" applyAlignment="1" applyProtection="1">
      <alignment horizontal="center" vertical="center" wrapText="1"/>
    </xf>
    <xf numFmtId="183" fontId="4" fillId="0" borderId="3" xfId="0" applyNumberFormat="1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 shrinkToFit="1"/>
    </xf>
    <xf numFmtId="3" fontId="3" fillId="0" borderId="2" xfId="0" applyNumberFormat="1" applyFont="1" applyFill="1" applyBorder="1" applyAlignment="1">
      <alignment horizontal="center" vertical="center" wrapText="1" shrinkToFit="1"/>
    </xf>
    <xf numFmtId="178" fontId="3" fillId="0" borderId="1" xfId="0" applyNumberFormat="1" applyFont="1" applyFill="1" applyBorder="1" applyAlignment="1" applyProtection="1">
      <alignment horizontal="center" vertical="center" wrapText="1"/>
    </xf>
    <xf numFmtId="184" fontId="4" fillId="0" borderId="3" xfId="0" applyNumberFormat="1" applyFont="1" applyFill="1" applyBorder="1" applyAlignment="1" applyProtection="1">
      <alignment horizontal="center" vertical="center" wrapText="1"/>
    </xf>
    <xf numFmtId="179" fontId="3" fillId="0" borderId="2" xfId="0" applyNumberFormat="1" applyFont="1" applyFill="1" applyBorder="1" applyAlignment="1" applyProtection="1">
      <alignment horizontal="center" vertical="center" wrapText="1"/>
    </xf>
    <xf numFmtId="183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 shrinkToFit="1"/>
    </xf>
    <xf numFmtId="179" fontId="29" fillId="0" borderId="2" xfId="0" applyNumberFormat="1" applyFont="1" applyFill="1" applyBorder="1" applyAlignment="1" applyProtection="1">
      <alignment horizontal="center" vertical="center" wrapText="1"/>
    </xf>
    <xf numFmtId="180" fontId="29" fillId="0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179" fontId="4" fillId="0" borderId="2" xfId="0" applyNumberFormat="1" applyFont="1" applyFill="1" applyBorder="1" applyAlignment="1">
      <alignment horizontal="center" vertical="center" wrapText="1"/>
    </xf>
    <xf numFmtId="179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 wrapText="1" shrinkToFit="1"/>
    </xf>
    <xf numFmtId="179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179" fontId="4" fillId="0" borderId="2" xfId="0" applyNumberFormat="1" applyFont="1" applyFill="1" applyBorder="1" applyAlignment="1" applyProtection="1">
      <alignment horizontal="center" vertical="center" wrapText="1"/>
      <protection locked="0"/>
    </xf>
    <xf numFmtId="179" fontId="8" fillId="0" borderId="1" xfId="0" applyNumberFormat="1" applyFont="1" applyFill="1" applyBorder="1" applyAlignment="1" applyProtection="1">
      <alignment horizontal="center" vertical="center"/>
    </xf>
    <xf numFmtId="0" fontId="0" fillId="0" borderId="1" xfId="0" applyFill="1" applyBorder="1" applyProtection="1"/>
    <xf numFmtId="179" fontId="4" fillId="0" borderId="1" xfId="0" applyNumberFormat="1" applyFont="1" applyFill="1" applyBorder="1" applyAlignment="1" applyProtection="1">
      <alignment horizontal="center" vertical="center"/>
      <protection locked="0"/>
    </xf>
    <xf numFmtId="0" fontId="34" fillId="0" borderId="0" xfId="0" applyFont="1" applyFill="1"/>
    <xf numFmtId="0" fontId="35" fillId="0" borderId="0" xfId="0" applyFont="1" applyFill="1"/>
    <xf numFmtId="0" fontId="28" fillId="0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179" fontId="28" fillId="0" borderId="0" xfId="0" applyNumberFormat="1" applyFont="1" applyFill="1" applyBorder="1" applyAlignment="1" applyProtection="1">
      <alignment horizontal="center" vertical="center" wrapText="1"/>
    </xf>
    <xf numFmtId="0" fontId="28" fillId="0" borderId="0" xfId="0" applyFont="1" applyFill="1" applyBorder="1" applyAlignment="1" applyProtection="1">
      <alignment horizontal="center" vertical="center" wrapText="1"/>
    </xf>
    <xf numFmtId="178" fontId="28" fillId="0" borderId="0" xfId="0" applyNumberFormat="1" applyFont="1" applyFill="1" applyBorder="1" applyAlignment="1" applyProtection="1">
      <alignment horizontal="center" vertical="center" wrapText="1"/>
    </xf>
    <xf numFmtId="0" fontId="28" fillId="0" borderId="0" xfId="0" applyNumberFormat="1" applyFont="1" applyFill="1" applyBorder="1" applyAlignment="1" applyProtection="1">
      <alignment horizontal="center" vertical="center" wrapText="1"/>
    </xf>
    <xf numFmtId="184" fontId="28" fillId="0" borderId="0" xfId="0" applyNumberFormat="1" applyFont="1" applyFill="1" applyBorder="1" applyAlignment="1" applyProtection="1">
      <alignment horizontal="center" vertical="center" wrapText="1"/>
    </xf>
    <xf numFmtId="181" fontId="28" fillId="0" borderId="0" xfId="0" applyNumberFormat="1" applyFont="1" applyFill="1" applyBorder="1" applyAlignment="1" applyProtection="1">
      <alignment horizontal="center" vertical="center"/>
    </xf>
    <xf numFmtId="0" fontId="31" fillId="0" borderId="0" xfId="0" applyNumberFormat="1" applyFont="1" applyFill="1" applyBorder="1" applyAlignment="1" applyProtection="1">
      <alignment horizontal="center" vertical="center" wrapText="1" shrinkToFit="1"/>
    </xf>
    <xf numFmtId="0" fontId="28" fillId="0" borderId="0" xfId="0" applyFont="1" applyFill="1" applyAlignment="1" applyProtection="1">
      <alignment horizontal="center" vertical="center" wrapText="1"/>
    </xf>
    <xf numFmtId="0" fontId="35" fillId="0" borderId="0" xfId="0" applyFont="1" applyFill="1" applyProtection="1">
      <protection locked="0"/>
    </xf>
    <xf numFmtId="185" fontId="35" fillId="0" borderId="0" xfId="0" applyNumberFormat="1" applyFont="1" applyFill="1" applyProtection="1">
      <protection locked="0"/>
    </xf>
    <xf numFmtId="0" fontId="28" fillId="0" borderId="0" xfId="0" applyNumberFormat="1" applyFont="1" applyFill="1" applyBorder="1" applyAlignment="1" applyProtection="1">
      <alignment horizontal="center" vertical="center" wrapText="1"/>
      <protection locked="0"/>
    </xf>
    <xf numFmtId="179" fontId="30" fillId="0" borderId="3" xfId="0" applyNumberFormat="1" applyFont="1" applyFill="1" applyBorder="1" applyAlignment="1" applyProtection="1">
      <alignment horizontal="center" vertical="center" wrapText="1" shrinkToFit="1"/>
    </xf>
    <xf numFmtId="179" fontId="28" fillId="0" borderId="3" xfId="0" applyNumberFormat="1" applyFont="1" applyFill="1" applyBorder="1" applyAlignment="1" applyProtection="1">
      <alignment horizontal="center" vertical="center" wrapText="1" shrinkToFit="1"/>
    </xf>
    <xf numFmtId="179" fontId="28" fillId="0" borderId="3" xfId="0" applyNumberFormat="1" applyFont="1" applyFill="1" applyBorder="1" applyAlignment="1">
      <alignment horizontal="center" vertical="center" wrapText="1" shrinkToFit="1"/>
    </xf>
    <xf numFmtId="0" fontId="28" fillId="0" borderId="3" xfId="0" applyFont="1" applyFill="1" applyBorder="1" applyAlignment="1" applyProtection="1">
      <alignment horizontal="center" vertical="center" wrapText="1"/>
    </xf>
    <xf numFmtId="0" fontId="28" fillId="0" borderId="3" xfId="0" applyNumberFormat="1" applyFont="1" applyFill="1" applyBorder="1" applyAlignment="1" applyProtection="1">
      <alignment horizontal="center" vertical="center" wrapText="1" shrinkToFit="1"/>
    </xf>
    <xf numFmtId="0" fontId="28" fillId="0" borderId="3" xfId="0" applyFont="1" applyFill="1" applyBorder="1" applyAlignment="1" applyProtection="1">
      <alignment horizontal="center" vertical="center" wrapText="1" shrinkToFit="1"/>
    </xf>
    <xf numFmtId="0" fontId="28" fillId="0" borderId="3" xfId="0" applyNumberFormat="1" applyFont="1" applyFill="1" applyBorder="1" applyAlignment="1" applyProtection="1">
      <alignment horizontal="center" vertical="center" wrapText="1"/>
    </xf>
    <xf numFmtId="179" fontId="30" fillId="0" borderId="3" xfId="0" applyNumberFormat="1" applyFont="1" applyFill="1" applyBorder="1" applyAlignment="1" applyProtection="1">
      <alignment horizontal="center" vertical="center" shrinkToFit="1"/>
    </xf>
    <xf numFmtId="0" fontId="28" fillId="0" borderId="3" xfId="0" applyNumberFormat="1" applyFont="1" applyFill="1" applyBorder="1" applyAlignment="1" applyProtection="1">
      <alignment horizontal="center" vertical="center"/>
    </xf>
    <xf numFmtId="184" fontId="28" fillId="0" borderId="3" xfId="0" applyNumberFormat="1" applyFont="1" applyFill="1" applyBorder="1" applyAlignment="1" applyProtection="1">
      <alignment horizontal="center" vertical="center" wrapText="1"/>
    </xf>
    <xf numFmtId="181" fontId="28" fillId="0" borderId="3" xfId="0" applyNumberFormat="1" applyFont="1" applyFill="1" applyBorder="1" applyAlignment="1" applyProtection="1">
      <alignment horizontal="center" vertical="center"/>
    </xf>
    <xf numFmtId="0" fontId="31" fillId="0" borderId="3" xfId="0" applyNumberFormat="1" applyFont="1" applyFill="1" applyBorder="1" applyAlignment="1" applyProtection="1">
      <alignment horizontal="center" vertical="center" wrapText="1" shrinkToFit="1"/>
    </xf>
    <xf numFmtId="0" fontId="28" fillId="0" borderId="3" xfId="0" applyFont="1" applyFill="1" applyBorder="1" applyAlignment="1" applyProtection="1">
      <alignment horizontal="center" vertical="center"/>
    </xf>
    <xf numFmtId="0" fontId="30" fillId="0" borderId="3" xfId="0" applyFont="1" applyFill="1" applyBorder="1" applyAlignment="1" applyProtection="1">
      <alignment horizontal="center" vertical="center" wrapText="1"/>
    </xf>
    <xf numFmtId="179" fontId="30" fillId="0" borderId="3" xfId="0" applyNumberFormat="1" applyFont="1" applyFill="1" applyBorder="1" applyAlignment="1" applyProtection="1">
      <alignment horizontal="center" vertical="center" wrapText="1" shrinkToFit="1"/>
      <protection locked="0"/>
    </xf>
    <xf numFmtId="185" fontId="28" fillId="0" borderId="3" xfId="0" applyNumberFormat="1" applyFont="1" applyFill="1" applyBorder="1" applyAlignment="1" applyProtection="1">
      <alignment horizontal="center" vertical="center" wrapText="1"/>
      <protection locked="0"/>
    </xf>
    <xf numFmtId="185" fontId="30" fillId="0" borderId="3" xfId="0" applyNumberFormat="1" applyFont="1" applyFill="1" applyBorder="1" applyAlignment="1" applyProtection="1">
      <alignment horizontal="center" vertical="center" wrapText="1" shrinkToFit="1"/>
      <protection locked="0"/>
    </xf>
    <xf numFmtId="183" fontId="4" fillId="0" borderId="2" xfId="0" applyNumberFormat="1" applyFont="1" applyFill="1" applyBorder="1" applyAlignment="1" applyProtection="1">
      <alignment horizontal="center" vertical="center" wrapText="1"/>
    </xf>
    <xf numFmtId="178" fontId="4" fillId="0" borderId="2" xfId="0" applyNumberFormat="1" applyFont="1" applyFill="1" applyBorder="1" applyAlignment="1" applyProtection="1">
      <alignment horizontal="center" vertical="center" wrapText="1"/>
    </xf>
    <xf numFmtId="3" fontId="4" fillId="0" borderId="2" xfId="0" applyNumberFormat="1" applyFont="1" applyFill="1" applyBorder="1" applyAlignment="1" applyProtection="1">
      <alignment horizontal="center" vertical="center" wrapText="1" shrinkToFit="1"/>
    </xf>
    <xf numFmtId="0" fontId="3" fillId="0" borderId="2" xfId="0" applyFont="1" applyFill="1" applyBorder="1" applyAlignment="1">
      <alignment horizontal="center" vertical="center" wrapText="1"/>
    </xf>
    <xf numFmtId="184" fontId="4" fillId="0" borderId="2" xfId="0" applyNumberFormat="1" applyFont="1" applyFill="1" applyBorder="1" applyAlignment="1" applyProtection="1">
      <alignment horizontal="center" vertical="center" wrapText="1"/>
    </xf>
    <xf numFmtId="181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 shrinkToFit="1"/>
    </xf>
    <xf numFmtId="179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179" fontId="28" fillId="0" borderId="2" xfId="0" applyNumberFormat="1" applyFont="1" applyFill="1" applyBorder="1" applyAlignment="1" applyProtection="1">
      <alignment horizontal="center" vertical="center" wrapText="1"/>
    </xf>
    <xf numFmtId="183" fontId="28" fillId="0" borderId="2" xfId="0" applyNumberFormat="1" applyFont="1" applyFill="1" applyBorder="1" applyAlignment="1" applyProtection="1">
      <alignment horizontal="center" vertical="center" wrapText="1"/>
    </xf>
    <xf numFmtId="178" fontId="28" fillId="0" borderId="2" xfId="0" applyNumberFormat="1" applyFont="1" applyFill="1" applyBorder="1" applyAlignment="1" applyProtection="1">
      <alignment horizontal="center" vertical="center" wrapText="1"/>
    </xf>
    <xf numFmtId="0" fontId="28" fillId="0" borderId="2" xfId="0" applyFont="1" applyFill="1" applyBorder="1" applyAlignment="1" applyProtection="1">
      <alignment horizontal="center" vertical="center" wrapText="1"/>
    </xf>
    <xf numFmtId="0" fontId="28" fillId="0" borderId="2" xfId="0" applyFont="1" applyFill="1" applyBorder="1" applyAlignment="1" applyProtection="1">
      <alignment horizontal="center" vertical="center" wrapText="1" shrinkToFit="1"/>
    </xf>
    <xf numFmtId="0" fontId="28" fillId="0" borderId="2" xfId="0" applyNumberFormat="1" applyFont="1" applyFill="1" applyBorder="1" applyAlignment="1" applyProtection="1">
      <alignment horizontal="center" vertical="center" wrapText="1" shrinkToFit="1"/>
    </xf>
    <xf numFmtId="0" fontId="28" fillId="0" borderId="2" xfId="0" applyNumberFormat="1" applyFont="1" applyFill="1" applyBorder="1" applyAlignment="1" applyProtection="1">
      <alignment horizontal="center" vertical="center" wrapText="1"/>
    </xf>
    <xf numFmtId="0" fontId="30" fillId="0" borderId="2" xfId="0" applyFont="1" applyFill="1" applyBorder="1" applyAlignment="1">
      <alignment horizontal="center" vertical="center" wrapText="1"/>
    </xf>
    <xf numFmtId="184" fontId="28" fillId="0" borderId="2" xfId="0" applyNumberFormat="1" applyFont="1" applyFill="1" applyBorder="1" applyAlignment="1" applyProtection="1">
      <alignment horizontal="center" vertical="center" wrapText="1"/>
    </xf>
    <xf numFmtId="181" fontId="28" fillId="0" borderId="2" xfId="0" applyNumberFormat="1" applyFont="1" applyFill="1" applyBorder="1" applyAlignment="1" applyProtection="1">
      <alignment horizontal="center" vertical="center" wrapText="1"/>
    </xf>
    <xf numFmtId="0" fontId="31" fillId="0" borderId="2" xfId="0" applyFont="1" applyFill="1" applyBorder="1" applyAlignment="1" applyProtection="1">
      <alignment horizontal="center" vertical="center"/>
    </xf>
    <xf numFmtId="179" fontId="28" fillId="0" borderId="2" xfId="0" applyNumberFormat="1" applyFont="1" applyFill="1" applyBorder="1" applyAlignment="1" applyProtection="1">
      <alignment horizontal="center" vertical="center" wrapText="1"/>
      <protection locked="0"/>
    </xf>
    <xf numFmtId="179" fontId="28" fillId="2" borderId="2" xfId="0" applyNumberFormat="1" applyFont="1" applyFill="1" applyBorder="1" applyAlignment="1" applyProtection="1">
      <alignment horizontal="center" vertical="center" wrapText="1"/>
    </xf>
    <xf numFmtId="179" fontId="30" fillId="0" borderId="2" xfId="0" applyNumberFormat="1" applyFont="1" applyFill="1" applyBorder="1" applyAlignment="1" applyProtection="1">
      <alignment horizontal="center" vertical="center" wrapText="1"/>
    </xf>
    <xf numFmtId="179" fontId="30" fillId="0" borderId="2" xfId="0" applyNumberFormat="1" applyFont="1" applyFill="1" applyBorder="1" applyAlignment="1" applyProtection="1">
      <alignment horizontal="center" vertical="center" wrapText="1"/>
      <protection locked="0"/>
    </xf>
    <xf numFmtId="3" fontId="28" fillId="0" borderId="2" xfId="0" applyNumberFormat="1" applyFont="1" applyFill="1" applyBorder="1" applyAlignment="1" applyProtection="1">
      <alignment horizontal="center" vertical="center" wrapText="1" shrinkToFit="1"/>
    </xf>
    <xf numFmtId="0" fontId="30" fillId="0" borderId="2" xfId="0" applyFont="1" applyFill="1" applyBorder="1" applyAlignment="1" applyProtection="1">
      <alignment horizontal="center" vertical="center" wrapText="1"/>
    </xf>
    <xf numFmtId="183" fontId="30" fillId="0" borderId="2" xfId="0" applyNumberFormat="1" applyFont="1" applyFill="1" applyBorder="1" applyAlignment="1" applyProtection="1">
      <alignment horizontal="center" vertical="center" wrapText="1"/>
    </xf>
    <xf numFmtId="0" fontId="35" fillId="0" borderId="2" xfId="0" applyFont="1" applyFill="1" applyBorder="1"/>
    <xf numFmtId="0" fontId="31" fillId="0" borderId="2" xfId="0" applyNumberFormat="1" applyFont="1" applyFill="1" applyBorder="1" applyAlignment="1" applyProtection="1">
      <alignment horizontal="center" vertical="center" wrapText="1" shrinkToFit="1"/>
    </xf>
    <xf numFmtId="0" fontId="35" fillId="0" borderId="2" xfId="0" applyFont="1" applyFill="1" applyBorder="1" applyProtection="1">
      <protection locked="0"/>
    </xf>
    <xf numFmtId="185" fontId="35" fillId="0" borderId="2" xfId="0" applyNumberFormat="1" applyFont="1" applyFill="1" applyBorder="1" applyProtection="1">
      <protection locked="0"/>
    </xf>
    <xf numFmtId="58" fontId="35" fillId="0" borderId="2" xfId="0" applyNumberFormat="1" applyFont="1" applyFill="1" applyBorder="1" applyProtection="1">
      <protection locked="0"/>
    </xf>
    <xf numFmtId="179" fontId="30" fillId="2" borderId="2" xfId="0" applyNumberFormat="1" applyFont="1" applyFill="1" applyBorder="1" applyAlignment="1" applyProtection="1">
      <alignment horizontal="center" vertical="center" wrapText="1"/>
    </xf>
    <xf numFmtId="180" fontId="28" fillId="0" borderId="2" xfId="0" applyNumberFormat="1" applyFont="1" applyFill="1" applyBorder="1" applyAlignment="1" applyProtection="1">
      <alignment horizontal="center" vertical="center" wrapText="1"/>
    </xf>
    <xf numFmtId="179" fontId="28" fillId="0" borderId="2" xfId="0" applyNumberFormat="1" applyFont="1" applyFill="1" applyBorder="1" applyAlignment="1">
      <alignment horizontal="center" vertical="center" wrapText="1"/>
    </xf>
    <xf numFmtId="185" fontId="28" fillId="0" borderId="2" xfId="0" applyNumberFormat="1" applyFont="1" applyFill="1" applyBorder="1" applyAlignment="1" applyProtection="1">
      <alignment horizontal="center" vertical="center" wrapText="1"/>
      <protection locked="0"/>
    </xf>
    <xf numFmtId="180" fontId="4" fillId="0" borderId="2" xfId="0" applyNumberFormat="1" applyFont="1" applyFill="1" applyBorder="1" applyAlignment="1" applyProtection="1">
      <alignment horizontal="center" vertical="center" wrapText="1"/>
    </xf>
    <xf numFmtId="178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185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8" fillId="0" borderId="5" xfId="0" applyFont="1" applyFill="1" applyBorder="1" applyAlignment="1">
      <alignment horizontal="center" vertical="center"/>
    </xf>
    <xf numFmtId="0" fontId="33" fillId="0" borderId="2" xfId="0" applyFont="1" applyFill="1" applyBorder="1" applyAlignment="1" applyProtection="1">
      <alignment horizontal="center" vertical="center"/>
    </xf>
    <xf numFmtId="185" fontId="4" fillId="0" borderId="2" xfId="0" applyNumberFormat="1" applyFont="1" applyFill="1" applyBorder="1" applyAlignment="1" applyProtection="1">
      <alignment horizontal="center" vertical="center" wrapText="1"/>
      <protection locked="0"/>
    </xf>
    <xf numFmtId="184" fontId="29" fillId="0" borderId="2" xfId="0" applyNumberFormat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179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179" fontId="29" fillId="2" borderId="2" xfId="0" applyNumberFormat="1" applyFont="1" applyFill="1" applyBorder="1" applyAlignment="1" applyProtection="1">
      <alignment horizontal="center" vertical="center" wrapText="1"/>
    </xf>
    <xf numFmtId="179" fontId="8" fillId="2" borderId="2" xfId="0" applyNumberFormat="1" applyFont="1" applyFill="1" applyBorder="1" applyAlignment="1" applyProtection="1">
      <alignment horizontal="center" vertical="center" wrapText="1"/>
    </xf>
    <xf numFmtId="183" fontId="3" fillId="2" borderId="2" xfId="0" applyNumberFormat="1" applyFont="1" applyFill="1" applyBorder="1" applyAlignment="1" applyProtection="1">
      <alignment horizontal="center" vertical="center" wrapText="1"/>
    </xf>
    <xf numFmtId="179" fontId="3" fillId="2" borderId="2" xfId="0" applyNumberFormat="1" applyFont="1" applyFill="1" applyBorder="1" applyAlignment="1" applyProtection="1">
      <alignment horizontal="center" vertical="center" wrapText="1"/>
    </xf>
    <xf numFmtId="0" fontId="29" fillId="2" borderId="1" xfId="0" applyFont="1" applyFill="1" applyBorder="1" applyAlignment="1" applyProtection="1">
      <alignment horizontal="center" vertical="center" wrapText="1"/>
    </xf>
    <xf numFmtId="178" fontId="3" fillId="2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 shrinkToFit="1"/>
    </xf>
    <xf numFmtId="3" fontId="4" fillId="2" borderId="1" xfId="0" applyNumberFormat="1" applyFont="1" applyFill="1" applyBorder="1" applyAlignment="1" applyProtection="1">
      <alignment horizontal="center" vertical="center" wrapText="1" shrinkToFit="1"/>
    </xf>
    <xf numFmtId="0" fontId="4" fillId="2" borderId="2" xfId="0" applyNumberFormat="1" applyFont="1" applyFill="1" applyBorder="1" applyAlignment="1" applyProtection="1">
      <alignment horizontal="center" vertical="center" wrapText="1"/>
    </xf>
    <xf numFmtId="179" fontId="4" fillId="2" borderId="2" xfId="0" applyNumberFormat="1" applyFont="1" applyFill="1" applyBorder="1" applyAlignment="1">
      <alignment horizontal="center" vertical="center" wrapText="1"/>
    </xf>
    <xf numFmtId="179" fontId="4" fillId="2" borderId="2" xfId="0" applyNumberFormat="1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184" fontId="29" fillId="2" borderId="2" xfId="0" applyNumberFormat="1" applyFont="1" applyFill="1" applyBorder="1" applyAlignment="1" applyProtection="1">
      <alignment horizontal="center" vertical="center" wrapText="1"/>
    </xf>
    <xf numFmtId="181" fontId="4" fillId="2" borderId="2" xfId="0" applyNumberFormat="1" applyFont="1" applyFill="1" applyBorder="1" applyAlignment="1" applyProtection="1">
      <alignment horizontal="center" vertical="center" wrapText="1"/>
    </xf>
    <xf numFmtId="0" fontId="12" fillId="2" borderId="2" xfId="0" applyFont="1" applyFill="1" applyBorder="1" applyAlignment="1" applyProtection="1">
      <alignment horizontal="center" vertical="center"/>
    </xf>
    <xf numFmtId="179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183" fontId="3" fillId="2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178" fontId="4" fillId="2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 shrinkToFit="1"/>
    </xf>
    <xf numFmtId="183" fontId="4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 wrapText="1" shrinkToFit="1"/>
    </xf>
    <xf numFmtId="3" fontId="4" fillId="0" borderId="0" xfId="0" applyNumberFormat="1" applyFont="1" applyFill="1" applyBorder="1" applyAlignment="1" applyProtection="1">
      <alignment horizontal="center" vertical="center" wrapText="1" shrinkToFit="1"/>
    </xf>
    <xf numFmtId="181" fontId="4" fillId="0" borderId="0" xfId="0" applyNumberFormat="1" applyFont="1" applyFill="1" applyBorder="1" applyAlignment="1" applyProtection="1">
      <alignment horizontal="center" vertical="center" wrapText="1"/>
    </xf>
    <xf numFmtId="179" fontId="4" fillId="0" borderId="0" xfId="0" applyNumberFormat="1" applyFont="1" applyFill="1" applyBorder="1" applyAlignment="1" applyProtection="1">
      <alignment horizontal="center" vertical="center" wrapText="1"/>
      <protection locked="0"/>
    </xf>
    <xf numFmtId="185" fontId="0" fillId="0" borderId="0" xfId="0" applyNumberFormat="1" applyFill="1" applyProtection="1">
      <protection locked="0"/>
    </xf>
    <xf numFmtId="0" fontId="1" fillId="0" borderId="0" xfId="0" applyFont="1" applyFill="1"/>
    <xf numFmtId="178" fontId="3" fillId="0" borderId="0" xfId="0" applyNumberFormat="1" applyFont="1" applyFill="1" applyBorder="1" applyAlignment="1" applyProtection="1">
      <alignment horizontal="center" vertical="center" wrapText="1"/>
    </xf>
    <xf numFmtId="179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 wrapText="1"/>
    </xf>
    <xf numFmtId="0" fontId="29" fillId="0" borderId="0" xfId="0" applyNumberFormat="1" applyFont="1" applyFill="1" applyBorder="1" applyAlignment="1" applyProtection="1">
      <alignment horizontal="center" vertical="center" wrapText="1"/>
    </xf>
    <xf numFmtId="185" fontId="1" fillId="0" borderId="0" xfId="0" applyNumberFormat="1" applyFont="1" applyFill="1" applyProtection="1">
      <protection locked="0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20" fillId="0" borderId="0" xfId="0" applyFont="1" applyFill="1" applyAlignment="1">
      <alignment horizontal="center" vertical="center"/>
    </xf>
    <xf numFmtId="0" fontId="36" fillId="0" borderId="0" xfId="0" applyFont="1" applyFill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179" fontId="4" fillId="0" borderId="0" xfId="0" applyNumberFormat="1" applyFont="1" applyFill="1" applyBorder="1" applyAlignment="1">
      <alignment horizontal="center" vertical="center" wrapText="1"/>
    </xf>
    <xf numFmtId="178" fontId="10" fillId="0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/>
    </xf>
    <xf numFmtId="180" fontId="10" fillId="0" borderId="0" xfId="0" applyNumberFormat="1" applyFont="1" applyFill="1" applyAlignment="1">
      <alignment horizontal="center" vertical="center" wrapText="1"/>
    </xf>
    <xf numFmtId="181" fontId="10" fillId="0" borderId="0" xfId="0" applyNumberFormat="1" applyFont="1" applyFill="1" applyAlignment="1">
      <alignment horizontal="center" vertical="center" wrapText="1"/>
    </xf>
    <xf numFmtId="179" fontId="10" fillId="0" borderId="1" xfId="0" applyNumberFormat="1" applyFont="1" applyFill="1" applyBorder="1" applyAlignment="1">
      <alignment horizontal="center" vertical="center" wrapText="1"/>
    </xf>
    <xf numFmtId="178" fontId="10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180" fontId="10" fillId="0" borderId="1" xfId="0" applyNumberFormat="1" applyFont="1" applyFill="1" applyBorder="1" applyAlignment="1">
      <alignment horizontal="center" vertical="center" wrapText="1"/>
    </xf>
    <xf numFmtId="181" fontId="10" fillId="0" borderId="1" xfId="0" applyNumberFormat="1" applyFont="1" applyFill="1" applyBorder="1" applyAlignment="1">
      <alignment horizontal="center" vertical="center" wrapText="1"/>
    </xf>
    <xf numFmtId="179" fontId="4" fillId="0" borderId="1" xfId="0" applyNumberFormat="1" applyFont="1" applyFill="1" applyBorder="1" applyAlignment="1">
      <alignment horizontal="center" vertical="center" shrinkToFit="1"/>
    </xf>
    <xf numFmtId="179" fontId="10" fillId="0" borderId="1" xfId="0" applyNumberFormat="1" applyFont="1" applyFill="1" applyBorder="1" applyAlignment="1">
      <alignment horizontal="center" vertical="center" wrapText="1" shrinkToFit="1"/>
    </xf>
    <xf numFmtId="180" fontId="4" fillId="0" borderId="1" xfId="0" applyNumberFormat="1" applyFont="1" applyFill="1" applyBorder="1" applyAlignment="1">
      <alignment horizontal="center" vertical="center" wrapText="1"/>
    </xf>
    <xf numFmtId="181" fontId="20" fillId="0" borderId="1" xfId="0" applyNumberFormat="1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/>
    </xf>
    <xf numFmtId="179" fontId="37" fillId="0" borderId="1" xfId="0" applyNumberFormat="1" applyFont="1" applyFill="1" applyBorder="1" applyAlignment="1" applyProtection="1">
      <alignment horizontal="center" vertical="center" wrapText="1"/>
    </xf>
    <xf numFmtId="183" fontId="37" fillId="0" borderId="1" xfId="0" applyNumberFormat="1" applyFont="1" applyFill="1" applyBorder="1" applyAlignment="1" applyProtection="1">
      <alignment horizontal="center" vertical="center" wrapText="1"/>
    </xf>
    <xf numFmtId="0" fontId="37" fillId="0" borderId="1" xfId="0" applyFont="1" applyFill="1" applyBorder="1" applyAlignment="1" applyProtection="1">
      <alignment horizontal="center" vertical="center" wrapText="1"/>
    </xf>
    <xf numFmtId="178" fontId="37" fillId="0" borderId="1" xfId="0" applyNumberFormat="1" applyFont="1" applyFill="1" applyBorder="1" applyAlignment="1" applyProtection="1">
      <alignment horizontal="center" vertical="center" wrapText="1"/>
    </xf>
    <xf numFmtId="0" fontId="37" fillId="0" borderId="1" xfId="0" applyNumberFormat="1" applyFont="1" applyFill="1" applyBorder="1" applyAlignment="1" applyProtection="1">
      <alignment horizontal="center" vertical="center" wrapText="1" shrinkToFit="1"/>
    </xf>
    <xf numFmtId="179" fontId="37" fillId="0" borderId="1" xfId="0" applyNumberFormat="1" applyFont="1" applyFill="1" applyBorder="1" applyAlignment="1">
      <alignment horizontal="center" vertical="center" wrapText="1"/>
    </xf>
    <xf numFmtId="0" fontId="36" fillId="0" borderId="1" xfId="0" applyFont="1" applyFill="1" applyBorder="1" applyAlignment="1">
      <alignment horizontal="center" vertical="center"/>
    </xf>
    <xf numFmtId="180" fontId="37" fillId="0" borderId="1" xfId="0" applyNumberFormat="1" applyFont="1" applyFill="1" applyBorder="1" applyAlignment="1" applyProtection="1">
      <alignment horizontal="center" vertical="center" wrapText="1"/>
    </xf>
    <xf numFmtId="181" fontId="36" fillId="0" borderId="1" xfId="0" applyNumberFormat="1" applyFont="1" applyFill="1" applyBorder="1" applyAlignment="1">
      <alignment horizontal="center" vertical="center" wrapText="1"/>
    </xf>
    <xf numFmtId="181" fontId="3" fillId="0" borderId="1" xfId="0" applyNumberFormat="1" applyFont="1" applyFill="1" applyBorder="1" applyAlignment="1">
      <alignment horizontal="center" vertical="center" wrapText="1"/>
    </xf>
    <xf numFmtId="179" fontId="4" fillId="2" borderId="1" xfId="0" applyNumberFormat="1" applyFont="1" applyFill="1" applyBorder="1" applyAlignment="1" applyProtection="1">
      <alignment horizontal="center" vertical="center" wrapText="1"/>
    </xf>
    <xf numFmtId="179" fontId="14" fillId="0" borderId="1" xfId="0" applyNumberFormat="1" applyFont="1" applyFill="1" applyBorder="1" applyAlignment="1">
      <alignment horizontal="center" vertical="center" wrapText="1"/>
    </xf>
    <xf numFmtId="178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 shrinkToFit="1"/>
    </xf>
    <xf numFmtId="0" fontId="10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 wrapText="1"/>
    </xf>
    <xf numFmtId="181" fontId="20" fillId="0" borderId="3" xfId="0" applyNumberFormat="1" applyFont="1" applyFill="1" applyBorder="1" applyAlignment="1">
      <alignment horizontal="center" vertical="center" wrapText="1"/>
    </xf>
    <xf numFmtId="179" fontId="14" fillId="0" borderId="12" xfId="0" applyNumberFormat="1" applyFont="1" applyFill="1" applyBorder="1" applyAlignment="1" applyProtection="1">
      <alignment horizontal="center" vertical="center" wrapText="1"/>
    </xf>
    <xf numFmtId="183" fontId="14" fillId="0" borderId="12" xfId="0" applyNumberFormat="1" applyFont="1" applyFill="1" applyBorder="1" applyAlignment="1" applyProtection="1">
      <alignment horizontal="center" vertical="center" wrapText="1"/>
    </xf>
    <xf numFmtId="0" fontId="20" fillId="0" borderId="7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 wrapText="1"/>
    </xf>
    <xf numFmtId="179" fontId="14" fillId="0" borderId="3" xfId="0" applyNumberFormat="1" applyFont="1" applyFill="1" applyBorder="1" applyAlignment="1">
      <alignment horizontal="center" vertical="center" wrapText="1"/>
    </xf>
    <xf numFmtId="180" fontId="14" fillId="0" borderId="3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4" fillId="0" borderId="7" xfId="0" applyFont="1" applyFill="1" applyBorder="1" applyAlignment="1" applyProtection="1">
      <alignment horizontal="center" vertical="center" wrapText="1"/>
    </xf>
    <xf numFmtId="178" fontId="4" fillId="0" borderId="7" xfId="0" applyNumberFormat="1" applyFont="1" applyFill="1" applyBorder="1" applyAlignment="1" applyProtection="1">
      <alignment horizontal="center" vertical="center" wrapText="1"/>
    </xf>
    <xf numFmtId="0" fontId="4" fillId="0" borderId="7" xfId="0" applyNumberFormat="1" applyFont="1" applyFill="1" applyBorder="1" applyAlignment="1" applyProtection="1">
      <alignment horizontal="center" vertical="center" wrapText="1" shrinkToFit="1"/>
    </xf>
    <xf numFmtId="179" fontId="4" fillId="0" borderId="7" xfId="0" applyNumberFormat="1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/>
    </xf>
    <xf numFmtId="184" fontId="4" fillId="0" borderId="7" xfId="0" applyNumberFormat="1" applyFont="1" applyFill="1" applyBorder="1" applyAlignment="1" applyProtection="1">
      <alignment horizontal="center" vertical="center" wrapText="1"/>
    </xf>
    <xf numFmtId="179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 shrinkToFit="1"/>
    </xf>
    <xf numFmtId="179" fontId="29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3" fontId="29" fillId="0" borderId="1" xfId="0" applyNumberFormat="1" applyFont="1" applyFill="1" applyBorder="1" applyAlignment="1" applyProtection="1">
      <alignment horizontal="center" vertical="center" wrapText="1" shrinkToFit="1"/>
    </xf>
    <xf numFmtId="179" fontId="29" fillId="2" borderId="1" xfId="0" applyNumberFormat="1" applyFont="1" applyFill="1" applyBorder="1" applyAlignment="1" applyProtection="1">
      <alignment horizontal="center" vertical="center" wrapText="1"/>
    </xf>
    <xf numFmtId="0" fontId="29" fillId="2" borderId="1" xfId="0" applyNumberFormat="1" applyFont="1" applyFill="1" applyBorder="1" applyAlignment="1" applyProtection="1">
      <alignment horizontal="center" vertical="center" wrapText="1" shrinkToFit="1"/>
    </xf>
    <xf numFmtId="179" fontId="29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80" fontId="29" fillId="2" borderId="1" xfId="0" applyNumberFormat="1" applyFont="1" applyFill="1" applyBorder="1" applyAlignment="1" applyProtection="1">
      <alignment horizontal="center" vertical="center" wrapText="1"/>
    </xf>
    <xf numFmtId="181" fontId="3" fillId="2" borderId="1" xfId="0" applyNumberFormat="1" applyFont="1" applyFill="1" applyBorder="1" applyAlignment="1">
      <alignment horizontal="center" vertical="center" wrapText="1"/>
    </xf>
    <xf numFmtId="181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3" fontId="29" fillId="2" borderId="1" xfId="0" applyNumberFormat="1" applyFont="1" applyFill="1" applyBorder="1" applyAlignment="1" applyProtection="1">
      <alignment horizontal="center" vertical="center" wrapText="1" shrinkToFit="1"/>
    </xf>
    <xf numFmtId="179" fontId="12" fillId="0" borderId="3" xfId="0" applyNumberFormat="1" applyFont="1" applyFill="1" applyBorder="1" applyAlignment="1" applyProtection="1">
      <alignment horizontal="center" vertical="center" wrapText="1"/>
    </xf>
    <xf numFmtId="183" fontId="12" fillId="0" borderId="3" xfId="0" applyNumberFormat="1" applyFont="1" applyFill="1" applyBorder="1" applyAlignment="1" applyProtection="1">
      <alignment horizontal="center" vertical="center" wrapText="1"/>
    </xf>
    <xf numFmtId="0" fontId="12" fillId="0" borderId="3" xfId="0" applyFont="1" applyFill="1" applyBorder="1" applyAlignment="1" applyProtection="1">
      <alignment horizontal="center" vertical="center" wrapText="1"/>
    </xf>
    <xf numFmtId="178" fontId="12" fillId="0" borderId="3" xfId="0" applyNumberFormat="1" applyFont="1" applyFill="1" applyBorder="1" applyAlignment="1" applyProtection="1">
      <alignment horizontal="center" vertical="center" wrapText="1"/>
    </xf>
    <xf numFmtId="0" fontId="12" fillId="0" borderId="3" xfId="0" applyNumberFormat="1" applyFont="1" applyFill="1" applyBorder="1" applyAlignment="1" applyProtection="1">
      <alignment horizontal="center" vertical="center" wrapText="1" shrinkToFit="1"/>
    </xf>
    <xf numFmtId="0" fontId="19" fillId="0" borderId="3" xfId="0" applyFont="1" applyFill="1" applyBorder="1" applyAlignment="1">
      <alignment horizontal="center" vertical="center"/>
    </xf>
    <xf numFmtId="181" fontId="19" fillId="0" borderId="3" xfId="0" applyNumberFormat="1" applyFont="1" applyFill="1" applyBorder="1" applyAlignment="1">
      <alignment horizontal="center" vertical="center" wrapText="1"/>
    </xf>
    <xf numFmtId="179" fontId="12" fillId="0" borderId="0" xfId="0" applyNumberFormat="1" applyFont="1" applyFill="1" applyBorder="1" applyAlignment="1" applyProtection="1">
      <alignment horizontal="center" vertical="center" wrapText="1"/>
    </xf>
    <xf numFmtId="183" fontId="12" fillId="0" borderId="0" xfId="0" applyNumberFormat="1" applyFont="1" applyFill="1" applyBorder="1" applyAlignment="1" applyProtection="1">
      <alignment horizontal="center" vertical="center" wrapText="1"/>
    </xf>
    <xf numFmtId="0" fontId="12" fillId="0" borderId="0" xfId="0" applyFont="1" applyFill="1" applyBorder="1" applyAlignment="1" applyProtection="1">
      <alignment horizontal="center" vertical="center" wrapText="1"/>
    </xf>
    <xf numFmtId="178" fontId="12" fillId="0" borderId="0" xfId="0" applyNumberFormat="1" applyFont="1" applyFill="1" applyBorder="1" applyAlignment="1" applyProtection="1">
      <alignment horizontal="center" vertical="center" wrapText="1"/>
    </xf>
    <xf numFmtId="58" fontId="12" fillId="0" borderId="0" xfId="0" applyNumberFormat="1" applyFont="1" applyFill="1" applyBorder="1" applyAlignment="1" applyProtection="1">
      <alignment horizontal="center" vertical="center" wrapText="1" shrinkToFit="1"/>
    </xf>
    <xf numFmtId="181" fontId="19" fillId="0" borderId="0" xfId="0" applyNumberFormat="1" applyFont="1" applyFill="1" applyBorder="1" applyAlignment="1">
      <alignment horizontal="center" vertical="center" wrapText="1"/>
    </xf>
    <xf numFmtId="179" fontId="38" fillId="0" borderId="0" xfId="0" applyNumberFormat="1" applyFont="1" applyFill="1" applyBorder="1" applyAlignment="1">
      <alignment horizontal="right" vertical="center" wrapText="1"/>
    </xf>
    <xf numFmtId="181" fontId="38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 shrinkToFit="1"/>
    </xf>
    <xf numFmtId="181" fontId="10" fillId="0" borderId="0" xfId="0" applyNumberFormat="1" applyFont="1" applyFill="1" applyBorder="1" applyAlignment="1">
      <alignment horizontal="center" vertical="center" wrapText="1"/>
    </xf>
    <xf numFmtId="179" fontId="9" fillId="0" borderId="0" xfId="0" applyNumberFormat="1" applyFont="1" applyFill="1" applyBorder="1" applyAlignment="1">
      <alignment horizontal="right" vertical="center" wrapText="1"/>
    </xf>
    <xf numFmtId="181" fontId="9" fillId="0" borderId="0" xfId="0" applyNumberFormat="1" applyFont="1" applyFill="1" applyBorder="1" applyAlignment="1">
      <alignment horizontal="center" vertical="center" wrapText="1"/>
    </xf>
    <xf numFmtId="179" fontId="19" fillId="0" borderId="0" xfId="0" applyNumberFormat="1" applyFont="1" applyFill="1" applyBorder="1" applyAlignment="1">
      <alignment horizontal="center" vertical="center" wrapText="1"/>
    </xf>
    <xf numFmtId="179" fontId="19" fillId="0" borderId="0" xfId="0" applyNumberFormat="1" applyFont="1" applyFill="1" applyBorder="1" applyAlignment="1">
      <alignment horizontal="right" vertical="center" wrapText="1"/>
    </xf>
    <xf numFmtId="178" fontId="10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180" fontId="10" fillId="0" borderId="0" xfId="0" applyNumberFormat="1" applyFont="1" applyFill="1" applyBorder="1" applyAlignment="1">
      <alignment horizontal="center" vertical="center" wrapText="1"/>
    </xf>
    <xf numFmtId="186" fontId="9" fillId="0" borderId="0" xfId="0" applyNumberFormat="1" applyFont="1" applyFill="1" applyBorder="1" applyAlignment="1">
      <alignment horizontal="center" vertical="center" wrapText="1"/>
    </xf>
    <xf numFmtId="187" fontId="39" fillId="0" borderId="0" xfId="0" applyNumberFormat="1" applyFont="1" applyFill="1" applyBorder="1" applyAlignment="1">
      <alignment vertical="center"/>
    </xf>
    <xf numFmtId="0" fontId="40" fillId="0" borderId="0" xfId="0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/>
    </xf>
    <xf numFmtId="179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 wrapText="1"/>
    </xf>
    <xf numFmtId="179" fontId="41" fillId="0" borderId="0" xfId="0" applyNumberFormat="1" applyFont="1" applyFill="1" applyBorder="1" applyAlignment="1">
      <alignment horizontal="center" vertical="center" wrapText="1"/>
    </xf>
    <xf numFmtId="179" fontId="14" fillId="0" borderId="0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179" fontId="8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178" fontId="20" fillId="0" borderId="0" xfId="0" applyNumberFormat="1" applyFont="1" applyFill="1" applyBorder="1" applyAlignment="1">
      <alignment horizontal="center" vertical="center" wrapText="1"/>
    </xf>
    <xf numFmtId="0" fontId="34" fillId="0" borderId="0" xfId="0" applyFont="1" applyFill="1" applyBorder="1"/>
    <xf numFmtId="0" fontId="0" fillId="0" borderId="0" xfId="0" applyFill="1" applyBorder="1"/>
    <xf numFmtId="0" fontId="42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42" fillId="0" borderId="0" xfId="0" applyFont="1" applyFill="1" applyBorder="1" applyAlignment="1">
      <alignment horizontal="center" vertical="center"/>
    </xf>
    <xf numFmtId="0" fontId="42" fillId="2" borderId="0" xfId="0" applyFont="1" applyFill="1" applyAlignment="1">
      <alignment horizontal="center" vertical="center"/>
    </xf>
    <xf numFmtId="0" fontId="43" fillId="0" borderId="0" xfId="0" applyFont="1" applyFill="1" applyBorder="1" applyAlignment="1">
      <alignment horizontal="center" vertical="center"/>
    </xf>
    <xf numFmtId="0" fontId="42" fillId="0" borderId="0" xfId="0" applyFont="1" applyFill="1" applyBorder="1" applyAlignment="1">
      <alignment horizontal="left" vertical="center"/>
    </xf>
    <xf numFmtId="0" fontId="43" fillId="0" borderId="0" xfId="0" applyFont="1" applyFill="1" applyAlignment="1">
      <alignment horizontal="center" vertical="center"/>
    </xf>
    <xf numFmtId="0" fontId="42" fillId="0" borderId="0" xfId="0" applyFont="1" applyFill="1" applyAlignment="1" quotePrefix="1">
      <alignment horizontal="center" vertical="center"/>
    </xf>
    <xf numFmtId="0" fontId="3" fillId="0" borderId="1" xfId="0" applyFont="1" applyFill="1" applyBorder="1" applyAlignment="1" applyProtection="1" quotePrefix="1">
      <alignment horizontal="center" vertical="center" wrapText="1"/>
    </xf>
    <xf numFmtId="178" fontId="14" fillId="0" borderId="1" xfId="0" applyNumberFormat="1" applyFont="1" applyFill="1" applyBorder="1" applyAlignment="1" applyProtection="1" quotePrefix="1">
      <alignment horizontal="center" vertical="center" wrapText="1"/>
    </xf>
    <xf numFmtId="0" fontId="14" fillId="0" borderId="1" xfId="0" applyFont="1" applyFill="1" applyBorder="1" applyAlignment="1" applyProtection="1" quotePrefix="1">
      <alignment horizontal="center" vertical="center" wrapText="1"/>
    </xf>
    <xf numFmtId="178" fontId="4" fillId="0" borderId="1" xfId="0" applyNumberFormat="1" applyFont="1" applyFill="1" applyBorder="1" applyAlignment="1" applyProtection="1" quotePrefix="1">
      <alignment horizontal="center" vertical="center" wrapText="1"/>
    </xf>
    <xf numFmtId="178" fontId="3" fillId="0" borderId="2" xfId="0" applyNumberFormat="1" applyFont="1" applyFill="1" applyBorder="1" applyAlignment="1" applyProtection="1" quotePrefix="1">
      <alignment horizontal="center" vertical="center" wrapText="1"/>
    </xf>
    <xf numFmtId="0" fontId="3" fillId="0" borderId="2" xfId="0" applyFont="1" applyFill="1" applyBorder="1" applyAlignment="1" applyProtection="1" quotePrefix="1">
      <alignment horizontal="center" vertical="center" wrapText="1"/>
    </xf>
    <xf numFmtId="0" fontId="6" fillId="0" borderId="0" xfId="0" applyFont="1" applyAlignment="1" quotePrefix="1">
      <alignment horizontal="center" vertical="center"/>
    </xf>
  </cellXfs>
  <cellStyles count="10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2 3 3" xfId="50"/>
    <cellStyle name="常规 6" xfId="51"/>
    <cellStyle name="Normal_Book1_INVOICE (Tray 2+ 3) 2003070091&amp;031212" xfId="52"/>
    <cellStyle name="常规 5 2" xfId="53"/>
    <cellStyle name="_ET_STYLE_NoName_00_" xfId="54"/>
    <cellStyle name="常规 2 5" xfId="55"/>
    <cellStyle name="样式 1 2 2" xfId="56"/>
    <cellStyle name="常规 2 2 2" xfId="57"/>
    <cellStyle name="常规 2 2 3" xfId="58"/>
    <cellStyle name="样式 1 2 3" xfId="59"/>
    <cellStyle name="Normal 2" xfId="60"/>
    <cellStyle name="常规_评审表" xfId="61"/>
    <cellStyle name="常规 2 2" xfId="62"/>
    <cellStyle name="常规 2 3" xfId="63"/>
    <cellStyle name="常规 2 3 2" xfId="64"/>
    <cellStyle name="常规 2" xfId="65"/>
    <cellStyle name="常规 2 3 2 2" xfId="66"/>
    <cellStyle name="常规 2 4" xfId="67"/>
    <cellStyle name="常规 2 4 2" xfId="68"/>
    <cellStyle name="常规 3" xfId="69"/>
    <cellStyle name="常规 3 2" xfId="70"/>
    <cellStyle name="常规 3 2 2" xfId="71"/>
    <cellStyle name="常规 3 3" xfId="72"/>
    <cellStyle name="常规 4" xfId="73"/>
    <cellStyle name="常规 4 2" xfId="74"/>
    <cellStyle name="常规 4 2 2" xfId="75"/>
    <cellStyle name="常规 4 3" xfId="76"/>
    <cellStyle name="常规 5" xfId="77"/>
    <cellStyle name="常规_2014年Basic Concepts合同评审表(3)" xfId="78"/>
    <cellStyle name="常规_Sheet3" xfId="79"/>
    <cellStyle name="常规_排期" xfId="80"/>
    <cellStyle name="千位分隔 2" xfId="81"/>
    <cellStyle name="千位分隔 2 2" xfId="82"/>
    <cellStyle name="千位分隔 2 2 2" xfId="83"/>
    <cellStyle name="千位分隔 2 4" xfId="84"/>
    <cellStyle name="千位分隔 2 2 2 2" xfId="85"/>
    <cellStyle name="千位分隔 2 2 3" xfId="86"/>
    <cellStyle name="千位分隔 2 3" xfId="87"/>
    <cellStyle name="常规_华登制品" xfId="88"/>
    <cellStyle name="千位分隔 2 3 2" xfId="89"/>
    <cellStyle name="样式 1" xfId="90"/>
    <cellStyle name="样式 1 2" xfId="91"/>
    <cellStyle name="样式 1 2 2 2" xfId="92"/>
    <cellStyle name="样式 1 3" xfId="93"/>
    <cellStyle name="样式 1 3 2" xfId="94"/>
    <cellStyle name="样式 1 4" xfId="95"/>
    <cellStyle name="常规_内部明细" xfId="96"/>
    <cellStyle name="常规_成品库存总表_成品库存表1" xfId="97"/>
    <cellStyle name="Normal_RCI CON_ERTL EUROPE - Oct 2002 (1A)_RCIL - JAN 2004  (CPD)1_RCIL - MAR 2004  (CPD)" xfId="98"/>
    <cellStyle name="Normal_RCI CON_ERTL EUROPE - Oct 2002 (1A)_RCIL - JAN 2004  (CPD)1_RCIL - MAR 2004  (CPD) 2" xfId="9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colors>
    <mruColors>
      <color rgb="001552D1"/>
      <color rgb="001B1BFB"/>
      <color rgb="00E82EE6"/>
      <color rgb="00EB35D8"/>
      <color rgb="00ECA7E6"/>
      <color rgb="000000FF"/>
      <color rgb="00000000"/>
      <color rgb="00FF00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4533" dbFileVersion="0" changeLogVersion="0">
    <open main="198" threadCnt="1"/>
    <sheetInfos>
      <sheetInfo cellCmpFml="0" sheetStid="48">
        <open main="1" threadCnt="1"/>
      </sheetInfo>
      <sheetInfo cellCmpFml="1555" sheetStid="60">
        <open main="57" threadCnt="1"/>
      </sheetInfo>
      <sheetInfo cellCmpFml="279" sheetStid="57">
        <open main="17" threadCnt="1"/>
      </sheetInfo>
      <sheetInfo cellCmpFml="96" sheetStid="58">
        <open main="3" threadCnt="1"/>
      </sheetInfo>
      <sheetInfo cellCmpFml="2" sheetStid="61">
        <open threadCnt="1"/>
      </sheetInfo>
      <sheetInfo cellCmpFml="1588" sheetStid="55">
        <open main="67" threadCnt="1"/>
      </sheetInfo>
      <sheetInfo cellCmpFml="7" sheetStid="59">
        <open threadCnt="1"/>
      </sheetInfo>
      <sheetInfo cellCmpFml="219" sheetStid="56">
        <open main="7" threadCnt="1"/>
      </sheetInfo>
      <sheetInfo cellCmpFml="787" sheetStid="63">
        <open main="8" threadCnt="1"/>
      </sheetInfo>
      <sheetInfo cellCmpFml="0" sheetStid="65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www.wps.cn/officeDocument/2023/relationships/woinfos" Target="woinfos.xml"/><Relationship Id="rId21" Type="http://schemas.openxmlformats.org/officeDocument/2006/relationships/styles" Target="styles.xml"/><Relationship Id="rId20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4.xml"/><Relationship Id="rId18" Type="http://schemas.openxmlformats.org/officeDocument/2006/relationships/customXml" Target="../customXml/item3.xml"/><Relationship Id="rId17" Type="http://schemas.openxmlformats.org/officeDocument/2006/relationships/customXml" Target="../customXml/item2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customXml" Target="../customXml/item1.xml"/><Relationship Id="rId13" Type="http://schemas.openxmlformats.org/officeDocument/2006/relationships/externalLink" Target="externalLinks/externalLink3.xml"/><Relationship Id="rId12" Type="http://schemas.openxmlformats.org/officeDocument/2006/relationships/externalLink" Target="externalLinks/externalLink2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zengqingbo/Desktop/C:/Users/DELL/Desktop/2026&#24180;TOMY&#21360;&#23612;&#25490;&#26399;4-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zengqingbo/Desktop/C:/Users/Administrator.USER-20250219EA/Desktop/2026&#24180;TOMY&#21360;&#23612;&#25490;&#26399;4-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6&#24180;TOMY&#19996;&#33694;&#25490;&#26399;8-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名称"/>
      <sheetName val="总接单"/>
      <sheetName val="KIK总排期"/>
      <sheetName val="RRM总排期"/>
      <sheetName val="KIK已走货"/>
      <sheetName val="RRM已走货"/>
      <sheetName val="取消单"/>
    </sheetNames>
    <sheetDataSet>
      <sheetData sheetId="0" refreshError="1">
        <row r="1">
          <cell r="A1" t="str">
            <v>货号</v>
          </cell>
          <cell r="B1" t="str">
            <v>产品名称</v>
          </cell>
          <cell r="C1" t="str">
            <v>外箱</v>
          </cell>
          <cell r="D1" t="str">
            <v>车间</v>
          </cell>
        </row>
        <row r="2">
          <cell r="A2">
            <v>47329</v>
          </cell>
          <cell r="B2" t="str">
            <v>收割车</v>
          </cell>
          <cell r="C2">
            <v>2</v>
          </cell>
          <cell r="D2" t="str">
            <v>A</v>
          </cell>
        </row>
        <row r="3">
          <cell r="A3">
            <v>47399</v>
          </cell>
          <cell r="B3" t="str">
            <v>洒水车</v>
          </cell>
          <cell r="C3">
            <v>4</v>
          </cell>
          <cell r="D3" t="str">
            <v>B</v>
          </cell>
        </row>
        <row r="4">
          <cell r="A4">
            <v>47550</v>
          </cell>
          <cell r="B4" t="str">
            <v>回力车</v>
          </cell>
          <cell r="C4">
            <v>4</v>
          </cell>
          <cell r="D4" t="str">
            <v>B</v>
          </cell>
        </row>
        <row r="5">
          <cell r="A5">
            <v>47615</v>
          </cell>
          <cell r="B5" t="str">
            <v>跳舞的玉米</v>
          </cell>
          <cell r="C5">
            <v>6</v>
          </cell>
          <cell r="D5" t="str">
            <v>B</v>
          </cell>
        </row>
        <row r="6">
          <cell r="A6">
            <v>47640</v>
          </cell>
          <cell r="B6" t="str">
            <v>半挂车</v>
          </cell>
          <cell r="C6">
            <v>2</v>
          </cell>
          <cell r="D6" t="str">
            <v>B</v>
          </cell>
        </row>
        <row r="7">
          <cell r="A7">
            <v>47669</v>
          </cell>
          <cell r="B7" t="str">
            <v>动物车</v>
          </cell>
          <cell r="C7">
            <v>4</v>
          </cell>
          <cell r="D7" t="str">
            <v>KIK</v>
          </cell>
        </row>
        <row r="8">
          <cell r="A8">
            <v>47674</v>
          </cell>
          <cell r="B8" t="str">
            <v>JD LNS圆轮拖拉机</v>
          </cell>
          <cell r="C8">
            <v>2</v>
          </cell>
          <cell r="D8" t="str">
            <v>KIK</v>
          </cell>
        </row>
        <row r="9">
          <cell r="A9" t="str">
            <v>35189AZ</v>
          </cell>
          <cell r="B9" t="str">
            <v>吹气车</v>
          </cell>
          <cell r="C9">
            <v>2</v>
          </cell>
          <cell r="D9" t="str">
            <v>A</v>
          </cell>
        </row>
        <row r="10">
          <cell r="A10" t="str">
            <v>35189B</v>
          </cell>
          <cell r="B10" t="str">
            <v>吹气车</v>
          </cell>
          <cell r="C10">
            <v>2</v>
          </cell>
          <cell r="D10" t="str">
            <v>A</v>
          </cell>
        </row>
        <row r="11">
          <cell r="A11" t="str">
            <v>35189C</v>
          </cell>
          <cell r="B11" t="str">
            <v>吹气车</v>
          </cell>
          <cell r="C11">
            <v>2</v>
          </cell>
          <cell r="D11" t="str">
            <v>A</v>
          </cell>
        </row>
        <row r="12">
          <cell r="A12" t="str">
            <v>35206B</v>
          </cell>
          <cell r="B12" t="str">
            <v>猪马牛羊车（单支装）</v>
          </cell>
          <cell r="C12">
            <v>2</v>
          </cell>
          <cell r="D12" t="str">
            <v>A</v>
          </cell>
        </row>
        <row r="13">
          <cell r="A13" t="str">
            <v>35802J</v>
          </cell>
          <cell r="B13" t="str">
            <v>挖土机</v>
          </cell>
          <cell r="C13">
            <v>2</v>
          </cell>
          <cell r="D13" t="str">
            <v>KIK</v>
          </cell>
        </row>
        <row r="14">
          <cell r="A14" t="str">
            <v>46644B</v>
          </cell>
          <cell r="B14" t="str">
            <v>发光车</v>
          </cell>
          <cell r="C14">
            <v>2</v>
          </cell>
          <cell r="D14" t="str">
            <v>A</v>
          </cell>
        </row>
        <row r="15">
          <cell r="A15" t="str">
            <v>46656EU1</v>
          </cell>
          <cell r="B15" t="str">
            <v>6"拖拉机</v>
          </cell>
          <cell r="C15">
            <v>4</v>
          </cell>
          <cell r="D15" t="str">
            <v>B</v>
          </cell>
        </row>
        <row r="16">
          <cell r="A16" t="str">
            <v>46670C</v>
          </cell>
          <cell r="B16" t="str">
            <v>46656/46748
混装</v>
          </cell>
          <cell r="C16">
            <v>4</v>
          </cell>
          <cell r="D16" t="str">
            <v>B</v>
          </cell>
        </row>
        <row r="17">
          <cell r="A17" t="str">
            <v>46670TSC</v>
          </cell>
          <cell r="B17" t="str">
            <v>46656/46748
混装</v>
          </cell>
          <cell r="C17">
            <v>4</v>
          </cell>
          <cell r="D17" t="str">
            <v>B</v>
          </cell>
        </row>
        <row r="18">
          <cell r="A18" t="str">
            <v>46720J</v>
          </cell>
          <cell r="B18" t="str">
            <v>木材运输车</v>
          </cell>
          <cell r="C18">
            <v>4</v>
          </cell>
          <cell r="D18" t="str">
            <v>KIK</v>
          </cell>
        </row>
        <row r="19">
          <cell r="A19" t="str">
            <v>47101J</v>
          </cell>
          <cell r="B19" t="str">
            <v>1:16收割机</v>
          </cell>
          <cell r="C19">
            <v>1</v>
          </cell>
          <cell r="D19" t="str">
            <v>KIK</v>
          </cell>
        </row>
        <row r="20">
          <cell r="A20" t="str">
            <v>47280A</v>
          </cell>
          <cell r="B20" t="str">
            <v>童车</v>
          </cell>
          <cell r="C20">
            <v>1</v>
          </cell>
          <cell r="D20" t="str">
            <v>B</v>
          </cell>
        </row>
        <row r="21">
          <cell r="A21" t="str">
            <v>47367J</v>
          </cell>
          <cell r="B21" t="str">
            <v>1:16拖车厢</v>
          </cell>
          <cell r="C21">
            <v>2</v>
          </cell>
          <cell r="D21" t="str">
            <v>KIK</v>
          </cell>
        </row>
        <row r="22">
          <cell r="A22" t="str">
            <v>47465J1</v>
          </cell>
          <cell r="B22" t="str">
            <v>牵引车</v>
          </cell>
          <cell r="C22">
            <v>4</v>
          </cell>
          <cell r="D22" t="str">
            <v>KIK</v>
          </cell>
        </row>
        <row r="23">
          <cell r="A23" t="str">
            <v>47600J</v>
          </cell>
          <cell r="B23" t="str">
            <v>1:16货柜车</v>
          </cell>
          <cell r="C23">
            <v>2</v>
          </cell>
          <cell r="D23" t="str">
            <v>KIK</v>
          </cell>
        </row>
        <row r="24">
          <cell r="A24" t="str">
            <v>47602J</v>
          </cell>
          <cell r="B24" t="str">
            <v>1:16翻斗车</v>
          </cell>
          <cell r="C24">
            <v>4</v>
          </cell>
          <cell r="D24" t="str">
            <v>KIK</v>
          </cell>
        </row>
        <row r="25">
          <cell r="A25" t="str">
            <v>47669TSC</v>
          </cell>
          <cell r="B25" t="str">
            <v>动物车</v>
          </cell>
          <cell r="C25">
            <v>4</v>
          </cell>
          <cell r="D25" t="str">
            <v>KIK</v>
          </cell>
        </row>
        <row r="26">
          <cell r="A26" t="str">
            <v>47674DG</v>
          </cell>
          <cell r="B26" t="str">
            <v>JD LNS圆轮拖拉机</v>
          </cell>
          <cell r="C26">
            <v>2</v>
          </cell>
          <cell r="D26" t="str">
            <v>KIK</v>
          </cell>
        </row>
        <row r="27">
          <cell r="A27" t="str">
            <v>47674TSC</v>
          </cell>
          <cell r="B27" t="str">
            <v>JD LNS圆轮拖拉机</v>
          </cell>
          <cell r="C27">
            <v>2</v>
          </cell>
          <cell r="D27" t="str">
            <v>KIK</v>
          </cell>
        </row>
        <row r="28">
          <cell r="A28" t="str">
            <v>E73254</v>
          </cell>
          <cell r="B28" t="str">
            <v>恐龙推车（开窗盒）</v>
          </cell>
          <cell r="C28">
            <v>2</v>
          </cell>
          <cell r="D28" t="str">
            <v>B</v>
          </cell>
        </row>
        <row r="29">
          <cell r="A29" t="str">
            <v>E73622A</v>
          </cell>
          <cell r="B29" t="str">
            <v>布鲁伊家族杯子套装</v>
          </cell>
          <cell r="C29">
            <v>4</v>
          </cell>
          <cell r="D29" t="str">
            <v>KIK</v>
          </cell>
        </row>
        <row r="30">
          <cell r="A30" t="str">
            <v>E73622AWM</v>
          </cell>
          <cell r="B30" t="str">
            <v>布鲁伊家族沐浴玩具</v>
          </cell>
          <cell r="C30">
            <v>2</v>
          </cell>
          <cell r="D30" t="str">
            <v>KIK</v>
          </cell>
        </row>
        <row r="31">
          <cell r="A31" t="str">
            <v>E73622AZ</v>
          </cell>
          <cell r="B31" t="str">
            <v>布鲁伊家族沐浴玩具</v>
          </cell>
          <cell r="C31">
            <v>6</v>
          </cell>
          <cell r="D31" t="str">
            <v>KIK</v>
          </cell>
        </row>
        <row r="32">
          <cell r="A32" t="str">
            <v>E73623A1</v>
          </cell>
          <cell r="B32" t="str">
            <v>布鲁伊+宾果沐浴玩具混装</v>
          </cell>
          <cell r="C32">
            <v>6</v>
          </cell>
          <cell r="D32" t="str">
            <v>KIK</v>
          </cell>
        </row>
        <row r="33">
          <cell r="A33" t="str">
            <v>E73635A</v>
          </cell>
          <cell r="B33" t="str">
            <v>布鲁伊沐浴玩具</v>
          </cell>
          <cell r="C33">
            <v>6</v>
          </cell>
          <cell r="D33" t="str">
            <v>KIK</v>
          </cell>
        </row>
        <row r="34">
          <cell r="A34" t="str">
            <v>E73636A</v>
          </cell>
          <cell r="B34" t="str">
            <v>宾果沐浴玩具</v>
          </cell>
          <cell r="C34">
            <v>6</v>
          </cell>
          <cell r="D34" t="str">
            <v>KIK</v>
          </cell>
        </row>
        <row r="35">
          <cell r="A35" t="str">
            <v>E73697</v>
          </cell>
          <cell r="B35" t="str">
            <v>EVA拼图</v>
          </cell>
          <cell r="C35">
            <v>6</v>
          </cell>
          <cell r="D35" t="str">
            <v>B</v>
          </cell>
        </row>
        <row r="36">
          <cell r="A36" t="str">
            <v>E73697WM</v>
          </cell>
          <cell r="B36" t="str">
            <v>EVA拼图</v>
          </cell>
          <cell r="C36">
            <v>4</v>
          </cell>
          <cell r="D36" t="str">
            <v>B</v>
          </cell>
        </row>
        <row r="37">
          <cell r="A37" t="str">
            <v>E73814C</v>
          </cell>
          <cell r="B37" t="str">
            <v>泡泡壶</v>
          </cell>
          <cell r="C37">
            <v>4</v>
          </cell>
          <cell r="D37" t="str">
            <v>KIK</v>
          </cell>
        </row>
        <row r="38">
          <cell r="A38" t="str">
            <v>E73860C</v>
          </cell>
          <cell r="B38" t="str">
            <v>泡泡壶密封盒</v>
          </cell>
          <cell r="C38">
            <v>4</v>
          </cell>
          <cell r="D38" t="str">
            <v>KIK</v>
          </cell>
        </row>
        <row r="39">
          <cell r="A39" t="str">
            <v>L27870TG</v>
          </cell>
          <cell r="B39" t="str">
            <v>杯子</v>
          </cell>
          <cell r="C39">
            <v>18</v>
          </cell>
          <cell r="D39" t="str">
            <v>B</v>
          </cell>
        </row>
        <row r="40">
          <cell r="A40" t="str">
            <v>T72465EN6</v>
          </cell>
          <cell r="B40" t="str">
            <v>贪婪的老奶奶</v>
          </cell>
          <cell r="C40">
            <v>6</v>
          </cell>
          <cell r="D40" t="str">
            <v>B</v>
          </cell>
        </row>
        <row r="41">
          <cell r="A41" t="str">
            <v>T72465IT3</v>
          </cell>
          <cell r="B41" t="str">
            <v>贪婪的老奶奶</v>
          </cell>
          <cell r="C41">
            <v>6</v>
          </cell>
          <cell r="D41" t="str">
            <v>B</v>
          </cell>
        </row>
        <row r="42">
          <cell r="A42" t="str">
            <v>T72465SPT</v>
          </cell>
          <cell r="B42" t="str">
            <v>贪婪的老奶奶</v>
          </cell>
          <cell r="C42">
            <v>6</v>
          </cell>
          <cell r="D42" t="str">
            <v>B</v>
          </cell>
        </row>
        <row r="43">
          <cell r="A43" t="str">
            <v>T73785EN</v>
          </cell>
          <cell r="B43" t="str">
            <v>游戏转盘</v>
          </cell>
          <cell r="C43">
            <v>6</v>
          </cell>
          <cell r="D43" t="str">
            <v>KIK</v>
          </cell>
        </row>
        <row r="44">
          <cell r="A44" t="str">
            <v>Y2049L</v>
          </cell>
          <cell r="B44" t="str">
            <v>锁匙</v>
          </cell>
          <cell r="C44">
            <v>36</v>
          </cell>
          <cell r="D44" t="str">
            <v>B</v>
          </cell>
        </row>
        <row r="45">
          <cell r="A45" t="str">
            <v>Y2341G</v>
          </cell>
          <cell r="B45" t="str">
            <v>杯子</v>
          </cell>
          <cell r="C45">
            <v>18</v>
          </cell>
          <cell r="D45" t="str">
            <v>B</v>
          </cell>
        </row>
        <row r="46">
          <cell r="A46" t="str">
            <v>Y2049G1</v>
          </cell>
          <cell r="B46" t="str">
            <v>锁匙</v>
          </cell>
          <cell r="C46">
            <v>36</v>
          </cell>
          <cell r="D46" t="str">
            <v>B</v>
          </cell>
        </row>
        <row r="47">
          <cell r="A47">
            <v>46088</v>
          </cell>
          <cell r="B47" t="str">
            <v>吹气三轮车</v>
          </cell>
          <cell r="C47">
            <v>1</v>
          </cell>
          <cell r="D47" t="str">
            <v>A</v>
          </cell>
        </row>
        <row r="48">
          <cell r="A48" t="str">
            <v>E73647BZR</v>
          </cell>
          <cell r="B48" t="str">
            <v>手镯和球</v>
          </cell>
          <cell r="C48">
            <v>12</v>
          </cell>
          <cell r="D48" t="str">
            <v>B</v>
          </cell>
        </row>
        <row r="49">
          <cell r="A49">
            <v>43379</v>
          </cell>
          <cell r="B49" t="str">
            <v>手镯和球</v>
          </cell>
          <cell r="C49">
            <v>12</v>
          </cell>
          <cell r="D49" t="str">
            <v>B</v>
          </cell>
        </row>
        <row r="50">
          <cell r="A50" t="str">
            <v>T72465ML3</v>
          </cell>
          <cell r="B50" t="str">
            <v>贪婪的老奶奶</v>
          </cell>
          <cell r="C50">
            <v>6</v>
          </cell>
          <cell r="D50" t="str">
            <v>B</v>
          </cell>
        </row>
        <row r="51">
          <cell r="A51" t="str">
            <v>T72465ADR2</v>
          </cell>
          <cell r="B51" t="str">
            <v>贪婪的老奶奶</v>
          </cell>
          <cell r="C51">
            <v>6</v>
          </cell>
          <cell r="D51" t="str">
            <v>B</v>
          </cell>
        </row>
        <row r="52">
          <cell r="A52" t="str">
            <v>L27870B</v>
          </cell>
          <cell r="B52" t="str">
            <v>杯子</v>
          </cell>
          <cell r="C52">
            <v>18</v>
          </cell>
          <cell r="D52" t="str">
            <v>B</v>
          </cell>
        </row>
        <row r="53">
          <cell r="A53" t="str">
            <v>T72465ASC1</v>
          </cell>
          <cell r="B53" t="str">
            <v>贪婪的老奶奶</v>
          </cell>
          <cell r="C53">
            <v>6</v>
          </cell>
          <cell r="D53" t="str">
            <v>B</v>
          </cell>
        </row>
        <row r="54">
          <cell r="A54" t="str">
            <v>T72465RO</v>
          </cell>
          <cell r="B54" t="str">
            <v>贪婪的老奶奶</v>
          </cell>
          <cell r="C54">
            <v>6</v>
          </cell>
          <cell r="D54" t="str">
            <v>B</v>
          </cell>
        </row>
        <row r="55">
          <cell r="A55" t="str">
            <v>T72465BZR2</v>
          </cell>
          <cell r="B55" t="str">
            <v>贪婪的老奶奶</v>
          </cell>
          <cell r="C55">
            <v>6</v>
          </cell>
          <cell r="D55" t="str">
            <v>B</v>
          </cell>
        </row>
        <row r="56">
          <cell r="A56" t="str">
            <v>47391J</v>
          </cell>
          <cell r="B56" t="str">
            <v>1:16收割机</v>
          </cell>
          <cell r="C56">
            <v>1</v>
          </cell>
          <cell r="D56" t="str">
            <v>KIK</v>
          </cell>
        </row>
        <row r="57">
          <cell r="A57" t="str">
            <v>Y2341C</v>
          </cell>
          <cell r="B57" t="str">
            <v>杯子</v>
          </cell>
          <cell r="C57">
            <v>18</v>
          </cell>
          <cell r="D57" t="str">
            <v>KIK</v>
          </cell>
        </row>
        <row r="58">
          <cell r="A58" t="str">
            <v>E73855A1</v>
          </cell>
          <cell r="B58" t="str">
            <v>马里奥能量蘑菇吸塑混装</v>
          </cell>
          <cell r="C58">
            <v>6</v>
          </cell>
          <cell r="D58" t="str">
            <v>KIK</v>
          </cell>
        </row>
        <row r="59">
          <cell r="A59" t="str">
            <v>E73906</v>
          </cell>
          <cell r="B59" t="str">
            <v>马里奥和他的蘑菇</v>
          </cell>
          <cell r="C59">
            <v>6</v>
          </cell>
          <cell r="D59" t="str">
            <v>KIK</v>
          </cell>
        </row>
        <row r="60">
          <cell r="A60" t="str">
            <v>E73907</v>
          </cell>
          <cell r="B60" t="str">
            <v>能量蘑菇</v>
          </cell>
          <cell r="C60">
            <v>6</v>
          </cell>
          <cell r="D60" t="str">
            <v>KIK</v>
          </cell>
        </row>
        <row r="61">
          <cell r="A61" t="str">
            <v>E73856</v>
          </cell>
          <cell r="B61" t="str">
            <v>宝箱马里奥</v>
          </cell>
          <cell r="C61">
            <v>4</v>
          </cell>
          <cell r="D61" t="str">
            <v>KIK</v>
          </cell>
        </row>
        <row r="62">
          <cell r="A62" t="str">
            <v>E73857</v>
          </cell>
          <cell r="B62" t="str">
            <v>管道马里奥</v>
          </cell>
          <cell r="C62">
            <v>4</v>
          </cell>
          <cell r="D62" t="str">
            <v>KIK</v>
          </cell>
        </row>
        <row r="63">
          <cell r="A63" t="str">
            <v>E73956</v>
          </cell>
          <cell r="B63" t="str">
            <v>马里奥能量蘑菇密封盒混装</v>
          </cell>
          <cell r="C63">
            <v>6</v>
          </cell>
          <cell r="D63" t="str">
            <v>KIK</v>
          </cell>
        </row>
        <row r="64">
          <cell r="A64" t="str">
            <v>T73955</v>
          </cell>
          <cell r="B64" t="str">
            <v>发光车</v>
          </cell>
          <cell r="C64">
            <v>2</v>
          </cell>
          <cell r="D64" t="str">
            <v>A</v>
          </cell>
        </row>
        <row r="65">
          <cell r="A65" t="str">
            <v>L27870C</v>
          </cell>
          <cell r="B65" t="str">
            <v>杯子</v>
          </cell>
          <cell r="C65">
            <v>18</v>
          </cell>
          <cell r="D65" t="str">
            <v>KIK</v>
          </cell>
        </row>
        <row r="66">
          <cell r="A66" t="str">
            <v>Y2049G2</v>
          </cell>
          <cell r="B66" t="str">
            <v>锁匙</v>
          </cell>
          <cell r="C66">
            <v>36</v>
          </cell>
          <cell r="D66" t="str">
            <v>KIK</v>
          </cell>
        </row>
        <row r="67">
          <cell r="A67" t="str">
            <v>E73860PL</v>
          </cell>
          <cell r="B67" t="str">
            <v>泡泡壶</v>
          </cell>
          <cell r="C67">
            <v>4</v>
          </cell>
          <cell r="D67" t="str">
            <v>KIK</v>
          </cell>
        </row>
        <row r="68">
          <cell r="A68" t="str">
            <v>47722A</v>
          </cell>
          <cell r="B68" t="str">
            <v>农场男孩套装</v>
          </cell>
          <cell r="C68">
            <v>4</v>
          </cell>
          <cell r="D68" t="str">
            <v>KIK</v>
          </cell>
        </row>
        <row r="69">
          <cell r="A69" t="str">
            <v>47723A</v>
          </cell>
          <cell r="B69" t="str">
            <v>农场女孩套装</v>
          </cell>
          <cell r="C69">
            <v>4</v>
          </cell>
          <cell r="D69" t="str">
            <v>KIK</v>
          </cell>
        </row>
        <row r="70">
          <cell r="A70" t="str">
            <v>47711A</v>
          </cell>
          <cell r="B70" t="str">
            <v>红色铲车</v>
          </cell>
          <cell r="C70">
            <v>4</v>
          </cell>
          <cell r="D70" t="str">
            <v>KIK</v>
          </cell>
        </row>
        <row r="71">
          <cell r="A71" t="str">
            <v>47713A</v>
          </cell>
          <cell r="B71" t="str">
            <v>黄色铲车</v>
          </cell>
          <cell r="C71">
            <v>4</v>
          </cell>
          <cell r="D71" t="str">
            <v>KIK</v>
          </cell>
        </row>
        <row r="72">
          <cell r="A72" t="str">
            <v>47714A</v>
          </cell>
          <cell r="B72" t="str">
            <v>绿色铲车</v>
          </cell>
          <cell r="C72">
            <v>2</v>
          </cell>
          <cell r="D72" t="str">
            <v>KIK</v>
          </cell>
        </row>
        <row r="73">
          <cell r="A73" t="str">
            <v>E73705A</v>
          </cell>
          <cell r="B73" t="str">
            <v>布鲁伊混装</v>
          </cell>
          <cell r="C73">
            <v>4</v>
          </cell>
          <cell r="D73" t="str">
            <v>KIK</v>
          </cell>
        </row>
        <row r="74">
          <cell r="A74" t="str">
            <v>E73907A</v>
          </cell>
          <cell r="B74" t="str">
            <v>能量蘑菇</v>
          </cell>
          <cell r="C74">
            <v>6</v>
          </cell>
          <cell r="D74" t="str">
            <v>KIK</v>
          </cell>
        </row>
        <row r="75">
          <cell r="A75" t="str">
            <v>47716A</v>
          </cell>
          <cell r="B75" t="str">
            <v>滑板拖车</v>
          </cell>
          <cell r="C75">
            <v>4</v>
          </cell>
          <cell r="D75" t="str">
            <v>KIK</v>
          </cell>
        </row>
        <row r="76">
          <cell r="A76" t="str">
            <v>47712A</v>
          </cell>
          <cell r="B76" t="str">
            <v>绿色拖拉机</v>
          </cell>
          <cell r="C76">
            <v>2</v>
          </cell>
          <cell r="D76" t="str">
            <v>KIK</v>
          </cell>
        </row>
        <row r="77">
          <cell r="A77" t="str">
            <v>E73906US</v>
          </cell>
          <cell r="B77" t="str">
            <v>马里奥和他的蘑菇</v>
          </cell>
          <cell r="C77">
            <v>6</v>
          </cell>
          <cell r="D77" t="str">
            <v>KIK</v>
          </cell>
        </row>
        <row r="78">
          <cell r="A78" t="str">
            <v>E73907US</v>
          </cell>
          <cell r="B78" t="str">
            <v>能量蘑菇</v>
          </cell>
          <cell r="C78">
            <v>6</v>
          </cell>
          <cell r="D78" t="str">
            <v>KIK</v>
          </cell>
        </row>
        <row r="79">
          <cell r="A79" t="str">
            <v>E73855US</v>
          </cell>
          <cell r="B79" t="str">
            <v>马里奥能量蘑菇吸塑混装</v>
          </cell>
          <cell r="C79">
            <v>6</v>
          </cell>
          <cell r="D79" t="str">
            <v>KIK</v>
          </cell>
        </row>
        <row r="80">
          <cell r="A80" t="str">
            <v>E73956US</v>
          </cell>
          <cell r="B80" t="str">
            <v>马里奥能量蘑菇密封盒混装</v>
          </cell>
          <cell r="C80">
            <v>6</v>
          </cell>
          <cell r="D80" t="str">
            <v>KIK</v>
          </cell>
        </row>
        <row r="81">
          <cell r="A81" t="str">
            <v>47274J</v>
          </cell>
          <cell r="B81" t="str">
            <v>1#农场朋友混合</v>
          </cell>
          <cell r="C81">
            <v>4</v>
          </cell>
          <cell r="D81" t="str">
            <v>RRM</v>
          </cell>
        </row>
        <row r="82">
          <cell r="A82" t="str">
            <v>Y2049L1</v>
          </cell>
          <cell r="B82" t="str">
            <v>锁匙</v>
          </cell>
          <cell r="C82">
            <v>36</v>
          </cell>
          <cell r="D82" t="str">
            <v>KIK</v>
          </cell>
        </row>
        <row r="83">
          <cell r="A83" t="str">
            <v>995135(E73857)</v>
          </cell>
          <cell r="B83" t="str">
            <v>管道马里奥</v>
          </cell>
          <cell r="C83">
            <v>4</v>
          </cell>
          <cell r="D83" t="str">
            <v>KIK</v>
          </cell>
        </row>
        <row r="84">
          <cell r="A84" t="str">
            <v>995142(E73856)</v>
          </cell>
          <cell r="B84" t="str">
            <v>宝箱马里奥</v>
          </cell>
          <cell r="C84">
            <v>4</v>
          </cell>
          <cell r="D84" t="str">
            <v>KIK</v>
          </cell>
        </row>
        <row r="85">
          <cell r="A85" t="str">
            <v>995159(E73906)</v>
          </cell>
          <cell r="B85" t="str">
            <v>马里奥和他的蘑菇</v>
          </cell>
          <cell r="C85">
            <v>6</v>
          </cell>
          <cell r="D85" t="str">
            <v>KIK</v>
          </cell>
        </row>
        <row r="86">
          <cell r="A86" t="str">
            <v>096283(E73907)</v>
          </cell>
          <cell r="B86" t="str">
            <v>能量蘑菇</v>
          </cell>
          <cell r="C86">
            <v>6</v>
          </cell>
          <cell r="D86" t="str">
            <v>KIK</v>
          </cell>
        </row>
        <row r="87">
          <cell r="A87" t="str">
            <v>E74041BULK</v>
          </cell>
          <cell r="B87" t="str">
            <v>布鲁伊批量装</v>
          </cell>
          <cell r="C87">
            <v>24</v>
          </cell>
          <cell r="D87" t="str">
            <v>KIK</v>
          </cell>
        </row>
        <row r="88">
          <cell r="A88" t="str">
            <v>47674DG2</v>
          </cell>
          <cell r="B88" t="str">
            <v>JD LNS圆轮拖拉机</v>
          </cell>
          <cell r="C88">
            <v>2</v>
          </cell>
          <cell r="D88" t="str">
            <v>KIK</v>
          </cell>
        </row>
        <row r="89">
          <cell r="A89" t="str">
            <v>35765D</v>
          </cell>
          <cell r="B89" t="str">
            <v>JD 大铲斗挖掘机</v>
          </cell>
          <cell r="C89">
            <v>2</v>
          </cell>
          <cell r="D89" t="str">
            <v>RRM</v>
          </cell>
        </row>
        <row r="90">
          <cell r="A90" t="str">
            <v>35766C</v>
          </cell>
          <cell r="B90" t="str">
            <v>JD15 英寸大铲斗自卸卡车</v>
          </cell>
          <cell r="C90">
            <v>2</v>
          </cell>
          <cell r="D90" t="str">
            <v>RRM</v>
          </cell>
        </row>
        <row r="91">
          <cell r="A91" t="str">
            <v>E73956A1</v>
          </cell>
          <cell r="B91" t="str">
            <v>马里奥能量蘑菇密封盒混装</v>
          </cell>
          <cell r="C91">
            <v>6</v>
          </cell>
          <cell r="D91" t="str">
            <v>KIK</v>
          </cell>
        </row>
        <row r="92">
          <cell r="A92" t="str">
            <v>E73858</v>
          </cell>
          <cell r="B92" t="str">
            <v>浮水马里奥</v>
          </cell>
          <cell r="C92">
            <v>3</v>
          </cell>
          <cell r="D92" t="str">
            <v>KIK</v>
          </cell>
        </row>
        <row r="93">
          <cell r="A93" t="str">
            <v>L21106</v>
          </cell>
          <cell r="B93" t="str">
            <v>盲盒公仔(塑胶毛绒)</v>
          </cell>
          <cell r="C93">
            <v>6</v>
          </cell>
          <cell r="D93" t="str">
            <v>河源</v>
          </cell>
        </row>
        <row r="94">
          <cell r="A94" t="str">
            <v>L21011</v>
          </cell>
          <cell r="B94" t="str">
            <v>11寸大毛绒</v>
          </cell>
          <cell r="C94">
            <v>2</v>
          </cell>
          <cell r="D94" t="str">
            <v>河源</v>
          </cell>
        </row>
        <row r="95">
          <cell r="A95" t="str">
            <v>L19200</v>
          </cell>
        </row>
        <row r="95">
          <cell r="D95" t="str">
            <v>河源</v>
          </cell>
        </row>
        <row r="96">
          <cell r="A96" t="str">
            <v>L19201</v>
          </cell>
        </row>
        <row r="96">
          <cell r="D96" t="str">
            <v>河源</v>
          </cell>
        </row>
        <row r="97">
          <cell r="A97" t="str">
            <v>L19202</v>
          </cell>
        </row>
        <row r="97">
          <cell r="D97" t="str">
            <v>河源</v>
          </cell>
        </row>
        <row r="98">
          <cell r="A98" t="str">
            <v>E73907A1</v>
          </cell>
          <cell r="B98" t="str">
            <v>能量蘑菇</v>
          </cell>
          <cell r="C98">
            <v>6</v>
          </cell>
          <cell r="D98" t="str">
            <v>KIK</v>
          </cell>
        </row>
        <row r="99">
          <cell r="A99" t="str">
            <v>47669TSCA</v>
          </cell>
          <cell r="B99" t="str">
            <v>动物车</v>
          </cell>
          <cell r="C99">
            <v>4</v>
          </cell>
          <cell r="D99" t="str">
            <v>KIK</v>
          </cell>
        </row>
        <row r="100">
          <cell r="A100" t="str">
            <v>47674TSCA</v>
          </cell>
          <cell r="B100" t="str">
            <v>JD LNS圆轮拖拉机</v>
          </cell>
          <cell r="C100">
            <v>2</v>
          </cell>
          <cell r="D100" t="str">
            <v>KIK</v>
          </cell>
        </row>
        <row r="101">
          <cell r="A101" t="str">
            <v>46670TSCA</v>
          </cell>
          <cell r="B101" t="str">
            <v>46656/46748
混装</v>
          </cell>
          <cell r="C101">
            <v>4</v>
          </cell>
          <cell r="D101" t="str">
            <v>B</v>
          </cell>
        </row>
        <row r="102">
          <cell r="A102">
            <v>46696</v>
          </cell>
          <cell r="B102" t="str">
            <v>电子洒水车</v>
          </cell>
          <cell r="C102">
            <v>4</v>
          </cell>
          <cell r="D102" t="str">
            <v>A</v>
          </cell>
        </row>
        <row r="103">
          <cell r="A103" t="str">
            <v>47674A</v>
          </cell>
          <cell r="B103" t="str">
            <v>JD LNS圆轮拖拉机</v>
          </cell>
          <cell r="C103">
            <v>2</v>
          </cell>
          <cell r="D103" t="str">
            <v>KIK</v>
          </cell>
        </row>
        <row r="104">
          <cell r="A104" t="str">
            <v>E73858AZ</v>
          </cell>
          <cell r="B104" t="str">
            <v>浮水马里奥</v>
          </cell>
          <cell r="C104">
            <v>3</v>
          </cell>
          <cell r="D104" t="str">
            <v>KIK</v>
          </cell>
        </row>
        <row r="105">
          <cell r="A105" t="str">
            <v>47714ATSC</v>
          </cell>
          <cell r="B105" t="str">
            <v>绿色铲车</v>
          </cell>
          <cell r="C105">
            <v>2</v>
          </cell>
          <cell r="D105" t="str">
            <v>KIK</v>
          </cell>
        </row>
        <row r="106">
          <cell r="A106" t="str">
            <v>43452PL</v>
          </cell>
          <cell r="B106" t="str">
            <v>47674PL/47716PL混装</v>
          </cell>
          <cell r="C106">
            <v>4</v>
          </cell>
          <cell r="D106" t="str">
            <v>KIK</v>
          </cell>
        </row>
        <row r="107">
          <cell r="A107" t="str">
            <v>47023A1</v>
          </cell>
          <cell r="B107" t="str">
            <v>工程玩具挖掘机</v>
          </cell>
          <cell r="C107">
            <v>2</v>
          </cell>
          <cell r="D107" t="str">
            <v>RRM</v>
          </cell>
        </row>
        <row r="108">
          <cell r="A108" t="str">
            <v>47616A</v>
          </cell>
          <cell r="B108" t="str">
            <v>沙盒建造三件套</v>
          </cell>
          <cell r="C108">
            <v>4</v>
          </cell>
          <cell r="D108" t="str">
            <v>RRM</v>
          </cell>
        </row>
        <row r="109">
          <cell r="A109" t="str">
            <v>35874VAZ</v>
          </cell>
        </row>
        <row r="109">
          <cell r="D109" t="str">
            <v>RRM</v>
          </cell>
        </row>
        <row r="110">
          <cell r="A110" t="str">
            <v>46745V</v>
          </cell>
        </row>
        <row r="110">
          <cell r="D110" t="str">
            <v>RRM</v>
          </cell>
        </row>
        <row r="111">
          <cell r="A111" t="str">
            <v>35874A1</v>
          </cell>
        </row>
        <row r="111">
          <cell r="D111" t="str">
            <v>RRM</v>
          </cell>
        </row>
        <row r="112">
          <cell r="A112" t="str">
            <v>37558V2</v>
          </cell>
        </row>
        <row r="112">
          <cell r="D112" t="str">
            <v>RRM</v>
          </cell>
        </row>
        <row r="113">
          <cell r="A113">
            <v>47616</v>
          </cell>
          <cell r="B113" t="str">
            <v>沙盒建造三件套</v>
          </cell>
          <cell r="C113">
            <v>4</v>
          </cell>
          <cell r="D113" t="str">
            <v>RRM</v>
          </cell>
        </row>
        <row r="114">
          <cell r="A114" t="str">
            <v>47339A</v>
          </cell>
        </row>
        <row r="114">
          <cell r="D114" t="str">
            <v>RRM</v>
          </cell>
        </row>
        <row r="115">
          <cell r="A115" t="str">
            <v>47274A</v>
          </cell>
          <cell r="B115" t="str">
            <v>1#农场朋友混合</v>
          </cell>
          <cell r="C115">
            <v>4</v>
          </cell>
          <cell r="D115" t="str">
            <v>RRM</v>
          </cell>
        </row>
        <row r="116">
          <cell r="A116" t="str">
            <v>47193B</v>
          </cell>
        </row>
        <row r="116">
          <cell r="D116" t="str">
            <v>RRM</v>
          </cell>
        </row>
        <row r="117">
          <cell r="A117" t="str">
            <v>47207A</v>
          </cell>
        </row>
        <row r="117">
          <cell r="D117" t="str">
            <v>RRM</v>
          </cell>
        </row>
        <row r="118">
          <cell r="A118" t="str">
            <v>46701V1</v>
          </cell>
        </row>
        <row r="118">
          <cell r="D118" t="str">
            <v>RRM</v>
          </cell>
        </row>
        <row r="119">
          <cell r="A119" t="str">
            <v>47023V1</v>
          </cell>
          <cell r="B119" t="str">
            <v>工程玩具挖掘机</v>
          </cell>
          <cell r="C119">
            <v>2</v>
          </cell>
          <cell r="D119" t="str">
            <v>RRM</v>
          </cell>
        </row>
        <row r="120">
          <cell r="A120" t="str">
            <v>35765C</v>
          </cell>
          <cell r="B120" t="str">
            <v>JD 大铲斗挖掘机</v>
          </cell>
          <cell r="C120">
            <v>2</v>
          </cell>
          <cell r="D120" t="str">
            <v>RRM</v>
          </cell>
        </row>
        <row r="121">
          <cell r="A121" t="str">
            <v>35766B</v>
          </cell>
          <cell r="B121" t="str">
            <v>JD15 英寸大铲斗自卸卡车</v>
          </cell>
          <cell r="C121">
            <v>2</v>
          </cell>
          <cell r="D121" t="str">
            <v>RRM</v>
          </cell>
        </row>
        <row r="122">
          <cell r="A122" t="str">
            <v>35766V</v>
          </cell>
          <cell r="B122" t="str">
            <v>JD15 英寸大铲斗自卸卡车</v>
          </cell>
          <cell r="C122">
            <v>2</v>
          </cell>
          <cell r="D122" t="str">
            <v>RRM</v>
          </cell>
        </row>
        <row r="123">
          <cell r="A123" t="str">
            <v>46510V2</v>
          </cell>
        </row>
        <row r="123">
          <cell r="D123" t="str">
            <v>RRM</v>
          </cell>
        </row>
        <row r="124">
          <cell r="A124" t="str">
            <v>35850CM</v>
          </cell>
        </row>
        <row r="124">
          <cell r="D124" t="str">
            <v>RRM</v>
          </cell>
        </row>
        <row r="125">
          <cell r="A125" t="str">
            <v>E73855A2</v>
          </cell>
          <cell r="B125" t="str">
            <v>马里奥能量蘑菇吸塑混装</v>
          </cell>
          <cell r="C125">
            <v>6</v>
          </cell>
          <cell r="D125" t="str">
            <v>KIK</v>
          </cell>
        </row>
        <row r="126">
          <cell r="A126" t="str">
            <v>E73856AZ</v>
          </cell>
          <cell r="B126" t="str">
            <v>宝箱马里奥</v>
          </cell>
          <cell r="C126">
            <v>4</v>
          </cell>
          <cell r="D126" t="str">
            <v>KIK</v>
          </cell>
        </row>
        <row r="127">
          <cell r="A127" t="str">
            <v>E73857AZ</v>
          </cell>
          <cell r="B127" t="str">
            <v>管道马里奥</v>
          </cell>
          <cell r="C127">
            <v>4</v>
          </cell>
          <cell r="D127" t="str">
            <v>KIK</v>
          </cell>
        </row>
        <row r="128">
          <cell r="A128" t="str">
            <v>F5861ML2</v>
          </cell>
          <cell r="B128" t="str">
            <v>拉管机</v>
          </cell>
          <cell r="C128">
            <v>3</v>
          </cell>
          <cell r="D128" t="str">
            <v>RRM</v>
          </cell>
        </row>
        <row r="129">
          <cell r="A129" t="str">
            <v>47023AZ2</v>
          </cell>
          <cell r="B129" t="str">
            <v>工程玩具挖掘机</v>
          </cell>
          <cell r="C129">
            <v>2</v>
          </cell>
          <cell r="D129" t="str">
            <v>RRM</v>
          </cell>
        </row>
        <row r="130">
          <cell r="A130" t="str">
            <v>L21010A7</v>
          </cell>
          <cell r="B130" t="str">
            <v>盲盒系列兔子</v>
          </cell>
          <cell r="C130">
            <v>6</v>
          </cell>
          <cell r="D130" t="str">
            <v>KIK</v>
          </cell>
        </row>
        <row r="131">
          <cell r="A131" t="str">
            <v>35874A1J</v>
          </cell>
          <cell r="B131" t="str">
            <v>沙河交通工具两件套</v>
          </cell>
          <cell r="C131">
            <v>12</v>
          </cell>
          <cell r="D131" t="str">
            <v>RRM</v>
          </cell>
        </row>
        <row r="132">
          <cell r="A132" t="str">
            <v>35874VAZJ</v>
          </cell>
          <cell r="B132" t="str">
            <v> 沙河交通工具两件套</v>
          </cell>
          <cell r="C132">
            <v>12</v>
          </cell>
          <cell r="D132" t="str">
            <v>RRM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名称"/>
      <sheetName val="总接单"/>
      <sheetName val="KIK总排期"/>
      <sheetName val="RRM总排期"/>
      <sheetName val="KIK已走货"/>
      <sheetName val="RRM已走货"/>
      <sheetName val="取消单"/>
    </sheetNames>
    <sheetDataSet>
      <sheetData sheetId="0">
        <row r="1">
          <cell r="A1" t="str">
            <v>货号</v>
          </cell>
          <cell r="B1" t="str">
            <v>产品名称</v>
          </cell>
          <cell r="C1" t="str">
            <v>外箱</v>
          </cell>
          <cell r="D1" t="str">
            <v>车间</v>
          </cell>
        </row>
        <row r="2">
          <cell r="A2">
            <v>47329</v>
          </cell>
          <cell r="B2" t="str">
            <v>收割车</v>
          </cell>
          <cell r="C2">
            <v>2</v>
          </cell>
          <cell r="D2" t="str">
            <v>A</v>
          </cell>
        </row>
        <row r="3">
          <cell r="A3">
            <v>47399</v>
          </cell>
          <cell r="B3" t="str">
            <v>洒水车</v>
          </cell>
          <cell r="C3">
            <v>4</v>
          </cell>
          <cell r="D3" t="str">
            <v>B</v>
          </cell>
        </row>
        <row r="4">
          <cell r="A4">
            <v>47550</v>
          </cell>
          <cell r="B4" t="str">
            <v>回力车</v>
          </cell>
          <cell r="C4">
            <v>4</v>
          </cell>
          <cell r="D4" t="str">
            <v>B</v>
          </cell>
        </row>
        <row r="5">
          <cell r="A5">
            <v>47615</v>
          </cell>
          <cell r="B5" t="str">
            <v>跳舞的玉米</v>
          </cell>
          <cell r="C5">
            <v>6</v>
          </cell>
          <cell r="D5" t="str">
            <v>B</v>
          </cell>
        </row>
        <row r="6">
          <cell r="A6">
            <v>47640</v>
          </cell>
          <cell r="B6" t="str">
            <v>半挂车</v>
          </cell>
          <cell r="C6">
            <v>2</v>
          </cell>
          <cell r="D6" t="str">
            <v>B</v>
          </cell>
        </row>
        <row r="7">
          <cell r="A7">
            <v>47669</v>
          </cell>
          <cell r="B7" t="str">
            <v>动物车</v>
          </cell>
          <cell r="C7">
            <v>4</v>
          </cell>
          <cell r="D7" t="str">
            <v>KIK</v>
          </cell>
        </row>
        <row r="8">
          <cell r="A8">
            <v>47674</v>
          </cell>
          <cell r="B8" t="str">
            <v>JD LNS圆轮拖拉机</v>
          </cell>
          <cell r="C8">
            <v>2</v>
          </cell>
          <cell r="D8" t="str">
            <v>KIK</v>
          </cell>
        </row>
        <row r="9">
          <cell r="A9" t="str">
            <v>35189AZ</v>
          </cell>
          <cell r="B9" t="str">
            <v>吹气车</v>
          </cell>
          <cell r="C9">
            <v>2</v>
          </cell>
          <cell r="D9" t="str">
            <v>A</v>
          </cell>
        </row>
        <row r="10">
          <cell r="A10" t="str">
            <v>35189B</v>
          </cell>
          <cell r="B10" t="str">
            <v>吹气车</v>
          </cell>
          <cell r="C10">
            <v>2</v>
          </cell>
          <cell r="D10" t="str">
            <v>A</v>
          </cell>
        </row>
        <row r="11">
          <cell r="A11" t="str">
            <v>35189C</v>
          </cell>
          <cell r="B11" t="str">
            <v>吹气车</v>
          </cell>
          <cell r="C11">
            <v>2</v>
          </cell>
          <cell r="D11" t="str">
            <v>A</v>
          </cell>
        </row>
        <row r="12">
          <cell r="A12" t="str">
            <v>35206B</v>
          </cell>
          <cell r="B12" t="str">
            <v>猪马牛羊车（单支装）</v>
          </cell>
          <cell r="C12">
            <v>2</v>
          </cell>
          <cell r="D12" t="str">
            <v>A</v>
          </cell>
        </row>
        <row r="13">
          <cell r="A13" t="str">
            <v>35802J</v>
          </cell>
          <cell r="B13" t="str">
            <v>挖土机</v>
          </cell>
          <cell r="C13">
            <v>2</v>
          </cell>
          <cell r="D13" t="str">
            <v>KIK</v>
          </cell>
        </row>
        <row r="14">
          <cell r="A14" t="str">
            <v>46644B</v>
          </cell>
          <cell r="B14" t="str">
            <v>发光车</v>
          </cell>
          <cell r="C14">
            <v>2</v>
          </cell>
          <cell r="D14" t="str">
            <v>A</v>
          </cell>
        </row>
        <row r="15">
          <cell r="A15" t="str">
            <v>46656EU1</v>
          </cell>
          <cell r="B15" t="str">
            <v>6"拖拉机</v>
          </cell>
          <cell r="C15">
            <v>4</v>
          </cell>
          <cell r="D15" t="str">
            <v>B</v>
          </cell>
        </row>
        <row r="16">
          <cell r="A16" t="str">
            <v>46670C</v>
          </cell>
          <cell r="B16" t="str">
            <v>46656/46748
混装</v>
          </cell>
          <cell r="C16">
            <v>4</v>
          </cell>
          <cell r="D16" t="str">
            <v>B</v>
          </cell>
        </row>
        <row r="17">
          <cell r="A17" t="str">
            <v>46670TSC</v>
          </cell>
          <cell r="B17" t="str">
            <v>46656/46748
混装</v>
          </cell>
          <cell r="C17">
            <v>4</v>
          </cell>
          <cell r="D17" t="str">
            <v>B</v>
          </cell>
        </row>
        <row r="18">
          <cell r="A18" t="str">
            <v>46720J</v>
          </cell>
          <cell r="B18" t="str">
            <v>木材运输车</v>
          </cell>
          <cell r="C18">
            <v>4</v>
          </cell>
          <cell r="D18" t="str">
            <v>KIK</v>
          </cell>
        </row>
        <row r="19">
          <cell r="A19" t="str">
            <v>47101J</v>
          </cell>
          <cell r="B19" t="str">
            <v>1:16收割机</v>
          </cell>
          <cell r="C19">
            <v>1</v>
          </cell>
          <cell r="D19" t="str">
            <v>KIK</v>
          </cell>
        </row>
        <row r="20">
          <cell r="A20" t="str">
            <v>47280A</v>
          </cell>
          <cell r="B20" t="str">
            <v>童车</v>
          </cell>
          <cell r="C20">
            <v>1</v>
          </cell>
          <cell r="D20" t="str">
            <v>B</v>
          </cell>
        </row>
        <row r="21">
          <cell r="A21" t="str">
            <v>47367J</v>
          </cell>
          <cell r="B21" t="str">
            <v>1:16拖车厢</v>
          </cell>
          <cell r="C21">
            <v>2</v>
          </cell>
          <cell r="D21" t="str">
            <v>KIK</v>
          </cell>
        </row>
        <row r="22">
          <cell r="A22" t="str">
            <v>47465J1</v>
          </cell>
          <cell r="B22" t="str">
            <v>牵引车</v>
          </cell>
          <cell r="C22">
            <v>4</v>
          </cell>
          <cell r="D22" t="str">
            <v>KIK</v>
          </cell>
        </row>
        <row r="23">
          <cell r="A23" t="str">
            <v>47600J</v>
          </cell>
          <cell r="B23" t="str">
            <v>1:16货柜车</v>
          </cell>
          <cell r="C23">
            <v>2</v>
          </cell>
          <cell r="D23" t="str">
            <v>KIK</v>
          </cell>
        </row>
        <row r="24">
          <cell r="A24" t="str">
            <v>47602J</v>
          </cell>
          <cell r="B24" t="str">
            <v>1:16翻斗车</v>
          </cell>
          <cell r="C24">
            <v>4</v>
          </cell>
          <cell r="D24" t="str">
            <v>KIK</v>
          </cell>
        </row>
        <row r="25">
          <cell r="A25" t="str">
            <v>47669TSC</v>
          </cell>
          <cell r="B25" t="str">
            <v>动物车</v>
          </cell>
          <cell r="C25">
            <v>4</v>
          </cell>
          <cell r="D25" t="str">
            <v>KIK</v>
          </cell>
        </row>
        <row r="26">
          <cell r="A26" t="str">
            <v>47674DG</v>
          </cell>
          <cell r="B26" t="str">
            <v>JD LNS圆轮拖拉机</v>
          </cell>
          <cell r="C26">
            <v>2</v>
          </cell>
          <cell r="D26" t="str">
            <v>KIK</v>
          </cell>
        </row>
        <row r="27">
          <cell r="A27" t="str">
            <v>47674TSC</v>
          </cell>
          <cell r="B27" t="str">
            <v>JD LNS圆轮拖拉机</v>
          </cell>
          <cell r="C27">
            <v>2</v>
          </cell>
          <cell r="D27" t="str">
            <v>KIK</v>
          </cell>
        </row>
        <row r="28">
          <cell r="A28" t="str">
            <v>E73254</v>
          </cell>
          <cell r="B28" t="str">
            <v>恐龙推车（开窗盒）</v>
          </cell>
          <cell r="C28">
            <v>2</v>
          </cell>
          <cell r="D28" t="str">
            <v>B</v>
          </cell>
        </row>
        <row r="29">
          <cell r="A29" t="str">
            <v>E73622A</v>
          </cell>
          <cell r="B29" t="str">
            <v>布鲁伊家族杯子套装</v>
          </cell>
          <cell r="C29">
            <v>4</v>
          </cell>
          <cell r="D29" t="str">
            <v>KIK</v>
          </cell>
        </row>
        <row r="30">
          <cell r="A30" t="str">
            <v>E73622AWM</v>
          </cell>
          <cell r="B30" t="str">
            <v>布鲁伊家族沐浴玩具</v>
          </cell>
          <cell r="C30">
            <v>2</v>
          </cell>
          <cell r="D30" t="str">
            <v>KIK</v>
          </cell>
        </row>
        <row r="31">
          <cell r="A31" t="str">
            <v>E73622AZ</v>
          </cell>
          <cell r="B31" t="str">
            <v>布鲁伊家族沐浴玩具</v>
          </cell>
          <cell r="C31">
            <v>6</v>
          </cell>
          <cell r="D31" t="str">
            <v>KIK</v>
          </cell>
        </row>
        <row r="32">
          <cell r="A32" t="str">
            <v>E73623A1</v>
          </cell>
          <cell r="B32" t="str">
            <v>布鲁伊+宾果沐浴玩具混装</v>
          </cell>
          <cell r="C32">
            <v>6</v>
          </cell>
          <cell r="D32" t="str">
            <v>KIK</v>
          </cell>
        </row>
        <row r="33">
          <cell r="A33" t="str">
            <v>E73635A</v>
          </cell>
          <cell r="B33" t="str">
            <v>布鲁伊沐浴玩具</v>
          </cell>
          <cell r="C33">
            <v>6</v>
          </cell>
          <cell r="D33" t="str">
            <v>KIK</v>
          </cell>
        </row>
        <row r="34">
          <cell r="A34" t="str">
            <v>E73636A</v>
          </cell>
          <cell r="B34" t="str">
            <v>宾果沐浴玩具</v>
          </cell>
          <cell r="C34">
            <v>6</v>
          </cell>
          <cell r="D34" t="str">
            <v>KIK</v>
          </cell>
        </row>
        <row r="35">
          <cell r="A35" t="str">
            <v>E73697</v>
          </cell>
          <cell r="B35" t="str">
            <v>EVA拼图</v>
          </cell>
          <cell r="C35">
            <v>6</v>
          </cell>
          <cell r="D35" t="str">
            <v>B</v>
          </cell>
        </row>
        <row r="36">
          <cell r="A36" t="str">
            <v>E73697WM</v>
          </cell>
          <cell r="B36" t="str">
            <v>EVA拼图</v>
          </cell>
          <cell r="C36">
            <v>4</v>
          </cell>
          <cell r="D36" t="str">
            <v>B</v>
          </cell>
        </row>
        <row r="37">
          <cell r="A37" t="str">
            <v>E73814C</v>
          </cell>
          <cell r="B37" t="str">
            <v>泡泡壶</v>
          </cell>
          <cell r="C37">
            <v>4</v>
          </cell>
          <cell r="D37" t="str">
            <v>KIK</v>
          </cell>
        </row>
        <row r="38">
          <cell r="A38" t="str">
            <v>E73860C</v>
          </cell>
          <cell r="B38" t="str">
            <v>泡泡壶密封盒</v>
          </cell>
          <cell r="C38">
            <v>4</v>
          </cell>
          <cell r="D38" t="str">
            <v>KIK</v>
          </cell>
        </row>
        <row r="39">
          <cell r="A39" t="str">
            <v>L27870TG</v>
          </cell>
          <cell r="B39" t="str">
            <v>杯子</v>
          </cell>
          <cell r="C39">
            <v>18</v>
          </cell>
          <cell r="D39" t="str">
            <v>B</v>
          </cell>
        </row>
        <row r="40">
          <cell r="A40" t="str">
            <v>T72465EN6</v>
          </cell>
          <cell r="B40" t="str">
            <v>贪婪的老奶奶</v>
          </cell>
          <cell r="C40">
            <v>6</v>
          </cell>
          <cell r="D40" t="str">
            <v>B</v>
          </cell>
        </row>
        <row r="41">
          <cell r="A41" t="str">
            <v>T72465IT3</v>
          </cell>
          <cell r="B41" t="str">
            <v>贪婪的老奶奶</v>
          </cell>
          <cell r="C41">
            <v>6</v>
          </cell>
          <cell r="D41" t="str">
            <v>B</v>
          </cell>
        </row>
        <row r="42">
          <cell r="A42" t="str">
            <v>T72465SPT</v>
          </cell>
          <cell r="B42" t="str">
            <v>贪婪的老奶奶</v>
          </cell>
          <cell r="C42">
            <v>6</v>
          </cell>
          <cell r="D42" t="str">
            <v>B</v>
          </cell>
        </row>
        <row r="43">
          <cell r="A43" t="str">
            <v>T73785EN</v>
          </cell>
          <cell r="B43" t="str">
            <v>游戏转盘</v>
          </cell>
          <cell r="C43">
            <v>6</v>
          </cell>
          <cell r="D43" t="str">
            <v>KIK</v>
          </cell>
        </row>
        <row r="44">
          <cell r="A44" t="str">
            <v>Y2049L</v>
          </cell>
          <cell r="B44" t="str">
            <v>锁匙</v>
          </cell>
          <cell r="C44">
            <v>36</v>
          </cell>
          <cell r="D44" t="str">
            <v>B</v>
          </cell>
        </row>
        <row r="45">
          <cell r="A45" t="str">
            <v>Y2341G</v>
          </cell>
          <cell r="B45" t="str">
            <v>杯子</v>
          </cell>
          <cell r="C45">
            <v>18</v>
          </cell>
          <cell r="D45" t="str">
            <v>B</v>
          </cell>
        </row>
        <row r="46">
          <cell r="A46" t="str">
            <v>Y2049G1</v>
          </cell>
          <cell r="B46" t="str">
            <v>锁匙</v>
          </cell>
          <cell r="C46">
            <v>36</v>
          </cell>
          <cell r="D46" t="str">
            <v>B</v>
          </cell>
        </row>
        <row r="47">
          <cell r="A47">
            <v>46088</v>
          </cell>
          <cell r="B47" t="str">
            <v>吹气三轮车</v>
          </cell>
          <cell r="C47">
            <v>1</v>
          </cell>
          <cell r="D47" t="str">
            <v>A</v>
          </cell>
        </row>
        <row r="48">
          <cell r="A48" t="str">
            <v>E73647BZR</v>
          </cell>
          <cell r="B48" t="str">
            <v>手镯和球</v>
          </cell>
          <cell r="C48">
            <v>12</v>
          </cell>
          <cell r="D48" t="str">
            <v>B</v>
          </cell>
        </row>
        <row r="49">
          <cell r="A49">
            <v>43379</v>
          </cell>
          <cell r="B49" t="str">
            <v>手镯和球</v>
          </cell>
          <cell r="C49">
            <v>12</v>
          </cell>
          <cell r="D49" t="str">
            <v>B</v>
          </cell>
        </row>
        <row r="50">
          <cell r="A50" t="str">
            <v>T72465ML3</v>
          </cell>
          <cell r="B50" t="str">
            <v>贪婪的老奶奶</v>
          </cell>
          <cell r="C50">
            <v>6</v>
          </cell>
          <cell r="D50" t="str">
            <v>B</v>
          </cell>
        </row>
        <row r="51">
          <cell r="A51" t="str">
            <v>T72465ADR2</v>
          </cell>
          <cell r="B51" t="str">
            <v>贪婪的老奶奶</v>
          </cell>
          <cell r="C51">
            <v>6</v>
          </cell>
          <cell r="D51" t="str">
            <v>B</v>
          </cell>
        </row>
        <row r="52">
          <cell r="A52" t="str">
            <v>L27870B</v>
          </cell>
          <cell r="B52" t="str">
            <v>杯子</v>
          </cell>
          <cell r="C52">
            <v>18</v>
          </cell>
          <cell r="D52" t="str">
            <v>B</v>
          </cell>
        </row>
        <row r="53">
          <cell r="A53" t="str">
            <v>T72465ASC1</v>
          </cell>
          <cell r="B53" t="str">
            <v>贪婪的老奶奶</v>
          </cell>
          <cell r="C53">
            <v>6</v>
          </cell>
          <cell r="D53" t="str">
            <v>B</v>
          </cell>
        </row>
        <row r="54">
          <cell r="A54" t="str">
            <v>T72465RO</v>
          </cell>
          <cell r="B54" t="str">
            <v>贪婪的老奶奶</v>
          </cell>
          <cell r="C54">
            <v>6</v>
          </cell>
          <cell r="D54" t="str">
            <v>B</v>
          </cell>
        </row>
        <row r="55">
          <cell r="A55" t="str">
            <v>T72465BZR2</v>
          </cell>
          <cell r="B55" t="str">
            <v>贪婪的老奶奶</v>
          </cell>
          <cell r="C55">
            <v>6</v>
          </cell>
          <cell r="D55" t="str">
            <v>B</v>
          </cell>
        </row>
        <row r="56">
          <cell r="A56" t="str">
            <v>47391J</v>
          </cell>
          <cell r="B56" t="str">
            <v>1:16收割机</v>
          </cell>
          <cell r="C56">
            <v>1</v>
          </cell>
          <cell r="D56" t="str">
            <v>KIK</v>
          </cell>
        </row>
        <row r="57">
          <cell r="A57" t="str">
            <v>Y2341C</v>
          </cell>
          <cell r="B57" t="str">
            <v>杯子</v>
          </cell>
          <cell r="C57">
            <v>18</v>
          </cell>
          <cell r="D57" t="str">
            <v>KIK</v>
          </cell>
        </row>
        <row r="58">
          <cell r="A58" t="str">
            <v>E73855A1</v>
          </cell>
          <cell r="B58" t="str">
            <v>马里奥能量蘑菇吸塑混装</v>
          </cell>
          <cell r="C58">
            <v>6</v>
          </cell>
          <cell r="D58" t="str">
            <v>KIK</v>
          </cell>
        </row>
        <row r="59">
          <cell r="A59" t="str">
            <v>E73906</v>
          </cell>
          <cell r="B59" t="str">
            <v>马里奥和他的蘑菇</v>
          </cell>
          <cell r="C59">
            <v>6</v>
          </cell>
          <cell r="D59" t="str">
            <v>KIK</v>
          </cell>
        </row>
        <row r="60">
          <cell r="A60" t="str">
            <v>E73907</v>
          </cell>
          <cell r="B60" t="str">
            <v>能量蘑菇</v>
          </cell>
          <cell r="C60">
            <v>6</v>
          </cell>
          <cell r="D60" t="str">
            <v>KIK</v>
          </cell>
        </row>
        <row r="61">
          <cell r="A61" t="str">
            <v>E73856</v>
          </cell>
          <cell r="B61" t="str">
            <v>宝箱马里奥</v>
          </cell>
          <cell r="C61">
            <v>4</v>
          </cell>
          <cell r="D61" t="str">
            <v>KIK</v>
          </cell>
        </row>
        <row r="62">
          <cell r="A62" t="str">
            <v>E73857</v>
          </cell>
          <cell r="B62" t="str">
            <v>管道马里奥</v>
          </cell>
          <cell r="C62">
            <v>4</v>
          </cell>
          <cell r="D62" t="str">
            <v>KIK</v>
          </cell>
        </row>
        <row r="63">
          <cell r="A63" t="str">
            <v>E73956</v>
          </cell>
          <cell r="B63" t="str">
            <v>马里奥能量蘑菇密封盒混装</v>
          </cell>
          <cell r="C63">
            <v>6</v>
          </cell>
          <cell r="D63" t="str">
            <v>KIK</v>
          </cell>
        </row>
        <row r="64">
          <cell r="A64" t="str">
            <v>T73955</v>
          </cell>
          <cell r="B64" t="str">
            <v>发光车</v>
          </cell>
          <cell r="C64">
            <v>2</v>
          </cell>
          <cell r="D64" t="str">
            <v>A</v>
          </cell>
        </row>
        <row r="65">
          <cell r="A65" t="str">
            <v>L27870C</v>
          </cell>
          <cell r="B65" t="str">
            <v>杯子</v>
          </cell>
          <cell r="C65">
            <v>18</v>
          </cell>
          <cell r="D65" t="str">
            <v>KIK</v>
          </cell>
        </row>
        <row r="66">
          <cell r="A66" t="str">
            <v>Y2049G2</v>
          </cell>
          <cell r="B66" t="str">
            <v>锁匙</v>
          </cell>
          <cell r="C66">
            <v>36</v>
          </cell>
          <cell r="D66" t="str">
            <v>KIK</v>
          </cell>
        </row>
        <row r="67">
          <cell r="A67" t="str">
            <v>E73860PL</v>
          </cell>
          <cell r="B67" t="str">
            <v>泡泡壶</v>
          </cell>
          <cell r="C67">
            <v>4</v>
          </cell>
          <cell r="D67" t="str">
            <v>KIK</v>
          </cell>
        </row>
        <row r="68">
          <cell r="A68" t="str">
            <v>47722A</v>
          </cell>
          <cell r="B68" t="str">
            <v>农场男孩套装</v>
          </cell>
          <cell r="C68">
            <v>4</v>
          </cell>
          <cell r="D68" t="str">
            <v>KIK</v>
          </cell>
        </row>
        <row r="69">
          <cell r="A69" t="str">
            <v>47723A</v>
          </cell>
          <cell r="B69" t="str">
            <v>农场女孩套装</v>
          </cell>
          <cell r="C69">
            <v>4</v>
          </cell>
          <cell r="D69" t="str">
            <v>KIK</v>
          </cell>
        </row>
        <row r="70">
          <cell r="A70" t="str">
            <v>47711A</v>
          </cell>
          <cell r="B70" t="str">
            <v>红色铲车</v>
          </cell>
          <cell r="C70">
            <v>4</v>
          </cell>
          <cell r="D70" t="str">
            <v>KIK</v>
          </cell>
        </row>
        <row r="71">
          <cell r="A71" t="str">
            <v>47713A</v>
          </cell>
          <cell r="B71" t="str">
            <v>黄色铲车</v>
          </cell>
          <cell r="C71">
            <v>4</v>
          </cell>
          <cell r="D71" t="str">
            <v>KIK</v>
          </cell>
        </row>
        <row r="72">
          <cell r="A72" t="str">
            <v>47714A</v>
          </cell>
          <cell r="B72" t="str">
            <v>绿色铲车</v>
          </cell>
          <cell r="C72">
            <v>2</v>
          </cell>
          <cell r="D72" t="str">
            <v>KIK</v>
          </cell>
        </row>
        <row r="73">
          <cell r="A73" t="str">
            <v>E73705A</v>
          </cell>
          <cell r="B73" t="str">
            <v>布鲁伊混装</v>
          </cell>
          <cell r="C73">
            <v>4</v>
          </cell>
          <cell r="D73" t="str">
            <v>KIK</v>
          </cell>
        </row>
        <row r="74">
          <cell r="A74" t="str">
            <v>E73907A</v>
          </cell>
          <cell r="B74" t="str">
            <v>能量蘑菇</v>
          </cell>
          <cell r="C74">
            <v>6</v>
          </cell>
          <cell r="D74" t="str">
            <v>KIK</v>
          </cell>
        </row>
        <row r="75">
          <cell r="A75" t="str">
            <v>47716A</v>
          </cell>
          <cell r="B75" t="str">
            <v>滑板拖车</v>
          </cell>
          <cell r="C75">
            <v>4</v>
          </cell>
          <cell r="D75" t="str">
            <v>KIK</v>
          </cell>
        </row>
        <row r="76">
          <cell r="A76" t="str">
            <v>47712A</v>
          </cell>
          <cell r="B76" t="str">
            <v>绿色拖拉机</v>
          </cell>
          <cell r="C76">
            <v>2</v>
          </cell>
          <cell r="D76" t="str">
            <v>KIK</v>
          </cell>
        </row>
        <row r="77">
          <cell r="A77" t="str">
            <v>E73906US</v>
          </cell>
          <cell r="B77" t="str">
            <v>马里奥和他的蘑菇</v>
          </cell>
          <cell r="C77">
            <v>6</v>
          </cell>
          <cell r="D77" t="str">
            <v>KIK</v>
          </cell>
        </row>
        <row r="78">
          <cell r="A78" t="str">
            <v>E73907US</v>
          </cell>
          <cell r="B78" t="str">
            <v>能量蘑菇</v>
          </cell>
          <cell r="C78">
            <v>6</v>
          </cell>
          <cell r="D78" t="str">
            <v>KIK</v>
          </cell>
        </row>
        <row r="79">
          <cell r="A79" t="str">
            <v>E73855US</v>
          </cell>
          <cell r="B79" t="str">
            <v>马里奥能量蘑菇吸塑混装</v>
          </cell>
          <cell r="C79">
            <v>6</v>
          </cell>
          <cell r="D79" t="str">
            <v>KIK</v>
          </cell>
        </row>
        <row r="80">
          <cell r="A80" t="str">
            <v>E73956US</v>
          </cell>
          <cell r="B80" t="str">
            <v>马里奥能量蘑菇密封盒混装</v>
          </cell>
          <cell r="C80">
            <v>6</v>
          </cell>
          <cell r="D80" t="str">
            <v>KIK</v>
          </cell>
        </row>
        <row r="81">
          <cell r="A81" t="str">
            <v>47274J</v>
          </cell>
          <cell r="B81" t="str">
            <v>1#农场朋友混合</v>
          </cell>
          <cell r="C81">
            <v>4</v>
          </cell>
          <cell r="D81" t="str">
            <v>RRM</v>
          </cell>
        </row>
        <row r="82">
          <cell r="A82" t="str">
            <v>Y2049L1</v>
          </cell>
          <cell r="B82" t="str">
            <v>锁匙</v>
          </cell>
          <cell r="C82">
            <v>36</v>
          </cell>
          <cell r="D82" t="str">
            <v>KIK</v>
          </cell>
        </row>
        <row r="83">
          <cell r="A83" t="str">
            <v>995135(E73857)</v>
          </cell>
          <cell r="B83" t="str">
            <v>管道马里奥</v>
          </cell>
          <cell r="C83">
            <v>4</v>
          </cell>
          <cell r="D83" t="str">
            <v>KIK</v>
          </cell>
        </row>
        <row r="84">
          <cell r="A84" t="str">
            <v>995142(E73856)</v>
          </cell>
          <cell r="B84" t="str">
            <v>宝箱马里奥</v>
          </cell>
          <cell r="C84">
            <v>4</v>
          </cell>
          <cell r="D84" t="str">
            <v>KIK</v>
          </cell>
        </row>
        <row r="85">
          <cell r="A85" t="str">
            <v>995159(E73906)</v>
          </cell>
          <cell r="B85" t="str">
            <v>马里奥和他的蘑菇</v>
          </cell>
          <cell r="C85">
            <v>6</v>
          </cell>
          <cell r="D85" t="str">
            <v>KIK</v>
          </cell>
        </row>
        <row r="86">
          <cell r="A86" t="str">
            <v>096283(E73907)</v>
          </cell>
          <cell r="B86" t="str">
            <v>能量蘑菇</v>
          </cell>
          <cell r="C86">
            <v>6</v>
          </cell>
          <cell r="D86" t="str">
            <v>KIK</v>
          </cell>
        </row>
        <row r="87">
          <cell r="A87" t="str">
            <v>E74041BULK</v>
          </cell>
          <cell r="B87" t="str">
            <v>布鲁伊批量装</v>
          </cell>
          <cell r="C87">
            <v>24</v>
          </cell>
          <cell r="D87" t="str">
            <v>KIK</v>
          </cell>
        </row>
        <row r="88">
          <cell r="A88" t="str">
            <v>47674DG2</v>
          </cell>
          <cell r="B88" t="str">
            <v>JD LNS圆轮拖拉机</v>
          </cell>
          <cell r="C88">
            <v>2</v>
          </cell>
          <cell r="D88" t="str">
            <v>KIK</v>
          </cell>
        </row>
        <row r="89">
          <cell r="A89" t="str">
            <v>35765D</v>
          </cell>
          <cell r="B89" t="str">
            <v>JD 大铲斗挖掘机</v>
          </cell>
          <cell r="C89">
            <v>2</v>
          </cell>
          <cell r="D89" t="str">
            <v>RRM</v>
          </cell>
        </row>
        <row r="90">
          <cell r="A90" t="str">
            <v>35766C</v>
          </cell>
          <cell r="B90" t="str">
            <v>JD15 英寸大铲斗自卸卡车</v>
          </cell>
          <cell r="C90">
            <v>2</v>
          </cell>
          <cell r="D90" t="str">
            <v>RRM</v>
          </cell>
        </row>
        <row r="91">
          <cell r="A91" t="str">
            <v>E73956A1</v>
          </cell>
          <cell r="B91" t="str">
            <v>马里奥能量蘑菇密封盒混装</v>
          </cell>
          <cell r="C91">
            <v>6</v>
          </cell>
          <cell r="D91" t="str">
            <v>KIK</v>
          </cell>
        </row>
        <row r="92">
          <cell r="A92" t="str">
            <v>E73858</v>
          </cell>
          <cell r="B92" t="str">
            <v>浮水马里奥</v>
          </cell>
          <cell r="C92">
            <v>3</v>
          </cell>
          <cell r="D92" t="str">
            <v>KIK</v>
          </cell>
        </row>
        <row r="93">
          <cell r="A93" t="str">
            <v>L21106</v>
          </cell>
          <cell r="B93" t="str">
            <v>盲盒公仔(塑胶毛绒)</v>
          </cell>
          <cell r="C93">
            <v>6</v>
          </cell>
          <cell r="D93" t="str">
            <v>河源</v>
          </cell>
        </row>
        <row r="94">
          <cell r="A94" t="str">
            <v>L21011</v>
          </cell>
          <cell r="B94" t="str">
            <v>11寸大毛绒</v>
          </cell>
          <cell r="C94">
            <v>2</v>
          </cell>
          <cell r="D94" t="str">
            <v>河源</v>
          </cell>
        </row>
        <row r="95">
          <cell r="A95" t="str">
            <v>L19200</v>
          </cell>
        </row>
        <row r="95">
          <cell r="D95" t="str">
            <v>河源</v>
          </cell>
        </row>
        <row r="96">
          <cell r="A96" t="str">
            <v>L19201</v>
          </cell>
        </row>
        <row r="96">
          <cell r="D96" t="str">
            <v>河源</v>
          </cell>
        </row>
        <row r="97">
          <cell r="A97" t="str">
            <v>L19202</v>
          </cell>
        </row>
        <row r="97">
          <cell r="D97" t="str">
            <v>河源</v>
          </cell>
        </row>
        <row r="98">
          <cell r="A98" t="str">
            <v>E73907A1</v>
          </cell>
          <cell r="B98" t="str">
            <v>能量蘑菇</v>
          </cell>
          <cell r="C98">
            <v>6</v>
          </cell>
          <cell r="D98" t="str">
            <v>KIK</v>
          </cell>
        </row>
        <row r="99">
          <cell r="A99" t="str">
            <v>47669TSCA</v>
          </cell>
          <cell r="B99" t="str">
            <v>动物车</v>
          </cell>
          <cell r="C99">
            <v>4</v>
          </cell>
          <cell r="D99" t="str">
            <v>KIK</v>
          </cell>
        </row>
        <row r="100">
          <cell r="A100" t="str">
            <v>47674TSCA</v>
          </cell>
          <cell r="B100" t="str">
            <v>JD LNS圆轮拖拉机</v>
          </cell>
          <cell r="C100">
            <v>2</v>
          </cell>
          <cell r="D100" t="str">
            <v>KIK</v>
          </cell>
        </row>
        <row r="101">
          <cell r="A101" t="str">
            <v>46670TSCA</v>
          </cell>
          <cell r="B101" t="str">
            <v>46656/46748
混装</v>
          </cell>
          <cell r="C101">
            <v>4</v>
          </cell>
          <cell r="D101" t="str">
            <v>B</v>
          </cell>
        </row>
        <row r="102">
          <cell r="A102">
            <v>46696</v>
          </cell>
          <cell r="B102" t="str">
            <v>电子洒水车</v>
          </cell>
          <cell r="C102">
            <v>4</v>
          </cell>
          <cell r="D102" t="str">
            <v>A</v>
          </cell>
        </row>
        <row r="103">
          <cell r="A103" t="str">
            <v>47674A</v>
          </cell>
          <cell r="B103" t="str">
            <v>JD LNS圆轮拖拉机</v>
          </cell>
          <cell r="C103">
            <v>2</v>
          </cell>
          <cell r="D103" t="str">
            <v>KIK</v>
          </cell>
        </row>
        <row r="104">
          <cell r="A104" t="str">
            <v>E73858AZ</v>
          </cell>
          <cell r="B104" t="str">
            <v>浮水马里奥</v>
          </cell>
          <cell r="C104">
            <v>3</v>
          </cell>
          <cell r="D104" t="str">
            <v>KIK</v>
          </cell>
        </row>
        <row r="105">
          <cell r="A105" t="str">
            <v>47714ATSC</v>
          </cell>
          <cell r="B105" t="str">
            <v>绿色铲车</v>
          </cell>
          <cell r="C105">
            <v>2</v>
          </cell>
          <cell r="D105" t="str">
            <v>KIK</v>
          </cell>
        </row>
        <row r="106">
          <cell r="A106" t="str">
            <v>43452PL</v>
          </cell>
          <cell r="B106" t="str">
            <v>47674PL/47716PL混装</v>
          </cell>
          <cell r="C106">
            <v>4</v>
          </cell>
          <cell r="D106" t="str">
            <v>KIK</v>
          </cell>
        </row>
        <row r="107">
          <cell r="A107" t="str">
            <v>47023A1</v>
          </cell>
          <cell r="B107" t="str">
            <v>工程玩具挖掘机</v>
          </cell>
          <cell r="C107">
            <v>2</v>
          </cell>
          <cell r="D107" t="str">
            <v>RRM</v>
          </cell>
        </row>
        <row r="108">
          <cell r="A108" t="str">
            <v>47616A</v>
          </cell>
          <cell r="B108" t="str">
            <v>沙盒建造三件套</v>
          </cell>
          <cell r="C108">
            <v>4</v>
          </cell>
          <cell r="D108" t="str">
            <v>RRM</v>
          </cell>
        </row>
        <row r="109">
          <cell r="A109" t="str">
            <v>35874VAZ</v>
          </cell>
        </row>
        <row r="109">
          <cell r="D109" t="str">
            <v>RRM</v>
          </cell>
        </row>
        <row r="110">
          <cell r="A110" t="str">
            <v>46745V</v>
          </cell>
        </row>
        <row r="110">
          <cell r="D110" t="str">
            <v>RRM</v>
          </cell>
        </row>
        <row r="111">
          <cell r="A111" t="str">
            <v>35874A1</v>
          </cell>
        </row>
        <row r="111">
          <cell r="D111" t="str">
            <v>RRM</v>
          </cell>
        </row>
        <row r="112">
          <cell r="A112" t="str">
            <v>37558V2</v>
          </cell>
        </row>
        <row r="112">
          <cell r="D112" t="str">
            <v>RRM</v>
          </cell>
        </row>
        <row r="113">
          <cell r="A113">
            <v>47616</v>
          </cell>
          <cell r="B113" t="str">
            <v>沙盒建造三件套</v>
          </cell>
          <cell r="C113">
            <v>4</v>
          </cell>
          <cell r="D113" t="str">
            <v>RRM</v>
          </cell>
        </row>
        <row r="114">
          <cell r="A114" t="str">
            <v>47339A</v>
          </cell>
        </row>
        <row r="114">
          <cell r="D114" t="str">
            <v>RRM</v>
          </cell>
        </row>
        <row r="115">
          <cell r="A115" t="str">
            <v>47274A</v>
          </cell>
          <cell r="B115" t="str">
            <v>1#农场朋友混合</v>
          </cell>
          <cell r="C115">
            <v>4</v>
          </cell>
          <cell r="D115" t="str">
            <v>RRM</v>
          </cell>
        </row>
        <row r="116">
          <cell r="A116" t="str">
            <v>47193B</v>
          </cell>
        </row>
        <row r="116">
          <cell r="D116" t="str">
            <v>RRM</v>
          </cell>
        </row>
        <row r="117">
          <cell r="A117" t="str">
            <v>47207A</v>
          </cell>
        </row>
        <row r="117">
          <cell r="D117" t="str">
            <v>RRM</v>
          </cell>
        </row>
        <row r="118">
          <cell r="A118" t="str">
            <v>46701V1</v>
          </cell>
        </row>
        <row r="118">
          <cell r="D118" t="str">
            <v>RRM</v>
          </cell>
        </row>
        <row r="119">
          <cell r="A119" t="str">
            <v>47023V1</v>
          </cell>
          <cell r="B119" t="str">
            <v>工程玩具挖掘机</v>
          </cell>
          <cell r="C119">
            <v>2</v>
          </cell>
          <cell r="D119" t="str">
            <v>RRM</v>
          </cell>
        </row>
        <row r="120">
          <cell r="A120" t="str">
            <v>35765C</v>
          </cell>
          <cell r="B120" t="str">
            <v>JD 大铲斗挖掘机</v>
          </cell>
          <cell r="C120">
            <v>2</v>
          </cell>
          <cell r="D120" t="str">
            <v>RRM</v>
          </cell>
        </row>
        <row r="121">
          <cell r="A121" t="str">
            <v>35766B</v>
          </cell>
          <cell r="B121" t="str">
            <v>JD15 英寸大铲斗自卸卡车</v>
          </cell>
          <cell r="C121">
            <v>2</v>
          </cell>
          <cell r="D121" t="str">
            <v>RRM</v>
          </cell>
        </row>
        <row r="122">
          <cell r="A122" t="str">
            <v>35766V</v>
          </cell>
          <cell r="B122" t="str">
            <v>JD15 英寸大铲斗自卸卡车</v>
          </cell>
          <cell r="C122">
            <v>2</v>
          </cell>
          <cell r="D122" t="str">
            <v>RRM</v>
          </cell>
        </row>
        <row r="123">
          <cell r="A123" t="str">
            <v>46510V2</v>
          </cell>
        </row>
        <row r="123">
          <cell r="D123" t="str">
            <v>RRM</v>
          </cell>
        </row>
        <row r="124">
          <cell r="A124" t="str">
            <v>35850CM</v>
          </cell>
        </row>
        <row r="124">
          <cell r="D124" t="str">
            <v>RRM</v>
          </cell>
        </row>
        <row r="125">
          <cell r="A125" t="str">
            <v>E73855A2</v>
          </cell>
          <cell r="B125" t="str">
            <v>马里奥能量蘑菇吸塑混装</v>
          </cell>
          <cell r="C125">
            <v>6</v>
          </cell>
          <cell r="D125" t="str">
            <v>KIK</v>
          </cell>
        </row>
        <row r="126">
          <cell r="A126" t="str">
            <v>E73856AZ</v>
          </cell>
          <cell r="B126" t="str">
            <v>宝箱马里奥</v>
          </cell>
          <cell r="C126">
            <v>4</v>
          </cell>
          <cell r="D126" t="str">
            <v>KIK</v>
          </cell>
        </row>
        <row r="127">
          <cell r="A127" t="str">
            <v>E73857AZ</v>
          </cell>
          <cell r="B127" t="str">
            <v>管道马里奥</v>
          </cell>
          <cell r="C127">
            <v>4</v>
          </cell>
          <cell r="D127" t="str">
            <v>KIK</v>
          </cell>
        </row>
        <row r="128">
          <cell r="A128" t="str">
            <v>F5861ML2</v>
          </cell>
          <cell r="B128" t="str">
            <v>拉管机</v>
          </cell>
          <cell r="C128">
            <v>3</v>
          </cell>
          <cell r="D128" t="str">
            <v>RRM</v>
          </cell>
        </row>
        <row r="129">
          <cell r="A129" t="str">
            <v>47023AZ2</v>
          </cell>
          <cell r="B129" t="str">
            <v>工程玩具挖掘机</v>
          </cell>
          <cell r="C129">
            <v>2</v>
          </cell>
          <cell r="D129" t="str">
            <v>RRM</v>
          </cell>
        </row>
        <row r="130">
          <cell r="A130" t="str">
            <v>L21010A7</v>
          </cell>
          <cell r="B130" t="str">
            <v>盲盒系列兔子</v>
          </cell>
          <cell r="C130">
            <v>6</v>
          </cell>
          <cell r="D130" t="str">
            <v>KIK</v>
          </cell>
        </row>
        <row r="131">
          <cell r="A131" t="str">
            <v>35874A1J</v>
          </cell>
          <cell r="B131" t="str">
            <v>沙河交通工具两件套</v>
          </cell>
          <cell r="C131">
            <v>12</v>
          </cell>
          <cell r="D131" t="str">
            <v>RRM</v>
          </cell>
        </row>
        <row r="132">
          <cell r="A132" t="str">
            <v>35874VAZJ</v>
          </cell>
          <cell r="B132" t="str">
            <v> 沙河交通工具两件套</v>
          </cell>
          <cell r="C132">
            <v>12</v>
          </cell>
          <cell r="D132" t="str">
            <v>RRM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名称"/>
      <sheetName val="总接单"/>
      <sheetName val="总排期"/>
      <sheetName val="已走货"/>
      <sheetName val="取消单"/>
      <sheetName val="JD"/>
      <sheetName val="WpsReserved_CellImg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3"/>
  <sheetViews>
    <sheetView workbookViewId="0">
      <pane ySplit="1" topLeftCell="A2" activePane="bottomLeft" state="frozen"/>
      <selection/>
      <selection pane="bottomLeft" activeCell="C112" sqref="C112"/>
    </sheetView>
  </sheetViews>
  <sheetFormatPr defaultColWidth="9" defaultRowHeight="20.1" customHeight="1" outlineLevelCol="5"/>
  <cols>
    <col min="1" max="1" width="15.625" style="540" customWidth="1"/>
    <col min="2" max="2" width="21.25" style="540" customWidth="1"/>
    <col min="3" max="3" width="5.625" style="540" customWidth="1"/>
    <col min="4" max="4" width="8.625" style="540" customWidth="1"/>
    <col min="5" max="6" width="9" style="541"/>
    <col min="7" max="16384" width="9" style="540"/>
  </cols>
  <sheetData>
    <row r="1" s="540" customFormat="1" customHeight="1" spans="1:6">
      <c r="A1" s="540" t="s">
        <v>0</v>
      </c>
      <c r="B1" s="540" t="s">
        <v>1</v>
      </c>
      <c r="C1" s="540" t="s">
        <v>2</v>
      </c>
      <c r="D1" s="540" t="s">
        <v>3</v>
      </c>
    </row>
    <row r="2" s="540" customFormat="1" customHeight="1" spans="1:6">
      <c r="A2" s="540">
        <v>47329</v>
      </c>
      <c r="B2" s="542" t="s">
        <v>4</v>
      </c>
      <c r="C2" s="542">
        <v>2</v>
      </c>
      <c r="D2" s="542" t="s">
        <v>5</v>
      </c>
      <c r="E2" s="541"/>
      <c r="F2" s="541"/>
    </row>
    <row r="3" s="540" customFormat="1" customHeight="1" spans="1:6">
      <c r="A3" s="540">
        <v>47399</v>
      </c>
      <c r="B3" s="542" t="s">
        <v>6</v>
      </c>
      <c r="C3" s="542">
        <v>4</v>
      </c>
      <c r="D3" s="542" t="s">
        <v>7</v>
      </c>
      <c r="E3" s="541"/>
      <c r="F3" s="541"/>
    </row>
    <row r="4" s="540" customFormat="1" customHeight="1" spans="1:6">
      <c r="A4" s="542">
        <v>47550</v>
      </c>
      <c r="B4" s="542" t="s">
        <v>8</v>
      </c>
      <c r="C4" s="542">
        <v>4</v>
      </c>
      <c r="D4" s="542" t="s">
        <v>7</v>
      </c>
      <c r="E4" s="541"/>
      <c r="F4" s="541"/>
    </row>
    <row r="5" s="540" customFormat="1" customHeight="1" spans="1:6">
      <c r="A5" s="540">
        <v>47615</v>
      </c>
      <c r="B5" s="542" t="s">
        <v>9</v>
      </c>
      <c r="C5" s="542">
        <v>6</v>
      </c>
      <c r="D5" s="542" t="s">
        <v>7</v>
      </c>
      <c r="E5" s="541"/>
      <c r="F5" s="541"/>
    </row>
    <row r="6" s="540" customFormat="1" customHeight="1" spans="1:6">
      <c r="A6" s="540">
        <v>47640</v>
      </c>
      <c r="B6" s="542" t="s">
        <v>10</v>
      </c>
      <c r="C6" s="542">
        <v>2</v>
      </c>
      <c r="D6" s="542" t="s">
        <v>7</v>
      </c>
      <c r="E6" s="541"/>
      <c r="F6" s="541"/>
    </row>
    <row r="7" s="540" customFormat="1" customHeight="1" spans="1:6">
      <c r="A7" s="542">
        <v>47669</v>
      </c>
      <c r="B7" s="542" t="s">
        <v>11</v>
      </c>
      <c r="C7" s="542">
        <v>4</v>
      </c>
      <c r="D7" s="542" t="s">
        <v>12</v>
      </c>
      <c r="E7" s="541"/>
      <c r="F7" s="541"/>
    </row>
    <row r="8" s="540" customFormat="1" customHeight="1" spans="1:6">
      <c r="A8" s="542">
        <v>47674</v>
      </c>
      <c r="B8" s="542" t="s">
        <v>13</v>
      </c>
      <c r="C8" s="542">
        <v>2</v>
      </c>
      <c r="D8" s="542" t="s">
        <v>12</v>
      </c>
      <c r="E8" s="541"/>
      <c r="F8" s="541"/>
    </row>
    <row r="9" s="540" customFormat="1" customHeight="1" spans="1:6">
      <c r="A9" s="542" t="s">
        <v>14</v>
      </c>
      <c r="B9" s="542" t="s">
        <v>15</v>
      </c>
      <c r="C9" s="542">
        <v>2</v>
      </c>
      <c r="D9" s="542" t="s">
        <v>5</v>
      </c>
      <c r="E9" s="541"/>
      <c r="F9" s="541"/>
    </row>
    <row r="10" s="540" customFormat="1" customHeight="1" spans="1:6">
      <c r="A10" s="542" t="s">
        <v>16</v>
      </c>
      <c r="B10" s="542" t="s">
        <v>15</v>
      </c>
      <c r="C10" s="542">
        <v>2</v>
      </c>
      <c r="D10" s="542" t="s">
        <v>5</v>
      </c>
      <c r="E10" s="541"/>
      <c r="F10" s="541"/>
    </row>
    <row r="11" s="540" customFormat="1" customHeight="1" spans="1:6">
      <c r="A11" s="542" t="s">
        <v>17</v>
      </c>
      <c r="B11" s="542" t="s">
        <v>15</v>
      </c>
      <c r="C11" s="542">
        <v>2</v>
      </c>
      <c r="D11" s="542" t="s">
        <v>5</v>
      </c>
      <c r="E11" s="541"/>
      <c r="F11" s="541"/>
    </row>
    <row r="12" s="540" customFormat="1" customHeight="1" spans="1:6">
      <c r="A12" s="542" t="s">
        <v>18</v>
      </c>
      <c r="B12" s="542" t="s">
        <v>19</v>
      </c>
      <c r="C12" s="542">
        <v>2</v>
      </c>
      <c r="D12" s="542" t="s">
        <v>5</v>
      </c>
      <c r="E12" s="541"/>
      <c r="F12" s="541"/>
    </row>
    <row r="13" s="540" customFormat="1" customHeight="1" spans="1:6">
      <c r="A13" s="542" t="s">
        <v>20</v>
      </c>
      <c r="B13" s="542" t="s">
        <v>21</v>
      </c>
      <c r="C13" s="542">
        <v>2</v>
      </c>
      <c r="D13" s="542" t="s">
        <v>12</v>
      </c>
      <c r="E13" s="541"/>
      <c r="F13" s="541"/>
    </row>
    <row r="14" s="540" customFormat="1" customHeight="1" spans="1:6">
      <c r="A14" s="542" t="s">
        <v>22</v>
      </c>
      <c r="B14" s="542" t="s">
        <v>23</v>
      </c>
      <c r="C14" s="542">
        <v>2</v>
      </c>
      <c r="D14" s="542" t="s">
        <v>5</v>
      </c>
      <c r="E14" s="541"/>
      <c r="F14" s="541"/>
    </row>
    <row r="15" s="540" customFormat="1" customHeight="1" spans="1:6">
      <c r="A15" s="540" t="s">
        <v>24</v>
      </c>
      <c r="B15" s="542" t="s">
        <v>25</v>
      </c>
      <c r="C15" s="542">
        <v>4</v>
      </c>
      <c r="D15" s="542" t="s">
        <v>7</v>
      </c>
      <c r="E15" s="541"/>
      <c r="F15" s="541"/>
    </row>
    <row r="16" s="540" customFormat="1" customHeight="1" spans="1:6">
      <c r="A16" s="540" t="s">
        <v>26</v>
      </c>
      <c r="B16" s="542" t="s">
        <v>27</v>
      </c>
      <c r="C16" s="542">
        <v>4</v>
      </c>
      <c r="D16" s="542" t="s">
        <v>7</v>
      </c>
      <c r="E16" s="541"/>
      <c r="F16" s="541"/>
    </row>
    <row r="17" s="540" customFormat="1" customHeight="1" spans="1:6">
      <c r="A17" s="540" t="s">
        <v>28</v>
      </c>
      <c r="B17" s="542" t="s">
        <v>27</v>
      </c>
      <c r="C17" s="542">
        <v>4</v>
      </c>
      <c r="D17" s="542" t="s">
        <v>7</v>
      </c>
      <c r="E17" s="541"/>
      <c r="F17" s="541"/>
    </row>
    <row r="18" s="540" customFormat="1" customHeight="1" spans="1:6">
      <c r="A18" s="542" t="s">
        <v>29</v>
      </c>
      <c r="B18" s="542" t="s">
        <v>30</v>
      </c>
      <c r="C18" s="540">
        <v>4</v>
      </c>
      <c r="D18" s="542" t="s">
        <v>12</v>
      </c>
      <c r="E18" s="541"/>
      <c r="F18" s="541"/>
    </row>
    <row r="19" s="540" customFormat="1" customHeight="1" spans="1:6">
      <c r="A19" s="542" t="s">
        <v>31</v>
      </c>
      <c r="B19" s="542" t="s">
        <v>32</v>
      </c>
      <c r="C19" s="540">
        <v>1</v>
      </c>
      <c r="D19" s="542" t="s">
        <v>12</v>
      </c>
      <c r="E19" s="541"/>
      <c r="F19" s="541"/>
    </row>
    <row r="20" s="540" customFormat="1" customHeight="1" spans="1:6">
      <c r="A20" s="540" t="s">
        <v>33</v>
      </c>
      <c r="B20" s="542" t="s">
        <v>34</v>
      </c>
      <c r="C20" s="542">
        <v>1</v>
      </c>
      <c r="D20" s="542" t="s">
        <v>7</v>
      </c>
      <c r="E20" s="541"/>
      <c r="F20" s="541"/>
    </row>
    <row r="21" s="540" customFormat="1" customHeight="1" spans="1:6">
      <c r="A21" s="542" t="s">
        <v>35</v>
      </c>
      <c r="B21" s="542" t="s">
        <v>36</v>
      </c>
      <c r="C21" s="540">
        <v>2</v>
      </c>
      <c r="D21" s="542" t="s">
        <v>12</v>
      </c>
      <c r="E21" s="541"/>
      <c r="F21" s="541"/>
    </row>
    <row r="22" s="540" customFormat="1" customHeight="1" spans="1:6">
      <c r="A22" s="542" t="s">
        <v>37</v>
      </c>
      <c r="B22" s="542" t="s">
        <v>38</v>
      </c>
      <c r="C22" s="540">
        <v>4</v>
      </c>
      <c r="D22" s="542" t="s">
        <v>12</v>
      </c>
      <c r="E22" s="541"/>
      <c r="F22" s="541"/>
    </row>
    <row r="23" s="540" customFormat="1" customHeight="1" spans="1:6">
      <c r="A23" s="542" t="s">
        <v>39</v>
      </c>
      <c r="B23" s="542" t="s">
        <v>40</v>
      </c>
      <c r="C23" s="540">
        <v>2</v>
      </c>
      <c r="D23" s="542" t="s">
        <v>12</v>
      </c>
      <c r="E23" s="541"/>
      <c r="F23" s="541"/>
    </row>
    <row r="24" s="540" customFormat="1" customHeight="1" spans="1:6">
      <c r="A24" s="542" t="s">
        <v>41</v>
      </c>
      <c r="B24" s="542" t="s">
        <v>42</v>
      </c>
      <c r="C24" s="540">
        <v>4</v>
      </c>
      <c r="D24" s="542" t="s">
        <v>12</v>
      </c>
      <c r="E24" s="541"/>
      <c r="F24" s="541"/>
    </row>
    <row r="25" s="540" customFormat="1" customHeight="1" spans="1:6">
      <c r="A25" s="542" t="s">
        <v>43</v>
      </c>
      <c r="B25" s="542" t="s">
        <v>11</v>
      </c>
      <c r="C25" s="540">
        <v>4</v>
      </c>
      <c r="D25" s="542" t="s">
        <v>12</v>
      </c>
      <c r="E25" s="541"/>
      <c r="F25" s="541"/>
    </row>
    <row r="26" s="540" customFormat="1" customHeight="1" spans="1:6">
      <c r="A26" s="542" t="s">
        <v>44</v>
      </c>
      <c r="B26" s="542" t="s">
        <v>13</v>
      </c>
      <c r="C26" s="540">
        <v>2</v>
      </c>
      <c r="D26" s="542" t="s">
        <v>12</v>
      </c>
      <c r="E26" s="541"/>
      <c r="F26" s="541"/>
    </row>
    <row r="27" s="540" customFormat="1" customHeight="1" spans="1:6">
      <c r="A27" s="542" t="s">
        <v>45</v>
      </c>
      <c r="B27" s="542" t="s">
        <v>13</v>
      </c>
      <c r="C27" s="540">
        <v>2</v>
      </c>
      <c r="D27" s="542" t="s">
        <v>12</v>
      </c>
      <c r="E27" s="541"/>
      <c r="F27" s="541"/>
    </row>
    <row r="28" s="540" customFormat="1" customHeight="1" spans="1:6">
      <c r="A28" s="542" t="s">
        <v>46</v>
      </c>
      <c r="B28" s="542" t="s">
        <v>47</v>
      </c>
      <c r="C28" s="542">
        <v>2</v>
      </c>
      <c r="D28" s="542" t="s">
        <v>7</v>
      </c>
      <c r="E28" s="541"/>
      <c r="F28" s="541"/>
    </row>
    <row r="29" s="540" customFormat="1" customHeight="1" spans="1:6">
      <c r="A29" s="542" t="s">
        <v>48</v>
      </c>
      <c r="B29" s="542" t="s">
        <v>49</v>
      </c>
      <c r="C29" s="540">
        <v>4</v>
      </c>
      <c r="D29" s="542" t="s">
        <v>12</v>
      </c>
      <c r="E29" s="541"/>
      <c r="F29" s="541"/>
    </row>
    <row r="30" s="540" customFormat="1" customHeight="1" spans="1:6">
      <c r="A30" s="542" t="s">
        <v>50</v>
      </c>
      <c r="B30" s="542" t="s">
        <v>51</v>
      </c>
      <c r="C30" s="540">
        <v>2</v>
      </c>
      <c r="D30" s="542" t="s">
        <v>12</v>
      </c>
      <c r="E30" s="541"/>
      <c r="F30" s="541"/>
    </row>
    <row r="31" s="540" customFormat="1" customHeight="1" spans="1:6">
      <c r="A31" s="542" t="s">
        <v>52</v>
      </c>
      <c r="B31" s="542" t="s">
        <v>51</v>
      </c>
      <c r="C31" s="540">
        <v>6</v>
      </c>
      <c r="D31" s="542" t="s">
        <v>12</v>
      </c>
      <c r="E31" s="541"/>
      <c r="F31" s="541"/>
    </row>
    <row r="32" s="540" customFormat="1" customHeight="1" spans="1:6">
      <c r="A32" s="542" t="s">
        <v>53</v>
      </c>
      <c r="B32" s="542" t="s">
        <v>54</v>
      </c>
      <c r="C32" s="540">
        <v>6</v>
      </c>
      <c r="D32" s="542" t="s">
        <v>12</v>
      </c>
      <c r="E32" s="541"/>
      <c r="F32" s="541"/>
    </row>
    <row r="33" s="540" customFormat="1" customHeight="1" spans="1:6">
      <c r="A33" s="542" t="s">
        <v>55</v>
      </c>
      <c r="B33" s="542" t="s">
        <v>56</v>
      </c>
      <c r="C33" s="540">
        <v>6</v>
      </c>
      <c r="D33" s="542" t="s">
        <v>12</v>
      </c>
      <c r="E33" s="541"/>
      <c r="F33" s="541"/>
    </row>
    <row r="34" s="540" customFormat="1" customHeight="1" spans="1:6">
      <c r="A34" s="542" t="s">
        <v>57</v>
      </c>
      <c r="B34" s="542" t="s">
        <v>58</v>
      </c>
      <c r="C34" s="540">
        <v>6</v>
      </c>
      <c r="D34" s="542" t="s">
        <v>12</v>
      </c>
      <c r="E34" s="541"/>
      <c r="F34" s="541"/>
    </row>
    <row r="35" s="540" customFormat="1" customHeight="1" spans="1:6">
      <c r="A35" s="540" t="s">
        <v>59</v>
      </c>
      <c r="B35" s="542" t="s">
        <v>60</v>
      </c>
      <c r="C35" s="542">
        <v>6</v>
      </c>
      <c r="D35" s="542" t="s">
        <v>7</v>
      </c>
      <c r="E35" s="541"/>
      <c r="F35" s="541"/>
    </row>
    <row r="36" s="540" customFormat="1" customHeight="1" spans="1:6">
      <c r="A36" s="540" t="s">
        <v>61</v>
      </c>
      <c r="B36" s="542" t="s">
        <v>60</v>
      </c>
      <c r="C36" s="542">
        <v>4</v>
      </c>
      <c r="D36" s="542" t="s">
        <v>7</v>
      </c>
      <c r="E36" s="541"/>
      <c r="F36" s="541"/>
    </row>
    <row r="37" s="540" customFormat="1" customHeight="1" spans="1:6">
      <c r="A37" s="542" t="s">
        <v>62</v>
      </c>
      <c r="B37" s="542" t="s">
        <v>63</v>
      </c>
      <c r="C37" s="542">
        <v>4</v>
      </c>
      <c r="D37" s="542" t="s">
        <v>12</v>
      </c>
      <c r="E37" s="541"/>
      <c r="F37" s="541"/>
    </row>
    <row r="38" s="540" customFormat="1" customHeight="1" spans="1:6">
      <c r="A38" s="542" t="s">
        <v>64</v>
      </c>
      <c r="B38" s="542" t="s">
        <v>65</v>
      </c>
      <c r="C38" s="540">
        <v>4</v>
      </c>
      <c r="D38" s="542" t="s">
        <v>12</v>
      </c>
      <c r="E38" s="541"/>
      <c r="F38" s="541"/>
    </row>
    <row r="39" s="540" customFormat="1" customHeight="1" spans="1:6">
      <c r="A39" s="540" t="s">
        <v>66</v>
      </c>
      <c r="B39" s="542" t="s">
        <v>67</v>
      </c>
      <c r="C39" s="542">
        <v>18</v>
      </c>
      <c r="D39" s="542" t="s">
        <v>7</v>
      </c>
      <c r="E39" s="541"/>
      <c r="F39" s="541"/>
    </row>
    <row r="40" s="540" customFormat="1" customHeight="1" spans="1:6">
      <c r="A40" s="540" t="s">
        <v>68</v>
      </c>
      <c r="B40" s="542" t="s">
        <v>69</v>
      </c>
      <c r="C40" s="542">
        <v>6</v>
      </c>
      <c r="D40" s="542" t="s">
        <v>7</v>
      </c>
      <c r="E40" s="541"/>
      <c r="F40" s="541"/>
    </row>
    <row r="41" s="540" customFormat="1" customHeight="1" spans="1:6">
      <c r="A41" s="540" t="s">
        <v>70</v>
      </c>
      <c r="B41" s="542" t="s">
        <v>69</v>
      </c>
      <c r="C41" s="542">
        <v>6</v>
      </c>
      <c r="D41" s="540" t="s">
        <v>7</v>
      </c>
      <c r="E41" s="541"/>
      <c r="F41" s="541"/>
    </row>
    <row r="42" s="540" customFormat="1" customHeight="1" spans="1:6">
      <c r="A42" s="542" t="s">
        <v>71</v>
      </c>
      <c r="B42" s="542" t="s">
        <v>69</v>
      </c>
      <c r="C42" s="542">
        <v>6</v>
      </c>
      <c r="D42" s="542" t="s">
        <v>7</v>
      </c>
      <c r="E42" s="541"/>
      <c r="F42" s="541"/>
    </row>
    <row r="43" s="540" customFormat="1" customHeight="1" spans="1:6">
      <c r="A43" s="542" t="s">
        <v>72</v>
      </c>
      <c r="B43" s="542" t="s">
        <v>73</v>
      </c>
      <c r="C43" s="540">
        <v>6</v>
      </c>
      <c r="D43" s="542" t="s">
        <v>12</v>
      </c>
      <c r="E43" s="541"/>
      <c r="F43" s="541"/>
    </row>
    <row r="44" s="540" customFormat="1" customHeight="1" spans="1:6">
      <c r="A44" s="540" t="s">
        <v>74</v>
      </c>
      <c r="B44" s="542" t="s">
        <v>75</v>
      </c>
      <c r="C44" s="542">
        <v>36</v>
      </c>
      <c r="D44" s="542" t="s">
        <v>7</v>
      </c>
      <c r="E44" s="541"/>
      <c r="F44" s="541"/>
    </row>
    <row r="45" s="540" customFormat="1" customHeight="1" spans="1:6">
      <c r="A45" s="540" t="s">
        <v>76</v>
      </c>
      <c r="B45" s="542" t="s">
        <v>67</v>
      </c>
      <c r="C45" s="542">
        <v>18</v>
      </c>
      <c r="D45" s="542" t="s">
        <v>7</v>
      </c>
      <c r="E45" s="541"/>
      <c r="F45" s="541"/>
    </row>
    <row r="46" s="540" customFormat="1" customHeight="1" spans="1:6">
      <c r="A46" s="540" t="s">
        <v>77</v>
      </c>
      <c r="B46" s="540" t="s">
        <v>75</v>
      </c>
      <c r="C46" s="540">
        <v>36</v>
      </c>
      <c r="D46" s="540" t="s">
        <v>7</v>
      </c>
      <c r="E46" s="541"/>
      <c r="F46" s="541"/>
    </row>
    <row r="47" s="540" customFormat="1" customHeight="1" spans="1:6">
      <c r="A47" s="540">
        <v>46088</v>
      </c>
      <c r="B47" s="540" t="s">
        <v>78</v>
      </c>
      <c r="C47" s="540">
        <v>1</v>
      </c>
      <c r="D47" s="540" t="s">
        <v>5</v>
      </c>
      <c r="E47" s="541"/>
      <c r="F47" s="541"/>
    </row>
    <row r="48" s="540" customFormat="1" customHeight="1" spans="1:6">
      <c r="A48" s="540" t="s">
        <v>79</v>
      </c>
      <c r="B48" s="540" t="s">
        <v>80</v>
      </c>
      <c r="C48" s="540">
        <v>12</v>
      </c>
      <c r="D48" s="540" t="s">
        <v>7</v>
      </c>
      <c r="E48" s="541"/>
      <c r="F48" s="541"/>
    </row>
    <row r="49" s="540" customFormat="1" customHeight="1" spans="1:6">
      <c r="A49" s="540">
        <v>43379</v>
      </c>
      <c r="B49" s="540" t="s">
        <v>80</v>
      </c>
      <c r="C49" s="540">
        <v>12</v>
      </c>
      <c r="D49" s="540" t="s">
        <v>7</v>
      </c>
      <c r="E49" s="541"/>
      <c r="F49" s="541"/>
    </row>
    <row r="50" s="540" customFormat="1" customHeight="1" spans="1:6">
      <c r="A50" s="540" t="s">
        <v>81</v>
      </c>
      <c r="B50" s="542" t="s">
        <v>69</v>
      </c>
      <c r="C50" s="542">
        <v>6</v>
      </c>
      <c r="D50" s="542" t="s">
        <v>7</v>
      </c>
      <c r="E50" s="541"/>
      <c r="F50" s="541"/>
    </row>
    <row r="51" s="540" customFormat="1" customHeight="1" spans="1:6">
      <c r="A51" s="540" t="s">
        <v>82</v>
      </c>
      <c r="B51" s="542" t="s">
        <v>69</v>
      </c>
      <c r="C51" s="542">
        <v>6</v>
      </c>
      <c r="D51" s="542" t="s">
        <v>7</v>
      </c>
      <c r="E51" s="541"/>
      <c r="F51" s="541"/>
    </row>
    <row r="52" s="540" customFormat="1" customHeight="1" spans="1:6">
      <c r="A52" s="540" t="s">
        <v>83</v>
      </c>
      <c r="B52" s="542" t="s">
        <v>67</v>
      </c>
      <c r="C52" s="542">
        <v>18</v>
      </c>
      <c r="D52" s="542" t="s">
        <v>7</v>
      </c>
      <c r="E52" s="541"/>
      <c r="F52" s="541"/>
    </row>
    <row r="53" s="540" customFormat="1" customHeight="1" spans="1:6">
      <c r="A53" s="540" t="s">
        <v>84</v>
      </c>
      <c r="B53" s="542" t="s">
        <v>69</v>
      </c>
      <c r="C53" s="542">
        <v>6</v>
      </c>
      <c r="D53" s="542" t="s">
        <v>7</v>
      </c>
      <c r="E53" s="541"/>
      <c r="F53" s="541"/>
    </row>
    <row r="54" s="540" customFormat="1" customHeight="1" spans="1:6">
      <c r="A54" s="540" t="s">
        <v>85</v>
      </c>
      <c r="B54" s="542" t="s">
        <v>69</v>
      </c>
      <c r="C54" s="542">
        <v>6</v>
      </c>
      <c r="D54" s="542" t="s">
        <v>7</v>
      </c>
      <c r="E54" s="541"/>
      <c r="F54" s="541"/>
    </row>
    <row r="55" s="540" customFormat="1" customHeight="1" spans="1:6">
      <c r="A55" s="540" t="s">
        <v>86</v>
      </c>
      <c r="B55" s="542" t="s">
        <v>69</v>
      </c>
      <c r="C55" s="542">
        <v>6</v>
      </c>
      <c r="D55" s="542" t="s">
        <v>7</v>
      </c>
      <c r="E55" s="541"/>
      <c r="F55" s="541"/>
    </row>
    <row r="56" s="540" customFormat="1" customHeight="1" spans="1:6">
      <c r="A56" s="540" t="s">
        <v>87</v>
      </c>
      <c r="B56" s="542" t="s">
        <v>32</v>
      </c>
      <c r="C56" s="540">
        <v>1</v>
      </c>
      <c r="D56" s="542" t="s">
        <v>12</v>
      </c>
      <c r="E56" s="541"/>
      <c r="F56" s="541"/>
    </row>
    <row r="57" s="540" customFormat="1" customHeight="1" spans="1:6">
      <c r="A57" s="540" t="s">
        <v>88</v>
      </c>
      <c r="B57" s="540" t="s">
        <v>67</v>
      </c>
      <c r="C57" s="540">
        <v>18</v>
      </c>
      <c r="D57" s="542" t="s">
        <v>12</v>
      </c>
      <c r="E57" s="541"/>
      <c r="F57" s="541"/>
    </row>
    <row r="58" s="540" customFormat="1" customHeight="1" spans="1:6">
      <c r="A58" s="540" t="s">
        <v>89</v>
      </c>
      <c r="B58" s="540" t="s">
        <v>90</v>
      </c>
      <c r="C58" s="540">
        <v>6</v>
      </c>
      <c r="D58" s="542" t="s">
        <v>12</v>
      </c>
      <c r="E58" s="541"/>
      <c r="F58" s="541"/>
    </row>
    <row r="59" s="540" customFormat="1" customHeight="1" spans="1:6">
      <c r="A59" s="540" t="s">
        <v>91</v>
      </c>
      <c r="B59" s="540" t="s">
        <v>92</v>
      </c>
      <c r="C59" s="540">
        <v>6</v>
      </c>
      <c r="D59" s="542" t="s">
        <v>12</v>
      </c>
      <c r="E59" s="541"/>
      <c r="F59" s="541"/>
    </row>
    <row r="60" s="540" customFormat="1" customHeight="1" spans="1:6">
      <c r="A60" s="540" t="s">
        <v>93</v>
      </c>
      <c r="B60" s="540" t="s">
        <v>94</v>
      </c>
      <c r="C60" s="540">
        <v>6</v>
      </c>
      <c r="D60" s="542" t="s">
        <v>12</v>
      </c>
      <c r="E60" s="541"/>
      <c r="F60" s="541"/>
    </row>
    <row r="61" s="540" customFormat="1" customHeight="1" spans="1:6">
      <c r="A61" s="540" t="s">
        <v>95</v>
      </c>
      <c r="B61" s="540" t="s">
        <v>96</v>
      </c>
      <c r="C61" s="540">
        <v>4</v>
      </c>
      <c r="D61" s="542" t="s">
        <v>12</v>
      </c>
      <c r="E61" s="541"/>
      <c r="F61" s="541"/>
    </row>
    <row r="62" s="540" customFormat="1" customHeight="1" spans="1:6">
      <c r="A62" s="540" t="s">
        <v>97</v>
      </c>
      <c r="B62" s="540" t="s">
        <v>98</v>
      </c>
      <c r="C62" s="540">
        <v>4</v>
      </c>
      <c r="D62" s="542" t="s">
        <v>12</v>
      </c>
      <c r="E62" s="541"/>
      <c r="F62" s="541"/>
    </row>
    <row r="63" s="540" customFormat="1" customHeight="1" spans="1:6">
      <c r="A63" s="540" t="s">
        <v>99</v>
      </c>
      <c r="B63" s="540" t="s">
        <v>100</v>
      </c>
      <c r="C63" s="540">
        <v>6</v>
      </c>
      <c r="D63" s="542" t="s">
        <v>12</v>
      </c>
      <c r="E63" s="541"/>
      <c r="F63" s="541"/>
    </row>
    <row r="64" s="540" customFormat="1" customHeight="1" spans="1:6">
      <c r="A64" s="540" t="s">
        <v>101</v>
      </c>
      <c r="B64" s="542" t="s">
        <v>23</v>
      </c>
      <c r="C64" s="542">
        <v>2</v>
      </c>
      <c r="D64" s="540" t="s">
        <v>5</v>
      </c>
      <c r="E64" s="541"/>
      <c r="F64" s="541"/>
    </row>
    <row r="65" s="540" customFormat="1" customHeight="1" spans="1:6">
      <c r="A65" s="540" t="s">
        <v>102</v>
      </c>
      <c r="B65" s="540" t="s">
        <v>67</v>
      </c>
      <c r="C65" s="540">
        <v>18</v>
      </c>
      <c r="D65" s="542" t="s">
        <v>12</v>
      </c>
      <c r="E65" s="541"/>
      <c r="F65" s="541"/>
    </row>
    <row r="66" s="540" customFormat="1" customHeight="1" spans="1:6">
      <c r="A66" s="540" t="s">
        <v>103</v>
      </c>
      <c r="B66" s="540" t="s">
        <v>75</v>
      </c>
      <c r="C66" s="540">
        <v>36</v>
      </c>
      <c r="D66" s="542" t="s">
        <v>12</v>
      </c>
      <c r="E66" s="541"/>
      <c r="F66" s="541"/>
    </row>
    <row r="67" s="540" customFormat="1" customHeight="1" spans="1:6">
      <c r="A67" s="540" t="s">
        <v>104</v>
      </c>
      <c r="B67" s="540" t="s">
        <v>63</v>
      </c>
      <c r="C67" s="540">
        <v>4</v>
      </c>
      <c r="D67" s="542" t="s">
        <v>12</v>
      </c>
      <c r="E67" s="541"/>
      <c r="F67" s="541"/>
    </row>
    <row r="68" s="540" customFormat="1" customHeight="1" spans="1:6">
      <c r="A68" s="540" t="s">
        <v>105</v>
      </c>
      <c r="B68" s="540" t="s">
        <v>106</v>
      </c>
      <c r="C68" s="540">
        <v>4</v>
      </c>
      <c r="D68" s="542" t="s">
        <v>12</v>
      </c>
      <c r="E68" s="541"/>
      <c r="F68" s="541"/>
    </row>
    <row r="69" s="540" customFormat="1" customHeight="1" spans="1:6">
      <c r="A69" s="540" t="s">
        <v>107</v>
      </c>
      <c r="B69" s="540" t="s">
        <v>108</v>
      </c>
      <c r="C69" s="540">
        <v>4</v>
      </c>
      <c r="D69" s="542" t="s">
        <v>12</v>
      </c>
      <c r="E69" s="541"/>
      <c r="F69" s="541"/>
    </row>
    <row r="70" s="540" customFormat="1" customHeight="1" spans="1:6">
      <c r="A70" s="540" t="s">
        <v>109</v>
      </c>
      <c r="B70" s="540" t="s">
        <v>110</v>
      </c>
      <c r="C70" s="540">
        <v>4</v>
      </c>
      <c r="D70" s="542" t="s">
        <v>12</v>
      </c>
      <c r="E70" s="541"/>
      <c r="F70" s="541"/>
    </row>
    <row r="71" s="540" customFormat="1" customHeight="1" spans="1:6">
      <c r="A71" s="540" t="s">
        <v>111</v>
      </c>
      <c r="B71" s="540" t="s">
        <v>112</v>
      </c>
      <c r="C71" s="540">
        <v>4</v>
      </c>
      <c r="D71" s="542" t="s">
        <v>12</v>
      </c>
      <c r="E71" s="541"/>
      <c r="F71" s="541"/>
    </row>
    <row r="72" s="540" customFormat="1" customHeight="1" spans="1:6">
      <c r="A72" s="540" t="s">
        <v>113</v>
      </c>
      <c r="B72" s="540" t="s">
        <v>114</v>
      </c>
      <c r="C72" s="540">
        <v>2</v>
      </c>
      <c r="D72" s="542" t="s">
        <v>12</v>
      </c>
      <c r="E72" s="541"/>
      <c r="F72" s="541"/>
    </row>
    <row r="73" s="540" customFormat="1" customHeight="1" spans="1:6">
      <c r="A73" s="540" t="s">
        <v>115</v>
      </c>
      <c r="B73" s="540" t="s">
        <v>116</v>
      </c>
      <c r="C73" s="540">
        <v>4</v>
      </c>
      <c r="D73" s="542" t="s">
        <v>12</v>
      </c>
      <c r="E73" s="541"/>
      <c r="F73" s="541"/>
    </row>
    <row r="74" s="540" customFormat="1" customHeight="1" spans="1:6">
      <c r="A74" s="540" t="s">
        <v>117</v>
      </c>
      <c r="B74" s="540" t="s">
        <v>94</v>
      </c>
      <c r="C74" s="540">
        <v>6</v>
      </c>
      <c r="D74" s="542" t="s">
        <v>12</v>
      </c>
      <c r="E74" s="541"/>
      <c r="F74" s="541"/>
    </row>
    <row r="75" s="540" customFormat="1" customHeight="1" spans="1:6">
      <c r="A75" s="540" t="s">
        <v>118</v>
      </c>
      <c r="B75" s="540" t="s">
        <v>119</v>
      </c>
      <c r="C75" s="540">
        <v>4</v>
      </c>
      <c r="D75" s="542" t="s">
        <v>12</v>
      </c>
      <c r="E75" s="541"/>
      <c r="F75" s="541"/>
    </row>
    <row r="76" s="540" customFormat="1" customHeight="1" spans="1:6">
      <c r="A76" s="540" t="s">
        <v>120</v>
      </c>
      <c r="B76" s="540" t="s">
        <v>121</v>
      </c>
      <c r="C76" s="540">
        <v>2</v>
      </c>
      <c r="D76" s="542" t="s">
        <v>12</v>
      </c>
      <c r="E76" s="541"/>
      <c r="F76" s="541"/>
    </row>
    <row r="77" s="540" customFormat="1" customHeight="1" spans="1:6">
      <c r="A77" s="540" t="s">
        <v>122</v>
      </c>
      <c r="B77" s="540" t="s">
        <v>92</v>
      </c>
      <c r="C77" s="540">
        <v>6</v>
      </c>
      <c r="D77" s="542" t="s">
        <v>12</v>
      </c>
      <c r="E77" s="541"/>
      <c r="F77" s="541"/>
    </row>
    <row r="78" s="540" customFormat="1" customHeight="1" spans="1:6">
      <c r="A78" s="540" t="s">
        <v>123</v>
      </c>
      <c r="B78" s="540" t="s">
        <v>94</v>
      </c>
      <c r="C78" s="540">
        <v>6</v>
      </c>
      <c r="D78" s="542" t="s">
        <v>12</v>
      </c>
      <c r="E78" s="541"/>
      <c r="F78" s="541"/>
    </row>
    <row r="79" s="540" customFormat="1" customHeight="1" spans="1:6">
      <c r="A79" s="540" t="s">
        <v>124</v>
      </c>
      <c r="B79" s="540" t="s">
        <v>90</v>
      </c>
      <c r="C79" s="540">
        <v>6</v>
      </c>
      <c r="D79" s="542" t="s">
        <v>12</v>
      </c>
      <c r="E79" s="541"/>
      <c r="F79" s="541"/>
    </row>
    <row r="80" s="540" customFormat="1" customHeight="1" spans="1:6">
      <c r="A80" s="540" t="s">
        <v>125</v>
      </c>
      <c r="B80" s="540" t="s">
        <v>100</v>
      </c>
      <c r="C80" s="540">
        <v>6</v>
      </c>
      <c r="D80" s="542" t="s">
        <v>12</v>
      </c>
      <c r="E80" s="541"/>
      <c r="F80" s="541"/>
    </row>
    <row r="81" s="540" customFormat="1" customHeight="1" spans="1:6">
      <c r="A81" s="543" t="s">
        <v>126</v>
      </c>
      <c r="B81" s="543" t="s">
        <v>127</v>
      </c>
      <c r="C81" s="543">
        <v>4</v>
      </c>
      <c r="D81" s="540" t="s">
        <v>128</v>
      </c>
      <c r="E81" s="541"/>
      <c r="F81" s="541"/>
    </row>
    <row r="82" s="540" customFormat="1" customHeight="1" spans="1:6">
      <c r="A82" s="540" t="s">
        <v>129</v>
      </c>
      <c r="B82" s="540" t="s">
        <v>75</v>
      </c>
      <c r="C82" s="540">
        <v>36</v>
      </c>
      <c r="D82" s="542" t="s">
        <v>12</v>
      </c>
      <c r="E82" s="541"/>
      <c r="F82" s="541"/>
    </row>
    <row r="83" s="540" customFormat="1" customHeight="1" spans="1:6">
      <c r="A83" s="540" t="s">
        <v>130</v>
      </c>
      <c r="B83" s="540" t="s">
        <v>98</v>
      </c>
      <c r="C83" s="540">
        <v>4</v>
      </c>
      <c r="D83" s="542" t="s">
        <v>12</v>
      </c>
      <c r="E83" s="541"/>
      <c r="F83" s="541"/>
    </row>
    <row r="84" s="540" customFormat="1" customHeight="1" spans="1:6">
      <c r="A84" s="540" t="s">
        <v>131</v>
      </c>
      <c r="B84" s="540" t="s">
        <v>96</v>
      </c>
      <c r="C84" s="540">
        <v>4</v>
      </c>
      <c r="D84" s="542" t="s">
        <v>12</v>
      </c>
      <c r="E84" s="541"/>
      <c r="F84" s="541"/>
    </row>
    <row r="85" s="540" customFormat="1" customHeight="1" spans="1:6">
      <c r="A85" s="540" t="s">
        <v>132</v>
      </c>
      <c r="B85" s="540" t="s">
        <v>92</v>
      </c>
      <c r="C85" s="540">
        <v>6</v>
      </c>
      <c r="D85" s="542" t="s">
        <v>12</v>
      </c>
      <c r="E85" s="541"/>
      <c r="F85" s="541"/>
    </row>
    <row r="86" s="540" customFormat="1" customHeight="1" spans="1:6">
      <c r="A86" s="547" t="s">
        <v>133</v>
      </c>
      <c r="B86" s="540" t="s">
        <v>94</v>
      </c>
      <c r="C86" s="540">
        <v>6</v>
      </c>
      <c r="D86" s="542" t="s">
        <v>12</v>
      </c>
      <c r="E86" s="541"/>
      <c r="F86" s="541"/>
    </row>
    <row r="87" s="540" customFormat="1" customHeight="1" spans="1:6">
      <c r="A87" s="540" t="s">
        <v>134</v>
      </c>
      <c r="B87" s="540" t="s">
        <v>135</v>
      </c>
      <c r="C87" s="540">
        <v>24</v>
      </c>
      <c r="D87" s="542" t="s">
        <v>12</v>
      </c>
      <c r="E87" s="541"/>
      <c r="F87" s="541"/>
    </row>
    <row r="88" s="540" customFormat="1" customHeight="1" spans="1:6">
      <c r="A88" s="540" t="s">
        <v>136</v>
      </c>
      <c r="B88" s="542" t="s">
        <v>13</v>
      </c>
      <c r="C88" s="540">
        <v>2</v>
      </c>
      <c r="D88" s="542" t="s">
        <v>12</v>
      </c>
      <c r="E88" s="541"/>
      <c r="F88" s="541"/>
    </row>
    <row r="89" s="540" customFormat="1" customHeight="1" spans="1:6">
      <c r="A89" s="543" t="s">
        <v>137</v>
      </c>
      <c r="B89" s="543" t="s">
        <v>138</v>
      </c>
      <c r="C89" s="543">
        <v>2</v>
      </c>
      <c r="D89" s="540" t="s">
        <v>128</v>
      </c>
      <c r="E89" s="541"/>
      <c r="F89" s="541"/>
    </row>
    <row r="90" s="540" customFormat="1" customHeight="1" spans="1:6">
      <c r="A90" s="543" t="s">
        <v>139</v>
      </c>
      <c r="B90" s="543" t="s">
        <v>140</v>
      </c>
      <c r="C90" s="543">
        <v>2</v>
      </c>
      <c r="D90" s="540" t="s">
        <v>128</v>
      </c>
      <c r="E90" s="541"/>
      <c r="F90" s="541"/>
    </row>
    <row r="91" s="540" customFormat="1" customHeight="1" spans="1:6">
      <c r="A91" s="540" t="s">
        <v>141</v>
      </c>
      <c r="B91" s="540" t="s">
        <v>100</v>
      </c>
      <c r="C91" s="540">
        <v>6</v>
      </c>
      <c r="D91" s="542" t="s">
        <v>12</v>
      </c>
      <c r="E91" s="541"/>
      <c r="F91" s="541"/>
    </row>
    <row r="92" s="540" customFormat="1" customHeight="1" spans="1:6">
      <c r="A92" s="540" t="s">
        <v>142</v>
      </c>
      <c r="B92" s="540" t="s">
        <v>143</v>
      </c>
      <c r="C92" s="540">
        <v>3</v>
      </c>
      <c r="D92" s="542" t="s">
        <v>12</v>
      </c>
      <c r="E92" s="541"/>
      <c r="F92" s="541"/>
    </row>
    <row r="93" s="540" customFormat="1" customHeight="1" spans="1:6">
      <c r="A93" s="540" t="s">
        <v>144</v>
      </c>
      <c r="B93" s="540" t="s">
        <v>145</v>
      </c>
      <c r="C93" s="540">
        <v>6</v>
      </c>
      <c r="D93" s="544" t="s">
        <v>146</v>
      </c>
      <c r="E93" s="545" t="s">
        <v>147</v>
      </c>
      <c r="F93" s="541"/>
    </row>
    <row r="94" s="540" customFormat="1" customHeight="1" spans="1:6">
      <c r="A94" s="540" t="s">
        <v>148</v>
      </c>
      <c r="B94" s="540" t="s">
        <v>149</v>
      </c>
      <c r="C94" s="540">
        <v>2</v>
      </c>
      <c r="D94" s="544" t="s">
        <v>146</v>
      </c>
      <c r="E94" s="541"/>
      <c r="F94" s="541"/>
    </row>
    <row r="95" s="540" customFormat="1" customHeight="1" spans="1:6">
      <c r="A95" s="540" t="s">
        <v>150</v>
      </c>
      <c r="D95" s="544" t="s">
        <v>146</v>
      </c>
      <c r="E95" s="541"/>
      <c r="F95" s="541"/>
    </row>
    <row r="96" s="540" customFormat="1" customHeight="1" spans="1:6">
      <c r="A96" s="540" t="s">
        <v>151</v>
      </c>
      <c r="D96" s="544" t="s">
        <v>146</v>
      </c>
      <c r="E96" s="541"/>
      <c r="F96" s="541"/>
    </row>
    <row r="97" s="540" customFormat="1" customHeight="1" spans="1:6">
      <c r="A97" s="540" t="s">
        <v>152</v>
      </c>
      <c r="D97" s="544" t="s">
        <v>146</v>
      </c>
      <c r="E97" s="541"/>
      <c r="F97" s="541"/>
    </row>
    <row r="98" s="540" customFormat="1" customHeight="1" spans="1:6">
      <c r="A98" s="540" t="s">
        <v>153</v>
      </c>
      <c r="B98" s="540" t="s">
        <v>94</v>
      </c>
      <c r="C98" s="540">
        <v>6</v>
      </c>
      <c r="D98" s="542" t="s">
        <v>12</v>
      </c>
      <c r="E98" s="541"/>
      <c r="F98" s="541"/>
    </row>
    <row r="99" s="540" customFormat="1" customHeight="1" spans="1:6">
      <c r="A99" s="540" t="s">
        <v>154</v>
      </c>
      <c r="B99" s="542" t="s">
        <v>11</v>
      </c>
      <c r="C99" s="540">
        <v>4</v>
      </c>
      <c r="D99" s="542" t="s">
        <v>12</v>
      </c>
      <c r="E99" s="541"/>
      <c r="F99" s="541"/>
    </row>
    <row r="100" s="540" customFormat="1" customHeight="1" spans="1:6">
      <c r="A100" s="540" t="s">
        <v>155</v>
      </c>
      <c r="B100" s="542" t="s">
        <v>13</v>
      </c>
      <c r="C100" s="540">
        <v>2</v>
      </c>
      <c r="D100" s="542" t="s">
        <v>12</v>
      </c>
      <c r="E100" s="541"/>
      <c r="F100" s="541"/>
    </row>
    <row r="101" s="540" customFormat="1" customHeight="1" spans="1:6">
      <c r="A101" s="540" t="s">
        <v>156</v>
      </c>
      <c r="B101" s="542" t="s">
        <v>27</v>
      </c>
      <c r="C101" s="542">
        <v>4</v>
      </c>
      <c r="D101" s="542" t="s">
        <v>7</v>
      </c>
      <c r="E101" s="541"/>
      <c r="F101" s="541"/>
    </row>
    <row r="102" s="540" customFormat="1" customHeight="1" spans="1:6">
      <c r="A102" s="540">
        <v>46696</v>
      </c>
      <c r="B102" s="546" t="s">
        <v>157</v>
      </c>
      <c r="C102" s="540">
        <v>4</v>
      </c>
      <c r="D102" s="540" t="s">
        <v>5</v>
      </c>
      <c r="E102" s="541"/>
      <c r="F102" s="541"/>
    </row>
    <row r="103" s="540" customFormat="1" customHeight="1" spans="1:6">
      <c r="A103" s="540" t="s">
        <v>158</v>
      </c>
      <c r="B103" s="542" t="s">
        <v>13</v>
      </c>
      <c r="C103" s="540">
        <v>2</v>
      </c>
      <c r="D103" s="542" t="s">
        <v>12</v>
      </c>
      <c r="E103" s="541"/>
      <c r="F103" s="541"/>
    </row>
    <row r="104" s="540" customFormat="1" customHeight="1" spans="1:6">
      <c r="A104" s="540" t="s">
        <v>159</v>
      </c>
      <c r="B104" s="540" t="s">
        <v>143</v>
      </c>
      <c r="C104" s="540">
        <v>3</v>
      </c>
      <c r="D104" s="542" t="s">
        <v>12</v>
      </c>
      <c r="E104" s="541"/>
      <c r="F104" s="541"/>
    </row>
    <row r="105" s="540" customFormat="1" customHeight="1" spans="1:6">
      <c r="A105" s="540" t="s">
        <v>160</v>
      </c>
      <c r="B105" s="540" t="s">
        <v>114</v>
      </c>
      <c r="C105" s="540">
        <v>2</v>
      </c>
      <c r="D105" s="542" t="s">
        <v>12</v>
      </c>
      <c r="E105" s="541"/>
      <c r="F105" s="541"/>
    </row>
    <row r="106" s="540" customFormat="1" customHeight="1" spans="1:6">
      <c r="A106" s="540" t="s">
        <v>161</v>
      </c>
      <c r="B106" s="540" t="s">
        <v>162</v>
      </c>
      <c r="C106" s="540">
        <v>4</v>
      </c>
      <c r="D106" s="542" t="s">
        <v>12</v>
      </c>
      <c r="E106" s="541"/>
      <c r="F106" s="541"/>
    </row>
    <row r="107" s="540" customFormat="1" customHeight="1" spans="1:6">
      <c r="A107" s="543" t="s">
        <v>163</v>
      </c>
      <c r="B107" s="543" t="s">
        <v>164</v>
      </c>
      <c r="C107" s="543">
        <v>2</v>
      </c>
      <c r="D107" s="540" t="s">
        <v>128</v>
      </c>
      <c r="E107" s="541"/>
      <c r="F107" s="541"/>
    </row>
    <row r="108" s="540" customFormat="1" customHeight="1" spans="1:6">
      <c r="A108" s="543" t="s">
        <v>165</v>
      </c>
      <c r="B108" s="543" t="s">
        <v>166</v>
      </c>
      <c r="C108" s="543">
        <v>4</v>
      </c>
      <c r="D108" s="540" t="s">
        <v>128</v>
      </c>
      <c r="E108" s="541"/>
      <c r="F108" s="541"/>
    </row>
    <row r="109" s="540" customFormat="1" customHeight="1" spans="1:6">
      <c r="A109" s="543" t="s">
        <v>167</v>
      </c>
      <c r="B109" s="543"/>
      <c r="C109" s="543"/>
      <c r="D109" s="540" t="s">
        <v>128</v>
      </c>
      <c r="E109" s="541"/>
      <c r="F109" s="541"/>
    </row>
    <row r="110" s="540" customFormat="1" customHeight="1" spans="1:6">
      <c r="A110" s="543" t="s">
        <v>168</v>
      </c>
      <c r="B110" s="543"/>
      <c r="C110" s="543"/>
      <c r="D110" s="540" t="s">
        <v>128</v>
      </c>
      <c r="E110" s="541"/>
      <c r="F110" s="541"/>
    </row>
    <row r="111" s="540" customFormat="1" customHeight="1" spans="1:6">
      <c r="A111" s="543" t="s">
        <v>169</v>
      </c>
      <c r="B111" s="543"/>
      <c r="C111" s="543"/>
      <c r="D111" s="540" t="s">
        <v>128</v>
      </c>
      <c r="E111" s="541"/>
      <c r="F111" s="541"/>
    </row>
    <row r="112" s="540" customFormat="1" customHeight="1" spans="1:6">
      <c r="A112" s="543" t="s">
        <v>170</v>
      </c>
      <c r="B112" s="543"/>
      <c r="C112" s="543"/>
      <c r="D112" s="540" t="s">
        <v>128</v>
      </c>
      <c r="E112" s="541"/>
      <c r="F112" s="541"/>
    </row>
    <row r="113" s="540" customFormat="1" customHeight="1" spans="1:6">
      <c r="A113" s="543">
        <v>47616</v>
      </c>
      <c r="B113" s="543" t="s">
        <v>166</v>
      </c>
      <c r="C113" s="543">
        <v>4</v>
      </c>
      <c r="D113" s="540" t="s">
        <v>128</v>
      </c>
      <c r="E113" s="541"/>
      <c r="F113" s="541"/>
    </row>
    <row r="114" s="540" customFormat="1" customHeight="1" spans="1:6">
      <c r="A114" s="543" t="s">
        <v>171</v>
      </c>
      <c r="B114" s="543"/>
      <c r="C114" s="543"/>
      <c r="D114" s="540" t="s">
        <v>128</v>
      </c>
      <c r="E114" s="541"/>
      <c r="F114" s="541"/>
    </row>
    <row r="115" s="540" customFormat="1" customHeight="1" spans="1:6">
      <c r="A115" s="543" t="s">
        <v>172</v>
      </c>
      <c r="B115" s="543" t="s">
        <v>127</v>
      </c>
      <c r="C115" s="543">
        <v>4</v>
      </c>
      <c r="D115" s="540" t="s">
        <v>128</v>
      </c>
      <c r="E115" s="541"/>
      <c r="F115" s="541"/>
    </row>
    <row r="116" s="540" customFormat="1" customHeight="1" spans="1:6">
      <c r="A116" s="543" t="s">
        <v>173</v>
      </c>
      <c r="B116" s="543"/>
      <c r="C116" s="543"/>
      <c r="D116" s="540" t="s">
        <v>128</v>
      </c>
      <c r="E116" s="541"/>
      <c r="F116" s="541"/>
    </row>
    <row r="117" s="540" customFormat="1" customHeight="1" spans="1:6">
      <c r="A117" s="543" t="s">
        <v>174</v>
      </c>
      <c r="B117" s="543"/>
      <c r="C117" s="543"/>
      <c r="D117" s="540" t="s">
        <v>128</v>
      </c>
      <c r="E117" s="541"/>
      <c r="F117" s="541"/>
    </row>
    <row r="118" s="540" customFormat="1" customHeight="1" spans="1:6">
      <c r="A118" s="543" t="s">
        <v>175</v>
      </c>
      <c r="B118" s="543"/>
      <c r="C118" s="543"/>
      <c r="D118" s="540" t="s">
        <v>128</v>
      </c>
      <c r="E118" s="541"/>
      <c r="F118" s="541"/>
    </row>
    <row r="119" s="540" customFormat="1" customHeight="1" spans="1:6">
      <c r="A119" s="543" t="s">
        <v>176</v>
      </c>
      <c r="B119" s="543" t="s">
        <v>164</v>
      </c>
      <c r="C119" s="543">
        <v>2</v>
      </c>
      <c r="D119" s="540" t="s">
        <v>128</v>
      </c>
      <c r="E119" s="541"/>
      <c r="F119" s="541"/>
    </row>
    <row r="120" s="540" customFormat="1" customHeight="1" spans="1:6">
      <c r="A120" s="543" t="s">
        <v>177</v>
      </c>
      <c r="B120" s="543" t="s">
        <v>138</v>
      </c>
      <c r="C120" s="543">
        <v>2</v>
      </c>
      <c r="D120" s="540" t="s">
        <v>128</v>
      </c>
      <c r="E120" s="541"/>
      <c r="F120" s="541"/>
    </row>
    <row r="121" s="540" customFormat="1" customHeight="1" spans="1:6">
      <c r="A121" s="543" t="s">
        <v>178</v>
      </c>
      <c r="B121" s="543" t="s">
        <v>140</v>
      </c>
      <c r="C121" s="543">
        <v>2</v>
      </c>
      <c r="D121" s="540" t="s">
        <v>128</v>
      </c>
      <c r="E121" s="541"/>
      <c r="F121" s="541"/>
    </row>
    <row r="122" s="540" customFormat="1" customHeight="1" spans="1:6">
      <c r="A122" s="543" t="s">
        <v>179</v>
      </c>
      <c r="B122" s="543" t="s">
        <v>140</v>
      </c>
      <c r="C122" s="543">
        <v>2</v>
      </c>
      <c r="D122" s="540" t="s">
        <v>128</v>
      </c>
      <c r="E122" s="541"/>
      <c r="F122" s="541"/>
    </row>
    <row r="123" s="540" customFormat="1" customHeight="1" spans="1:6">
      <c r="A123" s="543" t="s">
        <v>180</v>
      </c>
      <c r="B123" s="543"/>
      <c r="C123" s="543"/>
      <c r="D123" s="540" t="s">
        <v>128</v>
      </c>
      <c r="E123" s="541"/>
      <c r="F123" s="541"/>
    </row>
    <row r="124" s="540" customFormat="1" customHeight="1" spans="1:6">
      <c r="A124" s="543" t="s">
        <v>181</v>
      </c>
      <c r="B124" s="543"/>
      <c r="C124" s="543"/>
      <c r="D124" s="540" t="s">
        <v>128</v>
      </c>
      <c r="E124" s="541"/>
      <c r="F124" s="541"/>
    </row>
    <row r="125" s="540" customFormat="1" customHeight="1" spans="1:6">
      <c r="A125" s="540" t="s">
        <v>182</v>
      </c>
      <c r="B125" s="540" t="s">
        <v>90</v>
      </c>
      <c r="C125" s="540">
        <v>6</v>
      </c>
      <c r="D125" s="542" t="s">
        <v>12</v>
      </c>
      <c r="E125" s="541"/>
      <c r="F125" s="541"/>
    </row>
    <row r="126" s="540" customFormat="1" customHeight="1" spans="1:6">
      <c r="A126" s="540" t="s">
        <v>183</v>
      </c>
      <c r="B126" s="540" t="s">
        <v>96</v>
      </c>
      <c r="C126" s="540">
        <v>4</v>
      </c>
      <c r="D126" s="542" t="s">
        <v>12</v>
      </c>
      <c r="E126" s="541"/>
      <c r="F126" s="541"/>
    </row>
    <row r="127" s="540" customFormat="1" customHeight="1" spans="1:6">
      <c r="A127" s="540" t="s">
        <v>184</v>
      </c>
      <c r="B127" s="540" t="s">
        <v>98</v>
      </c>
      <c r="C127" s="540">
        <v>4</v>
      </c>
      <c r="D127" s="542" t="s">
        <v>12</v>
      </c>
      <c r="E127" s="541"/>
      <c r="F127" s="541"/>
    </row>
    <row r="128" customHeight="1" spans="1:6">
      <c r="A128" s="540" t="s">
        <v>185</v>
      </c>
      <c r="B128" s="546" t="s">
        <v>186</v>
      </c>
      <c r="C128" s="540">
        <v>3</v>
      </c>
      <c r="D128" s="540" t="s">
        <v>128</v>
      </c>
    </row>
    <row r="129" customHeight="1" spans="1:4">
      <c r="A129" s="540" t="s">
        <v>187</v>
      </c>
      <c r="B129" s="546" t="s">
        <v>188</v>
      </c>
      <c r="C129" s="540">
        <v>2</v>
      </c>
      <c r="D129" s="540" t="s">
        <v>128</v>
      </c>
    </row>
    <row r="130" customHeight="1" spans="1:4">
      <c r="A130" s="540" t="s">
        <v>189</v>
      </c>
      <c r="B130" s="546" t="s">
        <v>190</v>
      </c>
      <c r="C130" s="540">
        <v>6</v>
      </c>
      <c r="D130" s="540" t="s">
        <v>12</v>
      </c>
    </row>
    <row r="131" customHeight="1" spans="1:4">
      <c r="A131" s="540" t="s">
        <v>191</v>
      </c>
      <c r="B131" s="546" t="s">
        <v>192</v>
      </c>
      <c r="C131" s="540">
        <v>12</v>
      </c>
      <c r="D131" s="540" t="s">
        <v>128</v>
      </c>
    </row>
    <row r="132" customHeight="1" spans="1:4">
      <c r="A132" s="540" t="s">
        <v>193</v>
      </c>
      <c r="B132" s="540" t="s">
        <v>194</v>
      </c>
      <c r="C132" s="540">
        <v>12</v>
      </c>
      <c r="D132" s="540" t="s">
        <v>128</v>
      </c>
    </row>
    <row r="133" customHeight="1" spans="1:4">
      <c r="A133" s="540" t="s">
        <v>195</v>
      </c>
      <c r="B133" s="546" t="s">
        <v>196</v>
      </c>
      <c r="C133" s="540">
        <v>4</v>
      </c>
      <c r="D133" s="540" t="s">
        <v>128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D133" etc:filterBottomFollowUsedRange="0">
    <extLst/>
  </autoFilter>
  <conditionalFormatting sqref="A55">
    <cfRule type="duplicateValues" dxfId="0" priority="10"/>
  </conditionalFormatting>
  <conditionalFormatting sqref="A65">
    <cfRule type="duplicateValues" dxfId="0" priority="9"/>
  </conditionalFormatting>
  <conditionalFormatting sqref="A74">
    <cfRule type="duplicateValues" dxfId="0" priority="8"/>
  </conditionalFormatting>
  <conditionalFormatting sqref="A79">
    <cfRule type="duplicateValues" dxfId="0" priority="7"/>
  </conditionalFormatting>
  <conditionalFormatting sqref="A80">
    <cfRule type="duplicateValues" dxfId="0" priority="6"/>
  </conditionalFormatting>
  <conditionalFormatting sqref="A85">
    <cfRule type="duplicateValues" dxfId="0" priority="5"/>
  </conditionalFormatting>
  <conditionalFormatting sqref="A91">
    <cfRule type="duplicateValues" dxfId="0" priority="4"/>
  </conditionalFormatting>
  <conditionalFormatting sqref="A99">
    <cfRule type="duplicateValues" dxfId="0" priority="3"/>
  </conditionalFormatting>
  <conditionalFormatting sqref="A102">
    <cfRule type="duplicateValues" dxfId="0" priority="2"/>
  </conditionalFormatting>
  <conditionalFormatting sqref="A$1:A$1048576">
    <cfRule type="duplicateValues" dxfId="0" priority="1"/>
  </conditionalFormatting>
  <conditionalFormatting sqref="A1:A54 A56:A64 A66:A73 A75:A78 A81:A84 A86:A90 A92:A98 A100:A101 A103:A1048576">
    <cfRule type="duplicateValues" dxfId="0" priority="11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T781"/>
  <sheetViews>
    <sheetView workbookViewId="0">
      <pane xSplit="7" ySplit="2" topLeftCell="BM757" activePane="bottomRight" state="frozen"/>
      <selection/>
      <selection pane="topRight"/>
      <selection pane="bottomLeft"/>
      <selection pane="bottomRight" activeCell="D740" sqref="D740"/>
    </sheetView>
  </sheetViews>
  <sheetFormatPr defaultColWidth="9" defaultRowHeight="25" customHeight="1"/>
  <cols>
    <col min="1" max="1" width="12.6" style="425" customWidth="1"/>
    <col min="2" max="2" width="14.625" style="434" customWidth="1"/>
    <col min="3" max="3" width="12.6" style="426" customWidth="1"/>
    <col min="4" max="4" width="16.4083333333333" style="435" customWidth="1"/>
    <col min="5" max="5" width="10.6" style="426" customWidth="1"/>
    <col min="6" max="6" width="8.94166666666667" style="436" customWidth="1"/>
    <col min="7" max="7" width="12.625" style="425" customWidth="1"/>
    <col min="8" max="8" width="9.625" style="425" customWidth="1"/>
    <col min="9" max="9" width="8.6" style="425" customWidth="1"/>
    <col min="10" max="19" width="8.6" style="91" customWidth="1"/>
    <col min="20" max="20" width="8.6" style="425" customWidth="1"/>
    <col min="21" max="67" width="8.6" style="91" customWidth="1"/>
    <col min="68" max="69" width="8.6" style="437" customWidth="1"/>
    <col min="70" max="71" width="12.6" style="438" customWidth="1"/>
    <col min="72" max="72" width="6.625" style="425" customWidth="1"/>
    <col min="73" max="16384" width="9" style="425"/>
  </cols>
  <sheetData>
    <row r="1" s="425" customFormat="1" customHeight="1" spans="1:72">
      <c r="A1" s="439" t="s">
        <v>197</v>
      </c>
      <c r="B1" s="439"/>
      <c r="C1" s="439"/>
      <c r="D1" s="440"/>
      <c r="E1" s="439"/>
      <c r="F1" s="116"/>
      <c r="G1" s="439"/>
      <c r="H1" s="441"/>
      <c r="I1" s="442"/>
      <c r="J1" s="443"/>
      <c r="K1" s="443"/>
      <c r="L1" s="443"/>
      <c r="M1" s="443"/>
      <c r="N1" s="443"/>
      <c r="O1" s="443"/>
      <c r="P1" s="443"/>
      <c r="Q1" s="443"/>
      <c r="R1" s="443"/>
      <c r="S1" s="443"/>
      <c r="T1" s="443"/>
      <c r="U1" s="443"/>
      <c r="V1" s="443"/>
      <c r="W1" s="443"/>
      <c r="X1" s="443"/>
      <c r="Y1" s="443"/>
      <c r="Z1" s="443"/>
      <c r="AA1" s="443"/>
      <c r="AB1" s="443"/>
      <c r="AC1" s="443"/>
      <c r="AD1" s="443"/>
      <c r="AE1" s="443"/>
      <c r="AF1" s="444" t="s">
        <v>198</v>
      </c>
      <c r="AG1" s="445"/>
      <c r="AH1" s="443"/>
      <c r="AI1" s="443"/>
      <c r="AJ1" s="443"/>
      <c r="AK1" s="443"/>
      <c r="AL1" s="443"/>
      <c r="AM1" s="443"/>
      <c r="AN1" s="443"/>
      <c r="AO1" s="443"/>
      <c r="AP1" s="443"/>
      <c r="AQ1" s="443"/>
      <c r="AR1" s="443"/>
      <c r="AS1" s="443"/>
      <c r="AT1" s="443"/>
      <c r="AU1" s="443"/>
      <c r="AV1" s="443"/>
      <c r="AW1" s="443"/>
      <c r="AX1" s="443"/>
      <c r="AY1" s="443"/>
      <c r="AZ1" s="443"/>
      <c r="BA1" s="443"/>
      <c r="BB1" s="443"/>
      <c r="BC1" s="443"/>
      <c r="BD1" s="443"/>
      <c r="BE1" s="443"/>
      <c r="BF1" s="443"/>
      <c r="BG1" s="443"/>
      <c r="BH1" s="443"/>
      <c r="BI1" s="443"/>
      <c r="BJ1" s="443"/>
      <c r="BK1" s="443"/>
      <c r="BL1" s="443"/>
      <c r="BM1" s="443"/>
      <c r="BN1" s="443"/>
      <c r="BO1" s="443"/>
      <c r="BP1" s="446"/>
      <c r="BQ1" s="446"/>
      <c r="BR1" s="447"/>
      <c r="BS1" s="447"/>
      <c r="BT1" s="443"/>
    </row>
    <row r="2" s="426" customFormat="1" customHeight="1" spans="1:72">
      <c r="A2" s="448" t="s">
        <v>199</v>
      </c>
      <c r="B2" s="29" t="s">
        <v>200</v>
      </c>
      <c r="C2" s="28" t="s">
        <v>201</v>
      </c>
      <c r="D2" s="29" t="s">
        <v>202</v>
      </c>
      <c r="E2" s="29" t="s">
        <v>203</v>
      </c>
      <c r="F2" s="31" t="s">
        <v>204</v>
      </c>
      <c r="G2" s="449" t="s">
        <v>205</v>
      </c>
      <c r="H2" s="441" t="s">
        <v>206</v>
      </c>
      <c r="I2" s="441" t="s">
        <v>207</v>
      </c>
      <c r="J2" s="30" t="s">
        <v>29</v>
      </c>
      <c r="K2" s="30" t="s">
        <v>208</v>
      </c>
      <c r="L2" s="30" t="s">
        <v>50</v>
      </c>
      <c r="M2" s="30" t="s">
        <v>55</v>
      </c>
      <c r="N2" s="253" t="s">
        <v>209</v>
      </c>
      <c r="O2" s="253" t="s">
        <v>210</v>
      </c>
      <c r="P2" s="30" t="s">
        <v>53</v>
      </c>
      <c r="Q2" s="30" t="s">
        <v>57</v>
      </c>
      <c r="R2" s="30" t="s">
        <v>211</v>
      </c>
      <c r="S2" s="30" t="s">
        <v>212</v>
      </c>
      <c r="T2" s="30">
        <v>47674</v>
      </c>
      <c r="U2" s="30" t="s">
        <v>72</v>
      </c>
      <c r="V2" s="253" t="s">
        <v>213</v>
      </c>
      <c r="W2" s="30" t="s">
        <v>39</v>
      </c>
      <c r="X2" s="30" t="s">
        <v>41</v>
      </c>
      <c r="Y2" s="30" t="s">
        <v>35</v>
      </c>
      <c r="Z2" s="30" t="s">
        <v>31</v>
      </c>
      <c r="AA2" s="30" t="s">
        <v>20</v>
      </c>
      <c r="AB2" s="30" t="s">
        <v>214</v>
      </c>
      <c r="AC2" s="30" t="s">
        <v>37</v>
      </c>
      <c r="AD2" s="30" t="s">
        <v>87</v>
      </c>
      <c r="AE2" s="30" t="s">
        <v>88</v>
      </c>
      <c r="AF2" s="30" t="s">
        <v>215</v>
      </c>
      <c r="AG2" s="30" t="s">
        <v>216</v>
      </c>
      <c r="AH2" s="30" t="s">
        <v>217</v>
      </c>
      <c r="AI2" s="30" t="s">
        <v>97</v>
      </c>
      <c r="AJ2" s="30" t="s">
        <v>105</v>
      </c>
      <c r="AK2" s="30" t="s">
        <v>107</v>
      </c>
      <c r="AL2" s="30" t="s">
        <v>109</v>
      </c>
      <c r="AM2" s="30" t="s">
        <v>111</v>
      </c>
      <c r="AN2" s="30" t="s">
        <v>218</v>
      </c>
      <c r="AO2" s="30" t="s">
        <v>115</v>
      </c>
      <c r="AP2" s="30" t="s">
        <v>187</v>
      </c>
      <c r="AQ2" s="30" t="s">
        <v>118</v>
      </c>
      <c r="AR2" s="30" t="s">
        <v>120</v>
      </c>
      <c r="AS2" s="30" t="s">
        <v>219</v>
      </c>
      <c r="AT2" s="30" t="s">
        <v>137</v>
      </c>
      <c r="AU2" s="30" t="s">
        <v>139</v>
      </c>
      <c r="AV2" s="30" t="s">
        <v>220</v>
      </c>
      <c r="AW2" s="30" t="s">
        <v>144</v>
      </c>
      <c r="AX2" s="30" t="s">
        <v>148</v>
      </c>
      <c r="AY2" s="30" t="s">
        <v>161</v>
      </c>
      <c r="AZ2" s="30" t="s">
        <v>163</v>
      </c>
      <c r="BA2" s="30" t="s">
        <v>165</v>
      </c>
      <c r="BB2" s="30" t="s">
        <v>185</v>
      </c>
      <c r="BC2" s="30" t="s">
        <v>195</v>
      </c>
      <c r="BD2" s="30" t="s">
        <v>189</v>
      </c>
      <c r="BE2" s="30" t="s">
        <v>191</v>
      </c>
      <c r="BF2" s="30" t="s">
        <v>221</v>
      </c>
      <c r="BG2" s="30" t="s">
        <v>222</v>
      </c>
      <c r="BH2" s="253" t="s">
        <v>223</v>
      </c>
      <c r="BI2" s="253" t="s">
        <v>224</v>
      </c>
      <c r="BJ2" s="30" t="s">
        <v>225</v>
      </c>
      <c r="BK2" s="253" t="s">
        <v>226</v>
      </c>
      <c r="BL2" s="253" t="s">
        <v>227</v>
      </c>
      <c r="BM2" s="30" t="s">
        <v>228</v>
      </c>
      <c r="BN2" s="253" t="s">
        <v>229</v>
      </c>
      <c r="BO2" s="30" t="s">
        <v>193</v>
      </c>
      <c r="BP2" s="548" t="s">
        <v>230</v>
      </c>
      <c r="BQ2" s="450" t="s">
        <v>231</v>
      </c>
      <c r="BR2" s="447" t="s">
        <v>232</v>
      </c>
      <c r="BS2" s="447" t="s">
        <v>233</v>
      </c>
      <c r="BT2" s="442" t="s">
        <v>234</v>
      </c>
    </row>
    <row r="3" s="427" customFormat="1" hidden="1" customHeight="1" spans="1:72">
      <c r="A3" s="93">
        <v>45772</v>
      </c>
      <c r="B3" s="95" t="s">
        <v>235</v>
      </c>
      <c r="C3" s="96">
        <v>10100602</v>
      </c>
      <c r="D3" s="96">
        <v>4500031037</v>
      </c>
      <c r="E3" s="97">
        <v>47669</v>
      </c>
      <c r="F3" s="99">
        <v>680</v>
      </c>
      <c r="G3" s="93">
        <v>46015</v>
      </c>
      <c r="H3" s="429"/>
      <c r="I3" s="429"/>
      <c r="J3" s="429"/>
      <c r="K3" s="429"/>
      <c r="L3" s="429"/>
      <c r="M3" s="429"/>
      <c r="N3" s="429"/>
      <c r="O3" s="429"/>
      <c r="P3" s="429"/>
      <c r="Q3" s="429"/>
      <c r="R3" s="429">
        <f>F3</f>
        <v>680</v>
      </c>
      <c r="S3" s="429"/>
      <c r="T3" s="429"/>
      <c r="U3" s="429"/>
      <c r="V3" s="429"/>
      <c r="W3" s="429"/>
      <c r="X3" s="429"/>
      <c r="Y3" s="429"/>
      <c r="Z3" s="429"/>
      <c r="AA3" s="429"/>
      <c r="AB3" s="429"/>
      <c r="AC3" s="429"/>
      <c r="AD3" s="429"/>
      <c r="AE3" s="429"/>
      <c r="AF3" s="429"/>
      <c r="AG3" s="429"/>
      <c r="AH3" s="429"/>
      <c r="AI3" s="429"/>
      <c r="AJ3" s="429"/>
      <c r="AK3" s="429"/>
      <c r="AL3" s="429"/>
      <c r="AM3" s="429"/>
      <c r="AN3" s="429"/>
      <c r="AO3" s="429"/>
      <c r="AP3" s="429"/>
      <c r="AQ3" s="429"/>
      <c r="AR3" s="429"/>
      <c r="AS3" s="429"/>
      <c r="AT3" s="429"/>
      <c r="AU3" s="429"/>
      <c r="AV3" s="429"/>
      <c r="AW3" s="429"/>
      <c r="AX3" s="429"/>
      <c r="AY3" s="429"/>
      <c r="AZ3" s="429"/>
      <c r="BA3" s="429"/>
      <c r="BB3" s="429"/>
      <c r="BC3" s="429"/>
      <c r="BD3" s="429"/>
      <c r="BE3" s="429"/>
      <c r="BF3" s="429"/>
      <c r="BG3" s="429"/>
      <c r="BH3" s="429"/>
      <c r="BI3" s="429"/>
      <c r="BJ3" s="429"/>
      <c r="BK3" s="429"/>
      <c r="BL3" s="429"/>
      <c r="BM3" s="429"/>
      <c r="BN3" s="429"/>
      <c r="BO3" s="429"/>
      <c r="BP3" s="120"/>
      <c r="BQ3" s="120">
        <v>4.906</v>
      </c>
      <c r="BR3" s="451">
        <f>SUM(H3:BP3)*BQ3</f>
        <v>3336.08</v>
      </c>
      <c r="BS3" s="451">
        <f>BR3*7.75</f>
        <v>25854.62</v>
      </c>
      <c r="BT3" s="429" t="str">
        <f>IFERROR(VLOOKUP(E3,名称!A:D,4,FALSE),"")</f>
        <v>KIK</v>
      </c>
    </row>
    <row r="4" s="427" customFormat="1" hidden="1" customHeight="1" spans="1:72">
      <c r="A4" s="93">
        <v>45772</v>
      </c>
      <c r="B4" s="95" t="s">
        <v>235</v>
      </c>
      <c r="C4" s="96">
        <v>10100602</v>
      </c>
      <c r="D4" s="96">
        <v>4500031037</v>
      </c>
      <c r="E4" s="97">
        <v>47669</v>
      </c>
      <c r="F4" s="99">
        <f>1500-680</f>
        <v>820</v>
      </c>
      <c r="G4" s="93">
        <v>46078</v>
      </c>
      <c r="H4" s="429"/>
      <c r="I4" s="429"/>
      <c r="J4" s="429"/>
      <c r="K4" s="429"/>
      <c r="L4" s="429"/>
      <c r="M4" s="429"/>
      <c r="N4" s="429"/>
      <c r="O4" s="429"/>
      <c r="P4" s="429"/>
      <c r="Q4" s="429"/>
      <c r="R4" s="429">
        <f>F4</f>
        <v>820</v>
      </c>
      <c r="S4" s="429"/>
      <c r="T4" s="429"/>
      <c r="U4" s="429"/>
      <c r="V4" s="429"/>
      <c r="W4" s="429"/>
      <c r="X4" s="429"/>
      <c r="Y4" s="429"/>
      <c r="Z4" s="429"/>
      <c r="AA4" s="429"/>
      <c r="AB4" s="429"/>
      <c r="AC4" s="429"/>
      <c r="AD4" s="429"/>
      <c r="AE4" s="429"/>
      <c r="AF4" s="429"/>
      <c r="AG4" s="429"/>
      <c r="AH4" s="429"/>
      <c r="AI4" s="429"/>
      <c r="AJ4" s="429"/>
      <c r="AK4" s="429"/>
      <c r="AL4" s="429"/>
      <c r="AM4" s="429"/>
      <c r="AN4" s="429"/>
      <c r="AO4" s="429"/>
      <c r="AP4" s="429"/>
      <c r="AQ4" s="429"/>
      <c r="AR4" s="429"/>
      <c r="AS4" s="429"/>
      <c r="AT4" s="429"/>
      <c r="AU4" s="429"/>
      <c r="AV4" s="429"/>
      <c r="AW4" s="429"/>
      <c r="AX4" s="429"/>
      <c r="AY4" s="429"/>
      <c r="AZ4" s="429"/>
      <c r="BA4" s="429"/>
      <c r="BB4" s="429"/>
      <c r="BC4" s="429"/>
      <c r="BD4" s="429"/>
      <c r="BE4" s="429"/>
      <c r="BF4" s="429"/>
      <c r="BG4" s="429"/>
      <c r="BH4" s="429"/>
      <c r="BI4" s="429"/>
      <c r="BJ4" s="429"/>
      <c r="BK4" s="429"/>
      <c r="BL4" s="429"/>
      <c r="BM4" s="429"/>
      <c r="BN4" s="429"/>
      <c r="BO4" s="429"/>
      <c r="BP4" s="120"/>
      <c r="BQ4" s="120">
        <v>4.906</v>
      </c>
      <c r="BR4" s="451">
        <f t="shared" ref="BR4:BR35" si="0">SUM(H4:BP4)*BQ4</f>
        <v>4022.92</v>
      </c>
      <c r="BS4" s="451">
        <f t="shared" ref="BS4:BS35" si="1">BR4*7.75</f>
        <v>31177.63</v>
      </c>
      <c r="BT4" s="429" t="str">
        <f>IFERROR(VLOOKUP(E4,名称!A:D,4,FALSE),"")</f>
        <v>KIK</v>
      </c>
    </row>
    <row r="5" s="427" customFormat="1" hidden="1" customHeight="1" spans="1:72">
      <c r="A5" s="93">
        <v>45850</v>
      </c>
      <c r="B5" s="95" t="s">
        <v>236</v>
      </c>
      <c r="C5" s="96">
        <v>10107306</v>
      </c>
      <c r="D5" s="96">
        <v>20218498</v>
      </c>
      <c r="E5" s="97" t="s">
        <v>48</v>
      </c>
      <c r="F5" s="99">
        <f>4000-2200</f>
        <v>1800</v>
      </c>
      <c r="G5" s="93">
        <v>46036</v>
      </c>
      <c r="H5" s="429"/>
      <c r="I5" s="429"/>
      <c r="J5" s="429"/>
      <c r="K5" s="429">
        <f>F5</f>
        <v>1800</v>
      </c>
      <c r="L5" s="429"/>
      <c r="M5" s="429"/>
      <c r="N5" s="429"/>
      <c r="O5" s="429"/>
      <c r="P5" s="429"/>
      <c r="Q5" s="429"/>
      <c r="R5" s="429"/>
      <c r="S5" s="429"/>
      <c r="T5" s="429"/>
      <c r="U5" s="429"/>
      <c r="V5" s="429"/>
      <c r="W5" s="429"/>
      <c r="X5" s="429"/>
      <c r="Y5" s="429"/>
      <c r="Z5" s="429"/>
      <c r="AA5" s="429"/>
      <c r="AB5" s="429"/>
      <c r="AC5" s="429"/>
      <c r="AD5" s="429"/>
      <c r="AE5" s="429"/>
      <c r="AF5" s="429"/>
      <c r="AG5" s="429"/>
      <c r="AH5" s="429"/>
      <c r="AI5" s="429"/>
      <c r="AJ5" s="429"/>
      <c r="AK5" s="429"/>
      <c r="AL5" s="429"/>
      <c r="AM5" s="429"/>
      <c r="AN5" s="429"/>
      <c r="AO5" s="429"/>
      <c r="AP5" s="429"/>
      <c r="AQ5" s="429"/>
      <c r="AR5" s="429"/>
      <c r="AS5" s="429"/>
      <c r="AT5" s="429"/>
      <c r="AU5" s="429"/>
      <c r="AV5" s="429"/>
      <c r="AW5" s="429"/>
      <c r="AX5" s="429"/>
      <c r="AY5" s="429"/>
      <c r="AZ5" s="429"/>
      <c r="BA5" s="429"/>
      <c r="BB5" s="429"/>
      <c r="BC5" s="429"/>
      <c r="BD5" s="429"/>
      <c r="BE5" s="429"/>
      <c r="BF5" s="429"/>
      <c r="BG5" s="429"/>
      <c r="BH5" s="429"/>
      <c r="BI5" s="429"/>
      <c r="BJ5" s="429"/>
      <c r="BK5" s="429"/>
      <c r="BL5" s="429"/>
      <c r="BM5" s="429"/>
      <c r="BN5" s="429"/>
      <c r="BO5" s="429"/>
      <c r="BP5" s="120"/>
      <c r="BQ5" s="120">
        <v>2.199</v>
      </c>
      <c r="BR5" s="451">
        <f t="shared" si="0"/>
        <v>3958.2</v>
      </c>
      <c r="BS5" s="451">
        <f t="shared" si="1"/>
        <v>30676.05</v>
      </c>
      <c r="BT5" s="429" t="str">
        <f>IFERROR(VLOOKUP(E5,名称!A:D,4,FALSE),"")</f>
        <v>KIK</v>
      </c>
    </row>
    <row r="6" s="427" customFormat="1" hidden="1" customHeight="1" spans="1:72">
      <c r="A6" s="93">
        <v>45862</v>
      </c>
      <c r="B6" s="95" t="s">
        <v>235</v>
      </c>
      <c r="C6" s="96">
        <v>10107795</v>
      </c>
      <c r="D6" s="96">
        <v>4500031524</v>
      </c>
      <c r="E6" s="97" t="s">
        <v>89</v>
      </c>
      <c r="F6" s="99">
        <v>7200</v>
      </c>
      <c r="G6" s="93">
        <v>46029</v>
      </c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52">
        <v>4800</v>
      </c>
      <c r="AG6" s="452">
        <v>2400</v>
      </c>
      <c r="AH6" s="429"/>
      <c r="AI6" s="429"/>
      <c r="AJ6" s="429"/>
      <c r="AK6" s="429"/>
      <c r="AL6" s="429"/>
      <c r="AM6" s="429"/>
      <c r="AN6" s="429"/>
      <c r="AO6" s="429"/>
      <c r="AP6" s="429"/>
      <c r="AQ6" s="429"/>
      <c r="AR6" s="429"/>
      <c r="AS6" s="429"/>
      <c r="AT6" s="429"/>
      <c r="AU6" s="429"/>
      <c r="AV6" s="429"/>
      <c r="AW6" s="429"/>
      <c r="AX6" s="429"/>
      <c r="AY6" s="429"/>
      <c r="AZ6" s="429"/>
      <c r="BA6" s="429"/>
      <c r="BB6" s="429"/>
      <c r="BC6" s="429"/>
      <c r="BD6" s="429"/>
      <c r="BE6" s="429"/>
      <c r="BF6" s="429"/>
      <c r="BG6" s="429"/>
      <c r="BH6" s="429"/>
      <c r="BI6" s="429"/>
      <c r="BJ6" s="429"/>
      <c r="BK6" s="429"/>
      <c r="BL6" s="429"/>
      <c r="BM6" s="429"/>
      <c r="BN6" s="429"/>
      <c r="BO6" s="429"/>
      <c r="BP6" s="120"/>
      <c r="BQ6" s="120">
        <v>1.377</v>
      </c>
      <c r="BR6" s="451">
        <f t="shared" si="0"/>
        <v>9914.4</v>
      </c>
      <c r="BS6" s="451">
        <f t="shared" si="1"/>
        <v>76836.6</v>
      </c>
      <c r="BT6" s="429" t="str">
        <f>IFERROR(VLOOKUP(E6,名称!A:D,4,FALSE),"")</f>
        <v>KIK</v>
      </c>
    </row>
    <row r="7" s="427" customFormat="1" hidden="1" customHeight="1" spans="1:72">
      <c r="A7" s="93">
        <v>45862</v>
      </c>
      <c r="B7" s="95" t="s">
        <v>235</v>
      </c>
      <c r="C7" s="96">
        <v>10107795</v>
      </c>
      <c r="D7" s="96">
        <v>4500031524</v>
      </c>
      <c r="E7" s="97" t="s">
        <v>89</v>
      </c>
      <c r="F7" s="99">
        <f>2802-600</f>
        <v>2202</v>
      </c>
      <c r="G7" s="93">
        <v>46078</v>
      </c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29"/>
      <c r="AA7" s="429"/>
      <c r="AB7" s="429"/>
      <c r="AC7" s="429"/>
      <c r="AD7" s="429"/>
      <c r="AE7" s="429"/>
      <c r="AF7" s="429">
        <f>F7/6*4</f>
        <v>1468</v>
      </c>
      <c r="AG7" s="429">
        <f>F7/6*2</f>
        <v>734</v>
      </c>
      <c r="AH7" s="429"/>
      <c r="AI7" s="429"/>
      <c r="AJ7" s="429"/>
      <c r="AK7" s="429"/>
      <c r="AL7" s="429"/>
      <c r="AM7" s="429"/>
      <c r="AN7" s="429"/>
      <c r="AO7" s="429"/>
      <c r="AP7" s="429"/>
      <c r="AQ7" s="429"/>
      <c r="AR7" s="429"/>
      <c r="AS7" s="429"/>
      <c r="AT7" s="429"/>
      <c r="AU7" s="429"/>
      <c r="AV7" s="429"/>
      <c r="AW7" s="429"/>
      <c r="AX7" s="429"/>
      <c r="AY7" s="429"/>
      <c r="AZ7" s="429"/>
      <c r="BA7" s="429"/>
      <c r="BB7" s="429"/>
      <c r="BC7" s="429"/>
      <c r="BD7" s="429"/>
      <c r="BE7" s="429"/>
      <c r="BF7" s="429"/>
      <c r="BG7" s="429"/>
      <c r="BH7" s="429"/>
      <c r="BI7" s="429"/>
      <c r="BJ7" s="429"/>
      <c r="BK7" s="429"/>
      <c r="BL7" s="429"/>
      <c r="BM7" s="429"/>
      <c r="BN7" s="429"/>
      <c r="BO7" s="429"/>
      <c r="BP7" s="120"/>
      <c r="BQ7" s="120">
        <v>1.377</v>
      </c>
      <c r="BR7" s="451">
        <f t="shared" si="0"/>
        <v>3032.15</v>
      </c>
      <c r="BS7" s="451">
        <f t="shared" si="1"/>
        <v>23499.16</v>
      </c>
      <c r="BT7" s="429" t="str">
        <f>IFERROR(VLOOKUP(E7,名称!A:D,4,FALSE),"")</f>
        <v>KIK</v>
      </c>
    </row>
    <row r="8" s="427" customFormat="1" hidden="1" customHeight="1" spans="1:72">
      <c r="A8" s="93">
        <v>45862</v>
      </c>
      <c r="B8" s="95" t="s">
        <v>235</v>
      </c>
      <c r="C8" s="96">
        <v>10107796</v>
      </c>
      <c r="D8" s="96">
        <v>4500031525</v>
      </c>
      <c r="E8" s="97" t="s">
        <v>91</v>
      </c>
      <c r="F8" s="99">
        <f>3600-396</f>
        <v>3204</v>
      </c>
      <c r="G8" s="93">
        <v>46078</v>
      </c>
      <c r="H8" s="429"/>
      <c r="I8" s="429"/>
      <c r="J8" s="429"/>
      <c r="K8" s="429"/>
      <c r="L8" s="429"/>
      <c r="M8" s="429"/>
      <c r="N8" s="429"/>
      <c r="O8" s="429"/>
      <c r="P8" s="429"/>
      <c r="Q8" s="429"/>
      <c r="R8" s="429"/>
      <c r="S8" s="429"/>
      <c r="T8" s="429"/>
      <c r="U8" s="429"/>
      <c r="V8" s="429"/>
      <c r="W8" s="429"/>
      <c r="X8" s="429"/>
      <c r="Y8" s="429"/>
      <c r="Z8" s="429"/>
      <c r="AA8" s="429"/>
      <c r="AB8" s="429"/>
      <c r="AC8" s="429"/>
      <c r="AD8" s="429"/>
      <c r="AE8" s="429"/>
      <c r="AF8" s="429">
        <f>F8</f>
        <v>3204</v>
      </c>
      <c r="AG8" s="429"/>
      <c r="AH8" s="429"/>
      <c r="AI8" s="429"/>
      <c r="AJ8" s="429"/>
      <c r="AK8" s="429"/>
      <c r="AL8" s="429"/>
      <c r="AM8" s="429"/>
      <c r="AN8" s="429"/>
      <c r="AO8" s="429"/>
      <c r="AP8" s="429"/>
      <c r="AQ8" s="429"/>
      <c r="AR8" s="429"/>
      <c r="AS8" s="429"/>
      <c r="AT8" s="429"/>
      <c r="AU8" s="429"/>
      <c r="AV8" s="429"/>
      <c r="AW8" s="429"/>
      <c r="AX8" s="429"/>
      <c r="AY8" s="429"/>
      <c r="AZ8" s="429"/>
      <c r="BA8" s="429"/>
      <c r="BB8" s="429"/>
      <c r="BC8" s="429"/>
      <c r="BD8" s="429"/>
      <c r="BE8" s="429"/>
      <c r="BF8" s="429"/>
      <c r="BG8" s="429"/>
      <c r="BH8" s="429"/>
      <c r="BI8" s="429"/>
      <c r="BJ8" s="429"/>
      <c r="BK8" s="429"/>
      <c r="BL8" s="429"/>
      <c r="BM8" s="429"/>
      <c r="BN8" s="429"/>
      <c r="BO8" s="429"/>
      <c r="BP8" s="102"/>
      <c r="BQ8" s="102">
        <v>1.422</v>
      </c>
      <c r="BR8" s="451">
        <f t="shared" si="0"/>
        <v>4556.09</v>
      </c>
      <c r="BS8" s="451">
        <f t="shared" si="1"/>
        <v>35309.7</v>
      </c>
      <c r="BT8" s="429" t="str">
        <f>IFERROR(VLOOKUP(E8,名称!A:D,4,FALSE),"")</f>
        <v>KIK</v>
      </c>
    </row>
    <row r="9" s="427" customFormat="1" hidden="1" customHeight="1" spans="1:72">
      <c r="A9" s="93">
        <v>45862</v>
      </c>
      <c r="B9" s="95" t="s">
        <v>235</v>
      </c>
      <c r="C9" s="96">
        <v>10107796</v>
      </c>
      <c r="D9" s="96">
        <v>4500031525</v>
      </c>
      <c r="E9" s="97" t="s">
        <v>93</v>
      </c>
      <c r="F9" s="99">
        <f>3600-600-1602</f>
        <v>1398</v>
      </c>
      <c r="G9" s="93">
        <v>46029</v>
      </c>
      <c r="H9" s="429"/>
      <c r="I9" s="429"/>
      <c r="J9" s="429"/>
      <c r="K9" s="429"/>
      <c r="L9" s="429"/>
      <c r="M9" s="429"/>
      <c r="N9" s="429"/>
      <c r="O9" s="429"/>
      <c r="P9" s="429"/>
      <c r="Q9" s="429"/>
      <c r="R9" s="429"/>
      <c r="S9" s="429"/>
      <c r="T9" s="429"/>
      <c r="U9" s="429"/>
      <c r="V9" s="429"/>
      <c r="W9" s="429"/>
      <c r="X9" s="429"/>
      <c r="Y9" s="429"/>
      <c r="Z9" s="429"/>
      <c r="AA9" s="429"/>
      <c r="AB9" s="429"/>
      <c r="AC9" s="429"/>
      <c r="AD9" s="429"/>
      <c r="AE9" s="429"/>
      <c r="AF9" s="429"/>
      <c r="AG9" s="429">
        <f>F9</f>
        <v>1398</v>
      </c>
      <c r="AH9" s="429"/>
      <c r="AI9" s="429"/>
      <c r="AJ9" s="429"/>
      <c r="AK9" s="429"/>
      <c r="AL9" s="429"/>
      <c r="AM9" s="429"/>
      <c r="AN9" s="429"/>
      <c r="AO9" s="429"/>
      <c r="AP9" s="429"/>
      <c r="AQ9" s="429"/>
      <c r="AR9" s="429"/>
      <c r="AS9" s="429"/>
      <c r="AT9" s="429"/>
      <c r="AU9" s="429"/>
      <c r="AV9" s="429"/>
      <c r="AW9" s="429"/>
      <c r="AX9" s="429"/>
      <c r="AY9" s="429"/>
      <c r="AZ9" s="429"/>
      <c r="BA9" s="429"/>
      <c r="BB9" s="429"/>
      <c r="BC9" s="429"/>
      <c r="BD9" s="429"/>
      <c r="BE9" s="429"/>
      <c r="BF9" s="429"/>
      <c r="BG9" s="429"/>
      <c r="BH9" s="429"/>
      <c r="BI9" s="429"/>
      <c r="BJ9" s="429"/>
      <c r="BK9" s="429"/>
      <c r="BL9" s="429"/>
      <c r="BM9" s="429"/>
      <c r="BN9" s="429"/>
      <c r="BO9" s="429"/>
      <c r="BP9" s="102"/>
      <c r="BQ9" s="102">
        <v>1.287</v>
      </c>
      <c r="BR9" s="451">
        <f t="shared" si="0"/>
        <v>1799.23</v>
      </c>
      <c r="BS9" s="451">
        <f t="shared" si="1"/>
        <v>13944.03</v>
      </c>
      <c r="BT9" s="429" t="str">
        <f>IFERROR(VLOOKUP(E9,名称!A:D,4,FALSE),"")</f>
        <v>KIK</v>
      </c>
    </row>
    <row r="10" s="427" customFormat="1" hidden="1" customHeight="1" spans="1:72">
      <c r="A10" s="93">
        <v>45862</v>
      </c>
      <c r="B10" s="95" t="s">
        <v>235</v>
      </c>
      <c r="C10" s="96">
        <v>10107796</v>
      </c>
      <c r="D10" s="96">
        <v>4500031525</v>
      </c>
      <c r="E10" s="97" t="s">
        <v>93</v>
      </c>
      <c r="F10" s="99">
        <v>1602</v>
      </c>
      <c r="G10" s="93">
        <v>46029</v>
      </c>
      <c r="H10" s="429"/>
      <c r="I10" s="429"/>
      <c r="J10" s="429"/>
      <c r="K10" s="429"/>
      <c r="L10" s="429"/>
      <c r="M10" s="429"/>
      <c r="N10" s="429"/>
      <c r="O10" s="429"/>
      <c r="P10" s="429"/>
      <c r="Q10" s="429"/>
      <c r="R10" s="429"/>
      <c r="S10" s="429"/>
      <c r="T10" s="429"/>
      <c r="U10" s="429"/>
      <c r="V10" s="429"/>
      <c r="W10" s="429"/>
      <c r="X10" s="429"/>
      <c r="Y10" s="429"/>
      <c r="Z10" s="429"/>
      <c r="AA10" s="429"/>
      <c r="AB10" s="429"/>
      <c r="AC10" s="429"/>
      <c r="AD10" s="429"/>
      <c r="AE10" s="429"/>
      <c r="AF10" s="429"/>
      <c r="AG10" s="429">
        <f>F10</f>
        <v>1602</v>
      </c>
      <c r="AH10" s="429"/>
      <c r="AI10" s="429"/>
      <c r="AJ10" s="429"/>
      <c r="AK10" s="429"/>
      <c r="AL10" s="429"/>
      <c r="AM10" s="429"/>
      <c r="AN10" s="429"/>
      <c r="AO10" s="429"/>
      <c r="AP10" s="429"/>
      <c r="AQ10" s="429"/>
      <c r="AR10" s="429"/>
      <c r="AS10" s="429"/>
      <c r="AT10" s="429"/>
      <c r="AU10" s="429"/>
      <c r="AV10" s="429"/>
      <c r="AW10" s="429"/>
      <c r="AX10" s="429"/>
      <c r="AY10" s="429"/>
      <c r="AZ10" s="429"/>
      <c r="BA10" s="429"/>
      <c r="BB10" s="429"/>
      <c r="BC10" s="429"/>
      <c r="BD10" s="429"/>
      <c r="BE10" s="429"/>
      <c r="BF10" s="429"/>
      <c r="BG10" s="429"/>
      <c r="BH10" s="429"/>
      <c r="BI10" s="429"/>
      <c r="BJ10" s="429"/>
      <c r="BK10" s="429"/>
      <c r="BL10" s="429"/>
      <c r="BM10" s="429"/>
      <c r="BN10" s="429"/>
      <c r="BO10" s="429"/>
      <c r="BP10" s="102"/>
      <c r="BQ10" s="102">
        <v>1.287</v>
      </c>
      <c r="BR10" s="451">
        <f t="shared" si="0"/>
        <v>2061.77</v>
      </c>
      <c r="BS10" s="451">
        <f t="shared" si="1"/>
        <v>15978.72</v>
      </c>
      <c r="BT10" s="429" t="str">
        <f>IFERROR(VLOOKUP(E10,名称!A:D,4,FALSE),"")</f>
        <v>KIK</v>
      </c>
    </row>
    <row r="11" s="427" customFormat="1" hidden="1" customHeight="1" spans="1:72">
      <c r="A11" s="93">
        <v>45862</v>
      </c>
      <c r="B11" s="95" t="s">
        <v>235</v>
      </c>
      <c r="C11" s="96">
        <v>10107797</v>
      </c>
      <c r="D11" s="96">
        <v>4500031526</v>
      </c>
      <c r="E11" s="97" t="s">
        <v>95</v>
      </c>
      <c r="F11" s="99">
        <f>10000-1500-3000-2148</f>
        <v>3352</v>
      </c>
      <c r="G11" s="93">
        <v>46029</v>
      </c>
      <c r="H11" s="429"/>
      <c r="I11" s="429"/>
      <c r="J11" s="429"/>
      <c r="K11" s="429"/>
      <c r="L11" s="429"/>
      <c r="M11" s="429"/>
      <c r="N11" s="429"/>
      <c r="O11" s="429"/>
      <c r="P11" s="429"/>
      <c r="Q11" s="429"/>
      <c r="R11" s="429"/>
      <c r="S11" s="429"/>
      <c r="T11" s="429"/>
      <c r="U11" s="429"/>
      <c r="V11" s="429"/>
      <c r="W11" s="429"/>
      <c r="X11" s="429"/>
      <c r="Y11" s="429"/>
      <c r="Z11" s="429"/>
      <c r="AA11" s="429"/>
      <c r="AB11" s="429"/>
      <c r="AC11" s="429"/>
      <c r="AD11" s="429"/>
      <c r="AE11" s="429"/>
      <c r="AF11" s="429"/>
      <c r="AG11" s="429"/>
      <c r="AH11" s="429">
        <f t="shared" ref="AH11:AH16" si="2">F11</f>
        <v>3352</v>
      </c>
      <c r="AI11" s="429"/>
      <c r="AJ11" s="429"/>
      <c r="AK11" s="429"/>
      <c r="AL11" s="429"/>
      <c r="AM11" s="429"/>
      <c r="AN11" s="429"/>
      <c r="AO11" s="429"/>
      <c r="AP11" s="429"/>
      <c r="AQ11" s="429"/>
      <c r="AR11" s="429"/>
      <c r="AS11" s="429"/>
      <c r="AT11" s="429"/>
      <c r="AU11" s="429"/>
      <c r="AV11" s="429"/>
      <c r="AW11" s="429"/>
      <c r="AX11" s="429"/>
      <c r="AY11" s="429"/>
      <c r="AZ11" s="429"/>
      <c r="BA11" s="429"/>
      <c r="BB11" s="429"/>
      <c r="BC11" s="429"/>
      <c r="BD11" s="429"/>
      <c r="BE11" s="429"/>
      <c r="BF11" s="429"/>
      <c r="BG11" s="429"/>
      <c r="BH11" s="429"/>
      <c r="BI11" s="429"/>
      <c r="BJ11" s="429"/>
      <c r="BK11" s="429"/>
      <c r="BL11" s="429"/>
      <c r="BM11" s="429"/>
      <c r="BN11" s="429"/>
      <c r="BO11" s="429"/>
      <c r="BP11" s="120"/>
      <c r="BQ11" s="120">
        <v>2.205</v>
      </c>
      <c r="BR11" s="451">
        <f t="shared" si="0"/>
        <v>7391.16</v>
      </c>
      <c r="BS11" s="451">
        <f t="shared" si="1"/>
        <v>57281.49</v>
      </c>
      <c r="BT11" s="429" t="str">
        <f>IFERROR(VLOOKUP(E11,名称!A:D,4,FALSE),"")</f>
        <v>KIK</v>
      </c>
    </row>
    <row r="12" s="427" customFormat="1" hidden="1" customHeight="1" spans="1:72">
      <c r="A12" s="93">
        <v>45862</v>
      </c>
      <c r="B12" s="95" t="s">
        <v>235</v>
      </c>
      <c r="C12" s="96">
        <v>10107797</v>
      </c>
      <c r="D12" s="96">
        <v>4500031526</v>
      </c>
      <c r="E12" s="97" t="s">
        <v>95</v>
      </c>
      <c r="F12" s="99">
        <v>1500</v>
      </c>
      <c r="G12" s="93">
        <v>46029</v>
      </c>
      <c r="H12" s="429"/>
      <c r="I12" s="429"/>
      <c r="J12" s="429"/>
      <c r="K12" s="429"/>
      <c r="L12" s="429"/>
      <c r="M12" s="429"/>
      <c r="N12" s="429"/>
      <c r="O12" s="429"/>
      <c r="P12" s="429"/>
      <c r="Q12" s="429"/>
      <c r="R12" s="429"/>
      <c r="S12" s="429"/>
      <c r="T12" s="429"/>
      <c r="U12" s="429"/>
      <c r="V12" s="429"/>
      <c r="W12" s="429"/>
      <c r="X12" s="429"/>
      <c r="Y12" s="429"/>
      <c r="Z12" s="429"/>
      <c r="AA12" s="429"/>
      <c r="AB12" s="429"/>
      <c r="AC12" s="429"/>
      <c r="AD12" s="429"/>
      <c r="AE12" s="429"/>
      <c r="AF12" s="429"/>
      <c r="AG12" s="429"/>
      <c r="AH12" s="429">
        <f t="shared" si="2"/>
        <v>1500</v>
      </c>
      <c r="AI12" s="429"/>
      <c r="AJ12" s="429"/>
      <c r="AK12" s="429"/>
      <c r="AL12" s="429"/>
      <c r="AM12" s="429"/>
      <c r="AN12" s="429"/>
      <c r="AO12" s="429"/>
      <c r="AP12" s="429"/>
      <c r="AQ12" s="429"/>
      <c r="AR12" s="429"/>
      <c r="AS12" s="429"/>
      <c r="AT12" s="429"/>
      <c r="AU12" s="429"/>
      <c r="AV12" s="429"/>
      <c r="AW12" s="429"/>
      <c r="AX12" s="429"/>
      <c r="AY12" s="429"/>
      <c r="AZ12" s="429"/>
      <c r="BA12" s="429"/>
      <c r="BB12" s="429"/>
      <c r="BC12" s="429"/>
      <c r="BD12" s="429"/>
      <c r="BE12" s="429"/>
      <c r="BF12" s="429"/>
      <c r="BG12" s="429"/>
      <c r="BH12" s="429"/>
      <c r="BI12" s="429"/>
      <c r="BJ12" s="429"/>
      <c r="BK12" s="429"/>
      <c r="BL12" s="429"/>
      <c r="BM12" s="429"/>
      <c r="BN12" s="429"/>
      <c r="BO12" s="429"/>
      <c r="BP12" s="120"/>
      <c r="BQ12" s="120">
        <v>2.205</v>
      </c>
      <c r="BR12" s="451">
        <f t="shared" si="0"/>
        <v>3307.5</v>
      </c>
      <c r="BS12" s="451">
        <f t="shared" si="1"/>
        <v>25633.13</v>
      </c>
      <c r="BT12" s="429" t="str">
        <f>IFERROR(VLOOKUP(E12,名称!A:D,4,FALSE),"")</f>
        <v>KIK</v>
      </c>
    </row>
    <row r="13" s="427" customFormat="1" hidden="1" customHeight="1" spans="1:72">
      <c r="A13" s="93">
        <v>45862</v>
      </c>
      <c r="B13" s="95" t="s">
        <v>235</v>
      </c>
      <c r="C13" s="96">
        <v>10107797</v>
      </c>
      <c r="D13" s="96">
        <v>4500031526</v>
      </c>
      <c r="E13" s="97" t="s">
        <v>95</v>
      </c>
      <c r="F13" s="99">
        <f>3000-52</f>
        <v>2948</v>
      </c>
      <c r="G13" s="93">
        <v>46029</v>
      </c>
      <c r="H13" s="429"/>
      <c r="I13" s="429"/>
      <c r="J13" s="429"/>
      <c r="K13" s="429"/>
      <c r="L13" s="429"/>
      <c r="M13" s="429"/>
      <c r="N13" s="429"/>
      <c r="O13" s="429"/>
      <c r="P13" s="429"/>
      <c r="Q13" s="429"/>
      <c r="R13" s="429"/>
      <c r="S13" s="429"/>
      <c r="T13" s="429"/>
      <c r="U13" s="429"/>
      <c r="V13" s="429"/>
      <c r="W13" s="429"/>
      <c r="X13" s="429"/>
      <c r="Y13" s="429"/>
      <c r="Z13" s="429"/>
      <c r="AA13" s="429"/>
      <c r="AB13" s="429"/>
      <c r="AC13" s="429"/>
      <c r="AD13" s="429"/>
      <c r="AE13" s="429"/>
      <c r="AF13" s="429"/>
      <c r="AG13" s="429"/>
      <c r="AH13" s="429">
        <f t="shared" si="2"/>
        <v>2948</v>
      </c>
      <c r="AI13" s="429"/>
      <c r="AJ13" s="429"/>
      <c r="AK13" s="429"/>
      <c r="AL13" s="429"/>
      <c r="AM13" s="429"/>
      <c r="AN13" s="429"/>
      <c r="AO13" s="429"/>
      <c r="AP13" s="429"/>
      <c r="AQ13" s="429"/>
      <c r="AR13" s="429"/>
      <c r="AS13" s="429"/>
      <c r="AT13" s="429"/>
      <c r="AU13" s="429"/>
      <c r="AV13" s="429"/>
      <c r="AW13" s="429"/>
      <c r="AX13" s="429"/>
      <c r="AY13" s="429"/>
      <c r="AZ13" s="429"/>
      <c r="BA13" s="429"/>
      <c r="BB13" s="429"/>
      <c r="BC13" s="429"/>
      <c r="BD13" s="429"/>
      <c r="BE13" s="429"/>
      <c r="BF13" s="429"/>
      <c r="BG13" s="429"/>
      <c r="BH13" s="429"/>
      <c r="BI13" s="429"/>
      <c r="BJ13" s="429"/>
      <c r="BK13" s="429"/>
      <c r="BL13" s="429"/>
      <c r="BM13" s="429"/>
      <c r="BN13" s="429"/>
      <c r="BO13" s="429"/>
      <c r="BP13" s="120"/>
      <c r="BQ13" s="120">
        <v>2.205</v>
      </c>
      <c r="BR13" s="451">
        <f t="shared" si="0"/>
        <v>6500.34</v>
      </c>
      <c r="BS13" s="451">
        <f t="shared" si="1"/>
        <v>50377.64</v>
      </c>
      <c r="BT13" s="429" t="str">
        <f>IFERROR(VLOOKUP(E13,名称!A:D,4,FALSE),"")</f>
        <v>KIK</v>
      </c>
    </row>
    <row r="14" s="427" customFormat="1" hidden="1" customHeight="1" spans="1:72">
      <c r="A14" s="93">
        <v>45862</v>
      </c>
      <c r="B14" s="95" t="s">
        <v>235</v>
      </c>
      <c r="C14" s="96">
        <v>10107797</v>
      </c>
      <c r="D14" s="96">
        <v>4500031526</v>
      </c>
      <c r="E14" s="97" t="s">
        <v>95</v>
      </c>
      <c r="F14" s="99">
        <v>52</v>
      </c>
      <c r="G14" s="93">
        <v>46043</v>
      </c>
      <c r="H14" s="429"/>
      <c r="I14" s="429"/>
      <c r="J14" s="429"/>
      <c r="K14" s="429"/>
      <c r="L14" s="429"/>
      <c r="M14" s="429"/>
      <c r="N14" s="429"/>
      <c r="O14" s="429"/>
      <c r="P14" s="429"/>
      <c r="Q14" s="429"/>
      <c r="R14" s="429"/>
      <c r="S14" s="429"/>
      <c r="T14" s="429"/>
      <c r="U14" s="429"/>
      <c r="V14" s="429"/>
      <c r="W14" s="429"/>
      <c r="X14" s="429"/>
      <c r="Y14" s="429"/>
      <c r="Z14" s="429"/>
      <c r="AA14" s="429"/>
      <c r="AB14" s="429"/>
      <c r="AC14" s="429"/>
      <c r="AD14" s="429"/>
      <c r="AE14" s="429"/>
      <c r="AF14" s="429"/>
      <c r="AG14" s="429"/>
      <c r="AH14" s="429">
        <f t="shared" si="2"/>
        <v>52</v>
      </c>
      <c r="AI14" s="429"/>
      <c r="AJ14" s="429"/>
      <c r="AK14" s="429"/>
      <c r="AL14" s="429"/>
      <c r="AM14" s="429"/>
      <c r="AN14" s="429"/>
      <c r="AO14" s="429"/>
      <c r="AP14" s="429"/>
      <c r="AQ14" s="429"/>
      <c r="AR14" s="429"/>
      <c r="AS14" s="429"/>
      <c r="AT14" s="429"/>
      <c r="AU14" s="429"/>
      <c r="AV14" s="429"/>
      <c r="AW14" s="429"/>
      <c r="AX14" s="429"/>
      <c r="AY14" s="429"/>
      <c r="AZ14" s="429"/>
      <c r="BA14" s="429"/>
      <c r="BB14" s="429"/>
      <c r="BC14" s="429"/>
      <c r="BD14" s="429"/>
      <c r="BE14" s="429"/>
      <c r="BF14" s="429"/>
      <c r="BG14" s="429"/>
      <c r="BH14" s="429"/>
      <c r="BI14" s="429"/>
      <c r="BJ14" s="429"/>
      <c r="BK14" s="429"/>
      <c r="BL14" s="429"/>
      <c r="BM14" s="429"/>
      <c r="BN14" s="429"/>
      <c r="BO14" s="429"/>
      <c r="BP14" s="120"/>
      <c r="BQ14" s="120">
        <v>2.158</v>
      </c>
      <c r="BR14" s="451">
        <f t="shared" si="0"/>
        <v>112.22</v>
      </c>
      <c r="BS14" s="451">
        <f t="shared" si="1"/>
        <v>869.71</v>
      </c>
      <c r="BT14" s="429" t="str">
        <f>IFERROR(VLOOKUP(E14,名称!A:D,4,FALSE),"")</f>
        <v>KIK</v>
      </c>
    </row>
    <row r="15" s="427" customFormat="1" hidden="1" customHeight="1" spans="1:72">
      <c r="A15" s="93">
        <v>45862</v>
      </c>
      <c r="B15" s="95" t="s">
        <v>235</v>
      </c>
      <c r="C15" s="96">
        <v>10107797</v>
      </c>
      <c r="D15" s="96">
        <v>4500031526</v>
      </c>
      <c r="E15" s="97" t="s">
        <v>95</v>
      </c>
      <c r="F15" s="99">
        <f>2148-172</f>
        <v>1976</v>
      </c>
      <c r="G15" s="93">
        <v>46078</v>
      </c>
      <c r="H15" s="429"/>
      <c r="I15" s="429"/>
      <c r="J15" s="429"/>
      <c r="K15" s="429"/>
      <c r="L15" s="429"/>
      <c r="M15" s="429"/>
      <c r="N15" s="429"/>
      <c r="O15" s="429"/>
      <c r="P15" s="429"/>
      <c r="Q15" s="429"/>
      <c r="R15" s="429"/>
      <c r="S15" s="429"/>
      <c r="T15" s="429"/>
      <c r="U15" s="429"/>
      <c r="V15" s="429"/>
      <c r="W15" s="429"/>
      <c r="X15" s="429"/>
      <c r="Y15" s="429"/>
      <c r="Z15" s="429"/>
      <c r="AA15" s="429"/>
      <c r="AB15" s="429"/>
      <c r="AC15" s="429"/>
      <c r="AD15" s="429"/>
      <c r="AE15" s="429"/>
      <c r="AF15" s="429"/>
      <c r="AG15" s="429"/>
      <c r="AH15" s="429">
        <f t="shared" si="2"/>
        <v>1976</v>
      </c>
      <c r="AI15" s="429"/>
      <c r="AJ15" s="429"/>
      <c r="AK15" s="429"/>
      <c r="AL15" s="429"/>
      <c r="AM15" s="429"/>
      <c r="AN15" s="429"/>
      <c r="AO15" s="429"/>
      <c r="AP15" s="429"/>
      <c r="AQ15" s="429"/>
      <c r="AR15" s="429"/>
      <c r="AS15" s="429"/>
      <c r="AT15" s="429"/>
      <c r="AU15" s="429"/>
      <c r="AV15" s="429"/>
      <c r="AW15" s="429"/>
      <c r="AX15" s="429"/>
      <c r="AY15" s="429"/>
      <c r="AZ15" s="429"/>
      <c r="BA15" s="429"/>
      <c r="BB15" s="429"/>
      <c r="BC15" s="429"/>
      <c r="BD15" s="429"/>
      <c r="BE15" s="429"/>
      <c r="BF15" s="429"/>
      <c r="BG15" s="429"/>
      <c r="BH15" s="429"/>
      <c r="BI15" s="429"/>
      <c r="BJ15" s="429"/>
      <c r="BK15" s="429"/>
      <c r="BL15" s="429"/>
      <c r="BM15" s="429"/>
      <c r="BN15" s="429"/>
      <c r="BO15" s="429"/>
      <c r="BP15" s="102"/>
      <c r="BQ15" s="102">
        <v>2.205</v>
      </c>
      <c r="BR15" s="451">
        <f t="shared" si="0"/>
        <v>4357.08</v>
      </c>
      <c r="BS15" s="451">
        <f t="shared" si="1"/>
        <v>33767.37</v>
      </c>
      <c r="BT15" s="429" t="str">
        <f>IFERROR(VLOOKUP(E15,名称!A:D,4,FALSE),"")</f>
        <v>KIK</v>
      </c>
    </row>
    <row r="16" s="427" customFormat="1" hidden="1" customHeight="1" spans="1:72">
      <c r="A16" s="93">
        <v>45862</v>
      </c>
      <c r="B16" s="95" t="s">
        <v>235</v>
      </c>
      <c r="C16" s="96">
        <v>10107797</v>
      </c>
      <c r="D16" s="96">
        <v>4500031526</v>
      </c>
      <c r="E16" s="97" t="s">
        <v>95</v>
      </c>
      <c r="F16" s="99">
        <v>172</v>
      </c>
      <c r="G16" s="93">
        <v>46057</v>
      </c>
      <c r="H16" s="429"/>
      <c r="I16" s="429"/>
      <c r="J16" s="429"/>
      <c r="K16" s="429"/>
      <c r="L16" s="429"/>
      <c r="M16" s="429"/>
      <c r="N16" s="429"/>
      <c r="O16" s="429"/>
      <c r="P16" s="429"/>
      <c r="Q16" s="429"/>
      <c r="R16" s="429"/>
      <c r="S16" s="429"/>
      <c r="T16" s="429"/>
      <c r="U16" s="429"/>
      <c r="V16" s="429"/>
      <c r="W16" s="429"/>
      <c r="X16" s="429"/>
      <c r="Y16" s="429"/>
      <c r="Z16" s="429"/>
      <c r="AA16" s="429"/>
      <c r="AB16" s="429"/>
      <c r="AC16" s="429"/>
      <c r="AD16" s="429"/>
      <c r="AE16" s="429"/>
      <c r="AF16" s="429"/>
      <c r="AG16" s="429"/>
      <c r="AH16" s="429">
        <f t="shared" si="2"/>
        <v>172</v>
      </c>
      <c r="AI16" s="429"/>
      <c r="AJ16" s="429"/>
      <c r="AK16" s="429"/>
      <c r="AL16" s="429"/>
      <c r="AM16" s="429"/>
      <c r="AN16" s="429"/>
      <c r="AO16" s="429"/>
      <c r="AP16" s="429"/>
      <c r="AQ16" s="429"/>
      <c r="AR16" s="429"/>
      <c r="AS16" s="429"/>
      <c r="AT16" s="429"/>
      <c r="AU16" s="429"/>
      <c r="AV16" s="429"/>
      <c r="AW16" s="429"/>
      <c r="AX16" s="429"/>
      <c r="AY16" s="429"/>
      <c r="AZ16" s="429"/>
      <c r="BA16" s="429"/>
      <c r="BB16" s="429"/>
      <c r="BC16" s="429"/>
      <c r="BD16" s="429"/>
      <c r="BE16" s="429"/>
      <c r="BF16" s="429"/>
      <c r="BG16" s="429"/>
      <c r="BH16" s="429"/>
      <c r="BI16" s="429"/>
      <c r="BJ16" s="429"/>
      <c r="BK16" s="429"/>
      <c r="BL16" s="429"/>
      <c r="BM16" s="429"/>
      <c r="BN16" s="429"/>
      <c r="BO16" s="429"/>
      <c r="BP16" s="102"/>
      <c r="BQ16" s="102">
        <v>2.158</v>
      </c>
      <c r="BR16" s="451">
        <f t="shared" si="0"/>
        <v>371.18</v>
      </c>
      <c r="BS16" s="451">
        <f t="shared" si="1"/>
        <v>2876.65</v>
      </c>
      <c r="BT16" s="429" t="str">
        <f>IFERROR(VLOOKUP(E16,名称!A:D,4,FALSE),"")</f>
        <v>KIK</v>
      </c>
    </row>
    <row r="17" s="427" customFormat="1" hidden="1" customHeight="1" spans="1:72">
      <c r="A17" s="93">
        <v>45862</v>
      </c>
      <c r="B17" s="95" t="s">
        <v>235</v>
      </c>
      <c r="C17" s="96">
        <v>10107798</v>
      </c>
      <c r="D17" s="96">
        <v>4500031527</v>
      </c>
      <c r="E17" s="97" t="s">
        <v>97</v>
      </c>
      <c r="F17" s="99">
        <f>1000-52</f>
        <v>948</v>
      </c>
      <c r="G17" s="93">
        <v>46029</v>
      </c>
      <c r="H17" s="429"/>
      <c r="I17" s="429"/>
      <c r="J17" s="429"/>
      <c r="K17" s="429"/>
      <c r="L17" s="429"/>
      <c r="M17" s="429"/>
      <c r="N17" s="429"/>
      <c r="O17" s="429"/>
      <c r="P17" s="429"/>
      <c r="Q17" s="429"/>
      <c r="R17" s="429"/>
      <c r="S17" s="429"/>
      <c r="T17" s="429"/>
      <c r="U17" s="429"/>
      <c r="V17" s="429"/>
      <c r="W17" s="429"/>
      <c r="X17" s="429"/>
      <c r="Y17" s="429"/>
      <c r="Z17" s="429"/>
      <c r="AA17" s="429"/>
      <c r="AB17" s="429"/>
      <c r="AC17" s="429"/>
      <c r="AD17" s="429"/>
      <c r="AE17" s="429"/>
      <c r="AF17" s="429"/>
      <c r="AG17" s="429"/>
      <c r="AH17" s="429"/>
      <c r="AI17" s="429">
        <f>F17</f>
        <v>948</v>
      </c>
      <c r="AJ17" s="429"/>
      <c r="AK17" s="429"/>
      <c r="AL17" s="429"/>
      <c r="AM17" s="429"/>
      <c r="AN17" s="429"/>
      <c r="AO17" s="429"/>
      <c r="AP17" s="429"/>
      <c r="AQ17" s="429"/>
      <c r="AR17" s="429"/>
      <c r="AS17" s="429"/>
      <c r="AT17" s="429"/>
      <c r="AU17" s="429"/>
      <c r="AV17" s="429"/>
      <c r="AW17" s="429"/>
      <c r="AX17" s="429"/>
      <c r="AY17" s="429"/>
      <c r="AZ17" s="429"/>
      <c r="BA17" s="429"/>
      <c r="BB17" s="429"/>
      <c r="BC17" s="429"/>
      <c r="BD17" s="429"/>
      <c r="BE17" s="429"/>
      <c r="BF17" s="429"/>
      <c r="BG17" s="429"/>
      <c r="BH17" s="429"/>
      <c r="BI17" s="429"/>
      <c r="BJ17" s="429"/>
      <c r="BK17" s="429"/>
      <c r="BL17" s="429"/>
      <c r="BM17" s="429"/>
      <c r="BN17" s="429"/>
      <c r="BO17" s="429"/>
      <c r="BP17" s="120"/>
      <c r="BQ17" s="120">
        <v>3.362</v>
      </c>
      <c r="BR17" s="451">
        <f t="shared" si="0"/>
        <v>3187.18</v>
      </c>
      <c r="BS17" s="451">
        <f t="shared" si="1"/>
        <v>24700.65</v>
      </c>
      <c r="BT17" s="429" t="str">
        <f>IFERROR(VLOOKUP(E17,名称!A:D,4,FALSE),"")</f>
        <v>KIK</v>
      </c>
    </row>
    <row r="18" s="427" customFormat="1" hidden="1" customHeight="1" spans="1:72">
      <c r="A18" s="93">
        <v>45862</v>
      </c>
      <c r="B18" s="95" t="s">
        <v>235</v>
      </c>
      <c r="C18" s="96">
        <v>10107798</v>
      </c>
      <c r="D18" s="96">
        <v>4500031527</v>
      </c>
      <c r="E18" s="97" t="s">
        <v>97</v>
      </c>
      <c r="F18" s="99">
        <v>52</v>
      </c>
      <c r="G18" s="93">
        <v>46043</v>
      </c>
      <c r="H18" s="429"/>
      <c r="I18" s="429"/>
      <c r="J18" s="429"/>
      <c r="K18" s="429"/>
      <c r="L18" s="429"/>
      <c r="M18" s="429"/>
      <c r="N18" s="429"/>
      <c r="O18" s="429"/>
      <c r="P18" s="429"/>
      <c r="Q18" s="429"/>
      <c r="R18" s="429"/>
      <c r="S18" s="429"/>
      <c r="T18" s="429"/>
      <c r="U18" s="429"/>
      <c r="V18" s="429"/>
      <c r="W18" s="429"/>
      <c r="X18" s="429"/>
      <c r="Y18" s="429"/>
      <c r="Z18" s="429"/>
      <c r="AA18" s="429"/>
      <c r="AB18" s="429"/>
      <c r="AC18" s="429"/>
      <c r="AD18" s="429"/>
      <c r="AE18" s="429"/>
      <c r="AF18" s="429"/>
      <c r="AG18" s="429"/>
      <c r="AH18" s="429"/>
      <c r="AI18" s="429">
        <f>F18</f>
        <v>52</v>
      </c>
      <c r="AJ18" s="429"/>
      <c r="AK18" s="429"/>
      <c r="AL18" s="429"/>
      <c r="AM18" s="429"/>
      <c r="AN18" s="429"/>
      <c r="AO18" s="429"/>
      <c r="AP18" s="429"/>
      <c r="AQ18" s="429"/>
      <c r="AR18" s="429"/>
      <c r="AS18" s="429"/>
      <c r="AT18" s="429"/>
      <c r="AU18" s="429"/>
      <c r="AV18" s="429"/>
      <c r="AW18" s="429"/>
      <c r="AX18" s="429"/>
      <c r="AY18" s="429"/>
      <c r="AZ18" s="429"/>
      <c r="BA18" s="429"/>
      <c r="BB18" s="429"/>
      <c r="BC18" s="429"/>
      <c r="BD18" s="429"/>
      <c r="BE18" s="429"/>
      <c r="BF18" s="429"/>
      <c r="BG18" s="429"/>
      <c r="BH18" s="429"/>
      <c r="BI18" s="429"/>
      <c r="BJ18" s="429"/>
      <c r="BK18" s="429"/>
      <c r="BL18" s="429"/>
      <c r="BM18" s="429"/>
      <c r="BN18" s="429"/>
      <c r="BO18" s="429"/>
      <c r="BP18" s="102"/>
      <c r="BQ18" s="102">
        <v>3.216</v>
      </c>
      <c r="BR18" s="451">
        <f t="shared" si="0"/>
        <v>167.23</v>
      </c>
      <c r="BS18" s="451">
        <f t="shared" si="1"/>
        <v>1296.03</v>
      </c>
      <c r="BT18" s="429" t="str">
        <f>IFERROR(VLOOKUP(E18,名称!A:D,4,FALSE),"")</f>
        <v>KIK</v>
      </c>
    </row>
    <row r="19" s="427" customFormat="1" hidden="1" customHeight="1" spans="1:72">
      <c r="A19" s="93">
        <v>45862</v>
      </c>
      <c r="B19" s="95" t="s">
        <v>235</v>
      </c>
      <c r="C19" s="96">
        <v>10107798</v>
      </c>
      <c r="D19" s="96">
        <v>4500031527</v>
      </c>
      <c r="E19" s="97" t="s">
        <v>97</v>
      </c>
      <c r="F19" s="99">
        <f>6000-1200-1000</f>
        <v>3800</v>
      </c>
      <c r="G19" s="93">
        <v>46036</v>
      </c>
      <c r="H19" s="429"/>
      <c r="I19" s="429"/>
      <c r="J19" s="429"/>
      <c r="K19" s="429"/>
      <c r="L19" s="429"/>
      <c r="M19" s="429"/>
      <c r="N19" s="429"/>
      <c r="O19" s="429"/>
      <c r="P19" s="429"/>
      <c r="Q19" s="429"/>
      <c r="R19" s="429"/>
      <c r="S19" s="429"/>
      <c r="T19" s="429"/>
      <c r="U19" s="429"/>
      <c r="V19" s="429"/>
      <c r="W19" s="429"/>
      <c r="X19" s="429"/>
      <c r="Y19" s="429"/>
      <c r="Z19" s="429"/>
      <c r="AA19" s="429"/>
      <c r="AB19" s="429"/>
      <c r="AC19" s="429"/>
      <c r="AD19" s="429"/>
      <c r="AE19" s="429"/>
      <c r="AF19" s="429"/>
      <c r="AG19" s="429"/>
      <c r="AH19" s="429"/>
      <c r="AI19" s="429">
        <f>F19</f>
        <v>3800</v>
      </c>
      <c r="AJ19" s="429"/>
      <c r="AK19" s="429"/>
      <c r="AL19" s="429"/>
      <c r="AM19" s="429"/>
      <c r="AN19" s="429"/>
      <c r="AO19" s="429"/>
      <c r="AP19" s="429"/>
      <c r="AQ19" s="429"/>
      <c r="AR19" s="429"/>
      <c r="AS19" s="429"/>
      <c r="AT19" s="429"/>
      <c r="AU19" s="429"/>
      <c r="AV19" s="429"/>
      <c r="AW19" s="429"/>
      <c r="AX19" s="429"/>
      <c r="AY19" s="429"/>
      <c r="AZ19" s="429"/>
      <c r="BA19" s="429"/>
      <c r="BB19" s="429"/>
      <c r="BC19" s="429"/>
      <c r="BD19" s="429"/>
      <c r="BE19" s="429"/>
      <c r="BF19" s="429"/>
      <c r="BG19" s="429"/>
      <c r="BH19" s="429"/>
      <c r="BI19" s="429"/>
      <c r="BJ19" s="429"/>
      <c r="BK19" s="429"/>
      <c r="BL19" s="429"/>
      <c r="BM19" s="429"/>
      <c r="BN19" s="429"/>
      <c r="BO19" s="429"/>
      <c r="BP19" s="120"/>
      <c r="BQ19" s="120">
        <v>3.362</v>
      </c>
      <c r="BR19" s="451">
        <f t="shared" si="0"/>
        <v>12775.6</v>
      </c>
      <c r="BS19" s="451">
        <f t="shared" si="1"/>
        <v>99010.9</v>
      </c>
      <c r="BT19" s="429" t="str">
        <f>IFERROR(VLOOKUP(E19,名称!A:D,4,FALSE),"")</f>
        <v>KIK</v>
      </c>
    </row>
    <row r="20" s="427" customFormat="1" hidden="1" customHeight="1" spans="1:72">
      <c r="A20" s="93">
        <v>45862</v>
      </c>
      <c r="B20" s="95" t="s">
        <v>235</v>
      </c>
      <c r="C20" s="96">
        <v>10107798</v>
      </c>
      <c r="D20" s="96">
        <v>4500031527</v>
      </c>
      <c r="E20" s="97" t="s">
        <v>97</v>
      </c>
      <c r="F20" s="99">
        <v>172</v>
      </c>
      <c r="G20" s="93">
        <v>46057</v>
      </c>
      <c r="H20" s="429"/>
      <c r="I20" s="429"/>
      <c r="J20" s="429"/>
      <c r="K20" s="429"/>
      <c r="L20" s="429"/>
      <c r="M20" s="429"/>
      <c r="N20" s="429"/>
      <c r="O20" s="429"/>
      <c r="P20" s="429"/>
      <c r="Q20" s="429"/>
      <c r="R20" s="429"/>
      <c r="S20" s="429"/>
      <c r="T20" s="429"/>
      <c r="U20" s="429"/>
      <c r="V20" s="429"/>
      <c r="W20" s="429"/>
      <c r="X20" s="429"/>
      <c r="Y20" s="429"/>
      <c r="Z20" s="429"/>
      <c r="AA20" s="429"/>
      <c r="AB20" s="429"/>
      <c r="AC20" s="429"/>
      <c r="AD20" s="429"/>
      <c r="AE20" s="429"/>
      <c r="AF20" s="429"/>
      <c r="AG20" s="429"/>
      <c r="AH20" s="429"/>
      <c r="AI20" s="429">
        <f>F20</f>
        <v>172</v>
      </c>
      <c r="AJ20" s="429"/>
      <c r="AK20" s="429"/>
      <c r="AL20" s="429"/>
      <c r="AM20" s="429"/>
      <c r="AN20" s="429"/>
      <c r="AO20" s="429"/>
      <c r="AP20" s="429"/>
      <c r="AQ20" s="429"/>
      <c r="AR20" s="429"/>
      <c r="AS20" s="429"/>
      <c r="AT20" s="429"/>
      <c r="AU20" s="429"/>
      <c r="AV20" s="429"/>
      <c r="AW20" s="429"/>
      <c r="AX20" s="429"/>
      <c r="AY20" s="429"/>
      <c r="AZ20" s="429"/>
      <c r="BA20" s="429"/>
      <c r="BB20" s="429"/>
      <c r="BC20" s="429"/>
      <c r="BD20" s="429"/>
      <c r="BE20" s="429"/>
      <c r="BF20" s="429"/>
      <c r="BG20" s="429"/>
      <c r="BH20" s="429"/>
      <c r="BI20" s="429"/>
      <c r="BJ20" s="429"/>
      <c r="BK20" s="429"/>
      <c r="BL20" s="429"/>
      <c r="BM20" s="429"/>
      <c r="BN20" s="429"/>
      <c r="BO20" s="429"/>
      <c r="BP20" s="120"/>
      <c r="BQ20" s="120">
        <v>3.216</v>
      </c>
      <c r="BR20" s="451">
        <f t="shared" si="0"/>
        <v>553.15</v>
      </c>
      <c r="BS20" s="451">
        <f t="shared" si="1"/>
        <v>4286.91</v>
      </c>
      <c r="BT20" s="429" t="str">
        <f>IFERROR(VLOOKUP(E20,名称!A:D,4,FALSE),"")</f>
        <v>KIK</v>
      </c>
    </row>
    <row r="21" s="427" customFormat="1" hidden="1" customHeight="1" spans="1:72">
      <c r="A21" s="93">
        <v>45862</v>
      </c>
      <c r="B21" s="95" t="s">
        <v>235</v>
      </c>
      <c r="C21" s="96">
        <v>10107798</v>
      </c>
      <c r="D21" s="96">
        <v>4500031527</v>
      </c>
      <c r="E21" s="97" t="s">
        <v>97</v>
      </c>
      <c r="F21" s="99">
        <f>1200-172</f>
        <v>1028</v>
      </c>
      <c r="G21" s="93">
        <v>46078</v>
      </c>
      <c r="H21" s="429"/>
      <c r="I21" s="429"/>
      <c r="J21" s="429"/>
      <c r="K21" s="429"/>
      <c r="L21" s="429"/>
      <c r="M21" s="429"/>
      <c r="N21" s="429"/>
      <c r="O21" s="429"/>
      <c r="P21" s="429"/>
      <c r="Q21" s="429"/>
      <c r="R21" s="429"/>
      <c r="S21" s="429"/>
      <c r="T21" s="429"/>
      <c r="U21" s="429"/>
      <c r="V21" s="429"/>
      <c r="W21" s="429"/>
      <c r="X21" s="429"/>
      <c r="Y21" s="429"/>
      <c r="Z21" s="429"/>
      <c r="AA21" s="429"/>
      <c r="AB21" s="429"/>
      <c r="AC21" s="429"/>
      <c r="AD21" s="429"/>
      <c r="AE21" s="429"/>
      <c r="AF21" s="429"/>
      <c r="AG21" s="429"/>
      <c r="AH21" s="429"/>
      <c r="AI21" s="429">
        <f>F21</f>
        <v>1028</v>
      </c>
      <c r="AJ21" s="429"/>
      <c r="AK21" s="429"/>
      <c r="AL21" s="429"/>
      <c r="AM21" s="429"/>
      <c r="AN21" s="429"/>
      <c r="AO21" s="429"/>
      <c r="AP21" s="429"/>
      <c r="AQ21" s="429"/>
      <c r="AR21" s="429"/>
      <c r="AS21" s="429"/>
      <c r="AT21" s="429"/>
      <c r="AU21" s="429"/>
      <c r="AV21" s="429"/>
      <c r="AW21" s="429"/>
      <c r="AX21" s="429"/>
      <c r="AY21" s="429"/>
      <c r="AZ21" s="429"/>
      <c r="BA21" s="429"/>
      <c r="BB21" s="429"/>
      <c r="BC21" s="429"/>
      <c r="BD21" s="429"/>
      <c r="BE21" s="429"/>
      <c r="BF21" s="429"/>
      <c r="BG21" s="429"/>
      <c r="BH21" s="429"/>
      <c r="BI21" s="429"/>
      <c r="BJ21" s="429"/>
      <c r="BK21" s="429"/>
      <c r="BL21" s="429"/>
      <c r="BM21" s="429"/>
      <c r="BN21" s="429"/>
      <c r="BO21" s="429"/>
      <c r="BP21" s="120"/>
      <c r="BQ21" s="120">
        <v>3.362</v>
      </c>
      <c r="BR21" s="451">
        <f t="shared" si="0"/>
        <v>3456.14</v>
      </c>
      <c r="BS21" s="451">
        <f t="shared" si="1"/>
        <v>26785.09</v>
      </c>
      <c r="BT21" s="429" t="str">
        <f>IFERROR(VLOOKUP(E21,名称!A:D,4,FALSE),"")</f>
        <v>KIK</v>
      </c>
    </row>
    <row r="22" s="427" customFormat="1" hidden="1" customHeight="1" spans="1:72">
      <c r="A22" s="93">
        <v>45862</v>
      </c>
      <c r="B22" s="95" t="s">
        <v>235</v>
      </c>
      <c r="C22" s="96">
        <v>10107798</v>
      </c>
      <c r="D22" s="96">
        <v>4500031527</v>
      </c>
      <c r="E22" s="97" t="s">
        <v>99</v>
      </c>
      <c r="F22" s="99">
        <f>5500-500-2-54</f>
        <v>4944</v>
      </c>
      <c r="G22" s="93">
        <v>46029</v>
      </c>
      <c r="H22" s="429"/>
      <c r="I22" s="429"/>
      <c r="J22" s="429"/>
      <c r="K22" s="429"/>
      <c r="L22" s="429"/>
      <c r="M22" s="429"/>
      <c r="N22" s="429"/>
      <c r="O22" s="429"/>
      <c r="P22" s="429"/>
      <c r="Q22" s="429"/>
      <c r="R22" s="429"/>
      <c r="S22" s="429"/>
      <c r="T22" s="429"/>
      <c r="U22" s="429"/>
      <c r="V22" s="429"/>
      <c r="W22" s="429"/>
      <c r="X22" s="429"/>
      <c r="Y22" s="429"/>
      <c r="Z22" s="429"/>
      <c r="AA22" s="429"/>
      <c r="AB22" s="429"/>
      <c r="AC22" s="429"/>
      <c r="AD22" s="429"/>
      <c r="AE22" s="429"/>
      <c r="AF22" s="429">
        <f>F22/6*3</f>
        <v>2472</v>
      </c>
      <c r="AG22" s="429">
        <f>F22/6*3</f>
        <v>2472</v>
      </c>
      <c r="AH22" s="429"/>
      <c r="AI22" s="429"/>
      <c r="AJ22" s="429"/>
      <c r="AK22" s="429"/>
      <c r="AL22" s="429"/>
      <c r="AM22" s="429"/>
      <c r="AN22" s="429"/>
      <c r="AO22" s="429"/>
      <c r="AP22" s="429"/>
      <c r="AQ22" s="429"/>
      <c r="AR22" s="429"/>
      <c r="AS22" s="429"/>
      <c r="AT22" s="429"/>
      <c r="AU22" s="429"/>
      <c r="AV22" s="429"/>
      <c r="AW22" s="429"/>
      <c r="AX22" s="429"/>
      <c r="AY22" s="429"/>
      <c r="AZ22" s="429"/>
      <c r="BA22" s="429"/>
      <c r="BB22" s="429"/>
      <c r="BC22" s="429"/>
      <c r="BD22" s="429"/>
      <c r="BE22" s="429"/>
      <c r="BF22" s="429"/>
      <c r="BG22" s="429"/>
      <c r="BH22" s="429"/>
      <c r="BI22" s="429"/>
      <c r="BJ22" s="429"/>
      <c r="BK22" s="429"/>
      <c r="BL22" s="429"/>
      <c r="BM22" s="429"/>
      <c r="BN22" s="429"/>
      <c r="BO22" s="429"/>
      <c r="BP22" s="120"/>
      <c r="BQ22" s="120">
        <v>2.339</v>
      </c>
      <c r="BR22" s="451">
        <f t="shared" si="0"/>
        <v>11564.02</v>
      </c>
      <c r="BS22" s="451">
        <f t="shared" si="1"/>
        <v>89621.16</v>
      </c>
      <c r="BT22" s="429" t="str">
        <f>IFERROR(VLOOKUP(E22,名称!A:D,4,FALSE),"")</f>
        <v>KIK</v>
      </c>
    </row>
    <row r="23" s="427" customFormat="1" hidden="1" customHeight="1" spans="1:72">
      <c r="A23" s="93">
        <v>45862</v>
      </c>
      <c r="B23" s="95" t="s">
        <v>235</v>
      </c>
      <c r="C23" s="96">
        <v>10107798</v>
      </c>
      <c r="D23" s="96">
        <v>4500031527</v>
      </c>
      <c r="E23" s="97" t="s">
        <v>99</v>
      </c>
      <c r="F23" s="99">
        <v>54</v>
      </c>
      <c r="G23" s="93">
        <v>46043</v>
      </c>
      <c r="H23" s="429"/>
      <c r="I23" s="429"/>
      <c r="J23" s="429"/>
      <c r="K23" s="429"/>
      <c r="L23" s="429"/>
      <c r="M23" s="429"/>
      <c r="N23" s="429"/>
      <c r="O23" s="429"/>
      <c r="P23" s="429"/>
      <c r="Q23" s="429"/>
      <c r="R23" s="429"/>
      <c r="S23" s="429"/>
      <c r="T23" s="429"/>
      <c r="U23" s="429"/>
      <c r="V23" s="429"/>
      <c r="W23" s="429"/>
      <c r="X23" s="429"/>
      <c r="Y23" s="429"/>
      <c r="Z23" s="429"/>
      <c r="AA23" s="429"/>
      <c r="AB23" s="429"/>
      <c r="AC23" s="429"/>
      <c r="AD23" s="429"/>
      <c r="AE23" s="429"/>
      <c r="AF23" s="429">
        <f>F23/6*3</f>
        <v>27</v>
      </c>
      <c r="AG23" s="429">
        <f>F23/6*3</f>
        <v>27</v>
      </c>
      <c r="AH23" s="429"/>
      <c r="AI23" s="429"/>
      <c r="AJ23" s="429"/>
      <c r="AK23" s="429"/>
      <c r="AL23" s="429"/>
      <c r="AM23" s="429"/>
      <c r="AN23" s="429"/>
      <c r="AO23" s="429"/>
      <c r="AP23" s="429"/>
      <c r="AQ23" s="429"/>
      <c r="AR23" s="429"/>
      <c r="AS23" s="429"/>
      <c r="AT23" s="429"/>
      <c r="AU23" s="429"/>
      <c r="AV23" s="429"/>
      <c r="AW23" s="429"/>
      <c r="AX23" s="429"/>
      <c r="AY23" s="429"/>
      <c r="AZ23" s="429"/>
      <c r="BA23" s="429"/>
      <c r="BB23" s="429"/>
      <c r="BC23" s="429"/>
      <c r="BD23" s="429"/>
      <c r="BE23" s="429"/>
      <c r="BF23" s="429"/>
      <c r="BG23" s="429"/>
      <c r="BH23" s="429"/>
      <c r="BI23" s="429"/>
      <c r="BJ23" s="429"/>
      <c r="BK23" s="429"/>
      <c r="BL23" s="429"/>
      <c r="BM23" s="429"/>
      <c r="BN23" s="429"/>
      <c r="BO23" s="429"/>
      <c r="BP23" s="120"/>
      <c r="BQ23" s="120">
        <v>2.299</v>
      </c>
      <c r="BR23" s="451">
        <f t="shared" si="0"/>
        <v>124.15</v>
      </c>
      <c r="BS23" s="451">
        <f t="shared" si="1"/>
        <v>962.16</v>
      </c>
      <c r="BT23" s="429" t="str">
        <f>IFERROR(VLOOKUP(E23,名称!A:D,4,FALSE),"")</f>
        <v>KIK</v>
      </c>
    </row>
    <row r="24" s="427" customFormat="1" hidden="1" customHeight="1" spans="1:72">
      <c r="A24" s="93">
        <v>45862</v>
      </c>
      <c r="B24" s="95" t="s">
        <v>235</v>
      </c>
      <c r="C24" s="96">
        <v>10107799</v>
      </c>
      <c r="D24" s="96">
        <v>4500031528</v>
      </c>
      <c r="E24" s="97" t="s">
        <v>89</v>
      </c>
      <c r="F24" s="99">
        <f>1500+600-600</f>
        <v>1500</v>
      </c>
      <c r="G24" s="93">
        <v>46057</v>
      </c>
      <c r="H24" s="429"/>
      <c r="I24" s="429"/>
      <c r="J24" s="429"/>
      <c r="K24" s="429"/>
      <c r="L24" s="429"/>
      <c r="M24" s="429"/>
      <c r="N24" s="429"/>
      <c r="O24" s="429"/>
      <c r="P24" s="429"/>
      <c r="Q24" s="429"/>
      <c r="R24" s="429"/>
      <c r="S24" s="429"/>
      <c r="T24" s="429"/>
      <c r="U24" s="429"/>
      <c r="V24" s="429"/>
      <c r="W24" s="429"/>
      <c r="X24" s="429"/>
      <c r="Y24" s="429"/>
      <c r="Z24" s="429"/>
      <c r="AA24" s="429"/>
      <c r="AB24" s="429"/>
      <c r="AC24" s="429"/>
      <c r="AD24" s="429"/>
      <c r="AE24" s="429"/>
      <c r="AF24" s="429">
        <f>F24/6*4</f>
        <v>1000</v>
      </c>
      <c r="AG24" s="429">
        <f>F24/6*2</f>
        <v>500</v>
      </c>
      <c r="AH24" s="429"/>
      <c r="AI24" s="429"/>
      <c r="AJ24" s="429"/>
      <c r="AK24" s="429"/>
      <c r="AL24" s="429"/>
      <c r="AM24" s="429"/>
      <c r="AN24" s="429"/>
      <c r="AO24" s="429"/>
      <c r="AP24" s="429"/>
      <c r="AQ24" s="429"/>
      <c r="AR24" s="429"/>
      <c r="AS24" s="429"/>
      <c r="AT24" s="429"/>
      <c r="AU24" s="429"/>
      <c r="AV24" s="429"/>
      <c r="AW24" s="429"/>
      <c r="AX24" s="429"/>
      <c r="AY24" s="429"/>
      <c r="AZ24" s="429"/>
      <c r="BA24" s="429"/>
      <c r="BB24" s="429"/>
      <c r="BC24" s="429"/>
      <c r="BD24" s="429"/>
      <c r="BE24" s="429"/>
      <c r="BF24" s="429"/>
      <c r="BG24" s="429"/>
      <c r="BH24" s="429"/>
      <c r="BI24" s="429"/>
      <c r="BJ24" s="429"/>
      <c r="BK24" s="429"/>
      <c r="BL24" s="429"/>
      <c r="BM24" s="429"/>
      <c r="BN24" s="429"/>
      <c r="BO24" s="429"/>
      <c r="BP24" s="120"/>
      <c r="BQ24" s="120">
        <v>1.377</v>
      </c>
      <c r="BR24" s="451">
        <f t="shared" si="0"/>
        <v>2065.5</v>
      </c>
      <c r="BS24" s="451">
        <f t="shared" si="1"/>
        <v>16007.63</v>
      </c>
      <c r="BT24" s="429" t="str">
        <f>IFERROR(VLOOKUP(E24,名称!A:D,4,FALSE),"")</f>
        <v>KIK</v>
      </c>
    </row>
    <row r="25" s="427" customFormat="1" hidden="1" customHeight="1" spans="1:72">
      <c r="A25" s="93">
        <v>45862</v>
      </c>
      <c r="B25" s="95" t="s">
        <v>235</v>
      </c>
      <c r="C25" s="96">
        <v>10107799</v>
      </c>
      <c r="D25" s="96">
        <v>4500031528</v>
      </c>
      <c r="E25" s="97" t="s">
        <v>95</v>
      </c>
      <c r="F25" s="99">
        <v>1000</v>
      </c>
      <c r="G25" s="93">
        <v>46057</v>
      </c>
      <c r="H25" s="429"/>
      <c r="I25" s="429"/>
      <c r="J25" s="429"/>
      <c r="K25" s="429"/>
      <c r="L25" s="429"/>
      <c r="M25" s="429"/>
      <c r="N25" s="429"/>
      <c r="O25" s="429"/>
      <c r="P25" s="429"/>
      <c r="Q25" s="429"/>
      <c r="R25" s="429"/>
      <c r="S25" s="429"/>
      <c r="T25" s="429"/>
      <c r="U25" s="429"/>
      <c r="V25" s="429"/>
      <c r="W25" s="429"/>
      <c r="X25" s="429"/>
      <c r="Y25" s="429"/>
      <c r="Z25" s="429"/>
      <c r="AA25" s="429"/>
      <c r="AB25" s="429"/>
      <c r="AC25" s="429"/>
      <c r="AD25" s="429"/>
      <c r="AE25" s="429"/>
      <c r="AF25" s="429"/>
      <c r="AG25" s="429"/>
      <c r="AH25" s="429">
        <f>F25</f>
        <v>1000</v>
      </c>
      <c r="AI25" s="429"/>
      <c r="AJ25" s="429"/>
      <c r="AK25" s="429"/>
      <c r="AL25" s="429"/>
      <c r="AM25" s="429"/>
      <c r="AN25" s="429"/>
      <c r="AO25" s="429"/>
      <c r="AP25" s="429"/>
      <c r="AQ25" s="429"/>
      <c r="AR25" s="429"/>
      <c r="AS25" s="429"/>
      <c r="AT25" s="429"/>
      <c r="AU25" s="429"/>
      <c r="AV25" s="429"/>
      <c r="AW25" s="429"/>
      <c r="AX25" s="429"/>
      <c r="AY25" s="429"/>
      <c r="AZ25" s="429"/>
      <c r="BA25" s="429"/>
      <c r="BB25" s="429"/>
      <c r="BC25" s="429"/>
      <c r="BD25" s="429"/>
      <c r="BE25" s="429"/>
      <c r="BF25" s="429"/>
      <c r="BG25" s="429"/>
      <c r="BH25" s="429"/>
      <c r="BI25" s="429"/>
      <c r="BJ25" s="429"/>
      <c r="BK25" s="429"/>
      <c r="BL25" s="429"/>
      <c r="BM25" s="429"/>
      <c r="BN25" s="429"/>
      <c r="BO25" s="429"/>
      <c r="BP25" s="120"/>
      <c r="BQ25" s="120">
        <v>2.205</v>
      </c>
      <c r="BR25" s="451">
        <f t="shared" si="0"/>
        <v>2205</v>
      </c>
      <c r="BS25" s="451">
        <f t="shared" si="1"/>
        <v>17088.75</v>
      </c>
      <c r="BT25" s="429" t="str">
        <f>IFERROR(VLOOKUP(E25,名称!A:D,4,FALSE),"")</f>
        <v>KIK</v>
      </c>
    </row>
    <row r="26" s="427" customFormat="1" hidden="1" customHeight="1" spans="1:72">
      <c r="A26" s="93">
        <v>45862</v>
      </c>
      <c r="B26" s="95" t="s">
        <v>235</v>
      </c>
      <c r="C26" s="96">
        <v>10107799</v>
      </c>
      <c r="D26" s="96">
        <v>4500031528</v>
      </c>
      <c r="E26" s="97" t="s">
        <v>97</v>
      </c>
      <c r="F26" s="99">
        <v>1500</v>
      </c>
      <c r="G26" s="93">
        <v>46057</v>
      </c>
      <c r="H26" s="429"/>
      <c r="I26" s="429"/>
      <c r="J26" s="429"/>
      <c r="K26" s="429"/>
      <c r="L26" s="429"/>
      <c r="M26" s="429"/>
      <c r="N26" s="429"/>
      <c r="O26" s="429"/>
      <c r="P26" s="429"/>
      <c r="Q26" s="429"/>
      <c r="R26" s="429"/>
      <c r="S26" s="429"/>
      <c r="T26" s="429"/>
      <c r="U26" s="429"/>
      <c r="V26" s="429"/>
      <c r="W26" s="429"/>
      <c r="X26" s="429"/>
      <c r="Y26" s="429"/>
      <c r="Z26" s="429"/>
      <c r="AA26" s="429"/>
      <c r="AB26" s="429"/>
      <c r="AC26" s="429"/>
      <c r="AD26" s="429"/>
      <c r="AE26" s="429"/>
      <c r="AF26" s="429"/>
      <c r="AG26" s="429"/>
      <c r="AH26" s="429"/>
      <c r="AI26" s="429">
        <f>F26</f>
        <v>1500</v>
      </c>
      <c r="AJ26" s="429"/>
      <c r="AK26" s="429"/>
      <c r="AL26" s="429"/>
      <c r="AM26" s="429"/>
      <c r="AN26" s="429"/>
      <c r="AO26" s="429"/>
      <c r="AP26" s="429"/>
      <c r="AQ26" s="429"/>
      <c r="AR26" s="429"/>
      <c r="AS26" s="429"/>
      <c r="AT26" s="429"/>
      <c r="AU26" s="429"/>
      <c r="AV26" s="429"/>
      <c r="AW26" s="429"/>
      <c r="AX26" s="429"/>
      <c r="AY26" s="429"/>
      <c r="AZ26" s="429"/>
      <c r="BA26" s="429"/>
      <c r="BB26" s="429"/>
      <c r="BC26" s="429"/>
      <c r="BD26" s="429"/>
      <c r="BE26" s="429"/>
      <c r="BF26" s="429"/>
      <c r="BG26" s="429"/>
      <c r="BH26" s="429"/>
      <c r="BI26" s="429"/>
      <c r="BJ26" s="429"/>
      <c r="BK26" s="429"/>
      <c r="BL26" s="429"/>
      <c r="BM26" s="429"/>
      <c r="BN26" s="429"/>
      <c r="BO26" s="429"/>
      <c r="BP26" s="120"/>
      <c r="BQ26" s="120">
        <v>3.362</v>
      </c>
      <c r="BR26" s="451">
        <f t="shared" si="0"/>
        <v>5043</v>
      </c>
      <c r="BS26" s="451">
        <f t="shared" si="1"/>
        <v>39083.25</v>
      </c>
      <c r="BT26" s="429" t="str">
        <f>IFERROR(VLOOKUP(E26,名称!A:D,4,FALSE),"")</f>
        <v>KIK</v>
      </c>
    </row>
    <row r="27" s="427" customFormat="1" hidden="1" customHeight="1" spans="1:72">
      <c r="A27" s="93">
        <v>45868</v>
      </c>
      <c r="B27" s="95" t="s">
        <v>236</v>
      </c>
      <c r="C27" s="96">
        <v>10108133</v>
      </c>
      <c r="D27" s="96">
        <v>20218536</v>
      </c>
      <c r="E27" s="97" t="s">
        <v>53</v>
      </c>
      <c r="F27" s="99">
        <v>3000</v>
      </c>
      <c r="G27" s="93">
        <v>46036</v>
      </c>
      <c r="H27" s="429"/>
      <c r="I27" s="429"/>
      <c r="J27" s="429"/>
      <c r="K27" s="429"/>
      <c r="L27" s="429"/>
      <c r="M27" s="429"/>
      <c r="N27" s="429"/>
      <c r="O27" s="429"/>
      <c r="P27" s="429">
        <f>F27</f>
        <v>3000</v>
      </c>
      <c r="Q27" s="429"/>
      <c r="R27" s="429"/>
      <c r="S27" s="429"/>
      <c r="T27" s="429"/>
      <c r="U27" s="429"/>
      <c r="V27" s="429"/>
      <c r="W27" s="429"/>
      <c r="X27" s="429"/>
      <c r="Y27" s="429"/>
      <c r="Z27" s="429"/>
      <c r="AA27" s="429"/>
      <c r="AB27" s="429"/>
      <c r="AC27" s="429"/>
      <c r="AD27" s="429"/>
      <c r="AE27" s="429"/>
      <c r="AF27" s="429"/>
      <c r="AG27" s="429"/>
      <c r="AH27" s="429"/>
      <c r="AI27" s="429"/>
      <c r="AJ27" s="429"/>
      <c r="AK27" s="429"/>
      <c r="AL27" s="429"/>
      <c r="AM27" s="429"/>
      <c r="AN27" s="429"/>
      <c r="AO27" s="429"/>
      <c r="AP27" s="429"/>
      <c r="AQ27" s="429"/>
      <c r="AR27" s="429"/>
      <c r="AS27" s="429"/>
      <c r="AT27" s="429"/>
      <c r="AU27" s="429"/>
      <c r="AV27" s="429"/>
      <c r="AW27" s="429"/>
      <c r="AX27" s="429"/>
      <c r="AY27" s="429"/>
      <c r="AZ27" s="429"/>
      <c r="BA27" s="429"/>
      <c r="BB27" s="429"/>
      <c r="BC27" s="429"/>
      <c r="BD27" s="429"/>
      <c r="BE27" s="429"/>
      <c r="BF27" s="429"/>
      <c r="BG27" s="429"/>
      <c r="BH27" s="429"/>
      <c r="BI27" s="429"/>
      <c r="BJ27" s="429"/>
      <c r="BK27" s="429"/>
      <c r="BL27" s="429"/>
      <c r="BM27" s="429"/>
      <c r="BN27" s="429"/>
      <c r="BO27" s="429"/>
      <c r="BP27" s="120"/>
      <c r="BQ27" s="120">
        <v>1.398</v>
      </c>
      <c r="BR27" s="451">
        <f t="shared" si="0"/>
        <v>4194</v>
      </c>
      <c r="BS27" s="451">
        <f t="shared" si="1"/>
        <v>32503.5</v>
      </c>
      <c r="BT27" s="429" t="str">
        <f>IFERROR(VLOOKUP(E27,名称!A:D,4,FALSE),"")</f>
        <v>KIK</v>
      </c>
    </row>
    <row r="28" s="427" customFormat="1" hidden="1" customHeight="1" spans="1:72">
      <c r="A28" s="93">
        <v>45869</v>
      </c>
      <c r="B28" s="95" t="s">
        <v>237</v>
      </c>
      <c r="C28" s="96">
        <v>10108291</v>
      </c>
      <c r="D28" s="96">
        <v>202520972529</v>
      </c>
      <c r="E28" s="97" t="s">
        <v>124</v>
      </c>
      <c r="F28" s="99">
        <v>1002</v>
      </c>
      <c r="G28" s="93">
        <v>46057</v>
      </c>
      <c r="H28" s="429"/>
      <c r="I28" s="429"/>
      <c r="J28" s="429"/>
      <c r="K28" s="429"/>
      <c r="L28" s="429"/>
      <c r="M28" s="429"/>
      <c r="N28" s="429"/>
      <c r="O28" s="429"/>
      <c r="P28" s="429"/>
      <c r="Q28" s="429"/>
      <c r="R28" s="429"/>
      <c r="S28" s="429"/>
      <c r="T28" s="429"/>
      <c r="U28" s="429"/>
      <c r="V28" s="429"/>
      <c r="W28" s="429"/>
      <c r="X28" s="429"/>
      <c r="Y28" s="429"/>
      <c r="Z28" s="429"/>
      <c r="AA28" s="429"/>
      <c r="AB28" s="429"/>
      <c r="AC28" s="429"/>
      <c r="AD28" s="429"/>
      <c r="AE28" s="429"/>
      <c r="AF28" s="429">
        <f>F28/6*4</f>
        <v>668</v>
      </c>
      <c r="AG28" s="429">
        <f>F28/6*2</f>
        <v>334</v>
      </c>
      <c r="AH28" s="429"/>
      <c r="AI28" s="429"/>
      <c r="AJ28" s="429"/>
      <c r="AK28" s="429"/>
      <c r="AL28" s="429"/>
      <c r="AM28" s="429"/>
      <c r="AN28" s="429"/>
      <c r="AO28" s="429"/>
      <c r="AP28" s="429"/>
      <c r="AQ28" s="429"/>
      <c r="AR28" s="429"/>
      <c r="AS28" s="429"/>
      <c r="AT28" s="429"/>
      <c r="AU28" s="429"/>
      <c r="AV28" s="429"/>
      <c r="AW28" s="429"/>
      <c r="AX28" s="429"/>
      <c r="AY28" s="429"/>
      <c r="AZ28" s="429"/>
      <c r="BA28" s="429"/>
      <c r="BB28" s="429"/>
      <c r="BC28" s="429"/>
      <c r="BD28" s="429"/>
      <c r="BE28" s="429"/>
      <c r="BF28" s="429"/>
      <c r="BG28" s="429"/>
      <c r="BH28" s="429"/>
      <c r="BI28" s="429"/>
      <c r="BJ28" s="429"/>
      <c r="BK28" s="429"/>
      <c r="BL28" s="429"/>
      <c r="BM28" s="429"/>
      <c r="BN28" s="429"/>
      <c r="BO28" s="429"/>
      <c r="BP28" s="102"/>
      <c r="BQ28" s="102">
        <v>1.311</v>
      </c>
      <c r="BR28" s="451">
        <f t="shared" si="0"/>
        <v>1313.62</v>
      </c>
      <c r="BS28" s="451">
        <f t="shared" si="1"/>
        <v>10180.56</v>
      </c>
      <c r="BT28" s="429" t="str">
        <f>IFERROR(VLOOKUP(E28,名称!A:D,4,FALSE),"")</f>
        <v>KIK</v>
      </c>
    </row>
    <row r="29" s="427" customFormat="1" hidden="1" customHeight="1" spans="1:72">
      <c r="A29" s="93">
        <v>45869</v>
      </c>
      <c r="B29" s="95" t="s">
        <v>237</v>
      </c>
      <c r="C29" s="96">
        <v>10108291</v>
      </c>
      <c r="D29" s="96">
        <v>202520972529</v>
      </c>
      <c r="E29" s="97" t="s">
        <v>95</v>
      </c>
      <c r="F29" s="99">
        <f>6000-1500-2852+4</f>
        <v>1652</v>
      </c>
      <c r="G29" s="93">
        <v>46015</v>
      </c>
      <c r="H29" s="429"/>
      <c r="I29" s="429"/>
      <c r="J29" s="429"/>
      <c r="K29" s="429"/>
      <c r="L29" s="429"/>
      <c r="M29" s="429"/>
      <c r="N29" s="429"/>
      <c r="O29" s="429"/>
      <c r="P29" s="429"/>
      <c r="Q29" s="429"/>
      <c r="R29" s="429"/>
      <c r="S29" s="429"/>
      <c r="T29" s="429"/>
      <c r="U29" s="429"/>
      <c r="V29" s="429"/>
      <c r="W29" s="429"/>
      <c r="X29" s="429"/>
      <c r="Y29" s="429"/>
      <c r="Z29" s="429"/>
      <c r="AA29" s="429"/>
      <c r="AB29" s="429"/>
      <c r="AC29" s="429"/>
      <c r="AD29" s="429"/>
      <c r="AE29" s="429"/>
      <c r="AF29" s="429"/>
      <c r="AG29" s="429"/>
      <c r="AH29" s="429">
        <f>F29</f>
        <v>1652</v>
      </c>
      <c r="AI29" s="429"/>
      <c r="AJ29" s="429"/>
      <c r="AK29" s="429"/>
      <c r="AL29" s="429"/>
      <c r="AM29" s="429"/>
      <c r="AN29" s="429"/>
      <c r="AO29" s="429"/>
      <c r="AP29" s="429"/>
      <c r="AQ29" s="429"/>
      <c r="AR29" s="429"/>
      <c r="AS29" s="429"/>
      <c r="AT29" s="429"/>
      <c r="AU29" s="429"/>
      <c r="AV29" s="429"/>
      <c r="AW29" s="429"/>
      <c r="AX29" s="429"/>
      <c r="AY29" s="429"/>
      <c r="AZ29" s="429"/>
      <c r="BA29" s="429"/>
      <c r="BB29" s="429"/>
      <c r="BC29" s="429"/>
      <c r="BD29" s="429"/>
      <c r="BE29" s="429"/>
      <c r="BF29" s="429"/>
      <c r="BG29" s="429"/>
      <c r="BH29" s="429"/>
      <c r="BI29" s="429"/>
      <c r="BJ29" s="429"/>
      <c r="BK29" s="429"/>
      <c r="BL29" s="429"/>
      <c r="BM29" s="429"/>
      <c r="BN29" s="429"/>
      <c r="BO29" s="429"/>
      <c r="BP29" s="120"/>
      <c r="BQ29" s="120">
        <v>2.205</v>
      </c>
      <c r="BR29" s="451">
        <f t="shared" si="0"/>
        <v>3642.66</v>
      </c>
      <c r="BS29" s="451">
        <f t="shared" si="1"/>
        <v>28230.62</v>
      </c>
      <c r="BT29" s="429" t="str">
        <f>IFERROR(VLOOKUP(E29,名称!A:D,4,FALSE),"")</f>
        <v>KIK</v>
      </c>
    </row>
    <row r="30" s="427" customFormat="1" hidden="1" customHeight="1" spans="1:72">
      <c r="A30" s="93">
        <v>45869</v>
      </c>
      <c r="B30" s="95" t="s">
        <v>237</v>
      </c>
      <c r="C30" s="96">
        <v>10108291</v>
      </c>
      <c r="D30" s="96">
        <v>202520972529</v>
      </c>
      <c r="E30" s="97" t="s">
        <v>95</v>
      </c>
      <c r="F30" s="99">
        <v>1500</v>
      </c>
      <c r="G30" s="93">
        <v>46015</v>
      </c>
      <c r="H30" s="429"/>
      <c r="I30" s="429"/>
      <c r="J30" s="429"/>
      <c r="K30" s="429"/>
      <c r="L30" s="429"/>
      <c r="M30" s="429"/>
      <c r="N30" s="429"/>
      <c r="O30" s="429"/>
      <c r="P30" s="429"/>
      <c r="Q30" s="429"/>
      <c r="R30" s="429"/>
      <c r="S30" s="429"/>
      <c r="T30" s="429"/>
      <c r="U30" s="429"/>
      <c r="V30" s="429"/>
      <c r="W30" s="429"/>
      <c r="X30" s="429"/>
      <c r="Y30" s="429"/>
      <c r="Z30" s="429"/>
      <c r="AA30" s="429"/>
      <c r="AB30" s="429"/>
      <c r="AC30" s="429"/>
      <c r="AD30" s="429"/>
      <c r="AE30" s="429"/>
      <c r="AF30" s="429"/>
      <c r="AG30" s="429"/>
      <c r="AH30" s="429">
        <f>F30</f>
        <v>1500</v>
      </c>
      <c r="AI30" s="429"/>
      <c r="AJ30" s="429"/>
      <c r="AK30" s="429"/>
      <c r="AL30" s="429"/>
      <c r="AM30" s="429"/>
      <c r="AN30" s="429"/>
      <c r="AO30" s="429"/>
      <c r="AP30" s="429"/>
      <c r="AQ30" s="429"/>
      <c r="AR30" s="429"/>
      <c r="AS30" s="429"/>
      <c r="AT30" s="429"/>
      <c r="AU30" s="429"/>
      <c r="AV30" s="429"/>
      <c r="AW30" s="429"/>
      <c r="AX30" s="429"/>
      <c r="AY30" s="429"/>
      <c r="AZ30" s="429"/>
      <c r="BA30" s="429"/>
      <c r="BB30" s="429"/>
      <c r="BC30" s="429"/>
      <c r="BD30" s="429"/>
      <c r="BE30" s="429"/>
      <c r="BF30" s="429"/>
      <c r="BG30" s="429"/>
      <c r="BH30" s="429"/>
      <c r="BI30" s="429"/>
      <c r="BJ30" s="429"/>
      <c r="BK30" s="429"/>
      <c r="BL30" s="429"/>
      <c r="BM30" s="429"/>
      <c r="BN30" s="429"/>
      <c r="BO30" s="429"/>
      <c r="BP30" s="120"/>
      <c r="BQ30" s="120">
        <v>2.205</v>
      </c>
      <c r="BR30" s="451">
        <f t="shared" si="0"/>
        <v>3307.5</v>
      </c>
      <c r="BS30" s="451">
        <f t="shared" si="1"/>
        <v>25633.13</v>
      </c>
      <c r="BT30" s="429" t="str">
        <f>IFERROR(VLOOKUP(E30,名称!A:D,4,FALSE),"")</f>
        <v>KIK</v>
      </c>
    </row>
    <row r="31" s="427" customFormat="1" hidden="1" customHeight="1" spans="1:72">
      <c r="A31" s="93">
        <v>45869</v>
      </c>
      <c r="B31" s="95" t="s">
        <v>237</v>
      </c>
      <c r="C31" s="96">
        <v>10108291</v>
      </c>
      <c r="D31" s="96">
        <v>202520972529</v>
      </c>
      <c r="E31" s="97" t="s">
        <v>95</v>
      </c>
      <c r="F31" s="99">
        <v>2852</v>
      </c>
      <c r="G31" s="93">
        <v>46050</v>
      </c>
      <c r="H31" s="429"/>
      <c r="I31" s="429"/>
      <c r="J31" s="429"/>
      <c r="K31" s="429"/>
      <c r="L31" s="429"/>
      <c r="M31" s="429"/>
      <c r="N31" s="429"/>
      <c r="O31" s="429"/>
      <c r="P31" s="429"/>
      <c r="Q31" s="429"/>
      <c r="R31" s="429"/>
      <c r="S31" s="429"/>
      <c r="T31" s="429"/>
      <c r="U31" s="429"/>
      <c r="V31" s="429"/>
      <c r="W31" s="429"/>
      <c r="X31" s="429"/>
      <c r="Y31" s="429"/>
      <c r="Z31" s="429"/>
      <c r="AA31" s="429"/>
      <c r="AB31" s="429"/>
      <c r="AC31" s="429"/>
      <c r="AD31" s="429"/>
      <c r="AE31" s="429"/>
      <c r="AF31" s="429"/>
      <c r="AG31" s="429"/>
      <c r="AH31" s="429">
        <f>F31</f>
        <v>2852</v>
      </c>
      <c r="AI31" s="429"/>
      <c r="AJ31" s="429"/>
      <c r="AK31" s="429"/>
      <c r="AL31" s="429"/>
      <c r="AM31" s="429"/>
      <c r="AN31" s="429"/>
      <c r="AO31" s="429"/>
      <c r="AP31" s="429"/>
      <c r="AQ31" s="429"/>
      <c r="AR31" s="429"/>
      <c r="AS31" s="429"/>
      <c r="AT31" s="429"/>
      <c r="AU31" s="429"/>
      <c r="AV31" s="429"/>
      <c r="AW31" s="429"/>
      <c r="AX31" s="429"/>
      <c r="AY31" s="429"/>
      <c r="AZ31" s="429"/>
      <c r="BA31" s="429"/>
      <c r="BB31" s="429"/>
      <c r="BC31" s="429"/>
      <c r="BD31" s="429"/>
      <c r="BE31" s="429"/>
      <c r="BF31" s="429"/>
      <c r="BG31" s="429"/>
      <c r="BH31" s="429"/>
      <c r="BI31" s="429"/>
      <c r="BJ31" s="429"/>
      <c r="BK31" s="429"/>
      <c r="BL31" s="429"/>
      <c r="BM31" s="429"/>
      <c r="BN31" s="429"/>
      <c r="BO31" s="429"/>
      <c r="BP31" s="120"/>
      <c r="BQ31" s="120">
        <v>2.205</v>
      </c>
      <c r="BR31" s="451">
        <f t="shared" si="0"/>
        <v>6288.66</v>
      </c>
      <c r="BS31" s="451">
        <f t="shared" si="1"/>
        <v>48737.12</v>
      </c>
      <c r="BT31" s="429" t="str">
        <f>IFERROR(VLOOKUP(E31,名称!A:D,4,FALSE),"")</f>
        <v>KIK</v>
      </c>
    </row>
    <row r="32" s="427" customFormat="1" hidden="1" customHeight="1" spans="1:72">
      <c r="A32" s="93">
        <v>45869</v>
      </c>
      <c r="B32" s="95" t="s">
        <v>237</v>
      </c>
      <c r="C32" s="96">
        <v>10108291</v>
      </c>
      <c r="D32" s="96">
        <v>202520972529</v>
      </c>
      <c r="E32" s="97" t="s">
        <v>97</v>
      </c>
      <c r="F32" s="99">
        <v>2000</v>
      </c>
      <c r="G32" s="93">
        <v>46029</v>
      </c>
      <c r="H32" s="429"/>
      <c r="I32" s="429"/>
      <c r="J32" s="429"/>
      <c r="K32" s="429"/>
      <c r="L32" s="429"/>
      <c r="M32" s="429"/>
      <c r="N32" s="429"/>
      <c r="O32" s="429"/>
      <c r="P32" s="429"/>
      <c r="Q32" s="429"/>
      <c r="R32" s="429"/>
      <c r="S32" s="429"/>
      <c r="T32" s="429"/>
      <c r="U32" s="429"/>
      <c r="V32" s="429"/>
      <c r="W32" s="429"/>
      <c r="X32" s="429"/>
      <c r="Y32" s="429"/>
      <c r="Z32" s="429"/>
      <c r="AA32" s="429"/>
      <c r="AB32" s="429"/>
      <c r="AC32" s="429"/>
      <c r="AD32" s="429"/>
      <c r="AE32" s="429"/>
      <c r="AF32" s="429"/>
      <c r="AG32" s="429"/>
      <c r="AH32" s="429"/>
      <c r="AI32" s="429">
        <f>F32</f>
        <v>2000</v>
      </c>
      <c r="AJ32" s="429"/>
      <c r="AK32" s="429"/>
      <c r="AL32" s="429"/>
      <c r="AM32" s="429"/>
      <c r="AN32" s="429"/>
      <c r="AO32" s="429"/>
      <c r="AP32" s="429"/>
      <c r="AQ32" s="429"/>
      <c r="AR32" s="429"/>
      <c r="AS32" s="429"/>
      <c r="AT32" s="429"/>
      <c r="AU32" s="429"/>
      <c r="AV32" s="429"/>
      <c r="AW32" s="429"/>
      <c r="AX32" s="429"/>
      <c r="AY32" s="429"/>
      <c r="AZ32" s="429"/>
      <c r="BA32" s="429"/>
      <c r="BB32" s="429"/>
      <c r="BC32" s="429"/>
      <c r="BD32" s="429"/>
      <c r="BE32" s="429"/>
      <c r="BF32" s="429"/>
      <c r="BG32" s="429"/>
      <c r="BH32" s="429"/>
      <c r="BI32" s="429"/>
      <c r="BJ32" s="429"/>
      <c r="BK32" s="429"/>
      <c r="BL32" s="429"/>
      <c r="BM32" s="429"/>
      <c r="BN32" s="429"/>
      <c r="BO32" s="429"/>
      <c r="BP32" s="120"/>
      <c r="BQ32" s="120">
        <v>3.362</v>
      </c>
      <c r="BR32" s="451">
        <f t="shared" si="0"/>
        <v>6724</v>
      </c>
      <c r="BS32" s="451">
        <f t="shared" si="1"/>
        <v>52111</v>
      </c>
      <c r="BT32" s="429" t="str">
        <f>IFERROR(VLOOKUP(E32,名称!A:D,4,FALSE),"")</f>
        <v>KIK</v>
      </c>
    </row>
    <row r="33" s="427" customFormat="1" hidden="1" customHeight="1" spans="1:72">
      <c r="A33" s="93">
        <v>45869</v>
      </c>
      <c r="B33" s="95" t="s">
        <v>237</v>
      </c>
      <c r="C33" s="96">
        <v>10108291</v>
      </c>
      <c r="D33" s="96">
        <v>202520972529</v>
      </c>
      <c r="E33" s="97" t="s">
        <v>97</v>
      </c>
      <c r="F33" s="99">
        <v>1200</v>
      </c>
      <c r="G33" s="93">
        <v>46043</v>
      </c>
      <c r="H33" s="429"/>
      <c r="I33" s="429"/>
      <c r="J33" s="429"/>
      <c r="K33" s="429"/>
      <c r="L33" s="429"/>
      <c r="M33" s="429"/>
      <c r="N33" s="429"/>
      <c r="O33" s="429"/>
      <c r="P33" s="429"/>
      <c r="Q33" s="429"/>
      <c r="R33" s="429"/>
      <c r="S33" s="429"/>
      <c r="T33" s="429"/>
      <c r="U33" s="429"/>
      <c r="V33" s="429"/>
      <c r="W33" s="429"/>
      <c r="X33" s="429"/>
      <c r="Y33" s="429"/>
      <c r="Z33" s="429"/>
      <c r="AA33" s="429"/>
      <c r="AB33" s="429"/>
      <c r="AC33" s="429"/>
      <c r="AD33" s="429"/>
      <c r="AE33" s="429"/>
      <c r="AF33" s="429"/>
      <c r="AG33" s="429"/>
      <c r="AH33" s="429"/>
      <c r="AI33" s="429">
        <f>F33</f>
        <v>1200</v>
      </c>
      <c r="AJ33" s="429"/>
      <c r="AK33" s="429"/>
      <c r="AL33" s="429"/>
      <c r="AM33" s="429"/>
      <c r="AN33" s="429"/>
      <c r="AO33" s="429"/>
      <c r="AP33" s="429"/>
      <c r="AQ33" s="429"/>
      <c r="AR33" s="429"/>
      <c r="AS33" s="429"/>
      <c r="AT33" s="429"/>
      <c r="AU33" s="429"/>
      <c r="AV33" s="429"/>
      <c r="AW33" s="429"/>
      <c r="AX33" s="429"/>
      <c r="AY33" s="429"/>
      <c r="AZ33" s="429"/>
      <c r="BA33" s="429"/>
      <c r="BB33" s="429"/>
      <c r="BC33" s="429"/>
      <c r="BD33" s="429"/>
      <c r="BE33" s="429"/>
      <c r="BF33" s="429"/>
      <c r="BG33" s="429"/>
      <c r="BH33" s="429"/>
      <c r="BI33" s="429"/>
      <c r="BJ33" s="429"/>
      <c r="BK33" s="429"/>
      <c r="BL33" s="429"/>
      <c r="BM33" s="429"/>
      <c r="BN33" s="429"/>
      <c r="BO33" s="429"/>
      <c r="BP33" s="120"/>
      <c r="BQ33" s="120">
        <v>3.362</v>
      </c>
      <c r="BR33" s="451">
        <f t="shared" si="0"/>
        <v>4034.4</v>
      </c>
      <c r="BS33" s="451">
        <f t="shared" si="1"/>
        <v>31266.6</v>
      </c>
      <c r="BT33" s="429" t="str">
        <f>IFERROR(VLOOKUP(E33,名称!A:D,4,FALSE),"")</f>
        <v>KIK</v>
      </c>
    </row>
    <row r="34" s="427" customFormat="1" hidden="1" customHeight="1" spans="1:72">
      <c r="A34" s="93">
        <v>45869</v>
      </c>
      <c r="B34" s="95" t="s">
        <v>237</v>
      </c>
      <c r="C34" s="96">
        <v>10108291</v>
      </c>
      <c r="D34" s="96">
        <v>202520972529</v>
      </c>
      <c r="E34" s="97" t="s">
        <v>97</v>
      </c>
      <c r="F34" s="99">
        <v>4800</v>
      </c>
      <c r="G34" s="93">
        <v>46043</v>
      </c>
      <c r="H34" s="429"/>
      <c r="I34" s="429"/>
      <c r="J34" s="429"/>
      <c r="K34" s="429"/>
      <c r="L34" s="429"/>
      <c r="M34" s="429"/>
      <c r="N34" s="429"/>
      <c r="O34" s="429"/>
      <c r="P34" s="429"/>
      <c r="Q34" s="429"/>
      <c r="R34" s="429"/>
      <c r="S34" s="429"/>
      <c r="T34" s="429"/>
      <c r="U34" s="429"/>
      <c r="V34" s="429"/>
      <c r="W34" s="429"/>
      <c r="X34" s="429"/>
      <c r="Y34" s="429"/>
      <c r="Z34" s="429"/>
      <c r="AA34" s="429"/>
      <c r="AB34" s="429"/>
      <c r="AC34" s="429"/>
      <c r="AD34" s="429"/>
      <c r="AE34" s="429"/>
      <c r="AF34" s="429"/>
      <c r="AG34" s="429"/>
      <c r="AH34" s="429"/>
      <c r="AI34" s="429">
        <f>F34</f>
        <v>4800</v>
      </c>
      <c r="AJ34" s="429"/>
      <c r="AK34" s="429"/>
      <c r="AL34" s="429"/>
      <c r="AM34" s="429"/>
      <c r="AN34" s="429"/>
      <c r="AO34" s="429"/>
      <c r="AP34" s="429"/>
      <c r="AQ34" s="429"/>
      <c r="AR34" s="429"/>
      <c r="AS34" s="429"/>
      <c r="AT34" s="429"/>
      <c r="AU34" s="429"/>
      <c r="AV34" s="429"/>
      <c r="AW34" s="429"/>
      <c r="AX34" s="429"/>
      <c r="AY34" s="429"/>
      <c r="AZ34" s="429"/>
      <c r="BA34" s="429"/>
      <c r="BB34" s="429"/>
      <c r="BC34" s="429"/>
      <c r="BD34" s="429"/>
      <c r="BE34" s="429"/>
      <c r="BF34" s="429"/>
      <c r="BG34" s="429"/>
      <c r="BH34" s="429"/>
      <c r="BI34" s="429"/>
      <c r="BJ34" s="429"/>
      <c r="BK34" s="429"/>
      <c r="BL34" s="429"/>
      <c r="BM34" s="429"/>
      <c r="BN34" s="429"/>
      <c r="BO34" s="429"/>
      <c r="BP34" s="120"/>
      <c r="BQ34" s="120">
        <v>3.362</v>
      </c>
      <c r="BR34" s="451">
        <f t="shared" si="0"/>
        <v>16137.6</v>
      </c>
      <c r="BS34" s="451">
        <f t="shared" si="1"/>
        <v>125066.4</v>
      </c>
      <c r="BT34" s="429" t="str">
        <f>IFERROR(VLOOKUP(E34,名称!A:D,4,FALSE),"")</f>
        <v>KIK</v>
      </c>
    </row>
    <row r="35" s="427" customFormat="1" hidden="1" customHeight="1" spans="1:72">
      <c r="A35" s="93">
        <v>45869</v>
      </c>
      <c r="B35" s="95" t="s">
        <v>237</v>
      </c>
      <c r="C35" s="96">
        <v>10108291</v>
      </c>
      <c r="D35" s="96">
        <v>202520972529</v>
      </c>
      <c r="E35" s="97" t="s">
        <v>122</v>
      </c>
      <c r="F35" s="99">
        <f>12000-4500-2898-3204+6</f>
        <v>1404</v>
      </c>
      <c r="G35" s="93">
        <v>46015</v>
      </c>
      <c r="H35" s="429"/>
      <c r="I35" s="429"/>
      <c r="J35" s="429"/>
      <c r="K35" s="429"/>
      <c r="L35" s="429"/>
      <c r="M35" s="429"/>
      <c r="N35" s="429"/>
      <c r="O35" s="429"/>
      <c r="P35" s="429"/>
      <c r="Q35" s="429"/>
      <c r="R35" s="429"/>
      <c r="S35" s="429"/>
      <c r="T35" s="429"/>
      <c r="U35" s="429"/>
      <c r="V35" s="429"/>
      <c r="W35" s="429"/>
      <c r="X35" s="429"/>
      <c r="Y35" s="429"/>
      <c r="Z35" s="429"/>
      <c r="AA35" s="429"/>
      <c r="AB35" s="429"/>
      <c r="AC35" s="429"/>
      <c r="AD35" s="429"/>
      <c r="AE35" s="429"/>
      <c r="AF35" s="429">
        <f>F35</f>
        <v>1404</v>
      </c>
      <c r="AG35" s="429"/>
      <c r="AH35" s="429"/>
      <c r="AI35" s="429"/>
      <c r="AJ35" s="429"/>
      <c r="AK35" s="429"/>
      <c r="AL35" s="429"/>
      <c r="AM35" s="429"/>
      <c r="AN35" s="429"/>
      <c r="AO35" s="429"/>
      <c r="AP35" s="429"/>
      <c r="AQ35" s="429"/>
      <c r="AR35" s="429"/>
      <c r="AS35" s="429"/>
      <c r="AT35" s="429"/>
      <c r="AU35" s="429"/>
      <c r="AV35" s="429"/>
      <c r="AW35" s="429"/>
      <c r="AX35" s="429"/>
      <c r="AY35" s="429"/>
      <c r="AZ35" s="429"/>
      <c r="BA35" s="429"/>
      <c r="BB35" s="429"/>
      <c r="BC35" s="429"/>
      <c r="BD35" s="429"/>
      <c r="BE35" s="429"/>
      <c r="BF35" s="429"/>
      <c r="BG35" s="429"/>
      <c r="BH35" s="429"/>
      <c r="BI35" s="429"/>
      <c r="BJ35" s="429"/>
      <c r="BK35" s="429"/>
      <c r="BL35" s="429"/>
      <c r="BM35" s="429"/>
      <c r="BN35" s="429"/>
      <c r="BO35" s="429"/>
      <c r="BP35" s="120"/>
      <c r="BQ35" s="120">
        <v>1.413</v>
      </c>
      <c r="BR35" s="451">
        <f t="shared" si="0"/>
        <v>1983.85</v>
      </c>
      <c r="BS35" s="451">
        <f t="shared" si="1"/>
        <v>15374.84</v>
      </c>
      <c r="BT35" s="429" t="str">
        <f>IFERROR(VLOOKUP(E35,名称!A:D,4,FALSE),"")</f>
        <v>KIK</v>
      </c>
    </row>
    <row r="36" s="427" customFormat="1" hidden="1" customHeight="1" spans="1:72">
      <c r="A36" s="93">
        <v>45869</v>
      </c>
      <c r="B36" s="95" t="s">
        <v>237</v>
      </c>
      <c r="C36" s="96">
        <v>10108291</v>
      </c>
      <c r="D36" s="96">
        <v>202520972529</v>
      </c>
      <c r="E36" s="97" t="s">
        <v>122</v>
      </c>
      <c r="F36" s="99">
        <v>4500</v>
      </c>
      <c r="G36" s="93">
        <v>46029</v>
      </c>
      <c r="H36" s="429"/>
      <c r="I36" s="429"/>
      <c r="J36" s="429"/>
      <c r="K36" s="429"/>
      <c r="L36" s="429"/>
      <c r="M36" s="429"/>
      <c r="N36" s="429"/>
      <c r="O36" s="429"/>
      <c r="P36" s="429"/>
      <c r="Q36" s="429"/>
      <c r="R36" s="429"/>
      <c r="S36" s="429"/>
      <c r="T36" s="429"/>
      <c r="U36" s="429"/>
      <c r="V36" s="429"/>
      <c r="W36" s="429"/>
      <c r="X36" s="429"/>
      <c r="Y36" s="429"/>
      <c r="Z36" s="429"/>
      <c r="AA36" s="429"/>
      <c r="AB36" s="429"/>
      <c r="AC36" s="429"/>
      <c r="AD36" s="429"/>
      <c r="AE36" s="429"/>
      <c r="AF36" s="429">
        <f>F36</f>
        <v>4500</v>
      </c>
      <c r="AG36" s="429"/>
      <c r="AH36" s="429"/>
      <c r="AI36" s="429"/>
      <c r="AJ36" s="429"/>
      <c r="AK36" s="429"/>
      <c r="AL36" s="429"/>
      <c r="AM36" s="429"/>
      <c r="AN36" s="429"/>
      <c r="AO36" s="429"/>
      <c r="AP36" s="429"/>
      <c r="AQ36" s="429"/>
      <c r="AR36" s="429"/>
      <c r="AS36" s="429"/>
      <c r="AT36" s="429"/>
      <c r="AU36" s="429"/>
      <c r="AV36" s="429"/>
      <c r="AW36" s="429"/>
      <c r="AX36" s="429"/>
      <c r="AY36" s="429"/>
      <c r="AZ36" s="429"/>
      <c r="BA36" s="429"/>
      <c r="BB36" s="429"/>
      <c r="BC36" s="429"/>
      <c r="BD36" s="429"/>
      <c r="BE36" s="429"/>
      <c r="BF36" s="429"/>
      <c r="BG36" s="429"/>
      <c r="BH36" s="429"/>
      <c r="BI36" s="429"/>
      <c r="BJ36" s="429"/>
      <c r="BK36" s="429"/>
      <c r="BL36" s="429"/>
      <c r="BM36" s="429"/>
      <c r="BN36" s="429"/>
      <c r="BO36" s="429"/>
      <c r="BP36" s="120"/>
      <c r="BQ36" s="120">
        <v>1.413</v>
      </c>
      <c r="BR36" s="451">
        <f t="shared" ref="BR4:BR67" si="3">SUM(H36:BP36)*BQ36</f>
        <v>6358.5</v>
      </c>
      <c r="BS36" s="451">
        <f t="shared" ref="BS4:BS44" si="4">BR36*7.75</f>
        <v>49278.38</v>
      </c>
      <c r="BT36" s="429" t="str">
        <f>IFERROR(VLOOKUP(E36,名称!A:D,4,FALSE),"")</f>
        <v>KIK</v>
      </c>
    </row>
    <row r="37" s="427" customFormat="1" hidden="1" customHeight="1" spans="1:72">
      <c r="A37" s="93">
        <v>45869</v>
      </c>
      <c r="B37" s="95" t="s">
        <v>237</v>
      </c>
      <c r="C37" s="96">
        <v>10108291</v>
      </c>
      <c r="D37" s="96">
        <v>202520972529</v>
      </c>
      <c r="E37" s="97" t="s">
        <v>122</v>
      </c>
      <c r="F37" s="99">
        <v>2898</v>
      </c>
      <c r="G37" s="93">
        <v>46043</v>
      </c>
      <c r="H37" s="429"/>
      <c r="I37" s="429"/>
      <c r="J37" s="429"/>
      <c r="K37" s="429"/>
      <c r="L37" s="429"/>
      <c r="M37" s="429"/>
      <c r="N37" s="429"/>
      <c r="O37" s="429"/>
      <c r="P37" s="429"/>
      <c r="Q37" s="429"/>
      <c r="R37" s="429"/>
      <c r="S37" s="429"/>
      <c r="T37" s="429"/>
      <c r="U37" s="429"/>
      <c r="V37" s="429"/>
      <c r="W37" s="429"/>
      <c r="X37" s="429"/>
      <c r="Y37" s="429"/>
      <c r="Z37" s="429"/>
      <c r="AA37" s="429"/>
      <c r="AB37" s="429"/>
      <c r="AC37" s="429"/>
      <c r="AD37" s="429"/>
      <c r="AE37" s="429"/>
      <c r="AF37" s="429">
        <f>F37</f>
        <v>2898</v>
      </c>
      <c r="AG37" s="429"/>
      <c r="AH37" s="429"/>
      <c r="AI37" s="429"/>
      <c r="AJ37" s="429"/>
      <c r="AK37" s="429"/>
      <c r="AL37" s="429"/>
      <c r="AM37" s="429"/>
      <c r="AN37" s="429"/>
      <c r="AO37" s="429"/>
      <c r="AP37" s="429"/>
      <c r="AQ37" s="429"/>
      <c r="AR37" s="429"/>
      <c r="AS37" s="429"/>
      <c r="AT37" s="429"/>
      <c r="AU37" s="429"/>
      <c r="AV37" s="429"/>
      <c r="AW37" s="429"/>
      <c r="AX37" s="429"/>
      <c r="AY37" s="429"/>
      <c r="AZ37" s="429"/>
      <c r="BA37" s="429"/>
      <c r="BB37" s="429"/>
      <c r="BC37" s="429"/>
      <c r="BD37" s="429"/>
      <c r="BE37" s="429"/>
      <c r="BF37" s="429"/>
      <c r="BG37" s="429"/>
      <c r="BH37" s="429"/>
      <c r="BI37" s="429"/>
      <c r="BJ37" s="429"/>
      <c r="BK37" s="429"/>
      <c r="BL37" s="429"/>
      <c r="BM37" s="429"/>
      <c r="BN37" s="429"/>
      <c r="BO37" s="429"/>
      <c r="BP37" s="120"/>
      <c r="BQ37" s="120">
        <v>1.413</v>
      </c>
      <c r="BR37" s="451">
        <f t="shared" ref="BR37:BR42" si="5">SUM(H37:BP37)*BQ37</f>
        <v>4094.87</v>
      </c>
      <c r="BS37" s="451">
        <f t="shared" ref="BS37:BS42" si="6">BR37*7.75</f>
        <v>31735.24</v>
      </c>
      <c r="BT37" s="429" t="str">
        <f>IFERROR(VLOOKUP(E37,名称!A:D,4,FALSE),"")</f>
        <v>KIK</v>
      </c>
    </row>
    <row r="38" s="427" customFormat="1" hidden="1" customHeight="1" spans="1:72">
      <c r="A38" s="93">
        <v>45869</v>
      </c>
      <c r="B38" s="95" t="s">
        <v>237</v>
      </c>
      <c r="C38" s="96">
        <v>10108291</v>
      </c>
      <c r="D38" s="96">
        <v>202520972529</v>
      </c>
      <c r="E38" s="97" t="s">
        <v>122</v>
      </c>
      <c r="F38" s="99">
        <v>3204</v>
      </c>
      <c r="G38" s="93">
        <v>46050</v>
      </c>
      <c r="H38" s="429"/>
      <c r="I38" s="429"/>
      <c r="J38" s="429"/>
      <c r="K38" s="429"/>
      <c r="L38" s="429"/>
      <c r="M38" s="429"/>
      <c r="N38" s="429"/>
      <c r="O38" s="429"/>
      <c r="P38" s="429"/>
      <c r="Q38" s="429"/>
      <c r="R38" s="429"/>
      <c r="S38" s="429"/>
      <c r="T38" s="429"/>
      <c r="U38" s="429"/>
      <c r="V38" s="429"/>
      <c r="W38" s="429"/>
      <c r="X38" s="429"/>
      <c r="Y38" s="429"/>
      <c r="Z38" s="429"/>
      <c r="AA38" s="429"/>
      <c r="AB38" s="429"/>
      <c r="AC38" s="429"/>
      <c r="AD38" s="429"/>
      <c r="AE38" s="429"/>
      <c r="AF38" s="429">
        <f>F38</f>
        <v>3204</v>
      </c>
      <c r="AG38" s="429"/>
      <c r="AH38" s="429"/>
      <c r="AI38" s="429"/>
      <c r="AJ38" s="429"/>
      <c r="AK38" s="429"/>
      <c r="AL38" s="429"/>
      <c r="AM38" s="429"/>
      <c r="AN38" s="429"/>
      <c r="AO38" s="429"/>
      <c r="AP38" s="429"/>
      <c r="AQ38" s="429"/>
      <c r="AR38" s="429"/>
      <c r="AS38" s="429"/>
      <c r="AT38" s="429"/>
      <c r="AU38" s="429"/>
      <c r="AV38" s="429"/>
      <c r="AW38" s="429"/>
      <c r="AX38" s="429"/>
      <c r="AY38" s="429"/>
      <c r="AZ38" s="429"/>
      <c r="BA38" s="429"/>
      <c r="BB38" s="429"/>
      <c r="BC38" s="429"/>
      <c r="BD38" s="429"/>
      <c r="BE38" s="429"/>
      <c r="BF38" s="429"/>
      <c r="BG38" s="429"/>
      <c r="BH38" s="429"/>
      <c r="BI38" s="429"/>
      <c r="BJ38" s="429"/>
      <c r="BK38" s="429"/>
      <c r="BL38" s="429"/>
      <c r="BM38" s="429"/>
      <c r="BN38" s="429"/>
      <c r="BO38" s="429"/>
      <c r="BP38" s="120"/>
      <c r="BQ38" s="120">
        <v>1.413</v>
      </c>
      <c r="BR38" s="451">
        <f t="shared" si="5"/>
        <v>4527.25</v>
      </c>
      <c r="BS38" s="451">
        <f t="shared" si="6"/>
        <v>35086.19</v>
      </c>
      <c r="BT38" s="429" t="str">
        <f>IFERROR(VLOOKUP(E38,名称!A:D,4,FALSE),"")</f>
        <v>KIK</v>
      </c>
    </row>
    <row r="39" s="427" customFormat="1" hidden="1" customHeight="1" spans="1:72">
      <c r="A39" s="93">
        <v>45869</v>
      </c>
      <c r="B39" s="95" t="s">
        <v>237</v>
      </c>
      <c r="C39" s="96">
        <v>10108291</v>
      </c>
      <c r="D39" s="96">
        <v>202520972529</v>
      </c>
      <c r="E39" s="97" t="s">
        <v>123</v>
      </c>
      <c r="F39" s="99">
        <v>3000</v>
      </c>
      <c r="G39" s="93">
        <v>46092</v>
      </c>
      <c r="H39" s="429"/>
      <c r="I39" s="429"/>
      <c r="J39" s="429"/>
      <c r="K39" s="429"/>
      <c r="L39" s="429"/>
      <c r="M39" s="429"/>
      <c r="N39" s="429"/>
      <c r="O39" s="429"/>
      <c r="P39" s="429"/>
      <c r="Q39" s="429"/>
      <c r="R39" s="429"/>
      <c r="S39" s="429"/>
      <c r="T39" s="429"/>
      <c r="U39" s="429"/>
      <c r="V39" s="429"/>
      <c r="W39" s="429"/>
      <c r="X39" s="429"/>
      <c r="Y39" s="429"/>
      <c r="Z39" s="429"/>
      <c r="AA39" s="429"/>
      <c r="AB39" s="429"/>
      <c r="AC39" s="429"/>
      <c r="AD39" s="429"/>
      <c r="AE39" s="429"/>
      <c r="AF39" s="429"/>
      <c r="AG39" s="429">
        <f>F39</f>
        <v>3000</v>
      </c>
      <c r="AH39" s="429"/>
      <c r="AI39" s="429"/>
      <c r="AJ39" s="429"/>
      <c r="AK39" s="429"/>
      <c r="AL39" s="429"/>
      <c r="AM39" s="429"/>
      <c r="AN39" s="429"/>
      <c r="AO39" s="429"/>
      <c r="AP39" s="429"/>
      <c r="AQ39" s="429"/>
      <c r="AR39" s="429"/>
      <c r="AS39" s="429"/>
      <c r="AT39" s="429"/>
      <c r="AU39" s="429"/>
      <c r="AV39" s="429"/>
      <c r="AW39" s="429"/>
      <c r="AX39" s="429"/>
      <c r="AY39" s="429"/>
      <c r="AZ39" s="429"/>
      <c r="BA39" s="429"/>
      <c r="BB39" s="429"/>
      <c r="BC39" s="429"/>
      <c r="BD39" s="429"/>
      <c r="BE39" s="429"/>
      <c r="BF39" s="429"/>
      <c r="BG39" s="429"/>
      <c r="BH39" s="429"/>
      <c r="BI39" s="429"/>
      <c r="BJ39" s="429"/>
      <c r="BK39" s="429"/>
      <c r="BL39" s="429"/>
      <c r="BM39" s="429"/>
      <c r="BN39" s="429"/>
      <c r="BO39" s="429"/>
      <c r="BP39" s="120"/>
      <c r="BQ39" s="120">
        <v>1.278</v>
      </c>
      <c r="BR39" s="451">
        <f t="shared" si="5"/>
        <v>3834</v>
      </c>
      <c r="BS39" s="451">
        <f t="shared" si="6"/>
        <v>29713.5</v>
      </c>
      <c r="BT39" s="429" t="str">
        <f>IFERROR(VLOOKUP(E39,名称!A:D,4,FALSE),"")</f>
        <v>KIK</v>
      </c>
    </row>
    <row r="40" s="427" customFormat="1" hidden="1" customHeight="1" spans="1:72">
      <c r="A40" s="93">
        <v>45869</v>
      </c>
      <c r="B40" s="95" t="s">
        <v>237</v>
      </c>
      <c r="C40" s="96">
        <v>10108291</v>
      </c>
      <c r="D40" s="96">
        <v>202520972529</v>
      </c>
      <c r="E40" s="97" t="s">
        <v>125</v>
      </c>
      <c r="F40" s="99">
        <v>6000</v>
      </c>
      <c r="G40" s="93">
        <v>46057</v>
      </c>
      <c r="H40" s="429"/>
      <c r="I40" s="429"/>
      <c r="J40" s="429"/>
      <c r="K40" s="429"/>
      <c r="L40" s="429"/>
      <c r="M40" s="429"/>
      <c r="N40" s="429"/>
      <c r="O40" s="429"/>
      <c r="P40" s="429"/>
      <c r="Q40" s="429"/>
      <c r="R40" s="429"/>
      <c r="S40" s="429"/>
      <c r="T40" s="429"/>
      <c r="U40" s="429"/>
      <c r="V40" s="429"/>
      <c r="W40" s="429"/>
      <c r="X40" s="429"/>
      <c r="Y40" s="429"/>
      <c r="Z40" s="429"/>
      <c r="AA40" s="429"/>
      <c r="AB40" s="429"/>
      <c r="AC40" s="429"/>
      <c r="AD40" s="429"/>
      <c r="AE40" s="429"/>
      <c r="AF40" s="429">
        <f>F40/6*3</f>
        <v>3000</v>
      </c>
      <c r="AG40" s="429">
        <f>F40/6*3</f>
        <v>3000</v>
      </c>
      <c r="AH40" s="429"/>
      <c r="AI40" s="429"/>
      <c r="AJ40" s="429"/>
      <c r="AK40" s="429"/>
      <c r="AL40" s="429"/>
      <c r="AM40" s="429"/>
      <c r="AN40" s="429"/>
      <c r="AO40" s="429"/>
      <c r="AP40" s="429"/>
      <c r="AQ40" s="429"/>
      <c r="AR40" s="429"/>
      <c r="AS40" s="429"/>
      <c r="AT40" s="429"/>
      <c r="AU40" s="429"/>
      <c r="AV40" s="429"/>
      <c r="AW40" s="429"/>
      <c r="AX40" s="429"/>
      <c r="AY40" s="429"/>
      <c r="AZ40" s="429"/>
      <c r="BA40" s="429"/>
      <c r="BB40" s="429"/>
      <c r="BC40" s="429"/>
      <c r="BD40" s="429"/>
      <c r="BE40" s="429"/>
      <c r="BF40" s="429"/>
      <c r="BG40" s="429"/>
      <c r="BH40" s="429"/>
      <c r="BI40" s="429"/>
      <c r="BJ40" s="429"/>
      <c r="BK40" s="429"/>
      <c r="BL40" s="429"/>
      <c r="BM40" s="429"/>
      <c r="BN40" s="429"/>
      <c r="BO40" s="429"/>
      <c r="BP40" s="120"/>
      <c r="BQ40" s="120">
        <v>2.33</v>
      </c>
      <c r="BR40" s="451">
        <f t="shared" si="5"/>
        <v>13980</v>
      </c>
      <c r="BS40" s="451">
        <f t="shared" si="6"/>
        <v>108345</v>
      </c>
      <c r="BT40" s="429" t="str">
        <f>IFERROR(VLOOKUP(E40,名称!A:D,4,FALSE),"")</f>
        <v>KIK</v>
      </c>
    </row>
    <row r="41" s="427" customFormat="1" hidden="1" customHeight="1" spans="1:72">
      <c r="A41" s="93">
        <v>45882</v>
      </c>
      <c r="B41" s="95" t="s">
        <v>236</v>
      </c>
      <c r="C41" s="96">
        <v>10109047</v>
      </c>
      <c r="D41" s="96">
        <v>20218559</v>
      </c>
      <c r="E41" s="97" t="s">
        <v>102</v>
      </c>
      <c r="F41" s="99">
        <v>2502</v>
      </c>
      <c r="G41" s="93">
        <v>46036</v>
      </c>
      <c r="H41" s="429">
        <f>F41</f>
        <v>2502</v>
      </c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29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29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120"/>
      <c r="BQ41" s="120">
        <v>1.133</v>
      </c>
      <c r="BR41" s="451">
        <f t="shared" si="5"/>
        <v>2834.77</v>
      </c>
      <c r="BS41" s="451">
        <f t="shared" si="6"/>
        <v>21969.47</v>
      </c>
      <c r="BT41" s="429" t="str">
        <f>IFERROR(VLOOKUP(E41,名称!A:D,4,FALSE),"")</f>
        <v>KIK</v>
      </c>
    </row>
    <row r="42" s="427" customFormat="1" hidden="1" customHeight="1" spans="1:72">
      <c r="A42" s="93">
        <v>45882</v>
      </c>
      <c r="B42" s="95" t="s">
        <v>236</v>
      </c>
      <c r="C42" s="96">
        <v>10109048</v>
      </c>
      <c r="D42" s="96">
        <v>20218578</v>
      </c>
      <c r="E42" s="97" t="s">
        <v>102</v>
      </c>
      <c r="F42" s="99">
        <v>2502</v>
      </c>
      <c r="G42" s="93">
        <v>46113</v>
      </c>
      <c r="H42" s="429">
        <f>F42</f>
        <v>2502</v>
      </c>
      <c r="I42" s="429"/>
      <c r="J42" s="429"/>
      <c r="K42" s="429"/>
      <c r="L42" s="429"/>
      <c r="M42" s="429"/>
      <c r="N42" s="429"/>
      <c r="O42" s="429"/>
      <c r="P42" s="429"/>
      <c r="Q42" s="429"/>
      <c r="R42" s="429"/>
      <c r="S42" s="429"/>
      <c r="T42" s="429"/>
      <c r="U42" s="429"/>
      <c r="V42" s="429"/>
      <c r="W42" s="429"/>
      <c r="X42" s="429"/>
      <c r="Y42" s="429"/>
      <c r="Z42" s="429"/>
      <c r="AA42" s="429"/>
      <c r="AB42" s="429"/>
      <c r="AC42" s="429"/>
      <c r="AD42" s="429"/>
      <c r="AE42" s="429"/>
      <c r="AF42" s="429"/>
      <c r="AG42" s="429"/>
      <c r="AH42" s="429"/>
      <c r="AI42" s="429"/>
      <c r="AJ42" s="429"/>
      <c r="AK42" s="429"/>
      <c r="AL42" s="429"/>
      <c r="AM42" s="429"/>
      <c r="AN42" s="429"/>
      <c r="AO42" s="429"/>
      <c r="AP42" s="429"/>
      <c r="AQ42" s="429"/>
      <c r="AR42" s="429"/>
      <c r="AS42" s="429"/>
      <c r="AT42" s="429"/>
      <c r="AU42" s="429"/>
      <c r="AV42" s="429"/>
      <c r="AW42" s="429"/>
      <c r="AX42" s="429"/>
      <c r="AY42" s="429"/>
      <c r="AZ42" s="429"/>
      <c r="BA42" s="429"/>
      <c r="BB42" s="429"/>
      <c r="BC42" s="429"/>
      <c r="BD42" s="429"/>
      <c r="BE42" s="429"/>
      <c r="BF42" s="429"/>
      <c r="BG42" s="429"/>
      <c r="BH42" s="429"/>
      <c r="BI42" s="429"/>
      <c r="BJ42" s="429"/>
      <c r="BK42" s="429"/>
      <c r="BL42" s="429"/>
      <c r="BM42" s="429"/>
      <c r="BN42" s="429"/>
      <c r="BO42" s="429"/>
      <c r="BP42" s="120"/>
      <c r="BQ42" s="120">
        <v>1.133</v>
      </c>
      <c r="BR42" s="451">
        <f t="shared" si="5"/>
        <v>2834.77</v>
      </c>
      <c r="BS42" s="451">
        <f t="shared" si="6"/>
        <v>21969.47</v>
      </c>
      <c r="BT42" s="429" t="str">
        <f>IFERROR(VLOOKUP(E42,名称!A:D,4,FALSE),"")</f>
        <v>KIK</v>
      </c>
    </row>
    <row r="43" s="428" customFormat="1" hidden="1" customHeight="1" spans="1:72">
      <c r="A43" s="453">
        <v>45895</v>
      </c>
      <c r="B43" s="454"/>
      <c r="C43" s="455" t="s">
        <v>238</v>
      </c>
      <c r="D43" s="456"/>
      <c r="E43" s="455" t="s">
        <v>239</v>
      </c>
      <c r="F43" s="457">
        <f>30000-2004-2000</f>
        <v>25996</v>
      </c>
      <c r="G43" s="458"/>
      <c r="H43" s="459"/>
      <c r="I43" s="459"/>
      <c r="J43" s="459"/>
      <c r="K43" s="459"/>
      <c r="L43" s="459"/>
      <c r="M43" s="459"/>
      <c r="N43" s="459"/>
      <c r="O43" s="459"/>
      <c r="P43" s="459"/>
      <c r="Q43" s="459"/>
      <c r="R43" s="459"/>
      <c r="S43" s="459"/>
      <c r="T43" s="459"/>
      <c r="U43" s="459"/>
      <c r="V43" s="459"/>
      <c r="W43" s="459"/>
      <c r="X43" s="459"/>
      <c r="Y43" s="459"/>
      <c r="Z43" s="459"/>
      <c r="AA43" s="459"/>
      <c r="AB43" s="459"/>
      <c r="AC43" s="459"/>
      <c r="AD43" s="459"/>
      <c r="AE43" s="459"/>
      <c r="AF43" s="459"/>
      <c r="AG43" s="459"/>
      <c r="AH43" s="459"/>
      <c r="AI43" s="459"/>
      <c r="AJ43" s="459"/>
      <c r="AK43" s="459"/>
      <c r="AL43" s="459"/>
      <c r="AM43" s="459"/>
      <c r="AN43" s="459"/>
      <c r="AO43" s="459"/>
      <c r="AP43" s="459"/>
      <c r="AQ43" s="459"/>
      <c r="AR43" s="459"/>
      <c r="AS43" s="459"/>
      <c r="AT43" s="459"/>
      <c r="AU43" s="459"/>
      <c r="AV43" s="459"/>
      <c r="AW43" s="459"/>
      <c r="AX43" s="459"/>
      <c r="AY43" s="459"/>
      <c r="AZ43" s="459"/>
      <c r="BA43" s="459"/>
      <c r="BB43" s="459"/>
      <c r="BC43" s="459"/>
      <c r="BD43" s="459"/>
      <c r="BE43" s="459"/>
      <c r="BF43" s="459"/>
      <c r="BG43" s="459"/>
      <c r="BH43" s="459"/>
      <c r="BI43" s="459"/>
      <c r="BJ43" s="459"/>
      <c r="BK43" s="459"/>
      <c r="BL43" s="459"/>
      <c r="BM43" s="459"/>
      <c r="BN43" s="459"/>
      <c r="BO43" s="459"/>
      <c r="BP43" s="460"/>
      <c r="BQ43" s="460">
        <v>0</v>
      </c>
      <c r="BR43" s="461">
        <f t="shared" si="3"/>
        <v>0</v>
      </c>
      <c r="BS43" s="461">
        <f t="shared" si="4"/>
        <v>0</v>
      </c>
      <c r="BT43" s="459" t="str">
        <f>IFERROR(VLOOKUP(E43,名称!A:D,4,FALSE),"")</f>
        <v/>
      </c>
    </row>
    <row r="44" s="427" customFormat="1" hidden="1" customHeight="1" spans="1:72">
      <c r="A44" s="93">
        <v>45909</v>
      </c>
      <c r="B44" s="95" t="s">
        <v>240</v>
      </c>
      <c r="C44" s="96">
        <v>10111031</v>
      </c>
      <c r="D44" s="96">
        <v>56709</v>
      </c>
      <c r="E44" s="97" t="s">
        <v>103</v>
      </c>
      <c r="F44" s="99">
        <v>5004</v>
      </c>
      <c r="G44" s="93">
        <v>46029</v>
      </c>
      <c r="H44" s="429"/>
      <c r="I44" s="429">
        <f>F44</f>
        <v>5004</v>
      </c>
      <c r="J44" s="429"/>
      <c r="K44" s="429"/>
      <c r="L44" s="429"/>
      <c r="M44" s="429"/>
      <c r="N44" s="429"/>
      <c r="O44" s="429"/>
      <c r="P44" s="429"/>
      <c r="Q44" s="429"/>
      <c r="R44" s="429"/>
      <c r="S44" s="429"/>
      <c r="T44" s="429"/>
      <c r="U44" s="429"/>
      <c r="V44" s="429"/>
      <c r="W44" s="429"/>
      <c r="X44" s="429"/>
      <c r="Y44" s="429"/>
      <c r="Z44" s="429"/>
      <c r="AA44" s="429"/>
      <c r="AB44" s="429"/>
      <c r="AC44" s="429"/>
      <c r="AD44" s="429"/>
      <c r="AE44" s="429"/>
      <c r="AF44" s="429"/>
      <c r="AG44" s="429"/>
      <c r="AH44" s="429"/>
      <c r="AI44" s="429"/>
      <c r="AJ44" s="429"/>
      <c r="AK44" s="429"/>
      <c r="AL44" s="429"/>
      <c r="AM44" s="429"/>
      <c r="AN44" s="429"/>
      <c r="AO44" s="429"/>
      <c r="AP44" s="429"/>
      <c r="AQ44" s="429"/>
      <c r="AR44" s="429"/>
      <c r="AS44" s="429"/>
      <c r="AT44" s="429"/>
      <c r="AU44" s="429"/>
      <c r="AV44" s="429"/>
      <c r="AW44" s="429"/>
      <c r="AX44" s="429"/>
      <c r="AY44" s="429"/>
      <c r="AZ44" s="429"/>
      <c r="BA44" s="429"/>
      <c r="BB44" s="429"/>
      <c r="BC44" s="429"/>
      <c r="BD44" s="429"/>
      <c r="BE44" s="429"/>
      <c r="BF44" s="429"/>
      <c r="BG44" s="429"/>
      <c r="BH44" s="429"/>
      <c r="BI44" s="429"/>
      <c r="BJ44" s="429"/>
      <c r="BK44" s="429"/>
      <c r="BL44" s="429"/>
      <c r="BM44" s="429"/>
      <c r="BN44" s="429"/>
      <c r="BO44" s="429"/>
      <c r="BP44" s="120"/>
      <c r="BQ44" s="120">
        <v>0.399</v>
      </c>
      <c r="BR44" s="451">
        <f t="shared" si="3"/>
        <v>1996.6</v>
      </c>
      <c r="BS44" s="451">
        <f t="shared" si="4"/>
        <v>15473.65</v>
      </c>
      <c r="BT44" s="429" t="str">
        <f>IFERROR(VLOOKUP(E44,名称!A:D,4,FALSE),"")</f>
        <v>KIK</v>
      </c>
    </row>
    <row r="45" s="427" customFormat="1" hidden="1" customHeight="1" spans="1:72">
      <c r="A45" s="93">
        <v>45910</v>
      </c>
      <c r="B45" s="95" t="s">
        <v>236</v>
      </c>
      <c r="C45" s="96">
        <v>10111036</v>
      </c>
      <c r="D45" s="96">
        <v>20218614</v>
      </c>
      <c r="E45" s="97" t="s">
        <v>124</v>
      </c>
      <c r="F45" s="99">
        <f>2004+1200</f>
        <v>3204</v>
      </c>
      <c r="G45" s="93">
        <v>46057</v>
      </c>
      <c r="H45" s="429"/>
      <c r="I45" s="429"/>
      <c r="J45" s="429"/>
      <c r="K45" s="429"/>
      <c r="L45" s="429"/>
      <c r="M45" s="429"/>
      <c r="N45" s="429"/>
      <c r="O45" s="429"/>
      <c r="P45" s="429"/>
      <c r="Q45" s="429"/>
      <c r="R45" s="429"/>
      <c r="S45" s="429"/>
      <c r="T45" s="429"/>
      <c r="U45" s="429"/>
      <c r="V45" s="429"/>
      <c r="W45" s="429"/>
      <c r="X45" s="429"/>
      <c r="Y45" s="429"/>
      <c r="Z45" s="429"/>
      <c r="AA45" s="429"/>
      <c r="AB45" s="429"/>
      <c r="AC45" s="429"/>
      <c r="AD45" s="429"/>
      <c r="AE45" s="429"/>
      <c r="AF45" s="429">
        <f>F45/6*4</f>
        <v>2136</v>
      </c>
      <c r="AG45" s="429">
        <f>F45/6*2</f>
        <v>1068</v>
      </c>
      <c r="AH45" s="429"/>
      <c r="AI45" s="429"/>
      <c r="AJ45" s="429"/>
      <c r="AK45" s="429"/>
      <c r="AL45" s="429"/>
      <c r="AM45" s="429"/>
      <c r="AN45" s="429"/>
      <c r="AO45" s="429"/>
      <c r="AP45" s="429"/>
      <c r="AQ45" s="429"/>
      <c r="AR45" s="429"/>
      <c r="AS45" s="429"/>
      <c r="AT45" s="429"/>
      <c r="AU45" s="429"/>
      <c r="AV45" s="429"/>
      <c r="AW45" s="429"/>
      <c r="AX45" s="429"/>
      <c r="AY45" s="429"/>
      <c r="AZ45" s="429"/>
      <c r="BA45" s="429"/>
      <c r="BB45" s="429"/>
      <c r="BC45" s="429"/>
      <c r="BD45" s="429"/>
      <c r="BE45" s="429"/>
      <c r="BF45" s="429"/>
      <c r="BG45" s="429"/>
      <c r="BH45" s="429"/>
      <c r="BI45" s="429"/>
      <c r="BJ45" s="429"/>
      <c r="BK45" s="429"/>
      <c r="BL45" s="429"/>
      <c r="BM45" s="429"/>
      <c r="BN45" s="429"/>
      <c r="BO45" s="429"/>
      <c r="BP45" s="120"/>
      <c r="BQ45" s="120">
        <v>1.311</v>
      </c>
      <c r="BR45" s="451">
        <f t="shared" ref="BR45:BR54" si="7">SUM(H45:BP45)*BQ45</f>
        <v>4200.44</v>
      </c>
      <c r="BS45" s="451">
        <f t="shared" ref="BS45:BS58" si="8">BR45*7.75</f>
        <v>32553.41</v>
      </c>
      <c r="BT45" s="429" t="str">
        <f>IFERROR(VLOOKUP(E45,名称!A:D,4,FALSE),"")</f>
        <v>KIK</v>
      </c>
    </row>
    <row r="46" s="427" customFormat="1" hidden="1" customHeight="1" spans="1:72">
      <c r="A46" s="93">
        <v>45910</v>
      </c>
      <c r="B46" s="95" t="s">
        <v>236</v>
      </c>
      <c r="C46" s="96">
        <v>10111036</v>
      </c>
      <c r="D46" s="96">
        <v>20218614</v>
      </c>
      <c r="E46" s="97" t="s">
        <v>95</v>
      </c>
      <c r="F46" s="99">
        <f>2000+1200</f>
        <v>3200</v>
      </c>
      <c r="G46" s="93">
        <v>46036</v>
      </c>
      <c r="H46" s="429"/>
      <c r="I46" s="429"/>
      <c r="J46" s="429"/>
      <c r="K46" s="429"/>
      <c r="L46" s="429"/>
      <c r="M46" s="429"/>
      <c r="N46" s="429"/>
      <c r="O46" s="429"/>
      <c r="P46" s="429"/>
      <c r="Q46" s="429"/>
      <c r="R46" s="429"/>
      <c r="S46" s="429"/>
      <c r="T46" s="429"/>
      <c r="U46" s="429"/>
      <c r="V46" s="429"/>
      <c r="W46" s="429"/>
      <c r="X46" s="429"/>
      <c r="Y46" s="429"/>
      <c r="Z46" s="429"/>
      <c r="AA46" s="429"/>
      <c r="AB46" s="429"/>
      <c r="AC46" s="429"/>
      <c r="AD46" s="429"/>
      <c r="AE46" s="429"/>
      <c r="AF46" s="429"/>
      <c r="AG46" s="429"/>
      <c r="AH46" s="429">
        <f>F46</f>
        <v>3200</v>
      </c>
      <c r="AI46" s="429"/>
      <c r="AJ46" s="429"/>
      <c r="AK46" s="429"/>
      <c r="AL46" s="429"/>
      <c r="AM46" s="429"/>
      <c r="AN46" s="429"/>
      <c r="AO46" s="429"/>
      <c r="AP46" s="429"/>
      <c r="AQ46" s="429"/>
      <c r="AR46" s="429"/>
      <c r="AS46" s="429"/>
      <c r="AT46" s="429"/>
      <c r="AU46" s="429"/>
      <c r="AV46" s="429"/>
      <c r="AW46" s="429"/>
      <c r="AX46" s="429"/>
      <c r="AY46" s="429"/>
      <c r="AZ46" s="429"/>
      <c r="BA46" s="429"/>
      <c r="BB46" s="429"/>
      <c r="BC46" s="429"/>
      <c r="BD46" s="429"/>
      <c r="BE46" s="429"/>
      <c r="BF46" s="429"/>
      <c r="BG46" s="429"/>
      <c r="BH46" s="429"/>
      <c r="BI46" s="429"/>
      <c r="BJ46" s="429"/>
      <c r="BK46" s="429"/>
      <c r="BL46" s="429"/>
      <c r="BM46" s="429"/>
      <c r="BN46" s="429"/>
      <c r="BO46" s="429"/>
      <c r="BP46" s="120"/>
      <c r="BQ46" s="120">
        <v>2.205</v>
      </c>
      <c r="BR46" s="451">
        <f t="shared" si="7"/>
        <v>7056</v>
      </c>
      <c r="BS46" s="451">
        <f t="shared" si="8"/>
        <v>54684</v>
      </c>
      <c r="BT46" s="429" t="str">
        <f>IFERROR(VLOOKUP(E46,名称!A:D,4,FALSE),"")</f>
        <v>KIK</v>
      </c>
    </row>
    <row r="47" s="427" customFormat="1" hidden="1" customHeight="1" spans="1:72">
      <c r="A47" s="93">
        <v>45910</v>
      </c>
      <c r="B47" s="95" t="s">
        <v>236</v>
      </c>
      <c r="C47" s="96">
        <v>10111036</v>
      </c>
      <c r="D47" s="96">
        <v>20218614</v>
      </c>
      <c r="E47" s="97" t="s">
        <v>97</v>
      </c>
      <c r="F47" s="99">
        <f>2000+1200</f>
        <v>3200</v>
      </c>
      <c r="G47" s="93">
        <v>46036</v>
      </c>
      <c r="H47" s="429"/>
      <c r="I47" s="429"/>
      <c r="J47" s="429"/>
      <c r="K47" s="429"/>
      <c r="L47" s="429"/>
      <c r="M47" s="429"/>
      <c r="N47" s="429"/>
      <c r="O47" s="429"/>
      <c r="P47" s="429"/>
      <c r="Q47" s="429"/>
      <c r="R47" s="429"/>
      <c r="S47" s="429"/>
      <c r="T47" s="429"/>
      <c r="U47" s="429"/>
      <c r="V47" s="429"/>
      <c r="W47" s="429"/>
      <c r="X47" s="429"/>
      <c r="Y47" s="429"/>
      <c r="Z47" s="429"/>
      <c r="AA47" s="429"/>
      <c r="AB47" s="429"/>
      <c r="AC47" s="429"/>
      <c r="AD47" s="429"/>
      <c r="AE47" s="429"/>
      <c r="AF47" s="429"/>
      <c r="AG47" s="429"/>
      <c r="AH47" s="429"/>
      <c r="AI47" s="429">
        <f>F47</f>
        <v>3200</v>
      </c>
      <c r="AJ47" s="429"/>
      <c r="AK47" s="429"/>
      <c r="AL47" s="429"/>
      <c r="AM47" s="429"/>
      <c r="AN47" s="429"/>
      <c r="AO47" s="429"/>
      <c r="AP47" s="429"/>
      <c r="AQ47" s="429"/>
      <c r="AR47" s="429"/>
      <c r="AS47" s="429"/>
      <c r="AT47" s="429"/>
      <c r="AU47" s="429"/>
      <c r="AV47" s="429"/>
      <c r="AW47" s="429"/>
      <c r="AX47" s="429"/>
      <c r="AY47" s="429"/>
      <c r="AZ47" s="429"/>
      <c r="BA47" s="429"/>
      <c r="BB47" s="429"/>
      <c r="BC47" s="429"/>
      <c r="BD47" s="429"/>
      <c r="BE47" s="429"/>
      <c r="BF47" s="429"/>
      <c r="BG47" s="429"/>
      <c r="BH47" s="429"/>
      <c r="BI47" s="429"/>
      <c r="BJ47" s="429"/>
      <c r="BK47" s="429"/>
      <c r="BL47" s="429"/>
      <c r="BM47" s="429"/>
      <c r="BN47" s="429"/>
      <c r="BO47" s="429"/>
      <c r="BP47" s="120"/>
      <c r="BQ47" s="120">
        <v>3.362</v>
      </c>
      <c r="BR47" s="451">
        <f t="shared" si="7"/>
        <v>10758.4</v>
      </c>
      <c r="BS47" s="451">
        <f t="shared" si="8"/>
        <v>83377.6</v>
      </c>
      <c r="BT47" s="429" t="str">
        <f>IFERROR(VLOOKUP(E47,名称!A:D,4,FALSE),"")</f>
        <v>KIK</v>
      </c>
    </row>
    <row r="48" s="427" customFormat="1" hidden="1" customHeight="1" spans="1:72">
      <c r="A48" s="93">
        <v>45937</v>
      </c>
      <c r="B48" s="95" t="s">
        <v>237</v>
      </c>
      <c r="C48" s="96">
        <v>10112345</v>
      </c>
      <c r="D48" s="96">
        <v>202527370027</v>
      </c>
      <c r="E48" s="97" t="s">
        <v>88</v>
      </c>
      <c r="F48" s="99">
        <v>10008</v>
      </c>
      <c r="G48" s="93">
        <v>46015</v>
      </c>
      <c r="H48" s="429"/>
      <c r="I48" s="429"/>
      <c r="J48" s="429"/>
      <c r="K48" s="429"/>
      <c r="L48" s="429"/>
      <c r="M48" s="429"/>
      <c r="N48" s="429"/>
      <c r="O48" s="429"/>
      <c r="P48" s="429"/>
      <c r="Q48" s="429"/>
      <c r="R48" s="429"/>
      <c r="S48" s="429"/>
      <c r="T48" s="429"/>
      <c r="U48" s="429"/>
      <c r="V48" s="429"/>
      <c r="W48" s="429"/>
      <c r="X48" s="429"/>
      <c r="Y48" s="429"/>
      <c r="Z48" s="429"/>
      <c r="AA48" s="429"/>
      <c r="AB48" s="429"/>
      <c r="AC48" s="429"/>
      <c r="AD48" s="429"/>
      <c r="AE48" s="429">
        <f>F48</f>
        <v>10008</v>
      </c>
      <c r="AF48" s="429"/>
      <c r="AG48" s="429"/>
      <c r="AH48" s="429"/>
      <c r="AI48" s="429"/>
      <c r="AJ48" s="429"/>
      <c r="AK48" s="429"/>
      <c r="AL48" s="429"/>
      <c r="AM48" s="429"/>
      <c r="AN48" s="429"/>
      <c r="AO48" s="429"/>
      <c r="AP48" s="429"/>
      <c r="AQ48" s="429"/>
      <c r="AR48" s="429"/>
      <c r="AS48" s="429"/>
      <c r="AT48" s="429"/>
      <c r="AU48" s="429"/>
      <c r="AV48" s="429"/>
      <c r="AW48" s="429"/>
      <c r="AX48" s="429"/>
      <c r="AY48" s="429"/>
      <c r="AZ48" s="429"/>
      <c r="BA48" s="429"/>
      <c r="BB48" s="429"/>
      <c r="BC48" s="429"/>
      <c r="BD48" s="429"/>
      <c r="BE48" s="429"/>
      <c r="BF48" s="429"/>
      <c r="BG48" s="429"/>
      <c r="BH48" s="429"/>
      <c r="BI48" s="429"/>
      <c r="BJ48" s="429"/>
      <c r="BK48" s="429"/>
      <c r="BL48" s="429"/>
      <c r="BM48" s="429"/>
      <c r="BN48" s="429"/>
      <c r="BO48" s="429"/>
      <c r="BP48" s="102"/>
      <c r="BQ48" s="102">
        <v>0.963</v>
      </c>
      <c r="BR48" s="451">
        <f t="shared" si="7"/>
        <v>9637.7</v>
      </c>
      <c r="BS48" s="451">
        <f t="shared" si="8"/>
        <v>74692.18</v>
      </c>
      <c r="BT48" s="429" t="str">
        <f>IFERROR(VLOOKUP(E48,名称!A:D,4,FALSE),"")</f>
        <v>KIK</v>
      </c>
    </row>
    <row r="49" s="427" customFormat="1" hidden="1" customHeight="1" spans="1:72">
      <c r="A49" s="93">
        <v>45937</v>
      </c>
      <c r="B49" s="95" t="s">
        <v>237</v>
      </c>
      <c r="C49" s="96">
        <v>10112350</v>
      </c>
      <c r="D49" s="96">
        <v>202527370034</v>
      </c>
      <c r="E49" s="97" t="s">
        <v>102</v>
      </c>
      <c r="F49" s="99">
        <v>5004</v>
      </c>
      <c r="G49" s="93">
        <v>46015</v>
      </c>
      <c r="H49" s="429">
        <f>F49</f>
        <v>5004</v>
      </c>
      <c r="I49" s="429"/>
      <c r="J49" s="429"/>
      <c r="K49" s="429"/>
      <c r="L49" s="429"/>
      <c r="M49" s="429"/>
      <c r="N49" s="429"/>
      <c r="O49" s="429"/>
      <c r="P49" s="429"/>
      <c r="Q49" s="429"/>
      <c r="R49" s="429"/>
      <c r="S49" s="429"/>
      <c r="T49" s="429"/>
      <c r="U49" s="429"/>
      <c r="V49" s="429"/>
      <c r="W49" s="429"/>
      <c r="X49" s="429"/>
      <c r="Y49" s="429"/>
      <c r="Z49" s="429"/>
      <c r="AA49" s="429"/>
      <c r="AB49" s="429"/>
      <c r="AC49" s="429"/>
      <c r="AD49" s="429"/>
      <c r="AE49" s="429"/>
      <c r="AF49" s="429"/>
      <c r="AG49" s="429"/>
      <c r="AH49" s="429"/>
      <c r="AI49" s="429"/>
      <c r="AJ49" s="429"/>
      <c r="AK49" s="429"/>
      <c r="AL49" s="429"/>
      <c r="AM49" s="429"/>
      <c r="AN49" s="429"/>
      <c r="AO49" s="429"/>
      <c r="AP49" s="429"/>
      <c r="AQ49" s="429"/>
      <c r="AR49" s="429"/>
      <c r="AS49" s="429"/>
      <c r="AT49" s="429"/>
      <c r="AU49" s="429"/>
      <c r="AV49" s="429"/>
      <c r="AW49" s="429"/>
      <c r="AX49" s="429"/>
      <c r="AY49" s="429"/>
      <c r="AZ49" s="429"/>
      <c r="BA49" s="429"/>
      <c r="BB49" s="429"/>
      <c r="BC49" s="429"/>
      <c r="BD49" s="429"/>
      <c r="BE49" s="429"/>
      <c r="BF49" s="429"/>
      <c r="BG49" s="429"/>
      <c r="BH49" s="429"/>
      <c r="BI49" s="429"/>
      <c r="BJ49" s="429"/>
      <c r="BK49" s="429"/>
      <c r="BL49" s="429"/>
      <c r="BM49" s="429"/>
      <c r="BN49" s="429"/>
      <c r="BO49" s="429"/>
      <c r="BP49" s="102"/>
      <c r="BQ49" s="102">
        <v>1.133</v>
      </c>
      <c r="BR49" s="451">
        <f t="shared" si="7"/>
        <v>5669.53</v>
      </c>
      <c r="BS49" s="451">
        <f t="shared" si="8"/>
        <v>43938.86</v>
      </c>
      <c r="BT49" s="429" t="str">
        <f>IFERROR(VLOOKUP(E49,名称!A:D,4,FALSE),"")</f>
        <v>KIK</v>
      </c>
    </row>
    <row r="50" s="427" customFormat="1" hidden="1" customHeight="1" spans="1:72">
      <c r="A50" s="93">
        <v>45940</v>
      </c>
      <c r="B50" s="95" t="s">
        <v>237</v>
      </c>
      <c r="C50" s="97">
        <v>10112725</v>
      </c>
      <c r="D50" s="96">
        <v>202528170303</v>
      </c>
      <c r="E50" s="97" t="s">
        <v>35</v>
      </c>
      <c r="F50" s="99">
        <v>600</v>
      </c>
      <c r="G50" s="93">
        <v>46092</v>
      </c>
      <c r="H50" s="429"/>
      <c r="I50" s="429"/>
      <c r="J50" s="429"/>
      <c r="K50" s="429"/>
      <c r="L50" s="429"/>
      <c r="M50" s="429"/>
      <c r="N50" s="429"/>
      <c r="O50" s="429"/>
      <c r="P50" s="429"/>
      <c r="Q50" s="429"/>
      <c r="R50" s="429"/>
      <c r="S50" s="429"/>
      <c r="T50" s="429"/>
      <c r="U50" s="429"/>
      <c r="V50" s="429"/>
      <c r="W50" s="429"/>
      <c r="X50" s="429"/>
      <c r="Y50" s="429">
        <f>F50</f>
        <v>600</v>
      </c>
      <c r="Z50" s="429"/>
      <c r="AA50" s="429"/>
      <c r="AB50" s="429"/>
      <c r="AC50" s="429"/>
      <c r="AD50" s="429"/>
      <c r="AE50" s="429"/>
      <c r="AF50" s="429"/>
      <c r="AG50" s="429"/>
      <c r="AH50" s="429"/>
      <c r="AI50" s="429"/>
      <c r="AJ50" s="429"/>
      <c r="AK50" s="429"/>
      <c r="AL50" s="429"/>
      <c r="AM50" s="429"/>
      <c r="AN50" s="429"/>
      <c r="AO50" s="429"/>
      <c r="AP50" s="429"/>
      <c r="AQ50" s="429"/>
      <c r="AR50" s="429"/>
      <c r="AS50" s="429"/>
      <c r="AT50" s="429"/>
      <c r="AU50" s="429"/>
      <c r="AV50" s="429"/>
      <c r="AW50" s="429"/>
      <c r="AX50" s="429"/>
      <c r="AY50" s="429"/>
      <c r="AZ50" s="429"/>
      <c r="BA50" s="429"/>
      <c r="BB50" s="429"/>
      <c r="BC50" s="429"/>
      <c r="BD50" s="429"/>
      <c r="BE50" s="429"/>
      <c r="BF50" s="429"/>
      <c r="BG50" s="429"/>
      <c r="BH50" s="429"/>
      <c r="BI50" s="429"/>
      <c r="BJ50" s="429"/>
      <c r="BK50" s="429"/>
      <c r="BL50" s="429"/>
      <c r="BM50" s="429"/>
      <c r="BN50" s="429"/>
      <c r="BO50" s="429"/>
      <c r="BP50" s="120"/>
      <c r="BQ50" s="120">
        <v>22.9</v>
      </c>
      <c r="BR50" s="451">
        <f t="shared" si="7"/>
        <v>13740</v>
      </c>
      <c r="BS50" s="451">
        <f t="shared" si="8"/>
        <v>106485</v>
      </c>
      <c r="BT50" s="429" t="str">
        <f>IFERROR(VLOOKUP(E50,名称!A:D,4,FALSE),"")</f>
        <v>KIK</v>
      </c>
    </row>
    <row r="51" s="427" customFormat="1" hidden="1" customHeight="1" spans="1:72">
      <c r="A51" s="93">
        <v>45940</v>
      </c>
      <c r="B51" s="95" t="s">
        <v>237</v>
      </c>
      <c r="C51" s="97">
        <v>10112725</v>
      </c>
      <c r="D51" s="96">
        <v>202528170303</v>
      </c>
      <c r="E51" s="97" t="s">
        <v>35</v>
      </c>
      <c r="F51" s="99">
        <f>2500-600</f>
        <v>1900</v>
      </c>
      <c r="G51" s="93">
        <v>46113</v>
      </c>
      <c r="H51" s="429"/>
      <c r="I51" s="429"/>
      <c r="J51" s="429"/>
      <c r="K51" s="429"/>
      <c r="L51" s="429"/>
      <c r="M51" s="429"/>
      <c r="N51" s="429"/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>
        <f>F51</f>
        <v>1900</v>
      </c>
      <c r="Z51" s="429"/>
      <c r="AA51" s="429"/>
      <c r="AB51" s="429"/>
      <c r="AC51" s="429"/>
      <c r="AD51" s="429"/>
      <c r="AE51" s="429"/>
      <c r="AF51" s="429"/>
      <c r="AG51" s="429"/>
      <c r="AH51" s="429"/>
      <c r="AI51" s="429"/>
      <c r="AJ51" s="429"/>
      <c r="AK51" s="429"/>
      <c r="AL51" s="429"/>
      <c r="AM51" s="429"/>
      <c r="AN51" s="429"/>
      <c r="AO51" s="429"/>
      <c r="AP51" s="429"/>
      <c r="AQ51" s="429"/>
      <c r="AR51" s="429"/>
      <c r="AS51" s="429"/>
      <c r="AT51" s="429"/>
      <c r="AU51" s="429"/>
      <c r="AV51" s="429"/>
      <c r="AW51" s="429"/>
      <c r="AX51" s="429"/>
      <c r="AY51" s="429"/>
      <c r="AZ51" s="429"/>
      <c r="BA51" s="429"/>
      <c r="BB51" s="429"/>
      <c r="BC51" s="429"/>
      <c r="BD51" s="429"/>
      <c r="BE51" s="429"/>
      <c r="BF51" s="429"/>
      <c r="BG51" s="429"/>
      <c r="BH51" s="429"/>
      <c r="BI51" s="429"/>
      <c r="BJ51" s="429"/>
      <c r="BK51" s="429"/>
      <c r="BL51" s="429"/>
      <c r="BM51" s="429"/>
      <c r="BN51" s="429"/>
      <c r="BO51" s="429"/>
      <c r="BP51" s="120"/>
      <c r="BQ51" s="120">
        <v>22.9</v>
      </c>
      <c r="BR51" s="451">
        <f t="shared" si="7"/>
        <v>43510</v>
      </c>
      <c r="BS51" s="451">
        <f t="shared" si="8"/>
        <v>337202.5</v>
      </c>
      <c r="BT51" s="429" t="str">
        <f>IFERROR(VLOOKUP(E51,名称!A:D,4,FALSE),"")</f>
        <v>KIK</v>
      </c>
    </row>
    <row r="52" s="427" customFormat="1" hidden="1" customHeight="1" spans="1:72">
      <c r="A52" s="93">
        <v>45941</v>
      </c>
      <c r="B52" s="95" t="s">
        <v>237</v>
      </c>
      <c r="C52" s="96">
        <v>10112827</v>
      </c>
      <c r="D52" s="96">
        <v>202528270053</v>
      </c>
      <c r="E52" s="97" t="s">
        <v>31</v>
      </c>
      <c r="F52" s="99">
        <f>2500-300-120</f>
        <v>2080</v>
      </c>
      <c r="G52" s="93">
        <v>46092</v>
      </c>
      <c r="H52" s="429"/>
      <c r="I52" s="429"/>
      <c r="J52" s="429"/>
      <c r="K52" s="429"/>
      <c r="L52" s="429"/>
      <c r="M52" s="429"/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>
        <f>F52</f>
        <v>2080</v>
      </c>
      <c r="AA52" s="429"/>
      <c r="AB52" s="429"/>
      <c r="AC52" s="429"/>
      <c r="AD52" s="429"/>
      <c r="AE52" s="429"/>
      <c r="AF52" s="429"/>
      <c r="AG52" s="429"/>
      <c r="AH52" s="429"/>
      <c r="AI52" s="429"/>
      <c r="AJ52" s="429"/>
      <c r="AK52" s="429"/>
      <c r="AL52" s="429"/>
      <c r="AM52" s="429"/>
      <c r="AN52" s="429"/>
      <c r="AO52" s="429"/>
      <c r="AP52" s="429"/>
      <c r="AQ52" s="429"/>
      <c r="AR52" s="429"/>
      <c r="AS52" s="429"/>
      <c r="AT52" s="429"/>
      <c r="AU52" s="429"/>
      <c r="AV52" s="429"/>
      <c r="AW52" s="429"/>
      <c r="AX52" s="429"/>
      <c r="AY52" s="429"/>
      <c r="AZ52" s="429"/>
      <c r="BA52" s="429"/>
      <c r="BB52" s="429"/>
      <c r="BC52" s="429"/>
      <c r="BD52" s="429"/>
      <c r="BE52" s="429"/>
      <c r="BF52" s="429"/>
      <c r="BG52" s="429"/>
      <c r="BH52" s="429"/>
      <c r="BI52" s="429"/>
      <c r="BJ52" s="429"/>
      <c r="BK52" s="429"/>
      <c r="BL52" s="429"/>
      <c r="BM52" s="429"/>
      <c r="BN52" s="429"/>
      <c r="BO52" s="429"/>
      <c r="BP52" s="102"/>
      <c r="BQ52" s="102">
        <v>29.801</v>
      </c>
      <c r="BR52" s="451">
        <f t="shared" si="7"/>
        <v>61986.08</v>
      </c>
      <c r="BS52" s="451">
        <f t="shared" si="8"/>
        <v>480392.12</v>
      </c>
      <c r="BT52" s="429" t="str">
        <f>IFERROR(VLOOKUP(E52,名称!A:D,4,FALSE),"")</f>
        <v>KIK</v>
      </c>
    </row>
    <row r="53" s="427" customFormat="1" hidden="1" customHeight="1" spans="1:72">
      <c r="A53" s="93">
        <v>45941</v>
      </c>
      <c r="B53" s="95" t="s">
        <v>236</v>
      </c>
      <c r="C53" s="96">
        <v>10112821</v>
      </c>
      <c r="D53" s="96">
        <v>20218672</v>
      </c>
      <c r="E53" s="97" t="s">
        <v>53</v>
      </c>
      <c r="F53" s="99">
        <v>3000</v>
      </c>
      <c r="G53" s="93">
        <v>46113</v>
      </c>
      <c r="H53" s="429"/>
      <c r="I53" s="429"/>
      <c r="J53" s="429"/>
      <c r="K53" s="429"/>
      <c r="L53" s="429"/>
      <c r="M53" s="429"/>
      <c r="N53" s="429"/>
      <c r="O53" s="429"/>
      <c r="P53" s="429">
        <f>F53</f>
        <v>3000</v>
      </c>
      <c r="Q53" s="429"/>
      <c r="R53" s="429"/>
      <c r="S53" s="429"/>
      <c r="T53" s="429"/>
      <c r="U53" s="429"/>
      <c r="V53" s="429"/>
      <c r="W53" s="429"/>
      <c r="X53" s="429"/>
      <c r="Y53" s="429"/>
      <c r="Z53" s="429"/>
      <c r="AA53" s="429"/>
      <c r="AB53" s="429"/>
      <c r="AC53" s="429"/>
      <c r="AD53" s="429"/>
      <c r="AE53" s="429"/>
      <c r="AF53" s="429"/>
      <c r="AG53" s="429"/>
      <c r="AH53" s="429"/>
      <c r="AI53" s="429"/>
      <c r="AJ53" s="429"/>
      <c r="AK53" s="429"/>
      <c r="AL53" s="429"/>
      <c r="AM53" s="429"/>
      <c r="AN53" s="429"/>
      <c r="AO53" s="429"/>
      <c r="AP53" s="429"/>
      <c r="AQ53" s="429"/>
      <c r="AR53" s="429"/>
      <c r="AS53" s="429"/>
      <c r="AT53" s="429"/>
      <c r="AU53" s="429"/>
      <c r="AV53" s="429"/>
      <c r="AW53" s="429"/>
      <c r="AX53" s="429"/>
      <c r="AY53" s="429"/>
      <c r="AZ53" s="429"/>
      <c r="BA53" s="429"/>
      <c r="BB53" s="429"/>
      <c r="BC53" s="429"/>
      <c r="BD53" s="429"/>
      <c r="BE53" s="429"/>
      <c r="BF53" s="429"/>
      <c r="BG53" s="429"/>
      <c r="BH53" s="429"/>
      <c r="BI53" s="429"/>
      <c r="BJ53" s="429"/>
      <c r="BK53" s="429"/>
      <c r="BL53" s="429"/>
      <c r="BM53" s="429"/>
      <c r="BN53" s="429"/>
      <c r="BO53" s="429"/>
      <c r="BP53" s="102"/>
      <c r="BQ53" s="102">
        <v>1.398</v>
      </c>
      <c r="BR53" s="451">
        <f t="shared" si="7"/>
        <v>4194</v>
      </c>
      <c r="BS53" s="451">
        <f t="shared" si="8"/>
        <v>32503.5</v>
      </c>
      <c r="BT53" s="429" t="str">
        <f>IFERROR(VLOOKUP(E53,名称!A:D,4,FALSE),"")</f>
        <v>KIK</v>
      </c>
    </row>
    <row r="54" s="427" customFormat="1" hidden="1" customHeight="1" spans="1:72">
      <c r="A54" s="93">
        <v>45944</v>
      </c>
      <c r="B54" s="95" t="s">
        <v>236</v>
      </c>
      <c r="C54" s="96">
        <v>10112872</v>
      </c>
      <c r="D54" s="96">
        <v>20218687</v>
      </c>
      <c r="E54" s="97" t="s">
        <v>31</v>
      </c>
      <c r="F54" s="99">
        <v>120</v>
      </c>
      <c r="G54" s="93">
        <v>46113</v>
      </c>
      <c r="H54" s="429"/>
      <c r="I54" s="429"/>
      <c r="J54" s="429"/>
      <c r="K54" s="429"/>
      <c r="L54" s="429"/>
      <c r="M54" s="429"/>
      <c r="N54" s="429"/>
      <c r="O54" s="429"/>
      <c r="P54" s="429"/>
      <c r="Q54" s="429"/>
      <c r="R54" s="429"/>
      <c r="S54" s="429"/>
      <c r="T54" s="429"/>
      <c r="U54" s="429"/>
      <c r="V54" s="429"/>
      <c r="W54" s="429"/>
      <c r="X54" s="429"/>
      <c r="Y54" s="429"/>
      <c r="Z54" s="429">
        <f>F54</f>
        <v>120</v>
      </c>
      <c r="AA54" s="429"/>
      <c r="AB54" s="429"/>
      <c r="AC54" s="429"/>
      <c r="AD54" s="429"/>
      <c r="AE54" s="429"/>
      <c r="AF54" s="429"/>
      <c r="AG54" s="429"/>
      <c r="AH54" s="429"/>
      <c r="AI54" s="429"/>
      <c r="AJ54" s="429"/>
      <c r="AK54" s="429"/>
      <c r="AL54" s="429"/>
      <c r="AM54" s="429"/>
      <c r="AN54" s="429"/>
      <c r="AO54" s="429"/>
      <c r="AP54" s="429"/>
      <c r="AQ54" s="429"/>
      <c r="AR54" s="429"/>
      <c r="AS54" s="429"/>
      <c r="AT54" s="429"/>
      <c r="AU54" s="429"/>
      <c r="AV54" s="429"/>
      <c r="AW54" s="429"/>
      <c r="AX54" s="429"/>
      <c r="AY54" s="429"/>
      <c r="AZ54" s="429"/>
      <c r="BA54" s="429"/>
      <c r="BB54" s="429"/>
      <c r="BC54" s="429"/>
      <c r="BD54" s="429"/>
      <c r="BE54" s="429"/>
      <c r="BF54" s="429"/>
      <c r="BG54" s="429"/>
      <c r="BH54" s="429"/>
      <c r="BI54" s="429"/>
      <c r="BJ54" s="429"/>
      <c r="BK54" s="429"/>
      <c r="BL54" s="429"/>
      <c r="BM54" s="429"/>
      <c r="BN54" s="429"/>
      <c r="BO54" s="429"/>
      <c r="BP54" s="102"/>
      <c r="BQ54" s="102">
        <v>29.801</v>
      </c>
      <c r="BR54" s="451">
        <f t="shared" si="7"/>
        <v>3576.12</v>
      </c>
      <c r="BS54" s="451">
        <f t="shared" si="8"/>
        <v>27714.93</v>
      </c>
      <c r="BT54" s="429" t="str">
        <f>IFERROR(VLOOKUP(E54,名称!A:D,4,FALSE),"")</f>
        <v>KIK</v>
      </c>
    </row>
    <row r="55" s="425" customFormat="1" hidden="1" customHeight="1" spans="1:72">
      <c r="A55" s="108">
        <v>45947</v>
      </c>
      <c r="B55" s="109"/>
      <c r="C55" s="110" t="s">
        <v>241</v>
      </c>
      <c r="D55" s="110"/>
      <c r="E55" s="30" t="s">
        <v>41</v>
      </c>
      <c r="F55" s="31">
        <v>2500</v>
      </c>
      <c r="G55" s="286"/>
      <c r="H55" s="443"/>
      <c r="I55" s="443"/>
      <c r="J55" s="443"/>
      <c r="K55" s="443"/>
      <c r="L55" s="443"/>
      <c r="M55" s="443"/>
      <c r="N55" s="443"/>
      <c r="O55" s="443"/>
      <c r="P55" s="443"/>
      <c r="Q55" s="443"/>
      <c r="R55" s="443"/>
      <c r="S55" s="443"/>
      <c r="T55" s="443"/>
      <c r="U55" s="443"/>
      <c r="V55" s="443"/>
      <c r="W55" s="443"/>
      <c r="X55" s="443">
        <f>F55</f>
        <v>2500</v>
      </c>
      <c r="Y55" s="443"/>
      <c r="Z55" s="443"/>
      <c r="AA55" s="443"/>
      <c r="AB55" s="443"/>
      <c r="AC55" s="443"/>
      <c r="AD55" s="443"/>
      <c r="AE55" s="443"/>
      <c r="AF55" s="443"/>
      <c r="AG55" s="443"/>
      <c r="AH55" s="443"/>
      <c r="AI55" s="443"/>
      <c r="AJ55" s="443"/>
      <c r="AK55" s="443"/>
      <c r="AL55" s="443"/>
      <c r="AM55" s="443"/>
      <c r="AN55" s="443"/>
      <c r="AO55" s="443"/>
      <c r="AP55" s="443"/>
      <c r="AQ55" s="443"/>
      <c r="AR55" s="443"/>
      <c r="AS55" s="443"/>
      <c r="AT55" s="443"/>
      <c r="AU55" s="443"/>
      <c r="AV55" s="443"/>
      <c r="AW55" s="443"/>
      <c r="AX55" s="443"/>
      <c r="AY55" s="443"/>
      <c r="AZ55" s="443"/>
      <c r="BA55" s="443"/>
      <c r="BB55" s="443"/>
      <c r="BC55" s="443"/>
      <c r="BD55" s="443"/>
      <c r="BE55" s="443"/>
      <c r="BF55" s="443"/>
      <c r="BG55" s="443"/>
      <c r="BH55" s="443"/>
      <c r="BI55" s="443"/>
      <c r="BJ55" s="443"/>
      <c r="BK55" s="443"/>
      <c r="BL55" s="443"/>
      <c r="BM55" s="443"/>
      <c r="BN55" s="443"/>
      <c r="BO55" s="443"/>
      <c r="BP55" s="111"/>
      <c r="BQ55" s="111">
        <v>0</v>
      </c>
      <c r="BR55" s="462">
        <f t="shared" si="3"/>
        <v>0</v>
      </c>
      <c r="BS55" s="447">
        <f t="shared" si="8"/>
        <v>0</v>
      </c>
      <c r="BT55" s="443" t="str">
        <f>IFERROR(VLOOKUP(E55,名称!A:D,4,FALSE),"")</f>
        <v>KIK</v>
      </c>
    </row>
    <row r="56" s="425" customFormat="1" hidden="1" customHeight="1" spans="1:72">
      <c r="A56" s="108">
        <v>45947</v>
      </c>
      <c r="B56" s="109"/>
      <c r="C56" s="110" t="s">
        <v>241</v>
      </c>
      <c r="D56" s="110"/>
      <c r="E56" s="30" t="s">
        <v>20</v>
      </c>
      <c r="F56" s="31">
        <v>2500</v>
      </c>
      <c r="G56" s="108"/>
      <c r="H56" s="443"/>
      <c r="I56" s="443"/>
      <c r="J56" s="443"/>
      <c r="K56" s="443"/>
      <c r="L56" s="443"/>
      <c r="M56" s="443"/>
      <c r="N56" s="443"/>
      <c r="O56" s="443"/>
      <c r="P56" s="443"/>
      <c r="Q56" s="443"/>
      <c r="R56" s="443"/>
      <c r="S56" s="443"/>
      <c r="T56" s="443"/>
      <c r="U56" s="443"/>
      <c r="V56" s="443"/>
      <c r="W56" s="443"/>
      <c r="X56" s="443"/>
      <c r="Y56" s="443"/>
      <c r="Z56" s="443"/>
      <c r="AA56" s="443">
        <f>F56</f>
        <v>2500</v>
      </c>
      <c r="AB56" s="443"/>
      <c r="AC56" s="443"/>
      <c r="AD56" s="443"/>
      <c r="AE56" s="443"/>
      <c r="AF56" s="443"/>
      <c r="AG56" s="443"/>
      <c r="AH56" s="443"/>
      <c r="AI56" s="443"/>
      <c r="AJ56" s="443"/>
      <c r="AK56" s="443"/>
      <c r="AL56" s="443"/>
      <c r="AM56" s="443"/>
      <c r="AN56" s="443"/>
      <c r="AO56" s="443"/>
      <c r="AP56" s="443"/>
      <c r="AQ56" s="443"/>
      <c r="AR56" s="443"/>
      <c r="AS56" s="443"/>
      <c r="AT56" s="443"/>
      <c r="AU56" s="443"/>
      <c r="AV56" s="443"/>
      <c r="AW56" s="443"/>
      <c r="AX56" s="443"/>
      <c r="AY56" s="443"/>
      <c r="AZ56" s="443"/>
      <c r="BA56" s="443"/>
      <c r="BB56" s="443"/>
      <c r="BC56" s="443"/>
      <c r="BD56" s="443"/>
      <c r="BE56" s="443"/>
      <c r="BF56" s="443"/>
      <c r="BG56" s="443"/>
      <c r="BH56" s="443"/>
      <c r="BI56" s="443"/>
      <c r="BJ56" s="443"/>
      <c r="BK56" s="443"/>
      <c r="BL56" s="443"/>
      <c r="BM56" s="443"/>
      <c r="BN56" s="443"/>
      <c r="BO56" s="443"/>
      <c r="BP56" s="111"/>
      <c r="BQ56" s="111">
        <v>0</v>
      </c>
      <c r="BR56" s="462">
        <f t="shared" si="3"/>
        <v>0</v>
      </c>
      <c r="BS56" s="447">
        <f t="shared" si="8"/>
        <v>0</v>
      </c>
      <c r="BT56" s="443" t="str">
        <f>IFERROR(VLOOKUP(E56,名称!A:D,4,FALSE),"")</f>
        <v>KIK</v>
      </c>
    </row>
    <row r="57" s="427" customFormat="1" hidden="1" customHeight="1" spans="1:72">
      <c r="A57" s="93">
        <v>45950</v>
      </c>
      <c r="B57" s="95"/>
      <c r="C57" s="97">
        <v>4500142654</v>
      </c>
      <c r="D57" s="96"/>
      <c r="E57" s="97" t="s">
        <v>104</v>
      </c>
      <c r="F57" s="99">
        <v>8100</v>
      </c>
      <c r="G57" s="93"/>
      <c r="H57" s="429"/>
      <c r="I57" s="429"/>
      <c r="J57" s="429"/>
      <c r="K57" s="429"/>
      <c r="L57" s="429"/>
      <c r="M57" s="429"/>
      <c r="N57" s="429"/>
      <c r="O57" s="429"/>
      <c r="P57" s="429"/>
      <c r="Q57" s="429"/>
      <c r="R57" s="429"/>
      <c r="S57" s="429"/>
      <c r="T57" s="429"/>
      <c r="U57" s="429"/>
      <c r="V57" s="429"/>
      <c r="W57" s="429"/>
      <c r="X57" s="429"/>
      <c r="Y57" s="429"/>
      <c r="Z57" s="429"/>
      <c r="AA57" s="429"/>
      <c r="AB57" s="429">
        <f>F57</f>
        <v>8100</v>
      </c>
      <c r="AC57" s="429"/>
      <c r="AD57" s="429"/>
      <c r="AE57" s="429"/>
      <c r="AF57" s="429"/>
      <c r="AG57" s="429"/>
      <c r="AH57" s="429"/>
      <c r="AI57" s="429"/>
      <c r="AJ57" s="429"/>
      <c r="AK57" s="429"/>
      <c r="AL57" s="429"/>
      <c r="AM57" s="429"/>
      <c r="AN57" s="429"/>
      <c r="AO57" s="429"/>
      <c r="AP57" s="429"/>
      <c r="AQ57" s="429"/>
      <c r="AR57" s="429"/>
      <c r="AS57" s="429"/>
      <c r="AT57" s="429"/>
      <c r="AU57" s="429"/>
      <c r="AV57" s="429"/>
      <c r="AW57" s="429"/>
      <c r="AX57" s="429"/>
      <c r="AY57" s="429"/>
      <c r="AZ57" s="429"/>
      <c r="BA57" s="429"/>
      <c r="BB57" s="429"/>
      <c r="BC57" s="429"/>
      <c r="BD57" s="429"/>
      <c r="BE57" s="429"/>
      <c r="BF57" s="429"/>
      <c r="BG57" s="429"/>
      <c r="BH57" s="429"/>
      <c r="BI57" s="429"/>
      <c r="BJ57" s="429"/>
      <c r="BK57" s="429"/>
      <c r="BL57" s="429"/>
      <c r="BM57" s="429"/>
      <c r="BN57" s="429"/>
      <c r="BO57" s="429"/>
      <c r="BP57" s="102"/>
      <c r="BQ57" s="102">
        <v>2.354</v>
      </c>
      <c r="BR57" s="462">
        <f t="shared" si="3"/>
        <v>19067.4</v>
      </c>
      <c r="BS57" s="447">
        <f t="shared" si="8"/>
        <v>147772.35</v>
      </c>
      <c r="BT57" s="429" t="str">
        <f>IFERROR(VLOOKUP(E57,名称!A:D,4,FALSE),"")</f>
        <v>KIK</v>
      </c>
    </row>
    <row r="58" s="425" customFormat="1" hidden="1" customHeight="1" spans="1:72">
      <c r="A58" s="108">
        <v>45951</v>
      </c>
      <c r="B58" s="109"/>
      <c r="C58" s="30" t="s">
        <v>238</v>
      </c>
      <c r="D58" s="110"/>
      <c r="E58" s="30" t="s">
        <v>48</v>
      </c>
      <c r="F58" s="31">
        <f>50000-1012-10000-10000+50000-5004-3000-5000-5004-10000-5000</f>
        <v>45980</v>
      </c>
      <c r="G58" s="108">
        <v>46120</v>
      </c>
      <c r="H58" s="443"/>
      <c r="I58" s="443"/>
      <c r="J58" s="443"/>
      <c r="K58" s="443">
        <f>F58</f>
        <v>45980</v>
      </c>
      <c r="L58" s="443"/>
      <c r="M58" s="443"/>
      <c r="N58" s="443"/>
      <c r="O58" s="443"/>
      <c r="P58" s="443"/>
      <c r="Q58" s="443"/>
      <c r="R58" s="443"/>
      <c r="S58" s="443"/>
      <c r="T58" s="443"/>
      <c r="U58" s="443"/>
      <c r="V58" s="443"/>
      <c r="W58" s="443"/>
      <c r="X58" s="443"/>
      <c r="Y58" s="443"/>
      <c r="Z58" s="443"/>
      <c r="AA58" s="443"/>
      <c r="AB58" s="443"/>
      <c r="AC58" s="443"/>
      <c r="AD58" s="443"/>
      <c r="AE58" s="443"/>
      <c r="AF58" s="443"/>
      <c r="AG58" s="443"/>
      <c r="AH58" s="443"/>
      <c r="AI58" s="443"/>
      <c r="AJ58" s="443"/>
      <c r="AK58" s="443"/>
      <c r="AL58" s="443"/>
      <c r="AM58" s="443"/>
      <c r="AN58" s="443"/>
      <c r="AO58" s="443"/>
      <c r="AP58" s="443"/>
      <c r="AQ58" s="443"/>
      <c r="AR58" s="443"/>
      <c r="AS58" s="443"/>
      <c r="AT58" s="443"/>
      <c r="AU58" s="443"/>
      <c r="AV58" s="443"/>
      <c r="AW58" s="443"/>
      <c r="AX58" s="443"/>
      <c r="AY58" s="443"/>
      <c r="AZ58" s="443"/>
      <c r="BA58" s="443"/>
      <c r="BB58" s="443"/>
      <c r="BC58" s="443"/>
      <c r="BD58" s="443"/>
      <c r="BE58" s="443"/>
      <c r="BF58" s="443"/>
      <c r="BG58" s="443"/>
      <c r="BH58" s="443"/>
      <c r="BI58" s="443"/>
      <c r="BJ58" s="443"/>
      <c r="BK58" s="443"/>
      <c r="BL58" s="443"/>
      <c r="BM58" s="443"/>
      <c r="BN58" s="443"/>
      <c r="BO58" s="443"/>
      <c r="BP58" s="111"/>
      <c r="BQ58" s="111">
        <v>0</v>
      </c>
      <c r="BR58" s="462">
        <f t="shared" si="3"/>
        <v>0</v>
      </c>
      <c r="BS58" s="447">
        <f t="shared" si="8"/>
        <v>0</v>
      </c>
      <c r="BT58" s="443" t="str">
        <f>IFERROR(VLOOKUP(E58,名称!A:D,4,FALSE),"")</f>
        <v>KIK</v>
      </c>
    </row>
    <row r="59" s="427" customFormat="1" hidden="1" customHeight="1" spans="1:72">
      <c r="A59" s="93">
        <v>45953</v>
      </c>
      <c r="B59" s="95" t="s">
        <v>237</v>
      </c>
      <c r="C59" s="96">
        <v>10113666</v>
      </c>
      <c r="D59" s="96">
        <v>202529470439</v>
      </c>
      <c r="E59" s="97" t="s">
        <v>97</v>
      </c>
      <c r="F59" s="99">
        <v>5000</v>
      </c>
      <c r="G59" s="93">
        <v>46050</v>
      </c>
      <c r="H59" s="429"/>
      <c r="I59" s="429"/>
      <c r="J59" s="429"/>
      <c r="K59" s="429"/>
      <c r="L59" s="429"/>
      <c r="M59" s="429"/>
      <c r="N59" s="429"/>
      <c r="O59" s="429"/>
      <c r="P59" s="429"/>
      <c r="Q59" s="429"/>
      <c r="R59" s="429"/>
      <c r="S59" s="429"/>
      <c r="T59" s="429"/>
      <c r="U59" s="429"/>
      <c r="V59" s="429"/>
      <c r="W59" s="429"/>
      <c r="X59" s="429"/>
      <c r="Y59" s="429"/>
      <c r="Z59" s="429"/>
      <c r="AA59" s="429"/>
      <c r="AB59" s="429"/>
      <c r="AC59" s="429"/>
      <c r="AD59" s="429"/>
      <c r="AE59" s="429"/>
      <c r="AF59" s="429"/>
      <c r="AG59" s="429"/>
      <c r="AH59" s="429"/>
      <c r="AI59" s="429">
        <f>F59</f>
        <v>5000</v>
      </c>
      <c r="AJ59" s="429"/>
      <c r="AK59" s="429"/>
      <c r="AL59" s="429"/>
      <c r="AM59" s="429"/>
      <c r="AN59" s="429"/>
      <c r="AO59" s="429"/>
      <c r="AP59" s="429"/>
      <c r="AQ59" s="429"/>
      <c r="AR59" s="429"/>
      <c r="AS59" s="429"/>
      <c r="AT59" s="429"/>
      <c r="AU59" s="429"/>
      <c r="AV59" s="429"/>
      <c r="AW59" s="429"/>
      <c r="AX59" s="429"/>
      <c r="AY59" s="429"/>
      <c r="AZ59" s="429"/>
      <c r="BA59" s="429"/>
      <c r="BB59" s="429"/>
      <c r="BC59" s="429"/>
      <c r="BD59" s="429"/>
      <c r="BE59" s="429"/>
      <c r="BF59" s="429"/>
      <c r="BG59" s="429"/>
      <c r="BH59" s="429"/>
      <c r="BI59" s="429"/>
      <c r="BJ59" s="429"/>
      <c r="BK59" s="429"/>
      <c r="BL59" s="429"/>
      <c r="BM59" s="429"/>
      <c r="BN59" s="429"/>
      <c r="BO59" s="429"/>
      <c r="BP59" s="102"/>
      <c r="BQ59" s="102">
        <v>3.362</v>
      </c>
      <c r="BR59" s="451">
        <f t="shared" si="3"/>
        <v>16810</v>
      </c>
      <c r="BS59" s="451">
        <f t="shared" ref="BS59:BS91" si="9">BR59*7.75</f>
        <v>130277.5</v>
      </c>
      <c r="BT59" s="429" t="str">
        <f>IFERROR(VLOOKUP(E59,名称!A:D,4,FALSE),"")</f>
        <v>KIK</v>
      </c>
    </row>
    <row r="60" s="427" customFormat="1" hidden="1" customHeight="1" spans="1:72">
      <c r="A60" s="93">
        <v>45960</v>
      </c>
      <c r="B60" s="95" t="s">
        <v>235</v>
      </c>
      <c r="C60" s="96">
        <v>10113958</v>
      </c>
      <c r="D60" s="96">
        <v>4500031876</v>
      </c>
      <c r="E60" s="97" t="s">
        <v>97</v>
      </c>
      <c r="F60" s="99">
        <v>4000</v>
      </c>
      <c r="G60" s="93">
        <v>46078</v>
      </c>
      <c r="H60" s="429"/>
      <c r="I60" s="429"/>
      <c r="J60" s="429"/>
      <c r="K60" s="429"/>
      <c r="L60" s="429"/>
      <c r="M60" s="429"/>
      <c r="N60" s="429"/>
      <c r="O60" s="429"/>
      <c r="P60" s="429"/>
      <c r="Q60" s="429"/>
      <c r="R60" s="429"/>
      <c r="S60" s="429"/>
      <c r="T60" s="429"/>
      <c r="U60" s="429"/>
      <c r="V60" s="429"/>
      <c r="W60" s="429"/>
      <c r="X60" s="429"/>
      <c r="Y60" s="429"/>
      <c r="Z60" s="429"/>
      <c r="AA60" s="429"/>
      <c r="AB60" s="429"/>
      <c r="AC60" s="429"/>
      <c r="AD60" s="429"/>
      <c r="AE60" s="429"/>
      <c r="AF60" s="429"/>
      <c r="AG60" s="429"/>
      <c r="AH60" s="429"/>
      <c r="AI60" s="429">
        <f>F60</f>
        <v>4000</v>
      </c>
      <c r="AJ60" s="429"/>
      <c r="AK60" s="429"/>
      <c r="AL60" s="429"/>
      <c r="AM60" s="429"/>
      <c r="AN60" s="429"/>
      <c r="AO60" s="429"/>
      <c r="AP60" s="429"/>
      <c r="AQ60" s="429"/>
      <c r="AR60" s="429"/>
      <c r="AS60" s="429"/>
      <c r="AT60" s="429"/>
      <c r="AU60" s="429"/>
      <c r="AV60" s="429"/>
      <c r="AW60" s="429"/>
      <c r="AX60" s="429"/>
      <c r="AY60" s="429"/>
      <c r="AZ60" s="429"/>
      <c r="BA60" s="429"/>
      <c r="BB60" s="429"/>
      <c r="BC60" s="429"/>
      <c r="BD60" s="429"/>
      <c r="BE60" s="429"/>
      <c r="BF60" s="429"/>
      <c r="BG60" s="429"/>
      <c r="BH60" s="429"/>
      <c r="BI60" s="429"/>
      <c r="BJ60" s="429"/>
      <c r="BK60" s="429"/>
      <c r="BL60" s="429"/>
      <c r="BM60" s="429"/>
      <c r="BN60" s="429"/>
      <c r="BO60" s="429"/>
      <c r="BP60" s="102"/>
      <c r="BQ60" s="102">
        <v>3.362</v>
      </c>
      <c r="BR60" s="451">
        <f t="shared" si="3"/>
        <v>13448</v>
      </c>
      <c r="BS60" s="451">
        <f t="shared" si="9"/>
        <v>104222</v>
      </c>
      <c r="BT60" s="429" t="str">
        <f>IFERROR(VLOOKUP(E60,名称!A:D,4,FALSE),"")</f>
        <v>KIK</v>
      </c>
    </row>
    <row r="61" s="427" customFormat="1" hidden="1" customHeight="1" spans="1:72">
      <c r="A61" s="93">
        <v>45960</v>
      </c>
      <c r="B61" s="95" t="s">
        <v>235</v>
      </c>
      <c r="C61" s="96">
        <v>10113959</v>
      </c>
      <c r="D61" s="96">
        <v>4500031877</v>
      </c>
      <c r="E61" s="97" t="s">
        <v>97</v>
      </c>
      <c r="F61" s="99">
        <v>1000</v>
      </c>
      <c r="G61" s="93">
        <v>46057</v>
      </c>
      <c r="H61" s="429"/>
      <c r="I61" s="429"/>
      <c r="J61" s="429"/>
      <c r="K61" s="429"/>
      <c r="L61" s="429"/>
      <c r="M61" s="429"/>
      <c r="N61" s="429"/>
      <c r="O61" s="429"/>
      <c r="P61" s="429"/>
      <c r="Q61" s="429"/>
      <c r="R61" s="429"/>
      <c r="S61" s="429"/>
      <c r="T61" s="429"/>
      <c r="U61" s="429"/>
      <c r="V61" s="429"/>
      <c r="W61" s="429"/>
      <c r="X61" s="429"/>
      <c r="Y61" s="429"/>
      <c r="Z61" s="429"/>
      <c r="AA61" s="429"/>
      <c r="AB61" s="429"/>
      <c r="AC61" s="429"/>
      <c r="AD61" s="429"/>
      <c r="AE61" s="429"/>
      <c r="AF61" s="429"/>
      <c r="AG61" s="429"/>
      <c r="AH61" s="429"/>
      <c r="AI61" s="429">
        <f>F61</f>
        <v>1000</v>
      </c>
      <c r="AJ61" s="429"/>
      <c r="AK61" s="429"/>
      <c r="AL61" s="429"/>
      <c r="AM61" s="429"/>
      <c r="AN61" s="429"/>
      <c r="AO61" s="429"/>
      <c r="AP61" s="429"/>
      <c r="AQ61" s="429"/>
      <c r="AR61" s="429"/>
      <c r="AS61" s="429"/>
      <c r="AT61" s="429"/>
      <c r="AU61" s="429"/>
      <c r="AV61" s="429"/>
      <c r="AW61" s="429"/>
      <c r="AX61" s="429"/>
      <c r="AY61" s="429"/>
      <c r="AZ61" s="429"/>
      <c r="BA61" s="429"/>
      <c r="BB61" s="429"/>
      <c r="BC61" s="429"/>
      <c r="BD61" s="429"/>
      <c r="BE61" s="429"/>
      <c r="BF61" s="429"/>
      <c r="BG61" s="429"/>
      <c r="BH61" s="429"/>
      <c r="BI61" s="429"/>
      <c r="BJ61" s="429"/>
      <c r="BK61" s="429"/>
      <c r="BL61" s="429"/>
      <c r="BM61" s="429"/>
      <c r="BN61" s="429"/>
      <c r="BO61" s="429"/>
      <c r="BP61" s="102"/>
      <c r="BQ61" s="102">
        <v>3.362</v>
      </c>
      <c r="BR61" s="451">
        <f t="shared" si="3"/>
        <v>3362</v>
      </c>
      <c r="BS61" s="451">
        <f t="shared" si="9"/>
        <v>26055.5</v>
      </c>
      <c r="BT61" s="429" t="str">
        <f>IFERROR(VLOOKUP(E61,名称!A:D,4,FALSE),"")</f>
        <v>KIK</v>
      </c>
    </row>
    <row r="62" s="427" customFormat="1" hidden="1" customHeight="1" spans="1:72">
      <c r="A62" s="93">
        <v>45960</v>
      </c>
      <c r="B62" s="95" t="s">
        <v>237</v>
      </c>
      <c r="C62" s="96">
        <v>10113960</v>
      </c>
      <c r="D62" s="96">
        <v>202530170064</v>
      </c>
      <c r="E62" s="97">
        <v>47674</v>
      </c>
      <c r="F62" s="99">
        <v>5000</v>
      </c>
      <c r="G62" s="93">
        <v>46050</v>
      </c>
      <c r="H62" s="429"/>
      <c r="I62" s="429"/>
      <c r="J62" s="429"/>
      <c r="K62" s="429"/>
      <c r="L62" s="429"/>
      <c r="M62" s="429"/>
      <c r="N62" s="429"/>
      <c r="O62" s="429"/>
      <c r="P62" s="429"/>
      <c r="Q62" s="429"/>
      <c r="R62" s="429"/>
      <c r="S62" s="429">
        <f>F62</f>
        <v>5000</v>
      </c>
      <c r="T62" s="429"/>
      <c r="U62" s="429"/>
      <c r="V62" s="429"/>
      <c r="W62" s="429"/>
      <c r="X62" s="429"/>
      <c r="Y62" s="429"/>
      <c r="Z62" s="429"/>
      <c r="AA62" s="429"/>
      <c r="AB62" s="429"/>
      <c r="AC62" s="429"/>
      <c r="AD62" s="429"/>
      <c r="AE62" s="429"/>
      <c r="AF62" s="429"/>
      <c r="AG62" s="429"/>
      <c r="AH62" s="429"/>
      <c r="AI62" s="429"/>
      <c r="AJ62" s="429"/>
      <c r="AK62" s="429"/>
      <c r="AL62" s="429"/>
      <c r="AM62" s="429"/>
      <c r="AN62" s="429"/>
      <c r="AO62" s="429"/>
      <c r="AP62" s="429"/>
      <c r="AQ62" s="429"/>
      <c r="AR62" s="429"/>
      <c r="AS62" s="429"/>
      <c r="AT62" s="429"/>
      <c r="AU62" s="429"/>
      <c r="AV62" s="429"/>
      <c r="AW62" s="429"/>
      <c r="AX62" s="429"/>
      <c r="AY62" s="429"/>
      <c r="AZ62" s="429"/>
      <c r="BA62" s="429"/>
      <c r="BB62" s="429"/>
      <c r="BC62" s="429"/>
      <c r="BD62" s="429"/>
      <c r="BE62" s="429"/>
      <c r="BF62" s="429"/>
      <c r="BG62" s="429"/>
      <c r="BH62" s="429"/>
      <c r="BI62" s="429"/>
      <c r="BJ62" s="429"/>
      <c r="BK62" s="429"/>
      <c r="BL62" s="429"/>
      <c r="BM62" s="429"/>
      <c r="BN62" s="429"/>
      <c r="BO62" s="429"/>
      <c r="BP62" s="102"/>
      <c r="BQ62" s="102">
        <v>5.225</v>
      </c>
      <c r="BR62" s="451">
        <f t="shared" si="3"/>
        <v>26125</v>
      </c>
      <c r="BS62" s="451">
        <f t="shared" si="9"/>
        <v>202468.75</v>
      </c>
      <c r="BT62" s="429" t="str">
        <f>IFERROR(VLOOKUP(E62,名称!A:D,4,FALSE),"")</f>
        <v>KIK</v>
      </c>
    </row>
    <row r="63" s="427" customFormat="1" hidden="1" customHeight="1" spans="1:72">
      <c r="A63" s="93">
        <v>45960</v>
      </c>
      <c r="B63" s="95" t="s">
        <v>237</v>
      </c>
      <c r="C63" s="96">
        <v>10113972</v>
      </c>
      <c r="D63" s="96">
        <v>202530170067</v>
      </c>
      <c r="E63" s="97" t="s">
        <v>48</v>
      </c>
      <c r="F63" s="99">
        <v>10000</v>
      </c>
      <c r="G63" s="93">
        <v>46029</v>
      </c>
      <c r="H63" s="429"/>
      <c r="I63" s="429"/>
      <c r="J63" s="429"/>
      <c r="K63" s="429">
        <f>F63</f>
        <v>10000</v>
      </c>
      <c r="L63" s="429"/>
      <c r="M63" s="429"/>
      <c r="N63" s="429"/>
      <c r="O63" s="429"/>
      <c r="P63" s="429"/>
      <c r="Q63" s="429"/>
      <c r="R63" s="429"/>
      <c r="S63" s="429"/>
      <c r="T63" s="429"/>
      <c r="U63" s="429"/>
      <c r="V63" s="429"/>
      <c r="W63" s="429"/>
      <c r="X63" s="429"/>
      <c r="Y63" s="429"/>
      <c r="Z63" s="429"/>
      <c r="AA63" s="429"/>
      <c r="AB63" s="429"/>
      <c r="AC63" s="429"/>
      <c r="AD63" s="429"/>
      <c r="AE63" s="429"/>
      <c r="AF63" s="429"/>
      <c r="AG63" s="429"/>
      <c r="AH63" s="429"/>
      <c r="AI63" s="429"/>
      <c r="AJ63" s="429"/>
      <c r="AK63" s="429"/>
      <c r="AL63" s="429"/>
      <c r="AM63" s="429"/>
      <c r="AN63" s="429"/>
      <c r="AO63" s="429"/>
      <c r="AP63" s="429"/>
      <c r="AQ63" s="429"/>
      <c r="AR63" s="429"/>
      <c r="AS63" s="429"/>
      <c r="AT63" s="429"/>
      <c r="AU63" s="429"/>
      <c r="AV63" s="429"/>
      <c r="AW63" s="429"/>
      <c r="AX63" s="429"/>
      <c r="AY63" s="429"/>
      <c r="AZ63" s="429"/>
      <c r="BA63" s="429"/>
      <c r="BB63" s="429"/>
      <c r="BC63" s="429"/>
      <c r="BD63" s="429"/>
      <c r="BE63" s="429"/>
      <c r="BF63" s="429"/>
      <c r="BG63" s="429"/>
      <c r="BH63" s="429"/>
      <c r="BI63" s="429"/>
      <c r="BJ63" s="429"/>
      <c r="BK63" s="429"/>
      <c r="BL63" s="429"/>
      <c r="BM63" s="429"/>
      <c r="BN63" s="429"/>
      <c r="BO63" s="429"/>
      <c r="BP63" s="102"/>
      <c r="BQ63" s="102">
        <v>2.199</v>
      </c>
      <c r="BR63" s="451">
        <f t="shared" si="3"/>
        <v>21990</v>
      </c>
      <c r="BS63" s="451">
        <f t="shared" si="9"/>
        <v>170422.5</v>
      </c>
      <c r="BT63" s="429" t="str">
        <f>IFERROR(VLOOKUP(E63,名称!A:D,4,FALSE),"")</f>
        <v>KIK</v>
      </c>
    </row>
    <row r="64" s="427" customFormat="1" hidden="1" customHeight="1" spans="1:72">
      <c r="A64" s="93">
        <v>45960</v>
      </c>
      <c r="B64" s="95" t="s">
        <v>237</v>
      </c>
      <c r="C64" s="96">
        <v>10113975</v>
      </c>
      <c r="D64" s="96">
        <v>202530170411</v>
      </c>
      <c r="E64" s="97" t="s">
        <v>88</v>
      </c>
      <c r="F64" s="99">
        <v>10008</v>
      </c>
      <c r="G64" s="93">
        <v>46050</v>
      </c>
      <c r="H64" s="429"/>
      <c r="I64" s="429"/>
      <c r="J64" s="429"/>
      <c r="K64" s="429"/>
      <c r="L64" s="429"/>
      <c r="M64" s="429"/>
      <c r="N64" s="429"/>
      <c r="O64" s="429"/>
      <c r="P64" s="429"/>
      <c r="Q64" s="429"/>
      <c r="R64" s="429"/>
      <c r="S64" s="429"/>
      <c r="T64" s="429"/>
      <c r="U64" s="429"/>
      <c r="V64" s="429"/>
      <c r="W64" s="429"/>
      <c r="X64" s="429"/>
      <c r="Y64" s="429"/>
      <c r="Z64" s="429"/>
      <c r="AA64" s="429"/>
      <c r="AB64" s="429"/>
      <c r="AC64" s="429"/>
      <c r="AD64" s="429"/>
      <c r="AE64" s="429">
        <f>F64</f>
        <v>10008</v>
      </c>
      <c r="AF64" s="429"/>
      <c r="AG64" s="429"/>
      <c r="AH64" s="429"/>
      <c r="AI64" s="429"/>
      <c r="AJ64" s="429"/>
      <c r="AK64" s="429"/>
      <c r="AL64" s="429"/>
      <c r="AM64" s="429"/>
      <c r="AN64" s="429"/>
      <c r="AO64" s="429"/>
      <c r="AP64" s="429"/>
      <c r="AQ64" s="429"/>
      <c r="AR64" s="429"/>
      <c r="AS64" s="429"/>
      <c r="AT64" s="429"/>
      <c r="AU64" s="429"/>
      <c r="AV64" s="429"/>
      <c r="AW64" s="429"/>
      <c r="AX64" s="429"/>
      <c r="AY64" s="429"/>
      <c r="AZ64" s="429"/>
      <c r="BA64" s="429"/>
      <c r="BB64" s="429"/>
      <c r="BC64" s="429"/>
      <c r="BD64" s="429"/>
      <c r="BE64" s="429"/>
      <c r="BF64" s="429"/>
      <c r="BG64" s="429"/>
      <c r="BH64" s="429"/>
      <c r="BI64" s="429"/>
      <c r="BJ64" s="429"/>
      <c r="BK64" s="429"/>
      <c r="BL64" s="429"/>
      <c r="BM64" s="429"/>
      <c r="BN64" s="429"/>
      <c r="BO64" s="429"/>
      <c r="BP64" s="102"/>
      <c r="BQ64" s="102">
        <v>0.963</v>
      </c>
      <c r="BR64" s="451">
        <f t="shared" si="3"/>
        <v>9637.7</v>
      </c>
      <c r="BS64" s="451">
        <f t="shared" si="9"/>
        <v>74692.18</v>
      </c>
      <c r="BT64" s="429" t="str">
        <f>IFERROR(VLOOKUP(E64,名称!A:D,4,FALSE),"")</f>
        <v>KIK</v>
      </c>
    </row>
    <row r="65" s="427" customFormat="1" hidden="1" customHeight="1" spans="1:72">
      <c r="A65" s="93">
        <v>45961</v>
      </c>
      <c r="B65" s="95" t="s">
        <v>237</v>
      </c>
      <c r="C65" s="96">
        <v>10113988</v>
      </c>
      <c r="D65" s="96">
        <v>202530170069</v>
      </c>
      <c r="E65" s="97" t="s">
        <v>122</v>
      </c>
      <c r="F65" s="99">
        <v>396</v>
      </c>
      <c r="G65" s="93">
        <v>46050</v>
      </c>
      <c r="H65" s="429"/>
      <c r="I65" s="429"/>
      <c r="J65" s="429"/>
      <c r="K65" s="429"/>
      <c r="L65" s="429"/>
      <c r="M65" s="429"/>
      <c r="N65" s="429"/>
      <c r="O65" s="429"/>
      <c r="P65" s="429"/>
      <c r="Q65" s="429"/>
      <c r="R65" s="429"/>
      <c r="S65" s="429"/>
      <c r="T65" s="429"/>
      <c r="U65" s="429"/>
      <c r="V65" s="429"/>
      <c r="W65" s="429"/>
      <c r="X65" s="429"/>
      <c r="Y65" s="429"/>
      <c r="Z65" s="429"/>
      <c r="AA65" s="429"/>
      <c r="AB65" s="429"/>
      <c r="AC65" s="429"/>
      <c r="AD65" s="429"/>
      <c r="AE65" s="429"/>
      <c r="AF65" s="429">
        <f>F65</f>
        <v>396</v>
      </c>
      <c r="AG65" s="429"/>
      <c r="AH65" s="429"/>
      <c r="AI65" s="429"/>
      <c r="AJ65" s="429"/>
      <c r="AK65" s="429"/>
      <c r="AL65" s="429"/>
      <c r="AM65" s="429"/>
      <c r="AN65" s="429"/>
      <c r="AO65" s="429"/>
      <c r="AP65" s="429"/>
      <c r="AQ65" s="429"/>
      <c r="AR65" s="429"/>
      <c r="AS65" s="429"/>
      <c r="AT65" s="429"/>
      <c r="AU65" s="429"/>
      <c r="AV65" s="429"/>
      <c r="AW65" s="429"/>
      <c r="AX65" s="429"/>
      <c r="AY65" s="429"/>
      <c r="AZ65" s="429"/>
      <c r="BA65" s="429"/>
      <c r="BB65" s="429"/>
      <c r="BC65" s="429"/>
      <c r="BD65" s="429"/>
      <c r="BE65" s="429"/>
      <c r="BF65" s="429"/>
      <c r="BG65" s="429"/>
      <c r="BH65" s="429"/>
      <c r="BI65" s="429"/>
      <c r="BJ65" s="429"/>
      <c r="BK65" s="429"/>
      <c r="BL65" s="429"/>
      <c r="BM65" s="429"/>
      <c r="BN65" s="429"/>
      <c r="BO65" s="429"/>
      <c r="BP65" s="120"/>
      <c r="BQ65" s="120">
        <v>1.413</v>
      </c>
      <c r="BR65" s="451">
        <f t="shared" si="3"/>
        <v>559.55</v>
      </c>
      <c r="BS65" s="451">
        <f t="shared" si="9"/>
        <v>4336.51</v>
      </c>
      <c r="BT65" s="429" t="str">
        <f>IFERROR(VLOOKUP(E65,名称!A:D,4,FALSE),"")</f>
        <v>KIK</v>
      </c>
    </row>
    <row r="66" s="427" customFormat="1" hidden="1" customHeight="1" spans="1:72">
      <c r="A66" s="93">
        <v>45961</v>
      </c>
      <c r="B66" s="95" t="s">
        <v>237</v>
      </c>
      <c r="C66" s="96">
        <v>10113988</v>
      </c>
      <c r="D66" s="96">
        <v>202530170069</v>
      </c>
      <c r="E66" s="97" t="s">
        <v>123</v>
      </c>
      <c r="F66" s="99">
        <v>600</v>
      </c>
      <c r="G66" s="93">
        <v>46057</v>
      </c>
      <c r="H66" s="429"/>
      <c r="I66" s="429"/>
      <c r="J66" s="429"/>
      <c r="K66" s="429"/>
      <c r="L66" s="429"/>
      <c r="M66" s="429"/>
      <c r="N66" s="429"/>
      <c r="O66" s="429"/>
      <c r="P66" s="429"/>
      <c r="Q66" s="429"/>
      <c r="R66" s="429"/>
      <c r="S66" s="429"/>
      <c r="T66" s="429"/>
      <c r="U66" s="429"/>
      <c r="V66" s="429"/>
      <c r="W66" s="429"/>
      <c r="X66" s="429"/>
      <c r="Y66" s="429"/>
      <c r="Z66" s="429"/>
      <c r="AA66" s="429"/>
      <c r="AB66" s="429"/>
      <c r="AC66" s="429"/>
      <c r="AD66" s="429"/>
      <c r="AE66" s="429"/>
      <c r="AF66" s="429"/>
      <c r="AG66" s="429">
        <f>F66</f>
        <v>600</v>
      </c>
      <c r="AH66" s="429"/>
      <c r="AI66" s="429"/>
      <c r="AJ66" s="429"/>
      <c r="AK66" s="429"/>
      <c r="AL66" s="429"/>
      <c r="AM66" s="429"/>
      <c r="AN66" s="429"/>
      <c r="AO66" s="429"/>
      <c r="AP66" s="429"/>
      <c r="AQ66" s="429"/>
      <c r="AR66" s="429"/>
      <c r="AS66" s="429"/>
      <c r="AT66" s="429"/>
      <c r="AU66" s="429"/>
      <c r="AV66" s="429"/>
      <c r="AW66" s="429"/>
      <c r="AX66" s="429"/>
      <c r="AY66" s="429"/>
      <c r="AZ66" s="429"/>
      <c r="BA66" s="429"/>
      <c r="BB66" s="429"/>
      <c r="BC66" s="429"/>
      <c r="BD66" s="429"/>
      <c r="BE66" s="429"/>
      <c r="BF66" s="429"/>
      <c r="BG66" s="429"/>
      <c r="BH66" s="429"/>
      <c r="BI66" s="429"/>
      <c r="BJ66" s="429"/>
      <c r="BK66" s="429"/>
      <c r="BL66" s="429"/>
      <c r="BM66" s="429"/>
      <c r="BN66" s="429"/>
      <c r="BO66" s="429"/>
      <c r="BP66" s="120"/>
      <c r="BQ66" s="120">
        <v>1.278</v>
      </c>
      <c r="BR66" s="451">
        <f t="shared" si="3"/>
        <v>766.8</v>
      </c>
      <c r="BS66" s="451">
        <f t="shared" si="9"/>
        <v>5942.7</v>
      </c>
      <c r="BT66" s="429" t="str">
        <f>IFERROR(VLOOKUP(E66,名称!A:D,4,FALSE),"")</f>
        <v>KIK</v>
      </c>
    </row>
    <row r="67" s="427" customFormat="1" hidden="1" customHeight="1" spans="1:72">
      <c r="A67" s="93">
        <v>45961</v>
      </c>
      <c r="B67" s="95" t="s">
        <v>237</v>
      </c>
      <c r="C67" s="96">
        <v>10113988</v>
      </c>
      <c r="D67" s="96">
        <v>202530170069</v>
      </c>
      <c r="E67" s="97" t="s">
        <v>125</v>
      </c>
      <c r="F67" s="99">
        <f>500+4</f>
        <v>504</v>
      </c>
      <c r="G67" s="93">
        <v>46057</v>
      </c>
      <c r="H67" s="429"/>
      <c r="I67" s="429"/>
      <c r="J67" s="429"/>
      <c r="K67" s="429"/>
      <c r="L67" s="429"/>
      <c r="M67" s="429"/>
      <c r="N67" s="429"/>
      <c r="O67" s="429"/>
      <c r="P67" s="429"/>
      <c r="Q67" s="429"/>
      <c r="R67" s="429"/>
      <c r="S67" s="429"/>
      <c r="T67" s="429"/>
      <c r="U67" s="429"/>
      <c r="V67" s="429"/>
      <c r="W67" s="429"/>
      <c r="X67" s="429"/>
      <c r="Y67" s="429"/>
      <c r="Z67" s="429"/>
      <c r="AA67" s="429"/>
      <c r="AB67" s="429"/>
      <c r="AC67" s="429"/>
      <c r="AD67" s="429"/>
      <c r="AE67" s="429"/>
      <c r="AF67" s="429">
        <f>F67/6*3</f>
        <v>252</v>
      </c>
      <c r="AG67" s="429">
        <f>F67/6*3</f>
        <v>252</v>
      </c>
      <c r="AH67" s="429"/>
      <c r="AI67" s="429"/>
      <c r="AJ67" s="429"/>
      <c r="AK67" s="429"/>
      <c r="AL67" s="429"/>
      <c r="AM67" s="429"/>
      <c r="AN67" s="429"/>
      <c r="AO67" s="429"/>
      <c r="AP67" s="429"/>
      <c r="AQ67" s="429"/>
      <c r="AR67" s="429"/>
      <c r="AS67" s="429"/>
      <c r="AT67" s="429"/>
      <c r="AU67" s="429"/>
      <c r="AV67" s="429"/>
      <c r="AW67" s="429"/>
      <c r="AX67" s="429"/>
      <c r="AY67" s="429"/>
      <c r="AZ67" s="429"/>
      <c r="BA67" s="429"/>
      <c r="BB67" s="429"/>
      <c r="BC67" s="429"/>
      <c r="BD67" s="429"/>
      <c r="BE67" s="429"/>
      <c r="BF67" s="429"/>
      <c r="BG67" s="429"/>
      <c r="BH67" s="429"/>
      <c r="BI67" s="429"/>
      <c r="BJ67" s="429"/>
      <c r="BK67" s="429"/>
      <c r="BL67" s="429"/>
      <c r="BM67" s="429"/>
      <c r="BN67" s="429"/>
      <c r="BO67" s="429"/>
      <c r="BP67" s="120"/>
      <c r="BQ67" s="120">
        <v>2.33</v>
      </c>
      <c r="BR67" s="451">
        <f t="shared" si="3"/>
        <v>1174.32</v>
      </c>
      <c r="BS67" s="451">
        <f t="shared" si="9"/>
        <v>9100.98</v>
      </c>
      <c r="BT67" s="429" t="str">
        <f>IFERROR(VLOOKUP(E67,名称!A:D,4,FALSE),"")</f>
        <v>KIK</v>
      </c>
    </row>
    <row r="68" s="427" customFormat="1" hidden="1" customHeight="1" spans="1:72">
      <c r="A68" s="93">
        <v>45961</v>
      </c>
      <c r="B68" s="95" t="s">
        <v>237</v>
      </c>
      <c r="C68" s="96">
        <v>10114215</v>
      </c>
      <c r="D68" s="96">
        <v>202530370199</v>
      </c>
      <c r="E68" s="97" t="s">
        <v>20</v>
      </c>
      <c r="F68" s="99">
        <v>1600</v>
      </c>
      <c r="G68" s="93">
        <v>46057</v>
      </c>
      <c r="H68" s="429"/>
      <c r="I68" s="429"/>
      <c r="J68" s="429"/>
      <c r="K68" s="429"/>
      <c r="L68" s="429"/>
      <c r="M68" s="429"/>
      <c r="N68" s="429"/>
      <c r="O68" s="429"/>
      <c r="P68" s="429"/>
      <c r="Q68" s="429"/>
      <c r="R68" s="429"/>
      <c r="S68" s="429"/>
      <c r="T68" s="429"/>
      <c r="U68" s="429"/>
      <c r="V68" s="429"/>
      <c r="W68" s="429"/>
      <c r="X68" s="429"/>
      <c r="Y68" s="429"/>
      <c r="Z68" s="429"/>
      <c r="AA68" s="429">
        <f>F68</f>
        <v>1600</v>
      </c>
      <c r="AB68" s="429"/>
      <c r="AC68" s="429"/>
      <c r="AD68" s="429"/>
      <c r="AE68" s="429"/>
      <c r="AF68" s="429"/>
      <c r="AG68" s="429"/>
      <c r="AH68" s="429"/>
      <c r="AI68" s="429"/>
      <c r="AJ68" s="429"/>
      <c r="AK68" s="429"/>
      <c r="AL68" s="429"/>
      <c r="AM68" s="429"/>
      <c r="AN68" s="429"/>
      <c r="AO68" s="429"/>
      <c r="AP68" s="429"/>
      <c r="AQ68" s="429"/>
      <c r="AR68" s="429"/>
      <c r="AS68" s="429"/>
      <c r="AT68" s="429"/>
      <c r="AU68" s="429"/>
      <c r="AV68" s="429"/>
      <c r="AW68" s="429"/>
      <c r="AX68" s="429"/>
      <c r="AY68" s="429"/>
      <c r="AZ68" s="429"/>
      <c r="BA68" s="429"/>
      <c r="BB68" s="429"/>
      <c r="BC68" s="429"/>
      <c r="BD68" s="429"/>
      <c r="BE68" s="429"/>
      <c r="BF68" s="429"/>
      <c r="BG68" s="429"/>
      <c r="BH68" s="429"/>
      <c r="BI68" s="429"/>
      <c r="BJ68" s="429"/>
      <c r="BK68" s="429"/>
      <c r="BL68" s="429"/>
      <c r="BM68" s="429"/>
      <c r="BN68" s="429"/>
      <c r="BO68" s="429"/>
      <c r="BP68" s="102"/>
      <c r="BQ68" s="102">
        <v>11.9</v>
      </c>
      <c r="BR68" s="451">
        <f t="shared" ref="BR68:BR131" si="10">SUM(H68:BP68)*BQ68</f>
        <v>19040</v>
      </c>
      <c r="BS68" s="451">
        <f t="shared" si="9"/>
        <v>147560</v>
      </c>
      <c r="BT68" s="429" t="str">
        <f>IFERROR(VLOOKUP(E68,名称!A:D,4,FALSE),"")</f>
        <v>KIK</v>
      </c>
    </row>
    <row r="69" s="427" customFormat="1" hidden="1" customHeight="1" spans="1:72">
      <c r="A69" s="93">
        <v>45961</v>
      </c>
      <c r="B69" s="95" t="s">
        <v>237</v>
      </c>
      <c r="C69" s="96">
        <v>10114215</v>
      </c>
      <c r="D69" s="96">
        <v>202530370199</v>
      </c>
      <c r="E69" s="97" t="s">
        <v>20</v>
      </c>
      <c r="F69" s="99">
        <v>550</v>
      </c>
      <c r="G69" s="93">
        <v>46057</v>
      </c>
      <c r="H69" s="429"/>
      <c r="I69" s="429"/>
      <c r="J69" s="429"/>
      <c r="K69" s="429"/>
      <c r="L69" s="429"/>
      <c r="M69" s="429"/>
      <c r="N69" s="429"/>
      <c r="O69" s="429"/>
      <c r="P69" s="429"/>
      <c r="Q69" s="429"/>
      <c r="R69" s="429"/>
      <c r="S69" s="429"/>
      <c r="T69" s="429"/>
      <c r="U69" s="429"/>
      <c r="V69" s="429"/>
      <c r="W69" s="429"/>
      <c r="X69" s="429"/>
      <c r="Y69" s="429"/>
      <c r="Z69" s="429"/>
      <c r="AA69" s="429">
        <f>F69</f>
        <v>550</v>
      </c>
      <c r="AB69" s="429"/>
      <c r="AC69" s="429"/>
      <c r="AD69" s="429"/>
      <c r="AE69" s="429"/>
      <c r="AF69" s="429"/>
      <c r="AG69" s="429"/>
      <c r="AH69" s="429"/>
      <c r="AI69" s="429"/>
      <c r="AJ69" s="429"/>
      <c r="AK69" s="429"/>
      <c r="AL69" s="429"/>
      <c r="AM69" s="429"/>
      <c r="AN69" s="429"/>
      <c r="AO69" s="429"/>
      <c r="AP69" s="429"/>
      <c r="AQ69" s="429"/>
      <c r="AR69" s="429"/>
      <c r="AS69" s="429"/>
      <c r="AT69" s="429"/>
      <c r="AU69" s="429"/>
      <c r="AV69" s="429"/>
      <c r="AW69" s="429"/>
      <c r="AX69" s="429"/>
      <c r="AY69" s="429"/>
      <c r="AZ69" s="429"/>
      <c r="BA69" s="429"/>
      <c r="BB69" s="429"/>
      <c r="BC69" s="429"/>
      <c r="BD69" s="429"/>
      <c r="BE69" s="429"/>
      <c r="BF69" s="429"/>
      <c r="BG69" s="429"/>
      <c r="BH69" s="429"/>
      <c r="BI69" s="429"/>
      <c r="BJ69" s="429"/>
      <c r="BK69" s="429"/>
      <c r="BL69" s="429"/>
      <c r="BM69" s="429"/>
      <c r="BN69" s="429"/>
      <c r="BO69" s="429"/>
      <c r="BP69" s="102"/>
      <c r="BQ69" s="102">
        <v>11.9</v>
      </c>
      <c r="BR69" s="451">
        <f t="shared" si="10"/>
        <v>6545</v>
      </c>
      <c r="BS69" s="451">
        <f t="shared" si="9"/>
        <v>50723.75</v>
      </c>
      <c r="BT69" s="429" t="str">
        <f>IFERROR(VLOOKUP(E69,名称!A:D,4,FALSE),"")</f>
        <v>KIK</v>
      </c>
    </row>
    <row r="70" s="427" customFormat="1" hidden="1" customHeight="1" spans="1:72">
      <c r="A70" s="93">
        <v>45961</v>
      </c>
      <c r="B70" s="95" t="s">
        <v>237</v>
      </c>
      <c r="C70" s="96">
        <v>10114215</v>
      </c>
      <c r="D70" s="96">
        <v>202530370199</v>
      </c>
      <c r="E70" s="97" t="s">
        <v>20</v>
      </c>
      <c r="F70" s="99">
        <f>2500-1600-550</f>
        <v>350</v>
      </c>
      <c r="G70" s="93">
        <v>46092</v>
      </c>
      <c r="H70" s="429"/>
      <c r="I70" s="429"/>
      <c r="J70" s="429"/>
      <c r="K70" s="429"/>
      <c r="L70" s="429"/>
      <c r="M70" s="429"/>
      <c r="N70" s="429"/>
      <c r="O70" s="429"/>
      <c r="P70" s="429"/>
      <c r="Q70" s="429"/>
      <c r="R70" s="429"/>
      <c r="S70" s="429"/>
      <c r="T70" s="429"/>
      <c r="U70" s="429"/>
      <c r="V70" s="429"/>
      <c r="W70" s="429"/>
      <c r="X70" s="429"/>
      <c r="Y70" s="429"/>
      <c r="Z70" s="429"/>
      <c r="AA70" s="429">
        <f>F70</f>
        <v>350</v>
      </c>
      <c r="AB70" s="429"/>
      <c r="AC70" s="429"/>
      <c r="AD70" s="429"/>
      <c r="AE70" s="429"/>
      <c r="AF70" s="429"/>
      <c r="AG70" s="429"/>
      <c r="AH70" s="429"/>
      <c r="AI70" s="429"/>
      <c r="AJ70" s="429"/>
      <c r="AK70" s="429"/>
      <c r="AL70" s="429"/>
      <c r="AM70" s="429"/>
      <c r="AN70" s="429"/>
      <c r="AO70" s="429"/>
      <c r="AP70" s="429"/>
      <c r="AQ70" s="429"/>
      <c r="AR70" s="429"/>
      <c r="AS70" s="429"/>
      <c r="AT70" s="429"/>
      <c r="AU70" s="429"/>
      <c r="AV70" s="429"/>
      <c r="AW70" s="429"/>
      <c r="AX70" s="429"/>
      <c r="AY70" s="429"/>
      <c r="AZ70" s="429"/>
      <c r="BA70" s="429"/>
      <c r="BB70" s="429"/>
      <c r="BC70" s="429"/>
      <c r="BD70" s="429"/>
      <c r="BE70" s="429"/>
      <c r="BF70" s="429"/>
      <c r="BG70" s="429"/>
      <c r="BH70" s="429"/>
      <c r="BI70" s="429"/>
      <c r="BJ70" s="429"/>
      <c r="BK70" s="429"/>
      <c r="BL70" s="429"/>
      <c r="BM70" s="429"/>
      <c r="BN70" s="429"/>
      <c r="BO70" s="429"/>
      <c r="BP70" s="102"/>
      <c r="BQ70" s="102">
        <v>11.9</v>
      </c>
      <c r="BR70" s="451">
        <f t="shared" si="10"/>
        <v>4165</v>
      </c>
      <c r="BS70" s="451">
        <f t="shared" si="9"/>
        <v>32278.75</v>
      </c>
      <c r="BT70" s="429" t="str">
        <f>IFERROR(VLOOKUP(E70,名称!A:D,4,FALSE),"")</f>
        <v>KIK</v>
      </c>
    </row>
    <row r="71" s="427" customFormat="1" hidden="1" customHeight="1" spans="1:72">
      <c r="A71" s="93">
        <v>45975</v>
      </c>
      <c r="B71" s="95" t="s">
        <v>237</v>
      </c>
      <c r="C71" s="96">
        <v>10114976</v>
      </c>
      <c r="D71" s="96">
        <v>202531670068</v>
      </c>
      <c r="E71" s="97" t="s">
        <v>105</v>
      </c>
      <c r="F71" s="99">
        <v>3000</v>
      </c>
      <c r="G71" s="93">
        <v>46113</v>
      </c>
      <c r="H71" s="429"/>
      <c r="I71" s="429"/>
      <c r="J71" s="429"/>
      <c r="K71" s="429"/>
      <c r="L71" s="429"/>
      <c r="M71" s="429"/>
      <c r="N71" s="429"/>
      <c r="O71" s="429"/>
      <c r="P71" s="429"/>
      <c r="Q71" s="429"/>
      <c r="R71" s="429"/>
      <c r="S71" s="429"/>
      <c r="T71" s="429"/>
      <c r="U71" s="429"/>
      <c r="V71" s="429"/>
      <c r="W71" s="429"/>
      <c r="X71" s="429"/>
      <c r="Y71" s="429"/>
      <c r="Z71" s="429"/>
      <c r="AA71" s="429"/>
      <c r="AB71" s="429"/>
      <c r="AC71" s="429"/>
      <c r="AD71" s="429"/>
      <c r="AE71" s="429"/>
      <c r="AF71" s="429"/>
      <c r="AG71" s="429"/>
      <c r="AH71" s="429"/>
      <c r="AI71" s="429"/>
      <c r="AJ71" s="429">
        <f>F71</f>
        <v>3000</v>
      </c>
      <c r="AK71" s="429"/>
      <c r="AL71" s="429"/>
      <c r="AM71" s="429"/>
      <c r="AN71" s="429"/>
      <c r="AO71" s="429"/>
      <c r="AP71" s="429"/>
      <c r="AQ71" s="429"/>
      <c r="AR71" s="429"/>
      <c r="AS71" s="429"/>
      <c r="AT71" s="429"/>
      <c r="AU71" s="429"/>
      <c r="AV71" s="429"/>
      <c r="AW71" s="429"/>
      <c r="AX71" s="429"/>
      <c r="AY71" s="429"/>
      <c r="AZ71" s="429"/>
      <c r="BA71" s="429"/>
      <c r="BB71" s="429"/>
      <c r="BC71" s="429"/>
      <c r="BD71" s="429"/>
      <c r="BE71" s="429"/>
      <c r="BF71" s="429"/>
      <c r="BG71" s="429"/>
      <c r="BH71" s="429"/>
      <c r="BI71" s="429"/>
      <c r="BJ71" s="429"/>
      <c r="BK71" s="429"/>
      <c r="BL71" s="429"/>
      <c r="BM71" s="429"/>
      <c r="BN71" s="429"/>
      <c r="BO71" s="429"/>
      <c r="BP71" s="102"/>
      <c r="BQ71" s="102">
        <v>2.994</v>
      </c>
      <c r="BR71" s="451">
        <f t="shared" si="10"/>
        <v>8982</v>
      </c>
      <c r="BS71" s="451">
        <f t="shared" si="9"/>
        <v>69610.5</v>
      </c>
      <c r="BT71" s="429" t="str">
        <f>IFERROR(VLOOKUP(E71,名称!A:D,4,FALSE),"")</f>
        <v>KIK</v>
      </c>
    </row>
    <row r="72" s="427" customFormat="1" hidden="1" customHeight="1" spans="1:72">
      <c r="A72" s="93">
        <v>45975</v>
      </c>
      <c r="B72" s="95" t="s">
        <v>237</v>
      </c>
      <c r="C72" s="96">
        <v>10114976</v>
      </c>
      <c r="D72" s="96">
        <v>202531670068</v>
      </c>
      <c r="E72" s="97" t="s">
        <v>107</v>
      </c>
      <c r="F72" s="99">
        <f>5000-2000</f>
        <v>3000</v>
      </c>
      <c r="G72" s="93">
        <v>46113</v>
      </c>
      <c r="H72" s="429"/>
      <c r="I72" s="429"/>
      <c r="J72" s="429"/>
      <c r="K72" s="429"/>
      <c r="L72" s="429"/>
      <c r="M72" s="429"/>
      <c r="N72" s="429"/>
      <c r="O72" s="429"/>
      <c r="P72" s="429"/>
      <c r="Q72" s="429"/>
      <c r="R72" s="429"/>
      <c r="S72" s="429"/>
      <c r="T72" s="429"/>
      <c r="U72" s="429"/>
      <c r="V72" s="429"/>
      <c r="W72" s="429"/>
      <c r="X72" s="429"/>
      <c r="Y72" s="429"/>
      <c r="Z72" s="429"/>
      <c r="AA72" s="429"/>
      <c r="AB72" s="429"/>
      <c r="AC72" s="429"/>
      <c r="AD72" s="429"/>
      <c r="AE72" s="429"/>
      <c r="AF72" s="429"/>
      <c r="AG72" s="429"/>
      <c r="AH72" s="429"/>
      <c r="AI72" s="429"/>
      <c r="AJ72" s="429"/>
      <c r="AK72" s="429">
        <f>F72</f>
        <v>3000</v>
      </c>
      <c r="AL72" s="429"/>
      <c r="AM72" s="429"/>
      <c r="AN72" s="429"/>
      <c r="AO72" s="429"/>
      <c r="AP72" s="429"/>
      <c r="AQ72" s="429"/>
      <c r="AR72" s="429"/>
      <c r="AS72" s="429"/>
      <c r="AT72" s="429"/>
      <c r="AU72" s="429"/>
      <c r="AV72" s="429"/>
      <c r="AW72" s="429"/>
      <c r="AX72" s="429"/>
      <c r="AY72" s="429"/>
      <c r="AZ72" s="429"/>
      <c r="BA72" s="429"/>
      <c r="BB72" s="429"/>
      <c r="BC72" s="429"/>
      <c r="BD72" s="429"/>
      <c r="BE72" s="429"/>
      <c r="BF72" s="429"/>
      <c r="BG72" s="429"/>
      <c r="BH72" s="429"/>
      <c r="BI72" s="429"/>
      <c r="BJ72" s="429"/>
      <c r="BK72" s="429"/>
      <c r="BL72" s="429"/>
      <c r="BM72" s="429"/>
      <c r="BN72" s="429"/>
      <c r="BO72" s="429"/>
      <c r="BP72" s="102"/>
      <c r="BQ72" s="102">
        <v>4.956</v>
      </c>
      <c r="BR72" s="451">
        <f t="shared" si="10"/>
        <v>14868</v>
      </c>
      <c r="BS72" s="451">
        <f t="shared" si="9"/>
        <v>115227</v>
      </c>
      <c r="BT72" s="429" t="str">
        <f>IFERROR(VLOOKUP(E72,名称!A:D,4,FALSE),"")</f>
        <v>KIK</v>
      </c>
    </row>
    <row r="73" s="427" customFormat="1" hidden="1" customHeight="1" spans="1:72">
      <c r="A73" s="93">
        <v>45975</v>
      </c>
      <c r="B73" s="95" t="s">
        <v>236</v>
      </c>
      <c r="C73" s="96">
        <v>10114959</v>
      </c>
      <c r="D73" s="96">
        <v>20218755</v>
      </c>
      <c r="E73" s="97" t="s">
        <v>109</v>
      </c>
      <c r="F73" s="99">
        <f>360+60</f>
        <v>420</v>
      </c>
      <c r="G73" s="93">
        <v>46113</v>
      </c>
      <c r="H73" s="429"/>
      <c r="I73" s="429"/>
      <c r="J73" s="429"/>
      <c r="K73" s="429"/>
      <c r="L73" s="429"/>
      <c r="M73" s="429"/>
      <c r="N73" s="429"/>
      <c r="O73" s="429"/>
      <c r="P73" s="429"/>
      <c r="Q73" s="429"/>
      <c r="R73" s="429"/>
      <c r="S73" s="429"/>
      <c r="T73" s="429"/>
      <c r="U73" s="429"/>
      <c r="V73" s="429"/>
      <c r="W73" s="429"/>
      <c r="X73" s="429"/>
      <c r="Y73" s="429"/>
      <c r="Z73" s="429"/>
      <c r="AA73" s="429"/>
      <c r="AB73" s="429"/>
      <c r="AC73" s="429"/>
      <c r="AD73" s="429"/>
      <c r="AE73" s="429"/>
      <c r="AF73" s="429"/>
      <c r="AG73" s="429"/>
      <c r="AH73" s="429"/>
      <c r="AI73" s="429"/>
      <c r="AJ73" s="429"/>
      <c r="AK73" s="429"/>
      <c r="AL73" s="429">
        <f>F73</f>
        <v>420</v>
      </c>
      <c r="AM73" s="429"/>
      <c r="AN73" s="429"/>
      <c r="AO73" s="429"/>
      <c r="AP73" s="429"/>
      <c r="AQ73" s="429"/>
      <c r="AR73" s="429"/>
      <c r="AS73" s="429"/>
      <c r="AT73" s="429"/>
      <c r="AU73" s="429"/>
      <c r="AV73" s="429"/>
      <c r="AW73" s="429"/>
      <c r="AX73" s="429"/>
      <c r="AY73" s="429"/>
      <c r="AZ73" s="429"/>
      <c r="BA73" s="429"/>
      <c r="BB73" s="429"/>
      <c r="BC73" s="429"/>
      <c r="BD73" s="429"/>
      <c r="BE73" s="429"/>
      <c r="BF73" s="429"/>
      <c r="BG73" s="429"/>
      <c r="BH73" s="429"/>
      <c r="BI73" s="429"/>
      <c r="BJ73" s="429"/>
      <c r="BK73" s="429"/>
      <c r="BL73" s="429"/>
      <c r="BM73" s="429"/>
      <c r="BN73" s="429"/>
      <c r="BO73" s="429"/>
      <c r="BP73" s="102"/>
      <c r="BQ73" s="102">
        <v>3.886</v>
      </c>
      <c r="BR73" s="451">
        <f t="shared" si="10"/>
        <v>1632.12</v>
      </c>
      <c r="BS73" s="451">
        <f t="shared" si="9"/>
        <v>12648.93</v>
      </c>
      <c r="BT73" s="429" t="str">
        <f>IFERROR(VLOOKUP(E73,名称!A:D,4,FALSE),"")</f>
        <v>KIK</v>
      </c>
    </row>
    <row r="74" s="427" customFormat="1" hidden="1" customHeight="1" spans="1:72">
      <c r="A74" s="93">
        <v>45975</v>
      </c>
      <c r="B74" s="95" t="s">
        <v>236</v>
      </c>
      <c r="C74" s="96">
        <v>10114959</v>
      </c>
      <c r="D74" s="96">
        <v>20218755</v>
      </c>
      <c r="E74" s="97" t="s">
        <v>111</v>
      </c>
      <c r="F74" s="99">
        <v>240</v>
      </c>
      <c r="G74" s="93">
        <v>46113</v>
      </c>
      <c r="H74" s="429"/>
      <c r="I74" s="429"/>
      <c r="J74" s="429"/>
      <c r="K74" s="429"/>
      <c r="L74" s="429"/>
      <c r="M74" s="429"/>
      <c r="N74" s="429"/>
      <c r="O74" s="429"/>
      <c r="P74" s="429"/>
      <c r="Q74" s="429"/>
      <c r="R74" s="429"/>
      <c r="S74" s="429"/>
      <c r="T74" s="429"/>
      <c r="U74" s="429"/>
      <c r="V74" s="429"/>
      <c r="W74" s="429"/>
      <c r="X74" s="429"/>
      <c r="Y74" s="429"/>
      <c r="Z74" s="429"/>
      <c r="AA74" s="429"/>
      <c r="AB74" s="429"/>
      <c r="AC74" s="429"/>
      <c r="AD74" s="429"/>
      <c r="AE74" s="429"/>
      <c r="AF74" s="429"/>
      <c r="AG74" s="429"/>
      <c r="AH74" s="429"/>
      <c r="AI74" s="429"/>
      <c r="AJ74" s="429"/>
      <c r="AK74" s="429"/>
      <c r="AL74" s="429"/>
      <c r="AM74" s="429">
        <f>F74</f>
        <v>240</v>
      </c>
      <c r="AN74" s="429"/>
      <c r="AO74" s="429"/>
      <c r="AP74" s="429"/>
      <c r="AQ74" s="429"/>
      <c r="AR74" s="429"/>
      <c r="AS74" s="429"/>
      <c r="AT74" s="429"/>
      <c r="AU74" s="429"/>
      <c r="AV74" s="429"/>
      <c r="AW74" s="429"/>
      <c r="AX74" s="429"/>
      <c r="AY74" s="429"/>
      <c r="AZ74" s="429"/>
      <c r="BA74" s="429"/>
      <c r="BB74" s="429"/>
      <c r="BC74" s="429"/>
      <c r="BD74" s="429"/>
      <c r="BE74" s="429"/>
      <c r="BF74" s="429"/>
      <c r="BG74" s="429"/>
      <c r="BH74" s="429"/>
      <c r="BI74" s="429"/>
      <c r="BJ74" s="429"/>
      <c r="BK74" s="429"/>
      <c r="BL74" s="429"/>
      <c r="BM74" s="429"/>
      <c r="BN74" s="429"/>
      <c r="BO74" s="429"/>
      <c r="BP74" s="102"/>
      <c r="BQ74" s="102">
        <v>3.816</v>
      </c>
      <c r="BR74" s="451">
        <f t="shared" si="10"/>
        <v>915.84</v>
      </c>
      <c r="BS74" s="451">
        <f t="shared" si="9"/>
        <v>7097.76</v>
      </c>
      <c r="BT74" s="429" t="str">
        <f>IFERROR(VLOOKUP(E74,名称!A:D,4,FALSE),"")</f>
        <v>KIK</v>
      </c>
    </row>
    <row r="75" s="427" customFormat="1" hidden="1" customHeight="1" spans="1:72">
      <c r="A75" s="93">
        <v>45975</v>
      </c>
      <c r="B75" s="95" t="s">
        <v>236</v>
      </c>
      <c r="C75" s="96">
        <v>10114959</v>
      </c>
      <c r="D75" s="96">
        <v>20218755</v>
      </c>
      <c r="E75" s="97" t="s">
        <v>113</v>
      </c>
      <c r="F75" s="99">
        <v>720</v>
      </c>
      <c r="G75" s="93">
        <v>46113</v>
      </c>
      <c r="H75" s="429"/>
      <c r="I75" s="429"/>
      <c r="J75" s="429"/>
      <c r="K75" s="429"/>
      <c r="L75" s="429"/>
      <c r="M75" s="429"/>
      <c r="N75" s="429"/>
      <c r="O75" s="429"/>
      <c r="P75" s="429"/>
      <c r="Q75" s="429"/>
      <c r="R75" s="429"/>
      <c r="S75" s="429"/>
      <c r="T75" s="429"/>
      <c r="U75" s="429"/>
      <c r="V75" s="429"/>
      <c r="W75" s="429"/>
      <c r="X75" s="429"/>
      <c r="Y75" s="429"/>
      <c r="Z75" s="429"/>
      <c r="AA75" s="429"/>
      <c r="AB75" s="429"/>
      <c r="AC75" s="429"/>
      <c r="AD75" s="429"/>
      <c r="AE75" s="429"/>
      <c r="AF75" s="429"/>
      <c r="AG75" s="429"/>
      <c r="AH75" s="429"/>
      <c r="AI75" s="429"/>
      <c r="AJ75" s="429"/>
      <c r="AK75" s="429"/>
      <c r="AL75" s="429"/>
      <c r="AM75" s="429"/>
      <c r="AN75" s="429">
        <f>F75</f>
        <v>720</v>
      </c>
      <c r="AO75" s="429"/>
      <c r="AP75" s="429"/>
      <c r="AQ75" s="429"/>
      <c r="AR75" s="429"/>
      <c r="AS75" s="429"/>
      <c r="AT75" s="429"/>
      <c r="AU75" s="429"/>
      <c r="AV75" s="429"/>
      <c r="AW75" s="429"/>
      <c r="AX75" s="429"/>
      <c r="AY75" s="429"/>
      <c r="AZ75" s="429"/>
      <c r="BA75" s="429"/>
      <c r="BB75" s="429"/>
      <c r="BC75" s="429"/>
      <c r="BD75" s="429"/>
      <c r="BE75" s="429"/>
      <c r="BF75" s="429"/>
      <c r="BG75" s="429"/>
      <c r="BH75" s="429"/>
      <c r="BI75" s="429"/>
      <c r="BJ75" s="429"/>
      <c r="BK75" s="429"/>
      <c r="BL75" s="429"/>
      <c r="BM75" s="429"/>
      <c r="BN75" s="429"/>
      <c r="BO75" s="429"/>
      <c r="BP75" s="102"/>
      <c r="BQ75" s="102">
        <v>6.154</v>
      </c>
      <c r="BR75" s="451">
        <f t="shared" si="10"/>
        <v>4430.88</v>
      </c>
      <c r="BS75" s="451">
        <f t="shared" si="9"/>
        <v>34339.32</v>
      </c>
      <c r="BT75" s="429" t="str">
        <f>IFERROR(VLOOKUP(E75,名称!A:D,4,FALSE),"")</f>
        <v>KIK</v>
      </c>
    </row>
    <row r="76" s="427" customFormat="1" hidden="1" customHeight="1" spans="1:72">
      <c r="A76" s="93">
        <v>45975</v>
      </c>
      <c r="B76" s="95" t="s">
        <v>236</v>
      </c>
      <c r="C76" s="96">
        <v>10114959</v>
      </c>
      <c r="D76" s="96">
        <v>20218755</v>
      </c>
      <c r="E76" s="97" t="s">
        <v>105</v>
      </c>
      <c r="F76" s="99">
        <v>2000</v>
      </c>
      <c r="G76" s="93">
        <v>46113</v>
      </c>
      <c r="H76" s="429"/>
      <c r="I76" s="429"/>
      <c r="J76" s="429"/>
      <c r="K76" s="429"/>
      <c r="L76" s="429"/>
      <c r="M76" s="429"/>
      <c r="N76" s="429"/>
      <c r="O76" s="429"/>
      <c r="P76" s="429"/>
      <c r="Q76" s="429"/>
      <c r="R76" s="429"/>
      <c r="S76" s="429"/>
      <c r="T76" s="429"/>
      <c r="U76" s="429"/>
      <c r="V76" s="429"/>
      <c r="W76" s="429"/>
      <c r="X76" s="429"/>
      <c r="Y76" s="429"/>
      <c r="Z76" s="429"/>
      <c r="AA76" s="429"/>
      <c r="AB76" s="429"/>
      <c r="AC76" s="429"/>
      <c r="AD76" s="429"/>
      <c r="AE76" s="429"/>
      <c r="AF76" s="429"/>
      <c r="AG76" s="429"/>
      <c r="AH76" s="429"/>
      <c r="AI76" s="429"/>
      <c r="AJ76" s="429">
        <f>F76</f>
        <v>2000</v>
      </c>
      <c r="AK76" s="429"/>
      <c r="AL76" s="429"/>
      <c r="AM76" s="429"/>
      <c r="AN76" s="429"/>
      <c r="AO76" s="429"/>
      <c r="AP76" s="429"/>
      <c r="AQ76" s="429"/>
      <c r="AR76" s="429"/>
      <c r="AS76" s="429"/>
      <c r="AT76" s="429"/>
      <c r="AU76" s="429"/>
      <c r="AV76" s="429"/>
      <c r="AW76" s="429"/>
      <c r="AX76" s="429"/>
      <c r="AY76" s="429"/>
      <c r="AZ76" s="429"/>
      <c r="BA76" s="429"/>
      <c r="BB76" s="429"/>
      <c r="BC76" s="429"/>
      <c r="BD76" s="429"/>
      <c r="BE76" s="429"/>
      <c r="BF76" s="429"/>
      <c r="BG76" s="429"/>
      <c r="BH76" s="429"/>
      <c r="BI76" s="429"/>
      <c r="BJ76" s="429"/>
      <c r="BK76" s="429"/>
      <c r="BL76" s="429"/>
      <c r="BM76" s="429"/>
      <c r="BN76" s="429"/>
      <c r="BO76" s="429"/>
      <c r="BP76" s="102"/>
      <c r="BQ76" s="102">
        <v>2.994</v>
      </c>
      <c r="BR76" s="451">
        <f t="shared" si="10"/>
        <v>5988</v>
      </c>
      <c r="BS76" s="451">
        <f t="shared" si="9"/>
        <v>46407</v>
      </c>
      <c r="BT76" s="429" t="str">
        <f>IFERROR(VLOOKUP(E76,名称!A:D,4,FALSE),"")</f>
        <v>KIK</v>
      </c>
    </row>
    <row r="77" s="427" customFormat="1" hidden="1" customHeight="1" spans="1:72">
      <c r="A77" s="93">
        <v>45975</v>
      </c>
      <c r="B77" s="95" t="s">
        <v>236</v>
      </c>
      <c r="C77" s="96">
        <v>10114959</v>
      </c>
      <c r="D77" s="96">
        <v>20218755</v>
      </c>
      <c r="E77" s="97" t="s">
        <v>107</v>
      </c>
      <c r="F77" s="99">
        <v>2000</v>
      </c>
      <c r="G77" s="93">
        <v>46113</v>
      </c>
      <c r="H77" s="429"/>
      <c r="I77" s="429"/>
      <c r="J77" s="429"/>
      <c r="K77" s="429"/>
      <c r="L77" s="429"/>
      <c r="M77" s="429"/>
      <c r="N77" s="429"/>
      <c r="O77" s="429"/>
      <c r="P77" s="429"/>
      <c r="Q77" s="429"/>
      <c r="R77" s="429"/>
      <c r="S77" s="429"/>
      <c r="T77" s="429"/>
      <c r="U77" s="429"/>
      <c r="V77" s="429"/>
      <c r="W77" s="429"/>
      <c r="X77" s="429"/>
      <c r="Y77" s="429"/>
      <c r="Z77" s="429"/>
      <c r="AA77" s="429"/>
      <c r="AB77" s="429"/>
      <c r="AC77" s="429"/>
      <c r="AD77" s="429"/>
      <c r="AE77" s="429"/>
      <c r="AF77" s="429"/>
      <c r="AG77" s="429"/>
      <c r="AH77" s="429"/>
      <c r="AI77" s="429"/>
      <c r="AJ77" s="429"/>
      <c r="AK77" s="429">
        <f>F77</f>
        <v>2000</v>
      </c>
      <c r="AL77" s="429"/>
      <c r="AM77" s="429"/>
      <c r="AN77" s="429"/>
      <c r="AO77" s="429"/>
      <c r="AP77" s="429"/>
      <c r="AQ77" s="429"/>
      <c r="AR77" s="429"/>
      <c r="AS77" s="429"/>
      <c r="AT77" s="429"/>
      <c r="AU77" s="429"/>
      <c r="AV77" s="429"/>
      <c r="AW77" s="429"/>
      <c r="AX77" s="429"/>
      <c r="AY77" s="429"/>
      <c r="AZ77" s="429"/>
      <c r="BA77" s="429"/>
      <c r="BB77" s="429"/>
      <c r="BC77" s="429"/>
      <c r="BD77" s="429"/>
      <c r="BE77" s="429"/>
      <c r="BF77" s="429"/>
      <c r="BG77" s="429"/>
      <c r="BH77" s="429"/>
      <c r="BI77" s="429"/>
      <c r="BJ77" s="429"/>
      <c r="BK77" s="429"/>
      <c r="BL77" s="429"/>
      <c r="BM77" s="429"/>
      <c r="BN77" s="429"/>
      <c r="BO77" s="429"/>
      <c r="BP77" s="102"/>
      <c r="BQ77" s="102">
        <v>4.956</v>
      </c>
      <c r="BR77" s="451">
        <f t="shared" si="10"/>
        <v>9912</v>
      </c>
      <c r="BS77" s="451">
        <f t="shared" si="9"/>
        <v>76818</v>
      </c>
      <c r="BT77" s="429" t="str">
        <f>IFERROR(VLOOKUP(E77,名称!A:D,4,FALSE),"")</f>
        <v>KIK</v>
      </c>
    </row>
    <row r="78" s="427" customFormat="1" hidden="1" customHeight="1" spans="1:72">
      <c r="A78" s="93">
        <v>45975</v>
      </c>
      <c r="B78" s="95" t="s">
        <v>237</v>
      </c>
      <c r="C78" s="96">
        <v>10114974</v>
      </c>
      <c r="D78" s="96">
        <v>202531670061</v>
      </c>
      <c r="E78" s="97" t="s">
        <v>109</v>
      </c>
      <c r="F78" s="99">
        <v>4640</v>
      </c>
      <c r="G78" s="93">
        <v>45727</v>
      </c>
      <c r="H78" s="429"/>
      <c r="I78" s="429"/>
      <c r="J78" s="429"/>
      <c r="K78" s="429"/>
      <c r="L78" s="429"/>
      <c r="M78" s="429"/>
      <c r="N78" s="429"/>
      <c r="O78" s="429"/>
      <c r="P78" s="429"/>
      <c r="Q78" s="429"/>
      <c r="R78" s="429"/>
      <c r="S78" s="429"/>
      <c r="T78" s="429"/>
      <c r="U78" s="429"/>
      <c r="V78" s="429"/>
      <c r="W78" s="429"/>
      <c r="X78" s="429"/>
      <c r="Y78" s="429"/>
      <c r="Z78" s="429"/>
      <c r="AA78" s="429"/>
      <c r="AB78" s="429"/>
      <c r="AC78" s="429"/>
      <c r="AD78" s="429"/>
      <c r="AE78" s="429"/>
      <c r="AF78" s="429"/>
      <c r="AG78" s="429"/>
      <c r="AH78" s="429"/>
      <c r="AI78" s="429"/>
      <c r="AJ78" s="429"/>
      <c r="AK78" s="429"/>
      <c r="AL78" s="429">
        <f>F78</f>
        <v>4640</v>
      </c>
      <c r="AM78" s="429"/>
      <c r="AN78" s="429"/>
      <c r="AO78" s="429"/>
      <c r="AP78" s="429"/>
      <c r="AQ78" s="429"/>
      <c r="AR78" s="429"/>
      <c r="AS78" s="429"/>
      <c r="AT78" s="429"/>
      <c r="AU78" s="429"/>
      <c r="AV78" s="429"/>
      <c r="AW78" s="429"/>
      <c r="AX78" s="429"/>
      <c r="AY78" s="429"/>
      <c r="AZ78" s="429"/>
      <c r="BA78" s="429"/>
      <c r="BB78" s="429"/>
      <c r="BC78" s="429"/>
      <c r="BD78" s="429"/>
      <c r="BE78" s="429"/>
      <c r="BF78" s="429"/>
      <c r="BG78" s="429"/>
      <c r="BH78" s="429"/>
      <c r="BI78" s="429"/>
      <c r="BJ78" s="429"/>
      <c r="BK78" s="429"/>
      <c r="BL78" s="429"/>
      <c r="BM78" s="429"/>
      <c r="BN78" s="429"/>
      <c r="BO78" s="429"/>
      <c r="BP78" s="102"/>
      <c r="BQ78" s="102">
        <v>3.886</v>
      </c>
      <c r="BR78" s="451">
        <f t="shared" si="10"/>
        <v>18031.04</v>
      </c>
      <c r="BS78" s="451">
        <f t="shared" si="9"/>
        <v>139740.56</v>
      </c>
      <c r="BT78" s="429" t="str">
        <f>IFERROR(VLOOKUP(E78,名称!A:D,4,FALSE),"")</f>
        <v>KIK</v>
      </c>
    </row>
    <row r="79" s="427" customFormat="1" hidden="1" customHeight="1" spans="1:72">
      <c r="A79" s="93">
        <v>45975</v>
      </c>
      <c r="B79" s="95" t="s">
        <v>237</v>
      </c>
      <c r="C79" s="96">
        <v>10114974</v>
      </c>
      <c r="D79" s="96">
        <v>202531670061</v>
      </c>
      <c r="E79" s="97" t="s">
        <v>111</v>
      </c>
      <c r="F79" s="99">
        <v>4760</v>
      </c>
      <c r="G79" s="93">
        <v>45727</v>
      </c>
      <c r="H79" s="429"/>
      <c r="I79" s="429"/>
      <c r="J79" s="429"/>
      <c r="K79" s="429"/>
      <c r="L79" s="429"/>
      <c r="M79" s="429"/>
      <c r="N79" s="429"/>
      <c r="O79" s="429"/>
      <c r="P79" s="429"/>
      <c r="Q79" s="429"/>
      <c r="R79" s="429"/>
      <c r="S79" s="429"/>
      <c r="T79" s="429"/>
      <c r="U79" s="429"/>
      <c r="V79" s="429"/>
      <c r="W79" s="429"/>
      <c r="X79" s="429"/>
      <c r="Y79" s="429"/>
      <c r="Z79" s="429"/>
      <c r="AA79" s="429"/>
      <c r="AB79" s="429"/>
      <c r="AC79" s="429"/>
      <c r="AD79" s="429"/>
      <c r="AE79" s="429"/>
      <c r="AF79" s="429"/>
      <c r="AG79" s="429"/>
      <c r="AH79" s="429"/>
      <c r="AI79" s="429"/>
      <c r="AJ79" s="429"/>
      <c r="AK79" s="429"/>
      <c r="AL79" s="429"/>
      <c r="AM79" s="429">
        <f>F79</f>
        <v>4760</v>
      </c>
      <c r="AN79" s="429"/>
      <c r="AO79" s="429"/>
      <c r="AP79" s="429"/>
      <c r="AQ79" s="429"/>
      <c r="AR79" s="429"/>
      <c r="AS79" s="429"/>
      <c r="AT79" s="429"/>
      <c r="AU79" s="429"/>
      <c r="AV79" s="429"/>
      <c r="AW79" s="429"/>
      <c r="AX79" s="429"/>
      <c r="AY79" s="429"/>
      <c r="AZ79" s="429"/>
      <c r="BA79" s="429"/>
      <c r="BB79" s="429"/>
      <c r="BC79" s="429"/>
      <c r="BD79" s="429"/>
      <c r="BE79" s="429"/>
      <c r="BF79" s="429"/>
      <c r="BG79" s="429"/>
      <c r="BH79" s="429"/>
      <c r="BI79" s="429"/>
      <c r="BJ79" s="429"/>
      <c r="BK79" s="429"/>
      <c r="BL79" s="429"/>
      <c r="BM79" s="429"/>
      <c r="BN79" s="429"/>
      <c r="BO79" s="429"/>
      <c r="BP79" s="102"/>
      <c r="BQ79" s="102">
        <v>3.816</v>
      </c>
      <c r="BR79" s="451">
        <f t="shared" si="10"/>
        <v>18164.16</v>
      </c>
      <c r="BS79" s="451">
        <f t="shared" si="9"/>
        <v>140772.24</v>
      </c>
      <c r="BT79" s="429" t="str">
        <f>IFERROR(VLOOKUP(E79,名称!A:D,4,FALSE),"")</f>
        <v>KIK</v>
      </c>
    </row>
    <row r="80" s="427" customFormat="1" hidden="1" customHeight="1" spans="1:72">
      <c r="A80" s="93">
        <v>45975</v>
      </c>
      <c r="B80" s="95" t="s">
        <v>237</v>
      </c>
      <c r="C80" s="96">
        <v>10114974</v>
      </c>
      <c r="D80" s="96">
        <v>202531670061</v>
      </c>
      <c r="E80" s="97" t="s">
        <v>113</v>
      </c>
      <c r="F80" s="99">
        <v>4280</v>
      </c>
      <c r="G80" s="93">
        <v>45727</v>
      </c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  <c r="Y80" s="429"/>
      <c r="Z80" s="429"/>
      <c r="AA80" s="429"/>
      <c r="AB80" s="429"/>
      <c r="AC80" s="429"/>
      <c r="AD80" s="429"/>
      <c r="AE80" s="429"/>
      <c r="AF80" s="429"/>
      <c r="AG80" s="429"/>
      <c r="AH80" s="429"/>
      <c r="AI80" s="429"/>
      <c r="AJ80" s="429"/>
      <c r="AK80" s="429"/>
      <c r="AL80" s="429"/>
      <c r="AM80" s="429"/>
      <c r="AN80" s="429">
        <f>F80</f>
        <v>4280</v>
      </c>
      <c r="AO80" s="429"/>
      <c r="AP80" s="429"/>
      <c r="AQ80" s="429"/>
      <c r="AR80" s="429"/>
      <c r="AS80" s="429"/>
      <c r="AT80" s="429"/>
      <c r="AU80" s="429"/>
      <c r="AV80" s="429"/>
      <c r="AW80" s="429"/>
      <c r="AX80" s="429"/>
      <c r="AY80" s="429"/>
      <c r="AZ80" s="429"/>
      <c r="BA80" s="429"/>
      <c r="BB80" s="429"/>
      <c r="BC80" s="429"/>
      <c r="BD80" s="429"/>
      <c r="BE80" s="429"/>
      <c r="BF80" s="429"/>
      <c r="BG80" s="429"/>
      <c r="BH80" s="429"/>
      <c r="BI80" s="429"/>
      <c r="BJ80" s="429"/>
      <c r="BK80" s="429"/>
      <c r="BL80" s="429"/>
      <c r="BM80" s="429"/>
      <c r="BN80" s="429"/>
      <c r="BO80" s="429"/>
      <c r="BP80" s="102"/>
      <c r="BQ80" s="102">
        <v>6.154</v>
      </c>
      <c r="BR80" s="451">
        <f t="shared" si="10"/>
        <v>26339.12</v>
      </c>
      <c r="BS80" s="451">
        <f t="shared" si="9"/>
        <v>204128.18</v>
      </c>
      <c r="BT80" s="429" t="str">
        <f>IFERROR(VLOOKUP(E80,名称!A:D,4,FALSE),"")</f>
        <v>KIK</v>
      </c>
    </row>
    <row r="81" s="427" customFormat="1" hidden="1" customHeight="1" spans="1:72">
      <c r="A81" s="93">
        <v>45981</v>
      </c>
      <c r="B81" s="95" t="s">
        <v>237</v>
      </c>
      <c r="C81" s="96">
        <v>10115150</v>
      </c>
      <c r="D81" s="96">
        <v>202530170065</v>
      </c>
      <c r="E81" s="97" t="s">
        <v>115</v>
      </c>
      <c r="F81" s="99">
        <v>5000</v>
      </c>
      <c r="G81" s="93">
        <v>46057</v>
      </c>
      <c r="H81" s="429"/>
      <c r="I81" s="429"/>
      <c r="J81" s="429"/>
      <c r="K81" s="429"/>
      <c r="L81" s="429"/>
      <c r="M81" s="429"/>
      <c r="N81" s="429"/>
      <c r="O81" s="429"/>
      <c r="P81" s="429"/>
      <c r="Q81" s="429"/>
      <c r="R81" s="429"/>
      <c r="S81" s="429"/>
      <c r="T81" s="429"/>
      <c r="U81" s="429"/>
      <c r="V81" s="429"/>
      <c r="W81" s="429"/>
      <c r="X81" s="429"/>
      <c r="Y81" s="429"/>
      <c r="Z81" s="429"/>
      <c r="AA81" s="429"/>
      <c r="AB81" s="429"/>
      <c r="AC81" s="429"/>
      <c r="AD81" s="429"/>
      <c r="AE81" s="429"/>
      <c r="AF81" s="429"/>
      <c r="AG81" s="429"/>
      <c r="AH81" s="429"/>
      <c r="AI81" s="429"/>
      <c r="AJ81" s="429"/>
      <c r="AK81" s="429"/>
      <c r="AL81" s="429"/>
      <c r="AM81" s="429"/>
      <c r="AN81" s="429"/>
      <c r="AO81" s="429">
        <f>F81</f>
        <v>5000</v>
      </c>
      <c r="AP81" s="429"/>
      <c r="AQ81" s="429"/>
      <c r="AR81" s="429"/>
      <c r="AS81" s="429"/>
      <c r="AT81" s="429"/>
      <c r="AU81" s="429"/>
      <c r="AV81" s="429"/>
      <c r="AW81" s="429"/>
      <c r="AX81" s="429"/>
      <c r="AY81" s="429"/>
      <c r="AZ81" s="429"/>
      <c r="BA81" s="429"/>
      <c r="BB81" s="429"/>
      <c r="BC81" s="429"/>
      <c r="BD81" s="429"/>
      <c r="BE81" s="429"/>
      <c r="BF81" s="429"/>
      <c r="BG81" s="429"/>
      <c r="BH81" s="429"/>
      <c r="BI81" s="429"/>
      <c r="BJ81" s="429"/>
      <c r="BK81" s="429"/>
      <c r="BL81" s="429"/>
      <c r="BM81" s="429"/>
      <c r="BN81" s="429"/>
      <c r="BO81" s="429"/>
      <c r="BP81" s="102"/>
      <c r="BQ81" s="102">
        <v>2.204</v>
      </c>
      <c r="BR81" s="451">
        <f t="shared" si="10"/>
        <v>11020</v>
      </c>
      <c r="BS81" s="451">
        <f t="shared" si="9"/>
        <v>85405</v>
      </c>
      <c r="BT81" s="429" t="str">
        <f>IFERROR(VLOOKUP(E81,名称!A:D,4,FALSE),"")</f>
        <v>KIK</v>
      </c>
    </row>
    <row r="82" s="427" customFormat="1" hidden="1" customHeight="1" spans="1:72">
      <c r="A82" s="93">
        <v>45981</v>
      </c>
      <c r="B82" s="95" t="s">
        <v>236</v>
      </c>
      <c r="C82" s="96">
        <v>10115166</v>
      </c>
      <c r="D82" s="96">
        <v>20218779</v>
      </c>
      <c r="E82" s="97" t="s">
        <v>115</v>
      </c>
      <c r="F82" s="99">
        <v>1200</v>
      </c>
      <c r="G82" s="93">
        <v>46057</v>
      </c>
      <c r="H82" s="429"/>
      <c r="I82" s="429"/>
      <c r="J82" s="429"/>
      <c r="K82" s="429"/>
      <c r="L82" s="429"/>
      <c r="M82" s="429"/>
      <c r="N82" s="429"/>
      <c r="O82" s="429"/>
      <c r="P82" s="429"/>
      <c r="Q82" s="429"/>
      <c r="R82" s="429"/>
      <c r="S82" s="429"/>
      <c r="T82" s="429"/>
      <c r="U82" s="429"/>
      <c r="V82" s="429"/>
      <c r="W82" s="429"/>
      <c r="X82" s="429"/>
      <c r="Y82" s="429"/>
      <c r="Z82" s="429"/>
      <c r="AA82" s="429"/>
      <c r="AB82" s="429"/>
      <c r="AC82" s="429"/>
      <c r="AD82" s="429"/>
      <c r="AE82" s="429"/>
      <c r="AF82" s="429"/>
      <c r="AG82" s="429"/>
      <c r="AH82" s="429"/>
      <c r="AI82" s="429"/>
      <c r="AJ82" s="429"/>
      <c r="AK82" s="429"/>
      <c r="AL82" s="429"/>
      <c r="AM82" s="429"/>
      <c r="AN82" s="429"/>
      <c r="AO82" s="429">
        <f>F82</f>
        <v>1200</v>
      </c>
      <c r="AP82" s="429"/>
      <c r="AQ82" s="429"/>
      <c r="AR82" s="429"/>
      <c r="AS82" s="429"/>
      <c r="AT82" s="429"/>
      <c r="AU82" s="429"/>
      <c r="AV82" s="429"/>
      <c r="AW82" s="429"/>
      <c r="AX82" s="429"/>
      <c r="AY82" s="429"/>
      <c r="AZ82" s="429"/>
      <c r="BA82" s="429"/>
      <c r="BB82" s="429"/>
      <c r="BC82" s="429"/>
      <c r="BD82" s="429"/>
      <c r="BE82" s="429"/>
      <c r="BF82" s="429"/>
      <c r="BG82" s="429"/>
      <c r="BH82" s="429"/>
      <c r="BI82" s="429"/>
      <c r="BJ82" s="429"/>
      <c r="BK82" s="429"/>
      <c r="BL82" s="429"/>
      <c r="BM82" s="429"/>
      <c r="BN82" s="429"/>
      <c r="BO82" s="429"/>
      <c r="BP82" s="102"/>
      <c r="BQ82" s="102">
        <v>2.204</v>
      </c>
      <c r="BR82" s="451">
        <f t="shared" si="10"/>
        <v>2644.8</v>
      </c>
      <c r="BS82" s="451">
        <f t="shared" si="9"/>
        <v>20497.2</v>
      </c>
      <c r="BT82" s="429" t="str">
        <f>IFERROR(VLOOKUP(E82,名称!A:D,4,FALSE),"")</f>
        <v>KIK</v>
      </c>
    </row>
    <row r="83" s="427" customFormat="1" hidden="1" customHeight="1" spans="1:72">
      <c r="A83" s="93">
        <v>45981</v>
      </c>
      <c r="B83" s="95" t="s">
        <v>237</v>
      </c>
      <c r="C83" s="96">
        <v>10115213</v>
      </c>
      <c r="D83" s="96">
        <v>202532270054</v>
      </c>
      <c r="E83" s="97" t="s">
        <v>50</v>
      </c>
      <c r="F83" s="99">
        <f>5000-600</f>
        <v>4400</v>
      </c>
      <c r="G83" s="93">
        <v>46043</v>
      </c>
      <c r="H83" s="429"/>
      <c r="I83" s="429"/>
      <c r="J83" s="429"/>
      <c r="K83" s="429"/>
      <c r="L83" s="429">
        <f>F83</f>
        <v>4400</v>
      </c>
      <c r="M83" s="429"/>
      <c r="N83" s="429"/>
      <c r="O83" s="429"/>
      <c r="P83" s="429"/>
      <c r="Q83" s="429"/>
      <c r="R83" s="429"/>
      <c r="S83" s="429"/>
      <c r="T83" s="429"/>
      <c r="U83" s="429"/>
      <c r="V83" s="429"/>
      <c r="W83" s="429"/>
      <c r="X83" s="429"/>
      <c r="Y83" s="429"/>
      <c r="Z83" s="429"/>
      <c r="AA83" s="429"/>
      <c r="AB83" s="429"/>
      <c r="AC83" s="429"/>
      <c r="AD83" s="429"/>
      <c r="AE83" s="429"/>
      <c r="AF83" s="429"/>
      <c r="AG83" s="429"/>
      <c r="AH83" s="429"/>
      <c r="AI83" s="429"/>
      <c r="AJ83" s="429"/>
      <c r="AK83" s="429"/>
      <c r="AL83" s="429"/>
      <c r="AM83" s="429"/>
      <c r="AN83" s="429"/>
      <c r="AO83" s="429"/>
      <c r="AP83" s="429"/>
      <c r="AQ83" s="429"/>
      <c r="AR83" s="429"/>
      <c r="AS83" s="429"/>
      <c r="AT83" s="429"/>
      <c r="AU83" s="429"/>
      <c r="AV83" s="429"/>
      <c r="AW83" s="429"/>
      <c r="AX83" s="429"/>
      <c r="AY83" s="429"/>
      <c r="AZ83" s="429"/>
      <c r="BA83" s="429"/>
      <c r="BB83" s="429"/>
      <c r="BC83" s="429"/>
      <c r="BD83" s="429"/>
      <c r="BE83" s="429"/>
      <c r="BF83" s="429"/>
      <c r="BG83" s="429"/>
      <c r="BH83" s="429"/>
      <c r="BI83" s="429"/>
      <c r="BJ83" s="429"/>
      <c r="BK83" s="429"/>
      <c r="BL83" s="429"/>
      <c r="BM83" s="429"/>
      <c r="BN83" s="429"/>
      <c r="BO83" s="429"/>
      <c r="BP83" s="102"/>
      <c r="BQ83" s="102">
        <v>2.218</v>
      </c>
      <c r="BR83" s="451">
        <f t="shared" si="10"/>
        <v>9759.2</v>
      </c>
      <c r="BS83" s="451">
        <f t="shared" si="9"/>
        <v>75633.8</v>
      </c>
      <c r="BT83" s="429" t="str">
        <f>IFERROR(VLOOKUP(E83,名称!A:D,4,FALSE),"")</f>
        <v>KIK</v>
      </c>
    </row>
    <row r="84" s="427" customFormat="1" hidden="1" customHeight="1" spans="1:72">
      <c r="A84" s="93">
        <v>45987</v>
      </c>
      <c r="B84" s="95" t="s">
        <v>237</v>
      </c>
      <c r="C84" s="96">
        <v>10115577</v>
      </c>
      <c r="D84" s="96">
        <v>202532872355</v>
      </c>
      <c r="E84" s="97" t="s">
        <v>95</v>
      </c>
      <c r="F84" s="99">
        <f>5000-480</f>
        <v>4520</v>
      </c>
      <c r="G84" s="93">
        <v>46092</v>
      </c>
      <c r="H84" s="429"/>
      <c r="I84" s="429"/>
      <c r="J84" s="429"/>
      <c r="K84" s="429"/>
      <c r="L84" s="429"/>
      <c r="M84" s="429"/>
      <c r="N84" s="429"/>
      <c r="O84" s="429"/>
      <c r="P84" s="429"/>
      <c r="Q84" s="429"/>
      <c r="R84" s="429"/>
      <c r="S84" s="429"/>
      <c r="T84" s="429"/>
      <c r="U84" s="429"/>
      <c r="V84" s="429"/>
      <c r="W84" s="429"/>
      <c r="X84" s="429"/>
      <c r="Y84" s="429"/>
      <c r="Z84" s="429"/>
      <c r="AA84" s="429"/>
      <c r="AB84" s="429"/>
      <c r="AC84" s="429"/>
      <c r="AD84" s="429"/>
      <c r="AE84" s="429"/>
      <c r="AF84" s="429"/>
      <c r="AG84" s="429"/>
      <c r="AH84" s="429">
        <f>F84</f>
        <v>4520</v>
      </c>
      <c r="AI84" s="429"/>
      <c r="AJ84" s="429"/>
      <c r="AK84" s="429"/>
      <c r="AL84" s="429"/>
      <c r="AM84" s="429"/>
      <c r="AN84" s="429"/>
      <c r="AO84" s="429"/>
      <c r="AP84" s="429"/>
      <c r="AQ84" s="429"/>
      <c r="AR84" s="429"/>
      <c r="AS84" s="429"/>
      <c r="AT84" s="429"/>
      <c r="AU84" s="429"/>
      <c r="AV84" s="429"/>
      <c r="AW84" s="429"/>
      <c r="AX84" s="429"/>
      <c r="AY84" s="429"/>
      <c r="AZ84" s="429"/>
      <c r="BA84" s="429"/>
      <c r="BB84" s="429"/>
      <c r="BC84" s="429"/>
      <c r="BD84" s="429"/>
      <c r="BE84" s="429"/>
      <c r="BF84" s="429"/>
      <c r="BG84" s="429"/>
      <c r="BH84" s="429"/>
      <c r="BI84" s="429"/>
      <c r="BJ84" s="429"/>
      <c r="BK84" s="429"/>
      <c r="BL84" s="429"/>
      <c r="BM84" s="429"/>
      <c r="BN84" s="429"/>
      <c r="BO84" s="429"/>
      <c r="BP84" s="102"/>
      <c r="BQ84" s="102">
        <v>2.205</v>
      </c>
      <c r="BR84" s="451">
        <f t="shared" si="10"/>
        <v>9966.6</v>
      </c>
      <c r="BS84" s="451">
        <f t="shared" si="9"/>
        <v>77241.15</v>
      </c>
      <c r="BT84" s="429" t="str">
        <f>IFERROR(VLOOKUP(E84,名称!A:D,4,FALSE),"")</f>
        <v>KIK</v>
      </c>
    </row>
    <row r="85" s="427" customFormat="1" hidden="1" customHeight="1" spans="1:72">
      <c r="A85" s="93">
        <v>45987</v>
      </c>
      <c r="B85" s="95" t="s">
        <v>237</v>
      </c>
      <c r="C85" s="96">
        <v>10115579</v>
      </c>
      <c r="D85" s="96">
        <v>202532872357</v>
      </c>
      <c r="E85" s="97" t="s">
        <v>122</v>
      </c>
      <c r="F85" s="99">
        <v>5004</v>
      </c>
      <c r="G85" s="93">
        <v>46092</v>
      </c>
      <c r="H85" s="429"/>
      <c r="I85" s="429"/>
      <c r="J85" s="429"/>
      <c r="K85" s="429"/>
      <c r="L85" s="429"/>
      <c r="M85" s="429"/>
      <c r="N85" s="429"/>
      <c r="O85" s="429"/>
      <c r="P85" s="429"/>
      <c r="Q85" s="429"/>
      <c r="R85" s="429"/>
      <c r="S85" s="429"/>
      <c r="T85" s="429"/>
      <c r="U85" s="429"/>
      <c r="V85" s="429"/>
      <c r="W85" s="429"/>
      <c r="X85" s="429"/>
      <c r="Y85" s="429"/>
      <c r="Z85" s="429"/>
      <c r="AA85" s="429"/>
      <c r="AB85" s="429"/>
      <c r="AC85" s="429"/>
      <c r="AD85" s="429"/>
      <c r="AE85" s="429"/>
      <c r="AF85" s="429">
        <f>F85</f>
        <v>5004</v>
      </c>
      <c r="AG85" s="429"/>
      <c r="AH85" s="429"/>
      <c r="AI85" s="429"/>
      <c r="AJ85" s="429"/>
      <c r="AK85" s="429"/>
      <c r="AL85" s="429"/>
      <c r="AM85" s="429"/>
      <c r="AN85" s="429"/>
      <c r="AO85" s="429"/>
      <c r="AP85" s="429"/>
      <c r="AQ85" s="429"/>
      <c r="AR85" s="429"/>
      <c r="AS85" s="429"/>
      <c r="AT85" s="429"/>
      <c r="AU85" s="429"/>
      <c r="AV85" s="429"/>
      <c r="AW85" s="429"/>
      <c r="AX85" s="429"/>
      <c r="AY85" s="429"/>
      <c r="AZ85" s="429"/>
      <c r="BA85" s="429"/>
      <c r="BB85" s="429"/>
      <c r="BC85" s="429"/>
      <c r="BD85" s="429"/>
      <c r="BE85" s="429"/>
      <c r="BF85" s="429"/>
      <c r="BG85" s="429"/>
      <c r="BH85" s="429"/>
      <c r="BI85" s="429"/>
      <c r="BJ85" s="429"/>
      <c r="BK85" s="429"/>
      <c r="BL85" s="429"/>
      <c r="BM85" s="429"/>
      <c r="BN85" s="429"/>
      <c r="BO85" s="429"/>
      <c r="BP85" s="102"/>
      <c r="BQ85" s="102">
        <v>1.442</v>
      </c>
      <c r="BR85" s="451">
        <f t="shared" si="10"/>
        <v>7215.77</v>
      </c>
      <c r="BS85" s="451">
        <f t="shared" si="9"/>
        <v>55922.22</v>
      </c>
      <c r="BT85" s="429" t="str">
        <f>IFERROR(VLOOKUP(E85,名称!A:D,4,FALSE),"")</f>
        <v>KIK</v>
      </c>
    </row>
    <row r="86" s="427" customFormat="1" hidden="1" customHeight="1" spans="1:72">
      <c r="A86" s="93">
        <v>45987</v>
      </c>
      <c r="B86" s="95" t="s">
        <v>237</v>
      </c>
      <c r="C86" s="96">
        <v>10115579</v>
      </c>
      <c r="D86" s="96">
        <v>202532872357</v>
      </c>
      <c r="E86" s="97" t="s">
        <v>123</v>
      </c>
      <c r="F86" s="99">
        <f>5004-1800</f>
        <v>3204</v>
      </c>
      <c r="G86" s="93">
        <v>46092</v>
      </c>
      <c r="H86" s="429"/>
      <c r="I86" s="429"/>
      <c r="J86" s="429"/>
      <c r="K86" s="429"/>
      <c r="L86" s="429"/>
      <c r="M86" s="429"/>
      <c r="N86" s="429"/>
      <c r="O86" s="429"/>
      <c r="P86" s="429"/>
      <c r="Q86" s="429"/>
      <c r="R86" s="429"/>
      <c r="S86" s="429"/>
      <c r="T86" s="429"/>
      <c r="U86" s="429"/>
      <c r="V86" s="429"/>
      <c r="W86" s="429"/>
      <c r="X86" s="429"/>
      <c r="Y86" s="429"/>
      <c r="Z86" s="429"/>
      <c r="AA86" s="429"/>
      <c r="AB86" s="429"/>
      <c r="AC86" s="429"/>
      <c r="AD86" s="429"/>
      <c r="AE86" s="429"/>
      <c r="AF86" s="429"/>
      <c r="AG86" s="429">
        <f>F86</f>
        <v>3204</v>
      </c>
      <c r="AH86" s="429"/>
      <c r="AI86" s="429"/>
      <c r="AJ86" s="429"/>
      <c r="AK86" s="429"/>
      <c r="AL86" s="429"/>
      <c r="AM86" s="429"/>
      <c r="AN86" s="429"/>
      <c r="AO86" s="429"/>
      <c r="AP86" s="429"/>
      <c r="AQ86" s="429"/>
      <c r="AR86" s="429"/>
      <c r="AS86" s="429"/>
      <c r="AT86" s="429"/>
      <c r="AU86" s="429"/>
      <c r="AV86" s="429"/>
      <c r="AW86" s="429"/>
      <c r="AX86" s="429"/>
      <c r="AY86" s="429"/>
      <c r="AZ86" s="429"/>
      <c r="BA86" s="429"/>
      <c r="BB86" s="429"/>
      <c r="BC86" s="429"/>
      <c r="BD86" s="429"/>
      <c r="BE86" s="429"/>
      <c r="BF86" s="429"/>
      <c r="BG86" s="429"/>
      <c r="BH86" s="429"/>
      <c r="BI86" s="429"/>
      <c r="BJ86" s="429"/>
      <c r="BK86" s="429"/>
      <c r="BL86" s="429"/>
      <c r="BM86" s="429"/>
      <c r="BN86" s="429"/>
      <c r="BO86" s="429"/>
      <c r="BP86" s="120"/>
      <c r="BQ86" s="120">
        <v>1.304</v>
      </c>
      <c r="BR86" s="451">
        <f t="shared" si="10"/>
        <v>4178.02</v>
      </c>
      <c r="BS86" s="451">
        <f t="shared" si="9"/>
        <v>32379.66</v>
      </c>
      <c r="BT86" s="429" t="str">
        <f>IFERROR(VLOOKUP(E86,名称!A:D,4,FALSE),"")</f>
        <v>KIK</v>
      </c>
    </row>
    <row r="87" s="427" customFormat="1" hidden="1" customHeight="1" spans="1:72">
      <c r="A87" s="93">
        <v>45994</v>
      </c>
      <c r="B87" s="95" t="s">
        <v>237</v>
      </c>
      <c r="C87" s="96">
        <v>10116164</v>
      </c>
      <c r="D87" s="96">
        <v>202533572277</v>
      </c>
      <c r="E87" s="97" t="s">
        <v>39</v>
      </c>
      <c r="F87" s="99">
        <v>2500</v>
      </c>
      <c r="G87" s="93">
        <v>46113</v>
      </c>
      <c r="H87" s="429"/>
      <c r="I87" s="429"/>
      <c r="J87" s="429"/>
      <c r="K87" s="429"/>
      <c r="L87" s="429"/>
      <c r="M87" s="429"/>
      <c r="N87" s="429"/>
      <c r="O87" s="429"/>
      <c r="P87" s="429"/>
      <c r="Q87" s="429"/>
      <c r="R87" s="429"/>
      <c r="S87" s="429"/>
      <c r="T87" s="429"/>
      <c r="U87" s="429"/>
      <c r="V87" s="429"/>
      <c r="W87" s="429">
        <f>F87</f>
        <v>2500</v>
      </c>
      <c r="X87" s="429"/>
      <c r="Y87" s="429"/>
      <c r="Z87" s="429"/>
      <c r="AA87" s="429"/>
      <c r="AB87" s="429"/>
      <c r="AC87" s="429"/>
      <c r="AD87" s="429"/>
      <c r="AE87" s="429"/>
      <c r="AF87" s="429"/>
      <c r="AG87" s="429"/>
      <c r="AH87" s="429"/>
      <c r="AI87" s="429"/>
      <c r="AJ87" s="429"/>
      <c r="AK87" s="429"/>
      <c r="AL87" s="429"/>
      <c r="AM87" s="429"/>
      <c r="AN87" s="429"/>
      <c r="AO87" s="429"/>
      <c r="AP87" s="429"/>
      <c r="AQ87" s="429"/>
      <c r="AR87" s="429"/>
      <c r="AS87" s="429"/>
      <c r="AT87" s="429"/>
      <c r="AU87" s="429"/>
      <c r="AV87" s="429"/>
      <c r="AW87" s="429"/>
      <c r="AX87" s="429"/>
      <c r="AY87" s="429"/>
      <c r="AZ87" s="429"/>
      <c r="BA87" s="429"/>
      <c r="BB87" s="429"/>
      <c r="BC87" s="429"/>
      <c r="BD87" s="429"/>
      <c r="BE87" s="429"/>
      <c r="BF87" s="429"/>
      <c r="BG87" s="429"/>
      <c r="BH87" s="429"/>
      <c r="BI87" s="429"/>
      <c r="BJ87" s="429"/>
      <c r="BK87" s="429"/>
      <c r="BL87" s="429"/>
      <c r="BM87" s="429"/>
      <c r="BN87" s="429"/>
      <c r="BO87" s="429"/>
      <c r="BP87" s="102"/>
      <c r="BQ87" s="102">
        <v>30.536</v>
      </c>
      <c r="BR87" s="451">
        <f t="shared" si="10"/>
        <v>76340</v>
      </c>
      <c r="BS87" s="451">
        <f t="shared" si="9"/>
        <v>591635</v>
      </c>
      <c r="BT87" s="429" t="str">
        <f>IFERROR(VLOOKUP(E87,名称!A:D,4,FALSE),"")</f>
        <v>KIK</v>
      </c>
    </row>
    <row r="88" s="427" customFormat="1" hidden="1" customHeight="1" spans="1:72">
      <c r="A88" s="93">
        <v>45995</v>
      </c>
      <c r="B88" s="95" t="s">
        <v>237</v>
      </c>
      <c r="C88" s="96">
        <v>10116269</v>
      </c>
      <c r="D88" s="96">
        <v>202533670077</v>
      </c>
      <c r="E88" s="97" t="s">
        <v>55</v>
      </c>
      <c r="F88" s="99">
        <v>5004</v>
      </c>
      <c r="G88" s="93">
        <v>46050</v>
      </c>
      <c r="H88" s="429"/>
      <c r="I88" s="429"/>
      <c r="J88" s="429"/>
      <c r="K88" s="429"/>
      <c r="L88" s="429"/>
      <c r="M88" s="429">
        <f>F88</f>
        <v>5004</v>
      </c>
      <c r="N88" s="429"/>
      <c r="O88" s="429"/>
      <c r="P88" s="429"/>
      <c r="Q88" s="429"/>
      <c r="R88" s="429"/>
      <c r="S88" s="429"/>
      <c r="T88" s="429"/>
      <c r="U88" s="429"/>
      <c r="V88" s="429"/>
      <c r="W88" s="429"/>
      <c r="X88" s="429"/>
      <c r="Y88" s="429"/>
      <c r="Z88" s="429"/>
      <c r="AA88" s="429"/>
      <c r="AB88" s="429"/>
      <c r="AC88" s="429"/>
      <c r="AD88" s="429"/>
      <c r="AE88" s="429"/>
      <c r="AF88" s="429"/>
      <c r="AG88" s="429"/>
      <c r="AH88" s="429"/>
      <c r="AI88" s="429"/>
      <c r="AJ88" s="429"/>
      <c r="AK88" s="429"/>
      <c r="AL88" s="429"/>
      <c r="AM88" s="429"/>
      <c r="AN88" s="429"/>
      <c r="AO88" s="429"/>
      <c r="AP88" s="429"/>
      <c r="AQ88" s="429"/>
      <c r="AR88" s="429"/>
      <c r="AS88" s="429"/>
      <c r="AT88" s="429"/>
      <c r="AU88" s="429"/>
      <c r="AV88" s="429"/>
      <c r="AW88" s="429"/>
      <c r="AX88" s="429"/>
      <c r="AY88" s="429"/>
      <c r="AZ88" s="429"/>
      <c r="BA88" s="429"/>
      <c r="BB88" s="429"/>
      <c r="BC88" s="429"/>
      <c r="BD88" s="429"/>
      <c r="BE88" s="429"/>
      <c r="BF88" s="429"/>
      <c r="BG88" s="429"/>
      <c r="BH88" s="429"/>
      <c r="BI88" s="429"/>
      <c r="BJ88" s="429"/>
      <c r="BK88" s="429"/>
      <c r="BL88" s="429"/>
      <c r="BM88" s="429"/>
      <c r="BN88" s="429"/>
      <c r="BO88" s="429"/>
      <c r="BP88" s="102"/>
      <c r="BQ88" s="102">
        <v>1.413</v>
      </c>
      <c r="BR88" s="451">
        <f t="shared" si="10"/>
        <v>7070.65</v>
      </c>
      <c r="BS88" s="451">
        <f t="shared" si="9"/>
        <v>54797.54</v>
      </c>
      <c r="BT88" s="429" t="str">
        <f>IFERROR(VLOOKUP(E88,名称!A:D,4,FALSE),"")</f>
        <v>KIK</v>
      </c>
    </row>
    <row r="89" s="427" customFormat="1" hidden="1" customHeight="1" spans="1:72">
      <c r="A89" s="93">
        <v>45997</v>
      </c>
      <c r="B89" s="95" t="s">
        <v>237</v>
      </c>
      <c r="C89" s="96">
        <v>10116495</v>
      </c>
      <c r="D89" s="96">
        <v>202533770061</v>
      </c>
      <c r="E89" s="97" t="s">
        <v>118</v>
      </c>
      <c r="F89" s="99">
        <v>1800</v>
      </c>
      <c r="G89" s="93">
        <v>46155</v>
      </c>
      <c r="H89" s="429"/>
      <c r="I89" s="429"/>
      <c r="J89" s="429"/>
      <c r="K89" s="429"/>
      <c r="L89" s="429"/>
      <c r="M89" s="429"/>
      <c r="N89" s="429"/>
      <c r="O89" s="429"/>
      <c r="P89" s="429"/>
      <c r="Q89" s="429"/>
      <c r="R89" s="429"/>
      <c r="S89" s="429"/>
      <c r="T89" s="429"/>
      <c r="U89" s="429"/>
      <c r="V89" s="429"/>
      <c r="W89" s="429"/>
      <c r="X89" s="429"/>
      <c r="Y89" s="429"/>
      <c r="Z89" s="429"/>
      <c r="AA89" s="429"/>
      <c r="AB89" s="429"/>
      <c r="AC89" s="429"/>
      <c r="AD89" s="429"/>
      <c r="AE89" s="429"/>
      <c r="AF89" s="429"/>
      <c r="AG89" s="429"/>
      <c r="AH89" s="429"/>
      <c r="AI89" s="429"/>
      <c r="AJ89" s="429"/>
      <c r="AK89" s="429"/>
      <c r="AL89" s="429"/>
      <c r="AM89" s="429"/>
      <c r="AN89" s="429"/>
      <c r="AO89" s="429"/>
      <c r="AP89" s="429"/>
      <c r="AQ89" s="429">
        <f>F89</f>
        <v>1800</v>
      </c>
      <c r="AR89" s="429"/>
      <c r="AS89" s="429"/>
      <c r="AT89" s="429"/>
      <c r="AU89" s="429"/>
      <c r="AV89" s="429"/>
      <c r="AW89" s="429"/>
      <c r="AX89" s="429"/>
      <c r="AY89" s="429"/>
      <c r="AZ89" s="429"/>
      <c r="BA89" s="429"/>
      <c r="BB89" s="429"/>
      <c r="BC89" s="429"/>
      <c r="BD89" s="429"/>
      <c r="BE89" s="429"/>
      <c r="BF89" s="429"/>
      <c r="BG89" s="429"/>
      <c r="BH89" s="429"/>
      <c r="BI89" s="429"/>
      <c r="BJ89" s="429"/>
      <c r="BK89" s="429"/>
      <c r="BL89" s="429"/>
      <c r="BM89" s="429"/>
      <c r="BN89" s="429"/>
      <c r="BO89" s="429"/>
      <c r="BP89" s="102"/>
      <c r="BQ89" s="102">
        <v>16.71</v>
      </c>
      <c r="BR89" s="451">
        <f t="shared" si="10"/>
        <v>30078</v>
      </c>
      <c r="BS89" s="451">
        <f t="shared" si="9"/>
        <v>233104.5</v>
      </c>
      <c r="BT89" s="429" t="str">
        <f>IFERROR(VLOOKUP(E89,名称!A:D,4,FALSE),"")</f>
        <v>KIK</v>
      </c>
    </row>
    <row r="90" s="427" customFormat="1" hidden="1" customHeight="1" spans="1:72">
      <c r="A90" s="93">
        <v>45997</v>
      </c>
      <c r="B90" s="95" t="s">
        <v>237</v>
      </c>
      <c r="C90" s="96">
        <v>10116495</v>
      </c>
      <c r="D90" s="96">
        <v>202533770061</v>
      </c>
      <c r="E90" s="97" t="s">
        <v>118</v>
      </c>
      <c r="F90" s="99">
        <v>700</v>
      </c>
      <c r="G90" s="93">
        <v>46155</v>
      </c>
      <c r="H90" s="429"/>
      <c r="I90" s="429"/>
      <c r="J90" s="429"/>
      <c r="K90" s="429"/>
      <c r="L90" s="429"/>
      <c r="M90" s="429"/>
      <c r="N90" s="429"/>
      <c r="O90" s="429"/>
      <c r="P90" s="429"/>
      <c r="Q90" s="429"/>
      <c r="R90" s="429"/>
      <c r="S90" s="429"/>
      <c r="T90" s="429"/>
      <c r="U90" s="429"/>
      <c r="V90" s="429"/>
      <c r="W90" s="429"/>
      <c r="X90" s="429"/>
      <c r="Y90" s="429"/>
      <c r="Z90" s="429"/>
      <c r="AA90" s="429"/>
      <c r="AB90" s="429"/>
      <c r="AC90" s="429"/>
      <c r="AD90" s="429"/>
      <c r="AE90" s="429"/>
      <c r="AF90" s="429"/>
      <c r="AG90" s="429"/>
      <c r="AH90" s="429"/>
      <c r="AI90" s="429"/>
      <c r="AJ90" s="429"/>
      <c r="AK90" s="429"/>
      <c r="AL90" s="429"/>
      <c r="AM90" s="429"/>
      <c r="AN90" s="429"/>
      <c r="AO90" s="429"/>
      <c r="AP90" s="429"/>
      <c r="AQ90" s="429">
        <f>F90</f>
        <v>700</v>
      </c>
      <c r="AR90" s="429"/>
      <c r="AS90" s="429"/>
      <c r="AT90" s="429"/>
      <c r="AU90" s="429"/>
      <c r="AV90" s="429"/>
      <c r="AW90" s="429"/>
      <c r="AX90" s="429"/>
      <c r="AY90" s="429"/>
      <c r="AZ90" s="429"/>
      <c r="BA90" s="429"/>
      <c r="BB90" s="429"/>
      <c r="BC90" s="429"/>
      <c r="BD90" s="429"/>
      <c r="BE90" s="429"/>
      <c r="BF90" s="429"/>
      <c r="BG90" s="429"/>
      <c r="BH90" s="429"/>
      <c r="BI90" s="429"/>
      <c r="BJ90" s="429"/>
      <c r="BK90" s="429"/>
      <c r="BL90" s="429"/>
      <c r="BM90" s="429"/>
      <c r="BN90" s="429"/>
      <c r="BO90" s="429"/>
      <c r="BP90" s="102"/>
      <c r="BQ90" s="102">
        <v>16.71</v>
      </c>
      <c r="BR90" s="451">
        <f t="shared" si="10"/>
        <v>11697</v>
      </c>
      <c r="BS90" s="451">
        <f t="shared" si="9"/>
        <v>90651.75</v>
      </c>
      <c r="BT90" s="429" t="str">
        <f>IFERROR(VLOOKUP(E90,名称!A:D,4,FALSE),"")</f>
        <v>KIK</v>
      </c>
    </row>
    <row r="91" s="427" customFormat="1" hidden="1" customHeight="1" spans="1:72">
      <c r="A91" s="93">
        <v>45997</v>
      </c>
      <c r="B91" s="95" t="s">
        <v>237</v>
      </c>
      <c r="C91" s="96">
        <v>10116494</v>
      </c>
      <c r="D91" s="96">
        <v>202533770060</v>
      </c>
      <c r="E91" s="97" t="s">
        <v>120</v>
      </c>
      <c r="F91" s="99">
        <v>2500</v>
      </c>
      <c r="G91" s="93">
        <v>46204</v>
      </c>
      <c r="H91" s="429"/>
      <c r="I91" s="429"/>
      <c r="J91" s="429"/>
      <c r="K91" s="429"/>
      <c r="L91" s="429"/>
      <c r="M91" s="429"/>
      <c r="N91" s="429"/>
      <c r="O91" s="429"/>
      <c r="P91" s="429"/>
      <c r="Q91" s="429"/>
      <c r="R91" s="429"/>
      <c r="S91" s="429"/>
      <c r="T91" s="429"/>
      <c r="U91" s="429"/>
      <c r="V91" s="429"/>
      <c r="W91" s="429"/>
      <c r="X91" s="429"/>
      <c r="Y91" s="429"/>
      <c r="Z91" s="429"/>
      <c r="AA91" s="429"/>
      <c r="AB91" s="429"/>
      <c r="AC91" s="429"/>
      <c r="AD91" s="429"/>
      <c r="AE91" s="429"/>
      <c r="AF91" s="429"/>
      <c r="AG91" s="429"/>
      <c r="AH91" s="429"/>
      <c r="AI91" s="429"/>
      <c r="AJ91" s="429"/>
      <c r="AK91" s="429"/>
      <c r="AL91" s="429"/>
      <c r="AM91" s="429"/>
      <c r="AN91" s="429"/>
      <c r="AO91" s="429"/>
      <c r="AP91" s="429"/>
      <c r="AQ91" s="429"/>
      <c r="AR91" s="429">
        <f>F91</f>
        <v>2500</v>
      </c>
      <c r="AS91" s="429"/>
      <c r="AT91" s="429"/>
      <c r="AU91" s="429"/>
      <c r="AV91" s="429"/>
      <c r="AW91" s="429"/>
      <c r="AX91" s="429"/>
      <c r="AY91" s="429"/>
      <c r="AZ91" s="429"/>
      <c r="BA91" s="429"/>
      <c r="BB91" s="429"/>
      <c r="BC91" s="429"/>
      <c r="BD91" s="429"/>
      <c r="BE91" s="429"/>
      <c r="BF91" s="429"/>
      <c r="BG91" s="429"/>
      <c r="BH91" s="429"/>
      <c r="BI91" s="429"/>
      <c r="BJ91" s="429"/>
      <c r="BK91" s="429"/>
      <c r="BL91" s="429"/>
      <c r="BM91" s="429"/>
      <c r="BN91" s="429"/>
      <c r="BO91" s="429"/>
      <c r="BP91" s="102"/>
      <c r="BQ91" s="102">
        <v>21.352</v>
      </c>
      <c r="BR91" s="451">
        <f t="shared" si="10"/>
        <v>53380</v>
      </c>
      <c r="BS91" s="451">
        <f t="shared" si="9"/>
        <v>413695</v>
      </c>
      <c r="BT91" s="429" t="str">
        <f>IFERROR(VLOOKUP(E91,名称!A:D,4,FALSE),"")</f>
        <v>KIK</v>
      </c>
    </row>
    <row r="92" s="427" customFormat="1" hidden="1" customHeight="1" spans="1:72">
      <c r="A92" s="93">
        <v>45997</v>
      </c>
      <c r="B92" s="95" t="s">
        <v>235</v>
      </c>
      <c r="C92" s="96">
        <v>10115934</v>
      </c>
      <c r="D92" s="96">
        <v>4500031985</v>
      </c>
      <c r="E92" s="97" t="s">
        <v>97</v>
      </c>
      <c r="F92" s="99">
        <f>2500-600-600</f>
        <v>1300</v>
      </c>
      <c r="G92" s="93">
        <v>46092</v>
      </c>
      <c r="H92" s="429"/>
      <c r="I92" s="429"/>
      <c r="J92" s="429"/>
      <c r="K92" s="429"/>
      <c r="L92" s="429"/>
      <c r="M92" s="429"/>
      <c r="N92" s="429"/>
      <c r="O92" s="429"/>
      <c r="P92" s="429"/>
      <c r="Q92" s="429"/>
      <c r="R92" s="429"/>
      <c r="S92" s="429"/>
      <c r="T92" s="429"/>
      <c r="U92" s="429"/>
      <c r="V92" s="429"/>
      <c r="W92" s="429"/>
      <c r="X92" s="429"/>
      <c r="Y92" s="429"/>
      <c r="Z92" s="429"/>
      <c r="AA92" s="429"/>
      <c r="AB92" s="429"/>
      <c r="AC92" s="429"/>
      <c r="AD92" s="429"/>
      <c r="AE92" s="429"/>
      <c r="AF92" s="429"/>
      <c r="AG92" s="429"/>
      <c r="AH92" s="429"/>
      <c r="AI92" s="429">
        <f>F92</f>
        <v>1300</v>
      </c>
      <c r="AJ92" s="429"/>
      <c r="AK92" s="429"/>
      <c r="AL92" s="429"/>
      <c r="AM92" s="429"/>
      <c r="AN92" s="429"/>
      <c r="AO92" s="429"/>
      <c r="AP92" s="429"/>
      <c r="AQ92" s="429"/>
      <c r="AR92" s="429"/>
      <c r="AS92" s="429"/>
      <c r="AT92" s="429"/>
      <c r="AU92" s="429"/>
      <c r="AV92" s="429"/>
      <c r="AW92" s="429"/>
      <c r="AX92" s="429"/>
      <c r="AY92" s="429"/>
      <c r="AZ92" s="429"/>
      <c r="BA92" s="429"/>
      <c r="BB92" s="429"/>
      <c r="BC92" s="429"/>
      <c r="BD92" s="429"/>
      <c r="BE92" s="429"/>
      <c r="BF92" s="429"/>
      <c r="BG92" s="429"/>
      <c r="BH92" s="429"/>
      <c r="BI92" s="429"/>
      <c r="BJ92" s="429"/>
      <c r="BK92" s="429"/>
      <c r="BL92" s="429"/>
      <c r="BM92" s="429"/>
      <c r="BN92" s="429"/>
      <c r="BO92" s="429"/>
      <c r="BP92" s="102"/>
      <c r="BQ92" s="102">
        <v>3.43</v>
      </c>
      <c r="BR92" s="451">
        <f t="shared" si="10"/>
        <v>4459</v>
      </c>
      <c r="BS92" s="451">
        <f t="shared" ref="BS92:BS129" si="11">BR92*7.75</f>
        <v>34557.25</v>
      </c>
      <c r="BT92" s="429" t="str">
        <f>IFERROR(VLOOKUP(E92,名称!A:D,4,FALSE),"")</f>
        <v>KIK</v>
      </c>
    </row>
    <row r="93" s="427" customFormat="1" hidden="1" customHeight="1" spans="1:72">
      <c r="A93" s="93">
        <v>45997</v>
      </c>
      <c r="B93" s="95" t="s">
        <v>235</v>
      </c>
      <c r="C93" s="96">
        <v>10115934</v>
      </c>
      <c r="D93" s="96">
        <v>4500031985</v>
      </c>
      <c r="E93" s="97" t="s">
        <v>95</v>
      </c>
      <c r="F93" s="99">
        <v>3600</v>
      </c>
      <c r="G93" s="93">
        <v>46113</v>
      </c>
      <c r="H93" s="429"/>
      <c r="I93" s="429"/>
      <c r="J93" s="429"/>
      <c r="K93" s="429"/>
      <c r="L93" s="429"/>
      <c r="M93" s="429"/>
      <c r="N93" s="429"/>
      <c r="O93" s="429"/>
      <c r="P93" s="429"/>
      <c r="Q93" s="429"/>
      <c r="R93" s="429"/>
      <c r="S93" s="429"/>
      <c r="T93" s="429"/>
      <c r="U93" s="429"/>
      <c r="V93" s="429"/>
      <c r="W93" s="429"/>
      <c r="X93" s="429"/>
      <c r="Y93" s="429"/>
      <c r="Z93" s="429"/>
      <c r="AA93" s="429"/>
      <c r="AB93" s="429"/>
      <c r="AC93" s="429"/>
      <c r="AD93" s="429"/>
      <c r="AE93" s="429"/>
      <c r="AF93" s="429"/>
      <c r="AG93" s="429"/>
      <c r="AH93" s="429">
        <f>F93</f>
        <v>3600</v>
      </c>
      <c r="AI93" s="429"/>
      <c r="AJ93" s="429"/>
      <c r="AK93" s="429"/>
      <c r="AL93" s="429"/>
      <c r="AM93" s="429"/>
      <c r="AN93" s="429"/>
      <c r="AO93" s="429"/>
      <c r="AP93" s="429"/>
      <c r="AQ93" s="429"/>
      <c r="AR93" s="429"/>
      <c r="AS93" s="429"/>
      <c r="AT93" s="429"/>
      <c r="AU93" s="429"/>
      <c r="AV93" s="429"/>
      <c r="AW93" s="429"/>
      <c r="AX93" s="429"/>
      <c r="AY93" s="429"/>
      <c r="AZ93" s="429"/>
      <c r="BA93" s="429"/>
      <c r="BB93" s="429"/>
      <c r="BC93" s="429"/>
      <c r="BD93" s="429"/>
      <c r="BE93" s="429"/>
      <c r="BF93" s="429"/>
      <c r="BG93" s="429"/>
      <c r="BH93" s="429"/>
      <c r="BI93" s="429"/>
      <c r="BJ93" s="429"/>
      <c r="BK93" s="429"/>
      <c r="BL93" s="429"/>
      <c r="BM93" s="429"/>
      <c r="BN93" s="429"/>
      <c r="BO93" s="429"/>
      <c r="BP93" s="102"/>
      <c r="BQ93" s="102">
        <v>2.205</v>
      </c>
      <c r="BR93" s="451">
        <f t="shared" si="10"/>
        <v>7938</v>
      </c>
      <c r="BS93" s="451">
        <f t="shared" si="11"/>
        <v>61519.5</v>
      </c>
      <c r="BT93" s="429" t="str">
        <f>IFERROR(VLOOKUP(E93,名称!A:D,4,FALSE),"")</f>
        <v>KIK</v>
      </c>
    </row>
    <row r="94" s="427" customFormat="1" hidden="1" customHeight="1" spans="1:72">
      <c r="A94" s="93">
        <v>45997</v>
      </c>
      <c r="B94" s="95" t="s">
        <v>235</v>
      </c>
      <c r="C94" s="96">
        <v>10115934</v>
      </c>
      <c r="D94" s="96">
        <v>4500031985</v>
      </c>
      <c r="E94" s="97" t="s">
        <v>95</v>
      </c>
      <c r="F94" s="99">
        <f>5400-4000</f>
        <v>1400</v>
      </c>
      <c r="G94" s="93">
        <v>46113</v>
      </c>
      <c r="H94" s="429"/>
      <c r="I94" s="429"/>
      <c r="J94" s="429"/>
      <c r="K94" s="429"/>
      <c r="L94" s="429"/>
      <c r="M94" s="429"/>
      <c r="N94" s="429"/>
      <c r="O94" s="429"/>
      <c r="P94" s="429"/>
      <c r="Q94" s="429"/>
      <c r="R94" s="429"/>
      <c r="S94" s="429"/>
      <c r="T94" s="429"/>
      <c r="U94" s="429"/>
      <c r="V94" s="429"/>
      <c r="W94" s="429"/>
      <c r="X94" s="429"/>
      <c r="Y94" s="429"/>
      <c r="Z94" s="429"/>
      <c r="AA94" s="429"/>
      <c r="AB94" s="429"/>
      <c r="AC94" s="429"/>
      <c r="AD94" s="429"/>
      <c r="AE94" s="429"/>
      <c r="AF94" s="429"/>
      <c r="AG94" s="429"/>
      <c r="AH94" s="429">
        <f>F94</f>
        <v>1400</v>
      </c>
      <c r="AI94" s="429"/>
      <c r="AJ94" s="429"/>
      <c r="AK94" s="429"/>
      <c r="AL94" s="429"/>
      <c r="AM94" s="429"/>
      <c r="AN94" s="429"/>
      <c r="AO94" s="429"/>
      <c r="AP94" s="429"/>
      <c r="AQ94" s="429"/>
      <c r="AR94" s="429"/>
      <c r="AS94" s="429"/>
      <c r="AT94" s="429"/>
      <c r="AU94" s="429"/>
      <c r="AV94" s="429"/>
      <c r="AW94" s="429"/>
      <c r="AX94" s="429"/>
      <c r="AY94" s="429"/>
      <c r="AZ94" s="429"/>
      <c r="BA94" s="429"/>
      <c r="BB94" s="429"/>
      <c r="BC94" s="429"/>
      <c r="BD94" s="429"/>
      <c r="BE94" s="429"/>
      <c r="BF94" s="429"/>
      <c r="BG94" s="429"/>
      <c r="BH94" s="429"/>
      <c r="BI94" s="429"/>
      <c r="BJ94" s="429"/>
      <c r="BK94" s="429"/>
      <c r="BL94" s="429"/>
      <c r="BM94" s="429"/>
      <c r="BN94" s="429"/>
      <c r="BO94" s="429"/>
      <c r="BP94" s="102"/>
      <c r="BQ94" s="102">
        <v>2.205</v>
      </c>
      <c r="BR94" s="451">
        <f t="shared" si="10"/>
        <v>3087</v>
      </c>
      <c r="BS94" s="451">
        <f t="shared" si="11"/>
        <v>23924.25</v>
      </c>
      <c r="BT94" s="429" t="str">
        <f>IFERROR(VLOOKUP(E94,名称!A:D,4,FALSE),"")</f>
        <v>KIK</v>
      </c>
    </row>
    <row r="95" s="427" customFormat="1" hidden="1" customHeight="1" spans="1:72">
      <c r="A95" s="93">
        <v>45997</v>
      </c>
      <c r="B95" s="95" t="s">
        <v>235</v>
      </c>
      <c r="C95" s="96">
        <v>10115934</v>
      </c>
      <c r="D95" s="96">
        <v>4500031985</v>
      </c>
      <c r="E95" s="97" t="s">
        <v>97</v>
      </c>
      <c r="F95" s="99">
        <v>600</v>
      </c>
      <c r="G95" s="93">
        <v>46113</v>
      </c>
      <c r="H95" s="429"/>
      <c r="I95" s="429"/>
      <c r="J95" s="429"/>
      <c r="K95" s="429"/>
      <c r="L95" s="429"/>
      <c r="M95" s="429"/>
      <c r="N95" s="429"/>
      <c r="O95" s="429"/>
      <c r="P95" s="429"/>
      <c r="Q95" s="429"/>
      <c r="R95" s="429"/>
      <c r="S95" s="429"/>
      <c r="T95" s="429"/>
      <c r="U95" s="429"/>
      <c r="V95" s="429"/>
      <c r="W95" s="429"/>
      <c r="X95" s="429"/>
      <c r="Y95" s="429"/>
      <c r="Z95" s="429"/>
      <c r="AA95" s="429"/>
      <c r="AB95" s="429"/>
      <c r="AC95" s="429"/>
      <c r="AD95" s="429"/>
      <c r="AE95" s="429"/>
      <c r="AF95" s="429"/>
      <c r="AG95" s="429"/>
      <c r="AH95" s="429"/>
      <c r="AI95" s="429">
        <f>F95</f>
        <v>600</v>
      </c>
      <c r="AJ95" s="429"/>
      <c r="AK95" s="429"/>
      <c r="AL95" s="429"/>
      <c r="AM95" s="429"/>
      <c r="AN95" s="429"/>
      <c r="AO95" s="429"/>
      <c r="AP95" s="429"/>
      <c r="AQ95" s="429"/>
      <c r="AR95" s="429"/>
      <c r="AS95" s="429"/>
      <c r="AT95" s="429"/>
      <c r="AU95" s="429"/>
      <c r="AV95" s="429"/>
      <c r="AW95" s="429"/>
      <c r="AX95" s="429"/>
      <c r="AY95" s="429"/>
      <c r="AZ95" s="429"/>
      <c r="BA95" s="429"/>
      <c r="BB95" s="429"/>
      <c r="BC95" s="429"/>
      <c r="BD95" s="429"/>
      <c r="BE95" s="429"/>
      <c r="BF95" s="429"/>
      <c r="BG95" s="429"/>
      <c r="BH95" s="429"/>
      <c r="BI95" s="429"/>
      <c r="BJ95" s="429"/>
      <c r="BK95" s="429"/>
      <c r="BL95" s="429"/>
      <c r="BM95" s="429"/>
      <c r="BN95" s="429"/>
      <c r="BO95" s="429"/>
      <c r="BP95" s="102"/>
      <c r="BQ95" s="102">
        <v>3.43</v>
      </c>
      <c r="BR95" s="451">
        <f t="shared" si="10"/>
        <v>2058</v>
      </c>
      <c r="BS95" s="451">
        <f t="shared" si="11"/>
        <v>15949.5</v>
      </c>
      <c r="BT95" s="429" t="str">
        <f>IFERROR(VLOOKUP(E95,名称!A:D,4,FALSE),"")</f>
        <v>KIK</v>
      </c>
    </row>
    <row r="96" s="427" customFormat="1" hidden="1" customHeight="1" spans="1:72">
      <c r="A96" s="93">
        <v>45997</v>
      </c>
      <c r="B96" s="95" t="s">
        <v>235</v>
      </c>
      <c r="C96" s="96">
        <v>10115934</v>
      </c>
      <c r="D96" s="96">
        <v>4500031985</v>
      </c>
      <c r="E96" s="97" t="s">
        <v>97</v>
      </c>
      <c r="F96" s="99">
        <f>2500-2000</f>
        <v>500</v>
      </c>
      <c r="G96" s="93">
        <v>46113</v>
      </c>
      <c r="H96" s="429"/>
      <c r="I96" s="429"/>
      <c r="J96" s="429"/>
      <c r="K96" s="429"/>
      <c r="L96" s="429"/>
      <c r="M96" s="429"/>
      <c r="N96" s="429"/>
      <c r="O96" s="429"/>
      <c r="P96" s="429"/>
      <c r="Q96" s="429"/>
      <c r="R96" s="429"/>
      <c r="S96" s="429"/>
      <c r="T96" s="429"/>
      <c r="U96" s="429"/>
      <c r="V96" s="429"/>
      <c r="W96" s="429"/>
      <c r="X96" s="429"/>
      <c r="Y96" s="429"/>
      <c r="Z96" s="429"/>
      <c r="AA96" s="429"/>
      <c r="AB96" s="429"/>
      <c r="AC96" s="429"/>
      <c r="AD96" s="429"/>
      <c r="AE96" s="429"/>
      <c r="AF96" s="429"/>
      <c r="AG96" s="429"/>
      <c r="AH96" s="429"/>
      <c r="AI96" s="429">
        <f>F96</f>
        <v>500</v>
      </c>
      <c r="AJ96" s="429"/>
      <c r="AK96" s="429"/>
      <c r="AL96" s="429"/>
      <c r="AM96" s="429"/>
      <c r="AN96" s="429"/>
      <c r="AO96" s="429"/>
      <c r="AP96" s="429"/>
      <c r="AQ96" s="429"/>
      <c r="AR96" s="429"/>
      <c r="AS96" s="429"/>
      <c r="AT96" s="429"/>
      <c r="AU96" s="429"/>
      <c r="AV96" s="429"/>
      <c r="AW96" s="429"/>
      <c r="AX96" s="429"/>
      <c r="AY96" s="429"/>
      <c r="AZ96" s="429"/>
      <c r="BA96" s="429"/>
      <c r="BB96" s="429"/>
      <c r="BC96" s="429"/>
      <c r="BD96" s="429"/>
      <c r="BE96" s="429"/>
      <c r="BF96" s="429"/>
      <c r="BG96" s="429"/>
      <c r="BH96" s="429"/>
      <c r="BI96" s="429"/>
      <c r="BJ96" s="429"/>
      <c r="BK96" s="429"/>
      <c r="BL96" s="429"/>
      <c r="BM96" s="429"/>
      <c r="BN96" s="429"/>
      <c r="BO96" s="429"/>
      <c r="BP96" s="102"/>
      <c r="BQ96" s="102">
        <v>3.43</v>
      </c>
      <c r="BR96" s="451">
        <f t="shared" si="10"/>
        <v>1715</v>
      </c>
      <c r="BS96" s="451">
        <f t="shared" si="11"/>
        <v>13291.25</v>
      </c>
      <c r="BT96" s="429" t="str">
        <f>IFERROR(VLOOKUP(E96,名称!A:D,4,FALSE),"")</f>
        <v>KIK</v>
      </c>
    </row>
    <row r="97" s="427" customFormat="1" hidden="1" customHeight="1" spans="1:72">
      <c r="A97" s="93">
        <v>45997</v>
      </c>
      <c r="B97" s="95" t="s">
        <v>235</v>
      </c>
      <c r="C97" s="96">
        <v>10115935</v>
      </c>
      <c r="D97" s="96">
        <v>4500031986</v>
      </c>
      <c r="E97" s="97" t="s">
        <v>91</v>
      </c>
      <c r="F97" s="99">
        <f>2100-480</f>
        <v>1620</v>
      </c>
      <c r="G97" s="93">
        <v>46113</v>
      </c>
      <c r="H97" s="429"/>
      <c r="I97" s="429"/>
      <c r="J97" s="429"/>
      <c r="K97" s="429"/>
      <c r="L97" s="429"/>
      <c r="M97" s="429"/>
      <c r="N97" s="429"/>
      <c r="O97" s="429"/>
      <c r="P97" s="429"/>
      <c r="Q97" s="429"/>
      <c r="R97" s="429"/>
      <c r="S97" s="429"/>
      <c r="T97" s="429"/>
      <c r="U97" s="429"/>
      <c r="V97" s="429"/>
      <c r="W97" s="429"/>
      <c r="X97" s="429"/>
      <c r="Y97" s="429"/>
      <c r="Z97" s="429"/>
      <c r="AA97" s="429"/>
      <c r="AB97" s="429"/>
      <c r="AC97" s="429"/>
      <c r="AD97" s="429"/>
      <c r="AE97" s="429"/>
      <c r="AF97" s="429">
        <f>F97</f>
        <v>1620</v>
      </c>
      <c r="AG97" s="429"/>
      <c r="AH97" s="429"/>
      <c r="AI97" s="429"/>
      <c r="AJ97" s="429"/>
      <c r="AK97" s="429"/>
      <c r="AL97" s="429"/>
      <c r="AM97" s="429"/>
      <c r="AN97" s="429"/>
      <c r="AO97" s="429"/>
      <c r="AP97" s="429"/>
      <c r="AQ97" s="429"/>
      <c r="AR97" s="429"/>
      <c r="AS97" s="429"/>
      <c r="AT97" s="429"/>
      <c r="AU97" s="429"/>
      <c r="AV97" s="429"/>
      <c r="AW97" s="429"/>
      <c r="AX97" s="429"/>
      <c r="AY97" s="429"/>
      <c r="AZ97" s="429"/>
      <c r="BA97" s="429"/>
      <c r="BB97" s="429"/>
      <c r="BC97" s="429"/>
      <c r="BD97" s="429"/>
      <c r="BE97" s="429"/>
      <c r="BF97" s="429"/>
      <c r="BG97" s="429"/>
      <c r="BH97" s="429"/>
      <c r="BI97" s="429"/>
      <c r="BJ97" s="429"/>
      <c r="BK97" s="429"/>
      <c r="BL97" s="429"/>
      <c r="BM97" s="429"/>
      <c r="BN97" s="429"/>
      <c r="BO97" s="429"/>
      <c r="BP97" s="102"/>
      <c r="BQ97" s="102">
        <v>1.451</v>
      </c>
      <c r="BR97" s="451">
        <f t="shared" si="10"/>
        <v>2350.62</v>
      </c>
      <c r="BS97" s="451">
        <f t="shared" si="11"/>
        <v>18217.31</v>
      </c>
      <c r="BT97" s="429" t="str">
        <f>IFERROR(VLOOKUP(E97,名称!A:D,4,FALSE),"")</f>
        <v>KIK</v>
      </c>
    </row>
    <row r="98" s="427" customFormat="1" hidden="1" customHeight="1" spans="1:72">
      <c r="A98" s="93">
        <v>45997</v>
      </c>
      <c r="B98" s="95" t="s">
        <v>235</v>
      </c>
      <c r="C98" s="96">
        <v>10115935</v>
      </c>
      <c r="D98" s="96">
        <v>4500031986</v>
      </c>
      <c r="E98" s="97" t="s">
        <v>153</v>
      </c>
      <c r="F98" s="99">
        <v>1500</v>
      </c>
      <c r="G98" s="93">
        <v>46113</v>
      </c>
      <c r="H98" s="429"/>
      <c r="I98" s="429"/>
      <c r="J98" s="429"/>
      <c r="K98" s="429"/>
      <c r="L98" s="429"/>
      <c r="M98" s="429"/>
      <c r="N98" s="429"/>
      <c r="O98" s="429"/>
      <c r="P98" s="429"/>
      <c r="Q98" s="429"/>
      <c r="R98" s="429"/>
      <c r="S98" s="429"/>
      <c r="T98" s="429"/>
      <c r="U98" s="429"/>
      <c r="V98" s="429"/>
      <c r="W98" s="429"/>
      <c r="X98" s="429"/>
      <c r="Y98" s="429"/>
      <c r="Z98" s="429"/>
      <c r="AA98" s="429"/>
      <c r="AB98" s="429"/>
      <c r="AC98" s="429"/>
      <c r="AD98" s="429"/>
      <c r="AE98" s="429"/>
      <c r="AF98" s="429"/>
      <c r="AG98" s="429">
        <f>F98</f>
        <v>1500</v>
      </c>
      <c r="AH98" s="429"/>
      <c r="AI98" s="429"/>
      <c r="AJ98" s="429"/>
      <c r="AK98" s="429"/>
      <c r="AL98" s="429"/>
      <c r="AM98" s="429"/>
      <c r="AN98" s="429"/>
      <c r="AO98" s="429"/>
      <c r="AP98" s="429"/>
      <c r="AQ98" s="429"/>
      <c r="AR98" s="429"/>
      <c r="AS98" s="429"/>
      <c r="AT98" s="429"/>
      <c r="AU98" s="429"/>
      <c r="AV98" s="429"/>
      <c r="AW98" s="429"/>
      <c r="AX98" s="429"/>
      <c r="AY98" s="429"/>
      <c r="AZ98" s="429"/>
      <c r="BA98" s="429"/>
      <c r="BB98" s="429"/>
      <c r="BC98" s="429"/>
      <c r="BD98" s="429"/>
      <c r="BE98" s="429"/>
      <c r="BF98" s="429"/>
      <c r="BG98" s="429"/>
      <c r="BH98" s="429"/>
      <c r="BI98" s="429"/>
      <c r="BJ98" s="429"/>
      <c r="BK98" s="429"/>
      <c r="BL98" s="429"/>
      <c r="BM98" s="429"/>
      <c r="BN98" s="429"/>
      <c r="BO98" s="429"/>
      <c r="BP98" s="102"/>
      <c r="BQ98" s="102">
        <v>1.324</v>
      </c>
      <c r="BR98" s="451">
        <f t="shared" si="10"/>
        <v>1986</v>
      </c>
      <c r="BS98" s="451">
        <f t="shared" si="11"/>
        <v>15391.5</v>
      </c>
      <c r="BT98" s="429" t="str">
        <f>IFERROR(VLOOKUP(E98,名称!A:D,4,FALSE),"")</f>
        <v>KIK</v>
      </c>
    </row>
    <row r="99" s="427" customFormat="1" hidden="1" customHeight="1" spans="1:72">
      <c r="A99" s="93">
        <v>45997</v>
      </c>
      <c r="B99" s="95" t="s">
        <v>235</v>
      </c>
      <c r="C99" s="96">
        <v>10115935</v>
      </c>
      <c r="D99" s="96">
        <v>4500031986</v>
      </c>
      <c r="E99" s="97" t="s">
        <v>141</v>
      </c>
      <c r="F99" s="99">
        <f>1800-1200</f>
        <v>600</v>
      </c>
      <c r="G99" s="93">
        <v>46134</v>
      </c>
      <c r="H99" s="429"/>
      <c r="I99" s="429"/>
      <c r="J99" s="429"/>
      <c r="K99" s="429"/>
      <c r="L99" s="429"/>
      <c r="M99" s="429"/>
      <c r="N99" s="429"/>
      <c r="O99" s="429"/>
      <c r="P99" s="429"/>
      <c r="Q99" s="429"/>
      <c r="R99" s="429"/>
      <c r="S99" s="429"/>
      <c r="T99" s="429"/>
      <c r="U99" s="429"/>
      <c r="V99" s="429"/>
      <c r="W99" s="429"/>
      <c r="X99" s="429"/>
      <c r="Y99" s="429"/>
      <c r="Z99" s="429"/>
      <c r="AA99" s="429"/>
      <c r="AB99" s="429"/>
      <c r="AC99" s="429"/>
      <c r="AD99" s="429"/>
      <c r="AE99" s="429"/>
      <c r="AF99" s="429">
        <f>F99/6*3</f>
        <v>300</v>
      </c>
      <c r="AG99" s="429">
        <f>F99/6*3</f>
        <v>300</v>
      </c>
      <c r="AH99" s="429"/>
      <c r="AI99" s="429"/>
      <c r="AJ99" s="429"/>
      <c r="AK99" s="429"/>
      <c r="AL99" s="429"/>
      <c r="AM99" s="429"/>
      <c r="AN99" s="429"/>
      <c r="AO99" s="429"/>
      <c r="AP99" s="429"/>
      <c r="AQ99" s="429"/>
      <c r="AR99" s="429"/>
      <c r="AS99" s="429"/>
      <c r="AT99" s="429"/>
      <c r="AU99" s="429"/>
      <c r="AV99" s="429"/>
      <c r="AW99" s="429"/>
      <c r="AX99" s="429"/>
      <c r="AY99" s="429"/>
      <c r="AZ99" s="429"/>
      <c r="BA99" s="429"/>
      <c r="BB99" s="429"/>
      <c r="BC99" s="429"/>
      <c r="BD99" s="429"/>
      <c r="BE99" s="429"/>
      <c r="BF99" s="429"/>
      <c r="BG99" s="429"/>
      <c r="BH99" s="429"/>
      <c r="BI99" s="429"/>
      <c r="BJ99" s="429"/>
      <c r="BK99" s="429"/>
      <c r="BL99" s="429"/>
      <c r="BM99" s="429"/>
      <c r="BN99" s="429"/>
      <c r="BO99" s="429"/>
      <c r="BP99" s="120"/>
      <c r="BQ99" s="120">
        <v>2.398</v>
      </c>
      <c r="BR99" s="451">
        <f t="shared" si="10"/>
        <v>1438.8</v>
      </c>
      <c r="BS99" s="451">
        <f t="shared" si="11"/>
        <v>11150.7</v>
      </c>
      <c r="BT99" s="429" t="str">
        <f>IFERROR(VLOOKUP(E99,名称!A:D,4,FALSE),"")</f>
        <v>KIK</v>
      </c>
    </row>
    <row r="100" s="427" customFormat="1" hidden="1" customHeight="1" spans="1:72">
      <c r="A100" s="93">
        <v>45997</v>
      </c>
      <c r="B100" s="95" t="s">
        <v>235</v>
      </c>
      <c r="C100" s="96">
        <v>10115935</v>
      </c>
      <c r="D100" s="96">
        <v>4500031986</v>
      </c>
      <c r="E100" s="97" t="s">
        <v>141</v>
      </c>
      <c r="F100" s="99">
        <v>1800</v>
      </c>
      <c r="G100" s="93">
        <v>46113</v>
      </c>
      <c r="H100" s="429"/>
      <c r="I100" s="429"/>
      <c r="J100" s="429"/>
      <c r="K100" s="429"/>
      <c r="L100" s="429"/>
      <c r="M100" s="429"/>
      <c r="N100" s="429"/>
      <c r="O100" s="429"/>
      <c r="P100" s="429"/>
      <c r="Q100" s="429"/>
      <c r="R100" s="429"/>
      <c r="S100" s="429"/>
      <c r="T100" s="429"/>
      <c r="U100" s="429"/>
      <c r="V100" s="429"/>
      <c r="W100" s="429"/>
      <c r="X100" s="429"/>
      <c r="Y100" s="429"/>
      <c r="Z100" s="429"/>
      <c r="AA100" s="429"/>
      <c r="AB100" s="429"/>
      <c r="AC100" s="429"/>
      <c r="AD100" s="429"/>
      <c r="AE100" s="429"/>
      <c r="AF100" s="429">
        <f>F100/6*3</f>
        <v>900</v>
      </c>
      <c r="AG100" s="429">
        <f>F100/6*3</f>
        <v>900</v>
      </c>
      <c r="AH100" s="429"/>
      <c r="AI100" s="429"/>
      <c r="AJ100" s="429"/>
      <c r="AK100" s="429"/>
      <c r="AL100" s="429"/>
      <c r="AM100" s="429"/>
      <c r="AN100" s="429"/>
      <c r="AO100" s="429"/>
      <c r="AP100" s="429"/>
      <c r="AQ100" s="429"/>
      <c r="AR100" s="429"/>
      <c r="AS100" s="429"/>
      <c r="AT100" s="429"/>
      <c r="AU100" s="429"/>
      <c r="AV100" s="429"/>
      <c r="AW100" s="429"/>
      <c r="AX100" s="429"/>
      <c r="AY100" s="429"/>
      <c r="AZ100" s="429"/>
      <c r="BA100" s="429"/>
      <c r="BB100" s="429"/>
      <c r="BC100" s="429"/>
      <c r="BD100" s="429"/>
      <c r="BE100" s="429"/>
      <c r="BF100" s="429"/>
      <c r="BG100" s="429"/>
      <c r="BH100" s="429"/>
      <c r="BI100" s="429"/>
      <c r="BJ100" s="429"/>
      <c r="BK100" s="429"/>
      <c r="BL100" s="429"/>
      <c r="BM100" s="429"/>
      <c r="BN100" s="429"/>
      <c r="BO100" s="429"/>
      <c r="BP100" s="120"/>
      <c r="BQ100" s="120">
        <v>2.398</v>
      </c>
      <c r="BR100" s="451">
        <f t="shared" si="10"/>
        <v>4316.4</v>
      </c>
      <c r="BS100" s="451">
        <f t="shared" si="11"/>
        <v>33452.1</v>
      </c>
      <c r="BT100" s="429" t="str">
        <f>IFERROR(VLOOKUP(E100,名称!A:D,4,FALSE),"")</f>
        <v>KIK</v>
      </c>
    </row>
    <row r="101" s="427" customFormat="1" hidden="1" customHeight="1" spans="1:72">
      <c r="A101" s="93">
        <v>45997</v>
      </c>
      <c r="B101" s="95" t="s">
        <v>235</v>
      </c>
      <c r="C101" s="96">
        <v>10115937</v>
      </c>
      <c r="D101" s="96">
        <v>4500031987</v>
      </c>
      <c r="E101" s="97" t="s">
        <v>95</v>
      </c>
      <c r="F101" s="99">
        <v>1000</v>
      </c>
      <c r="G101" s="93">
        <v>46134</v>
      </c>
      <c r="H101" s="429"/>
      <c r="I101" s="429"/>
      <c r="J101" s="429"/>
      <c r="K101" s="429"/>
      <c r="L101" s="429"/>
      <c r="M101" s="429"/>
      <c r="N101" s="429"/>
      <c r="O101" s="429"/>
      <c r="P101" s="429"/>
      <c r="Q101" s="429"/>
      <c r="R101" s="429"/>
      <c r="S101" s="429"/>
      <c r="T101" s="429"/>
      <c r="U101" s="429"/>
      <c r="V101" s="429"/>
      <c r="W101" s="429"/>
      <c r="X101" s="429"/>
      <c r="Y101" s="429"/>
      <c r="Z101" s="429"/>
      <c r="AA101" s="429"/>
      <c r="AB101" s="429"/>
      <c r="AC101" s="429"/>
      <c r="AD101" s="429"/>
      <c r="AE101" s="429"/>
      <c r="AF101" s="429"/>
      <c r="AG101" s="429"/>
      <c r="AH101" s="429">
        <f>F101</f>
        <v>1000</v>
      </c>
      <c r="AI101" s="429"/>
      <c r="AJ101" s="429"/>
      <c r="AK101" s="429"/>
      <c r="AL101" s="429"/>
      <c r="AM101" s="429"/>
      <c r="AN101" s="429"/>
      <c r="AO101" s="429"/>
      <c r="AP101" s="429"/>
      <c r="AQ101" s="429"/>
      <c r="AR101" s="429"/>
      <c r="AS101" s="429"/>
      <c r="AT101" s="429"/>
      <c r="AU101" s="429"/>
      <c r="AV101" s="429"/>
      <c r="AW101" s="429"/>
      <c r="AX101" s="429"/>
      <c r="AY101" s="429"/>
      <c r="AZ101" s="429"/>
      <c r="BA101" s="429"/>
      <c r="BB101" s="429"/>
      <c r="BC101" s="429"/>
      <c r="BD101" s="429"/>
      <c r="BE101" s="429"/>
      <c r="BF101" s="429"/>
      <c r="BG101" s="429"/>
      <c r="BH101" s="429"/>
      <c r="BI101" s="429"/>
      <c r="BJ101" s="429"/>
      <c r="BK101" s="429"/>
      <c r="BL101" s="429"/>
      <c r="BM101" s="429"/>
      <c r="BN101" s="429"/>
      <c r="BO101" s="429"/>
      <c r="BP101" s="102"/>
      <c r="BQ101" s="102">
        <v>2.205</v>
      </c>
      <c r="BR101" s="451">
        <f t="shared" si="10"/>
        <v>2205</v>
      </c>
      <c r="BS101" s="451">
        <f t="shared" si="11"/>
        <v>17088.75</v>
      </c>
      <c r="BT101" s="429" t="str">
        <f>IFERROR(VLOOKUP(E101,名称!A:D,4,FALSE),"")</f>
        <v>KIK</v>
      </c>
    </row>
    <row r="102" s="427" customFormat="1" hidden="1" customHeight="1" spans="1:72">
      <c r="A102" s="93">
        <v>46000</v>
      </c>
      <c r="B102" s="95" t="s">
        <v>236</v>
      </c>
      <c r="C102" s="96">
        <v>10116617</v>
      </c>
      <c r="D102" s="96">
        <v>20218811</v>
      </c>
      <c r="E102" s="97" t="s">
        <v>120</v>
      </c>
      <c r="F102" s="99">
        <v>420</v>
      </c>
      <c r="G102" s="93">
        <v>46204</v>
      </c>
      <c r="H102" s="429"/>
      <c r="I102" s="429"/>
      <c r="J102" s="429"/>
      <c r="K102" s="429"/>
      <c r="L102" s="429"/>
      <c r="M102" s="429"/>
      <c r="N102" s="429"/>
      <c r="O102" s="429"/>
      <c r="P102" s="429"/>
      <c r="Q102" s="429"/>
      <c r="R102" s="429"/>
      <c r="S102" s="429"/>
      <c r="T102" s="429"/>
      <c r="U102" s="429"/>
      <c r="V102" s="429"/>
      <c r="W102" s="429"/>
      <c r="X102" s="429"/>
      <c r="Y102" s="429"/>
      <c r="Z102" s="429"/>
      <c r="AA102" s="429"/>
      <c r="AB102" s="429"/>
      <c r="AC102" s="429"/>
      <c r="AD102" s="429"/>
      <c r="AE102" s="429"/>
      <c r="AF102" s="429"/>
      <c r="AG102" s="429"/>
      <c r="AH102" s="429"/>
      <c r="AI102" s="429"/>
      <c r="AJ102" s="429"/>
      <c r="AK102" s="429"/>
      <c r="AL102" s="429"/>
      <c r="AM102" s="429"/>
      <c r="AN102" s="429"/>
      <c r="AO102" s="429"/>
      <c r="AP102" s="429"/>
      <c r="AQ102" s="429"/>
      <c r="AR102" s="429">
        <f>F102</f>
        <v>420</v>
      </c>
      <c r="AS102" s="429"/>
      <c r="AT102" s="429"/>
      <c r="AU102" s="429"/>
      <c r="AV102" s="429"/>
      <c r="AW102" s="429"/>
      <c r="AX102" s="429"/>
      <c r="AY102" s="429"/>
      <c r="AZ102" s="429"/>
      <c r="BA102" s="429"/>
      <c r="BB102" s="429"/>
      <c r="BC102" s="429"/>
      <c r="BD102" s="429"/>
      <c r="BE102" s="429"/>
      <c r="BF102" s="429"/>
      <c r="BG102" s="429"/>
      <c r="BH102" s="429"/>
      <c r="BI102" s="429"/>
      <c r="BJ102" s="429"/>
      <c r="BK102" s="429"/>
      <c r="BL102" s="429"/>
      <c r="BM102" s="429"/>
      <c r="BN102" s="429"/>
      <c r="BO102" s="429"/>
      <c r="BP102" s="102"/>
      <c r="BQ102" s="102">
        <v>21.352</v>
      </c>
      <c r="BR102" s="451">
        <f t="shared" si="10"/>
        <v>8967.84</v>
      </c>
      <c r="BS102" s="451">
        <f t="shared" si="11"/>
        <v>69500.76</v>
      </c>
      <c r="BT102" s="429" t="str">
        <f>IFERROR(VLOOKUP(E102,名称!A:D,4,FALSE),"")</f>
        <v>KIK</v>
      </c>
    </row>
    <row r="103" s="427" customFormat="1" hidden="1" customHeight="1" spans="1:72">
      <c r="A103" s="93">
        <v>46000</v>
      </c>
      <c r="B103" s="95" t="s">
        <v>236</v>
      </c>
      <c r="C103" s="96">
        <v>10116617</v>
      </c>
      <c r="D103" s="96">
        <v>20218811</v>
      </c>
      <c r="E103" s="97" t="s">
        <v>118</v>
      </c>
      <c r="F103" s="99">
        <v>152</v>
      </c>
      <c r="G103" s="93">
        <v>46204</v>
      </c>
      <c r="H103" s="429"/>
      <c r="I103" s="429"/>
      <c r="J103" s="429"/>
      <c r="K103" s="429"/>
      <c r="L103" s="429"/>
      <c r="M103" s="429"/>
      <c r="N103" s="429"/>
      <c r="O103" s="429"/>
      <c r="P103" s="429"/>
      <c r="Q103" s="429"/>
      <c r="R103" s="429"/>
      <c r="S103" s="429"/>
      <c r="T103" s="429"/>
      <c r="U103" s="429"/>
      <c r="V103" s="429"/>
      <c r="W103" s="429"/>
      <c r="X103" s="429"/>
      <c r="Y103" s="429"/>
      <c r="Z103" s="429"/>
      <c r="AA103" s="429"/>
      <c r="AB103" s="429"/>
      <c r="AC103" s="429"/>
      <c r="AD103" s="429"/>
      <c r="AE103" s="429"/>
      <c r="AF103" s="429"/>
      <c r="AG103" s="429"/>
      <c r="AH103" s="429"/>
      <c r="AI103" s="429"/>
      <c r="AJ103" s="429"/>
      <c r="AK103" s="429"/>
      <c r="AL103" s="429"/>
      <c r="AM103" s="429"/>
      <c r="AN103" s="429"/>
      <c r="AO103" s="429"/>
      <c r="AP103" s="429"/>
      <c r="AQ103" s="429">
        <f>F103</f>
        <v>152</v>
      </c>
      <c r="AR103" s="429"/>
      <c r="AS103" s="429"/>
      <c r="AT103" s="429"/>
      <c r="AU103" s="429"/>
      <c r="AV103" s="429"/>
      <c r="AW103" s="429"/>
      <c r="AX103" s="429"/>
      <c r="AY103" s="429"/>
      <c r="AZ103" s="429"/>
      <c r="BA103" s="429"/>
      <c r="BB103" s="429"/>
      <c r="BC103" s="429"/>
      <c r="BD103" s="429"/>
      <c r="BE103" s="429"/>
      <c r="BF103" s="429"/>
      <c r="BG103" s="429"/>
      <c r="BH103" s="429"/>
      <c r="BI103" s="429"/>
      <c r="BJ103" s="429"/>
      <c r="BK103" s="429"/>
      <c r="BL103" s="429"/>
      <c r="BM103" s="429"/>
      <c r="BN103" s="429"/>
      <c r="BO103" s="429"/>
      <c r="BP103" s="102"/>
      <c r="BQ103" s="102">
        <v>16.71</v>
      </c>
      <c r="BR103" s="451">
        <f t="shared" si="10"/>
        <v>2539.92</v>
      </c>
      <c r="BS103" s="451">
        <f t="shared" si="11"/>
        <v>19684.38</v>
      </c>
      <c r="BT103" s="429" t="str">
        <f>IFERROR(VLOOKUP(E103,名称!A:D,4,FALSE),"")</f>
        <v>KIK</v>
      </c>
    </row>
    <row r="104" s="425" customFormat="1" hidden="1" customHeight="1" spans="1:72">
      <c r="A104" s="108">
        <v>46001</v>
      </c>
      <c r="B104" s="109" t="s">
        <v>236</v>
      </c>
      <c r="C104" s="110">
        <v>10116691</v>
      </c>
      <c r="D104" s="110">
        <v>20218751</v>
      </c>
      <c r="E104" s="30" t="s">
        <v>126</v>
      </c>
      <c r="F104" s="31">
        <v>5000</v>
      </c>
      <c r="G104" s="108">
        <v>46232</v>
      </c>
      <c r="H104" s="443"/>
      <c r="I104" s="443"/>
      <c r="J104" s="443"/>
      <c r="K104" s="443"/>
      <c r="L104" s="443"/>
      <c r="M104" s="443"/>
      <c r="N104" s="443"/>
      <c r="O104" s="443"/>
      <c r="P104" s="443"/>
      <c r="Q104" s="443"/>
      <c r="R104" s="443"/>
      <c r="S104" s="443"/>
      <c r="T104" s="443"/>
      <c r="U104" s="443"/>
      <c r="V104" s="443"/>
      <c r="W104" s="443"/>
      <c r="X104" s="443"/>
      <c r="Y104" s="443"/>
      <c r="Z104" s="443"/>
      <c r="AA104" s="443"/>
      <c r="AB104" s="443"/>
      <c r="AC104" s="443"/>
      <c r="AD104" s="443"/>
      <c r="AE104" s="443"/>
      <c r="AF104" s="443"/>
      <c r="AG104" s="443"/>
      <c r="AH104" s="443"/>
      <c r="AI104" s="443"/>
      <c r="AJ104" s="443"/>
      <c r="AK104" s="443"/>
      <c r="AL104" s="443"/>
      <c r="AM104" s="443"/>
      <c r="AN104" s="443"/>
      <c r="AO104" s="443"/>
      <c r="AP104" s="443"/>
      <c r="AQ104" s="443"/>
      <c r="AR104" s="443"/>
      <c r="AS104" s="443">
        <f>F104</f>
        <v>5000</v>
      </c>
      <c r="AT104" s="443"/>
      <c r="AU104" s="443"/>
      <c r="AV104" s="443"/>
      <c r="AW104" s="443"/>
      <c r="AX104" s="443"/>
      <c r="AY104" s="443"/>
      <c r="AZ104" s="443"/>
      <c r="BA104" s="443"/>
      <c r="BB104" s="443"/>
      <c r="BC104" s="443"/>
      <c r="BD104" s="443"/>
      <c r="BE104" s="443"/>
      <c r="BF104" s="443"/>
      <c r="BG104" s="443"/>
      <c r="BH104" s="443"/>
      <c r="BI104" s="443"/>
      <c r="BJ104" s="443"/>
      <c r="BK104" s="443"/>
      <c r="BL104" s="443"/>
      <c r="BM104" s="443"/>
      <c r="BN104" s="443"/>
      <c r="BO104" s="443"/>
      <c r="BP104" s="92"/>
      <c r="BQ104" s="92">
        <v>1.746</v>
      </c>
      <c r="BR104" s="462">
        <f t="shared" si="10"/>
        <v>8730</v>
      </c>
      <c r="BS104" s="447">
        <f t="shared" si="11"/>
        <v>67657.5</v>
      </c>
      <c r="BT104" s="443" t="str">
        <f>IFERROR(VLOOKUP(E104,名称!A:D,4,FALSE),"")</f>
        <v>RRM</v>
      </c>
    </row>
    <row r="105" s="427" customFormat="1" hidden="1" customHeight="1" spans="1:72">
      <c r="A105" s="93">
        <v>46002</v>
      </c>
      <c r="B105" s="95" t="s">
        <v>237</v>
      </c>
      <c r="C105" s="96">
        <v>10116824</v>
      </c>
      <c r="D105" s="96">
        <v>202534370053</v>
      </c>
      <c r="E105" s="97" t="s">
        <v>129</v>
      </c>
      <c r="F105" s="99">
        <v>20016</v>
      </c>
      <c r="G105" s="93">
        <v>46092</v>
      </c>
      <c r="H105" s="429"/>
      <c r="I105" s="429">
        <f>F105</f>
        <v>20016</v>
      </c>
      <c r="J105" s="429"/>
      <c r="K105" s="429"/>
      <c r="L105" s="429"/>
      <c r="M105" s="429"/>
      <c r="N105" s="429"/>
      <c r="O105" s="429"/>
      <c r="P105" s="429"/>
      <c r="Q105" s="429"/>
      <c r="R105" s="429"/>
      <c r="S105" s="429"/>
      <c r="T105" s="429"/>
      <c r="U105" s="429"/>
      <c r="V105" s="429"/>
      <c r="W105" s="429"/>
      <c r="X105" s="429"/>
      <c r="Y105" s="429"/>
      <c r="Z105" s="429"/>
      <c r="AA105" s="429"/>
      <c r="AB105" s="429"/>
      <c r="AC105" s="429"/>
      <c r="AD105" s="429"/>
      <c r="AE105" s="429"/>
      <c r="AF105" s="429"/>
      <c r="AG105" s="429"/>
      <c r="AH105" s="429"/>
      <c r="AI105" s="429"/>
      <c r="AJ105" s="429"/>
      <c r="AK105" s="429"/>
      <c r="AL105" s="429"/>
      <c r="AM105" s="429"/>
      <c r="AN105" s="429"/>
      <c r="AO105" s="429"/>
      <c r="AP105" s="429"/>
      <c r="AQ105" s="429"/>
      <c r="AR105" s="429"/>
      <c r="AS105" s="429"/>
      <c r="AT105" s="429"/>
      <c r="AU105" s="429"/>
      <c r="AV105" s="429"/>
      <c r="AW105" s="429"/>
      <c r="AX105" s="429"/>
      <c r="AY105" s="429"/>
      <c r="AZ105" s="429"/>
      <c r="BA105" s="429"/>
      <c r="BB105" s="429"/>
      <c r="BC105" s="429"/>
      <c r="BD105" s="429"/>
      <c r="BE105" s="429"/>
      <c r="BF105" s="429"/>
      <c r="BG105" s="429"/>
      <c r="BH105" s="429"/>
      <c r="BI105" s="429"/>
      <c r="BJ105" s="429"/>
      <c r="BK105" s="429"/>
      <c r="BL105" s="429"/>
      <c r="BM105" s="429"/>
      <c r="BN105" s="429"/>
      <c r="BO105" s="429"/>
      <c r="BP105" s="120"/>
      <c r="BQ105" s="120">
        <v>0.324</v>
      </c>
      <c r="BR105" s="451">
        <f t="shared" si="10"/>
        <v>6485.18</v>
      </c>
      <c r="BS105" s="451">
        <f t="shared" si="11"/>
        <v>50260.15</v>
      </c>
      <c r="BT105" s="429" t="str">
        <f>IFERROR(VLOOKUP(E105,名称!A:D,4,FALSE),"")</f>
        <v>KIK</v>
      </c>
    </row>
    <row r="106" s="427" customFormat="1" hidden="1" customHeight="1" spans="1:72">
      <c r="A106" s="93">
        <v>46002</v>
      </c>
      <c r="B106" s="95" t="s">
        <v>237</v>
      </c>
      <c r="C106" s="96">
        <v>10116827</v>
      </c>
      <c r="D106" s="96">
        <v>202534370058</v>
      </c>
      <c r="E106" s="97" t="s">
        <v>115</v>
      </c>
      <c r="F106" s="99">
        <f>5000-1000</f>
        <v>4000</v>
      </c>
      <c r="G106" s="93">
        <v>46092</v>
      </c>
      <c r="H106" s="429"/>
      <c r="I106" s="429"/>
      <c r="J106" s="429"/>
      <c r="K106" s="429"/>
      <c r="L106" s="429"/>
      <c r="M106" s="429"/>
      <c r="N106" s="429"/>
      <c r="O106" s="429"/>
      <c r="P106" s="429"/>
      <c r="Q106" s="429"/>
      <c r="R106" s="429"/>
      <c r="S106" s="429"/>
      <c r="T106" s="429"/>
      <c r="U106" s="429"/>
      <c r="V106" s="429"/>
      <c r="W106" s="429"/>
      <c r="X106" s="429"/>
      <c r="Y106" s="429"/>
      <c r="Z106" s="429"/>
      <c r="AA106" s="429"/>
      <c r="AB106" s="429"/>
      <c r="AC106" s="429"/>
      <c r="AD106" s="429"/>
      <c r="AE106" s="429"/>
      <c r="AF106" s="429"/>
      <c r="AG106" s="429"/>
      <c r="AH106" s="429"/>
      <c r="AI106" s="429"/>
      <c r="AJ106" s="429"/>
      <c r="AK106" s="429"/>
      <c r="AL106" s="429"/>
      <c r="AM106" s="429"/>
      <c r="AN106" s="429"/>
      <c r="AO106" s="429">
        <f>F106</f>
        <v>4000</v>
      </c>
      <c r="AP106" s="429"/>
      <c r="AQ106" s="429"/>
      <c r="AR106" s="429"/>
      <c r="AS106" s="429"/>
      <c r="AT106" s="429"/>
      <c r="AU106" s="429"/>
      <c r="AV106" s="429"/>
      <c r="AW106" s="429"/>
      <c r="AX106" s="429"/>
      <c r="AY106" s="429"/>
      <c r="AZ106" s="429"/>
      <c r="BA106" s="429"/>
      <c r="BB106" s="429"/>
      <c r="BC106" s="429"/>
      <c r="BD106" s="429"/>
      <c r="BE106" s="429"/>
      <c r="BF106" s="429"/>
      <c r="BG106" s="429"/>
      <c r="BH106" s="429"/>
      <c r="BI106" s="429"/>
      <c r="BJ106" s="429"/>
      <c r="BK106" s="429"/>
      <c r="BL106" s="429"/>
      <c r="BM106" s="429"/>
      <c r="BN106" s="429"/>
      <c r="BO106" s="429"/>
      <c r="BP106" s="102"/>
      <c r="BQ106" s="102">
        <v>2.204</v>
      </c>
      <c r="BR106" s="451">
        <f t="shared" si="10"/>
        <v>8816</v>
      </c>
      <c r="BS106" s="451">
        <f t="shared" si="11"/>
        <v>68324</v>
      </c>
      <c r="BT106" s="429" t="str">
        <f>IFERROR(VLOOKUP(E106,名称!A:D,4,FALSE),"")</f>
        <v>KIK</v>
      </c>
    </row>
    <row r="107" s="427" customFormat="1" hidden="1" customHeight="1" spans="1:72">
      <c r="A107" s="93">
        <v>46002</v>
      </c>
      <c r="B107" s="95" t="s">
        <v>242</v>
      </c>
      <c r="C107" s="96">
        <v>10116820</v>
      </c>
      <c r="D107" s="549" t="s">
        <v>243</v>
      </c>
      <c r="E107" s="550" t="s">
        <v>133</v>
      </c>
      <c r="F107" s="99">
        <v>1524</v>
      </c>
      <c r="G107" s="93">
        <v>46083</v>
      </c>
      <c r="H107" s="429"/>
      <c r="I107" s="429"/>
      <c r="J107" s="429"/>
      <c r="K107" s="429"/>
      <c r="L107" s="429"/>
      <c r="M107" s="429"/>
      <c r="N107" s="429"/>
      <c r="O107" s="429"/>
      <c r="P107" s="429"/>
      <c r="Q107" s="429"/>
      <c r="R107" s="429"/>
      <c r="S107" s="429"/>
      <c r="T107" s="429"/>
      <c r="U107" s="429"/>
      <c r="V107" s="429"/>
      <c r="W107" s="429"/>
      <c r="X107" s="429"/>
      <c r="Y107" s="429"/>
      <c r="Z107" s="429"/>
      <c r="AA107" s="429"/>
      <c r="AB107" s="429"/>
      <c r="AC107" s="429"/>
      <c r="AD107" s="429"/>
      <c r="AE107" s="429"/>
      <c r="AF107" s="429"/>
      <c r="AG107" s="429">
        <f>F107</f>
        <v>1524</v>
      </c>
      <c r="AH107" s="429"/>
      <c r="AI107" s="429"/>
      <c r="AJ107" s="429"/>
      <c r="AK107" s="429"/>
      <c r="AL107" s="429"/>
      <c r="AM107" s="429"/>
      <c r="AN107" s="429"/>
      <c r="AO107" s="429"/>
      <c r="AP107" s="429"/>
      <c r="AQ107" s="429"/>
      <c r="AR107" s="429"/>
      <c r="AS107" s="429"/>
      <c r="AT107" s="429"/>
      <c r="AU107" s="429"/>
      <c r="AV107" s="429"/>
      <c r="AW107" s="429"/>
      <c r="AX107" s="429"/>
      <c r="AY107" s="429"/>
      <c r="AZ107" s="429"/>
      <c r="BA107" s="429"/>
      <c r="BB107" s="429"/>
      <c r="BC107" s="429"/>
      <c r="BD107" s="429"/>
      <c r="BE107" s="429"/>
      <c r="BF107" s="429"/>
      <c r="BG107" s="429"/>
      <c r="BH107" s="429"/>
      <c r="BI107" s="429"/>
      <c r="BJ107" s="429"/>
      <c r="BK107" s="429"/>
      <c r="BL107" s="429"/>
      <c r="BM107" s="429"/>
      <c r="BN107" s="429"/>
      <c r="BO107" s="429"/>
      <c r="BP107" s="102"/>
      <c r="BQ107" s="102">
        <v>1.322</v>
      </c>
      <c r="BR107" s="451">
        <f t="shared" si="10"/>
        <v>2014.73</v>
      </c>
      <c r="BS107" s="451">
        <f t="shared" si="11"/>
        <v>15614.16</v>
      </c>
      <c r="BT107" s="429" t="str">
        <f>IFERROR(VLOOKUP(E107,名称!A:D,4,FALSE),"")</f>
        <v>KIK</v>
      </c>
    </row>
    <row r="108" s="427" customFormat="1" hidden="1" customHeight="1" spans="1:72">
      <c r="A108" s="93">
        <v>46002</v>
      </c>
      <c r="B108" s="95" t="s">
        <v>242</v>
      </c>
      <c r="C108" s="96">
        <v>10116820</v>
      </c>
      <c r="D108" s="549" t="s">
        <v>243</v>
      </c>
      <c r="E108" s="550" t="s">
        <v>133</v>
      </c>
      <c r="F108" s="99">
        <v>4500</v>
      </c>
      <c r="G108" s="93">
        <v>46153</v>
      </c>
      <c r="H108" s="429"/>
      <c r="I108" s="429"/>
      <c r="J108" s="429"/>
      <c r="K108" s="429"/>
      <c r="L108" s="429"/>
      <c r="M108" s="429"/>
      <c r="N108" s="429"/>
      <c r="O108" s="429"/>
      <c r="P108" s="429"/>
      <c r="Q108" s="429"/>
      <c r="R108" s="429"/>
      <c r="S108" s="429"/>
      <c r="T108" s="429"/>
      <c r="U108" s="429"/>
      <c r="V108" s="429"/>
      <c r="W108" s="429"/>
      <c r="X108" s="429"/>
      <c r="Y108" s="429"/>
      <c r="Z108" s="429"/>
      <c r="AA108" s="429"/>
      <c r="AB108" s="429"/>
      <c r="AC108" s="429"/>
      <c r="AD108" s="429"/>
      <c r="AE108" s="429"/>
      <c r="AF108" s="429"/>
      <c r="AG108" s="429">
        <f>F108</f>
        <v>4500</v>
      </c>
      <c r="AH108" s="429"/>
      <c r="AI108" s="429"/>
      <c r="AJ108" s="429"/>
      <c r="AK108" s="429"/>
      <c r="AL108" s="429"/>
      <c r="AM108" s="429"/>
      <c r="AN108" s="429"/>
      <c r="AO108" s="429"/>
      <c r="AP108" s="429"/>
      <c r="AQ108" s="429"/>
      <c r="AR108" s="429"/>
      <c r="AS108" s="429"/>
      <c r="AT108" s="429"/>
      <c r="AU108" s="429"/>
      <c r="AV108" s="429"/>
      <c r="AW108" s="429"/>
      <c r="AX108" s="429"/>
      <c r="AY108" s="429"/>
      <c r="AZ108" s="429"/>
      <c r="BA108" s="429"/>
      <c r="BB108" s="429"/>
      <c r="BC108" s="429"/>
      <c r="BD108" s="429"/>
      <c r="BE108" s="429"/>
      <c r="BF108" s="429"/>
      <c r="BG108" s="429"/>
      <c r="BH108" s="429"/>
      <c r="BI108" s="429"/>
      <c r="BJ108" s="429"/>
      <c r="BK108" s="429"/>
      <c r="BL108" s="429"/>
      <c r="BM108" s="429"/>
      <c r="BN108" s="429"/>
      <c r="BO108" s="429"/>
      <c r="BP108" s="102"/>
      <c r="BQ108" s="102">
        <v>1.322</v>
      </c>
      <c r="BR108" s="451">
        <f t="shared" si="10"/>
        <v>5949</v>
      </c>
      <c r="BS108" s="451">
        <f t="shared" si="11"/>
        <v>46104.75</v>
      </c>
      <c r="BT108" s="429" t="str">
        <f>IFERROR(VLOOKUP(E108,名称!A:D,4,FALSE),"")</f>
        <v>KIK</v>
      </c>
    </row>
    <row r="109" s="427" customFormat="1" hidden="1" customHeight="1" spans="1:72">
      <c r="A109" s="93">
        <v>46002</v>
      </c>
      <c r="B109" s="95" t="s">
        <v>242</v>
      </c>
      <c r="C109" s="96">
        <v>10116820</v>
      </c>
      <c r="D109" s="549" t="s">
        <v>243</v>
      </c>
      <c r="E109" s="97" t="s">
        <v>130</v>
      </c>
      <c r="F109" s="99">
        <v>1836</v>
      </c>
      <c r="G109" s="93">
        <v>46083</v>
      </c>
      <c r="H109" s="429"/>
      <c r="I109" s="429"/>
      <c r="J109" s="429"/>
      <c r="K109" s="429"/>
      <c r="L109" s="429"/>
      <c r="M109" s="429"/>
      <c r="N109" s="429"/>
      <c r="O109" s="429"/>
      <c r="P109" s="429"/>
      <c r="Q109" s="429"/>
      <c r="R109" s="429"/>
      <c r="S109" s="429"/>
      <c r="T109" s="429"/>
      <c r="U109" s="429"/>
      <c r="V109" s="429"/>
      <c r="W109" s="429"/>
      <c r="X109" s="429"/>
      <c r="Y109" s="429"/>
      <c r="Z109" s="429"/>
      <c r="AA109" s="429"/>
      <c r="AB109" s="429"/>
      <c r="AC109" s="429"/>
      <c r="AD109" s="429"/>
      <c r="AE109" s="429"/>
      <c r="AF109" s="429"/>
      <c r="AG109" s="429"/>
      <c r="AH109" s="429"/>
      <c r="AI109" s="429">
        <f>F109</f>
        <v>1836</v>
      </c>
      <c r="AJ109" s="429"/>
      <c r="AK109" s="429"/>
      <c r="AL109" s="429"/>
      <c r="AM109" s="429"/>
      <c r="AN109" s="429"/>
      <c r="AO109" s="429"/>
      <c r="AP109" s="429"/>
      <c r="AQ109" s="429"/>
      <c r="AR109" s="429"/>
      <c r="AS109" s="429"/>
      <c r="AT109" s="429"/>
      <c r="AU109" s="429"/>
      <c r="AV109" s="429"/>
      <c r="AW109" s="429"/>
      <c r="AX109" s="429"/>
      <c r="AY109" s="429"/>
      <c r="AZ109" s="429"/>
      <c r="BA109" s="429"/>
      <c r="BB109" s="429"/>
      <c r="BC109" s="429"/>
      <c r="BD109" s="429"/>
      <c r="BE109" s="429"/>
      <c r="BF109" s="429"/>
      <c r="BG109" s="429"/>
      <c r="BH109" s="429"/>
      <c r="BI109" s="429"/>
      <c r="BJ109" s="429"/>
      <c r="BK109" s="429"/>
      <c r="BL109" s="429"/>
      <c r="BM109" s="429"/>
      <c r="BN109" s="429"/>
      <c r="BO109" s="429"/>
      <c r="BP109" s="102"/>
      <c r="BQ109" s="102">
        <v>3.703</v>
      </c>
      <c r="BR109" s="451">
        <f t="shared" si="10"/>
        <v>6798.71</v>
      </c>
      <c r="BS109" s="451">
        <f t="shared" si="11"/>
        <v>52690</v>
      </c>
      <c r="BT109" s="429" t="str">
        <f>IFERROR(VLOOKUP(E109,名称!A:D,4,FALSE),"")</f>
        <v>KIK</v>
      </c>
    </row>
    <row r="110" s="427" customFormat="1" hidden="1" customHeight="1" spans="1:72">
      <c r="A110" s="93">
        <v>46002</v>
      </c>
      <c r="B110" s="95" t="s">
        <v>242</v>
      </c>
      <c r="C110" s="96">
        <v>10116820</v>
      </c>
      <c r="D110" s="549" t="s">
        <v>243</v>
      </c>
      <c r="E110" s="97" t="s">
        <v>130</v>
      </c>
      <c r="F110" s="99">
        <v>4500</v>
      </c>
      <c r="G110" s="93">
        <v>46153</v>
      </c>
      <c r="H110" s="429"/>
      <c r="I110" s="429"/>
      <c r="J110" s="429"/>
      <c r="K110" s="429"/>
      <c r="L110" s="429"/>
      <c r="M110" s="429"/>
      <c r="N110" s="429"/>
      <c r="O110" s="429"/>
      <c r="P110" s="429"/>
      <c r="Q110" s="429"/>
      <c r="R110" s="429"/>
      <c r="S110" s="429"/>
      <c r="T110" s="429"/>
      <c r="U110" s="429"/>
      <c r="V110" s="429"/>
      <c r="W110" s="429"/>
      <c r="X110" s="429"/>
      <c r="Y110" s="429"/>
      <c r="Z110" s="429"/>
      <c r="AA110" s="429"/>
      <c r="AB110" s="429"/>
      <c r="AC110" s="429"/>
      <c r="AD110" s="429"/>
      <c r="AE110" s="429"/>
      <c r="AF110" s="429"/>
      <c r="AG110" s="429"/>
      <c r="AH110" s="429"/>
      <c r="AI110" s="429">
        <f>F110</f>
        <v>4500</v>
      </c>
      <c r="AJ110" s="429"/>
      <c r="AK110" s="429"/>
      <c r="AL110" s="429"/>
      <c r="AM110" s="429"/>
      <c r="AN110" s="429"/>
      <c r="AO110" s="429"/>
      <c r="AP110" s="429"/>
      <c r="AQ110" s="429"/>
      <c r="AR110" s="429"/>
      <c r="AS110" s="429"/>
      <c r="AT110" s="429"/>
      <c r="AU110" s="429"/>
      <c r="AV110" s="429"/>
      <c r="AW110" s="429"/>
      <c r="AX110" s="429"/>
      <c r="AY110" s="429"/>
      <c r="AZ110" s="429"/>
      <c r="BA110" s="429"/>
      <c r="BB110" s="429"/>
      <c r="BC110" s="429"/>
      <c r="BD110" s="429"/>
      <c r="BE110" s="429"/>
      <c r="BF110" s="429"/>
      <c r="BG110" s="429"/>
      <c r="BH110" s="429"/>
      <c r="BI110" s="429"/>
      <c r="BJ110" s="429"/>
      <c r="BK110" s="429"/>
      <c r="BL110" s="429"/>
      <c r="BM110" s="429"/>
      <c r="BN110" s="429"/>
      <c r="BO110" s="429"/>
      <c r="BP110" s="102"/>
      <c r="BQ110" s="102">
        <v>3.703</v>
      </c>
      <c r="BR110" s="451">
        <f t="shared" si="10"/>
        <v>16663.5</v>
      </c>
      <c r="BS110" s="451">
        <f t="shared" si="11"/>
        <v>129142.13</v>
      </c>
      <c r="BT110" s="429" t="str">
        <f>IFERROR(VLOOKUP(E110,名称!A:D,4,FALSE),"")</f>
        <v>KIK</v>
      </c>
    </row>
    <row r="111" s="427" customFormat="1" hidden="1" customHeight="1" spans="1:72">
      <c r="A111" s="93">
        <v>46002</v>
      </c>
      <c r="B111" s="95" t="s">
        <v>242</v>
      </c>
      <c r="C111" s="96">
        <v>10116820</v>
      </c>
      <c r="D111" s="549" t="s">
        <v>243</v>
      </c>
      <c r="E111" s="97" t="s">
        <v>131</v>
      </c>
      <c r="F111" s="99">
        <v>1524</v>
      </c>
      <c r="G111" s="93">
        <v>46083</v>
      </c>
      <c r="H111" s="429"/>
      <c r="I111" s="429"/>
      <c r="J111" s="429"/>
      <c r="K111" s="429"/>
      <c r="L111" s="429"/>
      <c r="M111" s="429"/>
      <c r="N111" s="429"/>
      <c r="O111" s="429"/>
      <c r="P111" s="429"/>
      <c r="Q111" s="429"/>
      <c r="R111" s="429"/>
      <c r="S111" s="429"/>
      <c r="T111" s="429"/>
      <c r="U111" s="429"/>
      <c r="V111" s="429"/>
      <c r="W111" s="429"/>
      <c r="X111" s="429"/>
      <c r="Y111" s="429"/>
      <c r="Z111" s="429"/>
      <c r="AA111" s="429"/>
      <c r="AB111" s="429"/>
      <c r="AC111" s="429"/>
      <c r="AD111" s="429"/>
      <c r="AE111" s="429"/>
      <c r="AF111" s="429"/>
      <c r="AG111" s="429"/>
      <c r="AH111" s="429">
        <f>F111</f>
        <v>1524</v>
      </c>
      <c r="AI111" s="429"/>
      <c r="AJ111" s="429"/>
      <c r="AK111" s="429"/>
      <c r="AL111" s="429"/>
      <c r="AM111" s="429"/>
      <c r="AN111" s="429"/>
      <c r="AO111" s="429"/>
      <c r="AP111" s="429"/>
      <c r="AQ111" s="429"/>
      <c r="AR111" s="429"/>
      <c r="AS111" s="429"/>
      <c r="AT111" s="429"/>
      <c r="AU111" s="429"/>
      <c r="AV111" s="429"/>
      <c r="AW111" s="429"/>
      <c r="AX111" s="429"/>
      <c r="AY111" s="429"/>
      <c r="AZ111" s="429"/>
      <c r="BA111" s="429"/>
      <c r="BB111" s="429"/>
      <c r="BC111" s="429"/>
      <c r="BD111" s="429"/>
      <c r="BE111" s="429"/>
      <c r="BF111" s="429"/>
      <c r="BG111" s="429"/>
      <c r="BH111" s="429"/>
      <c r="BI111" s="429"/>
      <c r="BJ111" s="429"/>
      <c r="BK111" s="429"/>
      <c r="BL111" s="429"/>
      <c r="BM111" s="429"/>
      <c r="BN111" s="429"/>
      <c r="BO111" s="429"/>
      <c r="BP111" s="102"/>
      <c r="BQ111" s="102">
        <v>2.418</v>
      </c>
      <c r="BR111" s="451">
        <f t="shared" si="10"/>
        <v>3685.03</v>
      </c>
      <c r="BS111" s="451">
        <f t="shared" si="11"/>
        <v>28558.98</v>
      </c>
      <c r="BT111" s="429" t="str">
        <f>IFERROR(VLOOKUP(E111,名称!A:D,4,FALSE),"")</f>
        <v>KIK</v>
      </c>
    </row>
    <row r="112" s="427" customFormat="1" hidden="1" customHeight="1" spans="1:72">
      <c r="A112" s="93">
        <v>46002</v>
      </c>
      <c r="B112" s="95" t="s">
        <v>242</v>
      </c>
      <c r="C112" s="96">
        <v>10116820</v>
      </c>
      <c r="D112" s="549" t="s">
        <v>243</v>
      </c>
      <c r="E112" s="97" t="s">
        <v>131</v>
      </c>
      <c r="F112" s="99">
        <v>4500</v>
      </c>
      <c r="G112" s="93">
        <v>46153</v>
      </c>
      <c r="H112" s="429"/>
      <c r="I112" s="429"/>
      <c r="J112" s="429"/>
      <c r="K112" s="429"/>
      <c r="L112" s="429"/>
      <c r="M112" s="429"/>
      <c r="N112" s="429"/>
      <c r="O112" s="429"/>
      <c r="P112" s="429"/>
      <c r="Q112" s="429"/>
      <c r="R112" s="429"/>
      <c r="S112" s="429"/>
      <c r="T112" s="429"/>
      <c r="U112" s="429"/>
      <c r="V112" s="429"/>
      <c r="W112" s="429"/>
      <c r="X112" s="429"/>
      <c r="Y112" s="429"/>
      <c r="Z112" s="429"/>
      <c r="AA112" s="429"/>
      <c r="AB112" s="429"/>
      <c r="AC112" s="429"/>
      <c r="AD112" s="429"/>
      <c r="AE112" s="429"/>
      <c r="AF112" s="429"/>
      <c r="AG112" s="429"/>
      <c r="AH112" s="429">
        <f>F112</f>
        <v>4500</v>
      </c>
      <c r="AI112" s="429"/>
      <c r="AJ112" s="429"/>
      <c r="AK112" s="429"/>
      <c r="AL112" s="429"/>
      <c r="AM112" s="429"/>
      <c r="AN112" s="429"/>
      <c r="AO112" s="429"/>
      <c r="AP112" s="429"/>
      <c r="AQ112" s="429"/>
      <c r="AR112" s="429"/>
      <c r="AS112" s="429"/>
      <c r="AT112" s="429"/>
      <c r="AU112" s="429"/>
      <c r="AV112" s="429"/>
      <c r="AW112" s="429"/>
      <c r="AX112" s="429"/>
      <c r="AY112" s="429"/>
      <c r="AZ112" s="429"/>
      <c r="BA112" s="429"/>
      <c r="BB112" s="429"/>
      <c r="BC112" s="429"/>
      <c r="BD112" s="429"/>
      <c r="BE112" s="429"/>
      <c r="BF112" s="429"/>
      <c r="BG112" s="429"/>
      <c r="BH112" s="429"/>
      <c r="BI112" s="429"/>
      <c r="BJ112" s="429"/>
      <c r="BK112" s="429"/>
      <c r="BL112" s="429"/>
      <c r="BM112" s="429"/>
      <c r="BN112" s="429"/>
      <c r="BO112" s="429"/>
      <c r="BP112" s="102"/>
      <c r="BQ112" s="102">
        <v>2.418</v>
      </c>
      <c r="BR112" s="451">
        <f t="shared" si="10"/>
        <v>10881</v>
      </c>
      <c r="BS112" s="451">
        <f t="shared" si="11"/>
        <v>84327.75</v>
      </c>
      <c r="BT112" s="429" t="str">
        <f>IFERROR(VLOOKUP(E112,名称!A:D,4,FALSE),"")</f>
        <v>KIK</v>
      </c>
    </row>
    <row r="113" s="427" customFormat="1" hidden="1" customHeight="1" spans="1:72">
      <c r="A113" s="93">
        <v>46002</v>
      </c>
      <c r="B113" s="95" t="s">
        <v>242</v>
      </c>
      <c r="C113" s="96">
        <v>10116820</v>
      </c>
      <c r="D113" s="549" t="s">
        <v>243</v>
      </c>
      <c r="E113" s="97" t="s">
        <v>132</v>
      </c>
      <c r="F113" s="99">
        <v>1524</v>
      </c>
      <c r="G113" s="93">
        <v>46083</v>
      </c>
      <c r="H113" s="429"/>
      <c r="I113" s="429"/>
      <c r="J113" s="429"/>
      <c r="K113" s="429"/>
      <c r="L113" s="429"/>
      <c r="M113" s="429"/>
      <c r="N113" s="429"/>
      <c r="O113" s="429"/>
      <c r="P113" s="429"/>
      <c r="Q113" s="429"/>
      <c r="R113" s="429"/>
      <c r="S113" s="429"/>
      <c r="T113" s="429"/>
      <c r="U113" s="429"/>
      <c r="V113" s="429"/>
      <c r="W113" s="429"/>
      <c r="X113" s="429"/>
      <c r="Y113" s="429"/>
      <c r="Z113" s="429"/>
      <c r="AA113" s="429"/>
      <c r="AB113" s="429"/>
      <c r="AC113" s="429"/>
      <c r="AD113" s="429"/>
      <c r="AE113" s="429"/>
      <c r="AF113" s="429">
        <f>F113</f>
        <v>1524</v>
      </c>
      <c r="AG113" s="429"/>
      <c r="AH113" s="429"/>
      <c r="AI113" s="429"/>
      <c r="AJ113" s="429"/>
      <c r="AK113" s="429"/>
      <c r="AL113" s="429"/>
      <c r="AM113" s="429"/>
      <c r="AN113" s="429"/>
      <c r="AO113" s="429"/>
      <c r="AP113" s="429"/>
      <c r="AQ113" s="429"/>
      <c r="AR113" s="429"/>
      <c r="AS113" s="429"/>
      <c r="AT113" s="429"/>
      <c r="AU113" s="429"/>
      <c r="AV113" s="429"/>
      <c r="AW113" s="429"/>
      <c r="AX113" s="429"/>
      <c r="AY113" s="429"/>
      <c r="AZ113" s="429"/>
      <c r="BA113" s="429"/>
      <c r="BB113" s="429"/>
      <c r="BC113" s="429"/>
      <c r="BD113" s="429"/>
      <c r="BE113" s="429"/>
      <c r="BF113" s="429"/>
      <c r="BG113" s="429"/>
      <c r="BH113" s="429"/>
      <c r="BI113" s="429"/>
      <c r="BJ113" s="429"/>
      <c r="BK113" s="429"/>
      <c r="BL113" s="429"/>
      <c r="BM113" s="429"/>
      <c r="BN113" s="429"/>
      <c r="BO113" s="429"/>
      <c r="BP113" s="102"/>
      <c r="BQ113" s="102">
        <v>1.46</v>
      </c>
      <c r="BR113" s="451">
        <f t="shared" si="10"/>
        <v>2225.04</v>
      </c>
      <c r="BS113" s="451">
        <f t="shared" si="11"/>
        <v>17244.06</v>
      </c>
      <c r="BT113" s="429" t="str">
        <f>IFERROR(VLOOKUP(E113,名称!A:D,4,FALSE),"")</f>
        <v>KIK</v>
      </c>
    </row>
    <row r="114" s="427" customFormat="1" hidden="1" customHeight="1" spans="1:72">
      <c r="A114" s="93">
        <v>46002</v>
      </c>
      <c r="B114" s="95" t="s">
        <v>242</v>
      </c>
      <c r="C114" s="96">
        <v>10116820</v>
      </c>
      <c r="D114" s="549" t="s">
        <v>243</v>
      </c>
      <c r="E114" s="97" t="s">
        <v>132</v>
      </c>
      <c r="F114" s="99">
        <v>4500</v>
      </c>
      <c r="G114" s="93">
        <v>46153</v>
      </c>
      <c r="H114" s="429"/>
      <c r="I114" s="429"/>
      <c r="J114" s="429"/>
      <c r="K114" s="429"/>
      <c r="L114" s="429"/>
      <c r="M114" s="429"/>
      <c r="N114" s="429"/>
      <c r="O114" s="429"/>
      <c r="P114" s="429"/>
      <c r="Q114" s="429"/>
      <c r="R114" s="429"/>
      <c r="S114" s="429"/>
      <c r="T114" s="429"/>
      <c r="U114" s="429"/>
      <c r="V114" s="429"/>
      <c r="W114" s="429"/>
      <c r="X114" s="429"/>
      <c r="Y114" s="429"/>
      <c r="Z114" s="429"/>
      <c r="AA114" s="429"/>
      <c r="AB114" s="429"/>
      <c r="AC114" s="429"/>
      <c r="AD114" s="429"/>
      <c r="AE114" s="429"/>
      <c r="AF114" s="429">
        <f>F114</f>
        <v>4500</v>
      </c>
      <c r="AG114" s="429"/>
      <c r="AH114" s="429"/>
      <c r="AI114" s="429"/>
      <c r="AJ114" s="429"/>
      <c r="AK114" s="429"/>
      <c r="AL114" s="429"/>
      <c r="AM114" s="429"/>
      <c r="AN114" s="429"/>
      <c r="AO114" s="429"/>
      <c r="AP114" s="429"/>
      <c r="AQ114" s="429"/>
      <c r="AR114" s="429"/>
      <c r="AS114" s="429"/>
      <c r="AT114" s="429"/>
      <c r="AU114" s="429"/>
      <c r="AV114" s="429"/>
      <c r="AW114" s="429"/>
      <c r="AX114" s="429"/>
      <c r="AY114" s="429"/>
      <c r="AZ114" s="429"/>
      <c r="BA114" s="429"/>
      <c r="BB114" s="429"/>
      <c r="BC114" s="429"/>
      <c r="BD114" s="429"/>
      <c r="BE114" s="429"/>
      <c r="BF114" s="429"/>
      <c r="BG114" s="429"/>
      <c r="BH114" s="429"/>
      <c r="BI114" s="429"/>
      <c r="BJ114" s="429"/>
      <c r="BK114" s="429"/>
      <c r="BL114" s="429"/>
      <c r="BM114" s="429"/>
      <c r="BN114" s="429"/>
      <c r="BO114" s="429"/>
      <c r="BP114" s="102"/>
      <c r="BQ114" s="102">
        <v>1.46</v>
      </c>
      <c r="BR114" s="451">
        <f t="shared" si="10"/>
        <v>6570</v>
      </c>
      <c r="BS114" s="451">
        <f t="shared" si="11"/>
        <v>50917.5</v>
      </c>
      <c r="BT114" s="429" t="str">
        <f>IFERROR(VLOOKUP(E114,名称!A:D,4,FALSE),"")</f>
        <v>KIK</v>
      </c>
    </row>
    <row r="115" s="427" customFormat="1" hidden="1" customHeight="1" spans="1:72">
      <c r="A115" s="93">
        <v>46002</v>
      </c>
      <c r="B115" s="95" t="s">
        <v>242</v>
      </c>
      <c r="C115" s="96">
        <v>10116820</v>
      </c>
      <c r="D115" s="549" t="s">
        <v>243</v>
      </c>
      <c r="E115" s="550" t="s">
        <v>133</v>
      </c>
      <c r="F115" s="99">
        <v>48</v>
      </c>
      <c r="G115" s="93">
        <v>46083</v>
      </c>
      <c r="H115" s="429"/>
      <c r="I115" s="429"/>
      <c r="J115" s="429"/>
      <c r="K115" s="429"/>
      <c r="L115" s="429"/>
      <c r="M115" s="429"/>
      <c r="N115" s="429"/>
      <c r="O115" s="429"/>
      <c r="P115" s="429"/>
      <c r="Q115" s="429"/>
      <c r="R115" s="429"/>
      <c r="S115" s="429"/>
      <c r="T115" s="429"/>
      <c r="U115" s="429"/>
      <c r="V115" s="429"/>
      <c r="W115" s="429"/>
      <c r="X115" s="429"/>
      <c r="Y115" s="429"/>
      <c r="Z115" s="429"/>
      <c r="AA115" s="429"/>
      <c r="AB115" s="429"/>
      <c r="AC115" s="429"/>
      <c r="AD115" s="429"/>
      <c r="AE115" s="429"/>
      <c r="AF115" s="429"/>
      <c r="AG115" s="429">
        <f>F115</f>
        <v>48</v>
      </c>
      <c r="AH115" s="429"/>
      <c r="AI115" s="429"/>
      <c r="AJ115" s="429"/>
      <c r="AK115" s="429"/>
      <c r="AL115" s="429"/>
      <c r="AM115" s="429"/>
      <c r="AN115" s="429"/>
      <c r="AO115" s="429"/>
      <c r="AP115" s="429"/>
      <c r="AQ115" s="429"/>
      <c r="AR115" s="429"/>
      <c r="AS115" s="429"/>
      <c r="AT115" s="429"/>
      <c r="AU115" s="429"/>
      <c r="AV115" s="429"/>
      <c r="AW115" s="429"/>
      <c r="AX115" s="429"/>
      <c r="AY115" s="429"/>
      <c r="AZ115" s="429"/>
      <c r="BA115" s="429"/>
      <c r="BB115" s="429"/>
      <c r="BC115" s="429"/>
      <c r="BD115" s="429"/>
      <c r="BE115" s="429"/>
      <c r="BF115" s="429"/>
      <c r="BG115" s="429"/>
      <c r="BH115" s="429"/>
      <c r="BI115" s="429"/>
      <c r="BJ115" s="429"/>
      <c r="BK115" s="429"/>
      <c r="BL115" s="429"/>
      <c r="BM115" s="429"/>
      <c r="BN115" s="429"/>
      <c r="BO115" s="429"/>
      <c r="BP115" s="102"/>
      <c r="BQ115" s="102">
        <v>1.322</v>
      </c>
      <c r="BR115" s="451">
        <f t="shared" si="10"/>
        <v>63.46</v>
      </c>
      <c r="BS115" s="451">
        <f t="shared" si="11"/>
        <v>491.82</v>
      </c>
      <c r="BT115" s="429" t="str">
        <f>IFERROR(VLOOKUP(E115,名称!A:D,4,FALSE),"")</f>
        <v>KIK</v>
      </c>
    </row>
    <row r="116" s="427" customFormat="1" hidden="1" customHeight="1" spans="1:72">
      <c r="A116" s="93">
        <v>46002</v>
      </c>
      <c r="B116" s="95" t="s">
        <v>242</v>
      </c>
      <c r="C116" s="96">
        <v>10116820</v>
      </c>
      <c r="D116" s="549" t="s">
        <v>243</v>
      </c>
      <c r="E116" s="97" t="s">
        <v>130</v>
      </c>
      <c r="F116" s="99">
        <v>40</v>
      </c>
      <c r="G116" s="93">
        <v>46083</v>
      </c>
      <c r="H116" s="429"/>
      <c r="I116" s="429"/>
      <c r="J116" s="429"/>
      <c r="K116" s="429"/>
      <c r="L116" s="429"/>
      <c r="M116" s="429"/>
      <c r="N116" s="429"/>
      <c r="O116" s="429"/>
      <c r="P116" s="429"/>
      <c r="Q116" s="429"/>
      <c r="R116" s="429"/>
      <c r="S116" s="429"/>
      <c r="T116" s="429"/>
      <c r="U116" s="429"/>
      <c r="V116" s="429"/>
      <c r="W116" s="429"/>
      <c r="X116" s="429"/>
      <c r="Y116" s="429"/>
      <c r="Z116" s="429"/>
      <c r="AA116" s="429"/>
      <c r="AB116" s="429"/>
      <c r="AC116" s="429"/>
      <c r="AD116" s="429"/>
      <c r="AE116" s="429"/>
      <c r="AF116" s="429"/>
      <c r="AG116" s="429"/>
      <c r="AH116" s="429"/>
      <c r="AI116" s="429">
        <f>F116</f>
        <v>40</v>
      </c>
      <c r="AJ116" s="429"/>
      <c r="AK116" s="429"/>
      <c r="AL116" s="429"/>
      <c r="AM116" s="429"/>
      <c r="AN116" s="429"/>
      <c r="AO116" s="429"/>
      <c r="AP116" s="429"/>
      <c r="AQ116" s="429"/>
      <c r="AR116" s="429"/>
      <c r="AS116" s="429"/>
      <c r="AT116" s="429"/>
      <c r="AU116" s="429"/>
      <c r="AV116" s="429"/>
      <c r="AW116" s="429"/>
      <c r="AX116" s="429"/>
      <c r="AY116" s="429"/>
      <c r="AZ116" s="429"/>
      <c r="BA116" s="429"/>
      <c r="BB116" s="429"/>
      <c r="BC116" s="429"/>
      <c r="BD116" s="429"/>
      <c r="BE116" s="429"/>
      <c r="BF116" s="429"/>
      <c r="BG116" s="429"/>
      <c r="BH116" s="429"/>
      <c r="BI116" s="429"/>
      <c r="BJ116" s="429"/>
      <c r="BK116" s="429"/>
      <c r="BL116" s="429"/>
      <c r="BM116" s="429"/>
      <c r="BN116" s="429"/>
      <c r="BO116" s="429"/>
      <c r="BP116" s="102"/>
      <c r="BQ116" s="102">
        <v>3.703</v>
      </c>
      <c r="BR116" s="451">
        <f t="shared" si="10"/>
        <v>148.12</v>
      </c>
      <c r="BS116" s="451">
        <f t="shared" si="11"/>
        <v>1147.93</v>
      </c>
      <c r="BT116" s="429" t="str">
        <f>IFERROR(VLOOKUP(E116,名称!A:D,4,FALSE),"")</f>
        <v>KIK</v>
      </c>
    </row>
    <row r="117" s="427" customFormat="1" hidden="1" customHeight="1" spans="1:72">
      <c r="A117" s="93">
        <v>46002</v>
      </c>
      <c r="B117" s="95" t="s">
        <v>242</v>
      </c>
      <c r="C117" s="96">
        <v>10116820</v>
      </c>
      <c r="D117" s="549" t="s">
        <v>243</v>
      </c>
      <c r="E117" s="97" t="s">
        <v>131</v>
      </c>
      <c r="F117" s="99">
        <v>48</v>
      </c>
      <c r="G117" s="93">
        <v>46083</v>
      </c>
      <c r="H117" s="429"/>
      <c r="I117" s="429"/>
      <c r="J117" s="429"/>
      <c r="K117" s="429"/>
      <c r="L117" s="429"/>
      <c r="M117" s="429"/>
      <c r="N117" s="429"/>
      <c r="O117" s="429"/>
      <c r="P117" s="429"/>
      <c r="Q117" s="429"/>
      <c r="R117" s="429"/>
      <c r="S117" s="429"/>
      <c r="T117" s="429"/>
      <c r="U117" s="429"/>
      <c r="V117" s="429"/>
      <c r="W117" s="429"/>
      <c r="X117" s="429"/>
      <c r="Y117" s="429"/>
      <c r="Z117" s="429"/>
      <c r="AA117" s="429"/>
      <c r="AB117" s="429"/>
      <c r="AC117" s="429"/>
      <c r="AD117" s="429"/>
      <c r="AE117" s="429"/>
      <c r="AF117" s="429"/>
      <c r="AG117" s="429"/>
      <c r="AH117" s="429">
        <f>F117</f>
        <v>48</v>
      </c>
      <c r="AI117" s="429"/>
      <c r="AJ117" s="429"/>
      <c r="AK117" s="429"/>
      <c r="AL117" s="429"/>
      <c r="AM117" s="429"/>
      <c r="AN117" s="429"/>
      <c r="AO117" s="429"/>
      <c r="AP117" s="429"/>
      <c r="AQ117" s="429"/>
      <c r="AR117" s="429"/>
      <c r="AS117" s="429"/>
      <c r="AT117" s="429"/>
      <c r="AU117" s="429"/>
      <c r="AV117" s="429"/>
      <c r="AW117" s="429"/>
      <c r="AX117" s="429"/>
      <c r="AY117" s="429"/>
      <c r="AZ117" s="429"/>
      <c r="BA117" s="429"/>
      <c r="BB117" s="429"/>
      <c r="BC117" s="429"/>
      <c r="BD117" s="429"/>
      <c r="BE117" s="429"/>
      <c r="BF117" s="429"/>
      <c r="BG117" s="429"/>
      <c r="BH117" s="429"/>
      <c r="BI117" s="429"/>
      <c r="BJ117" s="429"/>
      <c r="BK117" s="429"/>
      <c r="BL117" s="429"/>
      <c r="BM117" s="429"/>
      <c r="BN117" s="429"/>
      <c r="BO117" s="429"/>
      <c r="BP117" s="102"/>
      <c r="BQ117" s="102">
        <v>2.418</v>
      </c>
      <c r="BR117" s="451">
        <f t="shared" si="10"/>
        <v>116.06</v>
      </c>
      <c r="BS117" s="451">
        <f t="shared" si="11"/>
        <v>899.47</v>
      </c>
      <c r="BT117" s="429" t="str">
        <f>IFERROR(VLOOKUP(E117,名称!A:D,4,FALSE),"")</f>
        <v>KIK</v>
      </c>
    </row>
    <row r="118" s="427" customFormat="1" hidden="1" customHeight="1" spans="1:72">
      <c r="A118" s="93">
        <v>46002</v>
      </c>
      <c r="B118" s="95" t="s">
        <v>242</v>
      </c>
      <c r="C118" s="96">
        <v>10116820</v>
      </c>
      <c r="D118" s="549" t="s">
        <v>243</v>
      </c>
      <c r="E118" s="97" t="s">
        <v>132</v>
      </c>
      <c r="F118" s="99">
        <v>48</v>
      </c>
      <c r="G118" s="93">
        <v>46083</v>
      </c>
      <c r="H118" s="429"/>
      <c r="I118" s="429"/>
      <c r="J118" s="429"/>
      <c r="K118" s="429"/>
      <c r="L118" s="429"/>
      <c r="M118" s="429"/>
      <c r="N118" s="429"/>
      <c r="O118" s="429"/>
      <c r="P118" s="429"/>
      <c r="Q118" s="429"/>
      <c r="R118" s="429"/>
      <c r="S118" s="429"/>
      <c r="T118" s="429"/>
      <c r="U118" s="429"/>
      <c r="V118" s="429"/>
      <c r="W118" s="429"/>
      <c r="X118" s="429"/>
      <c r="Y118" s="429"/>
      <c r="Z118" s="429"/>
      <c r="AA118" s="429"/>
      <c r="AB118" s="429"/>
      <c r="AC118" s="429"/>
      <c r="AD118" s="429"/>
      <c r="AE118" s="429"/>
      <c r="AF118" s="429">
        <f>F118</f>
        <v>48</v>
      </c>
      <c r="AG118" s="429"/>
      <c r="AH118" s="429"/>
      <c r="AI118" s="429"/>
      <c r="AJ118" s="429"/>
      <c r="AK118" s="429"/>
      <c r="AL118" s="429"/>
      <c r="AM118" s="429"/>
      <c r="AN118" s="429"/>
      <c r="AO118" s="429"/>
      <c r="AP118" s="429"/>
      <c r="AQ118" s="429"/>
      <c r="AR118" s="429"/>
      <c r="AS118" s="429"/>
      <c r="AT118" s="429"/>
      <c r="AU118" s="429"/>
      <c r="AV118" s="429"/>
      <c r="AW118" s="429"/>
      <c r="AX118" s="429"/>
      <c r="AY118" s="429"/>
      <c r="AZ118" s="429"/>
      <c r="BA118" s="429"/>
      <c r="BB118" s="429"/>
      <c r="BC118" s="429"/>
      <c r="BD118" s="429"/>
      <c r="BE118" s="429"/>
      <c r="BF118" s="429"/>
      <c r="BG118" s="429"/>
      <c r="BH118" s="429"/>
      <c r="BI118" s="429"/>
      <c r="BJ118" s="429"/>
      <c r="BK118" s="429"/>
      <c r="BL118" s="429"/>
      <c r="BM118" s="429"/>
      <c r="BN118" s="429"/>
      <c r="BO118" s="429"/>
      <c r="BP118" s="102"/>
      <c r="BQ118" s="102">
        <v>1.46</v>
      </c>
      <c r="BR118" s="451">
        <f t="shared" si="10"/>
        <v>70.08</v>
      </c>
      <c r="BS118" s="451">
        <f t="shared" si="11"/>
        <v>543.12</v>
      </c>
      <c r="BT118" s="429" t="str">
        <f>IFERROR(VLOOKUP(E118,名称!A:D,4,FALSE),"")</f>
        <v>KIK</v>
      </c>
    </row>
    <row r="119" s="427" customFormat="1" hidden="1" customHeight="1" spans="1:72">
      <c r="A119" s="93">
        <v>46010</v>
      </c>
      <c r="B119" s="95" t="s">
        <v>237</v>
      </c>
      <c r="C119" s="96">
        <v>10117456</v>
      </c>
      <c r="D119" s="96">
        <v>202535170055</v>
      </c>
      <c r="E119" s="97" t="s">
        <v>88</v>
      </c>
      <c r="F119" s="99">
        <v>20016</v>
      </c>
      <c r="G119" s="93">
        <v>46092</v>
      </c>
      <c r="H119" s="429"/>
      <c r="I119" s="429"/>
      <c r="J119" s="429"/>
      <c r="K119" s="429"/>
      <c r="L119" s="429"/>
      <c r="M119" s="429"/>
      <c r="N119" s="429"/>
      <c r="O119" s="429"/>
      <c r="P119" s="429"/>
      <c r="Q119" s="429"/>
      <c r="R119" s="429"/>
      <c r="S119" s="429"/>
      <c r="T119" s="429"/>
      <c r="U119" s="429"/>
      <c r="V119" s="429"/>
      <c r="W119" s="429"/>
      <c r="X119" s="429"/>
      <c r="Y119" s="429"/>
      <c r="Z119" s="429"/>
      <c r="AA119" s="429"/>
      <c r="AB119" s="429"/>
      <c r="AC119" s="429"/>
      <c r="AD119" s="429"/>
      <c r="AE119" s="429">
        <f>F119</f>
        <v>20016</v>
      </c>
      <c r="AF119" s="429"/>
      <c r="AG119" s="429"/>
      <c r="AH119" s="429"/>
      <c r="AI119" s="429"/>
      <c r="AJ119" s="429"/>
      <c r="AK119" s="429"/>
      <c r="AL119" s="429"/>
      <c r="AM119" s="429"/>
      <c r="AN119" s="429"/>
      <c r="AO119" s="429"/>
      <c r="AP119" s="429"/>
      <c r="AQ119" s="429"/>
      <c r="AR119" s="429"/>
      <c r="AS119" s="429"/>
      <c r="AT119" s="429"/>
      <c r="AU119" s="429"/>
      <c r="AV119" s="429"/>
      <c r="AW119" s="429"/>
      <c r="AX119" s="429"/>
      <c r="AY119" s="429"/>
      <c r="AZ119" s="429"/>
      <c r="BA119" s="429"/>
      <c r="BB119" s="429"/>
      <c r="BC119" s="429"/>
      <c r="BD119" s="429"/>
      <c r="BE119" s="429"/>
      <c r="BF119" s="429"/>
      <c r="BG119" s="429"/>
      <c r="BH119" s="429"/>
      <c r="BI119" s="429"/>
      <c r="BJ119" s="429"/>
      <c r="BK119" s="429"/>
      <c r="BL119" s="429"/>
      <c r="BM119" s="429"/>
      <c r="BN119" s="429"/>
      <c r="BO119" s="429"/>
      <c r="BP119" s="102"/>
      <c r="BQ119" s="102">
        <v>0.963</v>
      </c>
      <c r="BR119" s="451">
        <f t="shared" si="10"/>
        <v>19275.41</v>
      </c>
      <c r="BS119" s="451">
        <f t="shared" si="11"/>
        <v>149384.43</v>
      </c>
      <c r="BT119" s="429" t="str">
        <f>IFERROR(VLOOKUP(E119,名称!A:D,4,FALSE),"")</f>
        <v>KIK</v>
      </c>
    </row>
    <row r="120" s="427" customFormat="1" hidden="1" customHeight="1" spans="1:72">
      <c r="A120" s="93">
        <v>46015</v>
      </c>
      <c r="B120" s="95" t="s">
        <v>236</v>
      </c>
      <c r="C120" s="96">
        <v>10117760</v>
      </c>
      <c r="D120" s="96" t="s">
        <v>244</v>
      </c>
      <c r="E120" s="97" t="s">
        <v>118</v>
      </c>
      <c r="F120" s="99">
        <v>4</v>
      </c>
      <c r="G120" s="93">
        <v>46204</v>
      </c>
      <c r="H120" s="429"/>
      <c r="I120" s="429"/>
      <c r="J120" s="429"/>
      <c r="K120" s="429"/>
      <c r="L120" s="429"/>
      <c r="M120" s="429"/>
      <c r="N120" s="429"/>
      <c r="O120" s="429"/>
      <c r="P120" s="429"/>
      <c r="Q120" s="429"/>
      <c r="R120" s="429"/>
      <c r="S120" s="429"/>
      <c r="T120" s="429"/>
      <c r="U120" s="429"/>
      <c r="V120" s="429"/>
      <c r="W120" s="429"/>
      <c r="X120" s="429"/>
      <c r="Y120" s="429"/>
      <c r="Z120" s="429"/>
      <c r="AA120" s="429"/>
      <c r="AB120" s="429"/>
      <c r="AC120" s="429"/>
      <c r="AD120" s="429"/>
      <c r="AE120" s="429"/>
      <c r="AF120" s="429"/>
      <c r="AG120" s="429"/>
      <c r="AH120" s="429"/>
      <c r="AI120" s="429"/>
      <c r="AJ120" s="429"/>
      <c r="AK120" s="429"/>
      <c r="AL120" s="429"/>
      <c r="AM120" s="429"/>
      <c r="AN120" s="429"/>
      <c r="AO120" s="429"/>
      <c r="AP120" s="429"/>
      <c r="AQ120" s="429">
        <f>F120</f>
        <v>4</v>
      </c>
      <c r="AR120" s="429"/>
      <c r="AS120" s="429"/>
      <c r="AT120" s="429"/>
      <c r="AU120" s="429"/>
      <c r="AV120" s="429"/>
      <c r="AW120" s="429"/>
      <c r="AX120" s="429"/>
      <c r="AY120" s="429"/>
      <c r="AZ120" s="429"/>
      <c r="BA120" s="429"/>
      <c r="BB120" s="429"/>
      <c r="BC120" s="429"/>
      <c r="BD120" s="429"/>
      <c r="BE120" s="429"/>
      <c r="BF120" s="429"/>
      <c r="BG120" s="429"/>
      <c r="BH120" s="429"/>
      <c r="BI120" s="429"/>
      <c r="BJ120" s="429"/>
      <c r="BK120" s="429"/>
      <c r="BL120" s="429"/>
      <c r="BM120" s="429"/>
      <c r="BN120" s="429"/>
      <c r="BO120" s="429"/>
      <c r="BP120" s="102"/>
      <c r="BQ120" s="102">
        <v>16.71</v>
      </c>
      <c r="BR120" s="451">
        <f t="shared" si="10"/>
        <v>66.84</v>
      </c>
      <c r="BS120" s="451">
        <f t="shared" si="11"/>
        <v>518.01</v>
      </c>
      <c r="BT120" s="429" t="str">
        <f>IFERROR(VLOOKUP(E120,名称!A:D,4,FALSE),"")</f>
        <v>KIK</v>
      </c>
    </row>
    <row r="121" s="427" customFormat="1" hidden="1" customHeight="1" spans="1:72">
      <c r="A121" s="93">
        <v>46016</v>
      </c>
      <c r="B121" s="95" t="s">
        <v>245</v>
      </c>
      <c r="C121" s="96">
        <v>10119863</v>
      </c>
      <c r="D121" s="96">
        <v>4500032099</v>
      </c>
      <c r="E121" s="97" t="s">
        <v>134</v>
      </c>
      <c r="F121" s="99">
        <v>10008</v>
      </c>
      <c r="G121" s="93">
        <v>46106</v>
      </c>
      <c r="H121" s="429"/>
      <c r="I121" s="429"/>
      <c r="J121" s="429"/>
      <c r="K121" s="429"/>
      <c r="L121" s="429"/>
      <c r="M121" s="429"/>
      <c r="N121" s="429"/>
      <c r="O121" s="429"/>
      <c r="P121" s="429"/>
      <c r="Q121" s="429"/>
      <c r="R121" s="429"/>
      <c r="S121" s="429"/>
      <c r="T121" s="429"/>
      <c r="U121" s="429"/>
      <c r="V121" s="429"/>
      <c r="W121" s="429"/>
      <c r="X121" s="429"/>
      <c r="Y121" s="429"/>
      <c r="Z121" s="429"/>
      <c r="AA121" s="429"/>
      <c r="AB121" s="429"/>
      <c r="AC121" s="429"/>
      <c r="AD121" s="429"/>
      <c r="AE121" s="429"/>
      <c r="AF121" s="429"/>
      <c r="AG121" s="429"/>
      <c r="AH121" s="429"/>
      <c r="AI121" s="429"/>
      <c r="AJ121" s="429"/>
      <c r="AK121" s="429"/>
      <c r="AL121" s="429"/>
      <c r="AM121" s="429"/>
      <c r="AN121" s="429"/>
      <c r="AO121" s="429"/>
      <c r="AP121" s="429"/>
      <c r="AQ121" s="429"/>
      <c r="AR121" s="429"/>
      <c r="AS121" s="429">
        <f>F121</f>
        <v>10008</v>
      </c>
      <c r="AT121" s="429"/>
      <c r="AU121" s="429"/>
      <c r="AV121" s="429"/>
      <c r="AW121" s="429"/>
      <c r="AX121" s="429"/>
      <c r="AY121" s="429"/>
      <c r="AZ121" s="429"/>
      <c r="BA121" s="429"/>
      <c r="BB121" s="429"/>
      <c r="BC121" s="429"/>
      <c r="BD121" s="429"/>
      <c r="BE121" s="429"/>
      <c r="BF121" s="429"/>
      <c r="BG121" s="429"/>
      <c r="BH121" s="429"/>
      <c r="BI121" s="429"/>
      <c r="BJ121" s="429"/>
      <c r="BK121" s="429"/>
      <c r="BL121" s="429"/>
      <c r="BM121" s="429"/>
      <c r="BN121" s="429"/>
      <c r="BO121" s="429"/>
      <c r="BP121" s="102"/>
      <c r="BQ121" s="102">
        <v>0.88</v>
      </c>
      <c r="BR121" s="451">
        <f t="shared" si="10"/>
        <v>8807.04</v>
      </c>
      <c r="BS121" s="451">
        <f t="shared" si="11"/>
        <v>68254.56</v>
      </c>
      <c r="BT121" s="429" t="str">
        <f>IFERROR(VLOOKUP(E121,名称!A:D,4,FALSE),"")</f>
        <v>KIK</v>
      </c>
    </row>
    <row r="122" s="427" customFormat="1" hidden="1" customHeight="1" spans="1:72">
      <c r="A122" s="93">
        <v>46026</v>
      </c>
      <c r="B122" s="95" t="s">
        <v>237</v>
      </c>
      <c r="C122" s="96">
        <v>10118279</v>
      </c>
      <c r="D122" s="96">
        <v>202536470026</v>
      </c>
      <c r="E122" s="97">
        <v>47669</v>
      </c>
      <c r="F122" s="99">
        <v>5000</v>
      </c>
      <c r="G122" s="93">
        <v>46113</v>
      </c>
      <c r="H122" s="429"/>
      <c r="I122" s="429"/>
      <c r="J122" s="429"/>
      <c r="K122" s="429"/>
      <c r="L122" s="429"/>
      <c r="M122" s="429"/>
      <c r="N122" s="429"/>
      <c r="O122" s="429"/>
      <c r="P122" s="429"/>
      <c r="Q122" s="429"/>
      <c r="R122" s="429">
        <f>F122</f>
        <v>5000</v>
      </c>
      <c r="S122" s="429"/>
      <c r="T122" s="429"/>
      <c r="U122" s="429"/>
      <c r="V122" s="429"/>
      <c r="W122" s="429"/>
      <c r="X122" s="429"/>
      <c r="Y122" s="429"/>
      <c r="Z122" s="429"/>
      <c r="AA122" s="429"/>
      <c r="AB122" s="429"/>
      <c r="AC122" s="429"/>
      <c r="AD122" s="429"/>
      <c r="AE122" s="429"/>
      <c r="AF122" s="429"/>
      <c r="AG122" s="429"/>
      <c r="AH122" s="429"/>
      <c r="AI122" s="429"/>
      <c r="AJ122" s="429"/>
      <c r="AK122" s="429"/>
      <c r="AL122" s="429"/>
      <c r="AM122" s="429"/>
      <c r="AN122" s="429"/>
      <c r="AO122" s="429"/>
      <c r="AP122" s="429"/>
      <c r="AQ122" s="429"/>
      <c r="AR122" s="429"/>
      <c r="AS122" s="429"/>
      <c r="AT122" s="429"/>
      <c r="AU122" s="429"/>
      <c r="AV122" s="429"/>
      <c r="AW122" s="429"/>
      <c r="AX122" s="429"/>
      <c r="AY122" s="429"/>
      <c r="AZ122" s="429"/>
      <c r="BA122" s="429"/>
      <c r="BB122" s="429"/>
      <c r="BC122" s="429"/>
      <c r="BD122" s="429"/>
      <c r="BE122" s="429"/>
      <c r="BF122" s="429"/>
      <c r="BG122" s="429"/>
      <c r="BH122" s="429"/>
      <c r="BI122" s="429"/>
      <c r="BJ122" s="429"/>
      <c r="BK122" s="429"/>
      <c r="BL122" s="429"/>
      <c r="BM122" s="429"/>
      <c r="BN122" s="429"/>
      <c r="BO122" s="429"/>
      <c r="BP122" s="102"/>
      <c r="BQ122" s="102">
        <v>4.906</v>
      </c>
      <c r="BR122" s="451">
        <f t="shared" si="10"/>
        <v>24530</v>
      </c>
      <c r="BS122" s="451">
        <f t="shared" si="11"/>
        <v>190107.5</v>
      </c>
      <c r="BT122" s="429" t="str">
        <f>IFERROR(VLOOKUP(E122,名称!A:D,4,FALSE),"")</f>
        <v>KIK</v>
      </c>
    </row>
    <row r="123" s="427" customFormat="1" hidden="1" customHeight="1" spans="1:72">
      <c r="A123" s="93">
        <v>46028</v>
      </c>
      <c r="B123" s="95" t="s">
        <v>236</v>
      </c>
      <c r="C123" s="96">
        <v>10118385</v>
      </c>
      <c r="D123" s="96">
        <v>20218848</v>
      </c>
      <c r="E123" s="97" t="s">
        <v>102</v>
      </c>
      <c r="F123" s="99">
        <v>2502</v>
      </c>
      <c r="G123" s="93">
        <v>46113</v>
      </c>
      <c r="H123" s="429">
        <f>F123</f>
        <v>2502</v>
      </c>
      <c r="I123" s="429"/>
      <c r="J123" s="429"/>
      <c r="K123" s="429"/>
      <c r="L123" s="429"/>
      <c r="M123" s="429"/>
      <c r="N123" s="429"/>
      <c r="O123" s="429"/>
      <c r="P123" s="429"/>
      <c r="Q123" s="429"/>
      <c r="R123" s="429"/>
      <c r="S123" s="429"/>
      <c r="T123" s="429"/>
      <c r="U123" s="429"/>
      <c r="V123" s="429"/>
      <c r="W123" s="429"/>
      <c r="X123" s="429"/>
      <c r="Y123" s="429"/>
      <c r="Z123" s="429"/>
      <c r="AA123" s="429"/>
      <c r="AB123" s="429"/>
      <c r="AC123" s="429"/>
      <c r="AD123" s="429"/>
      <c r="AE123" s="429"/>
      <c r="AF123" s="429"/>
      <c r="AG123" s="429"/>
      <c r="AH123" s="429"/>
      <c r="AI123" s="429"/>
      <c r="AJ123" s="429"/>
      <c r="AK123" s="429"/>
      <c r="AL123" s="429"/>
      <c r="AM123" s="429"/>
      <c r="AN123" s="429"/>
      <c r="AO123" s="429"/>
      <c r="AP123" s="429"/>
      <c r="AQ123" s="429"/>
      <c r="AR123" s="429"/>
      <c r="AS123" s="429"/>
      <c r="AT123" s="429"/>
      <c r="AU123" s="429"/>
      <c r="AV123" s="429"/>
      <c r="AW123" s="429"/>
      <c r="AX123" s="429"/>
      <c r="AY123" s="429"/>
      <c r="AZ123" s="429"/>
      <c r="BA123" s="429"/>
      <c r="BB123" s="429"/>
      <c r="BC123" s="429"/>
      <c r="BD123" s="429"/>
      <c r="BE123" s="429"/>
      <c r="BF123" s="429"/>
      <c r="BG123" s="429"/>
      <c r="BH123" s="429"/>
      <c r="BI123" s="429"/>
      <c r="BJ123" s="429"/>
      <c r="BK123" s="429"/>
      <c r="BL123" s="429"/>
      <c r="BM123" s="429"/>
      <c r="BN123" s="429"/>
      <c r="BO123" s="429"/>
      <c r="BP123" s="102"/>
      <c r="BQ123" s="102">
        <v>1.133</v>
      </c>
      <c r="BR123" s="451">
        <f t="shared" si="10"/>
        <v>2834.77</v>
      </c>
      <c r="BS123" s="451">
        <f t="shared" si="11"/>
        <v>21969.47</v>
      </c>
      <c r="BT123" s="429" t="str">
        <f>IFERROR(VLOOKUP(E123,名称!A:D,4,FALSE),"")</f>
        <v>KIK</v>
      </c>
    </row>
    <row r="124" s="427" customFormat="1" hidden="1" customHeight="1" spans="1:72">
      <c r="A124" s="93">
        <v>46028</v>
      </c>
      <c r="B124" s="95" t="s">
        <v>236</v>
      </c>
      <c r="C124" s="96">
        <v>10118387</v>
      </c>
      <c r="D124" s="96">
        <v>20218850</v>
      </c>
      <c r="E124" s="97" t="s">
        <v>102</v>
      </c>
      <c r="F124" s="99">
        <v>2502</v>
      </c>
      <c r="G124" s="93">
        <v>46113</v>
      </c>
      <c r="H124" s="429">
        <f>F124</f>
        <v>2502</v>
      </c>
      <c r="I124" s="429"/>
      <c r="J124" s="429"/>
      <c r="K124" s="429"/>
      <c r="L124" s="429"/>
      <c r="M124" s="429"/>
      <c r="N124" s="429"/>
      <c r="O124" s="429"/>
      <c r="P124" s="429"/>
      <c r="Q124" s="429"/>
      <c r="R124" s="429"/>
      <c r="S124" s="429"/>
      <c r="T124" s="429"/>
      <c r="U124" s="429"/>
      <c r="V124" s="429"/>
      <c r="W124" s="429"/>
      <c r="X124" s="429"/>
      <c r="Y124" s="429"/>
      <c r="Z124" s="429"/>
      <c r="AA124" s="429"/>
      <c r="AB124" s="429"/>
      <c r="AC124" s="429"/>
      <c r="AD124" s="429"/>
      <c r="AE124" s="429"/>
      <c r="AF124" s="429"/>
      <c r="AG124" s="429"/>
      <c r="AH124" s="429"/>
      <c r="AI124" s="429"/>
      <c r="AJ124" s="429"/>
      <c r="AK124" s="429"/>
      <c r="AL124" s="429"/>
      <c r="AM124" s="429"/>
      <c r="AN124" s="429"/>
      <c r="AO124" s="429"/>
      <c r="AP124" s="429"/>
      <c r="AQ124" s="429"/>
      <c r="AR124" s="429"/>
      <c r="AS124" s="429"/>
      <c r="AT124" s="429"/>
      <c r="AU124" s="429"/>
      <c r="AV124" s="429"/>
      <c r="AW124" s="429"/>
      <c r="AX124" s="429"/>
      <c r="AY124" s="429"/>
      <c r="AZ124" s="429"/>
      <c r="BA124" s="429"/>
      <c r="BB124" s="429"/>
      <c r="BC124" s="429"/>
      <c r="BD124" s="429"/>
      <c r="BE124" s="429"/>
      <c r="BF124" s="429"/>
      <c r="BG124" s="429"/>
      <c r="BH124" s="429"/>
      <c r="BI124" s="429"/>
      <c r="BJ124" s="429"/>
      <c r="BK124" s="429"/>
      <c r="BL124" s="429"/>
      <c r="BM124" s="429"/>
      <c r="BN124" s="429"/>
      <c r="BO124" s="429"/>
      <c r="BP124" s="102"/>
      <c r="BQ124" s="102">
        <v>1.133</v>
      </c>
      <c r="BR124" s="451">
        <f t="shared" si="10"/>
        <v>2834.77</v>
      </c>
      <c r="BS124" s="451">
        <f t="shared" si="11"/>
        <v>21969.47</v>
      </c>
      <c r="BT124" s="429" t="str">
        <f>IFERROR(VLOOKUP(E124,名称!A:D,4,FALSE),"")</f>
        <v>KIK</v>
      </c>
    </row>
    <row r="125" s="427" customFormat="1" hidden="1" customHeight="1" spans="1:72">
      <c r="A125" s="93">
        <v>46028</v>
      </c>
      <c r="B125" s="95" t="s">
        <v>236</v>
      </c>
      <c r="C125" s="96">
        <v>10118388</v>
      </c>
      <c r="D125" s="96">
        <v>20218852</v>
      </c>
      <c r="E125" s="97" t="s">
        <v>102</v>
      </c>
      <c r="F125" s="99">
        <v>2502</v>
      </c>
      <c r="G125" s="93">
        <v>46113</v>
      </c>
      <c r="H125" s="429">
        <f>F125</f>
        <v>2502</v>
      </c>
      <c r="I125" s="429"/>
      <c r="J125" s="429"/>
      <c r="K125" s="429"/>
      <c r="L125" s="429"/>
      <c r="M125" s="429"/>
      <c r="N125" s="429"/>
      <c r="O125" s="429"/>
      <c r="P125" s="429"/>
      <c r="Q125" s="429"/>
      <c r="R125" s="429"/>
      <c r="S125" s="429"/>
      <c r="T125" s="429"/>
      <c r="U125" s="429"/>
      <c r="V125" s="429"/>
      <c r="W125" s="429"/>
      <c r="X125" s="429"/>
      <c r="Y125" s="429"/>
      <c r="Z125" s="429"/>
      <c r="AA125" s="429"/>
      <c r="AB125" s="429"/>
      <c r="AC125" s="429"/>
      <c r="AD125" s="429"/>
      <c r="AE125" s="429"/>
      <c r="AF125" s="429"/>
      <c r="AG125" s="429"/>
      <c r="AH125" s="429"/>
      <c r="AI125" s="429"/>
      <c r="AJ125" s="429"/>
      <c r="AK125" s="429"/>
      <c r="AL125" s="429"/>
      <c r="AM125" s="429"/>
      <c r="AN125" s="429"/>
      <c r="AO125" s="429"/>
      <c r="AP125" s="429"/>
      <c r="AQ125" s="429"/>
      <c r="AR125" s="429"/>
      <c r="AS125" s="429"/>
      <c r="AT125" s="429"/>
      <c r="AU125" s="429"/>
      <c r="AV125" s="429"/>
      <c r="AW125" s="429"/>
      <c r="AX125" s="429"/>
      <c r="AY125" s="429"/>
      <c r="AZ125" s="429"/>
      <c r="BA125" s="429"/>
      <c r="BB125" s="429"/>
      <c r="BC125" s="429"/>
      <c r="BD125" s="429"/>
      <c r="BE125" s="429"/>
      <c r="BF125" s="429"/>
      <c r="BG125" s="429"/>
      <c r="BH125" s="429"/>
      <c r="BI125" s="429"/>
      <c r="BJ125" s="429"/>
      <c r="BK125" s="429"/>
      <c r="BL125" s="429"/>
      <c r="BM125" s="429"/>
      <c r="BN125" s="429"/>
      <c r="BO125" s="429"/>
      <c r="BP125" s="102"/>
      <c r="BQ125" s="102">
        <v>1.133</v>
      </c>
      <c r="BR125" s="451">
        <f t="shared" si="10"/>
        <v>2834.77</v>
      </c>
      <c r="BS125" s="451">
        <f t="shared" si="11"/>
        <v>21969.47</v>
      </c>
      <c r="BT125" s="429" t="str">
        <f>IFERROR(VLOOKUP(E125,名称!A:D,4,FALSE),"")</f>
        <v>KIK</v>
      </c>
    </row>
    <row r="126" s="427" customFormat="1" hidden="1" customHeight="1" spans="1:72">
      <c r="A126" s="93">
        <v>46028</v>
      </c>
      <c r="B126" s="95" t="s">
        <v>236</v>
      </c>
      <c r="C126" s="96">
        <v>10118391</v>
      </c>
      <c r="D126" s="96">
        <v>20218853</v>
      </c>
      <c r="E126" s="97" t="s">
        <v>102</v>
      </c>
      <c r="F126" s="99">
        <v>2502</v>
      </c>
      <c r="G126" s="93">
        <v>46204</v>
      </c>
      <c r="H126" s="429">
        <f>F126</f>
        <v>2502</v>
      </c>
      <c r="I126" s="429"/>
      <c r="J126" s="429"/>
      <c r="K126" s="429"/>
      <c r="L126" s="429"/>
      <c r="M126" s="429"/>
      <c r="N126" s="429"/>
      <c r="O126" s="429"/>
      <c r="P126" s="429"/>
      <c r="Q126" s="429"/>
      <c r="R126" s="429"/>
      <c r="S126" s="429"/>
      <c r="T126" s="429"/>
      <c r="U126" s="429"/>
      <c r="V126" s="429"/>
      <c r="W126" s="429"/>
      <c r="X126" s="429"/>
      <c r="Y126" s="429"/>
      <c r="Z126" s="429"/>
      <c r="AA126" s="429"/>
      <c r="AB126" s="429"/>
      <c r="AC126" s="429"/>
      <c r="AD126" s="429"/>
      <c r="AE126" s="429"/>
      <c r="AF126" s="429"/>
      <c r="AG126" s="429"/>
      <c r="AH126" s="429"/>
      <c r="AI126" s="429"/>
      <c r="AJ126" s="429"/>
      <c r="AK126" s="429"/>
      <c r="AL126" s="429"/>
      <c r="AM126" s="429"/>
      <c r="AN126" s="429"/>
      <c r="AO126" s="429"/>
      <c r="AP126" s="429"/>
      <c r="AQ126" s="429"/>
      <c r="AR126" s="429"/>
      <c r="AS126" s="429"/>
      <c r="AT126" s="429"/>
      <c r="AU126" s="429"/>
      <c r="AV126" s="429"/>
      <c r="AW126" s="429"/>
      <c r="AX126" s="429"/>
      <c r="AY126" s="429"/>
      <c r="AZ126" s="429"/>
      <c r="BA126" s="429"/>
      <c r="BB126" s="429"/>
      <c r="BC126" s="429"/>
      <c r="BD126" s="429"/>
      <c r="BE126" s="429"/>
      <c r="BF126" s="429"/>
      <c r="BG126" s="429"/>
      <c r="BH126" s="429"/>
      <c r="BI126" s="429"/>
      <c r="BJ126" s="429"/>
      <c r="BK126" s="429"/>
      <c r="BL126" s="429"/>
      <c r="BM126" s="429"/>
      <c r="BN126" s="429"/>
      <c r="BO126" s="429"/>
      <c r="BP126" s="102"/>
      <c r="BQ126" s="102">
        <v>1.133</v>
      </c>
      <c r="BR126" s="451">
        <f t="shared" si="10"/>
        <v>2834.77</v>
      </c>
      <c r="BS126" s="451">
        <f t="shared" si="11"/>
        <v>21969.47</v>
      </c>
      <c r="BT126" s="429" t="str">
        <f>IFERROR(VLOOKUP(E126,名称!A:D,4,FALSE),"")</f>
        <v>KIK</v>
      </c>
    </row>
    <row r="127" s="427" customFormat="1" hidden="1" customHeight="1" spans="1:72">
      <c r="A127" s="93">
        <v>46028</v>
      </c>
      <c r="B127" s="95" t="s">
        <v>236</v>
      </c>
      <c r="C127" s="96">
        <v>10118392</v>
      </c>
      <c r="D127" s="96">
        <v>20218859</v>
      </c>
      <c r="E127" s="97" t="s">
        <v>48</v>
      </c>
      <c r="F127" s="99">
        <v>3000</v>
      </c>
      <c r="G127" s="93">
        <v>46113</v>
      </c>
      <c r="H127" s="429"/>
      <c r="I127" s="429"/>
      <c r="J127" s="429"/>
      <c r="K127" s="429">
        <f>F127</f>
        <v>3000</v>
      </c>
      <c r="L127" s="429"/>
      <c r="M127" s="429"/>
      <c r="N127" s="429"/>
      <c r="O127" s="429"/>
      <c r="P127" s="429"/>
      <c r="Q127" s="429"/>
      <c r="R127" s="429"/>
      <c r="S127" s="429"/>
      <c r="T127" s="429"/>
      <c r="U127" s="429"/>
      <c r="V127" s="429"/>
      <c r="W127" s="429"/>
      <c r="X127" s="429"/>
      <c r="Y127" s="429"/>
      <c r="Z127" s="429"/>
      <c r="AA127" s="429"/>
      <c r="AB127" s="429"/>
      <c r="AC127" s="429"/>
      <c r="AD127" s="429"/>
      <c r="AE127" s="429"/>
      <c r="AF127" s="429"/>
      <c r="AG127" s="429"/>
      <c r="AH127" s="429"/>
      <c r="AI127" s="429"/>
      <c r="AJ127" s="429"/>
      <c r="AK127" s="429"/>
      <c r="AL127" s="429"/>
      <c r="AM127" s="429"/>
      <c r="AN127" s="429"/>
      <c r="AO127" s="429"/>
      <c r="AP127" s="429"/>
      <c r="AQ127" s="429"/>
      <c r="AR127" s="429"/>
      <c r="AS127" s="429"/>
      <c r="AT127" s="429"/>
      <c r="AU127" s="429"/>
      <c r="AV127" s="429"/>
      <c r="AW127" s="429"/>
      <c r="AX127" s="429"/>
      <c r="AY127" s="429"/>
      <c r="AZ127" s="429"/>
      <c r="BA127" s="429"/>
      <c r="BB127" s="429"/>
      <c r="BC127" s="429"/>
      <c r="BD127" s="429"/>
      <c r="BE127" s="429"/>
      <c r="BF127" s="429"/>
      <c r="BG127" s="429"/>
      <c r="BH127" s="429"/>
      <c r="BI127" s="429"/>
      <c r="BJ127" s="429"/>
      <c r="BK127" s="429"/>
      <c r="BL127" s="429"/>
      <c r="BM127" s="429"/>
      <c r="BN127" s="429"/>
      <c r="BO127" s="429"/>
      <c r="BP127" s="102"/>
      <c r="BQ127" s="102">
        <v>2.199</v>
      </c>
      <c r="BR127" s="451">
        <f t="shared" si="10"/>
        <v>6597</v>
      </c>
      <c r="BS127" s="451">
        <f t="shared" si="11"/>
        <v>51126.75</v>
      </c>
      <c r="BT127" s="429" t="str">
        <f>IFERROR(VLOOKUP(E127,名称!A:D,4,FALSE),"")</f>
        <v>KIK</v>
      </c>
    </row>
    <row r="128" s="425" customFormat="1" hidden="1" customHeight="1" spans="1:72">
      <c r="A128" s="108">
        <v>46028</v>
      </c>
      <c r="B128" s="109" t="s">
        <v>236</v>
      </c>
      <c r="C128" s="110">
        <v>10118393</v>
      </c>
      <c r="D128" s="110">
        <v>20218861</v>
      </c>
      <c r="E128" s="30" t="s">
        <v>48</v>
      </c>
      <c r="F128" s="31">
        <v>3000</v>
      </c>
      <c r="G128" s="108">
        <v>46288</v>
      </c>
      <c r="H128" s="443"/>
      <c r="I128" s="443"/>
      <c r="J128" s="443"/>
      <c r="K128" s="443">
        <f>F128</f>
        <v>3000</v>
      </c>
      <c r="L128" s="443"/>
      <c r="M128" s="443"/>
      <c r="N128" s="443"/>
      <c r="O128" s="443"/>
      <c r="P128" s="443"/>
      <c r="Q128" s="443"/>
      <c r="R128" s="443"/>
      <c r="S128" s="443"/>
      <c r="T128" s="443"/>
      <c r="U128" s="443"/>
      <c r="V128" s="443"/>
      <c r="W128" s="443"/>
      <c r="X128" s="443"/>
      <c r="Y128" s="443"/>
      <c r="Z128" s="443"/>
      <c r="AA128" s="443"/>
      <c r="AB128" s="443"/>
      <c r="AC128" s="443"/>
      <c r="AD128" s="443"/>
      <c r="AE128" s="443"/>
      <c r="AF128" s="443"/>
      <c r="AG128" s="443"/>
      <c r="AH128" s="443"/>
      <c r="AI128" s="443"/>
      <c r="AJ128" s="443"/>
      <c r="AK128" s="443"/>
      <c r="AL128" s="443"/>
      <c r="AM128" s="443"/>
      <c r="AN128" s="443"/>
      <c r="AO128" s="443"/>
      <c r="AP128" s="443"/>
      <c r="AQ128" s="443"/>
      <c r="AR128" s="443"/>
      <c r="AS128" s="443"/>
      <c r="AT128" s="443"/>
      <c r="AU128" s="443"/>
      <c r="AV128" s="443"/>
      <c r="AW128" s="443"/>
      <c r="AX128" s="443"/>
      <c r="AY128" s="443"/>
      <c r="AZ128" s="443"/>
      <c r="BA128" s="443"/>
      <c r="BB128" s="443"/>
      <c r="BC128" s="443"/>
      <c r="BD128" s="443"/>
      <c r="BE128" s="443"/>
      <c r="BF128" s="443"/>
      <c r="BG128" s="443"/>
      <c r="BH128" s="443"/>
      <c r="BI128" s="443"/>
      <c r="BJ128" s="443"/>
      <c r="BK128" s="443"/>
      <c r="BL128" s="443"/>
      <c r="BM128" s="443"/>
      <c r="BN128" s="443"/>
      <c r="BO128" s="443"/>
      <c r="BP128" s="92"/>
      <c r="BQ128" s="92">
        <v>2.199</v>
      </c>
      <c r="BR128" s="462">
        <f t="shared" si="10"/>
        <v>6597</v>
      </c>
      <c r="BS128" s="447">
        <f t="shared" si="11"/>
        <v>51126.75</v>
      </c>
      <c r="BT128" s="443" t="str">
        <f>IFERROR(VLOOKUP(E128,名称!A:D,4,FALSE),"")</f>
        <v>KIK</v>
      </c>
    </row>
    <row r="129" s="427" customFormat="1" hidden="1" customHeight="1" spans="1:72">
      <c r="A129" s="93">
        <v>46028</v>
      </c>
      <c r="B129" s="95" t="s">
        <v>236</v>
      </c>
      <c r="C129" s="96">
        <v>10118393</v>
      </c>
      <c r="D129" s="96">
        <v>20218861</v>
      </c>
      <c r="E129" s="97" t="s">
        <v>53</v>
      </c>
      <c r="F129" s="99">
        <v>3000</v>
      </c>
      <c r="G129" s="93">
        <v>46204</v>
      </c>
      <c r="H129" s="429"/>
      <c r="I129" s="429"/>
      <c r="J129" s="429"/>
      <c r="K129" s="429"/>
      <c r="L129" s="429"/>
      <c r="M129" s="429"/>
      <c r="N129" s="429"/>
      <c r="O129" s="429"/>
      <c r="P129" s="429">
        <f>F129</f>
        <v>3000</v>
      </c>
      <c r="Q129" s="429"/>
      <c r="R129" s="429"/>
      <c r="S129" s="429"/>
      <c r="T129" s="429"/>
      <c r="U129" s="429"/>
      <c r="V129" s="429"/>
      <c r="W129" s="429"/>
      <c r="X129" s="429"/>
      <c r="Y129" s="429"/>
      <c r="Z129" s="429"/>
      <c r="AA129" s="429"/>
      <c r="AB129" s="429"/>
      <c r="AC129" s="429"/>
      <c r="AD129" s="429"/>
      <c r="AE129" s="429"/>
      <c r="AF129" s="429"/>
      <c r="AG129" s="429"/>
      <c r="AH129" s="429"/>
      <c r="AI129" s="429"/>
      <c r="AJ129" s="429"/>
      <c r="AK129" s="429"/>
      <c r="AL129" s="429"/>
      <c r="AM129" s="429"/>
      <c r="AN129" s="429"/>
      <c r="AO129" s="429"/>
      <c r="AP129" s="429"/>
      <c r="AQ129" s="429"/>
      <c r="AR129" s="429"/>
      <c r="AS129" s="429"/>
      <c r="AT129" s="429"/>
      <c r="AU129" s="429"/>
      <c r="AV129" s="429"/>
      <c r="AW129" s="429"/>
      <c r="AX129" s="429"/>
      <c r="AY129" s="429"/>
      <c r="AZ129" s="429"/>
      <c r="BA129" s="429"/>
      <c r="BB129" s="429"/>
      <c r="BC129" s="429"/>
      <c r="BD129" s="429"/>
      <c r="BE129" s="429"/>
      <c r="BF129" s="429"/>
      <c r="BG129" s="429"/>
      <c r="BH129" s="429"/>
      <c r="BI129" s="429"/>
      <c r="BJ129" s="429"/>
      <c r="BK129" s="429"/>
      <c r="BL129" s="429"/>
      <c r="BM129" s="429"/>
      <c r="BN129" s="429"/>
      <c r="BO129" s="429"/>
      <c r="BP129" s="102"/>
      <c r="BQ129" s="102">
        <v>1.398</v>
      </c>
      <c r="BR129" s="451">
        <f t="shared" si="10"/>
        <v>4194</v>
      </c>
      <c r="BS129" s="451">
        <f t="shared" si="11"/>
        <v>32503.5</v>
      </c>
      <c r="BT129" s="429" t="str">
        <f>IFERROR(VLOOKUP(E129,名称!A:D,4,FALSE),"")</f>
        <v>KIK</v>
      </c>
    </row>
    <row r="130" s="427" customFormat="1" hidden="1" customHeight="1" spans="1:72">
      <c r="A130" s="93">
        <v>46028</v>
      </c>
      <c r="B130" s="95" t="s">
        <v>236</v>
      </c>
      <c r="C130" s="96">
        <v>10118438</v>
      </c>
      <c r="D130" s="96" t="s">
        <v>246</v>
      </c>
      <c r="E130" s="97" t="s">
        <v>124</v>
      </c>
      <c r="F130" s="99">
        <v>6</v>
      </c>
      <c r="G130" s="93">
        <v>46057</v>
      </c>
      <c r="H130" s="429"/>
      <c r="I130" s="429"/>
      <c r="J130" s="429"/>
      <c r="K130" s="429"/>
      <c r="L130" s="429"/>
      <c r="M130" s="429"/>
      <c r="N130" s="429"/>
      <c r="O130" s="429"/>
      <c r="P130" s="429"/>
      <c r="Q130" s="429"/>
      <c r="R130" s="429"/>
      <c r="S130" s="429"/>
      <c r="T130" s="429"/>
      <c r="U130" s="429"/>
      <c r="V130" s="429"/>
      <c r="W130" s="429"/>
      <c r="X130" s="429"/>
      <c r="Y130" s="429"/>
      <c r="Z130" s="429"/>
      <c r="AA130" s="429"/>
      <c r="AB130" s="429"/>
      <c r="AC130" s="429"/>
      <c r="AD130" s="429"/>
      <c r="AE130" s="429"/>
      <c r="AF130" s="429"/>
      <c r="AG130" s="429">
        <f>F130</f>
        <v>6</v>
      </c>
      <c r="AH130" s="429"/>
      <c r="AI130" s="429"/>
      <c r="AJ130" s="429"/>
      <c r="AK130" s="429"/>
      <c r="AL130" s="429"/>
      <c r="AM130" s="429"/>
      <c r="AN130" s="429"/>
      <c r="AO130" s="429"/>
      <c r="AP130" s="429"/>
      <c r="AQ130" s="429"/>
      <c r="AR130" s="429"/>
      <c r="AS130" s="429"/>
      <c r="AT130" s="429"/>
      <c r="AU130" s="429"/>
      <c r="AV130" s="429"/>
      <c r="AW130" s="429"/>
      <c r="AX130" s="429"/>
      <c r="AY130" s="429"/>
      <c r="AZ130" s="429"/>
      <c r="BA130" s="429"/>
      <c r="BB130" s="429"/>
      <c r="BC130" s="429"/>
      <c r="BD130" s="429"/>
      <c r="BE130" s="429"/>
      <c r="BF130" s="429"/>
      <c r="BG130" s="429"/>
      <c r="BH130" s="429"/>
      <c r="BI130" s="429"/>
      <c r="BJ130" s="429"/>
      <c r="BK130" s="429"/>
      <c r="BL130" s="429"/>
      <c r="BM130" s="429"/>
      <c r="BN130" s="429"/>
      <c r="BO130" s="429"/>
      <c r="BP130" s="102"/>
      <c r="BQ130" s="102">
        <v>1.271</v>
      </c>
      <c r="BR130" s="451">
        <f t="shared" si="10"/>
        <v>7.63</v>
      </c>
      <c r="BS130" s="451">
        <f t="shared" ref="BS130:BS155" si="12">BR130*7.75</f>
        <v>59.13</v>
      </c>
      <c r="BT130" s="429" t="str">
        <f>IFERROR(VLOOKUP(E130,名称!A:D,4,FALSE),"")</f>
        <v>KIK</v>
      </c>
    </row>
    <row r="131" s="427" customFormat="1" hidden="1" customHeight="1" spans="1:72">
      <c r="A131" s="93">
        <v>46028</v>
      </c>
      <c r="B131" s="95" t="s">
        <v>236</v>
      </c>
      <c r="C131" s="96">
        <v>10118438</v>
      </c>
      <c r="D131" s="96" t="s">
        <v>246</v>
      </c>
      <c r="E131" s="97" t="s">
        <v>95</v>
      </c>
      <c r="F131" s="99">
        <v>4</v>
      </c>
      <c r="G131" s="93">
        <v>46050</v>
      </c>
      <c r="H131" s="429"/>
      <c r="I131" s="429"/>
      <c r="J131" s="429"/>
      <c r="K131" s="429"/>
      <c r="L131" s="429"/>
      <c r="M131" s="429"/>
      <c r="N131" s="429"/>
      <c r="O131" s="429"/>
      <c r="P131" s="429"/>
      <c r="Q131" s="429"/>
      <c r="R131" s="429"/>
      <c r="S131" s="429"/>
      <c r="T131" s="429"/>
      <c r="U131" s="429"/>
      <c r="V131" s="429"/>
      <c r="W131" s="429"/>
      <c r="X131" s="429"/>
      <c r="Y131" s="429"/>
      <c r="Z131" s="429"/>
      <c r="AA131" s="429"/>
      <c r="AB131" s="429"/>
      <c r="AC131" s="429"/>
      <c r="AD131" s="429"/>
      <c r="AE131" s="429"/>
      <c r="AF131" s="429"/>
      <c r="AG131" s="429"/>
      <c r="AH131" s="429">
        <f>F131</f>
        <v>4</v>
      </c>
      <c r="AI131" s="429"/>
      <c r="AJ131" s="429"/>
      <c r="AK131" s="429"/>
      <c r="AL131" s="429"/>
      <c r="AM131" s="429"/>
      <c r="AN131" s="429"/>
      <c r="AO131" s="429"/>
      <c r="AP131" s="429"/>
      <c r="AQ131" s="429"/>
      <c r="AR131" s="429"/>
      <c r="AS131" s="429"/>
      <c r="AT131" s="429"/>
      <c r="AU131" s="429"/>
      <c r="AV131" s="429"/>
      <c r="AW131" s="429"/>
      <c r="AX131" s="429"/>
      <c r="AY131" s="429"/>
      <c r="AZ131" s="429"/>
      <c r="BA131" s="429"/>
      <c r="BB131" s="429"/>
      <c r="BC131" s="429"/>
      <c r="BD131" s="429"/>
      <c r="BE131" s="429"/>
      <c r="BF131" s="429"/>
      <c r="BG131" s="429"/>
      <c r="BH131" s="429"/>
      <c r="BI131" s="429"/>
      <c r="BJ131" s="429"/>
      <c r="BK131" s="429"/>
      <c r="BL131" s="429"/>
      <c r="BM131" s="429"/>
      <c r="BN131" s="429"/>
      <c r="BO131" s="429"/>
      <c r="BP131" s="102"/>
      <c r="BQ131" s="102">
        <v>2.158</v>
      </c>
      <c r="BR131" s="451">
        <f t="shared" si="10"/>
        <v>8.63</v>
      </c>
      <c r="BS131" s="451">
        <f t="shared" si="12"/>
        <v>66.88</v>
      </c>
      <c r="BT131" s="429" t="str">
        <f>IFERROR(VLOOKUP(E131,名称!A:D,4,FALSE),"")</f>
        <v>KIK</v>
      </c>
    </row>
    <row r="132" s="427" customFormat="1" hidden="1" customHeight="1" spans="1:72">
      <c r="A132" s="93">
        <v>46028</v>
      </c>
      <c r="B132" s="95" t="s">
        <v>236</v>
      </c>
      <c r="C132" s="96">
        <v>10118438</v>
      </c>
      <c r="D132" s="96" t="s">
        <v>246</v>
      </c>
      <c r="E132" s="97" t="s">
        <v>97</v>
      </c>
      <c r="F132" s="99">
        <v>4</v>
      </c>
      <c r="G132" s="93">
        <v>46050</v>
      </c>
      <c r="H132" s="429"/>
      <c r="I132" s="429"/>
      <c r="J132" s="429"/>
      <c r="K132" s="429"/>
      <c r="L132" s="429"/>
      <c r="M132" s="429"/>
      <c r="N132" s="429"/>
      <c r="O132" s="429"/>
      <c r="P132" s="429"/>
      <c r="Q132" s="429"/>
      <c r="R132" s="429"/>
      <c r="S132" s="429"/>
      <c r="T132" s="429"/>
      <c r="U132" s="429"/>
      <c r="V132" s="429"/>
      <c r="W132" s="429"/>
      <c r="X132" s="429"/>
      <c r="Y132" s="429"/>
      <c r="Z132" s="429"/>
      <c r="AA132" s="429"/>
      <c r="AB132" s="429"/>
      <c r="AC132" s="429"/>
      <c r="AD132" s="429"/>
      <c r="AE132" s="429"/>
      <c r="AF132" s="429"/>
      <c r="AG132" s="429"/>
      <c r="AH132" s="429"/>
      <c r="AI132" s="429">
        <f>F132</f>
        <v>4</v>
      </c>
      <c r="AJ132" s="429"/>
      <c r="AK132" s="429"/>
      <c r="AL132" s="429"/>
      <c r="AM132" s="429"/>
      <c r="AN132" s="429"/>
      <c r="AO132" s="429"/>
      <c r="AP132" s="429"/>
      <c r="AQ132" s="429"/>
      <c r="AR132" s="429"/>
      <c r="AS132" s="429"/>
      <c r="AT132" s="429"/>
      <c r="AU132" s="429"/>
      <c r="AV132" s="429"/>
      <c r="AW132" s="429"/>
      <c r="AX132" s="429"/>
      <c r="AY132" s="429"/>
      <c r="AZ132" s="429"/>
      <c r="BA132" s="429"/>
      <c r="BB132" s="429"/>
      <c r="BC132" s="429"/>
      <c r="BD132" s="429"/>
      <c r="BE132" s="429"/>
      <c r="BF132" s="429"/>
      <c r="BG132" s="429"/>
      <c r="BH132" s="429"/>
      <c r="BI132" s="429"/>
      <c r="BJ132" s="429"/>
      <c r="BK132" s="429"/>
      <c r="BL132" s="429"/>
      <c r="BM132" s="429"/>
      <c r="BN132" s="429"/>
      <c r="BO132" s="429"/>
      <c r="BP132" s="102"/>
      <c r="BQ132" s="102">
        <v>3.216</v>
      </c>
      <c r="BR132" s="451">
        <f t="shared" ref="BR132:BR195" si="13">SUM(H132:BP132)*BQ132</f>
        <v>12.86</v>
      </c>
      <c r="BS132" s="451">
        <f t="shared" si="12"/>
        <v>99.67</v>
      </c>
      <c r="BT132" s="429" t="str">
        <f>IFERROR(VLOOKUP(E132,名称!A:D,4,FALSE),"")</f>
        <v>KIK</v>
      </c>
    </row>
    <row r="133" s="427" customFormat="1" hidden="1" customHeight="1" spans="1:72">
      <c r="A133" s="93">
        <v>46028</v>
      </c>
      <c r="B133" s="95" t="s">
        <v>237</v>
      </c>
      <c r="C133" s="96">
        <v>10120677</v>
      </c>
      <c r="D133" s="96" t="s">
        <v>247</v>
      </c>
      <c r="E133" s="97" t="s">
        <v>136</v>
      </c>
      <c r="F133" s="99">
        <v>1492</v>
      </c>
      <c r="G133" s="93">
        <v>46113</v>
      </c>
      <c r="H133" s="429"/>
      <c r="I133" s="429"/>
      <c r="J133" s="429"/>
      <c r="K133" s="429"/>
      <c r="L133" s="429"/>
      <c r="M133" s="429"/>
      <c r="N133" s="429"/>
      <c r="O133" s="429"/>
      <c r="P133" s="429"/>
      <c r="Q133" s="429"/>
      <c r="R133" s="429"/>
      <c r="S133" s="429">
        <f t="shared" ref="S133:S153" si="14">F133</f>
        <v>1492</v>
      </c>
      <c r="T133" s="429"/>
      <c r="U133" s="429"/>
      <c r="V133" s="429"/>
      <c r="W133" s="429"/>
      <c r="X133" s="429"/>
      <c r="Y133" s="429"/>
      <c r="Z133" s="429"/>
      <c r="AA133" s="429"/>
      <c r="AB133" s="429"/>
      <c r="AC133" s="429"/>
      <c r="AD133" s="429"/>
      <c r="AE133" s="429"/>
      <c r="AF133" s="429"/>
      <c r="AG133" s="429"/>
      <c r="AH133" s="429"/>
      <c r="AI133" s="429"/>
      <c r="AJ133" s="429"/>
      <c r="AK133" s="429"/>
      <c r="AL133" s="429"/>
      <c r="AM133" s="429"/>
      <c r="AN133" s="429"/>
      <c r="AO133" s="429"/>
      <c r="AP133" s="429"/>
      <c r="AQ133" s="429"/>
      <c r="AR133" s="429"/>
      <c r="AS133" s="429"/>
      <c r="AT133" s="429"/>
      <c r="AU133" s="429"/>
      <c r="AV133" s="429"/>
      <c r="AW133" s="429"/>
      <c r="AX133" s="429"/>
      <c r="AY133" s="429"/>
      <c r="AZ133" s="429"/>
      <c r="BA133" s="429"/>
      <c r="BB133" s="429"/>
      <c r="BC133" s="429"/>
      <c r="BD133" s="429"/>
      <c r="BE133" s="429"/>
      <c r="BF133" s="429"/>
      <c r="BG133" s="429"/>
      <c r="BH133" s="429"/>
      <c r="BI133" s="429"/>
      <c r="BJ133" s="429"/>
      <c r="BK133" s="429"/>
      <c r="BL133" s="429"/>
      <c r="BM133" s="429"/>
      <c r="BN133" s="429"/>
      <c r="BO133" s="429"/>
      <c r="BP133" s="102"/>
      <c r="BQ133" s="102">
        <v>4.837</v>
      </c>
      <c r="BR133" s="451">
        <f t="shared" si="13"/>
        <v>7216.8</v>
      </c>
      <c r="BS133" s="451">
        <f t="shared" si="12"/>
        <v>55930.2</v>
      </c>
      <c r="BT133" s="429" t="str">
        <f>IFERROR(VLOOKUP(E133,[2]名称!A:D,4,FALSE),"")</f>
        <v>KIK</v>
      </c>
    </row>
    <row r="134" s="427" customFormat="1" hidden="1" customHeight="1" spans="1:72">
      <c r="A134" s="93">
        <v>46028</v>
      </c>
      <c r="B134" s="95" t="s">
        <v>237</v>
      </c>
      <c r="C134" s="96">
        <v>10120677</v>
      </c>
      <c r="D134" s="96" t="s">
        <v>247</v>
      </c>
      <c r="E134" s="97" t="s">
        <v>136</v>
      </c>
      <c r="F134" s="99">
        <v>2498</v>
      </c>
      <c r="G134" s="93">
        <v>46113</v>
      </c>
      <c r="H134" s="429"/>
      <c r="I134" s="429"/>
      <c r="J134" s="429"/>
      <c r="K134" s="429"/>
      <c r="L134" s="429"/>
      <c r="M134" s="429"/>
      <c r="N134" s="429"/>
      <c r="O134" s="429"/>
      <c r="P134" s="429"/>
      <c r="Q134" s="429"/>
      <c r="R134" s="429"/>
      <c r="S134" s="429">
        <f t="shared" si="14"/>
        <v>2498</v>
      </c>
      <c r="T134" s="429"/>
      <c r="U134" s="429"/>
      <c r="V134" s="429"/>
      <c r="W134" s="429"/>
      <c r="X134" s="429"/>
      <c r="Y134" s="429"/>
      <c r="Z134" s="429"/>
      <c r="AA134" s="429"/>
      <c r="AB134" s="429"/>
      <c r="AC134" s="429"/>
      <c r="AD134" s="429"/>
      <c r="AE134" s="429"/>
      <c r="AF134" s="429"/>
      <c r="AG134" s="429"/>
      <c r="AH134" s="429"/>
      <c r="AI134" s="429"/>
      <c r="AJ134" s="429"/>
      <c r="AK134" s="429"/>
      <c r="AL134" s="429"/>
      <c r="AM134" s="429"/>
      <c r="AN134" s="429"/>
      <c r="AO134" s="429"/>
      <c r="AP134" s="429"/>
      <c r="AQ134" s="429"/>
      <c r="AR134" s="429"/>
      <c r="AS134" s="429"/>
      <c r="AT134" s="429"/>
      <c r="AU134" s="429"/>
      <c r="AV134" s="429"/>
      <c r="AW134" s="429"/>
      <c r="AX134" s="429"/>
      <c r="AY134" s="429"/>
      <c r="AZ134" s="429"/>
      <c r="BA134" s="429"/>
      <c r="BB134" s="429"/>
      <c r="BC134" s="429"/>
      <c r="BD134" s="429"/>
      <c r="BE134" s="429"/>
      <c r="BF134" s="429"/>
      <c r="BG134" s="429"/>
      <c r="BH134" s="429"/>
      <c r="BI134" s="429"/>
      <c r="BJ134" s="429"/>
      <c r="BK134" s="429"/>
      <c r="BL134" s="429"/>
      <c r="BM134" s="429"/>
      <c r="BN134" s="429"/>
      <c r="BO134" s="429"/>
      <c r="BP134" s="102"/>
      <c r="BQ134" s="102">
        <v>4.837</v>
      </c>
      <c r="BR134" s="451">
        <f t="shared" si="13"/>
        <v>12082.83</v>
      </c>
      <c r="BS134" s="451">
        <f t="shared" si="12"/>
        <v>93641.93</v>
      </c>
      <c r="BT134" s="429" t="str">
        <f>IFERROR(VLOOKUP(E134,[2]名称!A:D,4,FALSE),"")</f>
        <v>KIK</v>
      </c>
    </row>
    <row r="135" s="427" customFormat="1" hidden="1" customHeight="1" spans="1:72">
      <c r="A135" s="93">
        <v>46028</v>
      </c>
      <c r="B135" s="95" t="s">
        <v>237</v>
      </c>
      <c r="C135" s="96">
        <v>10120677</v>
      </c>
      <c r="D135" s="96" t="s">
        <v>247</v>
      </c>
      <c r="E135" s="97" t="s">
        <v>136</v>
      </c>
      <c r="F135" s="99">
        <v>1978</v>
      </c>
      <c r="G135" s="93">
        <v>46113</v>
      </c>
      <c r="H135" s="429"/>
      <c r="I135" s="429"/>
      <c r="J135" s="429"/>
      <c r="K135" s="429"/>
      <c r="L135" s="429"/>
      <c r="M135" s="429"/>
      <c r="N135" s="429"/>
      <c r="O135" s="429"/>
      <c r="P135" s="429"/>
      <c r="Q135" s="429"/>
      <c r="R135" s="429"/>
      <c r="S135" s="429">
        <f t="shared" si="14"/>
        <v>1978</v>
      </c>
      <c r="T135" s="429"/>
      <c r="U135" s="429"/>
      <c r="V135" s="429"/>
      <c r="W135" s="429"/>
      <c r="X135" s="429"/>
      <c r="Y135" s="429"/>
      <c r="Z135" s="429"/>
      <c r="AA135" s="429"/>
      <c r="AB135" s="429"/>
      <c r="AC135" s="429"/>
      <c r="AD135" s="429"/>
      <c r="AE135" s="429"/>
      <c r="AF135" s="429"/>
      <c r="AG135" s="429"/>
      <c r="AH135" s="429"/>
      <c r="AI135" s="429"/>
      <c r="AJ135" s="429"/>
      <c r="AK135" s="429"/>
      <c r="AL135" s="429"/>
      <c r="AM135" s="429"/>
      <c r="AN135" s="429"/>
      <c r="AO135" s="429"/>
      <c r="AP135" s="429"/>
      <c r="AQ135" s="429"/>
      <c r="AR135" s="429"/>
      <c r="AS135" s="429"/>
      <c r="AT135" s="429"/>
      <c r="AU135" s="429"/>
      <c r="AV135" s="429"/>
      <c r="AW135" s="429"/>
      <c r="AX135" s="429"/>
      <c r="AY135" s="429"/>
      <c r="AZ135" s="429"/>
      <c r="BA135" s="429"/>
      <c r="BB135" s="429"/>
      <c r="BC135" s="429"/>
      <c r="BD135" s="429"/>
      <c r="BE135" s="429"/>
      <c r="BF135" s="429"/>
      <c r="BG135" s="429"/>
      <c r="BH135" s="429"/>
      <c r="BI135" s="429"/>
      <c r="BJ135" s="429"/>
      <c r="BK135" s="429"/>
      <c r="BL135" s="429"/>
      <c r="BM135" s="429"/>
      <c r="BN135" s="429"/>
      <c r="BO135" s="429"/>
      <c r="BP135" s="102"/>
      <c r="BQ135" s="102">
        <v>4.837</v>
      </c>
      <c r="BR135" s="451">
        <f t="shared" si="13"/>
        <v>9567.59</v>
      </c>
      <c r="BS135" s="451">
        <f t="shared" si="12"/>
        <v>74148.82</v>
      </c>
      <c r="BT135" s="429" t="str">
        <f>IFERROR(VLOOKUP(E135,[2]名称!A:D,4,FALSE),"")</f>
        <v>KIK</v>
      </c>
    </row>
    <row r="136" s="427" customFormat="1" hidden="1" customHeight="1" spans="1:72">
      <c r="A136" s="93">
        <v>46028</v>
      </c>
      <c r="B136" s="95" t="s">
        <v>237</v>
      </c>
      <c r="C136" s="96">
        <v>10120677</v>
      </c>
      <c r="D136" s="96" t="s">
        <v>247</v>
      </c>
      <c r="E136" s="97" t="s">
        <v>136</v>
      </c>
      <c r="F136" s="99">
        <v>2830</v>
      </c>
      <c r="G136" s="93">
        <v>46113</v>
      </c>
      <c r="H136" s="429"/>
      <c r="I136" s="429"/>
      <c r="J136" s="429"/>
      <c r="K136" s="429"/>
      <c r="L136" s="429"/>
      <c r="M136" s="429"/>
      <c r="N136" s="429"/>
      <c r="O136" s="429"/>
      <c r="P136" s="429"/>
      <c r="Q136" s="429"/>
      <c r="R136" s="429"/>
      <c r="S136" s="429">
        <f t="shared" si="14"/>
        <v>2830</v>
      </c>
      <c r="T136" s="429"/>
      <c r="U136" s="429"/>
      <c r="V136" s="429"/>
      <c r="W136" s="429"/>
      <c r="X136" s="429"/>
      <c r="Y136" s="429"/>
      <c r="Z136" s="429"/>
      <c r="AA136" s="429"/>
      <c r="AB136" s="429"/>
      <c r="AC136" s="429"/>
      <c r="AD136" s="429"/>
      <c r="AE136" s="429"/>
      <c r="AF136" s="429"/>
      <c r="AG136" s="429"/>
      <c r="AH136" s="429"/>
      <c r="AI136" s="429"/>
      <c r="AJ136" s="429"/>
      <c r="AK136" s="429"/>
      <c r="AL136" s="429"/>
      <c r="AM136" s="429"/>
      <c r="AN136" s="429"/>
      <c r="AO136" s="429"/>
      <c r="AP136" s="429"/>
      <c r="AQ136" s="429"/>
      <c r="AR136" s="429"/>
      <c r="AS136" s="429"/>
      <c r="AT136" s="429"/>
      <c r="AU136" s="429"/>
      <c r="AV136" s="429"/>
      <c r="AW136" s="429"/>
      <c r="AX136" s="429"/>
      <c r="AY136" s="429"/>
      <c r="AZ136" s="429"/>
      <c r="BA136" s="429"/>
      <c r="BB136" s="429"/>
      <c r="BC136" s="429"/>
      <c r="BD136" s="429"/>
      <c r="BE136" s="429"/>
      <c r="BF136" s="429"/>
      <c r="BG136" s="429"/>
      <c r="BH136" s="429"/>
      <c r="BI136" s="429"/>
      <c r="BJ136" s="429"/>
      <c r="BK136" s="429"/>
      <c r="BL136" s="429"/>
      <c r="BM136" s="429"/>
      <c r="BN136" s="429"/>
      <c r="BO136" s="429"/>
      <c r="BP136" s="102"/>
      <c r="BQ136" s="102">
        <v>4.837</v>
      </c>
      <c r="BR136" s="451">
        <f t="shared" si="13"/>
        <v>13688.71</v>
      </c>
      <c r="BS136" s="451">
        <f t="shared" si="12"/>
        <v>106087.5</v>
      </c>
      <c r="BT136" s="429" t="str">
        <f>IFERROR(VLOOKUP(E136,[2]名称!A:D,4,FALSE),"")</f>
        <v>KIK</v>
      </c>
    </row>
    <row r="137" s="427" customFormat="1" hidden="1" customHeight="1" spans="1:72">
      <c r="A137" s="93">
        <v>46028</v>
      </c>
      <c r="B137" s="95" t="s">
        <v>237</v>
      </c>
      <c r="C137" s="96">
        <v>10120677</v>
      </c>
      <c r="D137" s="96" t="s">
        <v>247</v>
      </c>
      <c r="E137" s="97" t="s">
        <v>136</v>
      </c>
      <c r="F137" s="99">
        <v>1978</v>
      </c>
      <c r="G137" s="93">
        <v>46113</v>
      </c>
      <c r="H137" s="429"/>
      <c r="I137" s="429"/>
      <c r="J137" s="429"/>
      <c r="K137" s="429"/>
      <c r="L137" s="429"/>
      <c r="M137" s="429"/>
      <c r="N137" s="429"/>
      <c r="O137" s="429"/>
      <c r="P137" s="429"/>
      <c r="Q137" s="429"/>
      <c r="R137" s="429"/>
      <c r="S137" s="429">
        <f t="shared" si="14"/>
        <v>1978</v>
      </c>
      <c r="T137" s="429"/>
      <c r="U137" s="429"/>
      <c r="V137" s="429"/>
      <c r="W137" s="429"/>
      <c r="X137" s="429"/>
      <c r="Y137" s="429"/>
      <c r="Z137" s="429"/>
      <c r="AA137" s="429"/>
      <c r="AB137" s="429"/>
      <c r="AC137" s="429"/>
      <c r="AD137" s="429"/>
      <c r="AE137" s="429"/>
      <c r="AF137" s="429"/>
      <c r="AG137" s="429"/>
      <c r="AH137" s="429"/>
      <c r="AI137" s="429"/>
      <c r="AJ137" s="429"/>
      <c r="AK137" s="429"/>
      <c r="AL137" s="429"/>
      <c r="AM137" s="429"/>
      <c r="AN137" s="429"/>
      <c r="AO137" s="429"/>
      <c r="AP137" s="429"/>
      <c r="AQ137" s="429"/>
      <c r="AR137" s="429"/>
      <c r="AS137" s="429"/>
      <c r="AT137" s="429"/>
      <c r="AU137" s="429"/>
      <c r="AV137" s="429"/>
      <c r="AW137" s="429"/>
      <c r="AX137" s="429"/>
      <c r="AY137" s="429"/>
      <c r="AZ137" s="429"/>
      <c r="BA137" s="429"/>
      <c r="BB137" s="429"/>
      <c r="BC137" s="429"/>
      <c r="BD137" s="429"/>
      <c r="BE137" s="429"/>
      <c r="BF137" s="429"/>
      <c r="BG137" s="429"/>
      <c r="BH137" s="429"/>
      <c r="BI137" s="429"/>
      <c r="BJ137" s="429"/>
      <c r="BK137" s="429"/>
      <c r="BL137" s="429"/>
      <c r="BM137" s="429"/>
      <c r="BN137" s="429"/>
      <c r="BO137" s="429"/>
      <c r="BP137" s="102"/>
      <c r="BQ137" s="102">
        <v>4.837</v>
      </c>
      <c r="BR137" s="451">
        <f t="shared" si="13"/>
        <v>9567.59</v>
      </c>
      <c r="BS137" s="451">
        <f t="shared" si="12"/>
        <v>74148.82</v>
      </c>
      <c r="BT137" s="429" t="str">
        <f>IFERROR(VLOOKUP(E137,[2]名称!A:D,4,FALSE),"")</f>
        <v>KIK</v>
      </c>
    </row>
    <row r="138" s="427" customFormat="1" hidden="1" customHeight="1" spans="1:72">
      <c r="A138" s="93">
        <v>46028</v>
      </c>
      <c r="B138" s="95" t="s">
        <v>237</v>
      </c>
      <c r="C138" s="96">
        <v>10120677</v>
      </c>
      <c r="D138" s="96" t="s">
        <v>247</v>
      </c>
      <c r="E138" s="97" t="s">
        <v>136</v>
      </c>
      <c r="F138" s="99">
        <v>1720</v>
      </c>
      <c r="G138" s="93">
        <v>46113</v>
      </c>
      <c r="H138" s="429"/>
      <c r="I138" s="429"/>
      <c r="J138" s="429"/>
      <c r="K138" s="429"/>
      <c r="L138" s="429"/>
      <c r="M138" s="429"/>
      <c r="N138" s="429"/>
      <c r="O138" s="429"/>
      <c r="P138" s="429"/>
      <c r="Q138" s="429"/>
      <c r="R138" s="429"/>
      <c r="S138" s="429">
        <f t="shared" si="14"/>
        <v>1720</v>
      </c>
      <c r="T138" s="429"/>
      <c r="U138" s="429"/>
      <c r="V138" s="429"/>
      <c r="W138" s="429"/>
      <c r="X138" s="429"/>
      <c r="Y138" s="429"/>
      <c r="Z138" s="429"/>
      <c r="AA138" s="429"/>
      <c r="AB138" s="429"/>
      <c r="AC138" s="429"/>
      <c r="AD138" s="429"/>
      <c r="AE138" s="429"/>
      <c r="AF138" s="429"/>
      <c r="AG138" s="429"/>
      <c r="AH138" s="429"/>
      <c r="AI138" s="429"/>
      <c r="AJ138" s="429"/>
      <c r="AK138" s="429"/>
      <c r="AL138" s="429"/>
      <c r="AM138" s="429"/>
      <c r="AN138" s="429"/>
      <c r="AO138" s="429"/>
      <c r="AP138" s="429"/>
      <c r="AQ138" s="429"/>
      <c r="AR138" s="429"/>
      <c r="AS138" s="429"/>
      <c r="AT138" s="429"/>
      <c r="AU138" s="429"/>
      <c r="AV138" s="429"/>
      <c r="AW138" s="429"/>
      <c r="AX138" s="429"/>
      <c r="AY138" s="429"/>
      <c r="AZ138" s="429"/>
      <c r="BA138" s="429"/>
      <c r="BB138" s="429"/>
      <c r="BC138" s="429"/>
      <c r="BD138" s="429"/>
      <c r="BE138" s="429"/>
      <c r="BF138" s="429"/>
      <c r="BG138" s="429"/>
      <c r="BH138" s="429"/>
      <c r="BI138" s="429"/>
      <c r="BJ138" s="429"/>
      <c r="BK138" s="429"/>
      <c r="BL138" s="429"/>
      <c r="BM138" s="429"/>
      <c r="BN138" s="429"/>
      <c r="BO138" s="429"/>
      <c r="BP138" s="102"/>
      <c r="BQ138" s="102">
        <v>4.837</v>
      </c>
      <c r="BR138" s="451">
        <f t="shared" si="13"/>
        <v>8319.64</v>
      </c>
      <c r="BS138" s="451">
        <f t="shared" si="12"/>
        <v>64477.21</v>
      </c>
      <c r="BT138" s="429" t="str">
        <f>IFERROR(VLOOKUP(E138,[2]名称!A:D,4,FALSE),"")</f>
        <v>KIK</v>
      </c>
    </row>
    <row r="139" s="427" customFormat="1" hidden="1" customHeight="1" spans="1:72">
      <c r="A139" s="93">
        <v>46028</v>
      </c>
      <c r="B139" s="95" t="s">
        <v>237</v>
      </c>
      <c r="C139" s="96">
        <v>10120677</v>
      </c>
      <c r="D139" s="96" t="s">
        <v>247</v>
      </c>
      <c r="E139" s="97" t="s">
        <v>136</v>
      </c>
      <c r="F139" s="99">
        <v>1774</v>
      </c>
      <c r="G139" s="93">
        <v>46113</v>
      </c>
      <c r="H139" s="429"/>
      <c r="I139" s="429"/>
      <c r="J139" s="429"/>
      <c r="K139" s="429"/>
      <c r="L139" s="429"/>
      <c r="M139" s="429"/>
      <c r="N139" s="429"/>
      <c r="O139" s="429"/>
      <c r="P139" s="429"/>
      <c r="Q139" s="429"/>
      <c r="R139" s="429"/>
      <c r="S139" s="429">
        <f t="shared" si="14"/>
        <v>1774</v>
      </c>
      <c r="T139" s="429"/>
      <c r="U139" s="429"/>
      <c r="V139" s="429"/>
      <c r="W139" s="429"/>
      <c r="X139" s="429"/>
      <c r="Y139" s="429"/>
      <c r="Z139" s="429"/>
      <c r="AA139" s="429"/>
      <c r="AB139" s="429"/>
      <c r="AC139" s="429"/>
      <c r="AD139" s="429"/>
      <c r="AE139" s="429"/>
      <c r="AF139" s="429"/>
      <c r="AG139" s="429"/>
      <c r="AH139" s="429"/>
      <c r="AI139" s="429"/>
      <c r="AJ139" s="429"/>
      <c r="AK139" s="429"/>
      <c r="AL139" s="429"/>
      <c r="AM139" s="429"/>
      <c r="AN139" s="429"/>
      <c r="AO139" s="429"/>
      <c r="AP139" s="429"/>
      <c r="AQ139" s="429"/>
      <c r="AR139" s="429"/>
      <c r="AS139" s="429"/>
      <c r="AT139" s="429"/>
      <c r="AU139" s="429"/>
      <c r="AV139" s="429"/>
      <c r="AW139" s="429"/>
      <c r="AX139" s="429"/>
      <c r="AY139" s="429"/>
      <c r="AZ139" s="429"/>
      <c r="BA139" s="429"/>
      <c r="BB139" s="429"/>
      <c r="BC139" s="429"/>
      <c r="BD139" s="429"/>
      <c r="BE139" s="429"/>
      <c r="BF139" s="429"/>
      <c r="BG139" s="429"/>
      <c r="BH139" s="429"/>
      <c r="BI139" s="429"/>
      <c r="BJ139" s="429"/>
      <c r="BK139" s="429"/>
      <c r="BL139" s="429"/>
      <c r="BM139" s="429"/>
      <c r="BN139" s="429"/>
      <c r="BO139" s="429"/>
      <c r="BP139" s="102"/>
      <c r="BQ139" s="102">
        <v>4.837</v>
      </c>
      <c r="BR139" s="451">
        <f t="shared" si="13"/>
        <v>8580.84</v>
      </c>
      <c r="BS139" s="451">
        <f t="shared" si="12"/>
        <v>66501.51</v>
      </c>
      <c r="BT139" s="429" t="str">
        <f>IFERROR(VLOOKUP(E139,[2]名称!A:D,4,FALSE),"")</f>
        <v>KIK</v>
      </c>
    </row>
    <row r="140" s="427" customFormat="1" hidden="1" customHeight="1" spans="1:72">
      <c r="A140" s="93">
        <v>46028</v>
      </c>
      <c r="B140" s="95" t="s">
        <v>237</v>
      </c>
      <c r="C140" s="96">
        <v>10120677</v>
      </c>
      <c r="D140" s="96" t="s">
        <v>247</v>
      </c>
      <c r="E140" s="97" t="s">
        <v>136</v>
      </c>
      <c r="F140" s="99">
        <v>3288</v>
      </c>
      <c r="G140" s="93">
        <v>46113</v>
      </c>
      <c r="H140" s="429"/>
      <c r="I140" s="429"/>
      <c r="J140" s="429"/>
      <c r="K140" s="429"/>
      <c r="L140" s="429"/>
      <c r="M140" s="429"/>
      <c r="N140" s="429"/>
      <c r="O140" s="429"/>
      <c r="P140" s="429"/>
      <c r="Q140" s="429"/>
      <c r="R140" s="429"/>
      <c r="S140" s="429">
        <f t="shared" si="14"/>
        <v>3288</v>
      </c>
      <c r="T140" s="429"/>
      <c r="U140" s="429"/>
      <c r="V140" s="429"/>
      <c r="W140" s="429"/>
      <c r="X140" s="429"/>
      <c r="Y140" s="429"/>
      <c r="Z140" s="429"/>
      <c r="AA140" s="429"/>
      <c r="AB140" s="429"/>
      <c r="AC140" s="429"/>
      <c r="AD140" s="429"/>
      <c r="AE140" s="429"/>
      <c r="AF140" s="429"/>
      <c r="AG140" s="429"/>
      <c r="AH140" s="429"/>
      <c r="AI140" s="429"/>
      <c r="AJ140" s="429"/>
      <c r="AK140" s="429"/>
      <c r="AL140" s="429"/>
      <c r="AM140" s="429"/>
      <c r="AN140" s="429"/>
      <c r="AO140" s="429"/>
      <c r="AP140" s="429"/>
      <c r="AQ140" s="429"/>
      <c r="AR140" s="429"/>
      <c r="AS140" s="429"/>
      <c r="AT140" s="429"/>
      <c r="AU140" s="429"/>
      <c r="AV140" s="429"/>
      <c r="AW140" s="429"/>
      <c r="AX140" s="429"/>
      <c r="AY140" s="429"/>
      <c r="AZ140" s="429"/>
      <c r="BA140" s="429"/>
      <c r="BB140" s="429"/>
      <c r="BC140" s="429"/>
      <c r="BD140" s="429"/>
      <c r="BE140" s="429"/>
      <c r="BF140" s="429"/>
      <c r="BG140" s="429"/>
      <c r="BH140" s="429"/>
      <c r="BI140" s="429"/>
      <c r="BJ140" s="429"/>
      <c r="BK140" s="429"/>
      <c r="BL140" s="429"/>
      <c r="BM140" s="429"/>
      <c r="BN140" s="429"/>
      <c r="BO140" s="429"/>
      <c r="BP140" s="102"/>
      <c r="BQ140" s="102">
        <v>4.837</v>
      </c>
      <c r="BR140" s="451">
        <f t="shared" si="13"/>
        <v>15904.06</v>
      </c>
      <c r="BS140" s="451">
        <f t="shared" si="12"/>
        <v>123256.47</v>
      </c>
      <c r="BT140" s="429" t="str">
        <f>IFERROR(VLOOKUP(E140,[2]名称!A:D,4,FALSE),"")</f>
        <v>KIK</v>
      </c>
    </row>
    <row r="141" s="427" customFormat="1" hidden="1" customHeight="1" spans="1:72">
      <c r="A141" s="93">
        <v>46028</v>
      </c>
      <c r="B141" s="95" t="s">
        <v>237</v>
      </c>
      <c r="C141" s="96">
        <v>10120677</v>
      </c>
      <c r="D141" s="96" t="s">
        <v>247</v>
      </c>
      <c r="E141" s="97" t="s">
        <v>136</v>
      </c>
      <c r="F141" s="99">
        <v>2070</v>
      </c>
      <c r="G141" s="93">
        <v>46113</v>
      </c>
      <c r="H141" s="429"/>
      <c r="I141" s="429"/>
      <c r="J141" s="429"/>
      <c r="K141" s="429"/>
      <c r="L141" s="429"/>
      <c r="M141" s="429"/>
      <c r="N141" s="429"/>
      <c r="O141" s="429"/>
      <c r="P141" s="429"/>
      <c r="Q141" s="429"/>
      <c r="R141" s="429"/>
      <c r="S141" s="429">
        <f t="shared" si="14"/>
        <v>2070</v>
      </c>
      <c r="T141" s="429"/>
      <c r="U141" s="429"/>
      <c r="V141" s="429"/>
      <c r="W141" s="429"/>
      <c r="X141" s="429"/>
      <c r="Y141" s="429"/>
      <c r="Z141" s="429"/>
      <c r="AA141" s="429"/>
      <c r="AB141" s="429"/>
      <c r="AC141" s="429"/>
      <c r="AD141" s="429"/>
      <c r="AE141" s="429"/>
      <c r="AF141" s="429"/>
      <c r="AG141" s="429"/>
      <c r="AH141" s="429"/>
      <c r="AI141" s="429"/>
      <c r="AJ141" s="429"/>
      <c r="AK141" s="429"/>
      <c r="AL141" s="429"/>
      <c r="AM141" s="429"/>
      <c r="AN141" s="429"/>
      <c r="AO141" s="429"/>
      <c r="AP141" s="429"/>
      <c r="AQ141" s="429"/>
      <c r="AR141" s="429"/>
      <c r="AS141" s="429"/>
      <c r="AT141" s="429"/>
      <c r="AU141" s="429"/>
      <c r="AV141" s="429"/>
      <c r="AW141" s="429"/>
      <c r="AX141" s="429"/>
      <c r="AY141" s="429"/>
      <c r="AZ141" s="429"/>
      <c r="BA141" s="429"/>
      <c r="BB141" s="429"/>
      <c r="BC141" s="429"/>
      <c r="BD141" s="429"/>
      <c r="BE141" s="429"/>
      <c r="BF141" s="429"/>
      <c r="BG141" s="429"/>
      <c r="BH141" s="429"/>
      <c r="BI141" s="429"/>
      <c r="BJ141" s="429"/>
      <c r="BK141" s="429"/>
      <c r="BL141" s="429"/>
      <c r="BM141" s="429"/>
      <c r="BN141" s="429"/>
      <c r="BO141" s="429"/>
      <c r="BP141" s="102"/>
      <c r="BQ141" s="102">
        <v>4.837</v>
      </c>
      <c r="BR141" s="451">
        <f t="shared" si="13"/>
        <v>10012.59</v>
      </c>
      <c r="BS141" s="451">
        <f t="shared" si="12"/>
        <v>77597.57</v>
      </c>
      <c r="BT141" s="429" t="str">
        <f>IFERROR(VLOOKUP(E141,[2]名称!A:D,4,FALSE),"")</f>
        <v>KIK</v>
      </c>
    </row>
    <row r="142" s="427" customFormat="1" hidden="1" customHeight="1" spans="1:72">
      <c r="A142" s="93">
        <v>46028</v>
      </c>
      <c r="B142" s="95" t="s">
        <v>237</v>
      </c>
      <c r="C142" s="96">
        <v>10120677</v>
      </c>
      <c r="D142" s="96" t="s">
        <v>247</v>
      </c>
      <c r="E142" s="97" t="s">
        <v>136</v>
      </c>
      <c r="F142" s="99">
        <v>1642</v>
      </c>
      <c r="G142" s="93">
        <v>46113</v>
      </c>
      <c r="H142" s="429"/>
      <c r="I142" s="429"/>
      <c r="J142" s="429"/>
      <c r="K142" s="429"/>
      <c r="L142" s="429"/>
      <c r="M142" s="429"/>
      <c r="N142" s="429"/>
      <c r="O142" s="429"/>
      <c r="P142" s="429"/>
      <c r="Q142" s="429"/>
      <c r="R142" s="429"/>
      <c r="S142" s="429">
        <f t="shared" si="14"/>
        <v>1642</v>
      </c>
      <c r="T142" s="429"/>
      <c r="U142" s="429"/>
      <c r="V142" s="429"/>
      <c r="W142" s="429"/>
      <c r="X142" s="429"/>
      <c r="Y142" s="429"/>
      <c r="Z142" s="429"/>
      <c r="AA142" s="429"/>
      <c r="AB142" s="429"/>
      <c r="AC142" s="429"/>
      <c r="AD142" s="429"/>
      <c r="AE142" s="429"/>
      <c r="AF142" s="429"/>
      <c r="AG142" s="429"/>
      <c r="AH142" s="429"/>
      <c r="AI142" s="429"/>
      <c r="AJ142" s="429"/>
      <c r="AK142" s="429"/>
      <c r="AL142" s="429"/>
      <c r="AM142" s="429"/>
      <c r="AN142" s="429"/>
      <c r="AO142" s="429"/>
      <c r="AP142" s="429"/>
      <c r="AQ142" s="429"/>
      <c r="AR142" s="429"/>
      <c r="AS142" s="429"/>
      <c r="AT142" s="429"/>
      <c r="AU142" s="429"/>
      <c r="AV142" s="429"/>
      <c r="AW142" s="429"/>
      <c r="AX142" s="429"/>
      <c r="AY142" s="429"/>
      <c r="AZ142" s="429"/>
      <c r="BA142" s="429"/>
      <c r="BB142" s="429"/>
      <c r="BC142" s="429"/>
      <c r="BD142" s="429"/>
      <c r="BE142" s="429"/>
      <c r="BF142" s="429"/>
      <c r="BG142" s="429"/>
      <c r="BH142" s="429"/>
      <c r="BI142" s="429"/>
      <c r="BJ142" s="429"/>
      <c r="BK142" s="429"/>
      <c r="BL142" s="429"/>
      <c r="BM142" s="429"/>
      <c r="BN142" s="429"/>
      <c r="BO142" s="429"/>
      <c r="BP142" s="102"/>
      <c r="BQ142" s="102">
        <v>4.837</v>
      </c>
      <c r="BR142" s="451">
        <f t="shared" si="13"/>
        <v>7942.35</v>
      </c>
      <c r="BS142" s="451">
        <f t="shared" si="12"/>
        <v>61553.21</v>
      </c>
      <c r="BT142" s="429" t="str">
        <f>IFERROR(VLOOKUP(E142,[2]名称!A:D,4,FALSE),"")</f>
        <v>KIK</v>
      </c>
    </row>
    <row r="143" s="427" customFormat="1" hidden="1" customHeight="1" spans="1:72">
      <c r="A143" s="93">
        <v>46028</v>
      </c>
      <c r="B143" s="95" t="s">
        <v>237</v>
      </c>
      <c r="C143" s="96">
        <v>10120677</v>
      </c>
      <c r="D143" s="96" t="s">
        <v>247</v>
      </c>
      <c r="E143" s="97" t="s">
        <v>136</v>
      </c>
      <c r="F143" s="99">
        <v>2148</v>
      </c>
      <c r="G143" s="93">
        <v>46113</v>
      </c>
      <c r="H143" s="429"/>
      <c r="I143" s="429"/>
      <c r="J143" s="429"/>
      <c r="K143" s="429"/>
      <c r="L143" s="429"/>
      <c r="M143" s="429"/>
      <c r="N143" s="429"/>
      <c r="O143" s="429"/>
      <c r="P143" s="429"/>
      <c r="Q143" s="429"/>
      <c r="R143" s="429"/>
      <c r="S143" s="429">
        <f t="shared" si="14"/>
        <v>2148</v>
      </c>
      <c r="T143" s="429"/>
      <c r="U143" s="429"/>
      <c r="V143" s="429"/>
      <c r="W143" s="429"/>
      <c r="X143" s="429"/>
      <c r="Y143" s="429"/>
      <c r="Z143" s="429"/>
      <c r="AA143" s="429"/>
      <c r="AB143" s="429"/>
      <c r="AC143" s="429"/>
      <c r="AD143" s="429"/>
      <c r="AE143" s="429"/>
      <c r="AF143" s="429"/>
      <c r="AG143" s="429"/>
      <c r="AH143" s="429"/>
      <c r="AI143" s="429"/>
      <c r="AJ143" s="429"/>
      <c r="AK143" s="429"/>
      <c r="AL143" s="429"/>
      <c r="AM143" s="429"/>
      <c r="AN143" s="429"/>
      <c r="AO143" s="429"/>
      <c r="AP143" s="429"/>
      <c r="AQ143" s="429"/>
      <c r="AR143" s="429"/>
      <c r="AS143" s="429"/>
      <c r="AT143" s="429"/>
      <c r="AU143" s="429"/>
      <c r="AV143" s="429"/>
      <c r="AW143" s="429"/>
      <c r="AX143" s="429"/>
      <c r="AY143" s="429"/>
      <c r="AZ143" s="429"/>
      <c r="BA143" s="429"/>
      <c r="BB143" s="429"/>
      <c r="BC143" s="429"/>
      <c r="BD143" s="429"/>
      <c r="BE143" s="429"/>
      <c r="BF143" s="429"/>
      <c r="BG143" s="429"/>
      <c r="BH143" s="429"/>
      <c r="BI143" s="429"/>
      <c r="BJ143" s="429"/>
      <c r="BK143" s="429"/>
      <c r="BL143" s="429"/>
      <c r="BM143" s="429"/>
      <c r="BN143" s="429"/>
      <c r="BO143" s="429"/>
      <c r="BP143" s="102"/>
      <c r="BQ143" s="102">
        <v>4.837</v>
      </c>
      <c r="BR143" s="451">
        <f t="shared" si="13"/>
        <v>10389.88</v>
      </c>
      <c r="BS143" s="451">
        <f t="shared" si="12"/>
        <v>80521.57</v>
      </c>
      <c r="BT143" s="429" t="str">
        <f>IFERROR(VLOOKUP(E143,[2]名称!A:D,4,FALSE),"")</f>
        <v>KIK</v>
      </c>
    </row>
    <row r="144" s="427" customFormat="1" hidden="1" customHeight="1" spans="1:72">
      <c r="A144" s="93">
        <v>46028</v>
      </c>
      <c r="B144" s="95" t="s">
        <v>237</v>
      </c>
      <c r="C144" s="96">
        <v>10120677</v>
      </c>
      <c r="D144" s="96" t="s">
        <v>247</v>
      </c>
      <c r="E144" s="97" t="s">
        <v>136</v>
      </c>
      <c r="F144" s="99">
        <v>2128</v>
      </c>
      <c r="G144" s="93">
        <v>46113</v>
      </c>
      <c r="H144" s="429"/>
      <c r="I144" s="429"/>
      <c r="J144" s="429"/>
      <c r="K144" s="429"/>
      <c r="L144" s="429"/>
      <c r="M144" s="429"/>
      <c r="N144" s="429"/>
      <c r="O144" s="429"/>
      <c r="P144" s="429"/>
      <c r="Q144" s="429"/>
      <c r="R144" s="429"/>
      <c r="S144" s="429">
        <f t="shared" si="14"/>
        <v>2128</v>
      </c>
      <c r="T144" s="429"/>
      <c r="U144" s="429"/>
      <c r="V144" s="429"/>
      <c r="W144" s="429"/>
      <c r="X144" s="429"/>
      <c r="Y144" s="429"/>
      <c r="Z144" s="429"/>
      <c r="AA144" s="429"/>
      <c r="AB144" s="429"/>
      <c r="AC144" s="429"/>
      <c r="AD144" s="429"/>
      <c r="AE144" s="429"/>
      <c r="AF144" s="429"/>
      <c r="AG144" s="429"/>
      <c r="AH144" s="429"/>
      <c r="AI144" s="429"/>
      <c r="AJ144" s="429"/>
      <c r="AK144" s="429"/>
      <c r="AL144" s="429"/>
      <c r="AM144" s="429"/>
      <c r="AN144" s="429"/>
      <c r="AO144" s="429"/>
      <c r="AP144" s="429"/>
      <c r="AQ144" s="429"/>
      <c r="AR144" s="429"/>
      <c r="AS144" s="429"/>
      <c r="AT144" s="429"/>
      <c r="AU144" s="429"/>
      <c r="AV144" s="429"/>
      <c r="AW144" s="429"/>
      <c r="AX144" s="429"/>
      <c r="AY144" s="429"/>
      <c r="AZ144" s="429"/>
      <c r="BA144" s="429"/>
      <c r="BB144" s="429"/>
      <c r="BC144" s="429"/>
      <c r="BD144" s="429"/>
      <c r="BE144" s="429"/>
      <c r="BF144" s="429"/>
      <c r="BG144" s="429"/>
      <c r="BH144" s="429"/>
      <c r="BI144" s="429"/>
      <c r="BJ144" s="429"/>
      <c r="BK144" s="429"/>
      <c r="BL144" s="429"/>
      <c r="BM144" s="429"/>
      <c r="BN144" s="429"/>
      <c r="BO144" s="429"/>
      <c r="BP144" s="102"/>
      <c r="BQ144" s="102">
        <v>4.837</v>
      </c>
      <c r="BR144" s="451">
        <f t="shared" si="13"/>
        <v>10293.14</v>
      </c>
      <c r="BS144" s="451">
        <f t="shared" si="12"/>
        <v>79771.84</v>
      </c>
      <c r="BT144" s="429" t="str">
        <f>IFERROR(VLOOKUP(E144,[2]名称!A:D,4,FALSE),"")</f>
        <v>KIK</v>
      </c>
    </row>
    <row r="145" s="427" customFormat="1" hidden="1" customHeight="1" spans="1:72">
      <c r="A145" s="93">
        <v>46028</v>
      </c>
      <c r="B145" s="95" t="s">
        <v>237</v>
      </c>
      <c r="C145" s="96">
        <v>10120677</v>
      </c>
      <c r="D145" s="96" t="s">
        <v>247</v>
      </c>
      <c r="E145" s="97" t="s">
        <v>136</v>
      </c>
      <c r="F145" s="99">
        <v>1916</v>
      </c>
      <c r="G145" s="93">
        <v>46113</v>
      </c>
      <c r="H145" s="429"/>
      <c r="I145" s="429"/>
      <c r="J145" s="429"/>
      <c r="K145" s="429"/>
      <c r="L145" s="429"/>
      <c r="M145" s="429"/>
      <c r="N145" s="429"/>
      <c r="O145" s="429"/>
      <c r="P145" s="429"/>
      <c r="Q145" s="429"/>
      <c r="R145" s="429"/>
      <c r="S145" s="429">
        <f t="shared" si="14"/>
        <v>1916</v>
      </c>
      <c r="T145" s="429"/>
      <c r="U145" s="429"/>
      <c r="V145" s="429"/>
      <c r="W145" s="429"/>
      <c r="X145" s="429"/>
      <c r="Y145" s="429"/>
      <c r="Z145" s="429"/>
      <c r="AA145" s="429"/>
      <c r="AB145" s="429"/>
      <c r="AC145" s="429"/>
      <c r="AD145" s="429"/>
      <c r="AE145" s="429"/>
      <c r="AF145" s="429"/>
      <c r="AG145" s="429"/>
      <c r="AH145" s="429"/>
      <c r="AI145" s="429"/>
      <c r="AJ145" s="429"/>
      <c r="AK145" s="429"/>
      <c r="AL145" s="429"/>
      <c r="AM145" s="429"/>
      <c r="AN145" s="429"/>
      <c r="AO145" s="429"/>
      <c r="AP145" s="429"/>
      <c r="AQ145" s="429"/>
      <c r="AR145" s="429"/>
      <c r="AS145" s="429"/>
      <c r="AT145" s="429"/>
      <c r="AU145" s="429"/>
      <c r="AV145" s="429"/>
      <c r="AW145" s="429"/>
      <c r="AX145" s="429"/>
      <c r="AY145" s="429"/>
      <c r="AZ145" s="429"/>
      <c r="BA145" s="429"/>
      <c r="BB145" s="429"/>
      <c r="BC145" s="429"/>
      <c r="BD145" s="429"/>
      <c r="BE145" s="429"/>
      <c r="BF145" s="429"/>
      <c r="BG145" s="429"/>
      <c r="BH145" s="429"/>
      <c r="BI145" s="429"/>
      <c r="BJ145" s="429"/>
      <c r="BK145" s="429"/>
      <c r="BL145" s="429"/>
      <c r="BM145" s="429"/>
      <c r="BN145" s="429"/>
      <c r="BO145" s="429"/>
      <c r="BP145" s="102"/>
      <c r="BQ145" s="102">
        <v>4.837</v>
      </c>
      <c r="BR145" s="451">
        <f t="shared" si="13"/>
        <v>9267.69</v>
      </c>
      <c r="BS145" s="451">
        <f t="shared" si="12"/>
        <v>71824.6</v>
      </c>
      <c r="BT145" s="429" t="str">
        <f>IFERROR(VLOOKUP(E145,[2]名称!A:D,4,FALSE),"")</f>
        <v>KIK</v>
      </c>
    </row>
    <row r="146" s="427" customFormat="1" hidden="1" customHeight="1" spans="1:72">
      <c r="A146" s="93">
        <v>46028</v>
      </c>
      <c r="B146" s="95" t="s">
        <v>237</v>
      </c>
      <c r="C146" s="96">
        <v>10120677</v>
      </c>
      <c r="D146" s="96" t="s">
        <v>247</v>
      </c>
      <c r="E146" s="97" t="s">
        <v>136</v>
      </c>
      <c r="F146" s="99">
        <v>790</v>
      </c>
      <c r="G146" s="93">
        <v>46113</v>
      </c>
      <c r="H146" s="429"/>
      <c r="I146" s="429"/>
      <c r="J146" s="429"/>
      <c r="K146" s="429"/>
      <c r="L146" s="429"/>
      <c r="M146" s="429"/>
      <c r="N146" s="429"/>
      <c r="O146" s="429"/>
      <c r="P146" s="429"/>
      <c r="Q146" s="429"/>
      <c r="R146" s="429"/>
      <c r="S146" s="429">
        <f t="shared" si="14"/>
        <v>790</v>
      </c>
      <c r="T146" s="429"/>
      <c r="U146" s="429"/>
      <c r="V146" s="429"/>
      <c r="W146" s="429"/>
      <c r="X146" s="429"/>
      <c r="Y146" s="429"/>
      <c r="Z146" s="429"/>
      <c r="AA146" s="429"/>
      <c r="AB146" s="429"/>
      <c r="AC146" s="429"/>
      <c r="AD146" s="429"/>
      <c r="AE146" s="429"/>
      <c r="AF146" s="429"/>
      <c r="AG146" s="429"/>
      <c r="AH146" s="429"/>
      <c r="AI146" s="429"/>
      <c r="AJ146" s="429"/>
      <c r="AK146" s="429"/>
      <c r="AL146" s="429"/>
      <c r="AM146" s="429"/>
      <c r="AN146" s="429"/>
      <c r="AO146" s="429"/>
      <c r="AP146" s="429"/>
      <c r="AQ146" s="429"/>
      <c r="AR146" s="429"/>
      <c r="AS146" s="429"/>
      <c r="AT146" s="429"/>
      <c r="AU146" s="429"/>
      <c r="AV146" s="429"/>
      <c r="AW146" s="429"/>
      <c r="AX146" s="429"/>
      <c r="AY146" s="429"/>
      <c r="AZ146" s="429"/>
      <c r="BA146" s="429"/>
      <c r="BB146" s="429"/>
      <c r="BC146" s="429"/>
      <c r="BD146" s="429"/>
      <c r="BE146" s="429"/>
      <c r="BF146" s="429"/>
      <c r="BG146" s="429"/>
      <c r="BH146" s="429"/>
      <c r="BI146" s="429"/>
      <c r="BJ146" s="429"/>
      <c r="BK146" s="429"/>
      <c r="BL146" s="429"/>
      <c r="BM146" s="429"/>
      <c r="BN146" s="429"/>
      <c r="BO146" s="429"/>
      <c r="BP146" s="102"/>
      <c r="BQ146" s="102">
        <v>4.837</v>
      </c>
      <c r="BR146" s="451">
        <f t="shared" si="13"/>
        <v>3821.23</v>
      </c>
      <c r="BS146" s="451">
        <f t="shared" si="12"/>
        <v>29614.53</v>
      </c>
      <c r="BT146" s="429" t="str">
        <f>IFERROR(VLOOKUP(E146,[2]名称!A:D,4,FALSE),"")</f>
        <v>KIK</v>
      </c>
    </row>
    <row r="147" s="427" customFormat="1" hidden="1" customHeight="1" spans="1:72">
      <c r="A147" s="93">
        <v>46028</v>
      </c>
      <c r="B147" s="95" t="s">
        <v>237</v>
      </c>
      <c r="C147" s="96">
        <v>10120677</v>
      </c>
      <c r="D147" s="96" t="s">
        <v>247</v>
      </c>
      <c r="E147" s="97" t="s">
        <v>136</v>
      </c>
      <c r="F147" s="99">
        <v>2846</v>
      </c>
      <c r="G147" s="93">
        <v>46113</v>
      </c>
      <c r="H147" s="429"/>
      <c r="I147" s="429"/>
      <c r="J147" s="429"/>
      <c r="K147" s="429"/>
      <c r="L147" s="429"/>
      <c r="M147" s="429"/>
      <c r="N147" s="429"/>
      <c r="O147" s="429"/>
      <c r="P147" s="429"/>
      <c r="Q147" s="429"/>
      <c r="R147" s="429"/>
      <c r="S147" s="429">
        <f t="shared" si="14"/>
        <v>2846</v>
      </c>
      <c r="T147" s="429"/>
      <c r="U147" s="429"/>
      <c r="V147" s="429"/>
      <c r="W147" s="429"/>
      <c r="X147" s="429"/>
      <c r="Y147" s="429"/>
      <c r="Z147" s="429"/>
      <c r="AA147" s="429"/>
      <c r="AB147" s="429"/>
      <c r="AC147" s="429"/>
      <c r="AD147" s="429"/>
      <c r="AE147" s="429"/>
      <c r="AF147" s="429"/>
      <c r="AG147" s="429"/>
      <c r="AH147" s="429"/>
      <c r="AI147" s="429"/>
      <c r="AJ147" s="429"/>
      <c r="AK147" s="429"/>
      <c r="AL147" s="429"/>
      <c r="AM147" s="429"/>
      <c r="AN147" s="429"/>
      <c r="AO147" s="429"/>
      <c r="AP147" s="429"/>
      <c r="AQ147" s="429"/>
      <c r="AR147" s="429"/>
      <c r="AS147" s="429"/>
      <c r="AT147" s="429"/>
      <c r="AU147" s="429"/>
      <c r="AV147" s="429"/>
      <c r="AW147" s="429"/>
      <c r="AX147" s="429"/>
      <c r="AY147" s="429"/>
      <c r="AZ147" s="429"/>
      <c r="BA147" s="429"/>
      <c r="BB147" s="429"/>
      <c r="BC147" s="429"/>
      <c r="BD147" s="429"/>
      <c r="BE147" s="429"/>
      <c r="BF147" s="429"/>
      <c r="BG147" s="429"/>
      <c r="BH147" s="429"/>
      <c r="BI147" s="429"/>
      <c r="BJ147" s="429"/>
      <c r="BK147" s="429"/>
      <c r="BL147" s="429"/>
      <c r="BM147" s="429"/>
      <c r="BN147" s="429"/>
      <c r="BO147" s="429"/>
      <c r="BP147" s="102"/>
      <c r="BQ147" s="102">
        <v>4.837</v>
      </c>
      <c r="BR147" s="451">
        <f t="shared" si="13"/>
        <v>13766.1</v>
      </c>
      <c r="BS147" s="451">
        <f t="shared" si="12"/>
        <v>106687.28</v>
      </c>
      <c r="BT147" s="429" t="str">
        <f>IFERROR(VLOOKUP(E147,[2]名称!A:D,4,FALSE),"")</f>
        <v>KIK</v>
      </c>
    </row>
    <row r="148" s="427" customFormat="1" hidden="1" customHeight="1" spans="1:72">
      <c r="A148" s="93">
        <v>46028</v>
      </c>
      <c r="B148" s="95" t="s">
        <v>237</v>
      </c>
      <c r="C148" s="96">
        <v>10120677</v>
      </c>
      <c r="D148" s="96" t="s">
        <v>247</v>
      </c>
      <c r="E148" s="97" t="s">
        <v>136</v>
      </c>
      <c r="F148" s="99">
        <v>1482</v>
      </c>
      <c r="G148" s="93">
        <v>46113</v>
      </c>
      <c r="H148" s="429"/>
      <c r="I148" s="429"/>
      <c r="J148" s="429"/>
      <c r="K148" s="429"/>
      <c r="L148" s="429"/>
      <c r="M148" s="429"/>
      <c r="N148" s="429"/>
      <c r="O148" s="429"/>
      <c r="P148" s="429"/>
      <c r="Q148" s="429"/>
      <c r="R148" s="429"/>
      <c r="S148" s="429">
        <f t="shared" si="14"/>
        <v>1482</v>
      </c>
      <c r="T148" s="429"/>
      <c r="U148" s="429"/>
      <c r="V148" s="429"/>
      <c r="W148" s="429"/>
      <c r="X148" s="429"/>
      <c r="Y148" s="429"/>
      <c r="Z148" s="429"/>
      <c r="AA148" s="429"/>
      <c r="AB148" s="429"/>
      <c r="AC148" s="429"/>
      <c r="AD148" s="429"/>
      <c r="AE148" s="429"/>
      <c r="AF148" s="429"/>
      <c r="AG148" s="429"/>
      <c r="AH148" s="429"/>
      <c r="AI148" s="429"/>
      <c r="AJ148" s="429"/>
      <c r="AK148" s="429"/>
      <c r="AL148" s="429"/>
      <c r="AM148" s="429"/>
      <c r="AN148" s="429"/>
      <c r="AO148" s="429"/>
      <c r="AP148" s="429"/>
      <c r="AQ148" s="429"/>
      <c r="AR148" s="429"/>
      <c r="AS148" s="429"/>
      <c r="AT148" s="429"/>
      <c r="AU148" s="429"/>
      <c r="AV148" s="429"/>
      <c r="AW148" s="429"/>
      <c r="AX148" s="429"/>
      <c r="AY148" s="429"/>
      <c r="AZ148" s="429"/>
      <c r="BA148" s="429"/>
      <c r="BB148" s="429"/>
      <c r="BC148" s="429"/>
      <c r="BD148" s="429"/>
      <c r="BE148" s="429"/>
      <c r="BF148" s="429"/>
      <c r="BG148" s="429"/>
      <c r="BH148" s="429"/>
      <c r="BI148" s="429"/>
      <c r="BJ148" s="429"/>
      <c r="BK148" s="429"/>
      <c r="BL148" s="429"/>
      <c r="BM148" s="429"/>
      <c r="BN148" s="429"/>
      <c r="BO148" s="429"/>
      <c r="BP148" s="102"/>
      <c r="BQ148" s="102">
        <v>4.837</v>
      </c>
      <c r="BR148" s="451">
        <f t="shared" si="13"/>
        <v>7168.43</v>
      </c>
      <c r="BS148" s="451">
        <f t="shared" si="12"/>
        <v>55555.33</v>
      </c>
      <c r="BT148" s="429" t="str">
        <f>IFERROR(VLOOKUP(E148,[2]名称!A:D,4,FALSE),"")</f>
        <v>KIK</v>
      </c>
    </row>
    <row r="149" s="427" customFormat="1" hidden="1" customHeight="1" spans="1:72">
      <c r="A149" s="93">
        <v>46028</v>
      </c>
      <c r="B149" s="95" t="s">
        <v>237</v>
      </c>
      <c r="C149" s="96">
        <v>10120677</v>
      </c>
      <c r="D149" s="96" t="s">
        <v>247</v>
      </c>
      <c r="E149" s="97" t="s">
        <v>136</v>
      </c>
      <c r="F149" s="99">
        <v>830</v>
      </c>
      <c r="G149" s="93">
        <v>46113</v>
      </c>
      <c r="H149" s="429"/>
      <c r="I149" s="429"/>
      <c r="J149" s="429"/>
      <c r="K149" s="429"/>
      <c r="L149" s="429"/>
      <c r="M149" s="429"/>
      <c r="N149" s="429"/>
      <c r="O149" s="429"/>
      <c r="P149" s="429"/>
      <c r="Q149" s="429"/>
      <c r="R149" s="429"/>
      <c r="S149" s="429">
        <f t="shared" si="14"/>
        <v>830</v>
      </c>
      <c r="T149" s="429"/>
      <c r="U149" s="429"/>
      <c r="V149" s="429"/>
      <c r="W149" s="429"/>
      <c r="X149" s="429"/>
      <c r="Y149" s="429"/>
      <c r="Z149" s="429"/>
      <c r="AA149" s="429"/>
      <c r="AB149" s="429"/>
      <c r="AC149" s="429"/>
      <c r="AD149" s="429"/>
      <c r="AE149" s="429"/>
      <c r="AF149" s="429"/>
      <c r="AG149" s="429"/>
      <c r="AH149" s="429"/>
      <c r="AI149" s="429"/>
      <c r="AJ149" s="429"/>
      <c r="AK149" s="429"/>
      <c r="AL149" s="429"/>
      <c r="AM149" s="429"/>
      <c r="AN149" s="429"/>
      <c r="AO149" s="429"/>
      <c r="AP149" s="429"/>
      <c r="AQ149" s="429"/>
      <c r="AR149" s="429"/>
      <c r="AS149" s="429"/>
      <c r="AT149" s="429"/>
      <c r="AU149" s="429"/>
      <c r="AV149" s="429"/>
      <c r="AW149" s="429"/>
      <c r="AX149" s="429"/>
      <c r="AY149" s="429"/>
      <c r="AZ149" s="429"/>
      <c r="BA149" s="429"/>
      <c r="BB149" s="429"/>
      <c r="BC149" s="429"/>
      <c r="BD149" s="429"/>
      <c r="BE149" s="429"/>
      <c r="BF149" s="429"/>
      <c r="BG149" s="429"/>
      <c r="BH149" s="429"/>
      <c r="BI149" s="429"/>
      <c r="BJ149" s="429"/>
      <c r="BK149" s="429"/>
      <c r="BL149" s="429"/>
      <c r="BM149" s="429"/>
      <c r="BN149" s="429"/>
      <c r="BO149" s="429"/>
      <c r="BP149" s="102"/>
      <c r="BQ149" s="102">
        <v>4.837</v>
      </c>
      <c r="BR149" s="451">
        <f t="shared" si="13"/>
        <v>4014.71</v>
      </c>
      <c r="BS149" s="451">
        <f t="shared" si="12"/>
        <v>31114</v>
      </c>
      <c r="BT149" s="429" t="str">
        <f>IFERROR(VLOOKUP(E149,[2]名称!A:D,4,FALSE),"")</f>
        <v>KIK</v>
      </c>
    </row>
    <row r="150" s="427" customFormat="1" hidden="1" customHeight="1" spans="1:72">
      <c r="A150" s="93">
        <v>46028</v>
      </c>
      <c r="B150" s="95" t="s">
        <v>237</v>
      </c>
      <c r="C150" s="96">
        <v>10120677</v>
      </c>
      <c r="D150" s="96" t="s">
        <v>247</v>
      </c>
      <c r="E150" s="97" t="s">
        <v>136</v>
      </c>
      <c r="F150" s="99">
        <v>2142</v>
      </c>
      <c r="G150" s="93">
        <v>46113</v>
      </c>
      <c r="H150" s="429"/>
      <c r="I150" s="429"/>
      <c r="J150" s="429"/>
      <c r="K150" s="429"/>
      <c r="L150" s="429"/>
      <c r="M150" s="429"/>
      <c r="N150" s="429"/>
      <c r="O150" s="429"/>
      <c r="P150" s="429"/>
      <c r="Q150" s="429"/>
      <c r="R150" s="429"/>
      <c r="S150" s="429">
        <f t="shared" si="14"/>
        <v>2142</v>
      </c>
      <c r="T150" s="429"/>
      <c r="U150" s="429"/>
      <c r="V150" s="429"/>
      <c r="W150" s="429"/>
      <c r="X150" s="429"/>
      <c r="Y150" s="429"/>
      <c r="Z150" s="429"/>
      <c r="AA150" s="429"/>
      <c r="AB150" s="429"/>
      <c r="AC150" s="429"/>
      <c r="AD150" s="429"/>
      <c r="AE150" s="429"/>
      <c r="AF150" s="429"/>
      <c r="AG150" s="429"/>
      <c r="AH150" s="429"/>
      <c r="AI150" s="429"/>
      <c r="AJ150" s="429"/>
      <c r="AK150" s="429"/>
      <c r="AL150" s="429"/>
      <c r="AM150" s="429"/>
      <c r="AN150" s="429"/>
      <c r="AO150" s="429"/>
      <c r="AP150" s="429"/>
      <c r="AQ150" s="429"/>
      <c r="AR150" s="429"/>
      <c r="AS150" s="429"/>
      <c r="AT150" s="429"/>
      <c r="AU150" s="429"/>
      <c r="AV150" s="429"/>
      <c r="AW150" s="429"/>
      <c r="AX150" s="429"/>
      <c r="AY150" s="429"/>
      <c r="AZ150" s="429"/>
      <c r="BA150" s="429"/>
      <c r="BB150" s="429"/>
      <c r="BC150" s="429"/>
      <c r="BD150" s="429"/>
      <c r="BE150" s="429"/>
      <c r="BF150" s="429"/>
      <c r="BG150" s="429"/>
      <c r="BH150" s="429"/>
      <c r="BI150" s="429"/>
      <c r="BJ150" s="429"/>
      <c r="BK150" s="429"/>
      <c r="BL150" s="429"/>
      <c r="BM150" s="429"/>
      <c r="BN150" s="429"/>
      <c r="BO150" s="429"/>
      <c r="BP150" s="102"/>
      <c r="BQ150" s="102">
        <v>4.837</v>
      </c>
      <c r="BR150" s="451">
        <f t="shared" si="13"/>
        <v>10360.85</v>
      </c>
      <c r="BS150" s="451">
        <f t="shared" si="12"/>
        <v>80296.59</v>
      </c>
      <c r="BT150" s="429" t="str">
        <f>IFERROR(VLOOKUP(E150,[2]名称!A:D,4,FALSE),"")</f>
        <v>KIK</v>
      </c>
    </row>
    <row r="151" s="427" customFormat="1" hidden="1" customHeight="1" spans="1:72">
      <c r="A151" s="93">
        <v>46028</v>
      </c>
      <c r="B151" s="95" t="s">
        <v>237</v>
      </c>
      <c r="C151" s="96">
        <v>10120677</v>
      </c>
      <c r="D151" s="96" t="s">
        <v>247</v>
      </c>
      <c r="E151" s="97" t="s">
        <v>136</v>
      </c>
      <c r="F151" s="99">
        <v>2518</v>
      </c>
      <c r="G151" s="93">
        <v>46113</v>
      </c>
      <c r="H151" s="429"/>
      <c r="I151" s="429"/>
      <c r="J151" s="429"/>
      <c r="K151" s="429"/>
      <c r="L151" s="429"/>
      <c r="M151" s="429"/>
      <c r="N151" s="429"/>
      <c r="O151" s="429"/>
      <c r="P151" s="429"/>
      <c r="Q151" s="429"/>
      <c r="R151" s="429"/>
      <c r="S151" s="429">
        <f t="shared" si="14"/>
        <v>2518</v>
      </c>
      <c r="T151" s="429"/>
      <c r="U151" s="429"/>
      <c r="V151" s="429"/>
      <c r="W151" s="429"/>
      <c r="X151" s="429"/>
      <c r="Y151" s="429"/>
      <c r="Z151" s="429"/>
      <c r="AA151" s="429"/>
      <c r="AB151" s="429"/>
      <c r="AC151" s="429"/>
      <c r="AD151" s="429"/>
      <c r="AE151" s="429"/>
      <c r="AF151" s="429"/>
      <c r="AG151" s="429"/>
      <c r="AH151" s="429"/>
      <c r="AI151" s="429"/>
      <c r="AJ151" s="429"/>
      <c r="AK151" s="429"/>
      <c r="AL151" s="429"/>
      <c r="AM151" s="429"/>
      <c r="AN151" s="429"/>
      <c r="AO151" s="429"/>
      <c r="AP151" s="429"/>
      <c r="AQ151" s="429"/>
      <c r="AR151" s="429"/>
      <c r="AS151" s="429"/>
      <c r="AT151" s="429"/>
      <c r="AU151" s="429"/>
      <c r="AV151" s="429"/>
      <c r="AW151" s="429"/>
      <c r="AX151" s="429"/>
      <c r="AY151" s="429"/>
      <c r="AZ151" s="429"/>
      <c r="BA151" s="429"/>
      <c r="BB151" s="429"/>
      <c r="BC151" s="429"/>
      <c r="BD151" s="429"/>
      <c r="BE151" s="429"/>
      <c r="BF151" s="429"/>
      <c r="BG151" s="429"/>
      <c r="BH151" s="429"/>
      <c r="BI151" s="429"/>
      <c r="BJ151" s="429"/>
      <c r="BK151" s="429"/>
      <c r="BL151" s="429"/>
      <c r="BM151" s="429"/>
      <c r="BN151" s="429"/>
      <c r="BO151" s="429"/>
      <c r="BP151" s="102"/>
      <c r="BQ151" s="102">
        <v>4.837</v>
      </c>
      <c r="BR151" s="451">
        <f t="shared" si="13"/>
        <v>12179.57</v>
      </c>
      <c r="BS151" s="451">
        <f t="shared" si="12"/>
        <v>94391.67</v>
      </c>
      <c r="BT151" s="429" t="str">
        <f>IFERROR(VLOOKUP(E151,[2]名称!A:D,4,FALSE),"")</f>
        <v>KIK</v>
      </c>
    </row>
    <row r="152" s="427" customFormat="1" hidden="1" customHeight="1" spans="1:72">
      <c r="A152" s="93">
        <v>46028</v>
      </c>
      <c r="B152" s="95" t="s">
        <v>237</v>
      </c>
      <c r="C152" s="96">
        <v>10120677</v>
      </c>
      <c r="D152" s="96" t="s">
        <v>247</v>
      </c>
      <c r="E152" s="97" t="s">
        <v>136</v>
      </c>
      <c r="F152" s="99">
        <v>1390</v>
      </c>
      <c r="G152" s="93">
        <v>46113</v>
      </c>
      <c r="H152" s="429"/>
      <c r="I152" s="429"/>
      <c r="J152" s="429"/>
      <c r="K152" s="429"/>
      <c r="L152" s="429"/>
      <c r="M152" s="429"/>
      <c r="N152" s="429"/>
      <c r="O152" s="429"/>
      <c r="P152" s="429"/>
      <c r="Q152" s="429"/>
      <c r="R152" s="429"/>
      <c r="S152" s="429">
        <f t="shared" si="14"/>
        <v>1390</v>
      </c>
      <c r="T152" s="429"/>
      <c r="U152" s="429"/>
      <c r="V152" s="429"/>
      <c r="W152" s="429"/>
      <c r="X152" s="429"/>
      <c r="Y152" s="429"/>
      <c r="Z152" s="429"/>
      <c r="AA152" s="429"/>
      <c r="AB152" s="429"/>
      <c r="AC152" s="429"/>
      <c r="AD152" s="429"/>
      <c r="AE152" s="429"/>
      <c r="AF152" s="429"/>
      <c r="AG152" s="429"/>
      <c r="AH152" s="429"/>
      <c r="AI152" s="429"/>
      <c r="AJ152" s="429"/>
      <c r="AK152" s="429"/>
      <c r="AL152" s="429"/>
      <c r="AM152" s="429"/>
      <c r="AN152" s="429"/>
      <c r="AO152" s="429"/>
      <c r="AP152" s="429"/>
      <c r="AQ152" s="429"/>
      <c r="AR152" s="429"/>
      <c r="AS152" s="429"/>
      <c r="AT152" s="429"/>
      <c r="AU152" s="429"/>
      <c r="AV152" s="429"/>
      <c r="AW152" s="429"/>
      <c r="AX152" s="429"/>
      <c r="AY152" s="429"/>
      <c r="AZ152" s="429"/>
      <c r="BA152" s="429"/>
      <c r="BB152" s="429"/>
      <c r="BC152" s="429"/>
      <c r="BD152" s="429"/>
      <c r="BE152" s="429"/>
      <c r="BF152" s="429"/>
      <c r="BG152" s="429"/>
      <c r="BH152" s="429"/>
      <c r="BI152" s="429"/>
      <c r="BJ152" s="429"/>
      <c r="BK152" s="429"/>
      <c r="BL152" s="429"/>
      <c r="BM152" s="429"/>
      <c r="BN152" s="429"/>
      <c r="BO152" s="429"/>
      <c r="BP152" s="102"/>
      <c r="BQ152" s="102">
        <v>4.837</v>
      </c>
      <c r="BR152" s="451">
        <f t="shared" si="13"/>
        <v>6723.43</v>
      </c>
      <c r="BS152" s="451">
        <f t="shared" si="12"/>
        <v>52106.58</v>
      </c>
      <c r="BT152" s="429" t="str">
        <f>IFERROR(VLOOKUP(E152,[2]名称!A:D,4,FALSE),"")</f>
        <v>KIK</v>
      </c>
    </row>
    <row r="153" s="427" customFormat="1" hidden="1" customHeight="1" spans="1:72">
      <c r="A153" s="93">
        <v>46028</v>
      </c>
      <c r="B153" s="95" t="s">
        <v>237</v>
      </c>
      <c r="C153" s="96">
        <v>10120677</v>
      </c>
      <c r="D153" s="96" t="s">
        <v>247</v>
      </c>
      <c r="E153" s="97" t="s">
        <v>136</v>
      </c>
      <c r="F153" s="99">
        <v>956</v>
      </c>
      <c r="G153" s="93">
        <v>46113</v>
      </c>
      <c r="H153" s="429"/>
      <c r="I153" s="429"/>
      <c r="J153" s="429"/>
      <c r="K153" s="429"/>
      <c r="L153" s="429"/>
      <c r="M153" s="429"/>
      <c r="N153" s="429"/>
      <c r="O153" s="429"/>
      <c r="P153" s="429"/>
      <c r="Q153" s="429"/>
      <c r="R153" s="429"/>
      <c r="S153" s="429">
        <f t="shared" si="14"/>
        <v>956</v>
      </c>
      <c r="T153" s="429"/>
      <c r="U153" s="429"/>
      <c r="V153" s="429"/>
      <c r="W153" s="429"/>
      <c r="X153" s="429"/>
      <c r="Y153" s="429"/>
      <c r="Z153" s="429"/>
      <c r="AA153" s="429"/>
      <c r="AB153" s="429"/>
      <c r="AC153" s="429"/>
      <c r="AD153" s="429"/>
      <c r="AE153" s="429"/>
      <c r="AF153" s="429"/>
      <c r="AG153" s="429"/>
      <c r="AH153" s="429"/>
      <c r="AI153" s="429"/>
      <c r="AJ153" s="429"/>
      <c r="AK153" s="429"/>
      <c r="AL153" s="429"/>
      <c r="AM153" s="429"/>
      <c r="AN153" s="429"/>
      <c r="AO153" s="429"/>
      <c r="AP153" s="429"/>
      <c r="AQ153" s="429"/>
      <c r="AR153" s="429"/>
      <c r="AS153" s="429"/>
      <c r="AT153" s="429"/>
      <c r="AU153" s="429"/>
      <c r="AV153" s="429"/>
      <c r="AW153" s="429"/>
      <c r="AX153" s="429"/>
      <c r="AY153" s="429"/>
      <c r="AZ153" s="429"/>
      <c r="BA153" s="429"/>
      <c r="BB153" s="429"/>
      <c r="BC153" s="429"/>
      <c r="BD153" s="429"/>
      <c r="BE153" s="429"/>
      <c r="BF153" s="429"/>
      <c r="BG153" s="429"/>
      <c r="BH153" s="429"/>
      <c r="BI153" s="429"/>
      <c r="BJ153" s="429"/>
      <c r="BK153" s="429"/>
      <c r="BL153" s="429"/>
      <c r="BM153" s="429"/>
      <c r="BN153" s="429"/>
      <c r="BO153" s="429"/>
      <c r="BP153" s="102"/>
      <c r="BQ153" s="102">
        <v>4.837</v>
      </c>
      <c r="BR153" s="451">
        <f t="shared" si="13"/>
        <v>4624.17</v>
      </c>
      <c r="BS153" s="451">
        <f t="shared" si="12"/>
        <v>35837.32</v>
      </c>
      <c r="BT153" s="429" t="str">
        <f>IFERROR(VLOOKUP(E153,[2]名称!A:D,4,FALSE),"")</f>
        <v>KIK</v>
      </c>
    </row>
    <row r="154" s="425" customFormat="1" hidden="1" customHeight="1" spans="1:72">
      <c r="A154" s="108">
        <v>46030</v>
      </c>
      <c r="B154" s="109" t="s">
        <v>236</v>
      </c>
      <c r="C154" s="30">
        <v>10118546</v>
      </c>
      <c r="D154" s="110">
        <v>20218828</v>
      </c>
      <c r="E154" s="30" t="s">
        <v>137</v>
      </c>
      <c r="F154" s="31">
        <v>5000</v>
      </c>
      <c r="G154" s="108">
        <v>46253</v>
      </c>
      <c r="H154" s="443"/>
      <c r="I154" s="443"/>
      <c r="J154" s="443"/>
      <c r="K154" s="443"/>
      <c r="L154" s="443"/>
      <c r="M154" s="443"/>
      <c r="N154" s="443"/>
      <c r="O154" s="443"/>
      <c r="P154" s="443"/>
      <c r="Q154" s="443"/>
      <c r="R154" s="443"/>
      <c r="S154" s="443"/>
      <c r="T154" s="443"/>
      <c r="U154" s="443"/>
      <c r="V154" s="443"/>
      <c r="W154" s="443"/>
      <c r="X154" s="443"/>
      <c r="Y154" s="443"/>
      <c r="Z154" s="443"/>
      <c r="AA154" s="443"/>
      <c r="AB154" s="443"/>
      <c r="AC154" s="443"/>
      <c r="AD154" s="443"/>
      <c r="AE154" s="443"/>
      <c r="AF154" s="443"/>
      <c r="AG154" s="443"/>
      <c r="AH154" s="443"/>
      <c r="AI154" s="443"/>
      <c r="AJ154" s="443"/>
      <c r="AK154" s="443"/>
      <c r="AL154" s="443"/>
      <c r="AM154" s="443"/>
      <c r="AN154" s="443"/>
      <c r="AO154" s="443"/>
      <c r="AP154" s="443"/>
      <c r="AQ154" s="443"/>
      <c r="AR154" s="443"/>
      <c r="AS154" s="443"/>
      <c r="AT154" s="443">
        <f>F154</f>
        <v>5000</v>
      </c>
      <c r="AU154" s="443"/>
      <c r="AV154" s="443"/>
      <c r="AW154" s="443"/>
      <c r="AX154" s="443"/>
      <c r="AY154" s="443"/>
      <c r="AZ154" s="443"/>
      <c r="BA154" s="443"/>
      <c r="BB154" s="443"/>
      <c r="BC154" s="443"/>
      <c r="BD154" s="443"/>
      <c r="BE154" s="443"/>
      <c r="BF154" s="443"/>
      <c r="BG154" s="443"/>
      <c r="BH154" s="443"/>
      <c r="BI154" s="443"/>
      <c r="BJ154" s="443"/>
      <c r="BK154" s="443"/>
      <c r="BL154" s="443"/>
      <c r="BM154" s="443"/>
      <c r="BN154" s="443"/>
      <c r="BO154" s="443"/>
      <c r="BP154" s="92"/>
      <c r="BQ154" s="92">
        <v>4.081</v>
      </c>
      <c r="BR154" s="462">
        <f t="shared" si="13"/>
        <v>20405</v>
      </c>
      <c r="BS154" s="447">
        <f t="shared" si="12"/>
        <v>158138.75</v>
      </c>
      <c r="BT154" s="443" t="str">
        <f>IFERROR(VLOOKUP(E154,名称!A:D,4,FALSE),"")</f>
        <v>RRM</v>
      </c>
    </row>
    <row r="155" s="425" customFormat="1" hidden="1" customHeight="1" spans="1:72">
      <c r="A155" s="108">
        <v>46030</v>
      </c>
      <c r="B155" s="109" t="s">
        <v>236</v>
      </c>
      <c r="C155" s="30">
        <v>10118546</v>
      </c>
      <c r="D155" s="110">
        <v>20218828</v>
      </c>
      <c r="E155" s="30" t="s">
        <v>139</v>
      </c>
      <c r="F155" s="31">
        <v>5000</v>
      </c>
      <c r="G155" s="108">
        <v>46246</v>
      </c>
      <c r="H155" s="443"/>
      <c r="I155" s="443"/>
      <c r="J155" s="443"/>
      <c r="K155" s="443"/>
      <c r="L155" s="443"/>
      <c r="M155" s="443"/>
      <c r="N155" s="443"/>
      <c r="O155" s="443"/>
      <c r="P155" s="443"/>
      <c r="Q155" s="443"/>
      <c r="R155" s="443"/>
      <c r="S155" s="443"/>
      <c r="T155" s="443"/>
      <c r="U155" s="443"/>
      <c r="V155" s="443"/>
      <c r="W155" s="443"/>
      <c r="X155" s="443"/>
      <c r="Y155" s="443"/>
      <c r="Z155" s="443"/>
      <c r="AA155" s="443"/>
      <c r="AB155" s="443"/>
      <c r="AC155" s="443"/>
      <c r="AD155" s="443"/>
      <c r="AE155" s="443"/>
      <c r="AF155" s="443"/>
      <c r="AG155" s="443"/>
      <c r="AH155" s="443"/>
      <c r="AI155" s="443"/>
      <c r="AJ155" s="443"/>
      <c r="AK155" s="443"/>
      <c r="AL155" s="443"/>
      <c r="AM155" s="443"/>
      <c r="AN155" s="443"/>
      <c r="AO155" s="443"/>
      <c r="AP155" s="443"/>
      <c r="AQ155" s="443"/>
      <c r="AR155" s="443"/>
      <c r="AS155" s="443"/>
      <c r="AT155" s="443"/>
      <c r="AU155" s="443">
        <f>F155</f>
        <v>5000</v>
      </c>
      <c r="AV155" s="443"/>
      <c r="AW155" s="443"/>
      <c r="AX155" s="443"/>
      <c r="AY155" s="443"/>
      <c r="AZ155" s="443"/>
      <c r="BA155" s="443"/>
      <c r="BB155" s="443"/>
      <c r="BC155" s="443"/>
      <c r="BD155" s="443"/>
      <c r="BE155" s="443"/>
      <c r="BF155" s="443"/>
      <c r="BG155" s="443"/>
      <c r="BH155" s="443"/>
      <c r="BI155" s="443"/>
      <c r="BJ155" s="443"/>
      <c r="BK155" s="443"/>
      <c r="BL155" s="443"/>
      <c r="BM155" s="443"/>
      <c r="BN155" s="443"/>
      <c r="BO155" s="443"/>
      <c r="BP155" s="92"/>
      <c r="BQ155" s="92">
        <v>4.131</v>
      </c>
      <c r="BR155" s="462">
        <f t="shared" si="13"/>
        <v>20655</v>
      </c>
      <c r="BS155" s="447">
        <f t="shared" si="12"/>
        <v>160076.25</v>
      </c>
      <c r="BT155" s="443" t="str">
        <f>IFERROR(VLOOKUP(E155,名称!A:D,4,FALSE),"")</f>
        <v>RRM</v>
      </c>
    </row>
    <row r="156" s="427" customFormat="1" hidden="1" customHeight="1" spans="1:72">
      <c r="A156" s="93">
        <v>46032</v>
      </c>
      <c r="B156" s="95" t="s">
        <v>248</v>
      </c>
      <c r="C156" s="96">
        <v>10118881</v>
      </c>
      <c r="D156" s="96" t="s">
        <v>249</v>
      </c>
      <c r="E156" s="97" t="s">
        <v>95</v>
      </c>
      <c r="F156" s="99">
        <v>27</v>
      </c>
      <c r="G156" s="93">
        <v>46050</v>
      </c>
      <c r="H156" s="429"/>
      <c r="I156" s="429"/>
      <c r="J156" s="429"/>
      <c r="K156" s="429"/>
      <c r="L156" s="429"/>
      <c r="M156" s="429"/>
      <c r="N156" s="429"/>
      <c r="O156" s="429"/>
      <c r="P156" s="429"/>
      <c r="Q156" s="429"/>
      <c r="R156" s="429"/>
      <c r="S156" s="429"/>
      <c r="T156" s="429"/>
      <c r="U156" s="429"/>
      <c r="V156" s="429"/>
      <c r="W156" s="429"/>
      <c r="X156" s="429"/>
      <c r="Y156" s="429"/>
      <c r="Z156" s="429"/>
      <c r="AA156" s="429"/>
      <c r="AB156" s="429"/>
      <c r="AC156" s="429"/>
      <c r="AD156" s="429"/>
      <c r="AE156" s="429"/>
      <c r="AF156" s="429"/>
      <c r="AG156" s="429"/>
      <c r="AH156" s="429">
        <f>F156</f>
        <v>27</v>
      </c>
      <c r="AI156" s="429"/>
      <c r="AJ156" s="429"/>
      <c r="AK156" s="429"/>
      <c r="AL156" s="429"/>
      <c r="AM156" s="429"/>
      <c r="AN156" s="429"/>
      <c r="AO156" s="429"/>
      <c r="AP156" s="429"/>
      <c r="AQ156" s="429"/>
      <c r="AR156" s="429"/>
      <c r="AS156" s="429"/>
      <c r="AT156" s="429"/>
      <c r="AU156" s="429"/>
      <c r="AV156" s="429"/>
      <c r="AW156" s="429"/>
      <c r="AX156" s="429"/>
      <c r="AY156" s="429"/>
      <c r="AZ156" s="429"/>
      <c r="BA156" s="429"/>
      <c r="BB156" s="429"/>
      <c r="BC156" s="429"/>
      <c r="BD156" s="429"/>
      <c r="BE156" s="429"/>
      <c r="BF156" s="429"/>
      <c r="BG156" s="429"/>
      <c r="BH156" s="429"/>
      <c r="BI156" s="429"/>
      <c r="BJ156" s="429"/>
      <c r="BK156" s="429"/>
      <c r="BL156" s="429"/>
      <c r="BM156" s="429"/>
      <c r="BN156" s="429"/>
      <c r="BO156" s="429"/>
      <c r="BP156" s="102"/>
      <c r="BQ156" s="102">
        <v>2.158</v>
      </c>
      <c r="BR156" s="451">
        <f t="shared" si="13"/>
        <v>58.27</v>
      </c>
      <c r="BS156" s="451">
        <f t="shared" ref="BS156:BS173" si="15">BR156*7.75</f>
        <v>451.59</v>
      </c>
      <c r="BT156" s="429" t="str">
        <f>IFERROR(VLOOKUP(E156,名称!A:D,4,FALSE),"")</f>
        <v>KIK</v>
      </c>
    </row>
    <row r="157" s="427" customFormat="1" hidden="1" customHeight="1" spans="1:72">
      <c r="A157" s="93">
        <v>46032</v>
      </c>
      <c r="B157" s="95" t="s">
        <v>248</v>
      </c>
      <c r="C157" s="96">
        <v>10118881</v>
      </c>
      <c r="D157" s="96" t="s">
        <v>249</v>
      </c>
      <c r="E157" s="97" t="s">
        <v>97</v>
      </c>
      <c r="F157" s="99">
        <v>27</v>
      </c>
      <c r="G157" s="93">
        <v>46050</v>
      </c>
      <c r="H157" s="429"/>
      <c r="I157" s="429"/>
      <c r="J157" s="429"/>
      <c r="K157" s="429"/>
      <c r="L157" s="429"/>
      <c r="M157" s="429"/>
      <c r="N157" s="429"/>
      <c r="O157" s="429"/>
      <c r="P157" s="429"/>
      <c r="Q157" s="429"/>
      <c r="R157" s="429"/>
      <c r="S157" s="429"/>
      <c r="T157" s="429"/>
      <c r="U157" s="429"/>
      <c r="V157" s="429"/>
      <c r="W157" s="429"/>
      <c r="X157" s="429"/>
      <c r="Y157" s="429"/>
      <c r="Z157" s="429"/>
      <c r="AA157" s="429"/>
      <c r="AB157" s="429"/>
      <c r="AC157" s="429"/>
      <c r="AD157" s="429"/>
      <c r="AE157" s="429"/>
      <c r="AF157" s="429"/>
      <c r="AG157" s="429"/>
      <c r="AH157" s="429"/>
      <c r="AI157" s="429">
        <f>F157</f>
        <v>27</v>
      </c>
      <c r="AJ157" s="429"/>
      <c r="AK157" s="429"/>
      <c r="AL157" s="429"/>
      <c r="AM157" s="429"/>
      <c r="AN157" s="429"/>
      <c r="AO157" s="429"/>
      <c r="AP157" s="429"/>
      <c r="AQ157" s="429"/>
      <c r="AR157" s="429"/>
      <c r="AS157" s="429"/>
      <c r="AT157" s="429"/>
      <c r="AU157" s="429"/>
      <c r="AV157" s="429"/>
      <c r="AW157" s="429"/>
      <c r="AX157" s="429"/>
      <c r="AY157" s="429"/>
      <c r="AZ157" s="429"/>
      <c r="BA157" s="429"/>
      <c r="BB157" s="429"/>
      <c r="BC157" s="429"/>
      <c r="BD157" s="429"/>
      <c r="BE157" s="429"/>
      <c r="BF157" s="429"/>
      <c r="BG157" s="429"/>
      <c r="BH157" s="429"/>
      <c r="BI157" s="429"/>
      <c r="BJ157" s="429"/>
      <c r="BK157" s="429"/>
      <c r="BL157" s="429"/>
      <c r="BM157" s="429"/>
      <c r="BN157" s="429"/>
      <c r="BO157" s="429"/>
      <c r="BP157" s="102"/>
      <c r="BQ157" s="102">
        <v>3.216</v>
      </c>
      <c r="BR157" s="451">
        <f t="shared" si="13"/>
        <v>86.83</v>
      </c>
      <c r="BS157" s="451">
        <f t="shared" si="15"/>
        <v>672.93</v>
      </c>
      <c r="BT157" s="429" t="str">
        <f>IFERROR(VLOOKUP(E157,名称!A:D,4,FALSE),"")</f>
        <v>KIK</v>
      </c>
    </row>
    <row r="158" s="427" customFormat="1" hidden="1" customHeight="1" spans="1:72">
      <c r="A158" s="93">
        <v>46032</v>
      </c>
      <c r="B158" s="95" t="s">
        <v>248</v>
      </c>
      <c r="C158" s="96">
        <v>10118881</v>
      </c>
      <c r="D158" s="96" t="s">
        <v>249</v>
      </c>
      <c r="E158" s="97" t="s">
        <v>91</v>
      </c>
      <c r="F158" s="99">
        <v>27</v>
      </c>
      <c r="G158" s="93">
        <v>46050</v>
      </c>
      <c r="H158" s="429"/>
      <c r="I158" s="429"/>
      <c r="J158" s="429"/>
      <c r="K158" s="429"/>
      <c r="L158" s="429"/>
      <c r="M158" s="429"/>
      <c r="N158" s="429"/>
      <c r="O158" s="429"/>
      <c r="P158" s="429"/>
      <c r="Q158" s="429"/>
      <c r="R158" s="429"/>
      <c r="S158" s="429"/>
      <c r="T158" s="429"/>
      <c r="U158" s="429"/>
      <c r="V158" s="429"/>
      <c r="W158" s="429"/>
      <c r="X158" s="429"/>
      <c r="Y158" s="429"/>
      <c r="Z158" s="429"/>
      <c r="AA158" s="429"/>
      <c r="AB158" s="429"/>
      <c r="AC158" s="429"/>
      <c r="AD158" s="429"/>
      <c r="AE158" s="429"/>
      <c r="AF158" s="429">
        <f>F158</f>
        <v>27</v>
      </c>
      <c r="AG158" s="429"/>
      <c r="AH158" s="429"/>
      <c r="AI158" s="429"/>
      <c r="AJ158" s="429"/>
      <c r="AK158" s="429"/>
      <c r="AL158" s="429"/>
      <c r="AM158" s="429"/>
      <c r="AN158" s="429"/>
      <c r="AO158" s="429"/>
      <c r="AP158" s="429"/>
      <c r="AQ158" s="429"/>
      <c r="AR158" s="429"/>
      <c r="AS158" s="429"/>
      <c r="AT158" s="429"/>
      <c r="AU158" s="429"/>
      <c r="AV158" s="429"/>
      <c r="AW158" s="429"/>
      <c r="AX158" s="429"/>
      <c r="AY158" s="429"/>
      <c r="AZ158" s="429"/>
      <c r="BA158" s="429"/>
      <c r="BB158" s="429"/>
      <c r="BC158" s="429"/>
      <c r="BD158" s="429"/>
      <c r="BE158" s="429"/>
      <c r="BF158" s="429"/>
      <c r="BG158" s="429"/>
      <c r="BH158" s="429"/>
      <c r="BI158" s="429"/>
      <c r="BJ158" s="429"/>
      <c r="BK158" s="429"/>
      <c r="BL158" s="429"/>
      <c r="BM158" s="429"/>
      <c r="BN158" s="429"/>
      <c r="BO158" s="429"/>
      <c r="BP158" s="102"/>
      <c r="BQ158" s="102">
        <v>1.382</v>
      </c>
      <c r="BR158" s="451">
        <f t="shared" si="13"/>
        <v>37.31</v>
      </c>
      <c r="BS158" s="451">
        <f t="shared" si="15"/>
        <v>289.15</v>
      </c>
      <c r="BT158" s="429" t="str">
        <f>IFERROR(VLOOKUP(E158,名称!A:D,4,FALSE),"")</f>
        <v>KIK</v>
      </c>
    </row>
    <row r="159" s="427" customFormat="1" hidden="1" customHeight="1" spans="1:72">
      <c r="A159" s="93">
        <v>46032</v>
      </c>
      <c r="B159" s="95" t="s">
        <v>248</v>
      </c>
      <c r="C159" s="96">
        <v>10118881</v>
      </c>
      <c r="D159" s="96" t="s">
        <v>249</v>
      </c>
      <c r="E159" s="97" t="s">
        <v>93</v>
      </c>
      <c r="F159" s="99">
        <v>27</v>
      </c>
      <c r="G159" s="93">
        <v>46050</v>
      </c>
      <c r="H159" s="429"/>
      <c r="I159" s="429"/>
      <c r="J159" s="429"/>
      <c r="K159" s="429"/>
      <c r="L159" s="429"/>
      <c r="M159" s="429"/>
      <c r="N159" s="429"/>
      <c r="O159" s="429"/>
      <c r="P159" s="429"/>
      <c r="Q159" s="429"/>
      <c r="R159" s="429"/>
      <c r="S159" s="429"/>
      <c r="T159" s="429"/>
      <c r="U159" s="429"/>
      <c r="V159" s="429"/>
      <c r="W159" s="429"/>
      <c r="X159" s="429"/>
      <c r="Y159" s="429"/>
      <c r="Z159" s="429"/>
      <c r="AA159" s="429"/>
      <c r="AB159" s="429"/>
      <c r="AC159" s="429"/>
      <c r="AD159" s="429"/>
      <c r="AE159" s="429"/>
      <c r="AF159" s="429"/>
      <c r="AG159" s="429">
        <f>F159</f>
        <v>27</v>
      </c>
      <c r="AH159" s="429"/>
      <c r="AI159" s="429"/>
      <c r="AJ159" s="429"/>
      <c r="AK159" s="429"/>
      <c r="AL159" s="429"/>
      <c r="AM159" s="429"/>
      <c r="AN159" s="429"/>
      <c r="AO159" s="429"/>
      <c r="AP159" s="429"/>
      <c r="AQ159" s="429"/>
      <c r="AR159" s="429"/>
      <c r="AS159" s="429"/>
      <c r="AT159" s="429"/>
      <c r="AU159" s="429"/>
      <c r="AV159" s="429"/>
      <c r="AW159" s="429"/>
      <c r="AX159" s="429"/>
      <c r="AY159" s="429"/>
      <c r="AZ159" s="429"/>
      <c r="BA159" s="429"/>
      <c r="BB159" s="429"/>
      <c r="BC159" s="429"/>
      <c r="BD159" s="429"/>
      <c r="BE159" s="429"/>
      <c r="BF159" s="429"/>
      <c r="BG159" s="429"/>
      <c r="BH159" s="429"/>
      <c r="BI159" s="429"/>
      <c r="BJ159" s="429"/>
      <c r="BK159" s="429"/>
      <c r="BL159" s="429"/>
      <c r="BM159" s="429"/>
      <c r="BN159" s="429"/>
      <c r="BO159" s="429"/>
      <c r="BP159" s="102"/>
      <c r="BQ159" s="102">
        <v>1.247</v>
      </c>
      <c r="BR159" s="451">
        <f t="shared" si="13"/>
        <v>33.67</v>
      </c>
      <c r="BS159" s="451">
        <f t="shared" si="15"/>
        <v>260.94</v>
      </c>
      <c r="BT159" s="429" t="str">
        <f>IFERROR(VLOOKUP(E159,名称!A:D,4,FALSE),"")</f>
        <v>KIK</v>
      </c>
    </row>
    <row r="160" s="427" customFormat="1" hidden="1" customHeight="1" spans="1:72">
      <c r="A160" s="93">
        <v>46032</v>
      </c>
      <c r="B160" s="95" t="s">
        <v>237</v>
      </c>
      <c r="C160" s="96">
        <v>10118802</v>
      </c>
      <c r="D160" s="96">
        <v>202600770053</v>
      </c>
      <c r="E160" s="97" t="s">
        <v>48</v>
      </c>
      <c r="F160" s="99">
        <f>5000-1000-1732</f>
        <v>2268</v>
      </c>
      <c r="G160" s="93">
        <v>46092</v>
      </c>
      <c r="H160" s="429"/>
      <c r="I160" s="429"/>
      <c r="J160" s="429"/>
      <c r="K160" s="429">
        <f>F160</f>
        <v>2268</v>
      </c>
      <c r="L160" s="429"/>
      <c r="M160" s="429"/>
      <c r="N160" s="429"/>
      <c r="O160" s="429"/>
      <c r="P160" s="429"/>
      <c r="Q160" s="429"/>
      <c r="R160" s="429"/>
      <c r="S160" s="429"/>
      <c r="T160" s="429"/>
      <c r="U160" s="429"/>
      <c r="V160" s="429"/>
      <c r="W160" s="429"/>
      <c r="X160" s="429"/>
      <c r="Y160" s="429"/>
      <c r="Z160" s="429"/>
      <c r="AA160" s="429"/>
      <c r="AB160" s="429"/>
      <c r="AC160" s="429"/>
      <c r="AD160" s="429"/>
      <c r="AE160" s="429"/>
      <c r="AF160" s="429"/>
      <c r="AG160" s="429"/>
      <c r="AH160" s="429"/>
      <c r="AI160" s="429"/>
      <c r="AJ160" s="429"/>
      <c r="AK160" s="429"/>
      <c r="AL160" s="429"/>
      <c r="AM160" s="429"/>
      <c r="AN160" s="429"/>
      <c r="AO160" s="429"/>
      <c r="AP160" s="429"/>
      <c r="AQ160" s="429"/>
      <c r="AR160" s="429"/>
      <c r="AS160" s="429"/>
      <c r="AT160" s="429"/>
      <c r="AU160" s="429"/>
      <c r="AV160" s="429"/>
      <c r="AW160" s="429"/>
      <c r="AX160" s="429"/>
      <c r="AY160" s="429"/>
      <c r="AZ160" s="429"/>
      <c r="BA160" s="429"/>
      <c r="BB160" s="429"/>
      <c r="BC160" s="429"/>
      <c r="BD160" s="429"/>
      <c r="BE160" s="429"/>
      <c r="BF160" s="429"/>
      <c r="BG160" s="429"/>
      <c r="BH160" s="429"/>
      <c r="BI160" s="429"/>
      <c r="BJ160" s="429"/>
      <c r="BK160" s="429"/>
      <c r="BL160" s="429"/>
      <c r="BM160" s="429"/>
      <c r="BN160" s="429"/>
      <c r="BO160" s="429"/>
      <c r="BP160" s="102"/>
      <c r="BQ160" s="102">
        <v>2.199</v>
      </c>
      <c r="BR160" s="451">
        <f t="shared" si="13"/>
        <v>4987.33</v>
      </c>
      <c r="BS160" s="451">
        <f t="shared" si="15"/>
        <v>38651.81</v>
      </c>
      <c r="BT160" s="429" t="str">
        <f>IFERROR(VLOOKUP(E160,名称!A:D,4,FALSE),"")</f>
        <v>KIK</v>
      </c>
    </row>
    <row r="161" s="427" customFormat="1" hidden="1" customHeight="1" spans="1:72">
      <c r="A161" s="93">
        <v>46032</v>
      </c>
      <c r="B161" s="95" t="s">
        <v>237</v>
      </c>
      <c r="C161" s="96">
        <v>10118802</v>
      </c>
      <c r="D161" s="96">
        <v>202600770053</v>
      </c>
      <c r="E161" s="97" t="s">
        <v>48</v>
      </c>
      <c r="F161" s="99">
        <v>1732</v>
      </c>
      <c r="G161" s="93">
        <v>46113</v>
      </c>
      <c r="H161" s="429"/>
      <c r="I161" s="429"/>
      <c r="J161" s="429"/>
      <c r="K161" s="429">
        <f>F161</f>
        <v>1732</v>
      </c>
      <c r="L161" s="429"/>
      <c r="M161" s="429"/>
      <c r="N161" s="429"/>
      <c r="O161" s="429"/>
      <c r="P161" s="429"/>
      <c r="Q161" s="429"/>
      <c r="R161" s="429"/>
      <c r="S161" s="429"/>
      <c r="T161" s="429"/>
      <c r="U161" s="429"/>
      <c r="V161" s="429"/>
      <c r="W161" s="429"/>
      <c r="X161" s="429"/>
      <c r="Y161" s="429"/>
      <c r="Z161" s="429"/>
      <c r="AA161" s="429"/>
      <c r="AB161" s="429"/>
      <c r="AC161" s="429"/>
      <c r="AD161" s="429"/>
      <c r="AE161" s="429"/>
      <c r="AF161" s="429"/>
      <c r="AG161" s="429"/>
      <c r="AH161" s="429"/>
      <c r="AI161" s="429"/>
      <c r="AJ161" s="429"/>
      <c r="AK161" s="429"/>
      <c r="AL161" s="429"/>
      <c r="AM161" s="429"/>
      <c r="AN161" s="429"/>
      <c r="AO161" s="429"/>
      <c r="AP161" s="429"/>
      <c r="AQ161" s="429"/>
      <c r="AR161" s="429"/>
      <c r="AS161" s="429"/>
      <c r="AT161" s="429"/>
      <c r="AU161" s="429"/>
      <c r="AV161" s="429"/>
      <c r="AW161" s="429"/>
      <c r="AX161" s="429"/>
      <c r="AY161" s="429"/>
      <c r="AZ161" s="429"/>
      <c r="BA161" s="429"/>
      <c r="BB161" s="429"/>
      <c r="BC161" s="429"/>
      <c r="BD161" s="429"/>
      <c r="BE161" s="429"/>
      <c r="BF161" s="429"/>
      <c r="BG161" s="429"/>
      <c r="BH161" s="429"/>
      <c r="BI161" s="429"/>
      <c r="BJ161" s="429"/>
      <c r="BK161" s="429"/>
      <c r="BL161" s="429"/>
      <c r="BM161" s="429"/>
      <c r="BN161" s="429"/>
      <c r="BO161" s="429"/>
      <c r="BP161" s="102"/>
      <c r="BQ161" s="102">
        <v>2.199</v>
      </c>
      <c r="BR161" s="451">
        <f t="shared" si="13"/>
        <v>3808.67</v>
      </c>
      <c r="BS161" s="451">
        <f t="shared" si="15"/>
        <v>29517.19</v>
      </c>
      <c r="BT161" s="429" t="str">
        <f>IFERROR(VLOOKUP(E161,名称!A:D,4,FALSE),"")</f>
        <v>KIK</v>
      </c>
    </row>
    <row r="162" s="427" customFormat="1" hidden="1" customHeight="1" spans="1:72">
      <c r="A162" s="93">
        <v>46035</v>
      </c>
      <c r="B162" s="95" t="s">
        <v>248</v>
      </c>
      <c r="C162" s="96">
        <v>10118930</v>
      </c>
      <c r="D162" s="96" t="s">
        <v>250</v>
      </c>
      <c r="E162" s="97" t="s">
        <v>64</v>
      </c>
      <c r="F162" s="99">
        <v>2</v>
      </c>
      <c r="G162" s="93">
        <v>46038</v>
      </c>
      <c r="H162" s="429"/>
      <c r="I162" s="429"/>
      <c r="J162" s="429"/>
      <c r="K162" s="429"/>
      <c r="L162" s="429"/>
      <c r="M162" s="429"/>
      <c r="N162" s="429"/>
      <c r="O162" s="429"/>
      <c r="P162" s="429"/>
      <c r="Q162" s="429"/>
      <c r="R162" s="429"/>
      <c r="S162" s="429"/>
      <c r="T162" s="429"/>
      <c r="U162" s="429"/>
      <c r="V162" s="429"/>
      <c r="W162" s="429"/>
      <c r="X162" s="429"/>
      <c r="Y162" s="429"/>
      <c r="Z162" s="429"/>
      <c r="AA162" s="429"/>
      <c r="AB162" s="429">
        <f>F162</f>
        <v>2</v>
      </c>
      <c r="AC162" s="429"/>
      <c r="AD162" s="429"/>
      <c r="AE162" s="429"/>
      <c r="AF162" s="429"/>
      <c r="AG162" s="429"/>
      <c r="AH162" s="429"/>
      <c r="AI162" s="429"/>
      <c r="AJ162" s="429"/>
      <c r="AK162" s="429"/>
      <c r="AL162" s="429"/>
      <c r="AM162" s="429"/>
      <c r="AN162" s="429"/>
      <c r="AO162" s="429"/>
      <c r="AP162" s="429"/>
      <c r="AQ162" s="429"/>
      <c r="AR162" s="429"/>
      <c r="AS162" s="429"/>
      <c r="AT162" s="429"/>
      <c r="AU162" s="429"/>
      <c r="AV162" s="429"/>
      <c r="AW162" s="429"/>
      <c r="AX162" s="429"/>
      <c r="AY162" s="429"/>
      <c r="AZ162" s="429"/>
      <c r="BA162" s="429"/>
      <c r="BB162" s="429"/>
      <c r="BC162" s="429"/>
      <c r="BD162" s="429"/>
      <c r="BE162" s="429"/>
      <c r="BF162" s="429"/>
      <c r="BG162" s="429"/>
      <c r="BH162" s="429"/>
      <c r="BI162" s="429"/>
      <c r="BJ162" s="429"/>
      <c r="BK162" s="429"/>
      <c r="BL162" s="429"/>
      <c r="BM162" s="429"/>
      <c r="BN162" s="429"/>
      <c r="BO162" s="429"/>
      <c r="BP162" s="102"/>
      <c r="BQ162" s="102">
        <v>2.258</v>
      </c>
      <c r="BR162" s="451">
        <f t="shared" si="13"/>
        <v>4.52</v>
      </c>
      <c r="BS162" s="451">
        <f t="shared" si="15"/>
        <v>35.03</v>
      </c>
      <c r="BT162" s="429" t="str">
        <f>IFERROR(VLOOKUP(E162,名称!A:D,4,FALSE),"")</f>
        <v>KIK</v>
      </c>
    </row>
    <row r="163" s="427" customFormat="1" hidden="1" customHeight="1" spans="1:72">
      <c r="A163" s="93">
        <v>46037</v>
      </c>
      <c r="B163" s="95" t="s">
        <v>237</v>
      </c>
      <c r="C163" s="96">
        <v>10119018</v>
      </c>
      <c r="D163" s="96">
        <v>202601272243</v>
      </c>
      <c r="E163" s="97" t="s">
        <v>142</v>
      </c>
      <c r="F163" s="99">
        <v>402</v>
      </c>
      <c r="G163" s="93">
        <v>46197</v>
      </c>
      <c r="H163" s="429"/>
      <c r="I163" s="429"/>
      <c r="J163" s="429"/>
      <c r="K163" s="429"/>
      <c r="L163" s="429"/>
      <c r="M163" s="429"/>
      <c r="N163" s="429"/>
      <c r="O163" s="429"/>
      <c r="P163" s="429"/>
      <c r="Q163" s="429"/>
      <c r="R163" s="429"/>
      <c r="S163" s="429"/>
      <c r="T163" s="429"/>
      <c r="U163" s="429"/>
      <c r="V163" s="429"/>
      <c r="W163" s="429"/>
      <c r="X163" s="429"/>
      <c r="Y163" s="429"/>
      <c r="Z163" s="429"/>
      <c r="AA163" s="429"/>
      <c r="AB163" s="429"/>
      <c r="AC163" s="429"/>
      <c r="AD163" s="429"/>
      <c r="AE163" s="429"/>
      <c r="AF163" s="429"/>
      <c r="AG163" s="429"/>
      <c r="AH163" s="429"/>
      <c r="AI163" s="429"/>
      <c r="AJ163" s="429"/>
      <c r="AK163" s="429"/>
      <c r="AL163" s="429"/>
      <c r="AM163" s="429"/>
      <c r="AN163" s="429"/>
      <c r="AO163" s="429"/>
      <c r="AP163" s="429"/>
      <c r="AQ163" s="429"/>
      <c r="AR163" s="429"/>
      <c r="AS163" s="429"/>
      <c r="AT163" s="429"/>
      <c r="AU163" s="429"/>
      <c r="AV163" s="429">
        <f>F163</f>
        <v>402</v>
      </c>
      <c r="AW163" s="429"/>
      <c r="AX163" s="429"/>
      <c r="AY163" s="429"/>
      <c r="AZ163" s="429"/>
      <c r="BA163" s="429"/>
      <c r="BB163" s="429"/>
      <c r="BC163" s="429"/>
      <c r="BD163" s="429"/>
      <c r="BE163" s="429"/>
      <c r="BF163" s="429"/>
      <c r="BG163" s="429"/>
      <c r="BH163" s="429"/>
      <c r="BI163" s="429"/>
      <c r="BJ163" s="429"/>
      <c r="BK163" s="429"/>
      <c r="BL163" s="429"/>
      <c r="BM163" s="429"/>
      <c r="BN163" s="429"/>
      <c r="BO163" s="429"/>
      <c r="BP163" s="102"/>
      <c r="BQ163" s="102">
        <v>3.182</v>
      </c>
      <c r="BR163" s="451">
        <f t="shared" si="13"/>
        <v>1279.16</v>
      </c>
      <c r="BS163" s="451">
        <f t="shared" si="15"/>
        <v>9913.49</v>
      </c>
      <c r="BT163" s="429" t="str">
        <f>IFERROR(VLOOKUP(E163,名称!A:D,4,FALSE),"")</f>
        <v>KIK</v>
      </c>
    </row>
    <row r="164" s="427" customFormat="1" hidden="1" customHeight="1" spans="1:72">
      <c r="A164" s="93">
        <v>46037</v>
      </c>
      <c r="B164" s="95" t="s">
        <v>237</v>
      </c>
      <c r="C164" s="96">
        <v>10119018</v>
      </c>
      <c r="D164" s="96">
        <v>202601272243</v>
      </c>
      <c r="E164" s="97" t="s">
        <v>142</v>
      </c>
      <c r="F164" s="99">
        <v>600</v>
      </c>
      <c r="G164" s="93">
        <v>46197</v>
      </c>
      <c r="H164" s="429"/>
      <c r="I164" s="429"/>
      <c r="J164" s="429"/>
      <c r="K164" s="429"/>
      <c r="L164" s="429"/>
      <c r="M164" s="429"/>
      <c r="N164" s="429"/>
      <c r="O164" s="429"/>
      <c r="P164" s="429"/>
      <c r="Q164" s="429"/>
      <c r="R164" s="429"/>
      <c r="S164" s="429"/>
      <c r="T164" s="429"/>
      <c r="U164" s="429"/>
      <c r="V164" s="429"/>
      <c r="W164" s="429"/>
      <c r="X164" s="429"/>
      <c r="Y164" s="429"/>
      <c r="Z164" s="429"/>
      <c r="AA164" s="429"/>
      <c r="AB164" s="429"/>
      <c r="AC164" s="429"/>
      <c r="AD164" s="429"/>
      <c r="AE164" s="429"/>
      <c r="AF164" s="429"/>
      <c r="AG164" s="429"/>
      <c r="AH164" s="429"/>
      <c r="AI164" s="429"/>
      <c r="AJ164" s="429"/>
      <c r="AK164" s="429"/>
      <c r="AL164" s="429"/>
      <c r="AM164" s="429"/>
      <c r="AN164" s="429"/>
      <c r="AO164" s="429"/>
      <c r="AP164" s="429"/>
      <c r="AQ164" s="429"/>
      <c r="AR164" s="429"/>
      <c r="AS164" s="429"/>
      <c r="AT164" s="429"/>
      <c r="AU164" s="429"/>
      <c r="AV164" s="429">
        <f>F164</f>
        <v>600</v>
      </c>
      <c r="AW164" s="429"/>
      <c r="AX164" s="429"/>
      <c r="AY164" s="429"/>
      <c r="AZ164" s="429"/>
      <c r="BA164" s="429"/>
      <c r="BB164" s="429"/>
      <c r="BC164" s="429"/>
      <c r="BD164" s="429"/>
      <c r="BE164" s="429"/>
      <c r="BF164" s="429"/>
      <c r="BG164" s="429"/>
      <c r="BH164" s="429"/>
      <c r="BI164" s="429"/>
      <c r="BJ164" s="429"/>
      <c r="BK164" s="429"/>
      <c r="BL164" s="429"/>
      <c r="BM164" s="429"/>
      <c r="BN164" s="429"/>
      <c r="BO164" s="429"/>
      <c r="BP164" s="102"/>
      <c r="BQ164" s="102">
        <v>3.182</v>
      </c>
      <c r="BR164" s="451">
        <f t="shared" si="13"/>
        <v>1909.2</v>
      </c>
      <c r="BS164" s="451">
        <f t="shared" si="15"/>
        <v>14796.3</v>
      </c>
      <c r="BT164" s="429" t="str">
        <f>IFERROR(VLOOKUP(E164,名称!A:D,4,FALSE),"")</f>
        <v>KIK</v>
      </c>
    </row>
    <row r="165" s="427" customFormat="1" hidden="1" customHeight="1" spans="1:72">
      <c r="A165" s="93">
        <v>46037</v>
      </c>
      <c r="B165" s="95" t="s">
        <v>237</v>
      </c>
      <c r="C165" s="96">
        <v>10119128</v>
      </c>
      <c r="D165" s="96">
        <v>202601272250</v>
      </c>
      <c r="E165" s="97" t="s">
        <v>144</v>
      </c>
      <c r="F165" s="99">
        <v>8004</v>
      </c>
      <c r="G165" s="93">
        <v>46183</v>
      </c>
      <c r="H165" s="429"/>
      <c r="I165" s="429"/>
      <c r="J165" s="429"/>
      <c r="K165" s="429"/>
      <c r="L165" s="429"/>
      <c r="M165" s="429"/>
      <c r="N165" s="429"/>
      <c r="O165" s="429"/>
      <c r="P165" s="429"/>
      <c r="Q165" s="429"/>
      <c r="R165" s="429"/>
      <c r="S165" s="429"/>
      <c r="T165" s="429"/>
      <c r="U165" s="429"/>
      <c r="V165" s="429"/>
      <c r="W165" s="429"/>
      <c r="X165" s="429"/>
      <c r="Y165" s="429"/>
      <c r="Z165" s="429"/>
      <c r="AA165" s="429"/>
      <c r="AB165" s="429"/>
      <c r="AC165" s="429"/>
      <c r="AD165" s="429"/>
      <c r="AE165" s="429"/>
      <c r="AF165" s="429"/>
      <c r="AG165" s="429"/>
      <c r="AH165" s="429"/>
      <c r="AI165" s="429"/>
      <c r="AJ165" s="429"/>
      <c r="AK165" s="429"/>
      <c r="AL165" s="429"/>
      <c r="AM165" s="429"/>
      <c r="AN165" s="429"/>
      <c r="AO165" s="429"/>
      <c r="AP165" s="429"/>
      <c r="AQ165" s="429"/>
      <c r="AR165" s="429"/>
      <c r="AS165" s="429"/>
      <c r="AT165" s="429"/>
      <c r="AU165" s="429"/>
      <c r="AV165" s="429"/>
      <c r="AW165" s="429">
        <f>F165</f>
        <v>8004</v>
      </c>
      <c r="AX165" s="429"/>
      <c r="AY165" s="429"/>
      <c r="AZ165" s="429"/>
      <c r="BA165" s="429"/>
      <c r="BB165" s="429"/>
      <c r="BC165" s="429"/>
      <c r="BD165" s="429"/>
      <c r="BE165" s="429"/>
      <c r="BF165" s="429"/>
      <c r="BG165" s="429"/>
      <c r="BH165" s="429"/>
      <c r="BI165" s="429"/>
      <c r="BJ165" s="429"/>
      <c r="BK165" s="429"/>
      <c r="BL165" s="429"/>
      <c r="BM165" s="429"/>
      <c r="BN165" s="429"/>
      <c r="BO165" s="429"/>
      <c r="BP165" s="102"/>
      <c r="BQ165" s="102">
        <v>3.959</v>
      </c>
      <c r="BR165" s="451">
        <f t="shared" si="13"/>
        <v>31687.84</v>
      </c>
      <c r="BS165" s="451">
        <f t="shared" si="15"/>
        <v>245580.76</v>
      </c>
      <c r="BT165" s="429" t="str">
        <f>IFERROR(VLOOKUP(E165,名称!A:D,4,FALSE),"")</f>
        <v>河源</v>
      </c>
    </row>
    <row r="166" s="427" customFormat="1" hidden="1" customHeight="1" spans="1:72">
      <c r="A166" s="93">
        <v>46037</v>
      </c>
      <c r="B166" s="95" t="s">
        <v>237</v>
      </c>
      <c r="C166" s="96">
        <v>10119128</v>
      </c>
      <c r="D166" s="96">
        <v>202601272250</v>
      </c>
      <c r="E166" s="97" t="s">
        <v>148</v>
      </c>
      <c r="F166" s="99">
        <v>2200</v>
      </c>
      <c r="G166" s="93">
        <v>46183</v>
      </c>
      <c r="H166" s="429"/>
      <c r="I166" s="429"/>
      <c r="J166" s="429"/>
      <c r="K166" s="429"/>
      <c r="L166" s="429"/>
      <c r="M166" s="429"/>
      <c r="N166" s="429"/>
      <c r="O166" s="429"/>
      <c r="P166" s="429"/>
      <c r="Q166" s="429"/>
      <c r="R166" s="429"/>
      <c r="S166" s="429"/>
      <c r="T166" s="429"/>
      <c r="U166" s="429"/>
      <c r="V166" s="429"/>
      <c r="W166" s="429"/>
      <c r="X166" s="429"/>
      <c r="Y166" s="429"/>
      <c r="Z166" s="429"/>
      <c r="AA166" s="429"/>
      <c r="AB166" s="429"/>
      <c r="AC166" s="429"/>
      <c r="AD166" s="429"/>
      <c r="AE166" s="429"/>
      <c r="AF166" s="429"/>
      <c r="AG166" s="429"/>
      <c r="AH166" s="429"/>
      <c r="AI166" s="429"/>
      <c r="AJ166" s="429"/>
      <c r="AK166" s="429"/>
      <c r="AL166" s="429"/>
      <c r="AM166" s="429"/>
      <c r="AN166" s="429"/>
      <c r="AO166" s="429"/>
      <c r="AP166" s="429"/>
      <c r="AQ166" s="429"/>
      <c r="AR166" s="429"/>
      <c r="AS166" s="429"/>
      <c r="AT166" s="429"/>
      <c r="AU166" s="429"/>
      <c r="AV166" s="429"/>
      <c r="AW166" s="429"/>
      <c r="AX166" s="429">
        <f>F166</f>
        <v>2200</v>
      </c>
      <c r="AY166" s="429"/>
      <c r="AZ166" s="429"/>
      <c r="BA166" s="429"/>
      <c r="BB166" s="429"/>
      <c r="BC166" s="429"/>
      <c r="BD166" s="429"/>
      <c r="BE166" s="429"/>
      <c r="BF166" s="429"/>
      <c r="BG166" s="429"/>
      <c r="BH166" s="429"/>
      <c r="BI166" s="429"/>
      <c r="BJ166" s="429"/>
      <c r="BK166" s="429"/>
      <c r="BL166" s="429"/>
      <c r="BM166" s="429"/>
      <c r="BN166" s="429"/>
      <c r="BO166" s="429"/>
      <c r="BP166" s="102"/>
      <c r="BQ166" s="102">
        <v>8.406</v>
      </c>
      <c r="BR166" s="451">
        <f t="shared" si="13"/>
        <v>18493.2</v>
      </c>
      <c r="BS166" s="451">
        <f t="shared" si="15"/>
        <v>143322.3</v>
      </c>
      <c r="BT166" s="429" t="str">
        <f>IFERROR(VLOOKUP(E166,名称!A:D,4,FALSE),"")</f>
        <v>河源</v>
      </c>
    </row>
    <row r="167" s="427" customFormat="1" hidden="1" customHeight="1" spans="1:72">
      <c r="A167" s="93">
        <v>46038</v>
      </c>
      <c r="B167" s="95" t="s">
        <v>248</v>
      </c>
      <c r="C167" s="96">
        <v>10119190</v>
      </c>
      <c r="D167" s="96">
        <v>4500032133</v>
      </c>
      <c r="E167" s="97" t="s">
        <v>62</v>
      </c>
      <c r="F167" s="99">
        <f>5000-900</f>
        <v>4100</v>
      </c>
      <c r="G167" s="93">
        <v>46127</v>
      </c>
      <c r="H167" s="429"/>
      <c r="I167" s="429"/>
      <c r="J167" s="429"/>
      <c r="K167" s="429"/>
      <c r="L167" s="429"/>
      <c r="M167" s="429"/>
      <c r="N167" s="429"/>
      <c r="O167" s="429"/>
      <c r="P167" s="429"/>
      <c r="Q167" s="429"/>
      <c r="R167" s="429"/>
      <c r="S167" s="429"/>
      <c r="T167" s="429"/>
      <c r="U167" s="429"/>
      <c r="V167" s="429">
        <f>F167</f>
        <v>4100</v>
      </c>
      <c r="W167" s="429"/>
      <c r="X167" s="429"/>
      <c r="Y167" s="429"/>
      <c r="Z167" s="429"/>
      <c r="AA167" s="429"/>
      <c r="AB167" s="429"/>
      <c r="AC167" s="429"/>
      <c r="AD167" s="429"/>
      <c r="AE167" s="429"/>
      <c r="AF167" s="429"/>
      <c r="AG167" s="429"/>
      <c r="AH167" s="429"/>
      <c r="AI167" s="429"/>
      <c r="AJ167" s="429"/>
      <c r="AK167" s="429"/>
      <c r="AL167" s="429"/>
      <c r="AM167" s="429"/>
      <c r="AN167" s="429"/>
      <c r="AO167" s="429"/>
      <c r="AP167" s="429"/>
      <c r="AQ167" s="429"/>
      <c r="AR167" s="429"/>
      <c r="AS167" s="429"/>
      <c r="AT167" s="429"/>
      <c r="AU167" s="429"/>
      <c r="AV167" s="429"/>
      <c r="AW167" s="429"/>
      <c r="AX167" s="429"/>
      <c r="AY167" s="429"/>
      <c r="AZ167" s="429"/>
      <c r="BA167" s="429"/>
      <c r="BB167" s="429"/>
      <c r="BC167" s="429"/>
      <c r="BD167" s="429"/>
      <c r="BE167" s="429"/>
      <c r="BF167" s="429"/>
      <c r="BG167" s="429"/>
      <c r="BH167" s="429"/>
      <c r="BI167" s="429"/>
      <c r="BJ167" s="429"/>
      <c r="BK167" s="429"/>
      <c r="BL167" s="429"/>
      <c r="BM167" s="429"/>
      <c r="BN167" s="429"/>
      <c r="BO167" s="429"/>
      <c r="BP167" s="102"/>
      <c r="BQ167" s="102">
        <v>3.243</v>
      </c>
      <c r="BR167" s="451">
        <f t="shared" si="13"/>
        <v>13296.3</v>
      </c>
      <c r="BS167" s="451">
        <f t="shared" si="15"/>
        <v>103046.33</v>
      </c>
      <c r="BT167" s="429" t="str">
        <f>IFERROR(VLOOKUP(E167,名称!A:D,4,FALSE),"")</f>
        <v>KIK</v>
      </c>
    </row>
    <row r="168" s="427" customFormat="1" hidden="1" customHeight="1" spans="1:72">
      <c r="A168" s="93">
        <v>46038</v>
      </c>
      <c r="B168" s="95" t="s">
        <v>248</v>
      </c>
      <c r="C168" s="96">
        <v>10119190</v>
      </c>
      <c r="D168" s="96">
        <v>4500032133</v>
      </c>
      <c r="E168" s="97" t="s">
        <v>64</v>
      </c>
      <c r="F168" s="99">
        <f>5000-3420</f>
        <v>1580</v>
      </c>
      <c r="G168" s="93">
        <v>46134</v>
      </c>
      <c r="H168" s="429"/>
      <c r="I168" s="429"/>
      <c r="J168" s="429"/>
      <c r="K168" s="429"/>
      <c r="L168" s="429"/>
      <c r="M168" s="429"/>
      <c r="N168" s="429"/>
      <c r="O168" s="429"/>
      <c r="P168" s="429"/>
      <c r="Q168" s="429"/>
      <c r="R168" s="429"/>
      <c r="S168" s="429"/>
      <c r="T168" s="429"/>
      <c r="U168" s="429"/>
      <c r="V168" s="429"/>
      <c r="W168" s="429"/>
      <c r="X168" s="429"/>
      <c r="Y168" s="429"/>
      <c r="Z168" s="429"/>
      <c r="AA168" s="429"/>
      <c r="AB168" s="429">
        <f>F168</f>
        <v>1580</v>
      </c>
      <c r="AC168" s="429"/>
      <c r="AD168" s="429"/>
      <c r="AE168" s="429"/>
      <c r="AF168" s="429"/>
      <c r="AG168" s="429"/>
      <c r="AH168" s="429"/>
      <c r="AI168" s="429"/>
      <c r="AJ168" s="429"/>
      <c r="AK168" s="429"/>
      <c r="AL168" s="429"/>
      <c r="AM168" s="429"/>
      <c r="AN168" s="429"/>
      <c r="AO168" s="429"/>
      <c r="AP168" s="429"/>
      <c r="AQ168" s="429"/>
      <c r="AR168" s="429"/>
      <c r="AS168" s="429"/>
      <c r="AT168" s="429"/>
      <c r="AU168" s="429"/>
      <c r="AV168" s="429"/>
      <c r="AW168" s="429"/>
      <c r="AX168" s="429"/>
      <c r="AY168" s="429"/>
      <c r="AZ168" s="429"/>
      <c r="BA168" s="429"/>
      <c r="BB168" s="429"/>
      <c r="BC168" s="429"/>
      <c r="BD168" s="429"/>
      <c r="BE168" s="429"/>
      <c r="BF168" s="429"/>
      <c r="BG168" s="429"/>
      <c r="BH168" s="429"/>
      <c r="BI168" s="429"/>
      <c r="BJ168" s="429"/>
      <c r="BK168" s="429"/>
      <c r="BL168" s="429"/>
      <c r="BM168" s="429"/>
      <c r="BN168" s="429"/>
      <c r="BO168" s="429"/>
      <c r="BP168" s="102"/>
      <c r="BQ168" s="102">
        <v>2.364</v>
      </c>
      <c r="BR168" s="451">
        <f t="shared" si="13"/>
        <v>3735.12</v>
      </c>
      <c r="BS168" s="451">
        <f t="shared" si="15"/>
        <v>28947.18</v>
      </c>
      <c r="BT168" s="429" t="str">
        <f>IFERROR(VLOOKUP(E168,名称!A:D,4,FALSE),"")</f>
        <v>KIK</v>
      </c>
    </row>
    <row r="169" s="427" customFormat="1" hidden="1" customHeight="1" spans="1:72">
      <c r="A169" s="93">
        <v>46038</v>
      </c>
      <c r="B169" s="95" t="s">
        <v>248</v>
      </c>
      <c r="C169" s="96">
        <v>10119190</v>
      </c>
      <c r="D169" s="96">
        <v>4500032133</v>
      </c>
      <c r="E169" s="97" t="s">
        <v>64</v>
      </c>
      <c r="F169" s="99">
        <v>3420</v>
      </c>
      <c r="G169" s="93">
        <v>46127</v>
      </c>
      <c r="H169" s="429"/>
      <c r="I169" s="429"/>
      <c r="J169" s="429"/>
      <c r="K169" s="429"/>
      <c r="L169" s="429"/>
      <c r="M169" s="429"/>
      <c r="N169" s="429"/>
      <c r="O169" s="429"/>
      <c r="P169" s="429"/>
      <c r="Q169" s="429"/>
      <c r="R169" s="429"/>
      <c r="S169" s="429"/>
      <c r="T169" s="429"/>
      <c r="U169" s="429"/>
      <c r="V169" s="429"/>
      <c r="W169" s="429"/>
      <c r="X169" s="429"/>
      <c r="Y169" s="429"/>
      <c r="Z169" s="429"/>
      <c r="AA169" s="429"/>
      <c r="AB169" s="429">
        <f>F169</f>
        <v>3420</v>
      </c>
      <c r="AC169" s="429"/>
      <c r="AD169" s="429"/>
      <c r="AE169" s="429"/>
      <c r="AF169" s="429"/>
      <c r="AG169" s="429"/>
      <c r="AH169" s="429"/>
      <c r="AI169" s="429"/>
      <c r="AJ169" s="429"/>
      <c r="AK169" s="429"/>
      <c r="AL169" s="429"/>
      <c r="AM169" s="429"/>
      <c r="AN169" s="429"/>
      <c r="AO169" s="429"/>
      <c r="AP169" s="429"/>
      <c r="AQ169" s="429"/>
      <c r="AR169" s="429"/>
      <c r="AS169" s="429"/>
      <c r="AT169" s="429"/>
      <c r="AU169" s="429"/>
      <c r="AV169" s="429"/>
      <c r="AW169" s="429"/>
      <c r="AX169" s="429"/>
      <c r="AY169" s="429"/>
      <c r="AZ169" s="429"/>
      <c r="BA169" s="429"/>
      <c r="BB169" s="429"/>
      <c r="BC169" s="429"/>
      <c r="BD169" s="429"/>
      <c r="BE169" s="429"/>
      <c r="BF169" s="429"/>
      <c r="BG169" s="429"/>
      <c r="BH169" s="429"/>
      <c r="BI169" s="429"/>
      <c r="BJ169" s="429"/>
      <c r="BK169" s="429"/>
      <c r="BL169" s="429"/>
      <c r="BM169" s="429"/>
      <c r="BN169" s="429"/>
      <c r="BO169" s="429"/>
      <c r="BP169" s="102"/>
      <c r="BQ169" s="102">
        <v>2.364</v>
      </c>
      <c r="BR169" s="451">
        <f t="shared" si="13"/>
        <v>8084.88</v>
      </c>
      <c r="BS169" s="451">
        <f t="shared" si="15"/>
        <v>62657.82</v>
      </c>
      <c r="BT169" s="429" t="str">
        <f>IFERROR(VLOOKUP(E169,名称!A:D,4,FALSE),"")</f>
        <v>KIK</v>
      </c>
    </row>
    <row r="170" s="427" customFormat="1" hidden="1" customHeight="1" spans="1:72">
      <c r="A170" s="93">
        <v>46039</v>
      </c>
      <c r="B170" s="95" t="s">
        <v>248</v>
      </c>
      <c r="C170" s="96">
        <v>10119222</v>
      </c>
      <c r="D170" s="96">
        <v>4500032139</v>
      </c>
      <c r="E170" s="97" t="s">
        <v>95</v>
      </c>
      <c r="F170" s="99">
        <f>5000-480</f>
        <v>4520</v>
      </c>
      <c r="G170" s="93">
        <v>46134</v>
      </c>
      <c r="H170" s="429"/>
      <c r="I170" s="429"/>
      <c r="J170" s="429"/>
      <c r="K170" s="429"/>
      <c r="L170" s="429"/>
      <c r="M170" s="429"/>
      <c r="N170" s="429"/>
      <c r="O170" s="429"/>
      <c r="P170" s="429"/>
      <c r="Q170" s="429"/>
      <c r="R170" s="429"/>
      <c r="S170" s="429"/>
      <c r="T170" s="429"/>
      <c r="U170" s="429"/>
      <c r="V170" s="429"/>
      <c r="W170" s="429"/>
      <c r="X170" s="429"/>
      <c r="Y170" s="429"/>
      <c r="Z170" s="429"/>
      <c r="AA170" s="429"/>
      <c r="AB170" s="429"/>
      <c r="AC170" s="429"/>
      <c r="AD170" s="429"/>
      <c r="AE170" s="429"/>
      <c r="AF170" s="429"/>
      <c r="AG170" s="429"/>
      <c r="AH170" s="429">
        <f>F170</f>
        <v>4520</v>
      </c>
      <c r="AI170" s="429"/>
      <c r="AJ170" s="429"/>
      <c r="AK170" s="429"/>
      <c r="AL170" s="429"/>
      <c r="AM170" s="429"/>
      <c r="AN170" s="429"/>
      <c r="AO170" s="429"/>
      <c r="AP170" s="429"/>
      <c r="AQ170" s="429"/>
      <c r="AR170" s="429"/>
      <c r="AS170" s="429"/>
      <c r="AT170" s="429"/>
      <c r="AU170" s="429"/>
      <c r="AV170" s="429"/>
      <c r="AW170" s="429"/>
      <c r="AX170" s="429"/>
      <c r="AY170" s="429"/>
      <c r="AZ170" s="429"/>
      <c r="BA170" s="429"/>
      <c r="BB170" s="429"/>
      <c r="BC170" s="429"/>
      <c r="BD170" s="429"/>
      <c r="BE170" s="429"/>
      <c r="BF170" s="429"/>
      <c r="BG170" s="429"/>
      <c r="BH170" s="429"/>
      <c r="BI170" s="429"/>
      <c r="BJ170" s="429"/>
      <c r="BK170" s="429"/>
      <c r="BL170" s="429"/>
      <c r="BM170" s="429"/>
      <c r="BN170" s="429"/>
      <c r="BO170" s="429"/>
      <c r="BP170" s="102"/>
      <c r="BQ170" s="102">
        <v>2.25</v>
      </c>
      <c r="BR170" s="451">
        <f t="shared" si="13"/>
        <v>10170</v>
      </c>
      <c r="BS170" s="451">
        <f t="shared" si="15"/>
        <v>78817.5</v>
      </c>
      <c r="BT170" s="429" t="str">
        <f>IFERROR(VLOOKUP(E170,名称!A:D,4,FALSE),"")</f>
        <v>KIK</v>
      </c>
    </row>
    <row r="171" s="428" customFormat="1" hidden="1" customHeight="1" spans="1:72">
      <c r="A171" s="453">
        <v>46041</v>
      </c>
      <c r="B171" s="454" t="s">
        <v>242</v>
      </c>
      <c r="C171" s="456" t="s">
        <v>241</v>
      </c>
      <c r="D171" s="456"/>
      <c r="E171" s="455" t="s">
        <v>132</v>
      </c>
      <c r="F171" s="457">
        <v>0</v>
      </c>
      <c r="G171" s="453">
        <v>46216</v>
      </c>
      <c r="H171" s="459"/>
      <c r="I171" s="459"/>
      <c r="J171" s="459"/>
      <c r="K171" s="459"/>
      <c r="L171" s="459"/>
      <c r="M171" s="459"/>
      <c r="N171" s="459"/>
      <c r="O171" s="459"/>
      <c r="P171" s="459"/>
      <c r="Q171" s="459"/>
      <c r="R171" s="459"/>
      <c r="S171" s="459"/>
      <c r="T171" s="459"/>
      <c r="U171" s="459"/>
      <c r="V171" s="459"/>
      <c r="W171" s="459"/>
      <c r="X171" s="459"/>
      <c r="Y171" s="459"/>
      <c r="Z171" s="459"/>
      <c r="AA171" s="459"/>
      <c r="AB171" s="459"/>
      <c r="AC171" s="459"/>
      <c r="AD171" s="459"/>
      <c r="AE171" s="459"/>
      <c r="AF171" s="459">
        <f>F171</f>
        <v>0</v>
      </c>
      <c r="AG171" s="459"/>
      <c r="AH171" s="459"/>
      <c r="AI171" s="459"/>
      <c r="AJ171" s="459"/>
      <c r="AK171" s="459"/>
      <c r="AL171" s="459"/>
      <c r="AM171" s="459"/>
      <c r="AN171" s="459"/>
      <c r="AO171" s="459"/>
      <c r="AP171" s="459"/>
      <c r="AQ171" s="459"/>
      <c r="AR171" s="459"/>
      <c r="AS171" s="459"/>
      <c r="AT171" s="459"/>
      <c r="AU171" s="459"/>
      <c r="AV171" s="459"/>
      <c r="AW171" s="459"/>
      <c r="AX171" s="459"/>
      <c r="AY171" s="459"/>
      <c r="AZ171" s="459"/>
      <c r="BA171" s="459"/>
      <c r="BB171" s="459"/>
      <c r="BC171" s="459"/>
      <c r="BD171" s="459"/>
      <c r="BE171" s="459"/>
      <c r="BF171" s="459"/>
      <c r="BG171" s="459"/>
      <c r="BH171" s="459"/>
      <c r="BI171" s="459"/>
      <c r="BJ171" s="459"/>
      <c r="BK171" s="459"/>
      <c r="BL171" s="459"/>
      <c r="BM171" s="459"/>
      <c r="BN171" s="459"/>
      <c r="BO171" s="459"/>
      <c r="BP171" s="460"/>
      <c r="BQ171" s="460">
        <v>0</v>
      </c>
      <c r="BR171" s="461">
        <f t="shared" si="13"/>
        <v>0</v>
      </c>
      <c r="BS171" s="461">
        <f t="shared" si="15"/>
        <v>0</v>
      </c>
      <c r="BT171" s="459" t="str">
        <f>IFERROR(VLOOKUP(E171,名称!A:D,4,FALSE),"")</f>
        <v>KIK</v>
      </c>
    </row>
    <row r="172" s="425" customFormat="1" hidden="1" customHeight="1" spans="1:72">
      <c r="A172" s="108">
        <v>46041</v>
      </c>
      <c r="B172" s="109" t="s">
        <v>251</v>
      </c>
      <c r="C172" s="110" t="s">
        <v>241</v>
      </c>
      <c r="D172" s="110"/>
      <c r="E172" s="30" t="s">
        <v>91</v>
      </c>
      <c r="F172" s="353">
        <v>22744</v>
      </c>
      <c r="G172" s="108">
        <v>46216</v>
      </c>
      <c r="H172" s="443"/>
      <c r="I172" s="443"/>
      <c r="J172" s="443"/>
      <c r="K172" s="443"/>
      <c r="L172" s="443"/>
      <c r="M172" s="443"/>
      <c r="N172" s="443"/>
      <c r="O172" s="443"/>
      <c r="P172" s="443"/>
      <c r="Q172" s="443"/>
      <c r="R172" s="443"/>
      <c r="S172" s="443"/>
      <c r="T172" s="443"/>
      <c r="U172" s="443"/>
      <c r="V172" s="443"/>
      <c r="W172" s="443"/>
      <c r="X172" s="443"/>
      <c r="Y172" s="443"/>
      <c r="Z172" s="443"/>
      <c r="AA172" s="443"/>
      <c r="AB172" s="443"/>
      <c r="AC172" s="443"/>
      <c r="AD172" s="443"/>
      <c r="AE172" s="443"/>
      <c r="AF172" s="443">
        <f>F172</f>
        <v>22744</v>
      </c>
      <c r="AG172" s="443"/>
      <c r="AH172" s="443"/>
      <c r="AI172" s="443"/>
      <c r="AJ172" s="443"/>
      <c r="AK172" s="443"/>
      <c r="AL172" s="443"/>
      <c r="AM172" s="443"/>
      <c r="AN172" s="443"/>
      <c r="AO172" s="443"/>
      <c r="AP172" s="443"/>
      <c r="AQ172" s="443"/>
      <c r="AR172" s="443"/>
      <c r="AS172" s="443"/>
      <c r="AT172" s="443"/>
      <c r="AU172" s="443"/>
      <c r="AV172" s="443"/>
      <c r="AW172" s="443"/>
      <c r="AX172" s="443"/>
      <c r="AY172" s="443"/>
      <c r="AZ172" s="443"/>
      <c r="BA172" s="443"/>
      <c r="BB172" s="443"/>
      <c r="BC172" s="443"/>
      <c r="BD172" s="443"/>
      <c r="BE172" s="443"/>
      <c r="BF172" s="443"/>
      <c r="BG172" s="443"/>
      <c r="BH172" s="443"/>
      <c r="BI172" s="443"/>
      <c r="BJ172" s="443"/>
      <c r="BK172" s="443"/>
      <c r="BL172" s="443"/>
      <c r="BM172" s="443"/>
      <c r="BN172" s="443"/>
      <c r="BO172" s="443"/>
      <c r="BP172" s="111"/>
      <c r="BQ172" s="111">
        <v>0</v>
      </c>
      <c r="BR172" s="462">
        <f t="shared" si="13"/>
        <v>0</v>
      </c>
      <c r="BS172" s="447">
        <f t="shared" si="15"/>
        <v>0</v>
      </c>
      <c r="BT172" s="443" t="str">
        <f>IFERROR(VLOOKUP(E172,名称!A:D,4,FALSE),"")</f>
        <v>KIK</v>
      </c>
    </row>
    <row r="173" s="427" customFormat="1" hidden="1" customHeight="1" spans="1:72">
      <c r="A173" s="93">
        <v>46044</v>
      </c>
      <c r="B173" s="95" t="s">
        <v>236</v>
      </c>
      <c r="C173" s="96">
        <v>10119563</v>
      </c>
      <c r="D173" s="96">
        <v>20218876</v>
      </c>
      <c r="E173" s="97" t="s">
        <v>62</v>
      </c>
      <c r="F173" s="99">
        <v>1900</v>
      </c>
      <c r="G173" s="93">
        <v>46134</v>
      </c>
      <c r="H173" s="429"/>
      <c r="I173" s="429"/>
      <c r="J173" s="429"/>
      <c r="K173" s="429"/>
      <c r="L173" s="429"/>
      <c r="M173" s="429"/>
      <c r="N173" s="429"/>
      <c r="O173" s="429"/>
      <c r="P173" s="429"/>
      <c r="Q173" s="429"/>
      <c r="R173" s="429"/>
      <c r="S173" s="429"/>
      <c r="T173" s="429"/>
      <c r="U173" s="429"/>
      <c r="V173" s="429">
        <f>F173</f>
        <v>1900</v>
      </c>
      <c r="W173" s="429"/>
      <c r="X173" s="429"/>
      <c r="Y173" s="429"/>
      <c r="Z173" s="429"/>
      <c r="AA173" s="429"/>
      <c r="AB173" s="429"/>
      <c r="AC173" s="429"/>
      <c r="AD173" s="429"/>
      <c r="AE173" s="429"/>
      <c r="AF173" s="429"/>
      <c r="AG173" s="429"/>
      <c r="AH173" s="429"/>
      <c r="AI173" s="429"/>
      <c r="AJ173" s="429"/>
      <c r="AK173" s="429"/>
      <c r="AL173" s="429"/>
      <c r="AM173" s="429"/>
      <c r="AN173" s="429"/>
      <c r="AO173" s="429"/>
      <c r="AP173" s="429"/>
      <c r="AQ173" s="429"/>
      <c r="AR173" s="429"/>
      <c r="AS173" s="429"/>
      <c r="AT173" s="429"/>
      <c r="AU173" s="429"/>
      <c r="AV173" s="429"/>
      <c r="AW173" s="429"/>
      <c r="AX173" s="429"/>
      <c r="AY173" s="429"/>
      <c r="AZ173" s="429"/>
      <c r="BA173" s="429"/>
      <c r="BB173" s="429"/>
      <c r="BC173" s="429"/>
      <c r="BD173" s="429"/>
      <c r="BE173" s="429"/>
      <c r="BF173" s="429"/>
      <c r="BG173" s="429"/>
      <c r="BH173" s="429"/>
      <c r="BI173" s="429"/>
      <c r="BJ173" s="429"/>
      <c r="BK173" s="429"/>
      <c r="BL173" s="429"/>
      <c r="BM173" s="429"/>
      <c r="BN173" s="429"/>
      <c r="BO173" s="429"/>
      <c r="BP173" s="102"/>
      <c r="BQ173" s="102">
        <v>3.243</v>
      </c>
      <c r="BR173" s="451">
        <f t="shared" si="13"/>
        <v>6161.7</v>
      </c>
      <c r="BS173" s="451">
        <f t="shared" si="15"/>
        <v>47753.18</v>
      </c>
      <c r="BT173" s="429" t="str">
        <f>IFERROR(VLOOKUP(E173,名称!A:D,4,FALSE),"")</f>
        <v>KIK</v>
      </c>
    </row>
    <row r="174" s="427" customFormat="1" hidden="1" customHeight="1" spans="1:72">
      <c r="A174" s="93">
        <v>46044</v>
      </c>
      <c r="B174" s="95" t="s">
        <v>236</v>
      </c>
      <c r="C174" s="96">
        <v>10119563</v>
      </c>
      <c r="D174" s="96">
        <v>20218876</v>
      </c>
      <c r="E174" s="97" t="s">
        <v>62</v>
      </c>
      <c r="F174" s="99">
        <v>1100</v>
      </c>
      <c r="G174" s="93">
        <v>46204</v>
      </c>
      <c r="H174" s="429"/>
      <c r="I174" s="429"/>
      <c r="J174" s="429"/>
      <c r="K174" s="429"/>
      <c r="L174" s="429"/>
      <c r="M174" s="429"/>
      <c r="N174" s="429"/>
      <c r="O174" s="429"/>
      <c r="P174" s="429"/>
      <c r="Q174" s="429"/>
      <c r="R174" s="429"/>
      <c r="S174" s="429"/>
      <c r="T174" s="429"/>
      <c r="U174" s="429"/>
      <c r="V174" s="429">
        <f>F174</f>
        <v>1100</v>
      </c>
      <c r="W174" s="429"/>
      <c r="X174" s="429"/>
      <c r="Y174" s="429"/>
      <c r="Z174" s="429"/>
      <c r="AA174" s="429"/>
      <c r="AB174" s="429"/>
      <c r="AC174" s="429"/>
      <c r="AD174" s="429"/>
      <c r="AE174" s="429"/>
      <c r="AF174" s="429"/>
      <c r="AG174" s="429"/>
      <c r="AH174" s="429"/>
      <c r="AI174" s="429"/>
      <c r="AJ174" s="429"/>
      <c r="AK174" s="429"/>
      <c r="AL174" s="429"/>
      <c r="AM174" s="429"/>
      <c r="AN174" s="429"/>
      <c r="AO174" s="429"/>
      <c r="AP174" s="429"/>
      <c r="AQ174" s="429"/>
      <c r="AR174" s="429"/>
      <c r="AS174" s="429"/>
      <c r="AT174" s="429"/>
      <c r="AU174" s="429"/>
      <c r="AV174" s="429"/>
      <c r="AW174" s="429"/>
      <c r="AX174" s="429"/>
      <c r="AY174" s="429"/>
      <c r="AZ174" s="429"/>
      <c r="BA174" s="429"/>
      <c r="BB174" s="429"/>
      <c r="BC174" s="429"/>
      <c r="BD174" s="429"/>
      <c r="BE174" s="429"/>
      <c r="BF174" s="429"/>
      <c r="BG174" s="429"/>
      <c r="BH174" s="429"/>
      <c r="BI174" s="429"/>
      <c r="BJ174" s="429"/>
      <c r="BK174" s="429"/>
      <c r="BL174" s="429"/>
      <c r="BM174" s="429"/>
      <c r="BN174" s="429"/>
      <c r="BO174" s="429"/>
      <c r="BP174" s="102"/>
      <c r="BQ174" s="102">
        <v>3.243</v>
      </c>
      <c r="BR174" s="451">
        <f t="shared" si="13"/>
        <v>3567.3</v>
      </c>
      <c r="BS174" s="451">
        <f t="shared" ref="BS174:BS176" si="16">BR174*7.75</f>
        <v>27646.58</v>
      </c>
      <c r="BT174" s="429" t="str">
        <f>IFERROR(VLOOKUP(E174,名称!A:D,4,FALSE),"")</f>
        <v>KIK</v>
      </c>
    </row>
    <row r="175" s="425" customFormat="1" hidden="1" customHeight="1" spans="1:72">
      <c r="A175" s="108">
        <v>46044</v>
      </c>
      <c r="B175" s="109" t="s">
        <v>248</v>
      </c>
      <c r="C175" s="110">
        <v>10119539</v>
      </c>
      <c r="D175" s="110">
        <v>4500032198</v>
      </c>
      <c r="E175" s="30" t="s">
        <v>144</v>
      </c>
      <c r="F175" s="31">
        <v>11514</v>
      </c>
      <c r="G175" s="108">
        <v>46190</v>
      </c>
      <c r="H175" s="443"/>
      <c r="I175" s="443"/>
      <c r="J175" s="443"/>
      <c r="K175" s="443"/>
      <c r="L175" s="443"/>
      <c r="M175" s="443"/>
      <c r="N175" s="443"/>
      <c r="O175" s="443"/>
      <c r="P175" s="443"/>
      <c r="Q175" s="443"/>
      <c r="R175" s="443"/>
      <c r="S175" s="443"/>
      <c r="T175" s="443"/>
      <c r="U175" s="443"/>
      <c r="V175" s="443"/>
      <c r="W175" s="443"/>
      <c r="X175" s="443"/>
      <c r="Y175" s="443"/>
      <c r="Z175" s="443"/>
      <c r="AA175" s="443"/>
      <c r="AB175" s="443"/>
      <c r="AC175" s="443"/>
      <c r="AD175" s="443"/>
      <c r="AE175" s="443"/>
      <c r="AF175" s="443"/>
      <c r="AG175" s="443"/>
      <c r="AH175" s="443"/>
      <c r="AI175" s="443"/>
      <c r="AJ175" s="443"/>
      <c r="AK175" s="443"/>
      <c r="AL175" s="443"/>
      <c r="AM175" s="443"/>
      <c r="AN175" s="443"/>
      <c r="AO175" s="443"/>
      <c r="AP175" s="443"/>
      <c r="AQ175" s="443"/>
      <c r="AR175" s="443"/>
      <c r="AS175" s="443"/>
      <c r="AT175" s="443"/>
      <c r="AU175" s="443"/>
      <c r="AV175" s="443"/>
      <c r="AW175" s="443">
        <f>F175</f>
        <v>11514</v>
      </c>
      <c r="AX175" s="443"/>
      <c r="AY175" s="443"/>
      <c r="AZ175" s="443"/>
      <c r="BA175" s="443"/>
      <c r="BB175" s="443"/>
      <c r="BC175" s="443"/>
      <c r="BD175" s="443"/>
      <c r="BE175" s="443"/>
      <c r="BF175" s="443"/>
      <c r="BG175" s="443"/>
      <c r="BH175" s="443"/>
      <c r="BI175" s="443"/>
      <c r="BJ175" s="443"/>
      <c r="BK175" s="443"/>
      <c r="BL175" s="443"/>
      <c r="BM175" s="443"/>
      <c r="BN175" s="443"/>
      <c r="BO175" s="443"/>
      <c r="BP175" s="92"/>
      <c r="BQ175" s="92">
        <v>3.959</v>
      </c>
      <c r="BR175" s="462">
        <f t="shared" si="13"/>
        <v>45583.93</v>
      </c>
      <c r="BS175" s="447">
        <f t="shared" si="16"/>
        <v>353275.46</v>
      </c>
      <c r="BT175" s="443" t="str">
        <f>IFERROR(VLOOKUP(E175,名称!A:D,4,FALSE),"")</f>
        <v>河源</v>
      </c>
    </row>
    <row r="176" s="427" customFormat="1" hidden="1" customHeight="1" spans="1:72">
      <c r="A176" s="93">
        <v>46044</v>
      </c>
      <c r="B176" s="95" t="s">
        <v>248</v>
      </c>
      <c r="C176" s="96">
        <v>10119539</v>
      </c>
      <c r="D176" s="96">
        <v>4500032198</v>
      </c>
      <c r="E176" s="97" t="s">
        <v>144</v>
      </c>
      <c r="F176" s="99">
        <v>4482</v>
      </c>
      <c r="G176" s="93">
        <v>46204</v>
      </c>
      <c r="H176" s="429"/>
      <c r="I176" s="429"/>
      <c r="J176" s="429"/>
      <c r="K176" s="429"/>
      <c r="L176" s="429"/>
      <c r="M176" s="429"/>
      <c r="N176" s="429"/>
      <c r="O176" s="429"/>
      <c r="P176" s="429"/>
      <c r="Q176" s="429"/>
      <c r="R176" s="429"/>
      <c r="S176" s="429"/>
      <c r="T176" s="429"/>
      <c r="U176" s="429"/>
      <c r="V176" s="429"/>
      <c r="W176" s="429"/>
      <c r="X176" s="429"/>
      <c r="Y176" s="429"/>
      <c r="Z176" s="429"/>
      <c r="AA176" s="429"/>
      <c r="AB176" s="429"/>
      <c r="AC176" s="429"/>
      <c r="AD176" s="429"/>
      <c r="AE176" s="429"/>
      <c r="AF176" s="429"/>
      <c r="AG176" s="429"/>
      <c r="AH176" s="429"/>
      <c r="AI176" s="429"/>
      <c r="AJ176" s="429"/>
      <c r="AK176" s="429"/>
      <c r="AL176" s="429"/>
      <c r="AM176" s="429"/>
      <c r="AN176" s="429"/>
      <c r="AO176" s="429"/>
      <c r="AP176" s="429"/>
      <c r="AQ176" s="429"/>
      <c r="AR176" s="429"/>
      <c r="AS176" s="429"/>
      <c r="AT176" s="429"/>
      <c r="AU176" s="429"/>
      <c r="AV176" s="429"/>
      <c r="AW176" s="429">
        <f>F176</f>
        <v>4482</v>
      </c>
      <c r="AX176" s="429"/>
      <c r="AY176" s="429"/>
      <c r="AZ176" s="429"/>
      <c r="BA176" s="429"/>
      <c r="BB176" s="429"/>
      <c r="BC176" s="429"/>
      <c r="BD176" s="429"/>
      <c r="BE176" s="429"/>
      <c r="BF176" s="429"/>
      <c r="BG176" s="429"/>
      <c r="BH176" s="429"/>
      <c r="BI176" s="429"/>
      <c r="BJ176" s="429"/>
      <c r="BK176" s="429"/>
      <c r="BL176" s="429"/>
      <c r="BM176" s="429"/>
      <c r="BN176" s="429"/>
      <c r="BO176" s="429"/>
      <c r="BP176" s="102"/>
      <c r="BQ176" s="102">
        <v>3.959</v>
      </c>
      <c r="BR176" s="451">
        <f t="shared" si="13"/>
        <v>17744.24</v>
      </c>
      <c r="BS176" s="451">
        <f t="shared" si="16"/>
        <v>137517.86</v>
      </c>
      <c r="BT176" s="429" t="str">
        <f>IFERROR(VLOOKUP(E176,名称!A:D,4,FALSE),"")</f>
        <v>河源</v>
      </c>
    </row>
    <row r="177" s="427" customFormat="1" hidden="1" customHeight="1" spans="1:72">
      <c r="A177" s="93">
        <v>46044</v>
      </c>
      <c r="B177" s="95" t="s">
        <v>248</v>
      </c>
      <c r="C177" s="96">
        <v>10119539</v>
      </c>
      <c r="D177" s="96">
        <v>4500032198</v>
      </c>
      <c r="E177" s="97" t="s">
        <v>148</v>
      </c>
      <c r="F177" s="99">
        <v>2000</v>
      </c>
      <c r="G177" s="93">
        <v>46176</v>
      </c>
      <c r="H177" s="429"/>
      <c r="I177" s="429"/>
      <c r="J177" s="429"/>
      <c r="K177" s="429"/>
      <c r="L177" s="429"/>
      <c r="M177" s="429"/>
      <c r="N177" s="429"/>
      <c r="O177" s="429"/>
      <c r="P177" s="429"/>
      <c r="Q177" s="429"/>
      <c r="R177" s="429"/>
      <c r="S177" s="429"/>
      <c r="T177" s="429"/>
      <c r="U177" s="429"/>
      <c r="V177" s="429"/>
      <c r="W177" s="429"/>
      <c r="X177" s="429"/>
      <c r="Y177" s="429"/>
      <c r="Z177" s="429"/>
      <c r="AA177" s="429"/>
      <c r="AB177" s="429"/>
      <c r="AC177" s="429"/>
      <c r="AD177" s="429"/>
      <c r="AE177" s="429"/>
      <c r="AF177" s="429"/>
      <c r="AG177" s="429"/>
      <c r="AH177" s="429"/>
      <c r="AI177" s="429"/>
      <c r="AJ177" s="429"/>
      <c r="AK177" s="429"/>
      <c r="AL177" s="429"/>
      <c r="AM177" s="429"/>
      <c r="AN177" s="429"/>
      <c r="AO177" s="429"/>
      <c r="AP177" s="429"/>
      <c r="AQ177" s="429"/>
      <c r="AR177" s="429"/>
      <c r="AS177" s="429"/>
      <c r="AT177" s="429"/>
      <c r="AU177" s="429"/>
      <c r="AV177" s="429"/>
      <c r="AW177" s="429"/>
      <c r="AX177" s="429">
        <f>F177</f>
        <v>2000</v>
      </c>
      <c r="AY177" s="429"/>
      <c r="AZ177" s="429"/>
      <c r="BA177" s="429"/>
      <c r="BB177" s="429"/>
      <c r="BC177" s="429"/>
      <c r="BD177" s="429"/>
      <c r="BE177" s="429"/>
      <c r="BF177" s="429"/>
      <c r="BG177" s="429"/>
      <c r="BH177" s="429"/>
      <c r="BI177" s="429"/>
      <c r="BJ177" s="429"/>
      <c r="BK177" s="429"/>
      <c r="BL177" s="429"/>
      <c r="BM177" s="429"/>
      <c r="BN177" s="429"/>
      <c r="BO177" s="429"/>
      <c r="BP177" s="102"/>
      <c r="BQ177" s="102">
        <v>8.406</v>
      </c>
      <c r="BR177" s="451">
        <f t="shared" si="13"/>
        <v>16812</v>
      </c>
      <c r="BS177" s="451">
        <f t="shared" ref="BS177:BS199" si="17">BR177*7.75</f>
        <v>130293</v>
      </c>
      <c r="BT177" s="429" t="str">
        <f>IFERROR(VLOOKUP(E177,名称!A:D,4,FALSE),"")</f>
        <v>河源</v>
      </c>
    </row>
    <row r="178" s="427" customFormat="1" hidden="1" customHeight="1" spans="1:72">
      <c r="A178" s="93">
        <v>46044</v>
      </c>
      <c r="B178" s="95" t="s">
        <v>248</v>
      </c>
      <c r="C178" s="96">
        <v>10119539</v>
      </c>
      <c r="D178" s="96">
        <v>4500032198</v>
      </c>
      <c r="E178" s="97" t="s">
        <v>144</v>
      </c>
      <c r="F178" s="99">
        <v>3504</v>
      </c>
      <c r="G178" s="93">
        <v>46218</v>
      </c>
      <c r="H178" s="429"/>
      <c r="I178" s="429"/>
      <c r="J178" s="429"/>
      <c r="K178" s="429"/>
      <c r="L178" s="429"/>
      <c r="M178" s="429"/>
      <c r="N178" s="429"/>
      <c r="O178" s="429"/>
      <c r="P178" s="429"/>
      <c r="Q178" s="429"/>
      <c r="R178" s="429"/>
      <c r="S178" s="429"/>
      <c r="T178" s="429"/>
      <c r="U178" s="429"/>
      <c r="V178" s="429"/>
      <c r="W178" s="429"/>
      <c r="X178" s="429"/>
      <c r="Y178" s="429"/>
      <c r="Z178" s="429"/>
      <c r="AA178" s="429"/>
      <c r="AB178" s="429"/>
      <c r="AC178" s="429"/>
      <c r="AD178" s="429"/>
      <c r="AE178" s="429"/>
      <c r="AF178" s="429"/>
      <c r="AG178" s="429"/>
      <c r="AH178" s="429"/>
      <c r="AI178" s="429"/>
      <c r="AJ178" s="429"/>
      <c r="AK178" s="429"/>
      <c r="AL178" s="429"/>
      <c r="AM178" s="429"/>
      <c r="AN178" s="429"/>
      <c r="AO178" s="429"/>
      <c r="AP178" s="429"/>
      <c r="AQ178" s="429"/>
      <c r="AR178" s="429"/>
      <c r="AS178" s="429"/>
      <c r="AT178" s="429"/>
      <c r="AU178" s="429"/>
      <c r="AV178" s="429"/>
      <c r="AW178" s="429">
        <f>F178</f>
        <v>3504</v>
      </c>
      <c r="AX178" s="429"/>
      <c r="AY178" s="429"/>
      <c r="AZ178" s="429"/>
      <c r="BA178" s="429"/>
      <c r="BB178" s="429"/>
      <c r="BC178" s="429"/>
      <c r="BD178" s="429"/>
      <c r="BE178" s="429"/>
      <c r="BF178" s="429"/>
      <c r="BG178" s="429"/>
      <c r="BH178" s="429"/>
      <c r="BI178" s="429"/>
      <c r="BJ178" s="429"/>
      <c r="BK178" s="429"/>
      <c r="BL178" s="429"/>
      <c r="BM178" s="429"/>
      <c r="BN178" s="429"/>
      <c r="BO178" s="429"/>
      <c r="BP178" s="102"/>
      <c r="BQ178" s="102">
        <v>3.959</v>
      </c>
      <c r="BR178" s="451">
        <f t="shared" si="13"/>
        <v>13872.34</v>
      </c>
      <c r="BS178" s="451">
        <f t="shared" si="17"/>
        <v>107510.64</v>
      </c>
      <c r="BT178" s="429" t="str">
        <f>IFERROR(VLOOKUP(E178,名称!A:D,4,FALSE),"")</f>
        <v>河源</v>
      </c>
    </row>
    <row r="179" s="427" customFormat="1" hidden="1" customHeight="1" spans="1:72">
      <c r="A179" s="93">
        <v>46044</v>
      </c>
      <c r="B179" s="95" t="s">
        <v>248</v>
      </c>
      <c r="C179" s="96">
        <v>10119540</v>
      </c>
      <c r="D179" s="96">
        <v>4500032200</v>
      </c>
      <c r="E179" s="97" t="s">
        <v>144</v>
      </c>
      <c r="F179" s="99">
        <v>6000</v>
      </c>
      <c r="G179" s="93">
        <v>46190</v>
      </c>
      <c r="H179" s="429"/>
      <c r="I179" s="429"/>
      <c r="J179" s="429"/>
      <c r="K179" s="429"/>
      <c r="L179" s="429"/>
      <c r="M179" s="429"/>
      <c r="N179" s="429"/>
      <c r="O179" s="429"/>
      <c r="P179" s="429"/>
      <c r="Q179" s="429"/>
      <c r="R179" s="429"/>
      <c r="S179" s="429"/>
      <c r="T179" s="429"/>
      <c r="U179" s="429"/>
      <c r="V179" s="429"/>
      <c r="W179" s="429"/>
      <c r="X179" s="429"/>
      <c r="Y179" s="429"/>
      <c r="Z179" s="429"/>
      <c r="AA179" s="429"/>
      <c r="AB179" s="429"/>
      <c r="AC179" s="429"/>
      <c r="AD179" s="429"/>
      <c r="AE179" s="429"/>
      <c r="AF179" s="429"/>
      <c r="AG179" s="429"/>
      <c r="AH179" s="429"/>
      <c r="AI179" s="429"/>
      <c r="AJ179" s="429"/>
      <c r="AK179" s="429"/>
      <c r="AL179" s="429"/>
      <c r="AM179" s="429"/>
      <c r="AN179" s="429"/>
      <c r="AO179" s="429"/>
      <c r="AP179" s="429"/>
      <c r="AQ179" s="429"/>
      <c r="AR179" s="429"/>
      <c r="AS179" s="429"/>
      <c r="AT179" s="429"/>
      <c r="AU179" s="429"/>
      <c r="AV179" s="429"/>
      <c r="AW179" s="429">
        <f>F179</f>
        <v>6000</v>
      </c>
      <c r="AX179" s="429"/>
      <c r="AY179" s="429"/>
      <c r="AZ179" s="429"/>
      <c r="BA179" s="429"/>
      <c r="BB179" s="429"/>
      <c r="BC179" s="429"/>
      <c r="BD179" s="429"/>
      <c r="BE179" s="429"/>
      <c r="BF179" s="429"/>
      <c r="BG179" s="429"/>
      <c r="BH179" s="429"/>
      <c r="BI179" s="429"/>
      <c r="BJ179" s="429"/>
      <c r="BK179" s="429"/>
      <c r="BL179" s="429"/>
      <c r="BM179" s="429"/>
      <c r="BN179" s="429"/>
      <c r="BO179" s="429"/>
      <c r="BP179" s="102"/>
      <c r="BQ179" s="102">
        <v>3.959</v>
      </c>
      <c r="BR179" s="451">
        <f t="shared" si="13"/>
        <v>23754</v>
      </c>
      <c r="BS179" s="451">
        <f t="shared" si="17"/>
        <v>184093.5</v>
      </c>
      <c r="BT179" s="429" t="str">
        <f>IFERROR(VLOOKUP(E179,名称!A:D,4,FALSE),"")</f>
        <v>河源</v>
      </c>
    </row>
    <row r="180" s="427" customFormat="1" hidden="1" customHeight="1" spans="1:72">
      <c r="A180" s="93">
        <v>46044</v>
      </c>
      <c r="B180" s="95" t="s">
        <v>248</v>
      </c>
      <c r="C180" s="96">
        <v>10119540</v>
      </c>
      <c r="D180" s="96">
        <v>4500032200</v>
      </c>
      <c r="E180" s="97" t="s">
        <v>148</v>
      </c>
      <c r="F180" s="99">
        <v>800</v>
      </c>
      <c r="G180" s="93">
        <v>46190</v>
      </c>
      <c r="H180" s="429"/>
      <c r="I180" s="429"/>
      <c r="J180" s="429"/>
      <c r="K180" s="429"/>
      <c r="L180" s="429"/>
      <c r="M180" s="429"/>
      <c r="N180" s="429"/>
      <c r="O180" s="429"/>
      <c r="P180" s="429"/>
      <c r="Q180" s="429"/>
      <c r="R180" s="429"/>
      <c r="S180" s="429"/>
      <c r="T180" s="429"/>
      <c r="U180" s="429"/>
      <c r="V180" s="429"/>
      <c r="W180" s="429"/>
      <c r="X180" s="429"/>
      <c r="Y180" s="429"/>
      <c r="Z180" s="429"/>
      <c r="AA180" s="429"/>
      <c r="AB180" s="429"/>
      <c r="AC180" s="429"/>
      <c r="AD180" s="429"/>
      <c r="AE180" s="429"/>
      <c r="AF180" s="429"/>
      <c r="AG180" s="429"/>
      <c r="AH180" s="429"/>
      <c r="AI180" s="429"/>
      <c r="AJ180" s="429"/>
      <c r="AK180" s="429"/>
      <c r="AL180" s="429"/>
      <c r="AM180" s="429"/>
      <c r="AN180" s="429"/>
      <c r="AO180" s="429"/>
      <c r="AP180" s="429"/>
      <c r="AQ180" s="429"/>
      <c r="AR180" s="429"/>
      <c r="AS180" s="429"/>
      <c r="AT180" s="429"/>
      <c r="AU180" s="429"/>
      <c r="AV180" s="429"/>
      <c r="AW180" s="429"/>
      <c r="AX180" s="429">
        <f>F180</f>
        <v>800</v>
      </c>
      <c r="AY180" s="429"/>
      <c r="AZ180" s="429"/>
      <c r="BA180" s="429"/>
      <c r="BB180" s="429"/>
      <c r="BC180" s="429"/>
      <c r="BD180" s="429"/>
      <c r="BE180" s="429"/>
      <c r="BF180" s="429"/>
      <c r="BG180" s="429"/>
      <c r="BH180" s="429"/>
      <c r="BI180" s="429"/>
      <c r="BJ180" s="429"/>
      <c r="BK180" s="429"/>
      <c r="BL180" s="429"/>
      <c r="BM180" s="429"/>
      <c r="BN180" s="429"/>
      <c r="BO180" s="429"/>
      <c r="BP180" s="102"/>
      <c r="BQ180" s="102">
        <v>8.406</v>
      </c>
      <c r="BR180" s="451">
        <f t="shared" si="13"/>
        <v>6724.8</v>
      </c>
      <c r="BS180" s="451">
        <f t="shared" si="17"/>
        <v>52117.2</v>
      </c>
      <c r="BT180" s="429" t="str">
        <f>IFERROR(VLOOKUP(E180,名称!A:D,4,FALSE),"")</f>
        <v>河源</v>
      </c>
    </row>
    <row r="181" s="427" customFormat="1" hidden="1" customHeight="1" spans="1:72">
      <c r="A181" s="93">
        <v>46044</v>
      </c>
      <c r="B181" s="95" t="s">
        <v>236</v>
      </c>
      <c r="C181" s="96">
        <v>10119622</v>
      </c>
      <c r="D181" s="96"/>
      <c r="E181" s="97" t="s">
        <v>142</v>
      </c>
      <c r="F181" s="99">
        <v>2400</v>
      </c>
      <c r="G181" s="93">
        <v>46204</v>
      </c>
      <c r="H181" s="429"/>
      <c r="I181" s="429"/>
      <c r="J181" s="429"/>
      <c r="K181" s="429"/>
      <c r="L181" s="429"/>
      <c r="M181" s="429"/>
      <c r="N181" s="429"/>
      <c r="O181" s="429"/>
      <c r="P181" s="429"/>
      <c r="Q181" s="429"/>
      <c r="R181" s="429"/>
      <c r="S181" s="429"/>
      <c r="T181" s="429"/>
      <c r="U181" s="429"/>
      <c r="V181" s="429"/>
      <c r="W181" s="429"/>
      <c r="X181" s="429"/>
      <c r="Y181" s="429"/>
      <c r="Z181" s="429"/>
      <c r="AA181" s="429"/>
      <c r="AB181" s="429"/>
      <c r="AC181" s="429"/>
      <c r="AD181" s="429"/>
      <c r="AE181" s="429"/>
      <c r="AF181" s="429"/>
      <c r="AG181" s="429"/>
      <c r="AH181" s="429"/>
      <c r="AI181" s="429"/>
      <c r="AJ181" s="429"/>
      <c r="AK181" s="429"/>
      <c r="AL181" s="429"/>
      <c r="AM181" s="429"/>
      <c r="AN181" s="429"/>
      <c r="AO181" s="429"/>
      <c r="AP181" s="429"/>
      <c r="AQ181" s="429"/>
      <c r="AR181" s="429"/>
      <c r="AS181" s="429"/>
      <c r="AT181" s="429"/>
      <c r="AU181" s="429"/>
      <c r="AV181" s="429">
        <f>F181</f>
        <v>2400</v>
      </c>
      <c r="AW181" s="429"/>
      <c r="AX181" s="429"/>
      <c r="AY181" s="429"/>
      <c r="AZ181" s="429"/>
      <c r="BA181" s="429"/>
      <c r="BB181" s="429"/>
      <c r="BC181" s="429"/>
      <c r="BD181" s="429"/>
      <c r="BE181" s="429"/>
      <c r="BF181" s="429"/>
      <c r="BG181" s="429"/>
      <c r="BH181" s="429"/>
      <c r="BI181" s="429"/>
      <c r="BJ181" s="429"/>
      <c r="BK181" s="429"/>
      <c r="BL181" s="429"/>
      <c r="BM181" s="429"/>
      <c r="BN181" s="429"/>
      <c r="BO181" s="429"/>
      <c r="BP181" s="102"/>
      <c r="BQ181" s="102">
        <v>3.182</v>
      </c>
      <c r="BR181" s="451">
        <f t="shared" si="13"/>
        <v>7636.8</v>
      </c>
      <c r="BS181" s="451">
        <f t="shared" si="17"/>
        <v>59185.2</v>
      </c>
      <c r="BT181" s="429" t="str">
        <f>IFERROR(VLOOKUP(E181,名称!A:D,4,FALSE),"")</f>
        <v>KIK</v>
      </c>
    </row>
    <row r="182" s="427" customFormat="1" hidden="1" customHeight="1" spans="1:72">
      <c r="A182" s="93">
        <v>46046</v>
      </c>
      <c r="B182" s="95" t="s">
        <v>237</v>
      </c>
      <c r="C182" s="96">
        <v>10119724</v>
      </c>
      <c r="D182" s="96" t="s">
        <v>252</v>
      </c>
      <c r="E182" s="97" t="s">
        <v>120</v>
      </c>
      <c r="F182" s="99">
        <v>2</v>
      </c>
      <c r="G182" s="93">
        <v>46169</v>
      </c>
      <c r="H182" s="429"/>
      <c r="I182" s="429"/>
      <c r="J182" s="429"/>
      <c r="K182" s="429"/>
      <c r="L182" s="429"/>
      <c r="M182" s="429"/>
      <c r="N182" s="429"/>
      <c r="O182" s="429"/>
      <c r="P182" s="429"/>
      <c r="Q182" s="429"/>
      <c r="R182" s="429"/>
      <c r="S182" s="429"/>
      <c r="T182" s="429"/>
      <c r="U182" s="429"/>
      <c r="V182" s="429"/>
      <c r="W182" s="429"/>
      <c r="X182" s="429"/>
      <c r="Y182" s="429"/>
      <c r="Z182" s="429"/>
      <c r="AA182" s="429"/>
      <c r="AB182" s="429"/>
      <c r="AC182" s="429"/>
      <c r="AD182" s="429"/>
      <c r="AE182" s="429"/>
      <c r="AF182" s="429"/>
      <c r="AG182" s="429"/>
      <c r="AH182" s="429"/>
      <c r="AI182" s="429"/>
      <c r="AJ182" s="429"/>
      <c r="AK182" s="429"/>
      <c r="AL182" s="429"/>
      <c r="AM182" s="429"/>
      <c r="AN182" s="429"/>
      <c r="AO182" s="429"/>
      <c r="AP182" s="429"/>
      <c r="AQ182" s="429"/>
      <c r="AR182" s="429">
        <f>F182</f>
        <v>2</v>
      </c>
      <c r="AS182" s="429"/>
      <c r="AT182" s="429"/>
      <c r="AU182" s="429"/>
      <c r="AV182" s="429"/>
      <c r="AW182" s="429"/>
      <c r="AX182" s="429"/>
      <c r="AY182" s="429"/>
      <c r="AZ182" s="429"/>
      <c r="BA182" s="429"/>
      <c r="BB182" s="429"/>
      <c r="BC182" s="429"/>
      <c r="BD182" s="429"/>
      <c r="BE182" s="429"/>
      <c r="BF182" s="429"/>
      <c r="BG182" s="429"/>
      <c r="BH182" s="429"/>
      <c r="BI182" s="429"/>
      <c r="BJ182" s="429"/>
      <c r="BK182" s="429"/>
      <c r="BL182" s="429"/>
      <c r="BM182" s="429"/>
      <c r="BN182" s="429"/>
      <c r="BO182" s="429"/>
      <c r="BP182" s="102"/>
      <c r="BQ182" s="102">
        <v>20.566</v>
      </c>
      <c r="BR182" s="451">
        <f t="shared" si="13"/>
        <v>41.13</v>
      </c>
      <c r="BS182" s="451">
        <f t="shared" si="17"/>
        <v>318.76</v>
      </c>
      <c r="BT182" s="429" t="str">
        <f>IFERROR(VLOOKUP(E182,名称!A:D,4,FALSE),"")</f>
        <v>KIK</v>
      </c>
    </row>
    <row r="183" s="427" customFormat="1" hidden="1" customHeight="1" spans="1:72">
      <c r="A183" s="93">
        <v>46046</v>
      </c>
      <c r="B183" s="95" t="s">
        <v>237</v>
      </c>
      <c r="C183" s="96">
        <v>10119724</v>
      </c>
      <c r="D183" s="96" t="s">
        <v>252</v>
      </c>
      <c r="E183" s="97" t="s">
        <v>111</v>
      </c>
      <c r="F183" s="99">
        <v>4</v>
      </c>
      <c r="G183" s="93">
        <v>46092</v>
      </c>
      <c r="H183" s="429"/>
      <c r="I183" s="429"/>
      <c r="J183" s="429"/>
      <c r="K183" s="429"/>
      <c r="L183" s="429"/>
      <c r="M183" s="429"/>
      <c r="N183" s="429"/>
      <c r="O183" s="429"/>
      <c r="P183" s="429"/>
      <c r="Q183" s="429"/>
      <c r="R183" s="429"/>
      <c r="S183" s="429"/>
      <c r="T183" s="429"/>
      <c r="U183" s="429"/>
      <c r="V183" s="429"/>
      <c r="W183" s="429"/>
      <c r="X183" s="429"/>
      <c r="Y183" s="429"/>
      <c r="Z183" s="429"/>
      <c r="AA183" s="429"/>
      <c r="AB183" s="429"/>
      <c r="AC183" s="429"/>
      <c r="AD183" s="429"/>
      <c r="AE183" s="429"/>
      <c r="AF183" s="429"/>
      <c r="AG183" s="429"/>
      <c r="AH183" s="429"/>
      <c r="AI183" s="429"/>
      <c r="AJ183" s="429"/>
      <c r="AK183" s="429"/>
      <c r="AL183" s="429"/>
      <c r="AM183" s="429">
        <f>F183</f>
        <v>4</v>
      </c>
      <c r="AN183" s="429"/>
      <c r="AO183" s="429"/>
      <c r="AP183" s="429"/>
      <c r="AQ183" s="429"/>
      <c r="AR183" s="429"/>
      <c r="AS183" s="429"/>
      <c r="AT183" s="429"/>
      <c r="AU183" s="429"/>
      <c r="AV183" s="429"/>
      <c r="AW183" s="429"/>
      <c r="AX183" s="429"/>
      <c r="AY183" s="429"/>
      <c r="AZ183" s="429"/>
      <c r="BA183" s="429"/>
      <c r="BB183" s="429"/>
      <c r="BC183" s="429"/>
      <c r="BD183" s="429"/>
      <c r="BE183" s="429"/>
      <c r="BF183" s="429"/>
      <c r="BG183" s="429"/>
      <c r="BH183" s="429"/>
      <c r="BI183" s="429"/>
      <c r="BJ183" s="429"/>
      <c r="BK183" s="429"/>
      <c r="BL183" s="429"/>
      <c r="BM183" s="429"/>
      <c r="BN183" s="429"/>
      <c r="BO183" s="429"/>
      <c r="BP183" s="102"/>
      <c r="BQ183" s="102">
        <v>3.727</v>
      </c>
      <c r="BR183" s="451">
        <f t="shared" si="13"/>
        <v>14.91</v>
      </c>
      <c r="BS183" s="451">
        <f t="shared" si="17"/>
        <v>115.55</v>
      </c>
      <c r="BT183" s="429" t="str">
        <f>IFERROR(VLOOKUP(E183,名称!A:D,4,FALSE),"")</f>
        <v>KIK</v>
      </c>
    </row>
    <row r="184" s="427" customFormat="1" hidden="1" customHeight="1" spans="1:72">
      <c r="A184" s="93">
        <v>46046</v>
      </c>
      <c r="B184" s="95" t="s">
        <v>237</v>
      </c>
      <c r="C184" s="96">
        <v>10119724</v>
      </c>
      <c r="D184" s="96" t="s">
        <v>252</v>
      </c>
      <c r="E184" s="97" t="s">
        <v>113</v>
      </c>
      <c r="F184" s="99">
        <v>2</v>
      </c>
      <c r="G184" s="93">
        <v>46092</v>
      </c>
      <c r="H184" s="429"/>
      <c r="I184" s="429"/>
      <c r="J184" s="429"/>
      <c r="K184" s="429"/>
      <c r="L184" s="429"/>
      <c r="M184" s="429"/>
      <c r="N184" s="429"/>
      <c r="O184" s="429"/>
      <c r="P184" s="429"/>
      <c r="Q184" s="429"/>
      <c r="R184" s="429"/>
      <c r="S184" s="429"/>
      <c r="T184" s="429"/>
      <c r="U184" s="429"/>
      <c r="V184" s="429"/>
      <c r="W184" s="429"/>
      <c r="X184" s="429"/>
      <c r="Y184" s="429"/>
      <c r="Z184" s="429"/>
      <c r="AA184" s="429"/>
      <c r="AB184" s="429"/>
      <c r="AC184" s="429"/>
      <c r="AD184" s="429"/>
      <c r="AE184" s="429"/>
      <c r="AF184" s="429"/>
      <c r="AG184" s="429"/>
      <c r="AH184" s="429"/>
      <c r="AI184" s="429"/>
      <c r="AJ184" s="429"/>
      <c r="AK184" s="429"/>
      <c r="AL184" s="429"/>
      <c r="AM184" s="429"/>
      <c r="AN184" s="429">
        <f>F184</f>
        <v>2</v>
      </c>
      <c r="AO184" s="429"/>
      <c r="AP184" s="429"/>
      <c r="AQ184" s="429"/>
      <c r="AR184" s="429"/>
      <c r="AS184" s="429"/>
      <c r="AT184" s="429"/>
      <c r="AU184" s="429"/>
      <c r="AV184" s="429"/>
      <c r="AW184" s="429"/>
      <c r="AX184" s="429"/>
      <c r="AY184" s="429"/>
      <c r="AZ184" s="429"/>
      <c r="BA184" s="429"/>
      <c r="BB184" s="429"/>
      <c r="BC184" s="429"/>
      <c r="BD184" s="429"/>
      <c r="BE184" s="429"/>
      <c r="BF184" s="429"/>
      <c r="BG184" s="429"/>
      <c r="BH184" s="429"/>
      <c r="BI184" s="429"/>
      <c r="BJ184" s="429"/>
      <c r="BK184" s="429"/>
      <c r="BL184" s="429"/>
      <c r="BM184" s="429"/>
      <c r="BN184" s="429"/>
      <c r="BO184" s="429"/>
      <c r="BP184" s="102"/>
      <c r="BQ184" s="102">
        <v>5.9</v>
      </c>
      <c r="BR184" s="451">
        <f t="shared" si="13"/>
        <v>11.8</v>
      </c>
      <c r="BS184" s="451">
        <f t="shared" si="17"/>
        <v>91.45</v>
      </c>
      <c r="BT184" s="429" t="str">
        <f>IFERROR(VLOOKUP(E184,名称!A:D,4,FALSE),"")</f>
        <v>KIK</v>
      </c>
    </row>
    <row r="185" s="427" customFormat="1" hidden="1" customHeight="1" spans="1:72">
      <c r="A185" s="93">
        <v>46046</v>
      </c>
      <c r="B185" s="95" t="s">
        <v>237</v>
      </c>
      <c r="C185" s="96">
        <v>10119724</v>
      </c>
      <c r="D185" s="96" t="s">
        <v>252</v>
      </c>
      <c r="E185" s="97" t="s">
        <v>118</v>
      </c>
      <c r="F185" s="99">
        <v>4</v>
      </c>
      <c r="G185" s="93">
        <v>46155</v>
      </c>
      <c r="H185" s="429"/>
      <c r="I185" s="429"/>
      <c r="J185" s="429"/>
      <c r="K185" s="429"/>
      <c r="L185" s="429"/>
      <c r="M185" s="429"/>
      <c r="N185" s="429"/>
      <c r="O185" s="429"/>
      <c r="P185" s="429"/>
      <c r="Q185" s="429"/>
      <c r="R185" s="429"/>
      <c r="S185" s="429"/>
      <c r="T185" s="429"/>
      <c r="U185" s="429"/>
      <c r="V185" s="429"/>
      <c r="W185" s="429"/>
      <c r="X185" s="429"/>
      <c r="Y185" s="429"/>
      <c r="Z185" s="429"/>
      <c r="AA185" s="429"/>
      <c r="AB185" s="429"/>
      <c r="AC185" s="429"/>
      <c r="AD185" s="429"/>
      <c r="AE185" s="429"/>
      <c r="AF185" s="429"/>
      <c r="AG185" s="429"/>
      <c r="AH185" s="429"/>
      <c r="AI185" s="429"/>
      <c r="AJ185" s="429"/>
      <c r="AK185" s="429"/>
      <c r="AL185" s="429"/>
      <c r="AM185" s="429"/>
      <c r="AN185" s="429"/>
      <c r="AO185" s="429"/>
      <c r="AP185" s="429"/>
      <c r="AQ185" s="429">
        <f>F185</f>
        <v>4</v>
      </c>
      <c r="AR185" s="429"/>
      <c r="AS185" s="429"/>
      <c r="AT185" s="429"/>
      <c r="AU185" s="429"/>
      <c r="AV185" s="429"/>
      <c r="AW185" s="429"/>
      <c r="AX185" s="429"/>
      <c r="AY185" s="429"/>
      <c r="AZ185" s="429"/>
      <c r="BA185" s="429"/>
      <c r="BB185" s="429"/>
      <c r="BC185" s="429"/>
      <c r="BD185" s="429"/>
      <c r="BE185" s="429"/>
      <c r="BF185" s="429"/>
      <c r="BG185" s="429"/>
      <c r="BH185" s="429"/>
      <c r="BI185" s="429"/>
      <c r="BJ185" s="429"/>
      <c r="BK185" s="429"/>
      <c r="BL185" s="429"/>
      <c r="BM185" s="429"/>
      <c r="BN185" s="429"/>
      <c r="BO185" s="429"/>
      <c r="BP185" s="102"/>
      <c r="BQ185" s="102">
        <v>16.223</v>
      </c>
      <c r="BR185" s="451">
        <f t="shared" si="13"/>
        <v>64.89</v>
      </c>
      <c r="BS185" s="451">
        <f t="shared" si="17"/>
        <v>502.9</v>
      </c>
      <c r="BT185" s="429" t="str">
        <f>IFERROR(VLOOKUP(E185,名称!A:D,4,FALSE),"")</f>
        <v>KIK</v>
      </c>
    </row>
    <row r="186" s="427" customFormat="1" hidden="1" customHeight="1" spans="1:72">
      <c r="A186" s="93">
        <v>46046</v>
      </c>
      <c r="B186" s="95" t="s">
        <v>237</v>
      </c>
      <c r="C186" s="96">
        <v>10119724</v>
      </c>
      <c r="D186" s="96" t="s">
        <v>252</v>
      </c>
      <c r="E186" s="97" t="s">
        <v>105</v>
      </c>
      <c r="F186" s="99">
        <v>4</v>
      </c>
      <c r="G186" s="93">
        <v>46113</v>
      </c>
      <c r="H186" s="429"/>
      <c r="I186" s="429"/>
      <c r="J186" s="429"/>
      <c r="K186" s="429"/>
      <c r="L186" s="429"/>
      <c r="M186" s="429"/>
      <c r="N186" s="429"/>
      <c r="O186" s="429"/>
      <c r="P186" s="429"/>
      <c r="Q186" s="429"/>
      <c r="R186" s="429"/>
      <c r="S186" s="429"/>
      <c r="T186" s="429"/>
      <c r="U186" s="429"/>
      <c r="V186" s="429"/>
      <c r="W186" s="429"/>
      <c r="X186" s="429"/>
      <c r="Y186" s="429"/>
      <c r="Z186" s="429"/>
      <c r="AA186" s="429"/>
      <c r="AB186" s="429"/>
      <c r="AC186" s="429"/>
      <c r="AD186" s="429"/>
      <c r="AE186" s="429"/>
      <c r="AF186" s="429"/>
      <c r="AG186" s="429"/>
      <c r="AH186" s="429"/>
      <c r="AI186" s="429"/>
      <c r="AJ186" s="429">
        <f t="shared" ref="AJ186:AJ190" si="18">F186</f>
        <v>4</v>
      </c>
      <c r="AK186" s="429"/>
      <c r="AL186" s="429"/>
      <c r="AM186" s="429"/>
      <c r="AN186" s="429"/>
      <c r="AO186" s="429"/>
      <c r="AP186" s="429"/>
      <c r="AQ186" s="429"/>
      <c r="AR186" s="429"/>
      <c r="AS186" s="429"/>
      <c r="AT186" s="429"/>
      <c r="AU186" s="429"/>
      <c r="AV186" s="429"/>
      <c r="AW186" s="429"/>
      <c r="AX186" s="429"/>
      <c r="AY186" s="429"/>
      <c r="AZ186" s="429"/>
      <c r="BA186" s="429"/>
      <c r="BB186" s="429"/>
      <c r="BC186" s="429"/>
      <c r="BD186" s="429"/>
      <c r="BE186" s="429"/>
      <c r="BF186" s="429"/>
      <c r="BG186" s="429"/>
      <c r="BH186" s="429"/>
      <c r="BI186" s="429"/>
      <c r="BJ186" s="429"/>
      <c r="BK186" s="429"/>
      <c r="BL186" s="429"/>
      <c r="BM186" s="429"/>
      <c r="BN186" s="429"/>
      <c r="BO186" s="429"/>
      <c r="BP186" s="102"/>
      <c r="BQ186" s="102">
        <v>2.903</v>
      </c>
      <c r="BR186" s="451">
        <f t="shared" si="13"/>
        <v>11.61</v>
      </c>
      <c r="BS186" s="451">
        <f t="shared" si="17"/>
        <v>89.98</v>
      </c>
      <c r="BT186" s="429" t="str">
        <f>IFERROR(VLOOKUP(E186,名称!A:D,4,FALSE),"")</f>
        <v>KIK</v>
      </c>
    </row>
    <row r="187" s="427" customFormat="1" hidden="1" customHeight="1" spans="1:72">
      <c r="A187" s="93">
        <v>46046</v>
      </c>
      <c r="B187" s="95" t="s">
        <v>237</v>
      </c>
      <c r="C187" s="96">
        <v>10119724</v>
      </c>
      <c r="D187" s="96" t="s">
        <v>252</v>
      </c>
      <c r="E187" s="97" t="s">
        <v>107</v>
      </c>
      <c r="F187" s="99">
        <v>4</v>
      </c>
      <c r="G187" s="93">
        <v>46113</v>
      </c>
      <c r="H187" s="429"/>
      <c r="I187" s="429"/>
      <c r="J187" s="429"/>
      <c r="K187" s="429"/>
      <c r="L187" s="429"/>
      <c r="M187" s="429"/>
      <c r="N187" s="429"/>
      <c r="O187" s="429"/>
      <c r="P187" s="429"/>
      <c r="Q187" s="429"/>
      <c r="R187" s="429"/>
      <c r="S187" s="429"/>
      <c r="T187" s="429"/>
      <c r="U187" s="429"/>
      <c r="V187" s="429"/>
      <c r="W187" s="429"/>
      <c r="X187" s="429"/>
      <c r="Y187" s="429"/>
      <c r="Z187" s="429"/>
      <c r="AA187" s="429"/>
      <c r="AB187" s="429"/>
      <c r="AC187" s="429"/>
      <c r="AD187" s="429"/>
      <c r="AE187" s="429"/>
      <c r="AF187" s="429"/>
      <c r="AG187" s="429"/>
      <c r="AH187" s="429"/>
      <c r="AI187" s="429"/>
      <c r="AJ187" s="429"/>
      <c r="AK187" s="429">
        <f>F187</f>
        <v>4</v>
      </c>
      <c r="AL187" s="429"/>
      <c r="AM187" s="429"/>
      <c r="AN187" s="429"/>
      <c r="AO187" s="429"/>
      <c r="AP187" s="429"/>
      <c r="AQ187" s="429"/>
      <c r="AR187" s="429"/>
      <c r="AS187" s="429"/>
      <c r="AT187" s="429"/>
      <c r="AU187" s="429"/>
      <c r="AV187" s="429"/>
      <c r="AW187" s="429"/>
      <c r="AX187" s="429"/>
      <c r="AY187" s="429"/>
      <c r="AZ187" s="429"/>
      <c r="BA187" s="429"/>
      <c r="BB187" s="429"/>
      <c r="BC187" s="429"/>
      <c r="BD187" s="429"/>
      <c r="BE187" s="429"/>
      <c r="BF187" s="429"/>
      <c r="BG187" s="429"/>
      <c r="BH187" s="429"/>
      <c r="BI187" s="429"/>
      <c r="BJ187" s="429"/>
      <c r="BK187" s="429"/>
      <c r="BL187" s="429"/>
      <c r="BM187" s="429"/>
      <c r="BN187" s="429"/>
      <c r="BO187" s="429"/>
      <c r="BP187" s="102"/>
      <c r="BQ187" s="102">
        <v>4.809</v>
      </c>
      <c r="BR187" s="451">
        <f t="shared" si="13"/>
        <v>19.24</v>
      </c>
      <c r="BS187" s="451">
        <f t="shared" si="17"/>
        <v>149.11</v>
      </c>
      <c r="BT187" s="429" t="str">
        <f>IFERROR(VLOOKUP(E187,名称!A:D,4,FALSE),"")</f>
        <v>KIK</v>
      </c>
    </row>
    <row r="188" s="427" customFormat="1" hidden="1" customHeight="1" spans="1:72">
      <c r="A188" s="93">
        <v>46046</v>
      </c>
      <c r="B188" s="95" t="s">
        <v>237</v>
      </c>
      <c r="C188" s="96">
        <v>10119724</v>
      </c>
      <c r="D188" s="96" t="s">
        <v>252</v>
      </c>
      <c r="E188" s="97" t="s">
        <v>109</v>
      </c>
      <c r="F188" s="99">
        <v>4</v>
      </c>
      <c r="G188" s="93">
        <v>46092</v>
      </c>
      <c r="H188" s="429"/>
      <c r="I188" s="429"/>
      <c r="J188" s="429"/>
      <c r="K188" s="429"/>
      <c r="L188" s="429"/>
      <c r="M188" s="429"/>
      <c r="N188" s="429"/>
      <c r="O188" s="429"/>
      <c r="P188" s="429"/>
      <c r="Q188" s="429"/>
      <c r="R188" s="429"/>
      <c r="S188" s="429"/>
      <c r="T188" s="429"/>
      <c r="U188" s="429"/>
      <c r="V188" s="429"/>
      <c r="W188" s="429"/>
      <c r="X188" s="429"/>
      <c r="Y188" s="429"/>
      <c r="Z188" s="429"/>
      <c r="AA188" s="429"/>
      <c r="AB188" s="429"/>
      <c r="AC188" s="429"/>
      <c r="AD188" s="429"/>
      <c r="AE188" s="429"/>
      <c r="AF188" s="429"/>
      <c r="AG188" s="429"/>
      <c r="AH188" s="429"/>
      <c r="AI188" s="429"/>
      <c r="AJ188" s="429"/>
      <c r="AK188" s="429"/>
      <c r="AL188" s="429">
        <f>F188</f>
        <v>4</v>
      </c>
      <c r="AM188" s="429"/>
      <c r="AN188" s="429"/>
      <c r="AO188" s="429"/>
      <c r="AP188" s="429"/>
      <c r="AQ188" s="429"/>
      <c r="AR188" s="429"/>
      <c r="AS188" s="429"/>
      <c r="AT188" s="429"/>
      <c r="AU188" s="429"/>
      <c r="AV188" s="429"/>
      <c r="AW188" s="429"/>
      <c r="AX188" s="429"/>
      <c r="AY188" s="429"/>
      <c r="AZ188" s="429"/>
      <c r="BA188" s="429"/>
      <c r="BB188" s="429"/>
      <c r="BC188" s="429"/>
      <c r="BD188" s="429"/>
      <c r="BE188" s="429"/>
      <c r="BF188" s="429"/>
      <c r="BG188" s="429"/>
      <c r="BH188" s="429"/>
      <c r="BI188" s="429"/>
      <c r="BJ188" s="429"/>
      <c r="BK188" s="429"/>
      <c r="BL188" s="429"/>
      <c r="BM188" s="429"/>
      <c r="BN188" s="429"/>
      <c r="BO188" s="429"/>
      <c r="BP188" s="102"/>
      <c r="BQ188" s="102">
        <v>3.796</v>
      </c>
      <c r="BR188" s="451">
        <f t="shared" si="13"/>
        <v>15.18</v>
      </c>
      <c r="BS188" s="451">
        <f t="shared" si="17"/>
        <v>117.65</v>
      </c>
      <c r="BT188" s="429" t="str">
        <f>IFERROR(VLOOKUP(E188,名称!A:D,4,FALSE),"")</f>
        <v>KIK</v>
      </c>
    </row>
    <row r="189" s="427" customFormat="1" hidden="1" customHeight="1" spans="1:72">
      <c r="A189" s="93">
        <v>46049</v>
      </c>
      <c r="B189" s="95" t="s">
        <v>237</v>
      </c>
      <c r="C189" s="96">
        <v>10119914</v>
      </c>
      <c r="D189" s="96">
        <v>202602370019</v>
      </c>
      <c r="E189" s="97" t="s">
        <v>105</v>
      </c>
      <c r="F189" s="99">
        <v>1800</v>
      </c>
      <c r="G189" s="93">
        <v>46155</v>
      </c>
      <c r="H189" s="429"/>
      <c r="I189" s="429"/>
      <c r="J189" s="429"/>
      <c r="K189" s="429"/>
      <c r="L189" s="429"/>
      <c r="M189" s="429"/>
      <c r="N189" s="429"/>
      <c r="O189" s="429"/>
      <c r="P189" s="429"/>
      <c r="Q189" s="429"/>
      <c r="R189" s="429"/>
      <c r="S189" s="429"/>
      <c r="T189" s="429"/>
      <c r="U189" s="429"/>
      <c r="V189" s="429"/>
      <c r="W189" s="429"/>
      <c r="X189" s="429"/>
      <c r="Y189" s="429"/>
      <c r="Z189" s="429"/>
      <c r="AA189" s="429"/>
      <c r="AB189" s="429"/>
      <c r="AC189" s="429"/>
      <c r="AD189" s="429"/>
      <c r="AE189" s="429"/>
      <c r="AF189" s="429"/>
      <c r="AG189" s="429"/>
      <c r="AH189" s="429"/>
      <c r="AI189" s="429"/>
      <c r="AJ189" s="429">
        <f t="shared" si="18"/>
        <v>1800</v>
      </c>
      <c r="AK189" s="429"/>
      <c r="AL189" s="429"/>
      <c r="AM189" s="429"/>
      <c r="AN189" s="429"/>
      <c r="AO189" s="429"/>
      <c r="AP189" s="429"/>
      <c r="AQ189" s="429"/>
      <c r="AR189" s="429"/>
      <c r="AS189" s="429"/>
      <c r="AT189" s="429"/>
      <c r="AU189" s="429"/>
      <c r="AV189" s="429"/>
      <c r="AW189" s="429"/>
      <c r="AX189" s="429"/>
      <c r="AY189" s="429"/>
      <c r="AZ189" s="429"/>
      <c r="BA189" s="429"/>
      <c r="BB189" s="429"/>
      <c r="BC189" s="429"/>
      <c r="BD189" s="429"/>
      <c r="BE189" s="429"/>
      <c r="BF189" s="429"/>
      <c r="BG189" s="429"/>
      <c r="BH189" s="429"/>
      <c r="BI189" s="429"/>
      <c r="BJ189" s="429"/>
      <c r="BK189" s="429"/>
      <c r="BL189" s="429"/>
      <c r="BM189" s="429"/>
      <c r="BN189" s="429"/>
      <c r="BO189" s="429"/>
      <c r="BP189" s="102"/>
      <c r="BQ189" s="102">
        <v>2.934</v>
      </c>
      <c r="BR189" s="451">
        <f t="shared" si="13"/>
        <v>5281.2</v>
      </c>
      <c r="BS189" s="451">
        <f t="shared" si="17"/>
        <v>40929.3</v>
      </c>
      <c r="BT189" s="429" t="str">
        <f>IFERROR(VLOOKUP(E189,名称!A:D,4,FALSE),"")</f>
        <v>KIK</v>
      </c>
    </row>
    <row r="190" s="427" customFormat="1" hidden="1" customHeight="1" spans="1:72">
      <c r="A190" s="93">
        <v>46049</v>
      </c>
      <c r="B190" s="95" t="s">
        <v>237</v>
      </c>
      <c r="C190" s="96">
        <v>10119914</v>
      </c>
      <c r="D190" s="96">
        <v>202602370019</v>
      </c>
      <c r="E190" s="97" t="s">
        <v>105</v>
      </c>
      <c r="F190" s="99">
        <v>3200</v>
      </c>
      <c r="G190" s="93">
        <v>46155</v>
      </c>
      <c r="H190" s="429"/>
      <c r="I190" s="429"/>
      <c r="J190" s="429"/>
      <c r="K190" s="429"/>
      <c r="L190" s="429"/>
      <c r="M190" s="429"/>
      <c r="N190" s="429"/>
      <c r="O190" s="429"/>
      <c r="P190" s="429"/>
      <c r="Q190" s="429"/>
      <c r="R190" s="429"/>
      <c r="S190" s="429"/>
      <c r="T190" s="429"/>
      <c r="U190" s="429"/>
      <c r="V190" s="429"/>
      <c r="W190" s="429"/>
      <c r="X190" s="429"/>
      <c r="Y190" s="429"/>
      <c r="Z190" s="429"/>
      <c r="AA190" s="429"/>
      <c r="AB190" s="429"/>
      <c r="AC190" s="429"/>
      <c r="AD190" s="429"/>
      <c r="AE190" s="429"/>
      <c r="AF190" s="429"/>
      <c r="AG190" s="429"/>
      <c r="AH190" s="429"/>
      <c r="AI190" s="429"/>
      <c r="AJ190" s="429">
        <f t="shared" si="18"/>
        <v>3200</v>
      </c>
      <c r="AK190" s="429"/>
      <c r="AL190" s="429"/>
      <c r="AM190" s="429"/>
      <c r="AN190" s="429"/>
      <c r="AO190" s="429"/>
      <c r="AP190" s="429"/>
      <c r="AQ190" s="429"/>
      <c r="AR190" s="429"/>
      <c r="AS190" s="429"/>
      <c r="AT190" s="429"/>
      <c r="AU190" s="429"/>
      <c r="AV190" s="429"/>
      <c r="AW190" s="429"/>
      <c r="AX190" s="429"/>
      <c r="AY190" s="429"/>
      <c r="AZ190" s="429"/>
      <c r="BA190" s="429"/>
      <c r="BB190" s="429"/>
      <c r="BC190" s="429"/>
      <c r="BD190" s="429"/>
      <c r="BE190" s="429"/>
      <c r="BF190" s="429"/>
      <c r="BG190" s="429"/>
      <c r="BH190" s="429"/>
      <c r="BI190" s="429"/>
      <c r="BJ190" s="429"/>
      <c r="BK190" s="429"/>
      <c r="BL190" s="429"/>
      <c r="BM190" s="429"/>
      <c r="BN190" s="429"/>
      <c r="BO190" s="429"/>
      <c r="BP190" s="102"/>
      <c r="BQ190" s="102">
        <v>2.934</v>
      </c>
      <c r="BR190" s="451">
        <f t="shared" si="13"/>
        <v>9388.8</v>
      </c>
      <c r="BS190" s="451">
        <f t="shared" si="17"/>
        <v>72763.2</v>
      </c>
      <c r="BT190" s="429" t="str">
        <f>IFERROR(VLOOKUP(E190,名称!A:D,4,FALSE),"")</f>
        <v>KIK</v>
      </c>
    </row>
    <row r="191" s="427" customFormat="1" hidden="1" customHeight="1" spans="1:72">
      <c r="A191" s="93">
        <v>46049</v>
      </c>
      <c r="B191" s="95" t="s">
        <v>237</v>
      </c>
      <c r="C191" s="96">
        <v>10119914</v>
      </c>
      <c r="D191" s="96">
        <v>202602370019</v>
      </c>
      <c r="E191" s="97" t="s">
        <v>107</v>
      </c>
      <c r="F191" s="99">
        <v>5000</v>
      </c>
      <c r="G191" s="93">
        <v>46155</v>
      </c>
      <c r="H191" s="429"/>
      <c r="I191" s="429"/>
      <c r="J191" s="429"/>
      <c r="K191" s="429"/>
      <c r="L191" s="429"/>
      <c r="M191" s="429"/>
      <c r="N191" s="429"/>
      <c r="O191" s="429"/>
      <c r="P191" s="429"/>
      <c r="Q191" s="429"/>
      <c r="R191" s="429"/>
      <c r="S191" s="429"/>
      <c r="T191" s="429"/>
      <c r="U191" s="429"/>
      <c r="V191" s="429"/>
      <c r="W191" s="429"/>
      <c r="X191" s="429"/>
      <c r="Y191" s="429"/>
      <c r="Z191" s="429"/>
      <c r="AA191" s="429"/>
      <c r="AB191" s="429"/>
      <c r="AC191" s="429"/>
      <c r="AD191" s="429"/>
      <c r="AE191" s="429"/>
      <c r="AF191" s="429"/>
      <c r="AG191" s="429"/>
      <c r="AH191" s="429"/>
      <c r="AI191" s="429"/>
      <c r="AJ191" s="429"/>
      <c r="AK191" s="429">
        <f>F191</f>
        <v>5000</v>
      </c>
      <c r="AL191" s="429"/>
      <c r="AM191" s="429"/>
      <c r="AN191" s="429"/>
      <c r="AO191" s="429"/>
      <c r="AP191" s="429"/>
      <c r="AQ191" s="429"/>
      <c r="AR191" s="429"/>
      <c r="AS191" s="429"/>
      <c r="AT191" s="429"/>
      <c r="AU191" s="429"/>
      <c r="AV191" s="429"/>
      <c r="AW191" s="429"/>
      <c r="AX191" s="429"/>
      <c r="AY191" s="429"/>
      <c r="AZ191" s="429"/>
      <c r="BA191" s="429"/>
      <c r="BB191" s="429"/>
      <c r="BC191" s="429"/>
      <c r="BD191" s="429"/>
      <c r="BE191" s="429"/>
      <c r="BF191" s="429"/>
      <c r="BG191" s="429"/>
      <c r="BH191" s="429"/>
      <c r="BI191" s="429"/>
      <c r="BJ191" s="429"/>
      <c r="BK191" s="429"/>
      <c r="BL191" s="429"/>
      <c r="BM191" s="429"/>
      <c r="BN191" s="429"/>
      <c r="BO191" s="429"/>
      <c r="BP191" s="102"/>
      <c r="BQ191" s="102">
        <v>4.857</v>
      </c>
      <c r="BR191" s="451">
        <f t="shared" si="13"/>
        <v>24285</v>
      </c>
      <c r="BS191" s="451">
        <f t="shared" si="17"/>
        <v>188208.75</v>
      </c>
      <c r="BT191" s="429" t="str">
        <f>IFERROR(VLOOKUP(E191,名称!A:D,4,FALSE),"")</f>
        <v>KIK</v>
      </c>
    </row>
    <row r="192" s="427" customFormat="1" hidden="1" customHeight="1" spans="1:72">
      <c r="A192" s="93">
        <v>46049</v>
      </c>
      <c r="B192" s="95" t="s">
        <v>248</v>
      </c>
      <c r="C192" s="96">
        <v>10119986</v>
      </c>
      <c r="D192" s="96">
        <v>4500032233</v>
      </c>
      <c r="E192" s="97" t="s">
        <v>105</v>
      </c>
      <c r="F192" s="99">
        <v>1600</v>
      </c>
      <c r="G192" s="93">
        <v>46169</v>
      </c>
      <c r="H192" s="429"/>
      <c r="I192" s="429"/>
      <c r="J192" s="429"/>
      <c r="K192" s="429"/>
      <c r="L192" s="429"/>
      <c r="M192" s="429"/>
      <c r="N192" s="429"/>
      <c r="O192" s="429"/>
      <c r="P192" s="429"/>
      <c r="Q192" s="429"/>
      <c r="R192" s="429"/>
      <c r="S192" s="429"/>
      <c r="T192" s="429"/>
      <c r="U192" s="429"/>
      <c r="V192" s="429"/>
      <c r="W192" s="429"/>
      <c r="X192" s="429"/>
      <c r="Y192" s="429"/>
      <c r="Z192" s="429"/>
      <c r="AA192" s="429"/>
      <c r="AB192" s="429"/>
      <c r="AC192" s="429"/>
      <c r="AD192" s="429"/>
      <c r="AE192" s="429"/>
      <c r="AF192" s="429"/>
      <c r="AG192" s="429"/>
      <c r="AH192" s="429"/>
      <c r="AI192" s="429"/>
      <c r="AJ192" s="429">
        <f>F192</f>
        <v>1600</v>
      </c>
      <c r="AK192" s="429"/>
      <c r="AL192" s="429"/>
      <c r="AM192" s="429"/>
      <c r="AN192" s="429"/>
      <c r="AO192" s="429"/>
      <c r="AP192" s="429"/>
      <c r="AQ192" s="429"/>
      <c r="AR192" s="429"/>
      <c r="AS192" s="429"/>
      <c r="AT192" s="429"/>
      <c r="AU192" s="429"/>
      <c r="AV192" s="429"/>
      <c r="AW192" s="429"/>
      <c r="AX192" s="429"/>
      <c r="AY192" s="429"/>
      <c r="AZ192" s="429"/>
      <c r="BA192" s="429"/>
      <c r="BB192" s="429"/>
      <c r="BC192" s="429"/>
      <c r="BD192" s="429"/>
      <c r="BE192" s="429"/>
      <c r="BF192" s="429"/>
      <c r="BG192" s="429"/>
      <c r="BH192" s="429"/>
      <c r="BI192" s="429"/>
      <c r="BJ192" s="429"/>
      <c r="BK192" s="429"/>
      <c r="BL192" s="429"/>
      <c r="BM192" s="429"/>
      <c r="BN192" s="429"/>
      <c r="BO192" s="429"/>
      <c r="BP192" s="102"/>
      <c r="BQ192" s="102">
        <v>2.934</v>
      </c>
      <c r="BR192" s="451">
        <f t="shared" si="13"/>
        <v>4694.4</v>
      </c>
      <c r="BS192" s="451">
        <f t="shared" si="17"/>
        <v>36381.6</v>
      </c>
      <c r="BT192" s="429" t="str">
        <f>IFERROR(VLOOKUP(E192,名称!A:D,4,FALSE),"")</f>
        <v>KIK</v>
      </c>
    </row>
    <row r="193" s="427" customFormat="1" hidden="1" customHeight="1" spans="1:72">
      <c r="A193" s="93">
        <v>46049</v>
      </c>
      <c r="B193" s="95" t="s">
        <v>248</v>
      </c>
      <c r="C193" s="96">
        <v>10119986</v>
      </c>
      <c r="D193" s="96">
        <v>4500032233</v>
      </c>
      <c r="E193" s="97" t="s">
        <v>107</v>
      </c>
      <c r="F193" s="99">
        <v>120</v>
      </c>
      <c r="G193" s="93">
        <v>46176</v>
      </c>
      <c r="H193" s="429"/>
      <c r="I193" s="429"/>
      <c r="J193" s="429"/>
      <c r="K193" s="429"/>
      <c r="L193" s="429"/>
      <c r="M193" s="429"/>
      <c r="N193" s="429"/>
      <c r="O193" s="429"/>
      <c r="P193" s="429"/>
      <c r="Q193" s="429"/>
      <c r="R193" s="429"/>
      <c r="S193" s="429"/>
      <c r="T193" s="429"/>
      <c r="U193" s="429"/>
      <c r="V193" s="429"/>
      <c r="W193" s="429"/>
      <c r="X193" s="429"/>
      <c r="Y193" s="429"/>
      <c r="Z193" s="429"/>
      <c r="AA193" s="429"/>
      <c r="AB193" s="429"/>
      <c r="AC193" s="429"/>
      <c r="AD193" s="429"/>
      <c r="AE193" s="429"/>
      <c r="AF193" s="429"/>
      <c r="AG193" s="429"/>
      <c r="AH193" s="429"/>
      <c r="AI193" s="429"/>
      <c r="AJ193" s="429"/>
      <c r="AK193" s="429">
        <f>F193</f>
        <v>120</v>
      </c>
      <c r="AL193" s="429"/>
      <c r="AM193" s="429"/>
      <c r="AN193" s="429"/>
      <c r="AO193" s="429"/>
      <c r="AP193" s="429"/>
      <c r="AQ193" s="429"/>
      <c r="AR193" s="429"/>
      <c r="AS193" s="429"/>
      <c r="AT193" s="429"/>
      <c r="AU193" s="429"/>
      <c r="AV193" s="429"/>
      <c r="AW193" s="429"/>
      <c r="AX193" s="429"/>
      <c r="AY193" s="429"/>
      <c r="AZ193" s="429"/>
      <c r="BA193" s="429"/>
      <c r="BB193" s="429"/>
      <c r="BC193" s="429"/>
      <c r="BD193" s="429"/>
      <c r="BE193" s="429"/>
      <c r="BF193" s="429"/>
      <c r="BG193" s="429"/>
      <c r="BH193" s="429"/>
      <c r="BI193" s="429"/>
      <c r="BJ193" s="429"/>
      <c r="BK193" s="429"/>
      <c r="BL193" s="429"/>
      <c r="BM193" s="429"/>
      <c r="BN193" s="429"/>
      <c r="BO193" s="429"/>
      <c r="BP193" s="102"/>
      <c r="BQ193" s="102">
        <v>4.857</v>
      </c>
      <c r="BR193" s="451">
        <f t="shared" si="13"/>
        <v>582.84</v>
      </c>
      <c r="BS193" s="451">
        <f t="shared" si="17"/>
        <v>4517.01</v>
      </c>
      <c r="BT193" s="429" t="str">
        <f>IFERROR(VLOOKUP(E193,名称!A:D,4,FALSE),"")</f>
        <v>KIK</v>
      </c>
    </row>
    <row r="194" s="427" customFormat="1" hidden="1" customHeight="1" spans="1:72">
      <c r="A194" s="93">
        <v>46049</v>
      </c>
      <c r="B194" s="95" t="s">
        <v>248</v>
      </c>
      <c r="C194" s="96">
        <v>10119986</v>
      </c>
      <c r="D194" s="96">
        <v>4500032233</v>
      </c>
      <c r="E194" s="97" t="s">
        <v>107</v>
      </c>
      <c r="F194" s="99">
        <v>2380</v>
      </c>
      <c r="G194" s="93">
        <v>46176</v>
      </c>
      <c r="H194" s="429"/>
      <c r="I194" s="429"/>
      <c r="J194" s="429"/>
      <c r="K194" s="429"/>
      <c r="L194" s="429"/>
      <c r="M194" s="429"/>
      <c r="N194" s="429"/>
      <c r="O194" s="429"/>
      <c r="P194" s="429"/>
      <c r="Q194" s="429"/>
      <c r="R194" s="429"/>
      <c r="S194" s="429"/>
      <c r="T194" s="429"/>
      <c r="U194" s="429"/>
      <c r="V194" s="429"/>
      <c r="W194" s="429"/>
      <c r="X194" s="429"/>
      <c r="Y194" s="429"/>
      <c r="Z194" s="429"/>
      <c r="AA194" s="429"/>
      <c r="AB194" s="429"/>
      <c r="AC194" s="429"/>
      <c r="AD194" s="429"/>
      <c r="AE194" s="429"/>
      <c r="AF194" s="429"/>
      <c r="AG194" s="429"/>
      <c r="AH194" s="429"/>
      <c r="AI194" s="429"/>
      <c r="AJ194" s="429"/>
      <c r="AK194" s="429">
        <f>F194</f>
        <v>2380</v>
      </c>
      <c r="AL194" s="429"/>
      <c r="AM194" s="429"/>
      <c r="AN194" s="429"/>
      <c r="AO194" s="429"/>
      <c r="AP194" s="429"/>
      <c r="AQ194" s="429"/>
      <c r="AR194" s="429"/>
      <c r="AS194" s="429"/>
      <c r="AT194" s="429"/>
      <c r="AU194" s="429"/>
      <c r="AV194" s="429"/>
      <c r="AW194" s="429"/>
      <c r="AX194" s="429"/>
      <c r="AY194" s="429"/>
      <c r="AZ194" s="429"/>
      <c r="BA194" s="429"/>
      <c r="BB194" s="429"/>
      <c r="BC194" s="429"/>
      <c r="BD194" s="429"/>
      <c r="BE194" s="429"/>
      <c r="BF194" s="429"/>
      <c r="BG194" s="429"/>
      <c r="BH194" s="429"/>
      <c r="BI194" s="429"/>
      <c r="BJ194" s="429"/>
      <c r="BK194" s="429"/>
      <c r="BL194" s="429"/>
      <c r="BM194" s="429"/>
      <c r="BN194" s="429"/>
      <c r="BO194" s="429"/>
      <c r="BP194" s="102"/>
      <c r="BQ194" s="102">
        <v>4.857</v>
      </c>
      <c r="BR194" s="451">
        <f t="shared" si="13"/>
        <v>11559.66</v>
      </c>
      <c r="BS194" s="451">
        <f t="shared" si="17"/>
        <v>89587.37</v>
      </c>
      <c r="BT194" s="429" t="str">
        <f>IFERROR(VLOOKUP(E194,名称!A:D,4,FALSE),"")</f>
        <v>KIK</v>
      </c>
    </row>
    <row r="195" s="427" customFormat="1" hidden="1" customHeight="1" spans="1:72">
      <c r="A195" s="93">
        <v>46049</v>
      </c>
      <c r="B195" s="95" t="s">
        <v>248</v>
      </c>
      <c r="C195" s="96">
        <v>10119986</v>
      </c>
      <c r="D195" s="96">
        <v>4500032233</v>
      </c>
      <c r="E195" s="97" t="s">
        <v>113</v>
      </c>
      <c r="F195" s="99">
        <v>760</v>
      </c>
      <c r="G195" s="93">
        <v>46176</v>
      </c>
      <c r="H195" s="429"/>
      <c r="I195" s="429"/>
      <c r="J195" s="429"/>
      <c r="K195" s="429"/>
      <c r="L195" s="429"/>
      <c r="M195" s="429"/>
      <c r="N195" s="429"/>
      <c r="O195" s="429"/>
      <c r="P195" s="429"/>
      <c r="Q195" s="429"/>
      <c r="R195" s="429"/>
      <c r="S195" s="429"/>
      <c r="T195" s="429"/>
      <c r="U195" s="429"/>
      <c r="V195" s="429"/>
      <c r="W195" s="429"/>
      <c r="X195" s="429"/>
      <c r="Y195" s="429"/>
      <c r="Z195" s="429"/>
      <c r="AA195" s="429"/>
      <c r="AB195" s="429"/>
      <c r="AC195" s="429"/>
      <c r="AD195" s="429"/>
      <c r="AE195" s="429"/>
      <c r="AF195" s="429"/>
      <c r="AG195" s="429"/>
      <c r="AH195" s="429"/>
      <c r="AI195" s="429"/>
      <c r="AJ195" s="429"/>
      <c r="AK195" s="429"/>
      <c r="AL195" s="429"/>
      <c r="AM195" s="429"/>
      <c r="AN195" s="429">
        <f>F195</f>
        <v>760</v>
      </c>
      <c r="AO195" s="429"/>
      <c r="AP195" s="429"/>
      <c r="AQ195" s="429"/>
      <c r="AR195" s="429"/>
      <c r="AS195" s="429"/>
      <c r="AT195" s="429"/>
      <c r="AU195" s="429"/>
      <c r="AV195" s="429"/>
      <c r="AW195" s="429"/>
      <c r="AX195" s="429"/>
      <c r="AY195" s="429"/>
      <c r="AZ195" s="429"/>
      <c r="BA195" s="429"/>
      <c r="BB195" s="429"/>
      <c r="BC195" s="429"/>
      <c r="BD195" s="429"/>
      <c r="BE195" s="429"/>
      <c r="BF195" s="429"/>
      <c r="BG195" s="429"/>
      <c r="BH195" s="429"/>
      <c r="BI195" s="429"/>
      <c r="BJ195" s="429"/>
      <c r="BK195" s="429"/>
      <c r="BL195" s="429"/>
      <c r="BM195" s="429"/>
      <c r="BN195" s="429"/>
      <c r="BO195" s="429"/>
      <c r="BP195" s="102"/>
      <c r="BQ195" s="102">
        <v>6.154</v>
      </c>
      <c r="BR195" s="451">
        <f t="shared" si="13"/>
        <v>4677.04</v>
      </c>
      <c r="BS195" s="451">
        <f t="shared" si="17"/>
        <v>36247.06</v>
      </c>
      <c r="BT195" s="429" t="str">
        <f>IFERROR(VLOOKUP(E195,名称!A:D,4,FALSE),"")</f>
        <v>KIK</v>
      </c>
    </row>
    <row r="196" s="427" customFormat="1" hidden="1" customHeight="1" spans="1:72">
      <c r="A196" s="93">
        <v>46049</v>
      </c>
      <c r="B196" s="95" t="s">
        <v>248</v>
      </c>
      <c r="C196" s="96">
        <v>10119986</v>
      </c>
      <c r="D196" s="96">
        <v>4500032233</v>
      </c>
      <c r="E196" s="97" t="s">
        <v>113</v>
      </c>
      <c r="F196" s="99">
        <v>1240</v>
      </c>
      <c r="G196" s="93">
        <v>46176</v>
      </c>
      <c r="H196" s="429"/>
      <c r="I196" s="429"/>
      <c r="J196" s="429"/>
      <c r="K196" s="429"/>
      <c r="L196" s="429"/>
      <c r="M196" s="429"/>
      <c r="N196" s="429"/>
      <c r="O196" s="429"/>
      <c r="P196" s="429"/>
      <c r="Q196" s="429"/>
      <c r="R196" s="429"/>
      <c r="S196" s="429"/>
      <c r="T196" s="429"/>
      <c r="U196" s="429"/>
      <c r="V196" s="429"/>
      <c r="W196" s="429"/>
      <c r="X196" s="429"/>
      <c r="Y196" s="429"/>
      <c r="Z196" s="429"/>
      <c r="AA196" s="429"/>
      <c r="AB196" s="429"/>
      <c r="AC196" s="429"/>
      <c r="AD196" s="429"/>
      <c r="AE196" s="429"/>
      <c r="AF196" s="429"/>
      <c r="AG196" s="429"/>
      <c r="AH196" s="429"/>
      <c r="AI196" s="429"/>
      <c r="AJ196" s="429"/>
      <c r="AK196" s="429"/>
      <c r="AL196" s="429"/>
      <c r="AM196" s="429"/>
      <c r="AN196" s="429">
        <f>F196</f>
        <v>1240</v>
      </c>
      <c r="AO196" s="429"/>
      <c r="AP196" s="429"/>
      <c r="AQ196" s="429"/>
      <c r="AR196" s="429"/>
      <c r="AS196" s="429"/>
      <c r="AT196" s="429"/>
      <c r="AU196" s="429"/>
      <c r="AV196" s="429"/>
      <c r="AW196" s="429"/>
      <c r="AX196" s="429"/>
      <c r="AY196" s="429"/>
      <c r="AZ196" s="429"/>
      <c r="BA196" s="429"/>
      <c r="BB196" s="429"/>
      <c r="BC196" s="429"/>
      <c r="BD196" s="429"/>
      <c r="BE196" s="429"/>
      <c r="BF196" s="429"/>
      <c r="BG196" s="429"/>
      <c r="BH196" s="429"/>
      <c r="BI196" s="429"/>
      <c r="BJ196" s="429"/>
      <c r="BK196" s="429"/>
      <c r="BL196" s="429"/>
      <c r="BM196" s="429"/>
      <c r="BN196" s="429"/>
      <c r="BO196" s="429"/>
      <c r="BP196" s="102"/>
      <c r="BQ196" s="102">
        <v>6.154</v>
      </c>
      <c r="BR196" s="451">
        <f t="shared" ref="BR196:BR259" si="19">SUM(H196:BP196)*BQ196</f>
        <v>7630.96</v>
      </c>
      <c r="BS196" s="451">
        <f t="shared" si="17"/>
        <v>59139.94</v>
      </c>
      <c r="BT196" s="429" t="str">
        <f>IFERROR(VLOOKUP(E196,名称!A:D,4,FALSE),"")</f>
        <v>KIK</v>
      </c>
    </row>
    <row r="197" s="427" customFormat="1" hidden="1" customHeight="1" spans="1:72">
      <c r="A197" s="93">
        <v>46049</v>
      </c>
      <c r="B197" s="95" t="s">
        <v>248</v>
      </c>
      <c r="C197" s="96">
        <v>10119984</v>
      </c>
      <c r="D197" s="96">
        <v>4500032231</v>
      </c>
      <c r="E197" s="97" t="s">
        <v>113</v>
      </c>
      <c r="F197" s="99">
        <v>3600</v>
      </c>
      <c r="G197" s="93">
        <v>46169</v>
      </c>
      <c r="H197" s="429"/>
      <c r="I197" s="429"/>
      <c r="J197" s="429"/>
      <c r="K197" s="429"/>
      <c r="L197" s="429"/>
      <c r="M197" s="429"/>
      <c r="N197" s="429"/>
      <c r="O197" s="429"/>
      <c r="P197" s="429"/>
      <c r="Q197" s="429"/>
      <c r="R197" s="429"/>
      <c r="S197" s="429"/>
      <c r="T197" s="429"/>
      <c r="U197" s="429"/>
      <c r="V197" s="429"/>
      <c r="W197" s="429"/>
      <c r="X197" s="429"/>
      <c r="Y197" s="429"/>
      <c r="Z197" s="429"/>
      <c r="AA197" s="429"/>
      <c r="AB197" s="429"/>
      <c r="AC197" s="429"/>
      <c r="AD197" s="429"/>
      <c r="AE197" s="429"/>
      <c r="AF197" s="429"/>
      <c r="AG197" s="429"/>
      <c r="AH197" s="429"/>
      <c r="AI197" s="429"/>
      <c r="AJ197" s="429"/>
      <c r="AK197" s="429"/>
      <c r="AL197" s="429"/>
      <c r="AM197" s="429"/>
      <c r="AN197" s="429">
        <f>F197</f>
        <v>3600</v>
      </c>
      <c r="AO197" s="429"/>
      <c r="AP197" s="429"/>
      <c r="AQ197" s="429"/>
      <c r="AR197" s="429"/>
      <c r="AS197" s="429"/>
      <c r="AT197" s="429"/>
      <c r="AU197" s="429"/>
      <c r="AV197" s="429"/>
      <c r="AW197" s="429"/>
      <c r="AX197" s="429"/>
      <c r="AY197" s="429"/>
      <c r="AZ197" s="429"/>
      <c r="BA197" s="429"/>
      <c r="BB197" s="429"/>
      <c r="BC197" s="429"/>
      <c r="BD197" s="429"/>
      <c r="BE197" s="429"/>
      <c r="BF197" s="429"/>
      <c r="BG197" s="429"/>
      <c r="BH197" s="429"/>
      <c r="BI197" s="429"/>
      <c r="BJ197" s="429"/>
      <c r="BK197" s="429"/>
      <c r="BL197" s="429"/>
      <c r="BM197" s="429"/>
      <c r="BN197" s="429"/>
      <c r="BO197" s="429"/>
      <c r="BP197" s="102"/>
      <c r="BQ197" s="102">
        <v>6.154</v>
      </c>
      <c r="BR197" s="451">
        <f t="shared" si="19"/>
        <v>22154.4</v>
      </c>
      <c r="BS197" s="451">
        <f t="shared" si="17"/>
        <v>171696.6</v>
      </c>
      <c r="BT197" s="429" t="str">
        <f>IFERROR(VLOOKUP(E197,名称!A:D,4,FALSE),"")</f>
        <v>KIK</v>
      </c>
    </row>
    <row r="198" s="427" customFormat="1" hidden="1" customHeight="1" spans="1:72">
      <c r="A198" s="93">
        <v>46049</v>
      </c>
      <c r="B198" s="95" t="s">
        <v>248</v>
      </c>
      <c r="C198" s="96">
        <v>10119985</v>
      </c>
      <c r="D198" s="96">
        <v>4500032230</v>
      </c>
      <c r="E198" s="97" t="s">
        <v>107</v>
      </c>
      <c r="F198" s="99">
        <f>1052-452</f>
        <v>600</v>
      </c>
      <c r="G198" s="93">
        <v>46169</v>
      </c>
      <c r="H198" s="429"/>
      <c r="I198" s="429"/>
      <c r="J198" s="429"/>
      <c r="K198" s="429"/>
      <c r="L198" s="429"/>
      <c r="M198" s="429"/>
      <c r="N198" s="429"/>
      <c r="O198" s="429"/>
      <c r="P198" s="429"/>
      <c r="Q198" s="429"/>
      <c r="R198" s="429"/>
      <c r="S198" s="429"/>
      <c r="T198" s="429"/>
      <c r="U198" s="429"/>
      <c r="V198" s="429"/>
      <c r="W198" s="429"/>
      <c r="X198" s="429"/>
      <c r="Y198" s="429"/>
      <c r="Z198" s="429"/>
      <c r="AA198" s="429"/>
      <c r="AB198" s="429"/>
      <c r="AC198" s="429"/>
      <c r="AD198" s="429"/>
      <c r="AE198" s="429"/>
      <c r="AF198" s="429"/>
      <c r="AG198" s="429"/>
      <c r="AH198" s="429"/>
      <c r="AI198" s="429"/>
      <c r="AJ198" s="429"/>
      <c r="AK198" s="429">
        <f>F198</f>
        <v>600</v>
      </c>
      <c r="AL198" s="429"/>
      <c r="AM198" s="429"/>
      <c r="AN198" s="429"/>
      <c r="AO198" s="429"/>
      <c r="AP198" s="429"/>
      <c r="AQ198" s="429"/>
      <c r="AR198" s="429"/>
      <c r="AS198" s="429"/>
      <c r="AT198" s="429"/>
      <c r="AU198" s="429"/>
      <c r="AV198" s="429"/>
      <c r="AW198" s="429"/>
      <c r="AX198" s="429"/>
      <c r="AY198" s="429"/>
      <c r="AZ198" s="429"/>
      <c r="BA198" s="429"/>
      <c r="BB198" s="429"/>
      <c r="BC198" s="429"/>
      <c r="BD198" s="429"/>
      <c r="BE198" s="429"/>
      <c r="BF198" s="429"/>
      <c r="BG198" s="429"/>
      <c r="BH198" s="429"/>
      <c r="BI198" s="429"/>
      <c r="BJ198" s="429"/>
      <c r="BK198" s="429"/>
      <c r="BL198" s="429"/>
      <c r="BM198" s="429"/>
      <c r="BN198" s="429"/>
      <c r="BO198" s="429"/>
      <c r="BP198" s="102"/>
      <c r="BQ198" s="102">
        <v>4.857</v>
      </c>
      <c r="BR198" s="451">
        <f t="shared" si="19"/>
        <v>2914.2</v>
      </c>
      <c r="BS198" s="451">
        <f t="shared" si="17"/>
        <v>22585.05</v>
      </c>
      <c r="BT198" s="429" t="str">
        <f>IFERROR(VLOOKUP(E198,名称!A:D,4,FALSE),"")</f>
        <v>KIK</v>
      </c>
    </row>
    <row r="199" s="427" customFormat="1" hidden="1" customHeight="1" spans="1:72">
      <c r="A199" s="93">
        <v>46049</v>
      </c>
      <c r="B199" s="95" t="s">
        <v>248</v>
      </c>
      <c r="C199" s="96">
        <v>10119985</v>
      </c>
      <c r="D199" s="96">
        <v>4500032230</v>
      </c>
      <c r="E199" s="97" t="s">
        <v>105</v>
      </c>
      <c r="F199" s="99">
        <f>1500-900</f>
        <v>600</v>
      </c>
      <c r="G199" s="93">
        <v>46169</v>
      </c>
      <c r="H199" s="429"/>
      <c r="I199" s="429"/>
      <c r="J199" s="429"/>
      <c r="K199" s="429"/>
      <c r="L199" s="429"/>
      <c r="M199" s="429"/>
      <c r="N199" s="429"/>
      <c r="O199" s="429"/>
      <c r="P199" s="429"/>
      <c r="Q199" s="429"/>
      <c r="R199" s="429"/>
      <c r="S199" s="429"/>
      <c r="T199" s="429"/>
      <c r="U199" s="429"/>
      <c r="V199" s="429"/>
      <c r="W199" s="429"/>
      <c r="X199" s="429"/>
      <c r="Y199" s="429"/>
      <c r="Z199" s="429"/>
      <c r="AA199" s="429"/>
      <c r="AB199" s="429"/>
      <c r="AC199" s="429"/>
      <c r="AD199" s="429"/>
      <c r="AE199" s="429"/>
      <c r="AF199" s="429"/>
      <c r="AG199" s="429"/>
      <c r="AH199" s="429"/>
      <c r="AI199" s="429"/>
      <c r="AJ199" s="429">
        <f>F199</f>
        <v>600</v>
      </c>
      <c r="AK199" s="429"/>
      <c r="AL199" s="429"/>
      <c r="AM199" s="429"/>
      <c r="AN199" s="429"/>
      <c r="AO199" s="429"/>
      <c r="AP199" s="429"/>
      <c r="AQ199" s="429"/>
      <c r="AR199" s="429"/>
      <c r="AS199" s="429"/>
      <c r="AT199" s="429"/>
      <c r="AU199" s="429"/>
      <c r="AV199" s="429"/>
      <c r="AW199" s="429"/>
      <c r="AX199" s="429"/>
      <c r="AY199" s="429"/>
      <c r="AZ199" s="429"/>
      <c r="BA199" s="429"/>
      <c r="BB199" s="429"/>
      <c r="BC199" s="429"/>
      <c r="BD199" s="429"/>
      <c r="BE199" s="429"/>
      <c r="BF199" s="429"/>
      <c r="BG199" s="429"/>
      <c r="BH199" s="429"/>
      <c r="BI199" s="429"/>
      <c r="BJ199" s="429"/>
      <c r="BK199" s="429"/>
      <c r="BL199" s="429"/>
      <c r="BM199" s="429"/>
      <c r="BN199" s="429"/>
      <c r="BO199" s="429"/>
      <c r="BP199" s="102"/>
      <c r="BQ199" s="102">
        <v>2.934</v>
      </c>
      <c r="BR199" s="451">
        <f t="shared" si="19"/>
        <v>1760.4</v>
      </c>
      <c r="BS199" s="451">
        <f t="shared" si="17"/>
        <v>13643.1</v>
      </c>
      <c r="BT199" s="429" t="str">
        <f>IFERROR(VLOOKUP(E199,名称!A:D,4,FALSE),"")</f>
        <v>KIK</v>
      </c>
    </row>
    <row r="200" s="427" customFormat="1" hidden="1" customHeight="1" spans="1:72">
      <c r="A200" s="93">
        <v>46053</v>
      </c>
      <c r="B200" s="95" t="s">
        <v>248</v>
      </c>
      <c r="C200" s="96">
        <v>10120266</v>
      </c>
      <c r="D200" s="96" t="s">
        <v>253</v>
      </c>
      <c r="E200" s="97" t="s">
        <v>89</v>
      </c>
      <c r="F200" s="99">
        <v>2</v>
      </c>
      <c r="G200" s="93">
        <v>46058</v>
      </c>
      <c r="H200" s="429"/>
      <c r="I200" s="429"/>
      <c r="J200" s="429"/>
      <c r="K200" s="429"/>
      <c r="L200" s="429"/>
      <c r="M200" s="429"/>
      <c r="N200" s="429"/>
      <c r="O200" s="429"/>
      <c r="P200" s="429"/>
      <c r="Q200" s="429"/>
      <c r="R200" s="429"/>
      <c r="S200" s="429"/>
      <c r="T200" s="429"/>
      <c r="U200" s="429"/>
      <c r="V200" s="429"/>
      <c r="W200" s="429"/>
      <c r="X200" s="429"/>
      <c r="Y200" s="429"/>
      <c r="Z200" s="429"/>
      <c r="AA200" s="429"/>
      <c r="AB200" s="429"/>
      <c r="AC200" s="429"/>
      <c r="AD200" s="429"/>
      <c r="AE200" s="429"/>
      <c r="AF200" s="429">
        <f>F200/6*3</f>
        <v>1</v>
      </c>
      <c r="AG200" s="429">
        <f>F200/6*3</f>
        <v>1</v>
      </c>
      <c r="AH200" s="429"/>
      <c r="AI200" s="429"/>
      <c r="AJ200" s="429"/>
      <c r="AK200" s="429"/>
      <c r="AL200" s="429"/>
      <c r="AM200" s="429"/>
      <c r="AN200" s="429"/>
      <c r="AO200" s="429"/>
      <c r="AP200" s="429"/>
      <c r="AQ200" s="429"/>
      <c r="AR200" s="429"/>
      <c r="AS200" s="429"/>
      <c r="AT200" s="429"/>
      <c r="AU200" s="429"/>
      <c r="AV200" s="429"/>
      <c r="AW200" s="429"/>
      <c r="AX200" s="429"/>
      <c r="AY200" s="429"/>
      <c r="AZ200" s="429"/>
      <c r="BA200" s="429"/>
      <c r="BB200" s="429"/>
      <c r="BC200" s="429"/>
      <c r="BD200" s="429"/>
      <c r="BE200" s="429"/>
      <c r="BF200" s="429"/>
      <c r="BG200" s="429"/>
      <c r="BH200" s="429"/>
      <c r="BI200" s="429"/>
      <c r="BJ200" s="429"/>
      <c r="BK200" s="429"/>
      <c r="BL200" s="429"/>
      <c r="BM200" s="429"/>
      <c r="BN200" s="429"/>
      <c r="BO200" s="429"/>
      <c r="BP200" s="102"/>
      <c r="BQ200" s="102">
        <v>1.337</v>
      </c>
      <c r="BR200" s="451">
        <f t="shared" si="19"/>
        <v>2.67</v>
      </c>
      <c r="BS200" s="451">
        <f t="shared" ref="BS200:BS213" si="20">BR200*7.75</f>
        <v>20.69</v>
      </c>
      <c r="BT200" s="429" t="str">
        <f>IFERROR(VLOOKUP(E200,名称!A:D,4,FALSE),"")</f>
        <v>KIK</v>
      </c>
    </row>
    <row r="201" s="427" customFormat="1" hidden="1" customHeight="1" spans="1:72">
      <c r="A201" s="93">
        <v>46053</v>
      </c>
      <c r="B201" s="95" t="s">
        <v>248</v>
      </c>
      <c r="C201" s="96">
        <v>10120266</v>
      </c>
      <c r="D201" s="96" t="s">
        <v>253</v>
      </c>
      <c r="E201" s="97" t="s">
        <v>95</v>
      </c>
      <c r="F201" s="99">
        <v>2</v>
      </c>
      <c r="G201" s="93">
        <v>46058</v>
      </c>
      <c r="H201" s="429"/>
      <c r="I201" s="429"/>
      <c r="J201" s="429"/>
      <c r="K201" s="429"/>
      <c r="L201" s="429"/>
      <c r="M201" s="429"/>
      <c r="N201" s="429"/>
      <c r="O201" s="429"/>
      <c r="P201" s="429"/>
      <c r="Q201" s="429"/>
      <c r="R201" s="429"/>
      <c r="S201" s="429"/>
      <c r="T201" s="429"/>
      <c r="U201" s="429"/>
      <c r="V201" s="429"/>
      <c r="W201" s="429"/>
      <c r="X201" s="429"/>
      <c r="Y201" s="429"/>
      <c r="Z201" s="429"/>
      <c r="AA201" s="429"/>
      <c r="AB201" s="429"/>
      <c r="AC201" s="429"/>
      <c r="AD201" s="429"/>
      <c r="AE201" s="429"/>
      <c r="AF201" s="429"/>
      <c r="AG201" s="429"/>
      <c r="AH201" s="429">
        <f>F201</f>
        <v>2</v>
      </c>
      <c r="AI201" s="429"/>
      <c r="AJ201" s="429"/>
      <c r="AK201" s="429"/>
      <c r="AL201" s="429"/>
      <c r="AM201" s="429"/>
      <c r="AN201" s="429"/>
      <c r="AO201" s="429"/>
      <c r="AP201" s="429"/>
      <c r="AQ201" s="429"/>
      <c r="AR201" s="429"/>
      <c r="AS201" s="429"/>
      <c r="AT201" s="429"/>
      <c r="AU201" s="429"/>
      <c r="AV201" s="429"/>
      <c r="AW201" s="429"/>
      <c r="AX201" s="429"/>
      <c r="AY201" s="429"/>
      <c r="AZ201" s="429"/>
      <c r="BA201" s="429"/>
      <c r="BB201" s="429"/>
      <c r="BC201" s="429"/>
      <c r="BD201" s="429"/>
      <c r="BE201" s="429"/>
      <c r="BF201" s="429"/>
      <c r="BG201" s="429"/>
      <c r="BH201" s="429"/>
      <c r="BI201" s="429"/>
      <c r="BJ201" s="429"/>
      <c r="BK201" s="429"/>
      <c r="BL201" s="429"/>
      <c r="BM201" s="429"/>
      <c r="BN201" s="429"/>
      <c r="BO201" s="429"/>
      <c r="BP201" s="102"/>
      <c r="BQ201" s="102">
        <v>2.158</v>
      </c>
      <c r="BR201" s="451">
        <f t="shared" si="19"/>
        <v>4.32</v>
      </c>
      <c r="BS201" s="451">
        <f t="shared" si="20"/>
        <v>33.48</v>
      </c>
      <c r="BT201" s="429" t="str">
        <f>IFERROR(VLOOKUP(E201,名称!A:D,4,FALSE),"")</f>
        <v>KIK</v>
      </c>
    </row>
    <row r="202" s="427" customFormat="1" hidden="1" customHeight="1" spans="1:72">
      <c r="A202" s="93">
        <v>46053</v>
      </c>
      <c r="B202" s="95" t="s">
        <v>248</v>
      </c>
      <c r="C202" s="96">
        <v>10120266</v>
      </c>
      <c r="D202" s="96" t="s">
        <v>253</v>
      </c>
      <c r="E202" s="97" t="s">
        <v>97</v>
      </c>
      <c r="F202" s="99">
        <v>2</v>
      </c>
      <c r="G202" s="93">
        <v>46058</v>
      </c>
      <c r="H202" s="429"/>
      <c r="I202" s="429"/>
      <c r="J202" s="429"/>
      <c r="K202" s="429"/>
      <c r="L202" s="429"/>
      <c r="M202" s="429"/>
      <c r="N202" s="429"/>
      <c r="O202" s="429"/>
      <c r="P202" s="429"/>
      <c r="Q202" s="429"/>
      <c r="R202" s="429"/>
      <c r="S202" s="429"/>
      <c r="T202" s="429"/>
      <c r="U202" s="429"/>
      <c r="V202" s="429"/>
      <c r="W202" s="429"/>
      <c r="X202" s="429"/>
      <c r="Y202" s="429"/>
      <c r="Z202" s="429"/>
      <c r="AA202" s="429"/>
      <c r="AB202" s="429"/>
      <c r="AC202" s="429"/>
      <c r="AD202" s="429"/>
      <c r="AE202" s="429"/>
      <c r="AF202" s="429"/>
      <c r="AG202" s="429"/>
      <c r="AH202" s="429"/>
      <c r="AI202" s="429">
        <f>F202</f>
        <v>2</v>
      </c>
      <c r="AJ202" s="429"/>
      <c r="AK202" s="429"/>
      <c r="AL202" s="429"/>
      <c r="AM202" s="429"/>
      <c r="AN202" s="429"/>
      <c r="AO202" s="429"/>
      <c r="AP202" s="429"/>
      <c r="AQ202" s="429"/>
      <c r="AR202" s="429"/>
      <c r="AS202" s="429"/>
      <c r="AT202" s="429"/>
      <c r="AU202" s="429"/>
      <c r="AV202" s="429"/>
      <c r="AW202" s="429"/>
      <c r="AX202" s="429"/>
      <c r="AY202" s="429"/>
      <c r="AZ202" s="429"/>
      <c r="BA202" s="429"/>
      <c r="BB202" s="429"/>
      <c r="BC202" s="429"/>
      <c r="BD202" s="429"/>
      <c r="BE202" s="429"/>
      <c r="BF202" s="429"/>
      <c r="BG202" s="429"/>
      <c r="BH202" s="429"/>
      <c r="BI202" s="429"/>
      <c r="BJ202" s="429"/>
      <c r="BK202" s="429"/>
      <c r="BL202" s="429"/>
      <c r="BM202" s="429"/>
      <c r="BN202" s="429"/>
      <c r="BO202" s="429"/>
      <c r="BP202" s="102"/>
      <c r="BQ202" s="102">
        <v>3.216</v>
      </c>
      <c r="BR202" s="451">
        <f t="shared" si="19"/>
        <v>6.43</v>
      </c>
      <c r="BS202" s="451">
        <f t="shared" si="20"/>
        <v>49.83</v>
      </c>
      <c r="BT202" s="429" t="str">
        <f>IFERROR(VLOOKUP(E202,名称!A:D,4,FALSE),"")</f>
        <v>KIK</v>
      </c>
    </row>
    <row r="203" s="427" customFormat="1" hidden="1" customHeight="1" spans="1:72">
      <c r="A203" s="93">
        <v>46053</v>
      </c>
      <c r="B203" s="95" t="s">
        <v>248</v>
      </c>
      <c r="C203" s="96">
        <v>10120266</v>
      </c>
      <c r="D203" s="96" t="s">
        <v>253</v>
      </c>
      <c r="E203" s="97" t="s">
        <v>141</v>
      </c>
      <c r="F203" s="99">
        <v>2</v>
      </c>
      <c r="G203" s="93">
        <v>46058</v>
      </c>
      <c r="H203" s="429"/>
      <c r="I203" s="429"/>
      <c r="J203" s="429"/>
      <c r="K203" s="429"/>
      <c r="L203" s="429"/>
      <c r="M203" s="429"/>
      <c r="N203" s="429"/>
      <c r="O203" s="429"/>
      <c r="P203" s="429"/>
      <c r="Q203" s="429"/>
      <c r="R203" s="429"/>
      <c r="S203" s="429"/>
      <c r="T203" s="429"/>
      <c r="U203" s="429"/>
      <c r="V203" s="429"/>
      <c r="W203" s="429"/>
      <c r="X203" s="429"/>
      <c r="Y203" s="429"/>
      <c r="Z203" s="429"/>
      <c r="AA203" s="429"/>
      <c r="AB203" s="429"/>
      <c r="AC203" s="429"/>
      <c r="AD203" s="429"/>
      <c r="AE203" s="429"/>
      <c r="AF203" s="429">
        <f>F203/6*3</f>
        <v>1</v>
      </c>
      <c r="AG203" s="429">
        <f>F203/6*3</f>
        <v>1</v>
      </c>
      <c r="AH203" s="429"/>
      <c r="AI203" s="429"/>
      <c r="AJ203" s="429"/>
      <c r="AK203" s="429"/>
      <c r="AL203" s="429"/>
      <c r="AM203" s="429"/>
      <c r="AN203" s="429"/>
      <c r="AO203" s="429"/>
      <c r="AP203" s="429"/>
      <c r="AQ203" s="429"/>
      <c r="AR203" s="429"/>
      <c r="AS203" s="429"/>
      <c r="AT203" s="429"/>
      <c r="AU203" s="429"/>
      <c r="AV203" s="429"/>
      <c r="AW203" s="429"/>
      <c r="AX203" s="429"/>
      <c r="AY203" s="429"/>
      <c r="AZ203" s="429"/>
      <c r="BA203" s="429"/>
      <c r="BB203" s="429"/>
      <c r="BC203" s="429"/>
      <c r="BD203" s="429"/>
      <c r="BE203" s="429"/>
      <c r="BF203" s="429"/>
      <c r="BG203" s="429"/>
      <c r="BH203" s="429"/>
      <c r="BI203" s="429"/>
      <c r="BJ203" s="429"/>
      <c r="BK203" s="429"/>
      <c r="BL203" s="429"/>
      <c r="BM203" s="429"/>
      <c r="BN203" s="429"/>
      <c r="BO203" s="429"/>
      <c r="BP203" s="102"/>
      <c r="BQ203" s="102">
        <v>2.357</v>
      </c>
      <c r="BR203" s="451">
        <f t="shared" si="19"/>
        <v>4.71</v>
      </c>
      <c r="BS203" s="451">
        <f t="shared" si="20"/>
        <v>36.5</v>
      </c>
      <c r="BT203" s="429" t="str">
        <f>IFERROR(VLOOKUP(E203,名称!A:D,4,FALSE),"")</f>
        <v>KIK</v>
      </c>
    </row>
    <row r="204" s="427" customFormat="1" hidden="1" customHeight="1" spans="1:72">
      <c r="A204" s="93">
        <v>46053</v>
      </c>
      <c r="B204" s="95" t="s">
        <v>248</v>
      </c>
      <c r="C204" s="96">
        <v>10120258</v>
      </c>
      <c r="D204" s="96" t="s">
        <v>254</v>
      </c>
      <c r="E204" s="97" t="s">
        <v>89</v>
      </c>
      <c r="F204" s="99">
        <v>2</v>
      </c>
      <c r="G204" s="93">
        <v>46058</v>
      </c>
      <c r="H204" s="429"/>
      <c r="I204" s="429"/>
      <c r="J204" s="429"/>
      <c r="K204" s="429"/>
      <c r="L204" s="429"/>
      <c r="M204" s="429"/>
      <c r="N204" s="429"/>
      <c r="O204" s="429"/>
      <c r="P204" s="429"/>
      <c r="Q204" s="429"/>
      <c r="R204" s="429"/>
      <c r="S204" s="429"/>
      <c r="T204" s="429"/>
      <c r="U204" s="429"/>
      <c r="V204" s="429"/>
      <c r="W204" s="429"/>
      <c r="X204" s="429"/>
      <c r="Y204" s="429"/>
      <c r="Z204" s="429"/>
      <c r="AA204" s="429"/>
      <c r="AB204" s="429"/>
      <c r="AC204" s="429"/>
      <c r="AD204" s="429"/>
      <c r="AE204" s="429"/>
      <c r="AF204" s="429">
        <f>F204/6*3</f>
        <v>1</v>
      </c>
      <c r="AG204" s="429">
        <f>F204/6*3</f>
        <v>1</v>
      </c>
      <c r="AH204" s="429"/>
      <c r="AI204" s="429"/>
      <c r="AJ204" s="429"/>
      <c r="AK204" s="429"/>
      <c r="AL204" s="429"/>
      <c r="AM204" s="429"/>
      <c r="AN204" s="429"/>
      <c r="AO204" s="429"/>
      <c r="AP204" s="429"/>
      <c r="AQ204" s="429"/>
      <c r="AR204" s="429"/>
      <c r="AS204" s="429"/>
      <c r="AT204" s="429"/>
      <c r="AU204" s="429"/>
      <c r="AV204" s="429"/>
      <c r="AW204" s="429"/>
      <c r="AX204" s="429"/>
      <c r="AY204" s="429"/>
      <c r="AZ204" s="429"/>
      <c r="BA204" s="429"/>
      <c r="BB204" s="429"/>
      <c r="BC204" s="429"/>
      <c r="BD204" s="429"/>
      <c r="BE204" s="429"/>
      <c r="BF204" s="429"/>
      <c r="BG204" s="429"/>
      <c r="BH204" s="429"/>
      <c r="BI204" s="429"/>
      <c r="BJ204" s="429"/>
      <c r="BK204" s="429"/>
      <c r="BL204" s="429"/>
      <c r="BM204" s="429"/>
      <c r="BN204" s="429"/>
      <c r="BO204" s="429"/>
      <c r="BP204" s="102"/>
      <c r="BQ204" s="102">
        <v>1.337</v>
      </c>
      <c r="BR204" s="451">
        <f t="shared" si="19"/>
        <v>2.67</v>
      </c>
      <c r="BS204" s="451">
        <f t="shared" si="20"/>
        <v>20.69</v>
      </c>
      <c r="BT204" s="429" t="str">
        <f>IFERROR(VLOOKUP(E204,名称!A:D,4,FALSE),"")</f>
        <v>KIK</v>
      </c>
    </row>
    <row r="205" s="427" customFormat="1" hidden="1" customHeight="1" spans="1:72">
      <c r="A205" s="93">
        <v>46053</v>
      </c>
      <c r="B205" s="95" t="s">
        <v>248</v>
      </c>
      <c r="C205" s="96">
        <v>10120258</v>
      </c>
      <c r="D205" s="96" t="s">
        <v>254</v>
      </c>
      <c r="E205" s="97" t="s">
        <v>95</v>
      </c>
      <c r="F205" s="99">
        <v>2</v>
      </c>
      <c r="G205" s="93">
        <v>46058</v>
      </c>
      <c r="H205" s="429"/>
      <c r="I205" s="429"/>
      <c r="J205" s="429"/>
      <c r="K205" s="429"/>
      <c r="L205" s="429"/>
      <c r="M205" s="429"/>
      <c r="N205" s="429"/>
      <c r="O205" s="429"/>
      <c r="P205" s="429"/>
      <c r="Q205" s="429"/>
      <c r="R205" s="429"/>
      <c r="S205" s="429"/>
      <c r="T205" s="429"/>
      <c r="U205" s="429"/>
      <c r="V205" s="429"/>
      <c r="W205" s="429"/>
      <c r="X205" s="429"/>
      <c r="Y205" s="429"/>
      <c r="Z205" s="429"/>
      <c r="AA205" s="429"/>
      <c r="AB205" s="429"/>
      <c r="AC205" s="429"/>
      <c r="AD205" s="429"/>
      <c r="AE205" s="429"/>
      <c r="AF205" s="429"/>
      <c r="AG205" s="429"/>
      <c r="AH205" s="429">
        <f>F205</f>
        <v>2</v>
      </c>
      <c r="AI205" s="429"/>
      <c r="AJ205" s="429"/>
      <c r="AK205" s="429"/>
      <c r="AL205" s="429"/>
      <c r="AM205" s="429"/>
      <c r="AN205" s="429"/>
      <c r="AO205" s="429"/>
      <c r="AP205" s="429"/>
      <c r="AQ205" s="429"/>
      <c r="AR205" s="429"/>
      <c r="AS205" s="429"/>
      <c r="AT205" s="429"/>
      <c r="AU205" s="429"/>
      <c r="AV205" s="429"/>
      <c r="AW205" s="429"/>
      <c r="AX205" s="429"/>
      <c r="AY205" s="429"/>
      <c r="AZ205" s="429"/>
      <c r="BA205" s="429"/>
      <c r="BB205" s="429"/>
      <c r="BC205" s="429"/>
      <c r="BD205" s="429"/>
      <c r="BE205" s="429"/>
      <c r="BF205" s="429"/>
      <c r="BG205" s="429"/>
      <c r="BH205" s="429"/>
      <c r="BI205" s="429"/>
      <c r="BJ205" s="429"/>
      <c r="BK205" s="429"/>
      <c r="BL205" s="429"/>
      <c r="BM205" s="429"/>
      <c r="BN205" s="429"/>
      <c r="BO205" s="429"/>
      <c r="BP205" s="102"/>
      <c r="BQ205" s="102">
        <v>2.158</v>
      </c>
      <c r="BR205" s="451">
        <f t="shared" si="19"/>
        <v>4.32</v>
      </c>
      <c r="BS205" s="451">
        <f t="shared" si="20"/>
        <v>33.48</v>
      </c>
      <c r="BT205" s="429" t="str">
        <f>IFERROR(VLOOKUP(E205,名称!A:D,4,FALSE),"")</f>
        <v>KIK</v>
      </c>
    </row>
    <row r="206" s="427" customFormat="1" hidden="1" customHeight="1" spans="1:72">
      <c r="A206" s="93">
        <v>46053</v>
      </c>
      <c r="B206" s="95" t="s">
        <v>248</v>
      </c>
      <c r="C206" s="96">
        <v>10120258</v>
      </c>
      <c r="D206" s="96" t="s">
        <v>254</v>
      </c>
      <c r="E206" s="97" t="s">
        <v>97</v>
      </c>
      <c r="F206" s="99">
        <v>2</v>
      </c>
      <c r="G206" s="93">
        <v>46058</v>
      </c>
      <c r="H206" s="429"/>
      <c r="I206" s="429"/>
      <c r="J206" s="429"/>
      <c r="K206" s="429"/>
      <c r="L206" s="429"/>
      <c r="M206" s="429"/>
      <c r="N206" s="429"/>
      <c r="O206" s="429"/>
      <c r="P206" s="429"/>
      <c r="Q206" s="429"/>
      <c r="R206" s="429"/>
      <c r="S206" s="429"/>
      <c r="T206" s="429"/>
      <c r="U206" s="429"/>
      <c r="V206" s="429"/>
      <c r="W206" s="429"/>
      <c r="X206" s="429"/>
      <c r="Y206" s="429"/>
      <c r="Z206" s="429"/>
      <c r="AA206" s="429"/>
      <c r="AB206" s="429"/>
      <c r="AC206" s="429"/>
      <c r="AD206" s="429"/>
      <c r="AE206" s="429"/>
      <c r="AF206" s="429"/>
      <c r="AG206" s="429"/>
      <c r="AH206" s="429"/>
      <c r="AI206" s="429">
        <f>F206</f>
        <v>2</v>
      </c>
      <c r="AJ206" s="429"/>
      <c r="AK206" s="429"/>
      <c r="AL206" s="429"/>
      <c r="AM206" s="429"/>
      <c r="AN206" s="429"/>
      <c r="AO206" s="429"/>
      <c r="AP206" s="429"/>
      <c r="AQ206" s="429"/>
      <c r="AR206" s="429"/>
      <c r="AS206" s="429"/>
      <c r="AT206" s="429"/>
      <c r="AU206" s="429"/>
      <c r="AV206" s="429"/>
      <c r="AW206" s="429"/>
      <c r="AX206" s="429"/>
      <c r="AY206" s="429"/>
      <c r="AZ206" s="429"/>
      <c r="BA206" s="429"/>
      <c r="BB206" s="429"/>
      <c r="BC206" s="429"/>
      <c r="BD206" s="429"/>
      <c r="BE206" s="429"/>
      <c r="BF206" s="429"/>
      <c r="BG206" s="429"/>
      <c r="BH206" s="429"/>
      <c r="BI206" s="429"/>
      <c r="BJ206" s="429"/>
      <c r="BK206" s="429"/>
      <c r="BL206" s="429"/>
      <c r="BM206" s="429"/>
      <c r="BN206" s="429"/>
      <c r="BO206" s="429"/>
      <c r="BP206" s="102"/>
      <c r="BQ206" s="102">
        <v>3.216</v>
      </c>
      <c r="BR206" s="451">
        <f t="shared" si="19"/>
        <v>6.43</v>
      </c>
      <c r="BS206" s="451">
        <f t="shared" si="20"/>
        <v>49.83</v>
      </c>
      <c r="BT206" s="429" t="str">
        <f>IFERROR(VLOOKUP(E206,名称!A:D,4,FALSE),"")</f>
        <v>KIK</v>
      </c>
    </row>
    <row r="207" s="427" customFormat="1" hidden="1" customHeight="1" spans="1:72">
      <c r="A207" s="93">
        <v>46053</v>
      </c>
      <c r="B207" s="95" t="s">
        <v>248</v>
      </c>
      <c r="C207" s="96">
        <v>10120258</v>
      </c>
      <c r="D207" s="96" t="s">
        <v>254</v>
      </c>
      <c r="E207" s="97" t="s">
        <v>141</v>
      </c>
      <c r="F207" s="99">
        <v>2</v>
      </c>
      <c r="G207" s="93">
        <v>46058</v>
      </c>
      <c r="H207" s="429"/>
      <c r="I207" s="429"/>
      <c r="J207" s="429"/>
      <c r="K207" s="429"/>
      <c r="L207" s="429"/>
      <c r="M207" s="429"/>
      <c r="N207" s="429"/>
      <c r="O207" s="429"/>
      <c r="P207" s="429"/>
      <c r="Q207" s="429"/>
      <c r="R207" s="429"/>
      <c r="S207" s="429"/>
      <c r="T207" s="429"/>
      <c r="U207" s="429"/>
      <c r="V207" s="429"/>
      <c r="W207" s="429"/>
      <c r="X207" s="429"/>
      <c r="Y207" s="429"/>
      <c r="Z207" s="429"/>
      <c r="AA207" s="429"/>
      <c r="AB207" s="429"/>
      <c r="AC207" s="429"/>
      <c r="AD207" s="429"/>
      <c r="AE207" s="429"/>
      <c r="AF207" s="429">
        <f>F207/6*3</f>
        <v>1</v>
      </c>
      <c r="AG207" s="429">
        <f>F207/6*3</f>
        <v>1</v>
      </c>
      <c r="AH207" s="429"/>
      <c r="AI207" s="429"/>
      <c r="AJ207" s="429"/>
      <c r="AK207" s="429"/>
      <c r="AL207" s="429"/>
      <c r="AM207" s="429"/>
      <c r="AN207" s="429"/>
      <c r="AO207" s="429"/>
      <c r="AP207" s="429"/>
      <c r="AQ207" s="429"/>
      <c r="AR207" s="429"/>
      <c r="AS207" s="429"/>
      <c r="AT207" s="429"/>
      <c r="AU207" s="429"/>
      <c r="AV207" s="429"/>
      <c r="AW207" s="429"/>
      <c r="AX207" s="429"/>
      <c r="AY207" s="429"/>
      <c r="AZ207" s="429"/>
      <c r="BA207" s="429"/>
      <c r="BB207" s="429"/>
      <c r="BC207" s="429"/>
      <c r="BD207" s="429"/>
      <c r="BE207" s="429"/>
      <c r="BF207" s="429"/>
      <c r="BG207" s="429"/>
      <c r="BH207" s="429"/>
      <c r="BI207" s="429"/>
      <c r="BJ207" s="429"/>
      <c r="BK207" s="429"/>
      <c r="BL207" s="429"/>
      <c r="BM207" s="429"/>
      <c r="BN207" s="429"/>
      <c r="BO207" s="429"/>
      <c r="BP207" s="102"/>
      <c r="BQ207" s="102">
        <v>2.357</v>
      </c>
      <c r="BR207" s="451">
        <f t="shared" si="19"/>
        <v>4.71</v>
      </c>
      <c r="BS207" s="451">
        <f t="shared" si="20"/>
        <v>36.5</v>
      </c>
      <c r="BT207" s="429" t="str">
        <f>IFERROR(VLOOKUP(E207,名称!A:D,4,FALSE),"")</f>
        <v>KIK</v>
      </c>
    </row>
    <row r="208" s="427" customFormat="1" hidden="1" customHeight="1" spans="1:72">
      <c r="A208" s="93">
        <v>46056</v>
      </c>
      <c r="B208" s="95" t="s">
        <v>248</v>
      </c>
      <c r="C208" s="96">
        <v>10120342</v>
      </c>
      <c r="D208" s="96">
        <v>4500032249</v>
      </c>
      <c r="E208" s="97" t="s">
        <v>48</v>
      </c>
      <c r="F208" s="99">
        <v>1000</v>
      </c>
      <c r="G208" s="93">
        <v>46134</v>
      </c>
      <c r="H208" s="429"/>
      <c r="I208" s="429"/>
      <c r="J208" s="429"/>
      <c r="K208" s="429">
        <f>F208</f>
        <v>1000</v>
      </c>
      <c r="L208" s="429"/>
      <c r="M208" s="429"/>
      <c r="N208" s="429"/>
      <c r="O208" s="429"/>
      <c r="P208" s="429"/>
      <c r="Q208" s="429"/>
      <c r="R208" s="429"/>
      <c r="S208" s="429"/>
      <c r="T208" s="429"/>
      <c r="U208" s="429"/>
      <c r="V208" s="429"/>
      <c r="W208" s="429"/>
      <c r="X208" s="429"/>
      <c r="Y208" s="429"/>
      <c r="Z208" s="429"/>
      <c r="AA208" s="429"/>
      <c r="AB208" s="429"/>
      <c r="AC208" s="429"/>
      <c r="AD208" s="429"/>
      <c r="AE208" s="429"/>
      <c r="AF208" s="429"/>
      <c r="AG208" s="429"/>
      <c r="AH208" s="429"/>
      <c r="AI208" s="429"/>
      <c r="AJ208" s="429"/>
      <c r="AK208" s="429"/>
      <c r="AL208" s="429"/>
      <c r="AM208" s="429"/>
      <c r="AN208" s="429"/>
      <c r="AO208" s="429"/>
      <c r="AP208" s="429"/>
      <c r="AQ208" s="429"/>
      <c r="AR208" s="429"/>
      <c r="AS208" s="429"/>
      <c r="AT208" s="429"/>
      <c r="AU208" s="429"/>
      <c r="AV208" s="429"/>
      <c r="AW208" s="429"/>
      <c r="AX208" s="429"/>
      <c r="AY208" s="429"/>
      <c r="AZ208" s="429"/>
      <c r="BA208" s="429"/>
      <c r="BB208" s="429"/>
      <c r="BC208" s="429"/>
      <c r="BD208" s="429"/>
      <c r="BE208" s="429"/>
      <c r="BF208" s="429"/>
      <c r="BG208" s="429"/>
      <c r="BH208" s="429"/>
      <c r="BI208" s="429"/>
      <c r="BJ208" s="429"/>
      <c r="BK208" s="429"/>
      <c r="BL208" s="429"/>
      <c r="BM208" s="429"/>
      <c r="BN208" s="429"/>
      <c r="BO208" s="429"/>
      <c r="BP208" s="102"/>
      <c r="BQ208" s="102">
        <v>2.199</v>
      </c>
      <c r="BR208" s="451">
        <f t="shared" si="19"/>
        <v>2199</v>
      </c>
      <c r="BS208" s="451">
        <f t="shared" si="20"/>
        <v>17042.25</v>
      </c>
      <c r="BT208" s="429" t="str">
        <f>IFERROR(VLOOKUP(E208,名称!A:D,4,FALSE),"")</f>
        <v>KIK</v>
      </c>
    </row>
    <row r="209" s="427" customFormat="1" hidden="1" customHeight="1" spans="1:72">
      <c r="A209" s="93">
        <v>46056</v>
      </c>
      <c r="B209" s="95" t="s">
        <v>248</v>
      </c>
      <c r="C209" s="96">
        <v>10120342</v>
      </c>
      <c r="D209" s="96">
        <v>4500032249</v>
      </c>
      <c r="E209" s="97" t="s">
        <v>115</v>
      </c>
      <c r="F209" s="99">
        <v>1000</v>
      </c>
      <c r="G209" s="93">
        <v>46134</v>
      </c>
      <c r="H209" s="429"/>
      <c r="I209" s="429"/>
      <c r="J209" s="429"/>
      <c r="K209" s="429"/>
      <c r="L209" s="429"/>
      <c r="M209" s="429"/>
      <c r="N209" s="429"/>
      <c r="O209" s="429"/>
      <c r="P209" s="429"/>
      <c r="Q209" s="429"/>
      <c r="R209" s="429"/>
      <c r="S209" s="429"/>
      <c r="T209" s="429"/>
      <c r="U209" s="429"/>
      <c r="V209" s="429"/>
      <c r="W209" s="429"/>
      <c r="X209" s="429"/>
      <c r="Y209" s="429"/>
      <c r="Z209" s="429"/>
      <c r="AA209" s="429"/>
      <c r="AB209" s="429"/>
      <c r="AC209" s="429"/>
      <c r="AD209" s="429"/>
      <c r="AE209" s="429"/>
      <c r="AF209" s="429"/>
      <c r="AG209" s="429"/>
      <c r="AH209" s="429"/>
      <c r="AI209" s="429"/>
      <c r="AJ209" s="429"/>
      <c r="AK209" s="429"/>
      <c r="AL209" s="429"/>
      <c r="AM209" s="429"/>
      <c r="AN209" s="429"/>
      <c r="AO209" s="429">
        <f>F209</f>
        <v>1000</v>
      </c>
      <c r="AP209" s="429"/>
      <c r="AQ209" s="429"/>
      <c r="AR209" s="429"/>
      <c r="AS209" s="429"/>
      <c r="AT209" s="429"/>
      <c r="AU209" s="429"/>
      <c r="AV209" s="429"/>
      <c r="AW209" s="429"/>
      <c r="AX209" s="429"/>
      <c r="AY209" s="429"/>
      <c r="AZ209" s="429"/>
      <c r="BA209" s="429"/>
      <c r="BB209" s="429"/>
      <c r="BC209" s="429"/>
      <c r="BD209" s="429"/>
      <c r="BE209" s="429"/>
      <c r="BF209" s="429"/>
      <c r="BG209" s="429"/>
      <c r="BH209" s="429"/>
      <c r="BI209" s="429"/>
      <c r="BJ209" s="429"/>
      <c r="BK209" s="429"/>
      <c r="BL209" s="429"/>
      <c r="BM209" s="429"/>
      <c r="BN209" s="429"/>
      <c r="BO209" s="429"/>
      <c r="BP209" s="102"/>
      <c r="BQ209" s="102">
        <v>2.204</v>
      </c>
      <c r="BR209" s="451">
        <f t="shared" si="19"/>
        <v>2204</v>
      </c>
      <c r="BS209" s="451">
        <f t="shared" si="20"/>
        <v>17081</v>
      </c>
      <c r="BT209" s="429" t="str">
        <f>IFERROR(VLOOKUP(E209,名称!A:D,4,FALSE),"")</f>
        <v>KIK</v>
      </c>
    </row>
    <row r="210" s="427" customFormat="1" hidden="1" customHeight="1" spans="1:72">
      <c r="A210" s="93">
        <v>46058</v>
      </c>
      <c r="B210" s="95" t="s">
        <v>237</v>
      </c>
      <c r="C210" s="96">
        <v>10120561</v>
      </c>
      <c r="D210" s="96">
        <v>202603470034</v>
      </c>
      <c r="E210" s="97" t="s">
        <v>48</v>
      </c>
      <c r="F210" s="99">
        <v>2000</v>
      </c>
      <c r="G210" s="93">
        <v>46155</v>
      </c>
      <c r="H210" s="429"/>
      <c r="I210" s="429"/>
      <c r="J210" s="429"/>
      <c r="K210" s="429">
        <f>F210</f>
        <v>2000</v>
      </c>
      <c r="L210" s="429"/>
      <c r="M210" s="429"/>
      <c r="N210" s="429"/>
      <c r="O210" s="429"/>
      <c r="P210" s="429"/>
      <c r="Q210" s="429"/>
      <c r="R210" s="429"/>
      <c r="S210" s="429"/>
      <c r="T210" s="429"/>
      <c r="U210" s="429"/>
      <c r="V210" s="429"/>
      <c r="W210" s="429"/>
      <c r="X210" s="429"/>
      <c r="Y210" s="429"/>
      <c r="Z210" s="429"/>
      <c r="AA210" s="429"/>
      <c r="AB210" s="429"/>
      <c r="AC210" s="429"/>
      <c r="AD210" s="429"/>
      <c r="AE210" s="429"/>
      <c r="AF210" s="429"/>
      <c r="AG210" s="429"/>
      <c r="AH210" s="429"/>
      <c r="AI210" s="429"/>
      <c r="AJ210" s="429"/>
      <c r="AK210" s="429"/>
      <c r="AL210" s="429"/>
      <c r="AM210" s="429"/>
      <c r="AN210" s="429"/>
      <c r="AO210" s="429"/>
      <c r="AP210" s="429"/>
      <c r="AQ210" s="429"/>
      <c r="AR210" s="429"/>
      <c r="AS210" s="429"/>
      <c r="AT210" s="429"/>
      <c r="AU210" s="429"/>
      <c r="AV210" s="429"/>
      <c r="AW210" s="429"/>
      <c r="AX210" s="429"/>
      <c r="AY210" s="429"/>
      <c r="AZ210" s="429"/>
      <c r="BA210" s="429"/>
      <c r="BB210" s="429"/>
      <c r="BC210" s="429"/>
      <c r="BD210" s="429"/>
      <c r="BE210" s="429"/>
      <c r="BF210" s="429"/>
      <c r="BG210" s="429"/>
      <c r="BH210" s="429"/>
      <c r="BI210" s="429"/>
      <c r="BJ210" s="429"/>
      <c r="BK210" s="429"/>
      <c r="BL210" s="429"/>
      <c r="BM210" s="429"/>
      <c r="BN210" s="429"/>
      <c r="BO210" s="429"/>
      <c r="BP210" s="102"/>
      <c r="BQ210" s="102">
        <v>2.199</v>
      </c>
      <c r="BR210" s="451">
        <f t="shared" si="19"/>
        <v>4398</v>
      </c>
      <c r="BS210" s="451">
        <f t="shared" si="20"/>
        <v>34084.5</v>
      </c>
      <c r="BT210" s="429" t="str">
        <f>IFERROR(VLOOKUP(E210,名称!A:D,4,FALSE),"")</f>
        <v>KIK</v>
      </c>
    </row>
    <row r="211" s="427" customFormat="1" hidden="1" customHeight="1" spans="1:72">
      <c r="A211" s="93">
        <v>46058</v>
      </c>
      <c r="B211" s="95" t="s">
        <v>237</v>
      </c>
      <c r="C211" s="96">
        <v>10120561</v>
      </c>
      <c r="D211" s="96">
        <v>202603470034</v>
      </c>
      <c r="E211" s="97" t="s">
        <v>48</v>
      </c>
      <c r="F211" s="99">
        <v>8000</v>
      </c>
      <c r="G211" s="93">
        <v>46141</v>
      </c>
      <c r="H211" s="429"/>
      <c r="I211" s="429"/>
      <c r="J211" s="429"/>
      <c r="K211" s="429">
        <f>F211</f>
        <v>8000</v>
      </c>
      <c r="L211" s="429"/>
      <c r="M211" s="429"/>
      <c r="N211" s="429"/>
      <c r="O211" s="429"/>
      <c r="P211" s="429"/>
      <c r="Q211" s="429"/>
      <c r="R211" s="429"/>
      <c r="S211" s="429"/>
      <c r="T211" s="429"/>
      <c r="U211" s="429"/>
      <c r="V211" s="429"/>
      <c r="W211" s="429"/>
      <c r="X211" s="429"/>
      <c r="Y211" s="429"/>
      <c r="Z211" s="429"/>
      <c r="AA211" s="429"/>
      <c r="AB211" s="429"/>
      <c r="AC211" s="429"/>
      <c r="AD211" s="429"/>
      <c r="AE211" s="429"/>
      <c r="AF211" s="429"/>
      <c r="AG211" s="429"/>
      <c r="AH211" s="429"/>
      <c r="AI211" s="429"/>
      <c r="AJ211" s="429"/>
      <c r="AK211" s="429"/>
      <c r="AL211" s="429"/>
      <c r="AM211" s="429"/>
      <c r="AN211" s="429"/>
      <c r="AO211" s="429"/>
      <c r="AP211" s="429"/>
      <c r="AQ211" s="429"/>
      <c r="AR211" s="429"/>
      <c r="AS211" s="429"/>
      <c r="AT211" s="429"/>
      <c r="AU211" s="429"/>
      <c r="AV211" s="429"/>
      <c r="AW211" s="429"/>
      <c r="AX211" s="429"/>
      <c r="AY211" s="429"/>
      <c r="AZ211" s="429"/>
      <c r="BA211" s="429"/>
      <c r="BB211" s="429"/>
      <c r="BC211" s="429"/>
      <c r="BD211" s="429"/>
      <c r="BE211" s="429"/>
      <c r="BF211" s="429"/>
      <c r="BG211" s="429"/>
      <c r="BH211" s="429"/>
      <c r="BI211" s="429"/>
      <c r="BJ211" s="429"/>
      <c r="BK211" s="429"/>
      <c r="BL211" s="429"/>
      <c r="BM211" s="429"/>
      <c r="BN211" s="429"/>
      <c r="BO211" s="429"/>
      <c r="BP211" s="102"/>
      <c r="BQ211" s="102">
        <v>2.199</v>
      </c>
      <c r="BR211" s="451">
        <f t="shared" si="19"/>
        <v>17592</v>
      </c>
      <c r="BS211" s="451">
        <f t="shared" si="20"/>
        <v>136338</v>
      </c>
      <c r="BT211" s="429" t="str">
        <f>IFERROR(VLOOKUP(E211,名称!A:D,4,FALSE),"")</f>
        <v>KIK</v>
      </c>
    </row>
    <row r="212" s="427" customFormat="1" hidden="1" customHeight="1" spans="1:72">
      <c r="A212" s="93">
        <v>46058</v>
      </c>
      <c r="B212" s="95" t="s">
        <v>237</v>
      </c>
      <c r="C212" s="96">
        <v>10120572</v>
      </c>
      <c r="D212" s="96">
        <v>202603470468</v>
      </c>
      <c r="E212" s="97" t="s">
        <v>141</v>
      </c>
      <c r="F212" s="99">
        <v>3180</v>
      </c>
      <c r="G212" s="93">
        <v>46155</v>
      </c>
      <c r="H212" s="429"/>
      <c r="I212" s="429"/>
      <c r="J212" s="429"/>
      <c r="K212" s="429"/>
      <c r="L212" s="429"/>
      <c r="M212" s="429"/>
      <c r="N212" s="429"/>
      <c r="O212" s="429"/>
      <c r="P212" s="429"/>
      <c r="Q212" s="429"/>
      <c r="R212" s="429"/>
      <c r="S212" s="429"/>
      <c r="T212" s="429"/>
      <c r="U212" s="429"/>
      <c r="V212" s="429"/>
      <c r="W212" s="429"/>
      <c r="X212" s="429"/>
      <c r="Y212" s="429"/>
      <c r="Z212" s="429"/>
      <c r="AA212" s="429"/>
      <c r="AB212" s="429"/>
      <c r="AC212" s="429"/>
      <c r="AD212" s="429"/>
      <c r="AE212" s="429"/>
      <c r="AF212" s="429">
        <f>F212/6*3</f>
        <v>1590</v>
      </c>
      <c r="AG212" s="429">
        <f>F212/6*3</f>
        <v>1590</v>
      </c>
      <c r="AH212" s="429"/>
      <c r="AI212" s="429"/>
      <c r="AJ212" s="429"/>
      <c r="AK212" s="429"/>
      <c r="AL212" s="429"/>
      <c r="AM212" s="429"/>
      <c r="AN212" s="429"/>
      <c r="AO212" s="429"/>
      <c r="AP212" s="429"/>
      <c r="AQ212" s="429"/>
      <c r="AR212" s="429"/>
      <c r="AS212" s="429"/>
      <c r="AT212" s="429"/>
      <c r="AU212" s="429"/>
      <c r="AV212" s="429"/>
      <c r="AW212" s="429"/>
      <c r="AX212" s="429"/>
      <c r="AY212" s="429"/>
      <c r="AZ212" s="429"/>
      <c r="BA212" s="429"/>
      <c r="BB212" s="429"/>
      <c r="BC212" s="429"/>
      <c r="BD212" s="429"/>
      <c r="BE212" s="429"/>
      <c r="BF212" s="429"/>
      <c r="BG212" s="429"/>
      <c r="BH212" s="429"/>
      <c r="BI212" s="429"/>
      <c r="BJ212" s="429"/>
      <c r="BK212" s="429"/>
      <c r="BL212" s="429"/>
      <c r="BM212" s="429"/>
      <c r="BN212" s="429"/>
      <c r="BO212" s="429"/>
      <c r="BP212" s="102"/>
      <c r="BQ212" s="102">
        <v>2.398</v>
      </c>
      <c r="BR212" s="451">
        <f t="shared" si="19"/>
        <v>7625.64</v>
      </c>
      <c r="BS212" s="451">
        <f t="shared" si="20"/>
        <v>59098.71</v>
      </c>
      <c r="BT212" s="429" t="str">
        <f>IFERROR(VLOOKUP(E212,名称!A:D,4,FALSE),"")</f>
        <v>KIK</v>
      </c>
    </row>
    <row r="213" s="427" customFormat="1" hidden="1" customHeight="1" spans="1:72">
      <c r="A213" s="93">
        <v>46058</v>
      </c>
      <c r="B213" s="95" t="s">
        <v>237</v>
      </c>
      <c r="C213" s="96">
        <v>10120572</v>
      </c>
      <c r="D213" s="96">
        <v>202603470468</v>
      </c>
      <c r="E213" s="97" t="s">
        <v>141</v>
      </c>
      <c r="F213" s="99">
        <v>1824</v>
      </c>
      <c r="G213" s="93">
        <v>46155</v>
      </c>
      <c r="H213" s="429"/>
      <c r="I213" s="429"/>
      <c r="J213" s="429"/>
      <c r="K213" s="429"/>
      <c r="L213" s="429"/>
      <c r="M213" s="429"/>
      <c r="N213" s="429"/>
      <c r="O213" s="429"/>
      <c r="P213" s="429"/>
      <c r="Q213" s="429"/>
      <c r="R213" s="429"/>
      <c r="S213" s="429"/>
      <c r="T213" s="429"/>
      <c r="U213" s="429"/>
      <c r="V213" s="429"/>
      <c r="W213" s="429"/>
      <c r="X213" s="429"/>
      <c r="Y213" s="429"/>
      <c r="Z213" s="429"/>
      <c r="AA213" s="429"/>
      <c r="AB213" s="429"/>
      <c r="AC213" s="429"/>
      <c r="AD213" s="429"/>
      <c r="AE213" s="429"/>
      <c r="AF213" s="429">
        <f>F213/6*3</f>
        <v>912</v>
      </c>
      <c r="AG213" s="429">
        <f>F213/6*3</f>
        <v>912</v>
      </c>
      <c r="AH213" s="429"/>
      <c r="AI213" s="429"/>
      <c r="AJ213" s="429"/>
      <c r="AK213" s="429"/>
      <c r="AL213" s="429"/>
      <c r="AM213" s="429"/>
      <c r="AN213" s="429"/>
      <c r="AO213" s="429"/>
      <c r="AP213" s="429"/>
      <c r="AQ213" s="429"/>
      <c r="AR213" s="429"/>
      <c r="AS213" s="429"/>
      <c r="AT213" s="429"/>
      <c r="AU213" s="429"/>
      <c r="AV213" s="429"/>
      <c r="AW213" s="429"/>
      <c r="AX213" s="429"/>
      <c r="AY213" s="429"/>
      <c r="AZ213" s="429"/>
      <c r="BA213" s="429"/>
      <c r="BB213" s="429"/>
      <c r="BC213" s="429"/>
      <c r="BD213" s="429"/>
      <c r="BE213" s="429"/>
      <c r="BF213" s="429"/>
      <c r="BG213" s="429"/>
      <c r="BH213" s="429"/>
      <c r="BI213" s="429"/>
      <c r="BJ213" s="429"/>
      <c r="BK213" s="429"/>
      <c r="BL213" s="429"/>
      <c r="BM213" s="429"/>
      <c r="BN213" s="429"/>
      <c r="BO213" s="429"/>
      <c r="BP213" s="102"/>
      <c r="BQ213" s="102">
        <v>2.398</v>
      </c>
      <c r="BR213" s="451">
        <f t="shared" si="19"/>
        <v>4373.95</v>
      </c>
      <c r="BS213" s="451">
        <f t="shared" si="20"/>
        <v>33898.11</v>
      </c>
      <c r="BT213" s="429" t="str">
        <f>IFERROR(VLOOKUP(E213,名称!A:D,4,FALSE),"")</f>
        <v>KIK</v>
      </c>
    </row>
    <row r="214" s="427" customFormat="1" hidden="1" customHeight="1" spans="1:72">
      <c r="A214" s="93">
        <v>46077</v>
      </c>
      <c r="B214" s="95" t="s">
        <v>237</v>
      </c>
      <c r="C214" s="96">
        <v>10120987</v>
      </c>
      <c r="D214" s="96">
        <v>202604870031</v>
      </c>
      <c r="E214" s="97" t="s">
        <v>88</v>
      </c>
      <c r="F214" s="99">
        <v>10008</v>
      </c>
      <c r="G214" s="93">
        <v>46141</v>
      </c>
      <c r="H214" s="429"/>
      <c r="I214" s="429"/>
      <c r="J214" s="429"/>
      <c r="K214" s="429"/>
      <c r="L214" s="429"/>
      <c r="M214" s="429"/>
      <c r="N214" s="429"/>
      <c r="O214" s="429"/>
      <c r="P214" s="429"/>
      <c r="Q214" s="429"/>
      <c r="R214" s="429"/>
      <c r="S214" s="429"/>
      <c r="T214" s="429"/>
      <c r="U214" s="429"/>
      <c r="V214" s="429"/>
      <c r="W214" s="429"/>
      <c r="X214" s="429"/>
      <c r="Y214" s="429"/>
      <c r="Z214" s="429"/>
      <c r="AA214" s="429"/>
      <c r="AB214" s="429"/>
      <c r="AC214" s="429"/>
      <c r="AD214" s="429"/>
      <c r="AE214" s="429">
        <f>F214</f>
        <v>10008</v>
      </c>
      <c r="AF214" s="429"/>
      <c r="AG214" s="429"/>
      <c r="AH214" s="429"/>
      <c r="AI214" s="429"/>
      <c r="AJ214" s="429"/>
      <c r="AK214" s="429"/>
      <c r="AL214" s="429"/>
      <c r="AM214" s="429"/>
      <c r="AN214" s="429"/>
      <c r="AO214" s="429"/>
      <c r="AP214" s="429"/>
      <c r="AQ214" s="429"/>
      <c r="AR214" s="429"/>
      <c r="AS214" s="429"/>
      <c r="AT214" s="429"/>
      <c r="AU214" s="429"/>
      <c r="AV214" s="429"/>
      <c r="AW214" s="429"/>
      <c r="AX214" s="429"/>
      <c r="AY214" s="429"/>
      <c r="AZ214" s="429"/>
      <c r="BA214" s="429"/>
      <c r="BB214" s="429"/>
      <c r="BC214" s="429"/>
      <c r="BD214" s="429"/>
      <c r="BE214" s="429"/>
      <c r="BF214" s="429"/>
      <c r="BG214" s="429"/>
      <c r="BH214" s="429"/>
      <c r="BI214" s="429"/>
      <c r="BJ214" s="429"/>
      <c r="BK214" s="429"/>
      <c r="BL214" s="429"/>
      <c r="BM214" s="429"/>
      <c r="BN214" s="429"/>
      <c r="BO214" s="429"/>
      <c r="BP214" s="102"/>
      <c r="BQ214" s="102">
        <v>0.963</v>
      </c>
      <c r="BR214" s="451">
        <f t="shared" si="19"/>
        <v>9637.7</v>
      </c>
      <c r="BS214" s="451">
        <f t="shared" ref="BS214:BS219" si="21">BR214*7.75</f>
        <v>74692.18</v>
      </c>
      <c r="BT214" s="429" t="str">
        <f>IFERROR(VLOOKUP(E214,名称!A:D,4,FALSE),"")</f>
        <v>KIK</v>
      </c>
    </row>
    <row r="215" s="427" customFormat="1" hidden="1" customHeight="1" spans="1:72">
      <c r="A215" s="93">
        <v>46077</v>
      </c>
      <c r="B215" s="95" t="s">
        <v>248</v>
      </c>
      <c r="C215" s="96">
        <v>10120863</v>
      </c>
      <c r="D215" s="96" t="s">
        <v>255</v>
      </c>
      <c r="E215" s="97" t="s">
        <v>89</v>
      </c>
      <c r="F215" s="99">
        <v>1</v>
      </c>
      <c r="G215" s="93">
        <v>46066</v>
      </c>
      <c r="H215" s="429"/>
      <c r="I215" s="429"/>
      <c r="J215" s="429"/>
      <c r="K215" s="429"/>
      <c r="L215" s="429"/>
      <c r="M215" s="429"/>
      <c r="N215" s="429"/>
      <c r="O215" s="429"/>
      <c r="P215" s="429"/>
      <c r="Q215" s="429"/>
      <c r="R215" s="429"/>
      <c r="S215" s="429"/>
      <c r="T215" s="429"/>
      <c r="U215" s="429"/>
      <c r="V215" s="429"/>
      <c r="W215" s="429"/>
      <c r="X215" s="429"/>
      <c r="Y215" s="429"/>
      <c r="Z215" s="429"/>
      <c r="AA215" s="429"/>
      <c r="AB215" s="429"/>
      <c r="AC215" s="429"/>
      <c r="AD215" s="429"/>
      <c r="AE215" s="429"/>
      <c r="AF215" s="429">
        <f>F215/6*3</f>
        <v>0.5</v>
      </c>
      <c r="AG215" s="429">
        <f>F215/6*3</f>
        <v>0.5</v>
      </c>
      <c r="AH215" s="429"/>
      <c r="AI215" s="429"/>
      <c r="AJ215" s="429"/>
      <c r="AK215" s="429"/>
      <c r="AL215" s="429"/>
      <c r="AM215" s="429"/>
      <c r="AN215" s="429"/>
      <c r="AO215" s="429"/>
      <c r="AP215" s="429"/>
      <c r="AQ215" s="429"/>
      <c r="AR215" s="429"/>
      <c r="AS215" s="429"/>
      <c r="AT215" s="429"/>
      <c r="AU215" s="429"/>
      <c r="AV215" s="429"/>
      <c r="AW215" s="429"/>
      <c r="AX215" s="429"/>
      <c r="AY215" s="429"/>
      <c r="AZ215" s="429"/>
      <c r="BA215" s="429"/>
      <c r="BB215" s="429"/>
      <c r="BC215" s="429"/>
      <c r="BD215" s="429"/>
      <c r="BE215" s="429"/>
      <c r="BF215" s="429"/>
      <c r="BG215" s="429"/>
      <c r="BH215" s="429"/>
      <c r="BI215" s="429"/>
      <c r="BJ215" s="429"/>
      <c r="BK215" s="429"/>
      <c r="BL215" s="429"/>
      <c r="BM215" s="429"/>
      <c r="BN215" s="429"/>
      <c r="BO215" s="429"/>
      <c r="BP215" s="102"/>
      <c r="BQ215" s="102">
        <v>1.337</v>
      </c>
      <c r="BR215" s="451">
        <f t="shared" si="19"/>
        <v>1.34</v>
      </c>
      <c r="BS215" s="451">
        <f t="shared" si="21"/>
        <v>10.39</v>
      </c>
      <c r="BT215" s="429" t="str">
        <f>IFERROR(VLOOKUP(E215,名称!A:D,4,FALSE),"")</f>
        <v>KIK</v>
      </c>
    </row>
    <row r="216" s="427" customFormat="1" hidden="1" customHeight="1" spans="1:72">
      <c r="A216" s="93">
        <v>46077</v>
      </c>
      <c r="B216" s="95" t="s">
        <v>248</v>
      </c>
      <c r="C216" s="96">
        <v>10120863</v>
      </c>
      <c r="D216" s="96" t="s">
        <v>255</v>
      </c>
      <c r="E216" s="97" t="s">
        <v>95</v>
      </c>
      <c r="F216" s="99">
        <v>1</v>
      </c>
      <c r="G216" s="93">
        <v>46066</v>
      </c>
      <c r="H216" s="429"/>
      <c r="I216" s="429"/>
      <c r="J216" s="429"/>
      <c r="K216" s="429"/>
      <c r="L216" s="429"/>
      <c r="M216" s="429"/>
      <c r="N216" s="429"/>
      <c r="O216" s="429"/>
      <c r="P216" s="429"/>
      <c r="Q216" s="429"/>
      <c r="R216" s="429"/>
      <c r="S216" s="429"/>
      <c r="T216" s="429"/>
      <c r="U216" s="429"/>
      <c r="V216" s="429"/>
      <c r="W216" s="429"/>
      <c r="X216" s="429"/>
      <c r="Y216" s="429"/>
      <c r="Z216" s="429"/>
      <c r="AA216" s="429"/>
      <c r="AB216" s="429"/>
      <c r="AC216" s="429"/>
      <c r="AD216" s="429"/>
      <c r="AE216" s="429"/>
      <c r="AF216" s="429"/>
      <c r="AG216" s="429"/>
      <c r="AH216" s="429">
        <f>F216</f>
        <v>1</v>
      </c>
      <c r="AI216" s="429"/>
      <c r="AJ216" s="429"/>
      <c r="AK216" s="429"/>
      <c r="AL216" s="429"/>
      <c r="AM216" s="429"/>
      <c r="AN216" s="429"/>
      <c r="AO216" s="429"/>
      <c r="AP216" s="429"/>
      <c r="AQ216" s="429"/>
      <c r="AR216" s="429"/>
      <c r="AS216" s="429"/>
      <c r="AT216" s="429"/>
      <c r="AU216" s="429"/>
      <c r="AV216" s="429"/>
      <c r="AW216" s="429"/>
      <c r="AX216" s="429"/>
      <c r="AY216" s="429"/>
      <c r="AZ216" s="429"/>
      <c r="BA216" s="429"/>
      <c r="BB216" s="429"/>
      <c r="BC216" s="429"/>
      <c r="BD216" s="429"/>
      <c r="BE216" s="429"/>
      <c r="BF216" s="429"/>
      <c r="BG216" s="429"/>
      <c r="BH216" s="429"/>
      <c r="BI216" s="429"/>
      <c r="BJ216" s="429"/>
      <c r="BK216" s="429"/>
      <c r="BL216" s="429"/>
      <c r="BM216" s="429"/>
      <c r="BN216" s="429"/>
      <c r="BO216" s="429"/>
      <c r="BP216" s="102"/>
      <c r="BQ216" s="102">
        <v>2.158</v>
      </c>
      <c r="BR216" s="451">
        <f t="shared" si="19"/>
        <v>2.16</v>
      </c>
      <c r="BS216" s="451">
        <f t="shared" si="21"/>
        <v>16.74</v>
      </c>
      <c r="BT216" s="429" t="str">
        <f>IFERROR(VLOOKUP(E216,名称!A:D,4,FALSE),"")</f>
        <v>KIK</v>
      </c>
    </row>
    <row r="217" s="427" customFormat="1" hidden="1" customHeight="1" spans="1:72">
      <c r="A217" s="93">
        <v>46077</v>
      </c>
      <c r="B217" s="95" t="s">
        <v>248</v>
      </c>
      <c r="C217" s="96">
        <v>10120863</v>
      </c>
      <c r="D217" s="96" t="s">
        <v>255</v>
      </c>
      <c r="E217" s="97" t="s">
        <v>97</v>
      </c>
      <c r="F217" s="99">
        <v>1</v>
      </c>
      <c r="G217" s="93">
        <v>46066</v>
      </c>
      <c r="H217" s="429"/>
      <c r="I217" s="429"/>
      <c r="J217" s="429"/>
      <c r="K217" s="429"/>
      <c r="L217" s="429"/>
      <c r="M217" s="429"/>
      <c r="N217" s="429"/>
      <c r="O217" s="429"/>
      <c r="P217" s="429"/>
      <c r="Q217" s="429"/>
      <c r="R217" s="429"/>
      <c r="S217" s="429"/>
      <c r="T217" s="429"/>
      <c r="U217" s="429"/>
      <c r="V217" s="429"/>
      <c r="W217" s="429"/>
      <c r="X217" s="429"/>
      <c r="Y217" s="429"/>
      <c r="Z217" s="429"/>
      <c r="AA217" s="429"/>
      <c r="AB217" s="429"/>
      <c r="AC217" s="429"/>
      <c r="AD217" s="429"/>
      <c r="AE217" s="429"/>
      <c r="AF217" s="429"/>
      <c r="AG217" s="429"/>
      <c r="AH217" s="429"/>
      <c r="AI217" s="429">
        <f>F217</f>
        <v>1</v>
      </c>
      <c r="AJ217" s="429"/>
      <c r="AK217" s="429"/>
      <c r="AL217" s="429"/>
      <c r="AM217" s="429"/>
      <c r="AN217" s="429"/>
      <c r="AO217" s="429"/>
      <c r="AP217" s="429"/>
      <c r="AQ217" s="429"/>
      <c r="AR217" s="429"/>
      <c r="AS217" s="429"/>
      <c r="AT217" s="429"/>
      <c r="AU217" s="429"/>
      <c r="AV217" s="429"/>
      <c r="AW217" s="429"/>
      <c r="AX217" s="429"/>
      <c r="AY217" s="429"/>
      <c r="AZ217" s="429"/>
      <c r="BA217" s="429"/>
      <c r="BB217" s="429"/>
      <c r="BC217" s="429"/>
      <c r="BD217" s="429"/>
      <c r="BE217" s="429"/>
      <c r="BF217" s="429"/>
      <c r="BG217" s="429"/>
      <c r="BH217" s="429"/>
      <c r="BI217" s="429"/>
      <c r="BJ217" s="429"/>
      <c r="BK217" s="429"/>
      <c r="BL217" s="429"/>
      <c r="BM217" s="429"/>
      <c r="BN217" s="429"/>
      <c r="BO217" s="429"/>
      <c r="BP217" s="102"/>
      <c r="BQ217" s="102">
        <v>3.216</v>
      </c>
      <c r="BR217" s="451">
        <f t="shared" si="19"/>
        <v>3.22</v>
      </c>
      <c r="BS217" s="451">
        <f t="shared" si="21"/>
        <v>24.96</v>
      </c>
      <c r="BT217" s="429" t="str">
        <f>IFERROR(VLOOKUP(E217,名称!A:D,4,FALSE),"")</f>
        <v>KIK</v>
      </c>
    </row>
    <row r="218" s="427" customFormat="1" hidden="1" customHeight="1" spans="1:72">
      <c r="A218" s="93">
        <v>46077</v>
      </c>
      <c r="B218" s="95" t="s">
        <v>248</v>
      </c>
      <c r="C218" s="96">
        <v>10120863</v>
      </c>
      <c r="D218" s="96" t="s">
        <v>255</v>
      </c>
      <c r="E218" s="97" t="s">
        <v>141</v>
      </c>
      <c r="F218" s="99">
        <v>1</v>
      </c>
      <c r="G218" s="93">
        <v>46066</v>
      </c>
      <c r="H218" s="429"/>
      <c r="I218" s="429"/>
      <c r="J218" s="429"/>
      <c r="K218" s="429"/>
      <c r="L218" s="429"/>
      <c r="M218" s="429"/>
      <c r="N218" s="429"/>
      <c r="O218" s="429"/>
      <c r="P218" s="429"/>
      <c r="Q218" s="429"/>
      <c r="R218" s="429"/>
      <c r="S218" s="429"/>
      <c r="T218" s="429"/>
      <c r="U218" s="429"/>
      <c r="V218" s="429"/>
      <c r="W218" s="429"/>
      <c r="X218" s="429"/>
      <c r="Y218" s="429"/>
      <c r="Z218" s="429"/>
      <c r="AA218" s="429"/>
      <c r="AB218" s="429"/>
      <c r="AC218" s="429"/>
      <c r="AD218" s="429"/>
      <c r="AE218" s="429"/>
      <c r="AF218" s="429">
        <f>F218/6*3</f>
        <v>0.5</v>
      </c>
      <c r="AG218" s="429">
        <f>F218/6*3</f>
        <v>0.5</v>
      </c>
      <c r="AH218" s="429"/>
      <c r="AI218" s="429"/>
      <c r="AJ218" s="429"/>
      <c r="AK218" s="429"/>
      <c r="AL218" s="429"/>
      <c r="AM218" s="429"/>
      <c r="AN218" s="429"/>
      <c r="AO218" s="429"/>
      <c r="AP218" s="429"/>
      <c r="AQ218" s="429"/>
      <c r="AR218" s="429"/>
      <c r="AS218" s="429"/>
      <c r="AT218" s="429"/>
      <c r="AU218" s="429"/>
      <c r="AV218" s="429"/>
      <c r="AW218" s="429"/>
      <c r="AX218" s="429"/>
      <c r="AY218" s="429"/>
      <c r="AZ218" s="429"/>
      <c r="BA218" s="429"/>
      <c r="BB218" s="429"/>
      <c r="BC218" s="429"/>
      <c r="BD218" s="429"/>
      <c r="BE218" s="429"/>
      <c r="BF218" s="429"/>
      <c r="BG218" s="429"/>
      <c r="BH218" s="429"/>
      <c r="BI218" s="429"/>
      <c r="BJ218" s="429"/>
      <c r="BK218" s="429"/>
      <c r="BL218" s="429"/>
      <c r="BM218" s="429"/>
      <c r="BN218" s="429"/>
      <c r="BO218" s="429"/>
      <c r="BP218" s="102"/>
      <c r="BQ218" s="102">
        <v>2.357</v>
      </c>
      <c r="BR218" s="451">
        <f t="shared" si="19"/>
        <v>2.36</v>
      </c>
      <c r="BS218" s="451">
        <f t="shared" si="21"/>
        <v>18.29</v>
      </c>
      <c r="BT218" s="429" t="str">
        <f>IFERROR(VLOOKUP(E218,名称!A:D,4,FALSE),"")</f>
        <v>KIK</v>
      </c>
    </row>
    <row r="219" s="427" customFormat="1" hidden="1" customHeight="1" spans="1:72">
      <c r="A219" s="93">
        <v>46077</v>
      </c>
      <c r="B219" s="95" t="s">
        <v>248</v>
      </c>
      <c r="C219" s="96">
        <v>10120977</v>
      </c>
      <c r="D219" s="96" t="s">
        <v>256</v>
      </c>
      <c r="E219" s="97" t="s">
        <v>113</v>
      </c>
      <c r="F219" s="99">
        <v>9</v>
      </c>
      <c r="G219" s="93">
        <v>46092</v>
      </c>
      <c r="H219" s="429"/>
      <c r="I219" s="429"/>
      <c r="J219" s="429"/>
      <c r="K219" s="429"/>
      <c r="L219" s="429"/>
      <c r="M219" s="429"/>
      <c r="N219" s="429"/>
      <c r="O219" s="429"/>
      <c r="P219" s="429"/>
      <c r="Q219" s="429"/>
      <c r="R219" s="429"/>
      <c r="S219" s="429"/>
      <c r="T219" s="429"/>
      <c r="U219" s="429"/>
      <c r="V219" s="429"/>
      <c r="W219" s="429"/>
      <c r="X219" s="429"/>
      <c r="Y219" s="429"/>
      <c r="Z219" s="429"/>
      <c r="AA219" s="429"/>
      <c r="AB219" s="429"/>
      <c r="AC219" s="429"/>
      <c r="AD219" s="429"/>
      <c r="AE219" s="429"/>
      <c r="AF219" s="429"/>
      <c r="AG219" s="429"/>
      <c r="AH219" s="429"/>
      <c r="AI219" s="429"/>
      <c r="AJ219" s="429"/>
      <c r="AK219" s="429"/>
      <c r="AL219" s="429"/>
      <c r="AM219" s="429"/>
      <c r="AN219" s="429">
        <f>F219</f>
        <v>9</v>
      </c>
      <c r="AO219" s="429"/>
      <c r="AP219" s="429"/>
      <c r="AQ219" s="429"/>
      <c r="AR219" s="429"/>
      <c r="AS219" s="429"/>
      <c r="AT219" s="429"/>
      <c r="AU219" s="429"/>
      <c r="AV219" s="429"/>
      <c r="AW219" s="429"/>
      <c r="AX219" s="429"/>
      <c r="AY219" s="429"/>
      <c r="AZ219" s="429"/>
      <c r="BA219" s="429"/>
      <c r="BB219" s="429"/>
      <c r="BC219" s="429"/>
      <c r="BD219" s="429"/>
      <c r="BE219" s="429"/>
      <c r="BF219" s="429"/>
      <c r="BG219" s="429"/>
      <c r="BH219" s="429"/>
      <c r="BI219" s="429"/>
      <c r="BJ219" s="429"/>
      <c r="BK219" s="429"/>
      <c r="BL219" s="429"/>
      <c r="BM219" s="429"/>
      <c r="BN219" s="429"/>
      <c r="BO219" s="429"/>
      <c r="BP219" s="102"/>
      <c r="BQ219" s="102">
        <v>5.9</v>
      </c>
      <c r="BR219" s="451">
        <f t="shared" si="19"/>
        <v>53.1</v>
      </c>
      <c r="BS219" s="451">
        <f t="shared" si="21"/>
        <v>411.53</v>
      </c>
      <c r="BT219" s="429" t="str">
        <f>IFERROR(VLOOKUP(E219,名称!A:D,4,FALSE),"")</f>
        <v>KIK</v>
      </c>
    </row>
    <row r="220" s="427" customFormat="1" hidden="1" customHeight="1" spans="1:72">
      <c r="A220" s="93">
        <v>46085</v>
      </c>
      <c r="B220" s="95" t="s">
        <v>237</v>
      </c>
      <c r="C220" s="96">
        <v>10121317</v>
      </c>
      <c r="D220" s="96">
        <v>202605870365</v>
      </c>
      <c r="E220" s="97" t="s">
        <v>95</v>
      </c>
      <c r="F220" s="99">
        <v>5000</v>
      </c>
      <c r="G220" s="93">
        <v>46197</v>
      </c>
      <c r="H220" s="429"/>
      <c r="I220" s="429"/>
      <c r="J220" s="429"/>
      <c r="K220" s="429"/>
      <c r="L220" s="429"/>
      <c r="M220" s="429"/>
      <c r="N220" s="429"/>
      <c r="O220" s="429"/>
      <c r="P220" s="429"/>
      <c r="Q220" s="429"/>
      <c r="R220" s="429"/>
      <c r="S220" s="429"/>
      <c r="T220" s="429"/>
      <c r="U220" s="429"/>
      <c r="V220" s="429"/>
      <c r="W220" s="429"/>
      <c r="X220" s="429"/>
      <c r="Y220" s="429"/>
      <c r="Z220" s="429"/>
      <c r="AA220" s="429"/>
      <c r="AB220" s="429"/>
      <c r="AC220" s="429"/>
      <c r="AD220" s="429"/>
      <c r="AE220" s="429"/>
      <c r="AF220" s="429"/>
      <c r="AG220" s="429"/>
      <c r="AH220" s="429">
        <f>F220</f>
        <v>5000</v>
      </c>
      <c r="AI220" s="429"/>
      <c r="AJ220" s="429"/>
      <c r="AK220" s="429"/>
      <c r="AL220" s="429"/>
      <c r="AM220" s="429"/>
      <c r="AN220" s="429"/>
      <c r="AO220" s="429"/>
      <c r="AP220" s="429"/>
      <c r="AQ220" s="429"/>
      <c r="AR220" s="429"/>
      <c r="AS220" s="429"/>
      <c r="AT220" s="429"/>
      <c r="AU220" s="429"/>
      <c r="AV220" s="429"/>
      <c r="AW220" s="429"/>
      <c r="AX220" s="429"/>
      <c r="AY220" s="429"/>
      <c r="AZ220" s="429"/>
      <c r="BA220" s="429"/>
      <c r="BB220" s="429"/>
      <c r="BC220" s="429"/>
      <c r="BD220" s="429"/>
      <c r="BE220" s="429"/>
      <c r="BF220" s="429"/>
      <c r="BG220" s="429"/>
      <c r="BH220" s="429"/>
      <c r="BI220" s="429"/>
      <c r="BJ220" s="429"/>
      <c r="BK220" s="429"/>
      <c r="BL220" s="429"/>
      <c r="BM220" s="429"/>
      <c r="BN220" s="429"/>
      <c r="BO220" s="429"/>
      <c r="BP220" s="102"/>
      <c r="BQ220" s="102">
        <v>2.25</v>
      </c>
      <c r="BR220" s="451">
        <f t="shared" si="19"/>
        <v>11250</v>
      </c>
      <c r="BS220" s="451">
        <f t="shared" ref="BS220:BS234" si="22">BR220*7.75</f>
        <v>87187.5</v>
      </c>
      <c r="BT220" s="429" t="str">
        <f>IFERROR(VLOOKUP(E220,名称!A:D,4,FALSE),"")</f>
        <v>KIK</v>
      </c>
    </row>
    <row r="221" s="427" customFormat="1" hidden="1" customHeight="1" spans="1:72">
      <c r="A221" s="93">
        <v>46085</v>
      </c>
      <c r="B221" s="95" t="s">
        <v>237</v>
      </c>
      <c r="C221" s="96">
        <v>10121317</v>
      </c>
      <c r="D221" s="96">
        <v>202605870365</v>
      </c>
      <c r="E221" s="97" t="s">
        <v>97</v>
      </c>
      <c r="F221" s="99">
        <v>5000</v>
      </c>
      <c r="G221" s="93">
        <v>46176</v>
      </c>
      <c r="H221" s="429"/>
      <c r="I221" s="429"/>
      <c r="J221" s="429"/>
      <c r="K221" s="429"/>
      <c r="L221" s="429"/>
      <c r="M221" s="429"/>
      <c r="N221" s="429"/>
      <c r="O221" s="429"/>
      <c r="P221" s="429"/>
      <c r="Q221" s="429"/>
      <c r="R221" s="429"/>
      <c r="S221" s="429"/>
      <c r="T221" s="429"/>
      <c r="U221" s="429"/>
      <c r="V221" s="429"/>
      <c r="W221" s="429"/>
      <c r="X221" s="429"/>
      <c r="Y221" s="429"/>
      <c r="Z221" s="429"/>
      <c r="AA221" s="429"/>
      <c r="AB221" s="429"/>
      <c r="AC221" s="429"/>
      <c r="AD221" s="429"/>
      <c r="AE221" s="429"/>
      <c r="AF221" s="429"/>
      <c r="AG221" s="429"/>
      <c r="AH221" s="429"/>
      <c r="AI221" s="429">
        <f>F221</f>
        <v>5000</v>
      </c>
      <c r="AJ221" s="429"/>
      <c r="AK221" s="429"/>
      <c r="AL221" s="429"/>
      <c r="AM221" s="429"/>
      <c r="AN221" s="429"/>
      <c r="AO221" s="429"/>
      <c r="AP221" s="429"/>
      <c r="AQ221" s="429"/>
      <c r="AR221" s="429"/>
      <c r="AS221" s="429"/>
      <c r="AT221" s="429"/>
      <c r="AU221" s="429"/>
      <c r="AV221" s="429"/>
      <c r="AW221" s="429"/>
      <c r="AX221" s="429"/>
      <c r="AY221" s="429"/>
      <c r="AZ221" s="429"/>
      <c r="BA221" s="429"/>
      <c r="BB221" s="429"/>
      <c r="BC221" s="429"/>
      <c r="BD221" s="429"/>
      <c r="BE221" s="429"/>
      <c r="BF221" s="429"/>
      <c r="BG221" s="429"/>
      <c r="BH221" s="429"/>
      <c r="BI221" s="429"/>
      <c r="BJ221" s="429"/>
      <c r="BK221" s="429"/>
      <c r="BL221" s="429"/>
      <c r="BM221" s="429"/>
      <c r="BN221" s="429"/>
      <c r="BO221" s="429"/>
      <c r="BP221" s="102"/>
      <c r="BQ221" s="102">
        <v>3.362</v>
      </c>
      <c r="BR221" s="451">
        <f t="shared" si="19"/>
        <v>16810</v>
      </c>
      <c r="BS221" s="451">
        <f t="shared" si="22"/>
        <v>130277.5</v>
      </c>
      <c r="BT221" s="429" t="str">
        <f>IFERROR(VLOOKUP(E221,名称!A:D,4,FALSE),"")</f>
        <v>KIK</v>
      </c>
    </row>
    <row r="222" s="427" customFormat="1" hidden="1" customHeight="1" spans="1:72">
      <c r="A222" s="93">
        <v>46085</v>
      </c>
      <c r="B222" s="95" t="s">
        <v>237</v>
      </c>
      <c r="C222" s="96">
        <v>10121317</v>
      </c>
      <c r="D222" s="96">
        <v>202605870365</v>
      </c>
      <c r="E222" s="97" t="s">
        <v>91</v>
      </c>
      <c r="F222" s="99">
        <v>5004</v>
      </c>
      <c r="G222" s="93">
        <v>46197</v>
      </c>
      <c r="H222" s="429"/>
      <c r="I222" s="429"/>
      <c r="J222" s="429"/>
      <c r="K222" s="429"/>
      <c r="L222" s="429"/>
      <c r="M222" s="429"/>
      <c r="N222" s="429"/>
      <c r="O222" s="429"/>
      <c r="P222" s="429"/>
      <c r="Q222" s="429"/>
      <c r="R222" s="429"/>
      <c r="S222" s="429"/>
      <c r="T222" s="429"/>
      <c r="U222" s="429"/>
      <c r="V222" s="429"/>
      <c r="W222" s="429"/>
      <c r="X222" s="429"/>
      <c r="Y222" s="429"/>
      <c r="Z222" s="429"/>
      <c r="AA222" s="429"/>
      <c r="AB222" s="429"/>
      <c r="AC222" s="429"/>
      <c r="AD222" s="429"/>
      <c r="AE222" s="429"/>
      <c r="AF222" s="429">
        <f>F222</f>
        <v>5004</v>
      </c>
      <c r="AG222" s="429"/>
      <c r="AH222" s="429"/>
      <c r="AI222" s="429"/>
      <c r="AJ222" s="429"/>
      <c r="AK222" s="429"/>
      <c r="AL222" s="429"/>
      <c r="AM222" s="429"/>
      <c r="AN222" s="429"/>
      <c r="AO222" s="429"/>
      <c r="AP222" s="429"/>
      <c r="AQ222" s="429"/>
      <c r="AR222" s="429"/>
      <c r="AS222" s="429"/>
      <c r="AT222" s="429"/>
      <c r="AU222" s="429"/>
      <c r="AV222" s="429"/>
      <c r="AW222" s="429"/>
      <c r="AX222" s="429"/>
      <c r="AY222" s="429"/>
      <c r="AZ222" s="429"/>
      <c r="BA222" s="429"/>
      <c r="BB222" s="429"/>
      <c r="BC222" s="429"/>
      <c r="BD222" s="429"/>
      <c r="BE222" s="429"/>
      <c r="BF222" s="429"/>
      <c r="BG222" s="429"/>
      <c r="BH222" s="429"/>
      <c r="BI222" s="429"/>
      <c r="BJ222" s="429"/>
      <c r="BK222" s="429"/>
      <c r="BL222" s="429"/>
      <c r="BM222" s="429"/>
      <c r="BN222" s="429"/>
      <c r="BO222" s="429"/>
      <c r="BP222" s="102"/>
      <c r="BQ222" s="102">
        <v>1.451</v>
      </c>
      <c r="BR222" s="451">
        <f t="shared" si="19"/>
        <v>7260.8</v>
      </c>
      <c r="BS222" s="451">
        <f t="shared" si="22"/>
        <v>56271.2</v>
      </c>
      <c r="BT222" s="429" t="str">
        <f>IFERROR(VLOOKUP(E222,名称!A:D,4,FALSE),"")</f>
        <v>KIK</v>
      </c>
    </row>
    <row r="223" s="427" customFormat="1" hidden="1" customHeight="1" spans="1:72">
      <c r="A223" s="93">
        <v>46085</v>
      </c>
      <c r="B223" s="95" t="s">
        <v>237</v>
      </c>
      <c r="C223" s="96">
        <v>10121314</v>
      </c>
      <c r="D223" s="96">
        <v>202605870364</v>
      </c>
      <c r="E223" s="97" t="s">
        <v>48</v>
      </c>
      <c r="F223" s="99">
        <f>5000-3000</f>
        <v>2000</v>
      </c>
      <c r="G223" s="93">
        <v>46183</v>
      </c>
      <c r="H223" s="429"/>
      <c r="I223" s="429"/>
      <c r="J223" s="429"/>
      <c r="K223" s="429">
        <f>F223</f>
        <v>2000</v>
      </c>
      <c r="L223" s="429"/>
      <c r="M223" s="429"/>
      <c r="N223" s="429"/>
      <c r="O223" s="429"/>
      <c r="P223" s="429"/>
      <c r="Q223" s="429"/>
      <c r="R223" s="429"/>
      <c r="S223" s="429"/>
      <c r="T223" s="429"/>
      <c r="U223" s="429"/>
      <c r="V223" s="429"/>
      <c r="W223" s="429"/>
      <c r="X223" s="429"/>
      <c r="Y223" s="429"/>
      <c r="Z223" s="429"/>
      <c r="AA223" s="429"/>
      <c r="AB223" s="429"/>
      <c r="AC223" s="429"/>
      <c r="AD223" s="429"/>
      <c r="AE223" s="429"/>
      <c r="AF223" s="429"/>
      <c r="AG223" s="429"/>
      <c r="AH223" s="429"/>
      <c r="AI223" s="429"/>
      <c r="AJ223" s="429"/>
      <c r="AK223" s="429"/>
      <c r="AL223" s="429"/>
      <c r="AM223" s="429"/>
      <c r="AN223" s="429"/>
      <c r="AO223" s="429"/>
      <c r="AP223" s="429"/>
      <c r="AQ223" s="429"/>
      <c r="AR223" s="429"/>
      <c r="AS223" s="429"/>
      <c r="AT223" s="429"/>
      <c r="AU223" s="429"/>
      <c r="AV223" s="429"/>
      <c r="AW223" s="429"/>
      <c r="AX223" s="429"/>
      <c r="AY223" s="429"/>
      <c r="AZ223" s="429"/>
      <c r="BA223" s="429"/>
      <c r="BB223" s="429"/>
      <c r="BC223" s="429"/>
      <c r="BD223" s="429"/>
      <c r="BE223" s="429"/>
      <c r="BF223" s="429"/>
      <c r="BG223" s="429"/>
      <c r="BH223" s="429"/>
      <c r="BI223" s="429"/>
      <c r="BJ223" s="429"/>
      <c r="BK223" s="429"/>
      <c r="BL223" s="429"/>
      <c r="BM223" s="429"/>
      <c r="BN223" s="429"/>
      <c r="BO223" s="429"/>
      <c r="BP223" s="102"/>
      <c r="BQ223" s="102">
        <v>2.199</v>
      </c>
      <c r="BR223" s="451">
        <f t="shared" si="19"/>
        <v>4398</v>
      </c>
      <c r="BS223" s="451">
        <f t="shared" si="22"/>
        <v>34084.5</v>
      </c>
      <c r="BT223" s="429" t="str">
        <f>IFERROR(VLOOKUP(E223,名称!A:D,4,FALSE),"")</f>
        <v>KIK</v>
      </c>
    </row>
    <row r="224" s="427" customFormat="1" hidden="1" customHeight="1" spans="1:72">
      <c r="A224" s="93">
        <v>46085</v>
      </c>
      <c r="B224" s="95" t="s">
        <v>237</v>
      </c>
      <c r="C224" s="96">
        <v>10121314</v>
      </c>
      <c r="D224" s="96">
        <v>202605870364</v>
      </c>
      <c r="E224" s="97" t="s">
        <v>50</v>
      </c>
      <c r="F224" s="99">
        <v>5000</v>
      </c>
      <c r="G224" s="93">
        <v>46183</v>
      </c>
      <c r="H224" s="429"/>
      <c r="I224" s="429"/>
      <c r="J224" s="429"/>
      <c r="K224" s="429"/>
      <c r="L224" s="429">
        <f>F224</f>
        <v>5000</v>
      </c>
      <c r="M224" s="429"/>
      <c r="N224" s="429"/>
      <c r="O224" s="429"/>
      <c r="P224" s="429"/>
      <c r="Q224" s="429"/>
      <c r="R224" s="429"/>
      <c r="S224" s="429"/>
      <c r="T224" s="429"/>
      <c r="U224" s="429"/>
      <c r="V224" s="429"/>
      <c r="W224" s="429"/>
      <c r="X224" s="429"/>
      <c r="Y224" s="429"/>
      <c r="Z224" s="429"/>
      <c r="AA224" s="429"/>
      <c r="AB224" s="429"/>
      <c r="AC224" s="429"/>
      <c r="AD224" s="429"/>
      <c r="AE224" s="429"/>
      <c r="AF224" s="429"/>
      <c r="AG224" s="429"/>
      <c r="AH224" s="429"/>
      <c r="AI224" s="429"/>
      <c r="AJ224" s="429"/>
      <c r="AK224" s="429"/>
      <c r="AL224" s="429"/>
      <c r="AM224" s="429"/>
      <c r="AN224" s="429"/>
      <c r="AO224" s="429"/>
      <c r="AP224" s="429"/>
      <c r="AQ224" s="429"/>
      <c r="AR224" s="429"/>
      <c r="AS224" s="429"/>
      <c r="AT224" s="429"/>
      <c r="AU224" s="429"/>
      <c r="AV224" s="429"/>
      <c r="AW224" s="429"/>
      <c r="AX224" s="429"/>
      <c r="AY224" s="429"/>
      <c r="AZ224" s="429"/>
      <c r="BA224" s="429"/>
      <c r="BB224" s="429"/>
      <c r="BC224" s="429"/>
      <c r="BD224" s="429"/>
      <c r="BE224" s="429"/>
      <c r="BF224" s="429"/>
      <c r="BG224" s="429"/>
      <c r="BH224" s="429"/>
      <c r="BI224" s="429"/>
      <c r="BJ224" s="429"/>
      <c r="BK224" s="429"/>
      <c r="BL224" s="429"/>
      <c r="BM224" s="429"/>
      <c r="BN224" s="429"/>
      <c r="BO224" s="429"/>
      <c r="BP224" s="102"/>
      <c r="BQ224" s="102">
        <v>2.185</v>
      </c>
      <c r="BR224" s="451">
        <f t="shared" si="19"/>
        <v>10925</v>
      </c>
      <c r="BS224" s="451">
        <f t="shared" si="22"/>
        <v>84668.75</v>
      </c>
      <c r="BT224" s="429" t="str">
        <f>IFERROR(VLOOKUP(E224,名称!A:D,4,FALSE),"")</f>
        <v>KIK</v>
      </c>
    </row>
    <row r="225" s="427" customFormat="1" hidden="1" customHeight="1" spans="1:72">
      <c r="A225" s="93">
        <v>46085</v>
      </c>
      <c r="B225" s="95" t="s">
        <v>237</v>
      </c>
      <c r="C225" s="96">
        <v>10121464</v>
      </c>
      <c r="D225" s="96">
        <v>202606174706</v>
      </c>
      <c r="E225" s="97" t="s">
        <v>88</v>
      </c>
      <c r="F225" s="99">
        <v>20016</v>
      </c>
      <c r="G225" s="93">
        <v>46162</v>
      </c>
      <c r="H225" s="429"/>
      <c r="I225" s="429"/>
      <c r="J225" s="429"/>
      <c r="K225" s="429"/>
      <c r="L225" s="429"/>
      <c r="M225" s="429"/>
      <c r="N225" s="429"/>
      <c r="O225" s="429"/>
      <c r="P225" s="429"/>
      <c r="Q225" s="429"/>
      <c r="R225" s="429"/>
      <c r="S225" s="429"/>
      <c r="T225" s="429"/>
      <c r="U225" s="429"/>
      <c r="V225" s="429"/>
      <c r="W225" s="429"/>
      <c r="X225" s="429"/>
      <c r="Y225" s="429"/>
      <c r="Z225" s="429"/>
      <c r="AA225" s="429"/>
      <c r="AB225" s="429"/>
      <c r="AC225" s="429"/>
      <c r="AD225" s="429"/>
      <c r="AE225" s="429">
        <f>F225</f>
        <v>20016</v>
      </c>
      <c r="AF225" s="429"/>
      <c r="AG225" s="429"/>
      <c r="AH225" s="429"/>
      <c r="AI225" s="429"/>
      <c r="AJ225" s="429"/>
      <c r="AK225" s="429"/>
      <c r="AL225" s="429"/>
      <c r="AM225" s="429"/>
      <c r="AN225" s="429"/>
      <c r="AO225" s="429"/>
      <c r="AP225" s="429"/>
      <c r="AQ225" s="429"/>
      <c r="AR225" s="429"/>
      <c r="AS225" s="429"/>
      <c r="AT225" s="429"/>
      <c r="AU225" s="429"/>
      <c r="AV225" s="429"/>
      <c r="AW225" s="429"/>
      <c r="AX225" s="429"/>
      <c r="AY225" s="429"/>
      <c r="AZ225" s="429"/>
      <c r="BA225" s="429"/>
      <c r="BB225" s="429"/>
      <c r="BC225" s="429"/>
      <c r="BD225" s="429"/>
      <c r="BE225" s="429"/>
      <c r="BF225" s="429"/>
      <c r="BG225" s="429"/>
      <c r="BH225" s="429"/>
      <c r="BI225" s="429"/>
      <c r="BJ225" s="429"/>
      <c r="BK225" s="429"/>
      <c r="BL225" s="429"/>
      <c r="BM225" s="429"/>
      <c r="BN225" s="429"/>
      <c r="BO225" s="429"/>
      <c r="BP225" s="102"/>
      <c r="BQ225" s="102">
        <v>0.963</v>
      </c>
      <c r="BR225" s="451">
        <f t="shared" si="19"/>
        <v>19275.41</v>
      </c>
      <c r="BS225" s="451">
        <f t="shared" si="22"/>
        <v>149384.43</v>
      </c>
      <c r="BT225" s="429" t="str">
        <f>IFERROR(VLOOKUP(E225,名称!A:D,4,FALSE),"")</f>
        <v>KIK</v>
      </c>
    </row>
    <row r="226" s="427" customFormat="1" hidden="1" customHeight="1" spans="1:72">
      <c r="A226" s="93">
        <v>46085</v>
      </c>
      <c r="B226" s="95" t="s">
        <v>237</v>
      </c>
      <c r="C226" s="96">
        <v>10121461</v>
      </c>
      <c r="D226" s="96">
        <v>202606174705</v>
      </c>
      <c r="E226" s="97" t="s">
        <v>129</v>
      </c>
      <c r="F226" s="99">
        <v>5004</v>
      </c>
      <c r="G226" s="93">
        <v>46162</v>
      </c>
      <c r="H226" s="429"/>
      <c r="I226" s="429">
        <f>F226</f>
        <v>5004</v>
      </c>
      <c r="J226" s="429"/>
      <c r="K226" s="429"/>
      <c r="L226" s="429"/>
      <c r="M226" s="429"/>
      <c r="N226" s="429"/>
      <c r="O226" s="429"/>
      <c r="P226" s="429"/>
      <c r="Q226" s="429"/>
      <c r="R226" s="429"/>
      <c r="S226" s="429"/>
      <c r="T226" s="429"/>
      <c r="U226" s="429"/>
      <c r="V226" s="429"/>
      <c r="W226" s="429"/>
      <c r="X226" s="429"/>
      <c r="Y226" s="429"/>
      <c r="Z226" s="429"/>
      <c r="AA226" s="429"/>
      <c r="AB226" s="429"/>
      <c r="AC226" s="429"/>
      <c r="AD226" s="429"/>
      <c r="AE226" s="429"/>
      <c r="AF226" s="429"/>
      <c r="AG226" s="429"/>
      <c r="AH226" s="429"/>
      <c r="AI226" s="429"/>
      <c r="AJ226" s="429"/>
      <c r="AK226" s="429"/>
      <c r="AL226" s="429"/>
      <c r="AM226" s="429"/>
      <c r="AN226" s="429"/>
      <c r="AO226" s="429"/>
      <c r="AP226" s="429"/>
      <c r="AQ226" s="429"/>
      <c r="AR226" s="429"/>
      <c r="AS226" s="429"/>
      <c r="AT226" s="429"/>
      <c r="AU226" s="429"/>
      <c r="AV226" s="429"/>
      <c r="AW226" s="429"/>
      <c r="AX226" s="429"/>
      <c r="AY226" s="429"/>
      <c r="AZ226" s="429"/>
      <c r="BA226" s="429"/>
      <c r="BB226" s="429"/>
      <c r="BC226" s="429"/>
      <c r="BD226" s="429"/>
      <c r="BE226" s="429"/>
      <c r="BF226" s="429"/>
      <c r="BG226" s="429"/>
      <c r="BH226" s="429"/>
      <c r="BI226" s="429"/>
      <c r="BJ226" s="429"/>
      <c r="BK226" s="429"/>
      <c r="BL226" s="429"/>
      <c r="BM226" s="429"/>
      <c r="BN226" s="429"/>
      <c r="BO226" s="429"/>
      <c r="BP226" s="102"/>
      <c r="BQ226" s="102">
        <v>0.324</v>
      </c>
      <c r="BR226" s="451">
        <f t="shared" si="19"/>
        <v>1621.3</v>
      </c>
      <c r="BS226" s="451">
        <f t="shared" si="22"/>
        <v>12565.08</v>
      </c>
      <c r="BT226" s="429" t="str">
        <f>IFERROR(VLOOKUP(E226,名称!A:D,4,FALSE),"")</f>
        <v>KIK</v>
      </c>
    </row>
    <row r="227" s="427" customFormat="1" hidden="1" customHeight="1" spans="1:72">
      <c r="A227" s="93">
        <v>46088</v>
      </c>
      <c r="B227" s="95" t="s">
        <v>248</v>
      </c>
      <c r="C227" s="96">
        <v>10121649</v>
      </c>
      <c r="D227" s="96" t="s">
        <v>257</v>
      </c>
      <c r="E227" s="97" t="s">
        <v>89</v>
      </c>
      <c r="F227" s="99">
        <v>4</v>
      </c>
      <c r="G227" s="93">
        <v>46094</v>
      </c>
      <c r="H227" s="429"/>
      <c r="I227" s="429"/>
      <c r="J227" s="429"/>
      <c r="K227" s="429"/>
      <c r="L227" s="429"/>
      <c r="M227" s="429"/>
      <c r="N227" s="429"/>
      <c r="O227" s="429"/>
      <c r="P227" s="429"/>
      <c r="Q227" s="429"/>
      <c r="R227" s="429"/>
      <c r="S227" s="429"/>
      <c r="T227" s="429"/>
      <c r="U227" s="429"/>
      <c r="V227" s="429"/>
      <c r="W227" s="429"/>
      <c r="X227" s="429"/>
      <c r="Y227" s="429"/>
      <c r="Z227" s="429"/>
      <c r="AA227" s="429"/>
      <c r="AB227" s="429"/>
      <c r="AC227" s="429"/>
      <c r="AD227" s="429"/>
      <c r="AE227" s="429"/>
      <c r="AF227" s="429">
        <f>F227/6*4</f>
        <v>2.66666666666667</v>
      </c>
      <c r="AG227" s="429">
        <f>F227/6*2</f>
        <v>1.33333333333333</v>
      </c>
      <c r="AH227" s="429"/>
      <c r="AI227" s="429"/>
      <c r="AJ227" s="429"/>
      <c r="AK227" s="429"/>
      <c r="AL227" s="429"/>
      <c r="AM227" s="429"/>
      <c r="AN227" s="429"/>
      <c r="AO227" s="429"/>
      <c r="AP227" s="429"/>
      <c r="AQ227" s="429"/>
      <c r="AR227" s="429"/>
      <c r="AS227" s="429"/>
      <c r="AT227" s="429"/>
      <c r="AU227" s="429"/>
      <c r="AV227" s="429"/>
      <c r="AW227" s="429"/>
      <c r="AX227" s="429"/>
      <c r="AY227" s="429"/>
      <c r="AZ227" s="429"/>
      <c r="BA227" s="429"/>
      <c r="BB227" s="429"/>
      <c r="BC227" s="429"/>
      <c r="BD227" s="429"/>
      <c r="BE227" s="429"/>
      <c r="BF227" s="429"/>
      <c r="BG227" s="429"/>
      <c r="BH227" s="429"/>
      <c r="BI227" s="429"/>
      <c r="BJ227" s="429"/>
      <c r="BK227" s="429"/>
      <c r="BL227" s="429"/>
      <c r="BM227" s="429"/>
      <c r="BN227" s="429"/>
      <c r="BO227" s="429"/>
      <c r="BP227" s="102"/>
      <c r="BQ227" s="102">
        <v>1.337</v>
      </c>
      <c r="BR227" s="451">
        <f t="shared" si="19"/>
        <v>5.35</v>
      </c>
      <c r="BS227" s="451">
        <f t="shared" si="22"/>
        <v>41.46</v>
      </c>
      <c r="BT227" s="429" t="str">
        <f>IFERROR(VLOOKUP(E227,名称!A:D,4,FALSE),"")</f>
        <v>KIK</v>
      </c>
    </row>
    <row r="228" s="427" customFormat="1" hidden="1" customHeight="1" spans="1:72">
      <c r="A228" s="93">
        <v>46088</v>
      </c>
      <c r="B228" s="95" t="s">
        <v>248</v>
      </c>
      <c r="C228" s="96">
        <v>10121649</v>
      </c>
      <c r="D228" s="96" t="s">
        <v>257</v>
      </c>
      <c r="E228" s="97" t="s">
        <v>95</v>
      </c>
      <c r="F228" s="99">
        <v>4</v>
      </c>
      <c r="G228" s="93">
        <v>46094</v>
      </c>
      <c r="H228" s="429"/>
      <c r="I228" s="429"/>
      <c r="J228" s="429"/>
      <c r="K228" s="429"/>
      <c r="L228" s="429"/>
      <c r="M228" s="429"/>
      <c r="N228" s="429"/>
      <c r="O228" s="429"/>
      <c r="P228" s="429"/>
      <c r="Q228" s="429"/>
      <c r="R228" s="429"/>
      <c r="S228" s="429"/>
      <c r="T228" s="429"/>
      <c r="U228" s="429"/>
      <c r="V228" s="429"/>
      <c r="W228" s="429"/>
      <c r="X228" s="429"/>
      <c r="Y228" s="429"/>
      <c r="Z228" s="429"/>
      <c r="AA228" s="429"/>
      <c r="AB228" s="429"/>
      <c r="AC228" s="429"/>
      <c r="AD228" s="429"/>
      <c r="AE228" s="429"/>
      <c r="AF228" s="429"/>
      <c r="AG228" s="429"/>
      <c r="AH228" s="429">
        <f>F228</f>
        <v>4</v>
      </c>
      <c r="AI228" s="429"/>
      <c r="AJ228" s="429"/>
      <c r="AK228" s="429"/>
      <c r="AL228" s="429"/>
      <c r="AM228" s="429"/>
      <c r="AN228" s="429"/>
      <c r="AO228" s="429"/>
      <c r="AP228" s="429"/>
      <c r="AQ228" s="429"/>
      <c r="AR228" s="429"/>
      <c r="AS228" s="429"/>
      <c r="AT228" s="429"/>
      <c r="AU228" s="429"/>
      <c r="AV228" s="429"/>
      <c r="AW228" s="429"/>
      <c r="AX228" s="429"/>
      <c r="AY228" s="429"/>
      <c r="AZ228" s="429"/>
      <c r="BA228" s="429"/>
      <c r="BB228" s="429"/>
      <c r="BC228" s="429"/>
      <c r="BD228" s="429"/>
      <c r="BE228" s="429"/>
      <c r="BF228" s="429"/>
      <c r="BG228" s="429"/>
      <c r="BH228" s="429"/>
      <c r="BI228" s="429"/>
      <c r="BJ228" s="429"/>
      <c r="BK228" s="429"/>
      <c r="BL228" s="429"/>
      <c r="BM228" s="429"/>
      <c r="BN228" s="429"/>
      <c r="BO228" s="429"/>
      <c r="BP228" s="102"/>
      <c r="BQ228" s="102">
        <v>2.158</v>
      </c>
      <c r="BR228" s="451">
        <f t="shared" si="19"/>
        <v>8.63</v>
      </c>
      <c r="BS228" s="451">
        <f t="shared" si="22"/>
        <v>66.88</v>
      </c>
      <c r="BT228" s="429" t="str">
        <f>IFERROR(VLOOKUP(E228,名称!A:D,4,FALSE),"")</f>
        <v>KIK</v>
      </c>
    </row>
    <row r="229" s="427" customFormat="1" hidden="1" customHeight="1" spans="1:72">
      <c r="A229" s="93">
        <v>46088</v>
      </c>
      <c r="B229" s="95" t="s">
        <v>248</v>
      </c>
      <c r="C229" s="96">
        <v>10121649</v>
      </c>
      <c r="D229" s="96" t="s">
        <v>257</v>
      </c>
      <c r="E229" s="97" t="s">
        <v>97</v>
      </c>
      <c r="F229" s="99">
        <v>4</v>
      </c>
      <c r="G229" s="93">
        <v>46094</v>
      </c>
      <c r="H229" s="429"/>
      <c r="I229" s="429"/>
      <c r="J229" s="429"/>
      <c r="K229" s="429"/>
      <c r="L229" s="429"/>
      <c r="M229" s="429"/>
      <c r="N229" s="429"/>
      <c r="O229" s="429"/>
      <c r="P229" s="429"/>
      <c r="Q229" s="429"/>
      <c r="R229" s="429"/>
      <c r="S229" s="429"/>
      <c r="T229" s="429"/>
      <c r="U229" s="429"/>
      <c r="V229" s="429"/>
      <c r="W229" s="429"/>
      <c r="X229" s="429"/>
      <c r="Y229" s="429"/>
      <c r="Z229" s="429"/>
      <c r="AA229" s="429"/>
      <c r="AB229" s="429"/>
      <c r="AC229" s="429"/>
      <c r="AD229" s="429"/>
      <c r="AE229" s="429"/>
      <c r="AF229" s="429"/>
      <c r="AG229" s="429"/>
      <c r="AH229" s="429"/>
      <c r="AI229" s="429">
        <f>F229</f>
        <v>4</v>
      </c>
      <c r="AJ229" s="429"/>
      <c r="AK229" s="429"/>
      <c r="AL229" s="429"/>
      <c r="AM229" s="429"/>
      <c r="AN229" s="429"/>
      <c r="AO229" s="429"/>
      <c r="AP229" s="429"/>
      <c r="AQ229" s="429"/>
      <c r="AR229" s="429"/>
      <c r="AS229" s="429"/>
      <c r="AT229" s="429"/>
      <c r="AU229" s="429"/>
      <c r="AV229" s="429"/>
      <c r="AW229" s="429"/>
      <c r="AX229" s="429"/>
      <c r="AY229" s="429"/>
      <c r="AZ229" s="429"/>
      <c r="BA229" s="429"/>
      <c r="BB229" s="429"/>
      <c r="BC229" s="429"/>
      <c r="BD229" s="429"/>
      <c r="BE229" s="429"/>
      <c r="BF229" s="429"/>
      <c r="BG229" s="429"/>
      <c r="BH229" s="429"/>
      <c r="BI229" s="429"/>
      <c r="BJ229" s="429"/>
      <c r="BK229" s="429"/>
      <c r="BL229" s="429"/>
      <c r="BM229" s="429"/>
      <c r="BN229" s="429"/>
      <c r="BO229" s="429"/>
      <c r="BP229" s="102"/>
      <c r="BQ229" s="102">
        <v>3.216</v>
      </c>
      <c r="BR229" s="451">
        <f t="shared" si="19"/>
        <v>12.86</v>
      </c>
      <c r="BS229" s="451">
        <f t="shared" si="22"/>
        <v>99.67</v>
      </c>
      <c r="BT229" s="429" t="str">
        <f>IFERROR(VLOOKUP(E229,名称!A:D,4,FALSE),"")</f>
        <v>KIK</v>
      </c>
    </row>
    <row r="230" s="427" customFormat="1" hidden="1" customHeight="1" spans="1:72">
      <c r="A230" s="93">
        <v>46088</v>
      </c>
      <c r="B230" s="95" t="s">
        <v>248</v>
      </c>
      <c r="C230" s="96">
        <v>10121649</v>
      </c>
      <c r="D230" s="96" t="s">
        <v>257</v>
      </c>
      <c r="E230" s="97" t="s">
        <v>141</v>
      </c>
      <c r="F230" s="99">
        <v>4</v>
      </c>
      <c r="G230" s="93">
        <v>46094</v>
      </c>
      <c r="H230" s="429"/>
      <c r="I230" s="429"/>
      <c r="J230" s="429"/>
      <c r="K230" s="429"/>
      <c r="L230" s="429"/>
      <c r="M230" s="429"/>
      <c r="N230" s="429"/>
      <c r="O230" s="429"/>
      <c r="P230" s="429"/>
      <c r="Q230" s="429"/>
      <c r="R230" s="429"/>
      <c r="S230" s="429"/>
      <c r="T230" s="429"/>
      <c r="U230" s="429"/>
      <c r="V230" s="429"/>
      <c r="W230" s="429"/>
      <c r="X230" s="429"/>
      <c r="Y230" s="429"/>
      <c r="Z230" s="429"/>
      <c r="AA230" s="429"/>
      <c r="AB230" s="429"/>
      <c r="AC230" s="429"/>
      <c r="AD230" s="429"/>
      <c r="AE230" s="429"/>
      <c r="AF230" s="429">
        <f>F230/6*3</f>
        <v>2</v>
      </c>
      <c r="AG230" s="429">
        <f>F230/6*3</f>
        <v>2</v>
      </c>
      <c r="AH230" s="429"/>
      <c r="AI230" s="429"/>
      <c r="AJ230" s="429"/>
      <c r="AK230" s="429"/>
      <c r="AL230" s="429"/>
      <c r="AM230" s="429"/>
      <c r="AN230" s="429"/>
      <c r="AO230" s="429"/>
      <c r="AP230" s="429"/>
      <c r="AQ230" s="429"/>
      <c r="AR230" s="429"/>
      <c r="AS230" s="429"/>
      <c r="AT230" s="429"/>
      <c r="AU230" s="429"/>
      <c r="AV230" s="429"/>
      <c r="AW230" s="429"/>
      <c r="AX230" s="429"/>
      <c r="AY230" s="429"/>
      <c r="AZ230" s="429"/>
      <c r="BA230" s="429"/>
      <c r="BB230" s="429"/>
      <c r="BC230" s="429"/>
      <c r="BD230" s="429"/>
      <c r="BE230" s="429"/>
      <c r="BF230" s="429"/>
      <c r="BG230" s="429"/>
      <c r="BH230" s="429"/>
      <c r="BI230" s="429"/>
      <c r="BJ230" s="429"/>
      <c r="BK230" s="429"/>
      <c r="BL230" s="429"/>
      <c r="BM230" s="429"/>
      <c r="BN230" s="429"/>
      <c r="BO230" s="429"/>
      <c r="BP230" s="102"/>
      <c r="BQ230" s="102">
        <v>2.357</v>
      </c>
      <c r="BR230" s="451">
        <f t="shared" si="19"/>
        <v>9.43</v>
      </c>
      <c r="BS230" s="451">
        <f t="shared" si="22"/>
        <v>73.08</v>
      </c>
      <c r="BT230" s="429" t="str">
        <f>IFERROR(VLOOKUP(E230,名称!A:D,4,FALSE),"")</f>
        <v>KIK</v>
      </c>
    </row>
    <row r="231" s="427" customFormat="1" hidden="1" customHeight="1" spans="1:72">
      <c r="A231" s="93">
        <v>46088</v>
      </c>
      <c r="B231" s="95" t="s">
        <v>235</v>
      </c>
      <c r="C231" s="96">
        <v>10121640</v>
      </c>
      <c r="D231" s="96">
        <v>4500032389</v>
      </c>
      <c r="E231" s="97" t="s">
        <v>97</v>
      </c>
      <c r="F231" s="99">
        <v>2460</v>
      </c>
      <c r="G231" s="93">
        <v>46197</v>
      </c>
      <c r="H231" s="429"/>
      <c r="I231" s="429"/>
      <c r="J231" s="429"/>
      <c r="K231" s="429"/>
      <c r="L231" s="429"/>
      <c r="M231" s="429"/>
      <c r="N231" s="429"/>
      <c r="O231" s="429"/>
      <c r="P231" s="429"/>
      <c r="Q231" s="429"/>
      <c r="R231" s="429"/>
      <c r="S231" s="429"/>
      <c r="T231" s="429"/>
      <c r="U231" s="429"/>
      <c r="V231" s="429"/>
      <c r="W231" s="429"/>
      <c r="X231" s="429"/>
      <c r="Y231" s="429"/>
      <c r="Z231" s="429"/>
      <c r="AA231" s="429"/>
      <c r="AB231" s="429"/>
      <c r="AC231" s="429"/>
      <c r="AD231" s="429"/>
      <c r="AE231" s="429"/>
      <c r="AF231" s="429"/>
      <c r="AG231" s="429"/>
      <c r="AH231" s="429"/>
      <c r="AI231" s="429">
        <f>F231</f>
        <v>2460</v>
      </c>
      <c r="AJ231" s="429"/>
      <c r="AK231" s="429"/>
      <c r="AL231" s="429"/>
      <c r="AM231" s="429"/>
      <c r="AN231" s="429"/>
      <c r="AO231" s="429"/>
      <c r="AP231" s="429"/>
      <c r="AQ231" s="429"/>
      <c r="AR231" s="429"/>
      <c r="AS231" s="429"/>
      <c r="AT231" s="429"/>
      <c r="AU231" s="429"/>
      <c r="AV231" s="429"/>
      <c r="AW231" s="429"/>
      <c r="AX231" s="429"/>
      <c r="AY231" s="429"/>
      <c r="AZ231" s="429"/>
      <c r="BA231" s="429"/>
      <c r="BB231" s="429"/>
      <c r="BC231" s="429"/>
      <c r="BD231" s="429"/>
      <c r="BE231" s="429"/>
      <c r="BF231" s="429"/>
      <c r="BG231" s="429"/>
      <c r="BH231" s="429"/>
      <c r="BI231" s="429"/>
      <c r="BJ231" s="429"/>
      <c r="BK231" s="429"/>
      <c r="BL231" s="429"/>
      <c r="BM231" s="429"/>
      <c r="BN231" s="429"/>
      <c r="BO231" s="429"/>
      <c r="BP231" s="102"/>
      <c r="BQ231" s="102">
        <v>3.362</v>
      </c>
      <c r="BR231" s="451">
        <f t="shared" si="19"/>
        <v>8270.52</v>
      </c>
      <c r="BS231" s="451">
        <f t="shared" si="22"/>
        <v>64096.53</v>
      </c>
      <c r="BT231" s="429" t="str">
        <f>IFERROR(VLOOKUP(E231,名称!A:D,4,FALSE),"")</f>
        <v>KIK</v>
      </c>
    </row>
    <row r="232" s="427" customFormat="1" hidden="1" customHeight="1" spans="1:72">
      <c r="A232" s="93">
        <v>46088</v>
      </c>
      <c r="B232" s="95" t="s">
        <v>235</v>
      </c>
      <c r="C232" s="96">
        <v>10121640</v>
      </c>
      <c r="D232" s="96">
        <v>4500032389</v>
      </c>
      <c r="E232" s="97" t="s">
        <v>97</v>
      </c>
      <c r="F232" s="99">
        <v>2060</v>
      </c>
      <c r="G232" s="93">
        <v>46197</v>
      </c>
      <c r="H232" s="429"/>
      <c r="I232" s="429"/>
      <c r="J232" s="429"/>
      <c r="K232" s="429"/>
      <c r="L232" s="429"/>
      <c r="M232" s="429"/>
      <c r="N232" s="429"/>
      <c r="O232" s="429"/>
      <c r="P232" s="429"/>
      <c r="Q232" s="429"/>
      <c r="R232" s="429"/>
      <c r="S232" s="429"/>
      <c r="T232" s="429"/>
      <c r="U232" s="429"/>
      <c r="V232" s="429"/>
      <c r="W232" s="429"/>
      <c r="X232" s="429"/>
      <c r="Y232" s="429"/>
      <c r="Z232" s="429"/>
      <c r="AA232" s="429"/>
      <c r="AB232" s="429"/>
      <c r="AC232" s="429"/>
      <c r="AD232" s="429"/>
      <c r="AE232" s="429"/>
      <c r="AF232" s="429"/>
      <c r="AG232" s="429"/>
      <c r="AH232" s="429"/>
      <c r="AI232" s="429">
        <f>F232</f>
        <v>2060</v>
      </c>
      <c r="AJ232" s="429"/>
      <c r="AK232" s="429"/>
      <c r="AL232" s="429"/>
      <c r="AM232" s="429"/>
      <c r="AN232" s="429"/>
      <c r="AO232" s="429"/>
      <c r="AP232" s="429"/>
      <c r="AQ232" s="429"/>
      <c r="AR232" s="429"/>
      <c r="AS232" s="429"/>
      <c r="AT232" s="429"/>
      <c r="AU232" s="429"/>
      <c r="AV232" s="429"/>
      <c r="AW232" s="429"/>
      <c r="AX232" s="429"/>
      <c r="AY232" s="429"/>
      <c r="AZ232" s="429"/>
      <c r="BA232" s="429"/>
      <c r="BB232" s="429"/>
      <c r="BC232" s="429"/>
      <c r="BD232" s="429"/>
      <c r="BE232" s="429"/>
      <c r="BF232" s="429"/>
      <c r="BG232" s="429"/>
      <c r="BH232" s="429"/>
      <c r="BI232" s="429"/>
      <c r="BJ232" s="429"/>
      <c r="BK232" s="429"/>
      <c r="BL232" s="429"/>
      <c r="BM232" s="429"/>
      <c r="BN232" s="429"/>
      <c r="BO232" s="429"/>
      <c r="BP232" s="102"/>
      <c r="BQ232" s="102">
        <v>3.362</v>
      </c>
      <c r="BR232" s="451">
        <f t="shared" si="19"/>
        <v>6925.72</v>
      </c>
      <c r="BS232" s="451">
        <f t="shared" si="22"/>
        <v>53674.33</v>
      </c>
      <c r="BT232" s="429" t="str">
        <f>IFERROR(VLOOKUP(E232,名称!A:D,4,FALSE),"")</f>
        <v>KIK</v>
      </c>
    </row>
    <row r="233" s="427" customFormat="1" hidden="1" customHeight="1" spans="1:72">
      <c r="A233" s="93">
        <v>46088</v>
      </c>
      <c r="B233" s="95" t="s">
        <v>235</v>
      </c>
      <c r="C233" s="96">
        <v>10121640</v>
      </c>
      <c r="D233" s="96">
        <v>4500032389</v>
      </c>
      <c r="E233" s="97" t="s">
        <v>141</v>
      </c>
      <c r="F233" s="99">
        <v>5004</v>
      </c>
      <c r="G233" s="93">
        <v>46197</v>
      </c>
      <c r="H233" s="429"/>
      <c r="I233" s="429"/>
      <c r="J233" s="429"/>
      <c r="K233" s="429"/>
      <c r="L233" s="429"/>
      <c r="M233" s="429"/>
      <c r="N233" s="429"/>
      <c r="O233" s="429"/>
      <c r="P233" s="429"/>
      <c r="Q233" s="429"/>
      <c r="R233" s="429"/>
      <c r="S233" s="429"/>
      <c r="T233" s="429"/>
      <c r="U233" s="429"/>
      <c r="V233" s="429"/>
      <c r="W233" s="429"/>
      <c r="X233" s="429"/>
      <c r="Y233" s="429"/>
      <c r="Z233" s="429"/>
      <c r="AA233" s="429"/>
      <c r="AB233" s="429"/>
      <c r="AC233" s="429"/>
      <c r="AD233" s="429"/>
      <c r="AE233" s="429"/>
      <c r="AF233" s="429">
        <f>F233/6*3</f>
        <v>2502</v>
      </c>
      <c r="AG233" s="429">
        <f>F233/6*3</f>
        <v>2502</v>
      </c>
      <c r="AH233" s="429"/>
      <c r="AI233" s="429"/>
      <c r="AJ233" s="429"/>
      <c r="AK233" s="429"/>
      <c r="AL233" s="429"/>
      <c r="AM233" s="429"/>
      <c r="AN233" s="429"/>
      <c r="AO233" s="429"/>
      <c r="AP233" s="429"/>
      <c r="AQ233" s="429"/>
      <c r="AR233" s="429"/>
      <c r="AS233" s="429"/>
      <c r="AT233" s="429"/>
      <c r="AU233" s="429"/>
      <c r="AV233" s="429"/>
      <c r="AW233" s="429"/>
      <c r="AX233" s="429"/>
      <c r="AY233" s="429"/>
      <c r="AZ233" s="429"/>
      <c r="BA233" s="429"/>
      <c r="BB233" s="429"/>
      <c r="BC233" s="429"/>
      <c r="BD233" s="429"/>
      <c r="BE233" s="429"/>
      <c r="BF233" s="429"/>
      <c r="BG233" s="429"/>
      <c r="BH233" s="429"/>
      <c r="BI233" s="429"/>
      <c r="BJ233" s="429"/>
      <c r="BK233" s="429"/>
      <c r="BL233" s="429"/>
      <c r="BM233" s="429"/>
      <c r="BN233" s="429"/>
      <c r="BO233" s="429"/>
      <c r="BP233" s="102"/>
      <c r="BQ233" s="102">
        <v>2.398</v>
      </c>
      <c r="BR233" s="451">
        <f t="shared" si="19"/>
        <v>11999.59</v>
      </c>
      <c r="BS233" s="451">
        <f t="shared" si="22"/>
        <v>92996.82</v>
      </c>
      <c r="BT233" s="429" t="str">
        <f>IFERROR(VLOOKUP(E233,名称!A:D,4,FALSE),"")</f>
        <v>KIK</v>
      </c>
    </row>
    <row r="234" s="427" customFormat="1" hidden="1" customHeight="1" spans="1:72">
      <c r="A234" s="93">
        <v>46088</v>
      </c>
      <c r="B234" s="95" t="s">
        <v>235</v>
      </c>
      <c r="C234" s="96">
        <v>10121641</v>
      </c>
      <c r="D234" s="96">
        <v>4500032390</v>
      </c>
      <c r="E234" s="97" t="s">
        <v>64</v>
      </c>
      <c r="F234" s="99">
        <v>5000</v>
      </c>
      <c r="G234" s="93">
        <v>46176</v>
      </c>
      <c r="H234" s="429"/>
      <c r="I234" s="429"/>
      <c r="J234" s="429"/>
      <c r="K234" s="429"/>
      <c r="L234" s="429"/>
      <c r="M234" s="429"/>
      <c r="N234" s="429"/>
      <c r="O234" s="429"/>
      <c r="P234" s="429"/>
      <c r="Q234" s="429"/>
      <c r="R234" s="429"/>
      <c r="S234" s="429"/>
      <c r="T234" s="429"/>
      <c r="U234" s="429"/>
      <c r="V234" s="429"/>
      <c r="W234" s="429"/>
      <c r="X234" s="429"/>
      <c r="Y234" s="429"/>
      <c r="Z234" s="429"/>
      <c r="AA234" s="429"/>
      <c r="AB234" s="429">
        <f>F234</f>
        <v>5000</v>
      </c>
      <c r="AC234" s="429"/>
      <c r="AD234" s="429"/>
      <c r="AE234" s="429"/>
      <c r="AF234" s="429"/>
      <c r="AG234" s="429"/>
      <c r="AH234" s="429"/>
      <c r="AI234" s="429"/>
      <c r="AJ234" s="429"/>
      <c r="AK234" s="429"/>
      <c r="AL234" s="429"/>
      <c r="AM234" s="429"/>
      <c r="AN234" s="429"/>
      <c r="AO234" s="429"/>
      <c r="AP234" s="429"/>
      <c r="AQ234" s="429"/>
      <c r="AR234" s="429"/>
      <c r="AS234" s="429"/>
      <c r="AT234" s="429"/>
      <c r="AU234" s="429"/>
      <c r="AV234" s="429"/>
      <c r="AW234" s="429"/>
      <c r="AX234" s="429"/>
      <c r="AY234" s="429"/>
      <c r="AZ234" s="429"/>
      <c r="BA234" s="429"/>
      <c r="BB234" s="429"/>
      <c r="BC234" s="429"/>
      <c r="BD234" s="429"/>
      <c r="BE234" s="429"/>
      <c r="BF234" s="429"/>
      <c r="BG234" s="429"/>
      <c r="BH234" s="429"/>
      <c r="BI234" s="429"/>
      <c r="BJ234" s="429"/>
      <c r="BK234" s="429"/>
      <c r="BL234" s="429"/>
      <c r="BM234" s="429"/>
      <c r="BN234" s="429"/>
      <c r="BO234" s="429"/>
      <c r="BP234" s="102"/>
      <c r="BQ234" s="102">
        <v>2.364</v>
      </c>
      <c r="BR234" s="451">
        <f t="shared" si="19"/>
        <v>11820</v>
      </c>
      <c r="BS234" s="451">
        <f t="shared" si="22"/>
        <v>91605</v>
      </c>
      <c r="BT234" s="429" t="str">
        <f>IFERROR(VLOOKUP(E234,名称!A:D,4,FALSE),"")</f>
        <v>KIK</v>
      </c>
    </row>
    <row r="235" s="427" customFormat="1" hidden="1" customHeight="1" spans="1:72">
      <c r="A235" s="93">
        <v>46091</v>
      </c>
      <c r="B235" s="95" t="s">
        <v>235</v>
      </c>
      <c r="C235" s="96">
        <v>10121711</v>
      </c>
      <c r="D235" s="96">
        <v>4500032422</v>
      </c>
      <c r="E235" s="97" t="s">
        <v>142</v>
      </c>
      <c r="F235" s="99">
        <v>1599</v>
      </c>
      <c r="G235" s="93">
        <v>46190</v>
      </c>
      <c r="H235" s="429"/>
      <c r="I235" s="429"/>
      <c r="J235" s="429"/>
      <c r="K235" s="429"/>
      <c r="L235" s="429"/>
      <c r="M235" s="429"/>
      <c r="N235" s="429"/>
      <c r="O235" s="429"/>
      <c r="P235" s="429"/>
      <c r="Q235" s="429"/>
      <c r="R235" s="429"/>
      <c r="S235" s="429"/>
      <c r="T235" s="429"/>
      <c r="U235" s="429"/>
      <c r="V235" s="429"/>
      <c r="W235" s="429"/>
      <c r="X235" s="429"/>
      <c r="Y235" s="429"/>
      <c r="Z235" s="429"/>
      <c r="AA235" s="429"/>
      <c r="AB235" s="429"/>
      <c r="AC235" s="429"/>
      <c r="AD235" s="429"/>
      <c r="AE235" s="429"/>
      <c r="AF235" s="429"/>
      <c r="AG235" s="429"/>
      <c r="AH235" s="429"/>
      <c r="AI235" s="429"/>
      <c r="AJ235" s="429"/>
      <c r="AK235" s="429"/>
      <c r="AL235" s="429"/>
      <c r="AM235" s="429"/>
      <c r="AN235" s="429"/>
      <c r="AO235" s="429"/>
      <c r="AP235" s="429"/>
      <c r="AQ235" s="429"/>
      <c r="AR235" s="429"/>
      <c r="AS235" s="429"/>
      <c r="AT235" s="429"/>
      <c r="AU235" s="429"/>
      <c r="AV235" s="429">
        <f>F235</f>
        <v>1599</v>
      </c>
      <c r="AW235" s="429"/>
      <c r="AX235" s="429"/>
      <c r="AY235" s="429"/>
      <c r="AZ235" s="429"/>
      <c r="BA235" s="429"/>
      <c r="BB235" s="429"/>
      <c r="BC235" s="429"/>
      <c r="BD235" s="429"/>
      <c r="BE235" s="429"/>
      <c r="BF235" s="429"/>
      <c r="BG235" s="429"/>
      <c r="BH235" s="429"/>
      <c r="BI235" s="429"/>
      <c r="BJ235" s="429"/>
      <c r="BK235" s="429"/>
      <c r="BL235" s="429"/>
      <c r="BM235" s="429"/>
      <c r="BN235" s="429"/>
      <c r="BO235" s="429"/>
      <c r="BP235" s="102"/>
      <c r="BQ235" s="102">
        <v>3.151</v>
      </c>
      <c r="BR235" s="451">
        <f t="shared" si="19"/>
        <v>5038.45</v>
      </c>
      <c r="BS235" s="451">
        <f t="shared" ref="BS235:BS247" si="23">BR235*7.75</f>
        <v>39047.99</v>
      </c>
      <c r="BT235" s="429" t="str">
        <f>IFERROR(VLOOKUP(E235,名称!A:D,4,FALSE),"")</f>
        <v>KIK</v>
      </c>
    </row>
    <row r="236" s="427" customFormat="1" hidden="1" customHeight="1" spans="1:72">
      <c r="A236" s="93">
        <v>46091</v>
      </c>
      <c r="B236" s="95" t="s">
        <v>235</v>
      </c>
      <c r="C236" s="96">
        <v>10121711</v>
      </c>
      <c r="D236" s="96">
        <v>4500032422</v>
      </c>
      <c r="E236" s="97" t="s">
        <v>142</v>
      </c>
      <c r="F236" s="99">
        <v>2001</v>
      </c>
      <c r="G236" s="93">
        <v>46204</v>
      </c>
      <c r="H236" s="429"/>
      <c r="I236" s="429"/>
      <c r="J236" s="429"/>
      <c r="K236" s="429"/>
      <c r="L236" s="429"/>
      <c r="M236" s="429"/>
      <c r="N236" s="429"/>
      <c r="O236" s="429"/>
      <c r="P236" s="429"/>
      <c r="Q236" s="429"/>
      <c r="R236" s="429"/>
      <c r="S236" s="429"/>
      <c r="T236" s="429"/>
      <c r="U236" s="429"/>
      <c r="V236" s="429"/>
      <c r="W236" s="429"/>
      <c r="X236" s="429"/>
      <c r="Y236" s="429"/>
      <c r="Z236" s="429"/>
      <c r="AA236" s="429"/>
      <c r="AB236" s="429"/>
      <c r="AC236" s="429"/>
      <c r="AD236" s="429"/>
      <c r="AE236" s="429"/>
      <c r="AF236" s="429"/>
      <c r="AG236" s="429"/>
      <c r="AH236" s="429"/>
      <c r="AI236" s="429"/>
      <c r="AJ236" s="429"/>
      <c r="AK236" s="429"/>
      <c r="AL236" s="429"/>
      <c r="AM236" s="429"/>
      <c r="AN236" s="429"/>
      <c r="AO236" s="429"/>
      <c r="AP236" s="429"/>
      <c r="AQ236" s="429"/>
      <c r="AR236" s="429"/>
      <c r="AS236" s="429"/>
      <c r="AT236" s="429"/>
      <c r="AU236" s="429"/>
      <c r="AV236" s="216">
        <f>F236</f>
        <v>2001</v>
      </c>
      <c r="AW236" s="429"/>
      <c r="AX236" s="429"/>
      <c r="AY236" s="429"/>
      <c r="AZ236" s="429"/>
      <c r="BA236" s="429"/>
      <c r="BB236" s="429"/>
      <c r="BC236" s="429"/>
      <c r="BD236" s="429"/>
      <c r="BE236" s="429"/>
      <c r="BF236" s="429"/>
      <c r="BG236" s="429"/>
      <c r="BH236" s="429"/>
      <c r="BI236" s="429"/>
      <c r="BJ236" s="429"/>
      <c r="BK236" s="429"/>
      <c r="BL236" s="429"/>
      <c r="BM236" s="429"/>
      <c r="BN236" s="429"/>
      <c r="BO236" s="429"/>
      <c r="BP236" s="102"/>
      <c r="BQ236" s="102">
        <v>3.151</v>
      </c>
      <c r="BR236" s="451">
        <f t="shared" si="19"/>
        <v>6305.15</v>
      </c>
      <c r="BS236" s="451">
        <f t="shared" si="23"/>
        <v>48864.91</v>
      </c>
      <c r="BT236" s="429" t="str">
        <f>IFERROR(VLOOKUP(E236,名称!A:D,4,FALSE),"")</f>
        <v>KIK</v>
      </c>
    </row>
    <row r="237" s="427" customFormat="1" hidden="1" customHeight="1" spans="1:72">
      <c r="A237" s="93">
        <v>46091</v>
      </c>
      <c r="B237" s="95" t="s">
        <v>235</v>
      </c>
      <c r="C237" s="96">
        <v>10121711</v>
      </c>
      <c r="D237" s="96">
        <v>4500032422</v>
      </c>
      <c r="E237" s="97" t="s">
        <v>142</v>
      </c>
      <c r="F237" s="99">
        <v>3000</v>
      </c>
      <c r="G237" s="93">
        <v>46190</v>
      </c>
      <c r="H237" s="429"/>
      <c r="I237" s="429"/>
      <c r="J237" s="429"/>
      <c r="K237" s="429"/>
      <c r="L237" s="429"/>
      <c r="M237" s="429"/>
      <c r="N237" s="429"/>
      <c r="O237" s="429"/>
      <c r="P237" s="429"/>
      <c r="Q237" s="429"/>
      <c r="R237" s="429"/>
      <c r="S237" s="429"/>
      <c r="T237" s="429"/>
      <c r="U237" s="429"/>
      <c r="V237" s="429"/>
      <c r="W237" s="429"/>
      <c r="X237" s="429"/>
      <c r="Y237" s="429"/>
      <c r="Z237" s="429"/>
      <c r="AA237" s="429"/>
      <c r="AB237" s="429"/>
      <c r="AC237" s="429"/>
      <c r="AD237" s="429"/>
      <c r="AE237" s="429"/>
      <c r="AF237" s="429"/>
      <c r="AG237" s="429"/>
      <c r="AH237" s="429"/>
      <c r="AI237" s="429"/>
      <c r="AJ237" s="429"/>
      <c r="AK237" s="429"/>
      <c r="AL237" s="429"/>
      <c r="AM237" s="429"/>
      <c r="AN237" s="429"/>
      <c r="AO237" s="429"/>
      <c r="AP237" s="429"/>
      <c r="AQ237" s="429"/>
      <c r="AR237" s="429"/>
      <c r="AS237" s="429"/>
      <c r="AT237" s="429"/>
      <c r="AU237" s="429"/>
      <c r="AV237" s="429">
        <f>F237</f>
        <v>3000</v>
      </c>
      <c r="AW237" s="429"/>
      <c r="AX237" s="429"/>
      <c r="AY237" s="429"/>
      <c r="AZ237" s="429"/>
      <c r="BA237" s="429"/>
      <c r="BB237" s="429"/>
      <c r="BC237" s="429"/>
      <c r="BD237" s="429"/>
      <c r="BE237" s="429"/>
      <c r="BF237" s="429"/>
      <c r="BG237" s="429"/>
      <c r="BH237" s="429"/>
      <c r="BI237" s="429"/>
      <c r="BJ237" s="429"/>
      <c r="BK237" s="429"/>
      <c r="BL237" s="429"/>
      <c r="BM237" s="429"/>
      <c r="BN237" s="429"/>
      <c r="BO237" s="429"/>
      <c r="BP237" s="102"/>
      <c r="BQ237" s="102">
        <v>3.151</v>
      </c>
      <c r="BR237" s="451">
        <f t="shared" si="19"/>
        <v>9453</v>
      </c>
      <c r="BS237" s="451">
        <f t="shared" si="23"/>
        <v>73260.75</v>
      </c>
      <c r="BT237" s="429" t="str">
        <f>IFERROR(VLOOKUP(E237,名称!A:D,4,FALSE),"")</f>
        <v>KIK</v>
      </c>
    </row>
    <row r="238" s="427" customFormat="1" hidden="1" customHeight="1" spans="1:72">
      <c r="A238" s="93">
        <v>46091</v>
      </c>
      <c r="B238" s="95" t="s">
        <v>235</v>
      </c>
      <c r="C238" s="96">
        <v>10121711</v>
      </c>
      <c r="D238" s="96">
        <v>4500032422</v>
      </c>
      <c r="E238" s="97" t="s">
        <v>142</v>
      </c>
      <c r="F238" s="99">
        <v>3402</v>
      </c>
      <c r="G238" s="93">
        <v>46204</v>
      </c>
      <c r="H238" s="429"/>
      <c r="I238" s="429"/>
      <c r="J238" s="429"/>
      <c r="K238" s="429"/>
      <c r="L238" s="429"/>
      <c r="M238" s="429"/>
      <c r="N238" s="429"/>
      <c r="O238" s="429"/>
      <c r="P238" s="429"/>
      <c r="Q238" s="429"/>
      <c r="R238" s="429"/>
      <c r="S238" s="429"/>
      <c r="T238" s="429"/>
      <c r="U238" s="429"/>
      <c r="V238" s="429"/>
      <c r="W238" s="429"/>
      <c r="X238" s="429"/>
      <c r="Y238" s="429"/>
      <c r="Z238" s="429"/>
      <c r="AA238" s="429"/>
      <c r="AB238" s="429"/>
      <c r="AC238" s="429"/>
      <c r="AD238" s="429"/>
      <c r="AE238" s="429"/>
      <c r="AF238" s="429"/>
      <c r="AG238" s="429"/>
      <c r="AH238" s="429"/>
      <c r="AI238" s="429"/>
      <c r="AJ238" s="429"/>
      <c r="AK238" s="429"/>
      <c r="AL238" s="429"/>
      <c r="AM238" s="429"/>
      <c r="AN238" s="429"/>
      <c r="AO238" s="429"/>
      <c r="AP238" s="429"/>
      <c r="AQ238" s="429"/>
      <c r="AR238" s="429"/>
      <c r="AS238" s="429"/>
      <c r="AT238" s="429"/>
      <c r="AU238" s="429"/>
      <c r="AV238" s="429">
        <f>F238</f>
        <v>3402</v>
      </c>
      <c r="AW238" s="429"/>
      <c r="AX238" s="429"/>
      <c r="AY238" s="429"/>
      <c r="AZ238" s="429"/>
      <c r="BA238" s="429"/>
      <c r="BB238" s="429"/>
      <c r="BC238" s="429"/>
      <c r="BD238" s="429"/>
      <c r="BE238" s="429"/>
      <c r="BF238" s="429"/>
      <c r="BG238" s="429"/>
      <c r="BH238" s="429"/>
      <c r="BI238" s="429"/>
      <c r="BJ238" s="429"/>
      <c r="BK238" s="429"/>
      <c r="BL238" s="429"/>
      <c r="BM238" s="429"/>
      <c r="BN238" s="429"/>
      <c r="BO238" s="429"/>
      <c r="BP238" s="102"/>
      <c r="BQ238" s="102">
        <v>3.151</v>
      </c>
      <c r="BR238" s="451">
        <f t="shared" si="19"/>
        <v>10719.7</v>
      </c>
      <c r="BS238" s="451">
        <f t="shared" si="23"/>
        <v>83077.68</v>
      </c>
      <c r="BT238" s="429" t="str">
        <f>IFERROR(VLOOKUP(E238,名称!A:D,4,FALSE),"")</f>
        <v>KIK</v>
      </c>
    </row>
    <row r="239" s="427" customFormat="1" hidden="1" customHeight="1" spans="1:72">
      <c r="A239" s="93">
        <v>46092</v>
      </c>
      <c r="B239" s="95" t="s">
        <v>235</v>
      </c>
      <c r="C239" s="96">
        <v>10121816</v>
      </c>
      <c r="D239" s="96">
        <v>4500032388</v>
      </c>
      <c r="E239" s="97" t="s">
        <v>53</v>
      </c>
      <c r="F239" s="99">
        <v>5970</v>
      </c>
      <c r="G239" s="93">
        <v>46176</v>
      </c>
      <c r="H239" s="429"/>
      <c r="I239" s="429"/>
      <c r="J239" s="429"/>
      <c r="K239" s="429"/>
      <c r="L239" s="429"/>
      <c r="M239" s="429"/>
      <c r="N239" s="429"/>
      <c r="O239" s="429"/>
      <c r="P239" s="429">
        <f>F239</f>
        <v>5970</v>
      </c>
      <c r="Q239" s="429"/>
      <c r="R239" s="429"/>
      <c r="S239" s="429"/>
      <c r="T239" s="429"/>
      <c r="U239" s="429"/>
      <c r="V239" s="429"/>
      <c r="W239" s="429"/>
      <c r="X239" s="429"/>
      <c r="Y239" s="429"/>
      <c r="Z239" s="429"/>
      <c r="AA239" s="429"/>
      <c r="AB239" s="429"/>
      <c r="AC239" s="429"/>
      <c r="AD239" s="429"/>
      <c r="AE239" s="429"/>
      <c r="AF239" s="429"/>
      <c r="AG239" s="429"/>
      <c r="AH239" s="429"/>
      <c r="AI239" s="429"/>
      <c r="AJ239" s="429"/>
      <c r="AK239" s="429"/>
      <c r="AL239" s="429"/>
      <c r="AM239" s="429"/>
      <c r="AN239" s="429"/>
      <c r="AO239" s="429"/>
      <c r="AP239" s="429"/>
      <c r="AQ239" s="429"/>
      <c r="AR239" s="429"/>
      <c r="AS239" s="429"/>
      <c r="AT239" s="429"/>
      <c r="AU239" s="429"/>
      <c r="AV239" s="429"/>
      <c r="AW239" s="429"/>
      <c r="AX239" s="429"/>
      <c r="AY239" s="429"/>
      <c r="AZ239" s="429"/>
      <c r="BA239" s="429"/>
      <c r="BB239" s="429"/>
      <c r="BC239" s="429"/>
      <c r="BD239" s="429"/>
      <c r="BE239" s="429"/>
      <c r="BF239" s="429"/>
      <c r="BG239" s="429"/>
      <c r="BH239" s="429"/>
      <c r="BI239" s="429"/>
      <c r="BJ239" s="429"/>
      <c r="BK239" s="429"/>
      <c r="BL239" s="429"/>
      <c r="BM239" s="429"/>
      <c r="BN239" s="429"/>
      <c r="BO239" s="429"/>
      <c r="BP239" s="102"/>
      <c r="BQ239" s="102">
        <v>1.398</v>
      </c>
      <c r="BR239" s="451">
        <f t="shared" si="19"/>
        <v>8346.06</v>
      </c>
      <c r="BS239" s="451">
        <f t="shared" si="23"/>
        <v>64681.97</v>
      </c>
      <c r="BT239" s="429" t="str">
        <f>IFERROR(VLOOKUP(E239,名称!A:D,4,FALSE),"")</f>
        <v>KIK</v>
      </c>
    </row>
    <row r="240" s="427" customFormat="1" hidden="1" customHeight="1" spans="1:72">
      <c r="A240" s="93">
        <v>46092</v>
      </c>
      <c r="B240" s="95" t="s">
        <v>235</v>
      </c>
      <c r="C240" s="96">
        <v>10121816</v>
      </c>
      <c r="D240" s="96">
        <v>4500032388</v>
      </c>
      <c r="E240" s="97" t="s">
        <v>53</v>
      </c>
      <c r="F240" s="99">
        <v>1530</v>
      </c>
      <c r="G240" s="93">
        <v>46169</v>
      </c>
      <c r="H240" s="429"/>
      <c r="I240" s="429"/>
      <c r="J240" s="429"/>
      <c r="K240" s="429"/>
      <c r="L240" s="429"/>
      <c r="M240" s="429"/>
      <c r="N240" s="429"/>
      <c r="O240" s="429"/>
      <c r="P240" s="429">
        <f>F240</f>
        <v>1530</v>
      </c>
      <c r="Q240" s="429"/>
      <c r="R240" s="429"/>
      <c r="S240" s="429"/>
      <c r="T240" s="429"/>
      <c r="U240" s="429"/>
      <c r="V240" s="429"/>
      <c r="W240" s="429"/>
      <c r="X240" s="429"/>
      <c r="Y240" s="429"/>
      <c r="Z240" s="429"/>
      <c r="AA240" s="429"/>
      <c r="AB240" s="429"/>
      <c r="AC240" s="429"/>
      <c r="AD240" s="429"/>
      <c r="AE240" s="429"/>
      <c r="AF240" s="429"/>
      <c r="AG240" s="429"/>
      <c r="AH240" s="429"/>
      <c r="AI240" s="429"/>
      <c r="AJ240" s="429"/>
      <c r="AK240" s="429"/>
      <c r="AL240" s="429"/>
      <c r="AM240" s="429"/>
      <c r="AN240" s="429"/>
      <c r="AO240" s="429"/>
      <c r="AP240" s="429"/>
      <c r="AQ240" s="429"/>
      <c r="AR240" s="429"/>
      <c r="AS240" s="429"/>
      <c r="AT240" s="429"/>
      <c r="AU240" s="429"/>
      <c r="AV240" s="429"/>
      <c r="AW240" s="429"/>
      <c r="AX240" s="429"/>
      <c r="AY240" s="429"/>
      <c r="AZ240" s="429"/>
      <c r="BA240" s="429"/>
      <c r="BB240" s="429"/>
      <c r="BC240" s="429"/>
      <c r="BD240" s="429"/>
      <c r="BE240" s="429"/>
      <c r="BF240" s="429"/>
      <c r="BG240" s="429"/>
      <c r="BH240" s="429"/>
      <c r="BI240" s="429"/>
      <c r="BJ240" s="429"/>
      <c r="BK240" s="429"/>
      <c r="BL240" s="429"/>
      <c r="BM240" s="429"/>
      <c r="BN240" s="429"/>
      <c r="BO240" s="429"/>
      <c r="BP240" s="102"/>
      <c r="BQ240" s="102">
        <v>1.398</v>
      </c>
      <c r="BR240" s="451">
        <f t="shared" si="19"/>
        <v>2138.94</v>
      </c>
      <c r="BS240" s="451">
        <f t="shared" si="23"/>
        <v>16576.79</v>
      </c>
      <c r="BT240" s="429" t="str">
        <f>IFERROR(VLOOKUP(E240,名称!A:D,4,FALSE),"")</f>
        <v>KIK</v>
      </c>
    </row>
    <row r="241" s="427" customFormat="1" hidden="1" customHeight="1" spans="1:72">
      <c r="A241" s="93">
        <v>46092</v>
      </c>
      <c r="B241" s="95" t="s">
        <v>235</v>
      </c>
      <c r="C241" s="96">
        <v>10121816</v>
      </c>
      <c r="D241" s="96">
        <v>4500032388</v>
      </c>
      <c r="E241" s="97" t="s">
        <v>115</v>
      </c>
      <c r="F241" s="99">
        <v>2160</v>
      </c>
      <c r="G241" s="93">
        <v>46176</v>
      </c>
      <c r="H241" s="429"/>
      <c r="I241" s="429"/>
      <c r="J241" s="429"/>
      <c r="K241" s="429"/>
      <c r="L241" s="429"/>
      <c r="M241" s="429"/>
      <c r="N241" s="429"/>
      <c r="O241" s="429"/>
      <c r="P241" s="429"/>
      <c r="Q241" s="429"/>
      <c r="R241" s="429"/>
      <c r="S241" s="429"/>
      <c r="T241" s="429"/>
      <c r="U241" s="429"/>
      <c r="V241" s="429"/>
      <c r="W241" s="429"/>
      <c r="X241" s="429"/>
      <c r="Y241" s="429"/>
      <c r="Z241" s="429"/>
      <c r="AA241" s="429"/>
      <c r="AB241" s="429"/>
      <c r="AC241" s="429"/>
      <c r="AD241" s="429"/>
      <c r="AE241" s="429"/>
      <c r="AF241" s="429"/>
      <c r="AG241" s="429"/>
      <c r="AH241" s="429"/>
      <c r="AI241" s="429"/>
      <c r="AJ241" s="429"/>
      <c r="AK241" s="429"/>
      <c r="AL241" s="429"/>
      <c r="AM241" s="429"/>
      <c r="AN241" s="429"/>
      <c r="AO241" s="429">
        <f>F241</f>
        <v>2160</v>
      </c>
      <c r="AP241" s="429"/>
      <c r="AQ241" s="429"/>
      <c r="AR241" s="429"/>
      <c r="AS241" s="429"/>
      <c r="AT241" s="429"/>
      <c r="AU241" s="429"/>
      <c r="AV241" s="429"/>
      <c r="AW241" s="429"/>
      <c r="AX241" s="429"/>
      <c r="AY241" s="429"/>
      <c r="AZ241" s="429"/>
      <c r="BA241" s="429"/>
      <c r="BB241" s="429"/>
      <c r="BC241" s="429"/>
      <c r="BD241" s="429"/>
      <c r="BE241" s="429"/>
      <c r="BF241" s="429"/>
      <c r="BG241" s="429"/>
      <c r="BH241" s="429"/>
      <c r="BI241" s="429"/>
      <c r="BJ241" s="429"/>
      <c r="BK241" s="429"/>
      <c r="BL241" s="429"/>
      <c r="BM241" s="429"/>
      <c r="BN241" s="429"/>
      <c r="BO241" s="429"/>
      <c r="BP241" s="102"/>
      <c r="BQ241" s="102">
        <v>2.204</v>
      </c>
      <c r="BR241" s="451">
        <f t="shared" si="19"/>
        <v>4760.64</v>
      </c>
      <c r="BS241" s="451">
        <f t="shared" si="23"/>
        <v>36894.96</v>
      </c>
      <c r="BT241" s="429" t="str">
        <f>IFERROR(VLOOKUP(E241,名称!A:D,4,FALSE),"")</f>
        <v>KIK</v>
      </c>
    </row>
    <row r="242" s="427" customFormat="1" hidden="1" customHeight="1" spans="1:72">
      <c r="A242" s="93">
        <v>46092</v>
      </c>
      <c r="B242" s="95" t="s">
        <v>235</v>
      </c>
      <c r="C242" s="96">
        <v>10121816</v>
      </c>
      <c r="D242" s="96">
        <v>4500032388</v>
      </c>
      <c r="E242" s="97" t="s">
        <v>115</v>
      </c>
      <c r="F242" s="99">
        <v>2840</v>
      </c>
      <c r="G242" s="93">
        <v>46176</v>
      </c>
      <c r="H242" s="429"/>
      <c r="I242" s="429"/>
      <c r="J242" s="429"/>
      <c r="K242" s="429"/>
      <c r="L242" s="429"/>
      <c r="M242" s="429"/>
      <c r="N242" s="429"/>
      <c r="O242" s="429"/>
      <c r="P242" s="429"/>
      <c r="Q242" s="429"/>
      <c r="R242" s="429"/>
      <c r="S242" s="429"/>
      <c r="T242" s="429"/>
      <c r="U242" s="429"/>
      <c r="V242" s="429"/>
      <c r="W242" s="429"/>
      <c r="X242" s="429"/>
      <c r="Y242" s="429"/>
      <c r="Z242" s="429"/>
      <c r="AA242" s="429"/>
      <c r="AB242" s="429"/>
      <c r="AC242" s="429"/>
      <c r="AD242" s="429"/>
      <c r="AE242" s="429"/>
      <c r="AF242" s="429"/>
      <c r="AG242" s="429"/>
      <c r="AH242" s="429"/>
      <c r="AI242" s="429"/>
      <c r="AJ242" s="429"/>
      <c r="AK242" s="429"/>
      <c r="AL242" s="429"/>
      <c r="AM242" s="429"/>
      <c r="AN242" s="429"/>
      <c r="AO242" s="429">
        <f>F242</f>
        <v>2840</v>
      </c>
      <c r="AP242" s="429"/>
      <c r="AQ242" s="429"/>
      <c r="AR242" s="429"/>
      <c r="AS242" s="429"/>
      <c r="AT242" s="429"/>
      <c r="AU242" s="429"/>
      <c r="AV242" s="429"/>
      <c r="AW242" s="429"/>
      <c r="AX242" s="429"/>
      <c r="AY242" s="429"/>
      <c r="AZ242" s="429"/>
      <c r="BA242" s="429"/>
      <c r="BB242" s="429"/>
      <c r="BC242" s="429"/>
      <c r="BD242" s="429"/>
      <c r="BE242" s="429"/>
      <c r="BF242" s="429"/>
      <c r="BG242" s="429"/>
      <c r="BH242" s="429"/>
      <c r="BI242" s="429"/>
      <c r="BJ242" s="429"/>
      <c r="BK242" s="429"/>
      <c r="BL242" s="429"/>
      <c r="BM242" s="429"/>
      <c r="BN242" s="429"/>
      <c r="BO242" s="429"/>
      <c r="BP242" s="102"/>
      <c r="BQ242" s="102">
        <v>2.204</v>
      </c>
      <c r="BR242" s="451">
        <f t="shared" si="19"/>
        <v>6259.36</v>
      </c>
      <c r="BS242" s="451">
        <f t="shared" si="23"/>
        <v>48510.04</v>
      </c>
      <c r="BT242" s="429" t="str">
        <f>IFERROR(VLOOKUP(E242,名称!A:D,4,FALSE),"")</f>
        <v>KIK</v>
      </c>
    </row>
    <row r="243" s="427" customFormat="1" hidden="1" customHeight="1" spans="1:72">
      <c r="A243" s="93">
        <v>46095</v>
      </c>
      <c r="B243" s="95" t="s">
        <v>237</v>
      </c>
      <c r="C243" s="96">
        <v>10122386</v>
      </c>
      <c r="D243" s="96">
        <v>202607170299</v>
      </c>
      <c r="E243" s="97" t="s">
        <v>29</v>
      </c>
      <c r="F243" s="99">
        <f>1000-120</f>
        <v>880</v>
      </c>
      <c r="G243" s="93">
        <v>46218</v>
      </c>
      <c r="H243" s="429"/>
      <c r="I243" s="429"/>
      <c r="J243" s="429">
        <f>F243</f>
        <v>880</v>
      </c>
      <c r="K243" s="429"/>
      <c r="L243" s="429"/>
      <c r="M243" s="429"/>
      <c r="N243" s="429"/>
      <c r="O243" s="429"/>
      <c r="P243" s="429"/>
      <c r="Q243" s="429"/>
      <c r="R243" s="429"/>
      <c r="S243" s="429"/>
      <c r="T243" s="429"/>
      <c r="U243" s="429"/>
      <c r="V243" s="429"/>
      <c r="W243" s="429"/>
      <c r="X243" s="429"/>
      <c r="Y243" s="429"/>
      <c r="Z243" s="429"/>
      <c r="AA243" s="429"/>
      <c r="AB243" s="429"/>
      <c r="AC243" s="429"/>
      <c r="AD243" s="429"/>
      <c r="AE243" s="429"/>
      <c r="AF243" s="429"/>
      <c r="AG243" s="429"/>
      <c r="AH243" s="429"/>
      <c r="AI243" s="429"/>
      <c r="AJ243" s="429"/>
      <c r="AK243" s="429"/>
      <c r="AL243" s="429"/>
      <c r="AM243" s="429"/>
      <c r="AN243" s="429"/>
      <c r="AO243" s="429"/>
      <c r="AP243" s="429"/>
      <c r="AQ243" s="429"/>
      <c r="AR243" s="429"/>
      <c r="AS243" s="429"/>
      <c r="AT243" s="429"/>
      <c r="AU243" s="429"/>
      <c r="AV243" s="429"/>
      <c r="AW243" s="429"/>
      <c r="AX243" s="429"/>
      <c r="AY243" s="429"/>
      <c r="AZ243" s="429"/>
      <c r="BA243" s="429"/>
      <c r="BB243" s="429"/>
      <c r="BC243" s="429"/>
      <c r="BD243" s="429"/>
      <c r="BE243" s="429"/>
      <c r="BF243" s="429"/>
      <c r="BG243" s="429"/>
      <c r="BH243" s="429"/>
      <c r="BI243" s="429"/>
      <c r="BJ243" s="429"/>
      <c r="BK243" s="429"/>
      <c r="BL243" s="429"/>
      <c r="BM243" s="429"/>
      <c r="BN243" s="429"/>
      <c r="BO243" s="429"/>
      <c r="BP243" s="102"/>
      <c r="BQ243" s="102">
        <v>21.801</v>
      </c>
      <c r="BR243" s="451">
        <f t="shared" si="19"/>
        <v>19184.88</v>
      </c>
      <c r="BS243" s="451">
        <f t="shared" si="23"/>
        <v>148682.82</v>
      </c>
      <c r="BT243" s="429" t="str">
        <f>IFERROR(VLOOKUP(E243,名称!A:D,4,FALSE),"")</f>
        <v>KIK</v>
      </c>
    </row>
    <row r="244" s="427" customFormat="1" hidden="1" customHeight="1" spans="1:72">
      <c r="A244" s="93">
        <v>46095</v>
      </c>
      <c r="B244" s="95" t="s">
        <v>237</v>
      </c>
      <c r="C244" s="96">
        <v>10122386</v>
      </c>
      <c r="D244" s="96">
        <v>202607170299</v>
      </c>
      <c r="E244" s="97" t="s">
        <v>35</v>
      </c>
      <c r="F244" s="99">
        <v>400</v>
      </c>
      <c r="G244" s="93">
        <v>46218</v>
      </c>
      <c r="H244" s="429"/>
      <c r="I244" s="429"/>
      <c r="J244" s="429"/>
      <c r="K244" s="429"/>
      <c r="L244" s="429"/>
      <c r="M244" s="429"/>
      <c r="N244" s="429"/>
      <c r="O244" s="429"/>
      <c r="P244" s="429"/>
      <c r="Q244" s="429"/>
      <c r="R244" s="429"/>
      <c r="S244" s="429"/>
      <c r="T244" s="429"/>
      <c r="U244" s="429"/>
      <c r="V244" s="429"/>
      <c r="W244" s="429"/>
      <c r="X244" s="429"/>
      <c r="Y244" s="429">
        <f>F244</f>
        <v>400</v>
      </c>
      <c r="Z244" s="429"/>
      <c r="AA244" s="429"/>
      <c r="AB244" s="429"/>
      <c r="AC244" s="429"/>
      <c r="AD244" s="429"/>
      <c r="AE244" s="429"/>
      <c r="AF244" s="429"/>
      <c r="AG244" s="429"/>
      <c r="AH244" s="429"/>
      <c r="AI244" s="429"/>
      <c r="AJ244" s="429"/>
      <c r="AK244" s="429"/>
      <c r="AL244" s="429"/>
      <c r="AM244" s="429"/>
      <c r="AN244" s="429"/>
      <c r="AO244" s="429"/>
      <c r="AP244" s="429"/>
      <c r="AQ244" s="429"/>
      <c r="AR244" s="429"/>
      <c r="AS244" s="429"/>
      <c r="AT244" s="429"/>
      <c r="AU244" s="429"/>
      <c r="AV244" s="429"/>
      <c r="AW244" s="429"/>
      <c r="AX244" s="429"/>
      <c r="AY244" s="429"/>
      <c r="AZ244" s="429"/>
      <c r="BA244" s="429"/>
      <c r="BB244" s="429"/>
      <c r="BC244" s="429"/>
      <c r="BD244" s="429"/>
      <c r="BE244" s="429"/>
      <c r="BF244" s="429"/>
      <c r="BG244" s="429"/>
      <c r="BH244" s="429"/>
      <c r="BI244" s="429"/>
      <c r="BJ244" s="429"/>
      <c r="BK244" s="429"/>
      <c r="BL244" s="429"/>
      <c r="BM244" s="429"/>
      <c r="BN244" s="429"/>
      <c r="BO244" s="429"/>
      <c r="BP244" s="102"/>
      <c r="BQ244" s="102">
        <v>22.9</v>
      </c>
      <c r="BR244" s="451">
        <f t="shared" si="19"/>
        <v>9160</v>
      </c>
      <c r="BS244" s="451">
        <f t="shared" si="23"/>
        <v>70990</v>
      </c>
      <c r="BT244" s="429" t="str">
        <f>IFERROR(VLOOKUP(E244,名称!A:D,4,FALSE),"")</f>
        <v>KIK</v>
      </c>
    </row>
    <row r="245" s="427" customFormat="1" hidden="1" customHeight="1" spans="1:72">
      <c r="A245" s="93">
        <v>46095</v>
      </c>
      <c r="B245" s="95" t="s">
        <v>237</v>
      </c>
      <c r="C245" s="96">
        <v>10122386</v>
      </c>
      <c r="D245" s="96">
        <v>202607170299</v>
      </c>
      <c r="E245" s="97" t="s">
        <v>39</v>
      </c>
      <c r="F245" s="99">
        <v>224</v>
      </c>
      <c r="G245" s="93">
        <v>46197</v>
      </c>
      <c r="H245" s="429"/>
      <c r="I245" s="429"/>
      <c r="J245" s="429"/>
      <c r="K245" s="429"/>
      <c r="L245" s="429"/>
      <c r="M245" s="429"/>
      <c r="N245" s="429"/>
      <c r="O245" s="429"/>
      <c r="P245" s="429"/>
      <c r="Q245" s="429"/>
      <c r="R245" s="429"/>
      <c r="S245" s="429"/>
      <c r="T245" s="429"/>
      <c r="U245" s="429"/>
      <c r="V245" s="429"/>
      <c r="W245" s="429">
        <f>F245</f>
        <v>224</v>
      </c>
      <c r="X245" s="429"/>
      <c r="Y245" s="429"/>
      <c r="Z245" s="429"/>
      <c r="AA245" s="429"/>
      <c r="AB245" s="429"/>
      <c r="AC245" s="429"/>
      <c r="AD245" s="429"/>
      <c r="AE245" s="429"/>
      <c r="AF245" s="429"/>
      <c r="AG245" s="429"/>
      <c r="AH245" s="429"/>
      <c r="AI245" s="429"/>
      <c r="AJ245" s="429"/>
      <c r="AK245" s="429"/>
      <c r="AL245" s="429"/>
      <c r="AM245" s="429"/>
      <c r="AN245" s="429"/>
      <c r="AO245" s="429"/>
      <c r="AP245" s="429"/>
      <c r="AQ245" s="429"/>
      <c r="AR245" s="429"/>
      <c r="AS245" s="429"/>
      <c r="AT245" s="429"/>
      <c r="AU245" s="429"/>
      <c r="AV245" s="429"/>
      <c r="AW245" s="429"/>
      <c r="AX245" s="429"/>
      <c r="AY245" s="429"/>
      <c r="AZ245" s="429"/>
      <c r="BA245" s="429"/>
      <c r="BB245" s="429"/>
      <c r="BC245" s="429"/>
      <c r="BD245" s="429"/>
      <c r="BE245" s="429"/>
      <c r="BF245" s="429"/>
      <c r="BG245" s="429"/>
      <c r="BH245" s="429"/>
      <c r="BI245" s="429"/>
      <c r="BJ245" s="429"/>
      <c r="BK245" s="429"/>
      <c r="BL245" s="429"/>
      <c r="BM245" s="429"/>
      <c r="BN245" s="429"/>
      <c r="BO245" s="429"/>
      <c r="BP245" s="102"/>
      <c r="BQ245" s="102">
        <v>30.536</v>
      </c>
      <c r="BR245" s="451">
        <f t="shared" si="19"/>
        <v>6840.06</v>
      </c>
      <c r="BS245" s="451">
        <f t="shared" si="23"/>
        <v>53010.47</v>
      </c>
      <c r="BT245" s="429" t="str">
        <f>IFERROR(VLOOKUP(E245,名称!A:D,4,FALSE),"")</f>
        <v>KIK</v>
      </c>
    </row>
    <row r="246" s="427" customFormat="1" hidden="1" customHeight="1" spans="1:72">
      <c r="A246" s="93">
        <v>46095</v>
      </c>
      <c r="B246" s="95" t="s">
        <v>237</v>
      </c>
      <c r="C246" s="96">
        <v>10122386</v>
      </c>
      <c r="D246" s="96">
        <v>202607170299</v>
      </c>
      <c r="E246" s="97" t="s">
        <v>109</v>
      </c>
      <c r="F246" s="99">
        <v>2588</v>
      </c>
      <c r="G246" s="93">
        <v>46197</v>
      </c>
      <c r="H246" s="429"/>
      <c r="I246" s="429"/>
      <c r="J246" s="429"/>
      <c r="K246" s="429"/>
      <c r="L246" s="429"/>
      <c r="M246" s="429"/>
      <c r="N246" s="429"/>
      <c r="O246" s="429"/>
      <c r="P246" s="429"/>
      <c r="Q246" s="429"/>
      <c r="R246" s="429"/>
      <c r="S246" s="429"/>
      <c r="T246" s="429"/>
      <c r="U246" s="429"/>
      <c r="V246" s="429"/>
      <c r="W246" s="429"/>
      <c r="X246" s="429"/>
      <c r="Y246" s="429"/>
      <c r="Z246" s="429"/>
      <c r="AA246" s="429"/>
      <c r="AB246" s="429"/>
      <c r="AC246" s="429"/>
      <c r="AD246" s="429"/>
      <c r="AE246" s="429"/>
      <c r="AF246" s="429"/>
      <c r="AG246" s="429"/>
      <c r="AH246" s="429"/>
      <c r="AI246" s="429"/>
      <c r="AJ246" s="429"/>
      <c r="AK246" s="429"/>
      <c r="AL246" s="429">
        <f>F246</f>
        <v>2588</v>
      </c>
      <c r="AM246" s="429"/>
      <c r="AN246" s="429"/>
      <c r="AO246" s="429"/>
      <c r="AP246" s="429"/>
      <c r="AQ246" s="429"/>
      <c r="AR246" s="429"/>
      <c r="AS246" s="429"/>
      <c r="AT246" s="429"/>
      <c r="AU246" s="429"/>
      <c r="AV246" s="429"/>
      <c r="AW246" s="429"/>
      <c r="AX246" s="429"/>
      <c r="AY246" s="429"/>
      <c r="AZ246" s="429"/>
      <c r="BA246" s="429"/>
      <c r="BB246" s="429"/>
      <c r="BC246" s="429"/>
      <c r="BD246" s="429"/>
      <c r="BE246" s="429"/>
      <c r="BF246" s="429"/>
      <c r="BG246" s="429"/>
      <c r="BH246" s="429"/>
      <c r="BI246" s="429"/>
      <c r="BJ246" s="429"/>
      <c r="BK246" s="429"/>
      <c r="BL246" s="429"/>
      <c r="BM246" s="429"/>
      <c r="BN246" s="429"/>
      <c r="BO246" s="429"/>
      <c r="BP246" s="102"/>
      <c r="BQ246" s="102">
        <v>3.886</v>
      </c>
      <c r="BR246" s="451">
        <f t="shared" si="19"/>
        <v>10056.97</v>
      </c>
      <c r="BS246" s="451">
        <f t="shared" si="23"/>
        <v>77941.52</v>
      </c>
      <c r="BT246" s="429" t="str">
        <f>IFERROR(VLOOKUP(E246,名称!A:D,4,FALSE),"")</f>
        <v>KIK</v>
      </c>
    </row>
    <row r="247" s="427" customFormat="1" hidden="1" customHeight="1" spans="1:72">
      <c r="A247" s="93">
        <v>46095</v>
      </c>
      <c r="B247" s="95" t="s">
        <v>237</v>
      </c>
      <c r="C247" s="96">
        <v>10122386</v>
      </c>
      <c r="D247" s="96">
        <v>202607170299</v>
      </c>
      <c r="E247" s="97" t="s">
        <v>120</v>
      </c>
      <c r="F247" s="99">
        <v>400</v>
      </c>
      <c r="G247" s="93">
        <v>46204</v>
      </c>
      <c r="H247" s="429"/>
      <c r="I247" s="429"/>
      <c r="J247" s="429"/>
      <c r="K247" s="429"/>
      <c r="L247" s="429"/>
      <c r="M247" s="429"/>
      <c r="N247" s="429"/>
      <c r="O247" s="429"/>
      <c r="P247" s="429"/>
      <c r="Q247" s="429"/>
      <c r="R247" s="429"/>
      <c r="S247" s="429"/>
      <c r="T247" s="429"/>
      <c r="U247" s="429"/>
      <c r="V247" s="429"/>
      <c r="W247" s="429"/>
      <c r="X247" s="429"/>
      <c r="Y247" s="429"/>
      <c r="Z247" s="429"/>
      <c r="AA247" s="429"/>
      <c r="AB247" s="429"/>
      <c r="AC247" s="429"/>
      <c r="AD247" s="429"/>
      <c r="AE247" s="429"/>
      <c r="AF247" s="429"/>
      <c r="AG247" s="429"/>
      <c r="AH247" s="429"/>
      <c r="AI247" s="429"/>
      <c r="AJ247" s="429"/>
      <c r="AK247" s="429"/>
      <c r="AL247" s="429"/>
      <c r="AM247" s="429"/>
      <c r="AN247" s="429"/>
      <c r="AO247" s="429"/>
      <c r="AP247" s="429"/>
      <c r="AQ247" s="429"/>
      <c r="AR247" s="429">
        <f>F247</f>
        <v>400</v>
      </c>
      <c r="AS247" s="429"/>
      <c r="AT247" s="429"/>
      <c r="AU247" s="429"/>
      <c r="AV247" s="429"/>
      <c r="AW247" s="429"/>
      <c r="AX247" s="429"/>
      <c r="AY247" s="429"/>
      <c r="AZ247" s="429"/>
      <c r="BA247" s="429"/>
      <c r="BB247" s="429"/>
      <c r="BC247" s="429"/>
      <c r="BD247" s="429"/>
      <c r="BE247" s="429"/>
      <c r="BF247" s="429"/>
      <c r="BG247" s="429"/>
      <c r="BH247" s="429"/>
      <c r="BI247" s="429"/>
      <c r="BJ247" s="429"/>
      <c r="BK247" s="429"/>
      <c r="BL247" s="429"/>
      <c r="BM247" s="429"/>
      <c r="BN247" s="429"/>
      <c r="BO247" s="429"/>
      <c r="BP247" s="102"/>
      <c r="BQ247" s="102">
        <v>21.246</v>
      </c>
      <c r="BR247" s="451">
        <f t="shared" si="19"/>
        <v>8498.4</v>
      </c>
      <c r="BS247" s="451">
        <f t="shared" si="23"/>
        <v>65862.6</v>
      </c>
      <c r="BT247" s="429" t="str">
        <f>IFERROR(VLOOKUP(E247,名称!A:D,4,FALSE),"")</f>
        <v>KIK</v>
      </c>
    </row>
    <row r="248" s="427" customFormat="1" hidden="1" customHeight="1" spans="1:72">
      <c r="A248" s="93">
        <v>46095</v>
      </c>
      <c r="B248" s="95" t="s">
        <v>237</v>
      </c>
      <c r="C248" s="96">
        <v>10122386</v>
      </c>
      <c r="D248" s="96">
        <v>202607170299</v>
      </c>
      <c r="E248" s="97" t="s">
        <v>111</v>
      </c>
      <c r="F248" s="99">
        <v>1800</v>
      </c>
      <c r="G248" s="93">
        <v>46197</v>
      </c>
      <c r="H248" s="429"/>
      <c r="I248" s="429"/>
      <c r="J248" s="429"/>
      <c r="K248" s="429"/>
      <c r="L248" s="429"/>
      <c r="M248" s="429"/>
      <c r="N248" s="429"/>
      <c r="O248" s="429"/>
      <c r="P248" s="429"/>
      <c r="Q248" s="429"/>
      <c r="R248" s="429"/>
      <c r="S248" s="429"/>
      <c r="T248" s="429"/>
      <c r="U248" s="429"/>
      <c r="V248" s="429"/>
      <c r="W248" s="429"/>
      <c r="X248" s="429"/>
      <c r="Y248" s="429"/>
      <c r="Z248" s="429"/>
      <c r="AA248" s="429"/>
      <c r="AB248" s="429"/>
      <c r="AC248" s="429"/>
      <c r="AD248" s="429"/>
      <c r="AE248" s="429"/>
      <c r="AF248" s="429"/>
      <c r="AG248" s="429"/>
      <c r="AH248" s="429"/>
      <c r="AI248" s="429"/>
      <c r="AJ248" s="429"/>
      <c r="AK248" s="429"/>
      <c r="AL248" s="429"/>
      <c r="AM248" s="429">
        <f>F248</f>
        <v>1800</v>
      </c>
      <c r="AN248" s="429"/>
      <c r="AO248" s="429"/>
      <c r="AP248" s="429"/>
      <c r="AQ248" s="429"/>
      <c r="AR248" s="429"/>
      <c r="AS248" s="429"/>
      <c r="AT248" s="429"/>
      <c r="AU248" s="429"/>
      <c r="AV248" s="429"/>
      <c r="AW248" s="429"/>
      <c r="AX248" s="429"/>
      <c r="AY248" s="429"/>
      <c r="AZ248" s="429"/>
      <c r="BA248" s="429"/>
      <c r="BB248" s="429"/>
      <c r="BC248" s="429"/>
      <c r="BD248" s="429"/>
      <c r="BE248" s="429"/>
      <c r="BF248" s="429"/>
      <c r="BG248" s="429"/>
      <c r="BH248" s="429"/>
      <c r="BI248" s="429"/>
      <c r="BJ248" s="429"/>
      <c r="BK248" s="429"/>
      <c r="BL248" s="429"/>
      <c r="BM248" s="429"/>
      <c r="BN248" s="429"/>
      <c r="BO248" s="429"/>
      <c r="BP248" s="102"/>
      <c r="BQ248" s="102">
        <v>3.816</v>
      </c>
      <c r="BR248" s="451">
        <f t="shared" si="19"/>
        <v>6868.8</v>
      </c>
      <c r="BS248" s="451">
        <f t="shared" ref="BS248:BS259" si="24">BR248*7.75</f>
        <v>53233.2</v>
      </c>
      <c r="BT248" s="429" t="str">
        <f>IFERROR(VLOOKUP(E248,名称!A:D,4,FALSE),"")</f>
        <v>KIK</v>
      </c>
    </row>
    <row r="249" s="427" customFormat="1" hidden="1" customHeight="1" spans="1:72">
      <c r="A249" s="93">
        <v>46095</v>
      </c>
      <c r="B249" s="95" t="s">
        <v>237</v>
      </c>
      <c r="C249" s="96">
        <v>10122386</v>
      </c>
      <c r="D249" s="96">
        <v>202607170299</v>
      </c>
      <c r="E249" s="97" t="s">
        <v>113</v>
      </c>
      <c r="F249" s="99">
        <v>2000</v>
      </c>
      <c r="G249" s="93">
        <v>46218</v>
      </c>
      <c r="H249" s="429"/>
      <c r="I249" s="429"/>
      <c r="J249" s="429"/>
      <c r="K249" s="429"/>
      <c r="L249" s="429"/>
      <c r="M249" s="429"/>
      <c r="N249" s="429"/>
      <c r="O249" s="429"/>
      <c r="P249" s="429"/>
      <c r="Q249" s="429"/>
      <c r="R249" s="429"/>
      <c r="S249" s="429"/>
      <c r="T249" s="429"/>
      <c r="U249" s="429"/>
      <c r="V249" s="429"/>
      <c r="W249" s="429"/>
      <c r="X249" s="429"/>
      <c r="Y249" s="429"/>
      <c r="Z249" s="429"/>
      <c r="AA249" s="429"/>
      <c r="AB249" s="429"/>
      <c r="AC249" s="429"/>
      <c r="AD249" s="429"/>
      <c r="AE249" s="429"/>
      <c r="AF249" s="429"/>
      <c r="AG249" s="429"/>
      <c r="AH249" s="429"/>
      <c r="AI249" s="429"/>
      <c r="AJ249" s="429"/>
      <c r="AK249" s="429"/>
      <c r="AL249" s="429"/>
      <c r="AM249" s="429"/>
      <c r="AN249" s="429">
        <f>F249</f>
        <v>2000</v>
      </c>
      <c r="AO249" s="429"/>
      <c r="AP249" s="429"/>
      <c r="AQ249" s="429"/>
      <c r="AR249" s="429"/>
      <c r="AS249" s="429"/>
      <c r="AT249" s="429"/>
      <c r="AU249" s="429"/>
      <c r="AV249" s="429"/>
      <c r="AW249" s="429"/>
      <c r="AX249" s="429"/>
      <c r="AY249" s="429"/>
      <c r="AZ249" s="429"/>
      <c r="BA249" s="429"/>
      <c r="BB249" s="429"/>
      <c r="BC249" s="429"/>
      <c r="BD249" s="429"/>
      <c r="BE249" s="429"/>
      <c r="BF249" s="429"/>
      <c r="BG249" s="429"/>
      <c r="BH249" s="429"/>
      <c r="BI249" s="429"/>
      <c r="BJ249" s="429"/>
      <c r="BK249" s="429"/>
      <c r="BL249" s="429"/>
      <c r="BM249" s="429"/>
      <c r="BN249" s="429"/>
      <c r="BO249" s="429"/>
      <c r="BP249" s="102"/>
      <c r="BQ249" s="102">
        <v>5.97</v>
      </c>
      <c r="BR249" s="451">
        <f t="shared" si="19"/>
        <v>11940</v>
      </c>
      <c r="BS249" s="451">
        <f t="shared" si="24"/>
        <v>92535</v>
      </c>
      <c r="BT249" s="429" t="str">
        <f>IFERROR(VLOOKUP(E249,名称!A:D,4,FALSE),"")</f>
        <v>KIK</v>
      </c>
    </row>
    <row r="250" s="427" customFormat="1" hidden="1" customHeight="1" spans="1:72">
      <c r="A250" s="93">
        <v>46095</v>
      </c>
      <c r="B250" s="95" t="s">
        <v>237</v>
      </c>
      <c r="C250" s="96">
        <v>10122386</v>
      </c>
      <c r="D250" s="96">
        <v>202607170299</v>
      </c>
      <c r="E250" s="97" t="s">
        <v>118</v>
      </c>
      <c r="F250" s="99">
        <f>600-120</f>
        <v>480</v>
      </c>
      <c r="G250" s="93">
        <v>46218</v>
      </c>
      <c r="H250" s="429"/>
      <c r="I250" s="429"/>
      <c r="J250" s="429"/>
      <c r="K250" s="429"/>
      <c r="L250" s="429"/>
      <c r="M250" s="429"/>
      <c r="N250" s="429"/>
      <c r="O250" s="429"/>
      <c r="P250" s="429"/>
      <c r="Q250" s="429"/>
      <c r="R250" s="429"/>
      <c r="S250" s="429"/>
      <c r="T250" s="429"/>
      <c r="U250" s="429"/>
      <c r="V250" s="429"/>
      <c r="W250" s="429"/>
      <c r="X250" s="429"/>
      <c r="Y250" s="429"/>
      <c r="Z250" s="429"/>
      <c r="AA250" s="429"/>
      <c r="AB250" s="429"/>
      <c r="AC250" s="429"/>
      <c r="AD250" s="429"/>
      <c r="AE250" s="429"/>
      <c r="AF250" s="429"/>
      <c r="AG250" s="429"/>
      <c r="AH250" s="429"/>
      <c r="AI250" s="429"/>
      <c r="AJ250" s="429"/>
      <c r="AK250" s="429"/>
      <c r="AL250" s="429"/>
      <c r="AM250" s="429"/>
      <c r="AN250" s="429"/>
      <c r="AO250" s="429"/>
      <c r="AP250" s="429"/>
      <c r="AQ250" s="429">
        <f>F250</f>
        <v>480</v>
      </c>
      <c r="AR250" s="429"/>
      <c r="AS250" s="429"/>
      <c r="AT250" s="429"/>
      <c r="AU250" s="429"/>
      <c r="AV250" s="429"/>
      <c r="AW250" s="429"/>
      <c r="AX250" s="429"/>
      <c r="AY250" s="429"/>
      <c r="AZ250" s="429"/>
      <c r="BA250" s="429"/>
      <c r="BB250" s="429"/>
      <c r="BC250" s="429"/>
      <c r="BD250" s="429"/>
      <c r="BE250" s="429"/>
      <c r="BF250" s="429"/>
      <c r="BG250" s="429"/>
      <c r="BH250" s="429"/>
      <c r="BI250" s="429"/>
      <c r="BJ250" s="429"/>
      <c r="BK250" s="429"/>
      <c r="BL250" s="429"/>
      <c r="BM250" s="429"/>
      <c r="BN250" s="429"/>
      <c r="BO250" s="429"/>
      <c r="BP250" s="102"/>
      <c r="BQ250" s="102">
        <v>16.71</v>
      </c>
      <c r="BR250" s="451">
        <f t="shared" si="19"/>
        <v>8020.8</v>
      </c>
      <c r="BS250" s="451">
        <f t="shared" si="24"/>
        <v>62161.2</v>
      </c>
      <c r="BT250" s="429" t="str">
        <f>IFERROR(VLOOKUP(E250,名称!A:D,4,FALSE),"")</f>
        <v>KIK</v>
      </c>
    </row>
    <row r="251" s="427" customFormat="1" hidden="1" customHeight="1" spans="1:72">
      <c r="A251" s="93">
        <v>46095</v>
      </c>
      <c r="B251" s="95" t="s">
        <v>237</v>
      </c>
      <c r="C251" s="96">
        <v>10122386</v>
      </c>
      <c r="D251" s="96">
        <v>202607170299</v>
      </c>
      <c r="E251" s="97" t="s">
        <v>105</v>
      </c>
      <c r="F251" s="99">
        <v>2212</v>
      </c>
      <c r="G251" s="93">
        <v>46197</v>
      </c>
      <c r="H251" s="429"/>
      <c r="I251" s="429"/>
      <c r="J251" s="429"/>
      <c r="K251" s="429"/>
      <c r="L251" s="429"/>
      <c r="M251" s="429"/>
      <c r="N251" s="429"/>
      <c r="O251" s="429"/>
      <c r="P251" s="429"/>
      <c r="Q251" s="429"/>
      <c r="R251" s="429"/>
      <c r="S251" s="429"/>
      <c r="T251" s="429"/>
      <c r="U251" s="429"/>
      <c r="V251" s="429"/>
      <c r="W251" s="429"/>
      <c r="X251" s="429"/>
      <c r="Y251" s="429"/>
      <c r="Z251" s="429"/>
      <c r="AA251" s="429"/>
      <c r="AB251" s="429"/>
      <c r="AC251" s="429"/>
      <c r="AD251" s="429"/>
      <c r="AE251" s="429"/>
      <c r="AF251" s="429"/>
      <c r="AG251" s="429"/>
      <c r="AH251" s="429"/>
      <c r="AI251" s="429"/>
      <c r="AJ251" s="429">
        <f>F251</f>
        <v>2212</v>
      </c>
      <c r="AK251" s="429"/>
      <c r="AL251" s="429"/>
      <c r="AM251" s="429"/>
      <c r="AN251" s="429"/>
      <c r="AO251" s="429"/>
      <c r="AP251" s="429"/>
      <c r="AQ251" s="429"/>
      <c r="AR251" s="429"/>
      <c r="AS251" s="429"/>
      <c r="AT251" s="429"/>
      <c r="AU251" s="429"/>
      <c r="AV251" s="429"/>
      <c r="AW251" s="429"/>
      <c r="AX251" s="429"/>
      <c r="AY251" s="429"/>
      <c r="AZ251" s="429"/>
      <c r="BA251" s="429"/>
      <c r="BB251" s="429"/>
      <c r="BC251" s="429"/>
      <c r="BD251" s="429"/>
      <c r="BE251" s="429"/>
      <c r="BF251" s="429"/>
      <c r="BG251" s="429"/>
      <c r="BH251" s="429"/>
      <c r="BI251" s="429"/>
      <c r="BJ251" s="429"/>
      <c r="BK251" s="429"/>
      <c r="BL251" s="429"/>
      <c r="BM251" s="429"/>
      <c r="BN251" s="429"/>
      <c r="BO251" s="429"/>
      <c r="BP251" s="102"/>
      <c r="BQ251" s="102">
        <v>2.994</v>
      </c>
      <c r="BR251" s="451">
        <f t="shared" si="19"/>
        <v>6622.73</v>
      </c>
      <c r="BS251" s="451">
        <f t="shared" si="24"/>
        <v>51326.16</v>
      </c>
      <c r="BT251" s="429" t="str">
        <f>IFERROR(VLOOKUP(E251,名称!A:D,4,FALSE),"")</f>
        <v>KIK</v>
      </c>
    </row>
    <row r="252" s="427" customFormat="1" hidden="1" customHeight="1" spans="1:72">
      <c r="A252" s="93">
        <v>46095</v>
      </c>
      <c r="B252" s="95" t="s">
        <v>237</v>
      </c>
      <c r="C252" s="96">
        <v>10122386</v>
      </c>
      <c r="D252" s="96">
        <v>202607170299</v>
      </c>
      <c r="E252" s="97" t="s">
        <v>107</v>
      </c>
      <c r="F252" s="99">
        <v>3300</v>
      </c>
      <c r="G252" s="93">
        <v>46197</v>
      </c>
      <c r="H252" s="429"/>
      <c r="I252" s="429"/>
      <c r="J252" s="429"/>
      <c r="K252" s="429"/>
      <c r="L252" s="429"/>
      <c r="M252" s="429"/>
      <c r="N252" s="429"/>
      <c r="O252" s="429"/>
      <c r="P252" s="429"/>
      <c r="Q252" s="429"/>
      <c r="R252" s="429"/>
      <c r="S252" s="429"/>
      <c r="T252" s="429"/>
      <c r="U252" s="429"/>
      <c r="V252" s="429"/>
      <c r="W252" s="429"/>
      <c r="X252" s="429"/>
      <c r="Y252" s="429"/>
      <c r="Z252" s="429"/>
      <c r="AA252" s="429"/>
      <c r="AB252" s="429"/>
      <c r="AC252" s="429"/>
      <c r="AD252" s="429"/>
      <c r="AE252" s="429"/>
      <c r="AF252" s="429"/>
      <c r="AG252" s="429"/>
      <c r="AH252" s="429"/>
      <c r="AI252" s="429"/>
      <c r="AJ252" s="429"/>
      <c r="AK252" s="429">
        <f>F252</f>
        <v>3300</v>
      </c>
      <c r="AL252" s="429"/>
      <c r="AM252" s="429"/>
      <c r="AN252" s="429"/>
      <c r="AO252" s="429"/>
      <c r="AP252" s="429"/>
      <c r="AQ252" s="429"/>
      <c r="AR252" s="429"/>
      <c r="AS252" s="429"/>
      <c r="AT252" s="429"/>
      <c r="AU252" s="429"/>
      <c r="AV252" s="429"/>
      <c r="AW252" s="429"/>
      <c r="AX252" s="429"/>
      <c r="AY252" s="429"/>
      <c r="AZ252" s="429"/>
      <c r="BA252" s="429"/>
      <c r="BB252" s="429"/>
      <c r="BC252" s="429"/>
      <c r="BD252" s="429"/>
      <c r="BE252" s="429"/>
      <c r="BF252" s="429"/>
      <c r="BG252" s="429"/>
      <c r="BH252" s="429"/>
      <c r="BI252" s="429"/>
      <c r="BJ252" s="429"/>
      <c r="BK252" s="429"/>
      <c r="BL252" s="429"/>
      <c r="BM252" s="429"/>
      <c r="BN252" s="429"/>
      <c r="BO252" s="429"/>
      <c r="BP252" s="102"/>
      <c r="BQ252" s="102">
        <v>4.956</v>
      </c>
      <c r="BR252" s="451">
        <f t="shared" si="19"/>
        <v>16354.8</v>
      </c>
      <c r="BS252" s="451">
        <f t="shared" si="24"/>
        <v>126749.7</v>
      </c>
      <c r="BT252" s="429" t="str">
        <f>IFERROR(VLOOKUP(E252,名称!A:D,4,FALSE),"")</f>
        <v>KIK</v>
      </c>
    </row>
    <row r="253" s="427" customFormat="1" hidden="1" customHeight="1" spans="1:72">
      <c r="A253" s="93">
        <v>46095</v>
      </c>
      <c r="B253" s="95" t="s">
        <v>237</v>
      </c>
      <c r="C253" s="96">
        <v>10122386</v>
      </c>
      <c r="D253" s="96">
        <v>202607170299</v>
      </c>
      <c r="E253" s="97" t="s">
        <v>87</v>
      </c>
      <c r="F253" s="99">
        <v>447</v>
      </c>
      <c r="G253" s="93">
        <v>46225</v>
      </c>
      <c r="H253" s="429"/>
      <c r="I253" s="429"/>
      <c r="J253" s="429"/>
      <c r="K253" s="429"/>
      <c r="L253" s="429"/>
      <c r="M253" s="429"/>
      <c r="N253" s="429"/>
      <c r="O253" s="429"/>
      <c r="P253" s="429"/>
      <c r="Q253" s="429"/>
      <c r="R253" s="429"/>
      <c r="S253" s="429"/>
      <c r="T253" s="429"/>
      <c r="U253" s="429"/>
      <c r="V253" s="429"/>
      <c r="W253" s="429"/>
      <c r="X253" s="429"/>
      <c r="Y253" s="429"/>
      <c r="Z253" s="429"/>
      <c r="AA253" s="429"/>
      <c r="AB253" s="429"/>
      <c r="AC253" s="429"/>
      <c r="AD253" s="429">
        <f t="shared" ref="AD253:AD256" si="25">F253</f>
        <v>447</v>
      </c>
      <c r="AE253" s="429"/>
      <c r="AF253" s="429"/>
      <c r="AG253" s="429"/>
      <c r="AH253" s="429"/>
      <c r="AI253" s="429"/>
      <c r="AJ253" s="429"/>
      <c r="AK253" s="429"/>
      <c r="AL253" s="429"/>
      <c r="AM253" s="429"/>
      <c r="AN253" s="429"/>
      <c r="AO253" s="429"/>
      <c r="AP253" s="429"/>
      <c r="AQ253" s="429"/>
      <c r="AR253" s="429"/>
      <c r="AS253" s="429"/>
      <c r="AT253" s="429"/>
      <c r="AU253" s="429"/>
      <c r="AV253" s="429"/>
      <c r="AW253" s="429"/>
      <c r="AX253" s="429"/>
      <c r="AY253" s="429"/>
      <c r="AZ253" s="429"/>
      <c r="BA253" s="429"/>
      <c r="BB253" s="429"/>
      <c r="BC253" s="429"/>
      <c r="BD253" s="429"/>
      <c r="BE253" s="429"/>
      <c r="BF253" s="429"/>
      <c r="BG253" s="429"/>
      <c r="BH253" s="429"/>
      <c r="BI253" s="429"/>
      <c r="BJ253" s="429"/>
      <c r="BK253" s="429"/>
      <c r="BL253" s="429"/>
      <c r="BM253" s="429"/>
      <c r="BN253" s="429"/>
      <c r="BO253" s="429"/>
      <c r="BP253" s="102"/>
      <c r="BQ253" s="102">
        <v>31.4</v>
      </c>
      <c r="BR253" s="451">
        <f t="shared" si="19"/>
        <v>14035.8</v>
      </c>
      <c r="BS253" s="451">
        <f t="shared" si="24"/>
        <v>108777.45</v>
      </c>
      <c r="BT253" s="429" t="str">
        <f>IFERROR(VLOOKUP(E253,名称!A:D,4,FALSE),"")</f>
        <v>KIK</v>
      </c>
    </row>
    <row r="254" s="427" customFormat="1" hidden="1" customHeight="1" spans="1:72">
      <c r="A254" s="93">
        <v>46095</v>
      </c>
      <c r="B254" s="95" t="s">
        <v>237</v>
      </c>
      <c r="C254" s="96">
        <v>10122386</v>
      </c>
      <c r="D254" s="96">
        <v>202607170299</v>
      </c>
      <c r="E254" s="97" t="s">
        <v>87</v>
      </c>
      <c r="F254" s="99">
        <f>1762-447</f>
        <v>1315</v>
      </c>
      <c r="G254" s="93">
        <v>46218</v>
      </c>
      <c r="H254" s="429"/>
      <c r="I254" s="429"/>
      <c r="J254" s="429"/>
      <c r="K254" s="429"/>
      <c r="L254" s="429"/>
      <c r="M254" s="429"/>
      <c r="N254" s="429"/>
      <c r="O254" s="429"/>
      <c r="P254" s="429"/>
      <c r="Q254" s="429"/>
      <c r="R254" s="429"/>
      <c r="S254" s="429"/>
      <c r="T254" s="429"/>
      <c r="U254" s="429"/>
      <c r="V254" s="429"/>
      <c r="W254" s="429"/>
      <c r="X254" s="429"/>
      <c r="Y254" s="429"/>
      <c r="Z254" s="429"/>
      <c r="AA254" s="429"/>
      <c r="AB254" s="429"/>
      <c r="AC254" s="429"/>
      <c r="AD254" s="429">
        <f t="shared" si="25"/>
        <v>1315</v>
      </c>
      <c r="AE254" s="429"/>
      <c r="AF254" s="429"/>
      <c r="AG254" s="429"/>
      <c r="AH254" s="429"/>
      <c r="AI254" s="429"/>
      <c r="AJ254" s="429"/>
      <c r="AK254" s="429"/>
      <c r="AL254" s="429"/>
      <c r="AM254" s="429"/>
      <c r="AN254" s="429"/>
      <c r="AO254" s="429"/>
      <c r="AP254" s="429"/>
      <c r="AQ254" s="429"/>
      <c r="AR254" s="429"/>
      <c r="AS254" s="429"/>
      <c r="AT254" s="429"/>
      <c r="AU254" s="429"/>
      <c r="AV254" s="429"/>
      <c r="AW254" s="429"/>
      <c r="AX254" s="429"/>
      <c r="AY254" s="429"/>
      <c r="AZ254" s="429"/>
      <c r="BA254" s="429"/>
      <c r="BB254" s="429"/>
      <c r="BC254" s="429"/>
      <c r="BD254" s="429"/>
      <c r="BE254" s="429"/>
      <c r="BF254" s="429"/>
      <c r="BG254" s="429"/>
      <c r="BH254" s="429"/>
      <c r="BI254" s="429"/>
      <c r="BJ254" s="429"/>
      <c r="BK254" s="429"/>
      <c r="BL254" s="429"/>
      <c r="BM254" s="429"/>
      <c r="BN254" s="429"/>
      <c r="BO254" s="429"/>
      <c r="BP254" s="102"/>
      <c r="BQ254" s="102">
        <v>31.4</v>
      </c>
      <c r="BR254" s="451">
        <f t="shared" si="19"/>
        <v>41291</v>
      </c>
      <c r="BS254" s="451">
        <f t="shared" si="24"/>
        <v>320005.25</v>
      </c>
      <c r="BT254" s="429" t="str">
        <f>IFERROR(VLOOKUP(E254,名称!A:D,4,FALSE),"")</f>
        <v>KIK</v>
      </c>
    </row>
    <row r="255" s="427" customFormat="1" hidden="1" customHeight="1" spans="1:72">
      <c r="A255" s="93">
        <v>46095</v>
      </c>
      <c r="B255" s="95" t="s">
        <v>237</v>
      </c>
      <c r="C255" s="96">
        <v>10122386</v>
      </c>
      <c r="D255" s="96">
        <v>202607170299</v>
      </c>
      <c r="E255" s="97" t="s">
        <v>87</v>
      </c>
      <c r="F255" s="99">
        <v>315</v>
      </c>
      <c r="G255" s="93">
        <v>46204</v>
      </c>
      <c r="H255" s="429"/>
      <c r="I255" s="429"/>
      <c r="J255" s="429"/>
      <c r="K255" s="429"/>
      <c r="L255" s="429"/>
      <c r="M255" s="429"/>
      <c r="N255" s="429"/>
      <c r="O255" s="429"/>
      <c r="P255" s="429"/>
      <c r="Q255" s="429"/>
      <c r="R255" s="429"/>
      <c r="S255" s="429"/>
      <c r="T255" s="429"/>
      <c r="U255" s="429"/>
      <c r="V255" s="429"/>
      <c r="W255" s="429"/>
      <c r="X255" s="429"/>
      <c r="Y255" s="429"/>
      <c r="Z255" s="429"/>
      <c r="AA255" s="429"/>
      <c r="AB255" s="429"/>
      <c r="AC255" s="429"/>
      <c r="AD255" s="429">
        <f t="shared" si="25"/>
        <v>315</v>
      </c>
      <c r="AE255" s="429"/>
      <c r="AF255" s="429"/>
      <c r="AG255" s="429"/>
      <c r="AH255" s="429"/>
      <c r="AI255" s="429"/>
      <c r="AJ255" s="429"/>
      <c r="AK255" s="429"/>
      <c r="AL255" s="429"/>
      <c r="AM255" s="429"/>
      <c r="AN255" s="429"/>
      <c r="AO255" s="429"/>
      <c r="AP255" s="429"/>
      <c r="AQ255" s="429"/>
      <c r="AR255" s="429"/>
      <c r="AS255" s="429"/>
      <c r="AT255" s="429"/>
      <c r="AU255" s="429"/>
      <c r="AV255" s="429"/>
      <c r="AW255" s="429"/>
      <c r="AX255" s="429"/>
      <c r="AY255" s="429"/>
      <c r="AZ255" s="429"/>
      <c r="BA255" s="429"/>
      <c r="BB255" s="429"/>
      <c r="BC255" s="429"/>
      <c r="BD255" s="429"/>
      <c r="BE255" s="429"/>
      <c r="BF255" s="429"/>
      <c r="BG255" s="429"/>
      <c r="BH255" s="429"/>
      <c r="BI255" s="429"/>
      <c r="BJ255" s="429"/>
      <c r="BK255" s="429"/>
      <c r="BL255" s="429"/>
      <c r="BM255" s="429"/>
      <c r="BN255" s="429"/>
      <c r="BO255" s="429"/>
      <c r="BP255" s="102"/>
      <c r="BQ255" s="102">
        <v>31.4</v>
      </c>
      <c r="BR255" s="451">
        <f t="shared" si="19"/>
        <v>9891</v>
      </c>
      <c r="BS255" s="451">
        <f t="shared" si="24"/>
        <v>76655.25</v>
      </c>
      <c r="BT255" s="429" t="str">
        <f>IFERROR(VLOOKUP(E255,名称!A:D,4,FALSE),"")</f>
        <v>KIK</v>
      </c>
    </row>
    <row r="256" s="427" customFormat="1" hidden="1" customHeight="1" spans="1:72">
      <c r="A256" s="93">
        <v>46095</v>
      </c>
      <c r="B256" s="95" t="s">
        <v>237</v>
      </c>
      <c r="C256" s="96">
        <v>10122386</v>
      </c>
      <c r="D256" s="96">
        <v>202607170299</v>
      </c>
      <c r="E256" s="97" t="s">
        <v>87</v>
      </c>
      <c r="F256" s="99">
        <v>175</v>
      </c>
      <c r="G256" s="93">
        <v>46204</v>
      </c>
      <c r="H256" s="429"/>
      <c r="I256" s="429"/>
      <c r="J256" s="429"/>
      <c r="K256" s="429"/>
      <c r="L256" s="429"/>
      <c r="M256" s="429"/>
      <c r="N256" s="429"/>
      <c r="O256" s="429"/>
      <c r="P256" s="429"/>
      <c r="Q256" s="429"/>
      <c r="R256" s="429"/>
      <c r="S256" s="429"/>
      <c r="T256" s="429"/>
      <c r="U256" s="429"/>
      <c r="V256" s="429"/>
      <c r="W256" s="429"/>
      <c r="X256" s="429"/>
      <c r="Y256" s="429"/>
      <c r="Z256" s="429"/>
      <c r="AA256" s="429"/>
      <c r="AB256" s="429"/>
      <c r="AC256" s="429"/>
      <c r="AD256" s="429">
        <f t="shared" si="25"/>
        <v>175</v>
      </c>
      <c r="AE256" s="429"/>
      <c r="AF256" s="429"/>
      <c r="AG256" s="429"/>
      <c r="AH256" s="429"/>
      <c r="AI256" s="429"/>
      <c r="AJ256" s="429"/>
      <c r="AK256" s="429"/>
      <c r="AL256" s="429"/>
      <c r="AM256" s="429"/>
      <c r="AN256" s="429"/>
      <c r="AO256" s="429"/>
      <c r="AP256" s="429"/>
      <c r="AQ256" s="429"/>
      <c r="AR256" s="429"/>
      <c r="AS256" s="429"/>
      <c r="AT256" s="429"/>
      <c r="AU256" s="429"/>
      <c r="AV256" s="429"/>
      <c r="AW256" s="429"/>
      <c r="AX256" s="429"/>
      <c r="AY256" s="429"/>
      <c r="AZ256" s="429"/>
      <c r="BA256" s="429"/>
      <c r="BB256" s="429"/>
      <c r="BC256" s="429"/>
      <c r="BD256" s="429"/>
      <c r="BE256" s="429"/>
      <c r="BF256" s="429"/>
      <c r="BG256" s="429"/>
      <c r="BH256" s="429"/>
      <c r="BI256" s="429"/>
      <c r="BJ256" s="429"/>
      <c r="BK256" s="429"/>
      <c r="BL256" s="429"/>
      <c r="BM256" s="429"/>
      <c r="BN256" s="429"/>
      <c r="BO256" s="429"/>
      <c r="BP256" s="102"/>
      <c r="BQ256" s="102">
        <v>31.4</v>
      </c>
      <c r="BR256" s="451">
        <f t="shared" si="19"/>
        <v>5495</v>
      </c>
      <c r="BS256" s="451">
        <f t="shared" si="24"/>
        <v>42586.25</v>
      </c>
      <c r="BT256" s="429" t="str">
        <f>IFERROR(VLOOKUP(E256,名称!A:D,4,FALSE),"")</f>
        <v>KIK</v>
      </c>
    </row>
    <row r="257" s="427" customFormat="1" hidden="1" customHeight="1" spans="1:72">
      <c r="A257" s="93">
        <v>46095</v>
      </c>
      <c r="B257" s="95" t="s">
        <v>236</v>
      </c>
      <c r="C257" s="96">
        <v>10122397</v>
      </c>
      <c r="D257" s="96">
        <v>20218952</v>
      </c>
      <c r="E257" s="97" t="s">
        <v>158</v>
      </c>
      <c r="F257" s="99">
        <v>300</v>
      </c>
      <c r="G257" s="93">
        <v>46204</v>
      </c>
      <c r="H257" s="429"/>
      <c r="I257" s="429"/>
      <c r="J257" s="429"/>
      <c r="K257" s="429"/>
      <c r="L257" s="429"/>
      <c r="M257" s="429"/>
      <c r="N257" s="429"/>
      <c r="O257" s="429"/>
      <c r="P257" s="429"/>
      <c r="Q257" s="429"/>
      <c r="R257" s="429"/>
      <c r="S257" s="429">
        <f>F257</f>
        <v>300</v>
      </c>
      <c r="T257" s="429"/>
      <c r="U257" s="429"/>
      <c r="V257" s="429"/>
      <c r="W257" s="429"/>
      <c r="X257" s="429"/>
      <c r="Y257" s="429"/>
      <c r="Z257" s="429"/>
      <c r="AA257" s="429"/>
      <c r="AB257" s="429"/>
      <c r="AC257" s="429"/>
      <c r="AD257" s="429"/>
      <c r="AE257" s="429"/>
      <c r="AF257" s="429"/>
      <c r="AG257" s="429"/>
      <c r="AH257" s="429"/>
      <c r="AI257" s="429"/>
      <c r="AJ257" s="429"/>
      <c r="AK257" s="429"/>
      <c r="AL257" s="429"/>
      <c r="AM257" s="429"/>
      <c r="AN257" s="429"/>
      <c r="AO257" s="429"/>
      <c r="AP257" s="429"/>
      <c r="AQ257" s="429"/>
      <c r="AR257" s="429"/>
      <c r="AS257" s="429"/>
      <c r="AT257" s="429"/>
      <c r="AU257" s="429"/>
      <c r="AV257" s="429"/>
      <c r="AW257" s="429"/>
      <c r="AX257" s="429"/>
      <c r="AY257" s="429"/>
      <c r="AZ257" s="429"/>
      <c r="BA257" s="429"/>
      <c r="BB257" s="429"/>
      <c r="BC257" s="429"/>
      <c r="BD257" s="429"/>
      <c r="BE257" s="429"/>
      <c r="BF257" s="429"/>
      <c r="BG257" s="429"/>
      <c r="BH257" s="429"/>
      <c r="BI257" s="429"/>
      <c r="BJ257" s="429"/>
      <c r="BK257" s="429"/>
      <c r="BL257" s="429"/>
      <c r="BM257" s="429"/>
      <c r="BN257" s="429"/>
      <c r="BO257" s="429"/>
      <c r="BP257" s="102"/>
      <c r="BQ257" s="102">
        <v>4.792</v>
      </c>
      <c r="BR257" s="451">
        <f t="shared" si="19"/>
        <v>1437.6</v>
      </c>
      <c r="BS257" s="451">
        <f t="shared" si="24"/>
        <v>11141.4</v>
      </c>
      <c r="BT257" s="429" t="str">
        <f>IFERROR(VLOOKUP(E257,名称!A:D,4,FALSE),"")</f>
        <v>KIK</v>
      </c>
    </row>
    <row r="258" s="427" customFormat="1" hidden="1" customHeight="1" spans="1:72">
      <c r="A258" s="93">
        <v>46095</v>
      </c>
      <c r="B258" s="95" t="s">
        <v>236</v>
      </c>
      <c r="C258" s="96">
        <v>10122397</v>
      </c>
      <c r="D258" s="96">
        <v>20218952</v>
      </c>
      <c r="E258" s="97" t="s">
        <v>111</v>
      </c>
      <c r="F258" s="99">
        <v>120</v>
      </c>
      <c r="G258" s="93">
        <v>46204</v>
      </c>
      <c r="H258" s="429"/>
      <c r="I258" s="429"/>
      <c r="J258" s="429"/>
      <c r="K258" s="429"/>
      <c r="L258" s="429"/>
      <c r="M258" s="429"/>
      <c r="N258" s="429"/>
      <c r="O258" s="429"/>
      <c r="P258" s="429"/>
      <c r="Q258" s="429"/>
      <c r="R258" s="429"/>
      <c r="S258" s="429"/>
      <c r="T258" s="429"/>
      <c r="U258" s="429"/>
      <c r="V258" s="429"/>
      <c r="W258" s="429"/>
      <c r="X258" s="429"/>
      <c r="Y258" s="429"/>
      <c r="Z258" s="429"/>
      <c r="AA258" s="429"/>
      <c r="AB258" s="429"/>
      <c r="AC258" s="429"/>
      <c r="AD258" s="429"/>
      <c r="AE258" s="429"/>
      <c r="AF258" s="429"/>
      <c r="AG258" s="429"/>
      <c r="AH258" s="429"/>
      <c r="AI258" s="429"/>
      <c r="AJ258" s="429"/>
      <c r="AK258" s="429"/>
      <c r="AL258" s="429"/>
      <c r="AM258" s="429">
        <f>F258</f>
        <v>120</v>
      </c>
      <c r="AN258" s="429"/>
      <c r="AO258" s="429"/>
      <c r="AP258" s="429"/>
      <c r="AQ258" s="429"/>
      <c r="AR258" s="429"/>
      <c r="AS258" s="429"/>
      <c r="AT258" s="429"/>
      <c r="AU258" s="429"/>
      <c r="AV258" s="429"/>
      <c r="AW258" s="429"/>
      <c r="AX258" s="429"/>
      <c r="AY258" s="429"/>
      <c r="AZ258" s="429"/>
      <c r="BA258" s="429"/>
      <c r="BB258" s="429"/>
      <c r="BC258" s="429"/>
      <c r="BD258" s="429"/>
      <c r="BE258" s="429"/>
      <c r="BF258" s="429"/>
      <c r="BG258" s="429"/>
      <c r="BH258" s="429"/>
      <c r="BI258" s="429"/>
      <c r="BJ258" s="429"/>
      <c r="BK258" s="429"/>
      <c r="BL258" s="429"/>
      <c r="BM258" s="429"/>
      <c r="BN258" s="429"/>
      <c r="BO258" s="429"/>
      <c r="BP258" s="102"/>
      <c r="BQ258" s="102">
        <v>3.816</v>
      </c>
      <c r="BR258" s="451">
        <f t="shared" si="19"/>
        <v>457.92</v>
      </c>
      <c r="BS258" s="451">
        <f t="shared" si="24"/>
        <v>3548.88</v>
      </c>
      <c r="BT258" s="429" t="str">
        <f>IFERROR(VLOOKUP(E258,名称!A:D,4,FALSE),"")</f>
        <v>KIK</v>
      </c>
    </row>
    <row r="259" s="425" customFormat="1" hidden="1" customHeight="1" spans="1:72">
      <c r="A259" s="108">
        <v>46098</v>
      </c>
      <c r="B259" s="109" t="s">
        <v>237</v>
      </c>
      <c r="C259" s="110">
        <v>10119018</v>
      </c>
      <c r="D259" s="110">
        <v>202601272243</v>
      </c>
      <c r="E259" s="30" t="s">
        <v>159</v>
      </c>
      <c r="F259" s="31">
        <v>5001</v>
      </c>
      <c r="G259" s="463">
        <v>46246</v>
      </c>
      <c r="H259" s="443"/>
      <c r="I259" s="443"/>
      <c r="J259" s="443"/>
      <c r="K259" s="443"/>
      <c r="L259" s="443"/>
      <c r="M259" s="443"/>
      <c r="N259" s="443"/>
      <c r="O259" s="443"/>
      <c r="P259" s="443"/>
      <c r="Q259" s="443"/>
      <c r="R259" s="443"/>
      <c r="S259" s="443"/>
      <c r="T259" s="443"/>
      <c r="U259" s="443"/>
      <c r="V259" s="443"/>
      <c r="W259" s="443"/>
      <c r="X259" s="443"/>
      <c r="Y259" s="443"/>
      <c r="Z259" s="443"/>
      <c r="AA259" s="443"/>
      <c r="AB259" s="443"/>
      <c r="AC259" s="443"/>
      <c r="AD259" s="443"/>
      <c r="AE259" s="443"/>
      <c r="AF259" s="443"/>
      <c r="AG259" s="443"/>
      <c r="AH259" s="443"/>
      <c r="AI259" s="443"/>
      <c r="AJ259" s="443"/>
      <c r="AK259" s="443"/>
      <c r="AL259" s="443"/>
      <c r="AM259" s="443"/>
      <c r="AN259" s="443"/>
      <c r="AO259" s="443"/>
      <c r="AP259" s="443"/>
      <c r="AQ259" s="443"/>
      <c r="AR259" s="443"/>
      <c r="AS259" s="443"/>
      <c r="AT259" s="443"/>
      <c r="AU259" s="443"/>
      <c r="AV259" s="443">
        <f>F259</f>
        <v>5001</v>
      </c>
      <c r="AW259" s="443"/>
      <c r="AX259" s="443"/>
      <c r="AY259" s="443"/>
      <c r="AZ259" s="443"/>
      <c r="BA259" s="443"/>
      <c r="BB259" s="443"/>
      <c r="BC259" s="443"/>
      <c r="BD259" s="443"/>
      <c r="BE259" s="443"/>
      <c r="BF259" s="443"/>
      <c r="BG259" s="443"/>
      <c r="BH259" s="443"/>
      <c r="BI259" s="443"/>
      <c r="BJ259" s="443"/>
      <c r="BK259" s="443"/>
      <c r="BL259" s="443"/>
      <c r="BM259" s="443"/>
      <c r="BN259" s="443"/>
      <c r="BO259" s="443"/>
      <c r="BP259" s="92"/>
      <c r="BQ259" s="92">
        <v>2.925</v>
      </c>
      <c r="BR259" s="462">
        <f t="shared" si="19"/>
        <v>14627.93</v>
      </c>
      <c r="BS259" s="447">
        <f t="shared" si="24"/>
        <v>113366.46</v>
      </c>
      <c r="BT259" s="443" t="str">
        <f>IFERROR(VLOOKUP(E259,名称!A:D,4,FALSE),"")</f>
        <v>KIK</v>
      </c>
    </row>
    <row r="260" s="427" customFormat="1" hidden="1" customHeight="1" spans="1:72">
      <c r="A260" s="93">
        <v>46099</v>
      </c>
      <c r="B260" s="95" t="s">
        <v>237</v>
      </c>
      <c r="C260" s="96">
        <v>10122643</v>
      </c>
      <c r="D260" s="96">
        <v>1042268792</v>
      </c>
      <c r="E260" s="97" t="s">
        <v>160</v>
      </c>
      <c r="F260" s="99">
        <v>492</v>
      </c>
      <c r="G260" s="93">
        <v>46169</v>
      </c>
      <c r="H260" s="429"/>
      <c r="I260" s="429"/>
      <c r="J260" s="429"/>
      <c r="K260" s="429"/>
      <c r="L260" s="429"/>
      <c r="M260" s="429"/>
      <c r="N260" s="429"/>
      <c r="O260" s="429"/>
      <c r="P260" s="429"/>
      <c r="Q260" s="429"/>
      <c r="R260" s="429"/>
      <c r="S260" s="429"/>
      <c r="T260" s="429"/>
      <c r="U260" s="429"/>
      <c r="V260" s="429"/>
      <c r="W260" s="429"/>
      <c r="X260" s="429"/>
      <c r="Y260" s="429"/>
      <c r="Z260" s="429"/>
      <c r="AA260" s="429"/>
      <c r="AB260" s="429"/>
      <c r="AC260" s="429"/>
      <c r="AD260" s="429"/>
      <c r="AE260" s="429"/>
      <c r="AF260" s="429"/>
      <c r="AG260" s="429"/>
      <c r="AH260" s="429"/>
      <c r="AI260" s="429"/>
      <c r="AJ260" s="429"/>
      <c r="AK260" s="429"/>
      <c r="AL260" s="429"/>
      <c r="AM260" s="429"/>
      <c r="AN260" s="429">
        <f>F260</f>
        <v>492</v>
      </c>
      <c r="AO260" s="429"/>
      <c r="AP260" s="429"/>
      <c r="AQ260" s="429"/>
      <c r="AR260" s="429"/>
      <c r="AS260" s="429"/>
      <c r="AT260" s="429"/>
      <c r="AU260" s="429"/>
      <c r="AV260" s="429"/>
      <c r="AW260" s="429"/>
      <c r="AX260" s="429"/>
      <c r="AY260" s="429"/>
      <c r="AZ260" s="429"/>
      <c r="BA260" s="429"/>
      <c r="BB260" s="429"/>
      <c r="BC260" s="429"/>
      <c r="BD260" s="429"/>
      <c r="BE260" s="429"/>
      <c r="BF260" s="429"/>
      <c r="BG260" s="429"/>
      <c r="BH260" s="429"/>
      <c r="BI260" s="429"/>
      <c r="BJ260" s="429"/>
      <c r="BK260" s="429"/>
      <c r="BL260" s="429"/>
      <c r="BM260" s="429"/>
      <c r="BN260" s="429"/>
      <c r="BO260" s="429"/>
      <c r="BP260" s="102"/>
      <c r="BQ260" s="102">
        <v>5.743</v>
      </c>
      <c r="BR260" s="451">
        <f>SUM(H260:BP260)*BQ260</f>
        <v>2825.56</v>
      </c>
      <c r="BS260" s="451">
        <f t="shared" ref="BS256:BS283" si="26">BR260*7.75</f>
        <v>21898.09</v>
      </c>
      <c r="BT260" s="429" t="str">
        <f>IFERROR(VLOOKUP(E260,名称!A:D,4,FALSE),"")</f>
        <v>KIK</v>
      </c>
    </row>
    <row r="261" s="427" customFormat="1" hidden="1" customHeight="1" spans="1:72">
      <c r="A261" s="93">
        <v>46099</v>
      </c>
      <c r="B261" s="95" t="s">
        <v>237</v>
      </c>
      <c r="C261" s="96">
        <v>10122643</v>
      </c>
      <c r="D261" s="96">
        <v>1042268792</v>
      </c>
      <c r="E261" s="97" t="s">
        <v>154</v>
      </c>
      <c r="F261" s="99">
        <v>1288</v>
      </c>
      <c r="G261" s="93">
        <v>46169</v>
      </c>
      <c r="H261" s="429"/>
      <c r="I261" s="429"/>
      <c r="J261" s="429"/>
      <c r="K261" s="429"/>
      <c r="L261" s="429"/>
      <c r="M261" s="429"/>
      <c r="N261" s="429"/>
      <c r="O261" s="429"/>
      <c r="P261" s="429"/>
      <c r="Q261" s="429"/>
      <c r="R261" s="429">
        <f>F261</f>
        <v>1288</v>
      </c>
      <c r="S261" s="429"/>
      <c r="T261" s="429"/>
      <c r="U261" s="429"/>
      <c r="V261" s="429"/>
      <c r="W261" s="429"/>
      <c r="X261" s="429"/>
      <c r="Y261" s="429"/>
      <c r="Z261" s="429"/>
      <c r="AA261" s="429"/>
      <c r="AB261" s="429"/>
      <c r="AC261" s="429"/>
      <c r="AD261" s="429"/>
      <c r="AE261" s="429"/>
      <c r="AF261" s="429"/>
      <c r="AG261" s="429"/>
      <c r="AH261" s="429"/>
      <c r="AI261" s="429"/>
      <c r="AJ261" s="429"/>
      <c r="AK261" s="429"/>
      <c r="AL261" s="429"/>
      <c r="AM261" s="429"/>
      <c r="AN261" s="429"/>
      <c r="AO261" s="429"/>
      <c r="AP261" s="429"/>
      <c r="AQ261" s="429"/>
      <c r="AR261" s="429"/>
      <c r="AS261" s="429"/>
      <c r="AT261" s="429"/>
      <c r="AU261" s="429"/>
      <c r="AV261" s="429"/>
      <c r="AW261" s="429"/>
      <c r="AX261" s="429"/>
      <c r="AY261" s="429"/>
      <c r="AZ261" s="429"/>
      <c r="BA261" s="429"/>
      <c r="BB261" s="429"/>
      <c r="BC261" s="429"/>
      <c r="BD261" s="429"/>
      <c r="BE261" s="429"/>
      <c r="BF261" s="429"/>
      <c r="BG261" s="429"/>
      <c r="BH261" s="429"/>
      <c r="BI261" s="429"/>
      <c r="BJ261" s="429"/>
      <c r="BK261" s="429"/>
      <c r="BL261" s="429"/>
      <c r="BM261" s="429"/>
      <c r="BN261" s="429"/>
      <c r="BO261" s="429"/>
      <c r="BP261" s="102"/>
      <c r="BQ261" s="102">
        <v>4.684</v>
      </c>
      <c r="BR261" s="451">
        <f>SUM(H261:BP261)*BQ261</f>
        <v>6032.99</v>
      </c>
      <c r="BS261" s="451">
        <f t="shared" si="26"/>
        <v>46755.67</v>
      </c>
      <c r="BT261" s="429" t="str">
        <f>IFERROR(VLOOKUP(E261,名称!A:D,4,FALSE),"")</f>
        <v>KIK</v>
      </c>
    </row>
    <row r="262" s="427" customFormat="1" hidden="1" customHeight="1" spans="1:72">
      <c r="A262" s="93">
        <v>46099</v>
      </c>
      <c r="B262" s="95" t="s">
        <v>237</v>
      </c>
      <c r="C262" s="96">
        <v>10122642</v>
      </c>
      <c r="D262" s="96">
        <v>1042268788</v>
      </c>
      <c r="E262" s="97" t="s">
        <v>160</v>
      </c>
      <c r="F262" s="99">
        <v>142</v>
      </c>
      <c r="G262" s="93">
        <v>46169</v>
      </c>
      <c r="H262" s="429"/>
      <c r="I262" s="429"/>
      <c r="J262" s="429"/>
      <c r="K262" s="429"/>
      <c r="L262" s="429"/>
      <c r="M262" s="429"/>
      <c r="N262" s="429"/>
      <c r="O262" s="429"/>
      <c r="P262" s="429"/>
      <c r="Q262" s="429"/>
      <c r="R262" s="429"/>
      <c r="S262" s="429"/>
      <c r="T262" s="429"/>
      <c r="U262" s="429"/>
      <c r="V262" s="429"/>
      <c r="W262" s="429"/>
      <c r="X262" s="429"/>
      <c r="Y262" s="429"/>
      <c r="Z262" s="429"/>
      <c r="AA262" s="429"/>
      <c r="AB262" s="429"/>
      <c r="AC262" s="429"/>
      <c r="AD262" s="429"/>
      <c r="AE262" s="429"/>
      <c r="AF262" s="429"/>
      <c r="AG262" s="429"/>
      <c r="AH262" s="429"/>
      <c r="AI262" s="429"/>
      <c r="AJ262" s="429"/>
      <c r="AK262" s="429"/>
      <c r="AL262" s="429"/>
      <c r="AM262" s="429"/>
      <c r="AN262" s="429">
        <f>F262</f>
        <v>142</v>
      </c>
      <c r="AO262" s="429"/>
      <c r="AP262" s="429"/>
      <c r="AQ262" s="429"/>
      <c r="AR262" s="429"/>
      <c r="AS262" s="429"/>
      <c r="AT262" s="429"/>
      <c r="AU262" s="429"/>
      <c r="AV262" s="429"/>
      <c r="AW262" s="429"/>
      <c r="AX262" s="429"/>
      <c r="AY262" s="429"/>
      <c r="AZ262" s="429"/>
      <c r="BA262" s="429"/>
      <c r="BB262" s="429"/>
      <c r="BC262" s="429"/>
      <c r="BD262" s="429"/>
      <c r="BE262" s="429"/>
      <c r="BF262" s="429"/>
      <c r="BG262" s="429"/>
      <c r="BH262" s="429"/>
      <c r="BI262" s="429"/>
      <c r="BJ262" s="429"/>
      <c r="BK262" s="429"/>
      <c r="BL262" s="429"/>
      <c r="BM262" s="429"/>
      <c r="BN262" s="429"/>
      <c r="BO262" s="429"/>
      <c r="BP262" s="102"/>
      <c r="BQ262" s="102">
        <v>5.743</v>
      </c>
      <c r="BR262" s="451">
        <f t="shared" ref="BR262:BR342" si="27">SUM(H262:BP262)*BQ262</f>
        <v>815.51</v>
      </c>
      <c r="BS262" s="451">
        <f t="shared" si="26"/>
        <v>6320.2</v>
      </c>
      <c r="BT262" s="429" t="str">
        <f>IFERROR(VLOOKUP(E262,名称!A:D,4,FALSE),"")</f>
        <v>KIK</v>
      </c>
    </row>
    <row r="263" s="427" customFormat="1" hidden="1" customHeight="1" spans="1:72">
      <c r="A263" s="93">
        <v>46099</v>
      </c>
      <c r="B263" s="95" t="s">
        <v>237</v>
      </c>
      <c r="C263" s="96">
        <v>10122642</v>
      </c>
      <c r="D263" s="96">
        <v>1042268788</v>
      </c>
      <c r="E263" s="97" t="s">
        <v>155</v>
      </c>
      <c r="F263" s="99">
        <v>416</v>
      </c>
      <c r="G263" s="93">
        <v>46169</v>
      </c>
      <c r="H263" s="429"/>
      <c r="I263" s="429"/>
      <c r="J263" s="429"/>
      <c r="K263" s="429"/>
      <c r="L263" s="429"/>
      <c r="M263" s="429"/>
      <c r="N263" s="429"/>
      <c r="O263" s="429"/>
      <c r="P263" s="429"/>
      <c r="Q263" s="429"/>
      <c r="R263" s="429"/>
      <c r="S263" s="429">
        <f>F263</f>
        <v>416</v>
      </c>
      <c r="T263" s="429"/>
      <c r="U263" s="429"/>
      <c r="V263" s="429"/>
      <c r="W263" s="429"/>
      <c r="X263" s="429"/>
      <c r="Y263" s="429"/>
      <c r="Z263" s="429"/>
      <c r="AA263" s="429"/>
      <c r="AB263" s="429"/>
      <c r="AC263" s="429"/>
      <c r="AD263" s="429"/>
      <c r="AE263" s="429"/>
      <c r="AF263" s="429"/>
      <c r="AG263" s="429"/>
      <c r="AH263" s="429"/>
      <c r="AI263" s="429"/>
      <c r="AJ263" s="429"/>
      <c r="AK263" s="429"/>
      <c r="AL263" s="429"/>
      <c r="AM263" s="429"/>
      <c r="AN263" s="429"/>
      <c r="AO263" s="429"/>
      <c r="AP263" s="429"/>
      <c r="AQ263" s="429"/>
      <c r="AR263" s="429"/>
      <c r="AS263" s="429"/>
      <c r="AT263" s="429"/>
      <c r="AU263" s="429"/>
      <c r="AV263" s="429"/>
      <c r="AW263" s="429"/>
      <c r="AX263" s="429"/>
      <c r="AY263" s="429"/>
      <c r="AZ263" s="429"/>
      <c r="BA263" s="429"/>
      <c r="BB263" s="429"/>
      <c r="BC263" s="429"/>
      <c r="BD263" s="429"/>
      <c r="BE263" s="429"/>
      <c r="BF263" s="429"/>
      <c r="BG263" s="429"/>
      <c r="BH263" s="429"/>
      <c r="BI263" s="429"/>
      <c r="BJ263" s="429"/>
      <c r="BK263" s="429"/>
      <c r="BL263" s="429"/>
      <c r="BM263" s="429"/>
      <c r="BN263" s="429"/>
      <c r="BO263" s="429"/>
      <c r="BP263" s="102"/>
      <c r="BQ263" s="102">
        <v>4.637</v>
      </c>
      <c r="BR263" s="451">
        <f t="shared" si="27"/>
        <v>1928.99</v>
      </c>
      <c r="BS263" s="451">
        <f t="shared" si="26"/>
        <v>14949.67</v>
      </c>
      <c r="BT263" s="429" t="str">
        <f>IFERROR(VLOOKUP(E263,名称!A:D,4,FALSE),"")</f>
        <v>KIK</v>
      </c>
    </row>
    <row r="264" s="427" customFormat="1" hidden="1" customHeight="1" spans="1:72">
      <c r="A264" s="93">
        <v>46099</v>
      </c>
      <c r="B264" s="95" t="s">
        <v>237</v>
      </c>
      <c r="C264" s="96">
        <v>10122640</v>
      </c>
      <c r="D264" s="96">
        <v>1042268819</v>
      </c>
      <c r="E264" s="97" t="s">
        <v>160</v>
      </c>
      <c r="F264" s="99">
        <v>352</v>
      </c>
      <c r="G264" s="93">
        <v>46169</v>
      </c>
      <c r="H264" s="429"/>
      <c r="I264" s="429"/>
      <c r="J264" s="429"/>
      <c r="K264" s="429"/>
      <c r="L264" s="429"/>
      <c r="M264" s="429"/>
      <c r="N264" s="429"/>
      <c r="O264" s="429"/>
      <c r="P264" s="429"/>
      <c r="Q264" s="429"/>
      <c r="R264" s="429"/>
      <c r="S264" s="429"/>
      <c r="T264" s="429"/>
      <c r="U264" s="429"/>
      <c r="V264" s="429"/>
      <c r="W264" s="429"/>
      <c r="X264" s="429"/>
      <c r="Y264" s="429"/>
      <c r="Z264" s="429"/>
      <c r="AA264" s="429"/>
      <c r="AB264" s="429"/>
      <c r="AC264" s="429"/>
      <c r="AD264" s="429"/>
      <c r="AE264" s="429"/>
      <c r="AF264" s="429"/>
      <c r="AG264" s="429"/>
      <c r="AH264" s="429"/>
      <c r="AI264" s="429"/>
      <c r="AJ264" s="429"/>
      <c r="AK264" s="429"/>
      <c r="AL264" s="429"/>
      <c r="AM264" s="429"/>
      <c r="AN264" s="429">
        <f>F264</f>
        <v>352</v>
      </c>
      <c r="AO264" s="429"/>
      <c r="AP264" s="429"/>
      <c r="AQ264" s="429"/>
      <c r="AR264" s="429"/>
      <c r="AS264" s="429"/>
      <c r="AT264" s="429"/>
      <c r="AU264" s="429"/>
      <c r="AV264" s="429"/>
      <c r="AW264" s="429"/>
      <c r="AX264" s="429"/>
      <c r="AY264" s="429"/>
      <c r="AZ264" s="429"/>
      <c r="BA264" s="429"/>
      <c r="BB264" s="429"/>
      <c r="BC264" s="429"/>
      <c r="BD264" s="429"/>
      <c r="BE264" s="429"/>
      <c r="BF264" s="429"/>
      <c r="BG264" s="429"/>
      <c r="BH264" s="429"/>
      <c r="BI264" s="429"/>
      <c r="BJ264" s="429"/>
      <c r="BK264" s="429"/>
      <c r="BL264" s="429"/>
      <c r="BM264" s="429"/>
      <c r="BN264" s="429"/>
      <c r="BO264" s="429"/>
      <c r="BP264" s="102"/>
      <c r="BQ264" s="102">
        <v>5.743</v>
      </c>
      <c r="BR264" s="451">
        <f t="shared" si="27"/>
        <v>2021.54</v>
      </c>
      <c r="BS264" s="451">
        <f t="shared" si="26"/>
        <v>15666.94</v>
      </c>
      <c r="BT264" s="429" t="str">
        <f>IFERROR(VLOOKUP(E264,名称!A:D,4,FALSE),"")</f>
        <v>KIK</v>
      </c>
    </row>
    <row r="265" s="427" customFormat="1" hidden="1" customHeight="1" spans="1:72">
      <c r="A265" s="93">
        <v>46099</v>
      </c>
      <c r="B265" s="95" t="s">
        <v>237</v>
      </c>
      <c r="C265" s="96">
        <v>10122640</v>
      </c>
      <c r="D265" s="96">
        <v>1042268819</v>
      </c>
      <c r="E265" s="97" t="s">
        <v>155</v>
      </c>
      <c r="F265" s="99">
        <v>480</v>
      </c>
      <c r="G265" s="93">
        <v>46169</v>
      </c>
      <c r="H265" s="429"/>
      <c r="I265" s="429"/>
      <c r="J265" s="429"/>
      <c r="K265" s="429"/>
      <c r="L265" s="429"/>
      <c r="M265" s="429"/>
      <c r="N265" s="429"/>
      <c r="O265" s="429"/>
      <c r="P265" s="429"/>
      <c r="Q265" s="429"/>
      <c r="R265" s="429"/>
      <c r="S265" s="429">
        <f>F265</f>
        <v>480</v>
      </c>
      <c r="T265" s="429"/>
      <c r="U265" s="429"/>
      <c r="V265" s="429"/>
      <c r="W265" s="429"/>
      <c r="X265" s="429"/>
      <c r="Y265" s="429"/>
      <c r="Z265" s="429"/>
      <c r="AA265" s="429"/>
      <c r="AB265" s="429"/>
      <c r="AC265" s="429"/>
      <c r="AD265" s="429"/>
      <c r="AE265" s="429"/>
      <c r="AF265" s="429"/>
      <c r="AG265" s="429"/>
      <c r="AH265" s="429"/>
      <c r="AI265" s="429"/>
      <c r="AJ265" s="429"/>
      <c r="AK265" s="429"/>
      <c r="AL265" s="429"/>
      <c r="AM265" s="429"/>
      <c r="AN265" s="429"/>
      <c r="AO265" s="429"/>
      <c r="AP265" s="429"/>
      <c r="AQ265" s="429"/>
      <c r="AR265" s="429"/>
      <c r="AS265" s="429"/>
      <c r="AT265" s="429"/>
      <c r="AU265" s="429"/>
      <c r="AV265" s="429"/>
      <c r="AW265" s="429"/>
      <c r="AX265" s="429"/>
      <c r="AY265" s="429"/>
      <c r="AZ265" s="429"/>
      <c r="BA265" s="429"/>
      <c r="BB265" s="429"/>
      <c r="BC265" s="429"/>
      <c r="BD265" s="429"/>
      <c r="BE265" s="429"/>
      <c r="BF265" s="429"/>
      <c r="BG265" s="429"/>
      <c r="BH265" s="429"/>
      <c r="BI265" s="429"/>
      <c r="BJ265" s="429"/>
      <c r="BK265" s="429"/>
      <c r="BL265" s="429"/>
      <c r="BM265" s="429"/>
      <c r="BN265" s="429"/>
      <c r="BO265" s="429"/>
      <c r="BP265" s="102"/>
      <c r="BQ265" s="102">
        <v>4.637</v>
      </c>
      <c r="BR265" s="451">
        <f t="shared" si="27"/>
        <v>2225.76</v>
      </c>
      <c r="BS265" s="451">
        <f t="shared" si="26"/>
        <v>17249.64</v>
      </c>
      <c r="BT265" s="429" t="str">
        <f>IFERROR(VLOOKUP(E265,名称!A:D,4,FALSE),"")</f>
        <v>KIK</v>
      </c>
    </row>
    <row r="266" s="427" customFormat="1" hidden="1" customHeight="1" spans="1:72">
      <c r="A266" s="93">
        <v>46099</v>
      </c>
      <c r="B266" s="95" t="s">
        <v>237</v>
      </c>
      <c r="C266" s="96">
        <v>10122638</v>
      </c>
      <c r="D266" s="96">
        <v>1042268219</v>
      </c>
      <c r="E266" s="97" t="s">
        <v>160</v>
      </c>
      <c r="F266" s="99">
        <v>278</v>
      </c>
      <c r="G266" s="93">
        <v>46169</v>
      </c>
      <c r="H266" s="429"/>
      <c r="I266" s="429"/>
      <c r="J266" s="429"/>
      <c r="K266" s="429"/>
      <c r="L266" s="429"/>
      <c r="M266" s="429"/>
      <c r="N266" s="429"/>
      <c r="O266" s="429"/>
      <c r="P266" s="429"/>
      <c r="Q266" s="429"/>
      <c r="R266" s="429"/>
      <c r="S266" s="429"/>
      <c r="T266" s="429"/>
      <c r="U266" s="429"/>
      <c r="V266" s="429"/>
      <c r="W266" s="429"/>
      <c r="X266" s="429"/>
      <c r="Y266" s="429"/>
      <c r="Z266" s="429"/>
      <c r="AA266" s="429"/>
      <c r="AB266" s="429"/>
      <c r="AC266" s="429"/>
      <c r="AD266" s="429"/>
      <c r="AE266" s="429"/>
      <c r="AF266" s="429"/>
      <c r="AG266" s="429"/>
      <c r="AH266" s="429"/>
      <c r="AI266" s="429"/>
      <c r="AJ266" s="429"/>
      <c r="AK266" s="429"/>
      <c r="AL266" s="429"/>
      <c r="AM266" s="429"/>
      <c r="AN266" s="429">
        <f>F266</f>
        <v>278</v>
      </c>
      <c r="AO266" s="429"/>
      <c r="AP266" s="429"/>
      <c r="AQ266" s="429"/>
      <c r="AR266" s="429"/>
      <c r="AS266" s="429"/>
      <c r="AT266" s="429"/>
      <c r="AU266" s="429"/>
      <c r="AV266" s="429"/>
      <c r="AW266" s="429"/>
      <c r="AX266" s="429"/>
      <c r="AY266" s="429"/>
      <c r="AZ266" s="429"/>
      <c r="BA266" s="429"/>
      <c r="BB266" s="429"/>
      <c r="BC266" s="429"/>
      <c r="BD266" s="429"/>
      <c r="BE266" s="429"/>
      <c r="BF266" s="429"/>
      <c r="BG266" s="429"/>
      <c r="BH266" s="429"/>
      <c r="BI266" s="429"/>
      <c r="BJ266" s="429"/>
      <c r="BK266" s="429"/>
      <c r="BL266" s="429"/>
      <c r="BM266" s="429"/>
      <c r="BN266" s="429"/>
      <c r="BO266" s="429"/>
      <c r="BP266" s="102"/>
      <c r="BQ266" s="102">
        <v>5.743</v>
      </c>
      <c r="BR266" s="451">
        <f t="shared" si="27"/>
        <v>1596.55</v>
      </c>
      <c r="BS266" s="451">
        <f t="shared" si="26"/>
        <v>12373.26</v>
      </c>
      <c r="BT266" s="429" t="str">
        <f>IFERROR(VLOOKUP(E266,名称!A:D,4,FALSE),"")</f>
        <v>KIK</v>
      </c>
    </row>
    <row r="267" s="427" customFormat="1" hidden="1" customHeight="1" spans="1:72">
      <c r="A267" s="93">
        <v>46099</v>
      </c>
      <c r="B267" s="95" t="s">
        <v>237</v>
      </c>
      <c r="C267" s="96">
        <v>10122638</v>
      </c>
      <c r="D267" s="96">
        <v>1042268219</v>
      </c>
      <c r="E267" s="97" t="s">
        <v>155</v>
      </c>
      <c r="F267" s="99">
        <v>400</v>
      </c>
      <c r="G267" s="93">
        <v>46169</v>
      </c>
      <c r="H267" s="429"/>
      <c r="I267" s="429"/>
      <c r="J267" s="429"/>
      <c r="K267" s="429"/>
      <c r="L267" s="429"/>
      <c r="M267" s="429"/>
      <c r="N267" s="429"/>
      <c r="O267" s="429"/>
      <c r="P267" s="429"/>
      <c r="Q267" s="429"/>
      <c r="R267" s="429"/>
      <c r="S267" s="429">
        <f>F267</f>
        <v>400</v>
      </c>
      <c r="T267" s="429"/>
      <c r="U267" s="429"/>
      <c r="V267" s="429"/>
      <c r="W267" s="429"/>
      <c r="X267" s="429"/>
      <c r="Y267" s="429"/>
      <c r="Z267" s="429"/>
      <c r="AA267" s="429"/>
      <c r="AB267" s="429"/>
      <c r="AC267" s="429"/>
      <c r="AD267" s="429"/>
      <c r="AE267" s="429"/>
      <c r="AF267" s="429"/>
      <c r="AG267" s="429"/>
      <c r="AH267" s="429"/>
      <c r="AI267" s="429"/>
      <c r="AJ267" s="429"/>
      <c r="AK267" s="429"/>
      <c r="AL267" s="429"/>
      <c r="AM267" s="429"/>
      <c r="AN267" s="429"/>
      <c r="AO267" s="429"/>
      <c r="AP267" s="429"/>
      <c r="AQ267" s="429"/>
      <c r="AR267" s="429"/>
      <c r="AS267" s="429"/>
      <c r="AT267" s="429"/>
      <c r="AU267" s="429"/>
      <c r="AV267" s="429"/>
      <c r="AW267" s="429"/>
      <c r="AX267" s="429"/>
      <c r="AY267" s="429"/>
      <c r="AZ267" s="429"/>
      <c r="BA267" s="429"/>
      <c r="BB267" s="429"/>
      <c r="BC267" s="429"/>
      <c r="BD267" s="429"/>
      <c r="BE267" s="429"/>
      <c r="BF267" s="429"/>
      <c r="BG267" s="429"/>
      <c r="BH267" s="429"/>
      <c r="BI267" s="429"/>
      <c r="BJ267" s="429"/>
      <c r="BK267" s="429"/>
      <c r="BL267" s="429"/>
      <c r="BM267" s="429"/>
      <c r="BN267" s="429"/>
      <c r="BO267" s="429"/>
      <c r="BP267" s="102"/>
      <c r="BQ267" s="102">
        <v>4.637</v>
      </c>
      <c r="BR267" s="451">
        <f t="shared" si="27"/>
        <v>1854.8</v>
      </c>
      <c r="BS267" s="451">
        <f t="shared" si="26"/>
        <v>14374.7</v>
      </c>
      <c r="BT267" s="429" t="str">
        <f>IFERROR(VLOOKUP(E267,名称!A:D,4,FALSE),"")</f>
        <v>KIK</v>
      </c>
    </row>
    <row r="268" s="427" customFormat="1" hidden="1" customHeight="1" spans="1:72">
      <c r="A268" s="93">
        <v>46099</v>
      </c>
      <c r="B268" s="95" t="s">
        <v>237</v>
      </c>
      <c r="C268" s="96">
        <v>10122638</v>
      </c>
      <c r="D268" s="96">
        <v>1042268219</v>
      </c>
      <c r="E268" s="97" t="s">
        <v>154</v>
      </c>
      <c r="F268" s="99">
        <v>1056</v>
      </c>
      <c r="G268" s="93">
        <v>46169</v>
      </c>
      <c r="H268" s="429"/>
      <c r="I268" s="429"/>
      <c r="J268" s="429"/>
      <c r="K268" s="429"/>
      <c r="L268" s="429"/>
      <c r="M268" s="429"/>
      <c r="N268" s="429"/>
      <c r="O268" s="429"/>
      <c r="P268" s="429"/>
      <c r="Q268" s="429"/>
      <c r="R268" s="429">
        <f>F268</f>
        <v>1056</v>
      </c>
      <c r="S268" s="429"/>
      <c r="T268" s="429"/>
      <c r="U268" s="429"/>
      <c r="V268" s="429"/>
      <c r="W268" s="429"/>
      <c r="X268" s="429"/>
      <c r="Y268" s="429"/>
      <c r="Z268" s="429"/>
      <c r="AA268" s="429"/>
      <c r="AB268" s="429"/>
      <c r="AC268" s="429"/>
      <c r="AD268" s="429"/>
      <c r="AE268" s="429"/>
      <c r="AF268" s="429"/>
      <c r="AG268" s="429"/>
      <c r="AH268" s="429"/>
      <c r="AI268" s="429"/>
      <c r="AJ268" s="429"/>
      <c r="AK268" s="429"/>
      <c r="AL268" s="429"/>
      <c r="AM268" s="429"/>
      <c r="AN268" s="429"/>
      <c r="AO268" s="429"/>
      <c r="AP268" s="429"/>
      <c r="AQ268" s="429"/>
      <c r="AR268" s="429"/>
      <c r="AS268" s="429"/>
      <c r="AT268" s="429"/>
      <c r="AU268" s="429"/>
      <c r="AV268" s="429"/>
      <c r="AW268" s="429"/>
      <c r="AX268" s="429"/>
      <c r="AY268" s="429"/>
      <c r="AZ268" s="429"/>
      <c r="BA268" s="429"/>
      <c r="BB268" s="429"/>
      <c r="BC268" s="429"/>
      <c r="BD268" s="429"/>
      <c r="BE268" s="429"/>
      <c r="BF268" s="429"/>
      <c r="BG268" s="429"/>
      <c r="BH268" s="429"/>
      <c r="BI268" s="429"/>
      <c r="BJ268" s="429"/>
      <c r="BK268" s="429"/>
      <c r="BL268" s="429"/>
      <c r="BM268" s="429"/>
      <c r="BN268" s="429"/>
      <c r="BO268" s="429"/>
      <c r="BP268" s="102"/>
      <c r="BQ268" s="102">
        <v>4.684</v>
      </c>
      <c r="BR268" s="451">
        <f t="shared" si="27"/>
        <v>4946.3</v>
      </c>
      <c r="BS268" s="451">
        <f t="shared" si="26"/>
        <v>38333.83</v>
      </c>
      <c r="BT268" s="429" t="str">
        <f>IFERROR(VLOOKUP(E268,名称!A:D,4,FALSE),"")</f>
        <v>KIK</v>
      </c>
    </row>
    <row r="269" s="427" customFormat="1" hidden="1" customHeight="1" spans="1:72">
      <c r="A269" s="93">
        <v>46099</v>
      </c>
      <c r="B269" s="95" t="s">
        <v>237</v>
      </c>
      <c r="C269" s="96">
        <v>10122637</v>
      </c>
      <c r="D269" s="96">
        <v>1042268214</v>
      </c>
      <c r="E269" s="97" t="s">
        <v>154</v>
      </c>
      <c r="F269" s="99">
        <v>1080</v>
      </c>
      <c r="G269" s="93">
        <v>46169</v>
      </c>
      <c r="H269" s="429"/>
      <c r="I269" s="429"/>
      <c r="J269" s="429"/>
      <c r="K269" s="429"/>
      <c r="L269" s="429"/>
      <c r="M269" s="429"/>
      <c r="N269" s="429"/>
      <c r="O269" s="429"/>
      <c r="P269" s="429"/>
      <c r="Q269" s="429"/>
      <c r="R269" s="429">
        <f>F269</f>
        <v>1080</v>
      </c>
      <c r="S269" s="429"/>
      <c r="T269" s="429"/>
      <c r="U269" s="429"/>
      <c r="V269" s="429"/>
      <c r="W269" s="429"/>
      <c r="X269" s="429"/>
      <c r="Y269" s="429"/>
      <c r="Z269" s="429"/>
      <c r="AA269" s="429"/>
      <c r="AB269" s="429"/>
      <c r="AC269" s="429"/>
      <c r="AD269" s="429"/>
      <c r="AE269" s="429"/>
      <c r="AF269" s="429"/>
      <c r="AG269" s="429"/>
      <c r="AH269" s="429"/>
      <c r="AI269" s="429"/>
      <c r="AJ269" s="429"/>
      <c r="AK269" s="429"/>
      <c r="AL269" s="429"/>
      <c r="AM269" s="429"/>
      <c r="AN269" s="429"/>
      <c r="AO269" s="429"/>
      <c r="AP269" s="429"/>
      <c r="AQ269" s="429"/>
      <c r="AR269" s="429"/>
      <c r="AS269" s="429"/>
      <c r="AT269" s="429"/>
      <c r="AU269" s="429"/>
      <c r="AV269" s="429"/>
      <c r="AW269" s="429"/>
      <c r="AX269" s="429"/>
      <c r="AY269" s="429"/>
      <c r="AZ269" s="429"/>
      <c r="BA269" s="429"/>
      <c r="BB269" s="429"/>
      <c r="BC269" s="429"/>
      <c r="BD269" s="429"/>
      <c r="BE269" s="429"/>
      <c r="BF269" s="429"/>
      <c r="BG269" s="429"/>
      <c r="BH269" s="429"/>
      <c r="BI269" s="429"/>
      <c r="BJ269" s="429"/>
      <c r="BK269" s="429"/>
      <c r="BL269" s="429"/>
      <c r="BM269" s="429"/>
      <c r="BN269" s="429"/>
      <c r="BO269" s="429"/>
      <c r="BP269" s="103"/>
      <c r="BQ269" s="103">
        <v>4.68</v>
      </c>
      <c r="BR269" s="451">
        <f t="shared" si="27"/>
        <v>5054.4</v>
      </c>
      <c r="BS269" s="451">
        <f t="shared" si="26"/>
        <v>39171.6</v>
      </c>
      <c r="BT269" s="429" t="str">
        <f>IFERROR(VLOOKUP(E269,名称!A:D,4,FALSE),"")</f>
        <v>KIK</v>
      </c>
    </row>
    <row r="270" s="427" customFormat="1" hidden="1" customHeight="1" spans="1:72">
      <c r="A270" s="93">
        <v>46099</v>
      </c>
      <c r="B270" s="95" t="s">
        <v>237</v>
      </c>
      <c r="C270" s="96">
        <v>10122633</v>
      </c>
      <c r="D270" s="96">
        <v>1042268206</v>
      </c>
      <c r="E270" s="97" t="s">
        <v>155</v>
      </c>
      <c r="F270" s="99">
        <v>570</v>
      </c>
      <c r="G270" s="93">
        <v>46169</v>
      </c>
      <c r="H270" s="429"/>
      <c r="I270" s="429"/>
      <c r="J270" s="429"/>
      <c r="K270" s="429"/>
      <c r="L270" s="429"/>
      <c r="M270" s="429"/>
      <c r="N270" s="429"/>
      <c r="O270" s="429"/>
      <c r="P270" s="429"/>
      <c r="Q270" s="429"/>
      <c r="R270" s="429"/>
      <c r="S270" s="429">
        <f>F270</f>
        <v>570</v>
      </c>
      <c r="T270" s="429"/>
      <c r="U270" s="429"/>
      <c r="V270" s="429"/>
      <c r="W270" s="429"/>
      <c r="X270" s="429"/>
      <c r="Y270" s="429"/>
      <c r="Z270" s="429"/>
      <c r="AA270" s="429"/>
      <c r="AB270" s="429"/>
      <c r="AC270" s="429"/>
      <c r="AD270" s="429"/>
      <c r="AE270" s="429"/>
      <c r="AF270" s="429"/>
      <c r="AG270" s="429"/>
      <c r="AH270" s="429"/>
      <c r="AI270" s="429"/>
      <c r="AJ270" s="429"/>
      <c r="AK270" s="429"/>
      <c r="AL270" s="429"/>
      <c r="AM270" s="429"/>
      <c r="AN270" s="429"/>
      <c r="AO270" s="429"/>
      <c r="AP270" s="429"/>
      <c r="AQ270" s="429"/>
      <c r="AR270" s="429"/>
      <c r="AS270" s="429"/>
      <c r="AT270" s="429"/>
      <c r="AU270" s="429"/>
      <c r="AV270" s="429"/>
      <c r="AW270" s="429"/>
      <c r="AX270" s="429"/>
      <c r="AY270" s="429"/>
      <c r="AZ270" s="429"/>
      <c r="BA270" s="429"/>
      <c r="BB270" s="429"/>
      <c r="BC270" s="429"/>
      <c r="BD270" s="429"/>
      <c r="BE270" s="429"/>
      <c r="BF270" s="429"/>
      <c r="BG270" s="429"/>
      <c r="BH270" s="429"/>
      <c r="BI270" s="429"/>
      <c r="BJ270" s="429"/>
      <c r="BK270" s="429"/>
      <c r="BL270" s="429"/>
      <c r="BM270" s="429"/>
      <c r="BN270" s="429"/>
      <c r="BO270" s="429"/>
      <c r="BP270" s="102"/>
      <c r="BQ270" s="102">
        <v>4.637</v>
      </c>
      <c r="BR270" s="451">
        <f t="shared" si="27"/>
        <v>2643.09</v>
      </c>
      <c r="BS270" s="451">
        <f t="shared" si="26"/>
        <v>20483.95</v>
      </c>
      <c r="BT270" s="429" t="str">
        <f>IFERROR(VLOOKUP(E270,名称!A:D,4,FALSE),"")</f>
        <v>KIK</v>
      </c>
    </row>
    <row r="271" s="427" customFormat="1" hidden="1" customHeight="1" spans="1:72">
      <c r="A271" s="93">
        <v>46099</v>
      </c>
      <c r="B271" s="95" t="s">
        <v>237</v>
      </c>
      <c r="C271" s="96">
        <v>10122632</v>
      </c>
      <c r="D271" s="96">
        <v>1042268202</v>
      </c>
      <c r="E271" s="97" t="s">
        <v>154</v>
      </c>
      <c r="F271" s="99">
        <v>1340</v>
      </c>
      <c r="G271" s="93">
        <v>46169</v>
      </c>
      <c r="H271" s="429"/>
      <c r="I271" s="429"/>
      <c r="J271" s="429"/>
      <c r="K271" s="429"/>
      <c r="L271" s="429"/>
      <c r="M271" s="429"/>
      <c r="N271" s="429"/>
      <c r="O271" s="429"/>
      <c r="P271" s="429"/>
      <c r="Q271" s="429"/>
      <c r="R271" s="429">
        <f>F271</f>
        <v>1340</v>
      </c>
      <c r="S271" s="429"/>
      <c r="T271" s="429"/>
      <c r="U271" s="429"/>
      <c r="V271" s="429"/>
      <c r="W271" s="429"/>
      <c r="X271" s="429"/>
      <c r="Y271" s="429"/>
      <c r="Z271" s="429"/>
      <c r="AA271" s="429"/>
      <c r="AB271" s="429"/>
      <c r="AC271" s="429"/>
      <c r="AD271" s="429"/>
      <c r="AE271" s="429"/>
      <c r="AF271" s="429"/>
      <c r="AG271" s="429"/>
      <c r="AH271" s="429"/>
      <c r="AI271" s="429"/>
      <c r="AJ271" s="429"/>
      <c r="AK271" s="429"/>
      <c r="AL271" s="429"/>
      <c r="AM271" s="429"/>
      <c r="AN271" s="429"/>
      <c r="AO271" s="429"/>
      <c r="AP271" s="429"/>
      <c r="AQ271" s="429"/>
      <c r="AR271" s="429"/>
      <c r="AS271" s="429"/>
      <c r="AT271" s="429"/>
      <c r="AU271" s="429"/>
      <c r="AV271" s="429"/>
      <c r="AW271" s="429"/>
      <c r="AX271" s="429"/>
      <c r="AY271" s="429"/>
      <c r="AZ271" s="429"/>
      <c r="BA271" s="429"/>
      <c r="BB271" s="429"/>
      <c r="BC271" s="429"/>
      <c r="BD271" s="429"/>
      <c r="BE271" s="429"/>
      <c r="BF271" s="429"/>
      <c r="BG271" s="429"/>
      <c r="BH271" s="429"/>
      <c r="BI271" s="429"/>
      <c r="BJ271" s="429"/>
      <c r="BK271" s="429"/>
      <c r="BL271" s="429"/>
      <c r="BM271" s="429"/>
      <c r="BN271" s="429"/>
      <c r="BO271" s="429"/>
      <c r="BP271" s="102"/>
      <c r="BQ271" s="102">
        <v>4.684</v>
      </c>
      <c r="BR271" s="451">
        <f t="shared" si="27"/>
        <v>6276.56</v>
      </c>
      <c r="BS271" s="451">
        <f t="shared" si="26"/>
        <v>48643.34</v>
      </c>
      <c r="BT271" s="429" t="str">
        <f>IFERROR(VLOOKUP(E271,名称!A:D,4,FALSE),"")</f>
        <v>KIK</v>
      </c>
    </row>
    <row r="272" s="427" customFormat="1" hidden="1" customHeight="1" spans="1:72">
      <c r="A272" s="93">
        <v>46099</v>
      </c>
      <c r="B272" s="95" t="s">
        <v>237</v>
      </c>
      <c r="C272" s="96">
        <v>10122636</v>
      </c>
      <c r="D272" s="96">
        <v>1042268210</v>
      </c>
      <c r="E272" s="97" t="s">
        <v>154</v>
      </c>
      <c r="F272" s="99">
        <v>1252</v>
      </c>
      <c r="G272" s="93">
        <v>46169</v>
      </c>
      <c r="H272" s="429"/>
      <c r="I272" s="429"/>
      <c r="J272" s="429"/>
      <c r="K272" s="429"/>
      <c r="L272" s="429"/>
      <c r="M272" s="429"/>
      <c r="N272" s="429"/>
      <c r="O272" s="429"/>
      <c r="P272" s="429"/>
      <c r="Q272" s="429"/>
      <c r="R272" s="429">
        <f>F272</f>
        <v>1252</v>
      </c>
      <c r="S272" s="429"/>
      <c r="T272" s="429"/>
      <c r="U272" s="429"/>
      <c r="V272" s="429"/>
      <c r="W272" s="429"/>
      <c r="X272" s="429"/>
      <c r="Y272" s="429"/>
      <c r="Z272" s="429"/>
      <c r="AA272" s="429"/>
      <c r="AB272" s="429"/>
      <c r="AC272" s="429"/>
      <c r="AD272" s="429"/>
      <c r="AE272" s="429"/>
      <c r="AF272" s="429"/>
      <c r="AG272" s="429"/>
      <c r="AH272" s="429"/>
      <c r="AI272" s="429"/>
      <c r="AJ272" s="429"/>
      <c r="AK272" s="429"/>
      <c r="AL272" s="429"/>
      <c r="AM272" s="429"/>
      <c r="AN272" s="429"/>
      <c r="AO272" s="429"/>
      <c r="AP272" s="429"/>
      <c r="AQ272" s="429"/>
      <c r="AR272" s="429"/>
      <c r="AS272" s="429"/>
      <c r="AT272" s="429"/>
      <c r="AU272" s="429"/>
      <c r="AV272" s="429"/>
      <c r="AW272" s="429"/>
      <c r="AX272" s="429"/>
      <c r="AY272" s="429"/>
      <c r="AZ272" s="429"/>
      <c r="BA272" s="429"/>
      <c r="BB272" s="429"/>
      <c r="BC272" s="429"/>
      <c r="BD272" s="429"/>
      <c r="BE272" s="429"/>
      <c r="BF272" s="429"/>
      <c r="BG272" s="429"/>
      <c r="BH272" s="429"/>
      <c r="BI272" s="429"/>
      <c r="BJ272" s="429"/>
      <c r="BK272" s="429"/>
      <c r="BL272" s="429"/>
      <c r="BM272" s="429"/>
      <c r="BN272" s="429"/>
      <c r="BO272" s="429"/>
      <c r="BP272" s="102"/>
      <c r="BQ272" s="102">
        <v>4.684</v>
      </c>
      <c r="BR272" s="451">
        <f t="shared" si="27"/>
        <v>5864.37</v>
      </c>
      <c r="BS272" s="451">
        <f t="shared" si="26"/>
        <v>45448.87</v>
      </c>
      <c r="BT272" s="429" t="str">
        <f>IFERROR(VLOOKUP(E272,名称!A:D,4,FALSE),"")</f>
        <v>KIK</v>
      </c>
    </row>
    <row r="273" s="427" customFormat="1" hidden="1" customHeight="1" spans="1:72">
      <c r="A273" s="93">
        <v>46099</v>
      </c>
      <c r="B273" s="95" t="s">
        <v>237</v>
      </c>
      <c r="C273" s="96">
        <v>10122630</v>
      </c>
      <c r="D273" s="96">
        <v>1042268815</v>
      </c>
      <c r="E273" s="97" t="s">
        <v>160</v>
      </c>
      <c r="F273" s="99">
        <v>272</v>
      </c>
      <c r="G273" s="93">
        <v>46169</v>
      </c>
      <c r="H273" s="429"/>
      <c r="I273" s="429"/>
      <c r="J273" s="429"/>
      <c r="K273" s="429"/>
      <c r="L273" s="429"/>
      <c r="M273" s="429"/>
      <c r="N273" s="429"/>
      <c r="O273" s="429"/>
      <c r="P273" s="429"/>
      <c r="Q273" s="429"/>
      <c r="R273" s="429"/>
      <c r="S273" s="429"/>
      <c r="T273" s="429"/>
      <c r="U273" s="429"/>
      <c r="V273" s="429"/>
      <c r="W273" s="429"/>
      <c r="X273" s="429"/>
      <c r="Y273" s="429"/>
      <c r="Z273" s="429"/>
      <c r="AA273" s="429"/>
      <c r="AB273" s="429"/>
      <c r="AC273" s="429"/>
      <c r="AD273" s="429"/>
      <c r="AE273" s="429"/>
      <c r="AF273" s="429"/>
      <c r="AG273" s="429"/>
      <c r="AH273" s="429"/>
      <c r="AI273" s="429"/>
      <c r="AJ273" s="429"/>
      <c r="AK273" s="429"/>
      <c r="AL273" s="429"/>
      <c r="AM273" s="429"/>
      <c r="AN273" s="429">
        <f>F273</f>
        <v>272</v>
      </c>
      <c r="AO273" s="429"/>
      <c r="AP273" s="429"/>
      <c r="AQ273" s="429"/>
      <c r="AR273" s="429"/>
      <c r="AS273" s="429"/>
      <c r="AT273" s="429"/>
      <c r="AU273" s="429"/>
      <c r="AV273" s="429"/>
      <c r="AW273" s="429"/>
      <c r="AX273" s="429"/>
      <c r="AY273" s="429"/>
      <c r="AZ273" s="429"/>
      <c r="BA273" s="429"/>
      <c r="BB273" s="429"/>
      <c r="BC273" s="429"/>
      <c r="BD273" s="429"/>
      <c r="BE273" s="429"/>
      <c r="BF273" s="429"/>
      <c r="BG273" s="429"/>
      <c r="BH273" s="429"/>
      <c r="BI273" s="429"/>
      <c r="BJ273" s="429"/>
      <c r="BK273" s="429"/>
      <c r="BL273" s="429"/>
      <c r="BM273" s="429"/>
      <c r="BN273" s="429"/>
      <c r="BO273" s="429"/>
      <c r="BP273" s="102"/>
      <c r="BQ273" s="102">
        <v>5.743</v>
      </c>
      <c r="BR273" s="451">
        <f t="shared" si="27"/>
        <v>1562.1</v>
      </c>
      <c r="BS273" s="451">
        <f t="shared" si="26"/>
        <v>12106.28</v>
      </c>
      <c r="BT273" s="429" t="str">
        <f>IFERROR(VLOOKUP(E273,名称!A:D,4,FALSE),"")</f>
        <v>KIK</v>
      </c>
    </row>
    <row r="274" s="427" customFormat="1" hidden="1" customHeight="1" spans="1:72">
      <c r="A274" s="93">
        <v>46099</v>
      </c>
      <c r="B274" s="95" t="s">
        <v>237</v>
      </c>
      <c r="C274" s="96">
        <v>10122630</v>
      </c>
      <c r="D274" s="96">
        <v>1042268815</v>
      </c>
      <c r="E274" s="97" t="s">
        <v>155</v>
      </c>
      <c r="F274" s="99">
        <v>412</v>
      </c>
      <c r="G274" s="93">
        <v>46169</v>
      </c>
      <c r="H274" s="429"/>
      <c r="I274" s="429"/>
      <c r="J274" s="429"/>
      <c r="K274" s="429"/>
      <c r="L274" s="429"/>
      <c r="M274" s="429"/>
      <c r="N274" s="429"/>
      <c r="O274" s="429"/>
      <c r="P274" s="429"/>
      <c r="Q274" s="429"/>
      <c r="R274" s="429"/>
      <c r="S274" s="429">
        <f>F274</f>
        <v>412</v>
      </c>
      <c r="T274" s="429"/>
      <c r="U274" s="429"/>
      <c r="V274" s="429"/>
      <c r="W274" s="429"/>
      <c r="X274" s="429"/>
      <c r="Y274" s="429"/>
      <c r="Z274" s="429"/>
      <c r="AA274" s="429"/>
      <c r="AB274" s="429"/>
      <c r="AC274" s="429"/>
      <c r="AD274" s="429"/>
      <c r="AE274" s="429"/>
      <c r="AF274" s="429"/>
      <c r="AG274" s="429"/>
      <c r="AH274" s="429"/>
      <c r="AI274" s="429"/>
      <c r="AJ274" s="429"/>
      <c r="AK274" s="429"/>
      <c r="AL274" s="429"/>
      <c r="AM274" s="429"/>
      <c r="AN274" s="429"/>
      <c r="AO274" s="429"/>
      <c r="AP274" s="429"/>
      <c r="AQ274" s="429"/>
      <c r="AR274" s="429"/>
      <c r="AS274" s="429"/>
      <c r="AT274" s="429"/>
      <c r="AU274" s="429"/>
      <c r="AV274" s="429"/>
      <c r="AW274" s="429"/>
      <c r="AX274" s="429"/>
      <c r="AY274" s="429"/>
      <c r="AZ274" s="429"/>
      <c r="BA274" s="429"/>
      <c r="BB274" s="429"/>
      <c r="BC274" s="429"/>
      <c r="BD274" s="429"/>
      <c r="BE274" s="429"/>
      <c r="BF274" s="429"/>
      <c r="BG274" s="429"/>
      <c r="BH274" s="429"/>
      <c r="BI274" s="429"/>
      <c r="BJ274" s="429"/>
      <c r="BK274" s="429"/>
      <c r="BL274" s="429"/>
      <c r="BM274" s="429"/>
      <c r="BN274" s="429"/>
      <c r="BO274" s="429"/>
      <c r="BP274" s="102"/>
      <c r="BQ274" s="102">
        <v>4.637</v>
      </c>
      <c r="BR274" s="451">
        <f t="shared" si="27"/>
        <v>1910.44</v>
      </c>
      <c r="BS274" s="451">
        <f t="shared" si="26"/>
        <v>14805.91</v>
      </c>
      <c r="BT274" s="429" t="str">
        <f>IFERROR(VLOOKUP(E274,名称!A:D,4,FALSE),"")</f>
        <v>KIK</v>
      </c>
    </row>
    <row r="275" s="427" customFormat="1" hidden="1" customHeight="1" spans="1:72">
      <c r="A275" s="93">
        <v>46099</v>
      </c>
      <c r="B275" s="95" t="s">
        <v>237</v>
      </c>
      <c r="C275" s="96">
        <v>10122628</v>
      </c>
      <c r="D275" s="96">
        <v>1042268811</v>
      </c>
      <c r="E275" s="97" t="s">
        <v>160</v>
      </c>
      <c r="F275" s="99">
        <v>532</v>
      </c>
      <c r="G275" s="93">
        <v>46169</v>
      </c>
      <c r="H275" s="429"/>
      <c r="I275" s="429"/>
      <c r="J275" s="429"/>
      <c r="K275" s="429"/>
      <c r="L275" s="429"/>
      <c r="M275" s="429"/>
      <c r="N275" s="429"/>
      <c r="O275" s="429"/>
      <c r="P275" s="429"/>
      <c r="Q275" s="429"/>
      <c r="R275" s="429"/>
      <c r="S275" s="429"/>
      <c r="T275" s="429"/>
      <c r="U275" s="429"/>
      <c r="V275" s="429"/>
      <c r="W275" s="429"/>
      <c r="X275" s="429"/>
      <c r="Y275" s="429"/>
      <c r="Z275" s="429"/>
      <c r="AA275" s="429"/>
      <c r="AB275" s="429"/>
      <c r="AC275" s="429"/>
      <c r="AD275" s="429"/>
      <c r="AE275" s="429"/>
      <c r="AF275" s="429"/>
      <c r="AG275" s="429"/>
      <c r="AH275" s="429"/>
      <c r="AI275" s="429"/>
      <c r="AJ275" s="429"/>
      <c r="AK275" s="429"/>
      <c r="AL275" s="429"/>
      <c r="AM275" s="429"/>
      <c r="AN275" s="429">
        <f>F275</f>
        <v>532</v>
      </c>
      <c r="AO275" s="429"/>
      <c r="AP275" s="429"/>
      <c r="AQ275" s="429"/>
      <c r="AR275" s="429"/>
      <c r="AS275" s="429"/>
      <c r="AT275" s="429"/>
      <c r="AU275" s="429"/>
      <c r="AV275" s="429"/>
      <c r="AW275" s="429"/>
      <c r="AX275" s="429"/>
      <c r="AY275" s="429"/>
      <c r="AZ275" s="429"/>
      <c r="BA275" s="429"/>
      <c r="BB275" s="429"/>
      <c r="BC275" s="429"/>
      <c r="BD275" s="429"/>
      <c r="BE275" s="429"/>
      <c r="BF275" s="429"/>
      <c r="BG275" s="429"/>
      <c r="BH275" s="429"/>
      <c r="BI275" s="429"/>
      <c r="BJ275" s="429"/>
      <c r="BK275" s="429"/>
      <c r="BL275" s="429"/>
      <c r="BM275" s="429"/>
      <c r="BN275" s="429"/>
      <c r="BO275" s="429"/>
      <c r="BP275" s="102"/>
      <c r="BQ275" s="102">
        <v>5.743</v>
      </c>
      <c r="BR275" s="451">
        <f t="shared" si="27"/>
        <v>3055.28</v>
      </c>
      <c r="BS275" s="451">
        <f t="shared" si="26"/>
        <v>23678.42</v>
      </c>
      <c r="BT275" s="429" t="str">
        <f>IFERROR(VLOOKUP(E275,名称!A:D,4,FALSE),"")</f>
        <v>KIK</v>
      </c>
    </row>
    <row r="276" s="427" customFormat="1" hidden="1" customHeight="1" spans="1:72">
      <c r="A276" s="93">
        <v>46099</v>
      </c>
      <c r="B276" s="95" t="s">
        <v>237</v>
      </c>
      <c r="C276" s="96">
        <v>10122628</v>
      </c>
      <c r="D276" s="96">
        <v>1042268811</v>
      </c>
      <c r="E276" s="97" t="s">
        <v>155</v>
      </c>
      <c r="F276" s="99">
        <v>576</v>
      </c>
      <c r="G276" s="93">
        <v>46169</v>
      </c>
      <c r="H276" s="429"/>
      <c r="I276" s="429"/>
      <c r="J276" s="429"/>
      <c r="K276" s="429"/>
      <c r="L276" s="429"/>
      <c r="M276" s="429"/>
      <c r="N276" s="429"/>
      <c r="O276" s="429"/>
      <c r="P276" s="429"/>
      <c r="Q276" s="429"/>
      <c r="R276" s="429"/>
      <c r="S276" s="429">
        <f>F276</f>
        <v>576</v>
      </c>
      <c r="T276" s="429"/>
      <c r="U276" s="429"/>
      <c r="V276" s="429"/>
      <c r="W276" s="429"/>
      <c r="X276" s="429"/>
      <c r="Y276" s="429"/>
      <c r="Z276" s="429"/>
      <c r="AA276" s="429"/>
      <c r="AB276" s="429"/>
      <c r="AC276" s="429"/>
      <c r="AD276" s="429"/>
      <c r="AE276" s="429"/>
      <c r="AF276" s="429"/>
      <c r="AG276" s="429"/>
      <c r="AH276" s="429"/>
      <c r="AI276" s="429"/>
      <c r="AJ276" s="429"/>
      <c r="AK276" s="429"/>
      <c r="AL276" s="429"/>
      <c r="AM276" s="429"/>
      <c r="AN276" s="429"/>
      <c r="AO276" s="429"/>
      <c r="AP276" s="429"/>
      <c r="AQ276" s="429"/>
      <c r="AR276" s="429"/>
      <c r="AS276" s="429"/>
      <c r="AT276" s="429"/>
      <c r="AU276" s="429"/>
      <c r="AV276" s="429"/>
      <c r="AW276" s="429"/>
      <c r="AX276" s="429"/>
      <c r="AY276" s="429"/>
      <c r="AZ276" s="429"/>
      <c r="BA276" s="429"/>
      <c r="BB276" s="429"/>
      <c r="BC276" s="429"/>
      <c r="BD276" s="429"/>
      <c r="BE276" s="429"/>
      <c r="BF276" s="429"/>
      <c r="BG276" s="429"/>
      <c r="BH276" s="429"/>
      <c r="BI276" s="429"/>
      <c r="BJ276" s="429"/>
      <c r="BK276" s="429"/>
      <c r="BL276" s="429"/>
      <c r="BM276" s="429"/>
      <c r="BN276" s="429"/>
      <c r="BO276" s="429"/>
      <c r="BP276" s="102"/>
      <c r="BQ276" s="102">
        <v>4.637</v>
      </c>
      <c r="BR276" s="451">
        <f t="shared" si="27"/>
        <v>2670.91</v>
      </c>
      <c r="BS276" s="451">
        <f t="shared" si="26"/>
        <v>20699.55</v>
      </c>
      <c r="BT276" s="429" t="str">
        <f>IFERROR(VLOOKUP(E276,名称!A:D,4,FALSE),"")</f>
        <v>KIK</v>
      </c>
    </row>
    <row r="277" s="427" customFormat="1" hidden="1" customHeight="1" spans="1:72">
      <c r="A277" s="93">
        <v>46099</v>
      </c>
      <c r="B277" s="95" t="s">
        <v>237</v>
      </c>
      <c r="C277" s="96">
        <v>10122628</v>
      </c>
      <c r="D277" s="96">
        <v>1042268811</v>
      </c>
      <c r="E277" s="97" t="s">
        <v>154</v>
      </c>
      <c r="F277" s="99">
        <v>1324</v>
      </c>
      <c r="G277" s="93">
        <v>46169</v>
      </c>
      <c r="H277" s="429"/>
      <c r="I277" s="429"/>
      <c r="J277" s="429"/>
      <c r="K277" s="429"/>
      <c r="L277" s="429"/>
      <c r="M277" s="429"/>
      <c r="N277" s="429"/>
      <c r="O277" s="429"/>
      <c r="P277" s="429"/>
      <c r="Q277" s="429"/>
      <c r="R277" s="429">
        <f>F277</f>
        <v>1324</v>
      </c>
      <c r="S277" s="429"/>
      <c r="T277" s="429"/>
      <c r="U277" s="429"/>
      <c r="V277" s="429"/>
      <c r="W277" s="429"/>
      <c r="X277" s="429"/>
      <c r="Y277" s="429"/>
      <c r="Z277" s="429"/>
      <c r="AA277" s="429"/>
      <c r="AB277" s="429"/>
      <c r="AC277" s="429"/>
      <c r="AD277" s="429"/>
      <c r="AE277" s="429"/>
      <c r="AF277" s="429"/>
      <c r="AG277" s="429"/>
      <c r="AH277" s="429"/>
      <c r="AI277" s="429"/>
      <c r="AJ277" s="429"/>
      <c r="AK277" s="429"/>
      <c r="AL277" s="429"/>
      <c r="AM277" s="429"/>
      <c r="AN277" s="429"/>
      <c r="AO277" s="429"/>
      <c r="AP277" s="429"/>
      <c r="AQ277" s="429"/>
      <c r="AR277" s="429"/>
      <c r="AS277" s="429"/>
      <c r="AT277" s="429"/>
      <c r="AU277" s="429"/>
      <c r="AV277" s="429"/>
      <c r="AW277" s="429"/>
      <c r="AX277" s="429"/>
      <c r="AY277" s="429"/>
      <c r="AZ277" s="429"/>
      <c r="BA277" s="429"/>
      <c r="BB277" s="429"/>
      <c r="BC277" s="429"/>
      <c r="BD277" s="429"/>
      <c r="BE277" s="429"/>
      <c r="BF277" s="429"/>
      <c r="BG277" s="429"/>
      <c r="BH277" s="429"/>
      <c r="BI277" s="429"/>
      <c r="BJ277" s="429"/>
      <c r="BK277" s="429"/>
      <c r="BL277" s="429"/>
      <c r="BM277" s="429"/>
      <c r="BN277" s="429"/>
      <c r="BO277" s="429"/>
      <c r="BP277" s="102"/>
      <c r="BQ277" s="102">
        <v>4.684</v>
      </c>
      <c r="BR277" s="451">
        <f t="shared" si="27"/>
        <v>6201.62</v>
      </c>
      <c r="BS277" s="451">
        <f t="shared" si="26"/>
        <v>48062.56</v>
      </c>
      <c r="BT277" s="429" t="str">
        <f>IFERROR(VLOOKUP(E277,名称!A:D,4,FALSE),"")</f>
        <v>KIK</v>
      </c>
    </row>
    <row r="278" s="427" customFormat="1" hidden="1" customHeight="1" spans="1:72">
      <c r="A278" s="93">
        <v>46099</v>
      </c>
      <c r="B278" s="95" t="s">
        <v>237</v>
      </c>
      <c r="C278" s="96">
        <v>10122652</v>
      </c>
      <c r="D278" s="96">
        <v>1042269841</v>
      </c>
      <c r="E278" s="97" t="s">
        <v>160</v>
      </c>
      <c r="F278" s="99">
        <v>96</v>
      </c>
      <c r="G278" s="93">
        <v>46190</v>
      </c>
      <c r="H278" s="429"/>
      <c r="I278" s="429"/>
      <c r="J278" s="429"/>
      <c r="K278" s="429"/>
      <c r="L278" s="429"/>
      <c r="M278" s="429"/>
      <c r="N278" s="429"/>
      <c r="O278" s="429"/>
      <c r="P278" s="429"/>
      <c r="Q278" s="429"/>
      <c r="R278" s="429"/>
      <c r="S278" s="429"/>
      <c r="T278" s="429"/>
      <c r="U278" s="429"/>
      <c r="V278" s="429"/>
      <c r="W278" s="429"/>
      <c r="X278" s="429"/>
      <c r="Y278" s="429"/>
      <c r="Z278" s="429"/>
      <c r="AA278" s="429"/>
      <c r="AB278" s="429"/>
      <c r="AC278" s="429"/>
      <c r="AD278" s="429"/>
      <c r="AE278" s="429"/>
      <c r="AF278" s="429"/>
      <c r="AG278" s="429"/>
      <c r="AH278" s="429"/>
      <c r="AI278" s="429"/>
      <c r="AJ278" s="429"/>
      <c r="AK278" s="429"/>
      <c r="AL278" s="429"/>
      <c r="AM278" s="429"/>
      <c r="AN278" s="429">
        <f>F278</f>
        <v>96</v>
      </c>
      <c r="AO278" s="429"/>
      <c r="AP278" s="429"/>
      <c r="AQ278" s="429"/>
      <c r="AR278" s="429"/>
      <c r="AS278" s="429"/>
      <c r="AT278" s="429"/>
      <c r="AU278" s="429"/>
      <c r="AV278" s="429"/>
      <c r="AW278" s="429"/>
      <c r="AX278" s="429"/>
      <c r="AY278" s="429"/>
      <c r="AZ278" s="429"/>
      <c r="BA278" s="429"/>
      <c r="BB278" s="429"/>
      <c r="BC278" s="429"/>
      <c r="BD278" s="429"/>
      <c r="BE278" s="429"/>
      <c r="BF278" s="429"/>
      <c r="BG278" s="429"/>
      <c r="BH278" s="429"/>
      <c r="BI278" s="429"/>
      <c r="BJ278" s="429"/>
      <c r="BK278" s="429"/>
      <c r="BL278" s="429"/>
      <c r="BM278" s="429"/>
      <c r="BN278" s="429"/>
      <c r="BO278" s="429"/>
      <c r="BP278" s="102"/>
      <c r="BQ278" s="102">
        <v>5.743</v>
      </c>
      <c r="BR278" s="451">
        <f t="shared" si="27"/>
        <v>551.33</v>
      </c>
      <c r="BS278" s="451">
        <f t="shared" si="26"/>
        <v>4272.81</v>
      </c>
      <c r="BT278" s="429" t="str">
        <f>IFERROR(VLOOKUP(E278,名称!A:D,4,FALSE),"")</f>
        <v>KIK</v>
      </c>
    </row>
    <row r="279" s="427" customFormat="1" hidden="1" customHeight="1" spans="1:72">
      <c r="A279" s="93">
        <v>46099</v>
      </c>
      <c r="B279" s="95" t="s">
        <v>237</v>
      </c>
      <c r="C279" s="96">
        <v>10122652</v>
      </c>
      <c r="D279" s="96">
        <v>1042269841</v>
      </c>
      <c r="E279" s="97" t="s">
        <v>155</v>
      </c>
      <c r="F279" s="99">
        <v>824</v>
      </c>
      <c r="G279" s="93">
        <v>46190</v>
      </c>
      <c r="H279" s="429"/>
      <c r="I279" s="429"/>
      <c r="J279" s="429"/>
      <c r="K279" s="429"/>
      <c r="L279" s="429"/>
      <c r="M279" s="429"/>
      <c r="N279" s="429"/>
      <c r="O279" s="429"/>
      <c r="P279" s="429"/>
      <c r="Q279" s="429"/>
      <c r="R279" s="429"/>
      <c r="S279" s="429">
        <f>F279</f>
        <v>824</v>
      </c>
      <c r="T279" s="429"/>
      <c r="U279" s="429"/>
      <c r="V279" s="429"/>
      <c r="W279" s="429"/>
      <c r="X279" s="429"/>
      <c r="Y279" s="429"/>
      <c r="Z279" s="429"/>
      <c r="AA279" s="429"/>
      <c r="AB279" s="429"/>
      <c r="AC279" s="429"/>
      <c r="AD279" s="429"/>
      <c r="AE279" s="429"/>
      <c r="AF279" s="429"/>
      <c r="AG279" s="429"/>
      <c r="AH279" s="429"/>
      <c r="AI279" s="429"/>
      <c r="AJ279" s="429"/>
      <c r="AK279" s="429"/>
      <c r="AL279" s="429"/>
      <c r="AM279" s="429"/>
      <c r="AN279" s="429"/>
      <c r="AO279" s="429"/>
      <c r="AP279" s="429"/>
      <c r="AQ279" s="429"/>
      <c r="AR279" s="429"/>
      <c r="AS279" s="429"/>
      <c r="AT279" s="429"/>
      <c r="AU279" s="429"/>
      <c r="AV279" s="429"/>
      <c r="AW279" s="429"/>
      <c r="AX279" s="429"/>
      <c r="AY279" s="429"/>
      <c r="AZ279" s="429"/>
      <c r="BA279" s="429"/>
      <c r="BB279" s="429"/>
      <c r="BC279" s="429"/>
      <c r="BD279" s="429"/>
      <c r="BE279" s="429"/>
      <c r="BF279" s="429"/>
      <c r="BG279" s="429"/>
      <c r="BH279" s="429"/>
      <c r="BI279" s="429"/>
      <c r="BJ279" s="429"/>
      <c r="BK279" s="429"/>
      <c r="BL279" s="429"/>
      <c r="BM279" s="429"/>
      <c r="BN279" s="429"/>
      <c r="BO279" s="429"/>
      <c r="BP279" s="102"/>
      <c r="BQ279" s="102">
        <v>4.637</v>
      </c>
      <c r="BR279" s="451">
        <f t="shared" si="27"/>
        <v>3820.89</v>
      </c>
      <c r="BS279" s="451">
        <f t="shared" si="26"/>
        <v>29611.9</v>
      </c>
      <c r="BT279" s="429" t="str">
        <f>IFERROR(VLOOKUP(E279,名称!A:D,4,FALSE),"")</f>
        <v>KIK</v>
      </c>
    </row>
    <row r="280" s="427" customFormat="1" hidden="1" customHeight="1" spans="1:72">
      <c r="A280" s="93">
        <v>46099</v>
      </c>
      <c r="B280" s="95" t="s">
        <v>237</v>
      </c>
      <c r="C280" s="96">
        <v>10122652</v>
      </c>
      <c r="D280" s="96">
        <v>1042269841</v>
      </c>
      <c r="E280" s="97" t="s">
        <v>154</v>
      </c>
      <c r="F280" s="99">
        <v>960</v>
      </c>
      <c r="G280" s="93">
        <v>46190</v>
      </c>
      <c r="H280" s="429"/>
      <c r="I280" s="429"/>
      <c r="J280" s="429"/>
      <c r="K280" s="429"/>
      <c r="L280" s="429"/>
      <c r="M280" s="429"/>
      <c r="N280" s="429"/>
      <c r="O280" s="429"/>
      <c r="P280" s="429"/>
      <c r="Q280" s="429"/>
      <c r="R280" s="429">
        <f>F280</f>
        <v>960</v>
      </c>
      <c r="S280" s="429"/>
      <c r="T280" s="429"/>
      <c r="U280" s="429"/>
      <c r="V280" s="429"/>
      <c r="W280" s="429"/>
      <c r="X280" s="429"/>
      <c r="Y280" s="429"/>
      <c r="Z280" s="429"/>
      <c r="AA280" s="429"/>
      <c r="AB280" s="429"/>
      <c r="AC280" s="429"/>
      <c r="AD280" s="429"/>
      <c r="AE280" s="429"/>
      <c r="AF280" s="429"/>
      <c r="AG280" s="429"/>
      <c r="AH280" s="429"/>
      <c r="AI280" s="429"/>
      <c r="AJ280" s="429"/>
      <c r="AK280" s="429"/>
      <c r="AL280" s="429"/>
      <c r="AM280" s="429"/>
      <c r="AN280" s="429"/>
      <c r="AO280" s="429"/>
      <c r="AP280" s="429"/>
      <c r="AQ280" s="429"/>
      <c r="AR280" s="429"/>
      <c r="AS280" s="429"/>
      <c r="AT280" s="429"/>
      <c r="AU280" s="429"/>
      <c r="AV280" s="429"/>
      <c r="AW280" s="429"/>
      <c r="AX280" s="429"/>
      <c r="AY280" s="429"/>
      <c r="AZ280" s="429"/>
      <c r="BA280" s="429"/>
      <c r="BB280" s="429"/>
      <c r="BC280" s="429"/>
      <c r="BD280" s="429"/>
      <c r="BE280" s="429"/>
      <c r="BF280" s="429"/>
      <c r="BG280" s="429"/>
      <c r="BH280" s="429"/>
      <c r="BI280" s="429"/>
      <c r="BJ280" s="429"/>
      <c r="BK280" s="429"/>
      <c r="BL280" s="429"/>
      <c r="BM280" s="429"/>
      <c r="BN280" s="429"/>
      <c r="BO280" s="429"/>
      <c r="BP280" s="102"/>
      <c r="BQ280" s="102">
        <v>4.684</v>
      </c>
      <c r="BR280" s="451">
        <f t="shared" si="27"/>
        <v>4496.64</v>
      </c>
      <c r="BS280" s="451">
        <f t="shared" si="26"/>
        <v>34848.96</v>
      </c>
      <c r="BT280" s="429" t="str">
        <f>IFERROR(VLOOKUP(E280,名称!A:D,4,FALSE),"")</f>
        <v>KIK</v>
      </c>
    </row>
    <row r="281" s="427" customFormat="1" hidden="1" customHeight="1" spans="1:72">
      <c r="A281" s="93">
        <v>46099</v>
      </c>
      <c r="B281" s="95" t="s">
        <v>237</v>
      </c>
      <c r="C281" s="96">
        <v>10122626</v>
      </c>
      <c r="D281" s="96">
        <v>1042268806</v>
      </c>
      <c r="E281" s="97" t="s">
        <v>160</v>
      </c>
      <c r="F281" s="99">
        <v>284</v>
      </c>
      <c r="G281" s="93">
        <v>46169</v>
      </c>
      <c r="H281" s="429"/>
      <c r="I281" s="429"/>
      <c r="J281" s="429"/>
      <c r="K281" s="429"/>
      <c r="L281" s="429"/>
      <c r="M281" s="429"/>
      <c r="N281" s="429"/>
      <c r="O281" s="429"/>
      <c r="P281" s="429"/>
      <c r="Q281" s="429"/>
      <c r="R281" s="429"/>
      <c r="S281" s="429"/>
      <c r="T281" s="429"/>
      <c r="U281" s="429"/>
      <c r="V281" s="429"/>
      <c r="W281" s="429"/>
      <c r="X281" s="429"/>
      <c r="Y281" s="429"/>
      <c r="Z281" s="429"/>
      <c r="AA281" s="429"/>
      <c r="AB281" s="429"/>
      <c r="AC281" s="429"/>
      <c r="AD281" s="429"/>
      <c r="AE281" s="429"/>
      <c r="AF281" s="429"/>
      <c r="AG281" s="429"/>
      <c r="AH281" s="429"/>
      <c r="AI281" s="429"/>
      <c r="AJ281" s="429"/>
      <c r="AK281" s="429"/>
      <c r="AL281" s="429"/>
      <c r="AM281" s="429"/>
      <c r="AN281" s="429">
        <f>F281</f>
        <v>284</v>
      </c>
      <c r="AO281" s="429"/>
      <c r="AP281" s="429"/>
      <c r="AQ281" s="429"/>
      <c r="AR281" s="429"/>
      <c r="AS281" s="429"/>
      <c r="AT281" s="429"/>
      <c r="AU281" s="429"/>
      <c r="AV281" s="429"/>
      <c r="AW281" s="429"/>
      <c r="AX281" s="429"/>
      <c r="AY281" s="429"/>
      <c r="AZ281" s="429"/>
      <c r="BA281" s="429"/>
      <c r="BB281" s="429"/>
      <c r="BC281" s="429"/>
      <c r="BD281" s="429"/>
      <c r="BE281" s="429"/>
      <c r="BF281" s="429"/>
      <c r="BG281" s="429"/>
      <c r="BH281" s="429"/>
      <c r="BI281" s="429"/>
      <c r="BJ281" s="429"/>
      <c r="BK281" s="429"/>
      <c r="BL281" s="429"/>
      <c r="BM281" s="429"/>
      <c r="BN281" s="429"/>
      <c r="BO281" s="429"/>
      <c r="BP281" s="102"/>
      <c r="BQ281" s="102">
        <v>5.743</v>
      </c>
      <c r="BR281" s="451">
        <f t="shared" si="27"/>
        <v>1631.01</v>
      </c>
      <c r="BS281" s="451">
        <f t="shared" si="26"/>
        <v>12640.33</v>
      </c>
      <c r="BT281" s="429" t="str">
        <f>IFERROR(VLOOKUP(E281,名称!A:D,4,FALSE),"")</f>
        <v>KIK</v>
      </c>
    </row>
    <row r="282" s="427" customFormat="1" hidden="1" customHeight="1" spans="1:72">
      <c r="A282" s="93">
        <v>46099</v>
      </c>
      <c r="B282" s="95" t="s">
        <v>237</v>
      </c>
      <c r="C282" s="96">
        <v>10122626</v>
      </c>
      <c r="D282" s="96">
        <v>1042268806</v>
      </c>
      <c r="E282" s="97" t="s">
        <v>155</v>
      </c>
      <c r="F282" s="99">
        <v>346</v>
      </c>
      <c r="G282" s="93">
        <v>46169</v>
      </c>
      <c r="H282" s="429"/>
      <c r="I282" s="429"/>
      <c r="J282" s="429"/>
      <c r="K282" s="429"/>
      <c r="L282" s="429"/>
      <c r="M282" s="429"/>
      <c r="N282" s="429"/>
      <c r="O282" s="429"/>
      <c r="P282" s="429"/>
      <c r="Q282" s="429"/>
      <c r="R282" s="429"/>
      <c r="S282" s="429">
        <f>F282</f>
        <v>346</v>
      </c>
      <c r="T282" s="429"/>
      <c r="U282" s="429"/>
      <c r="V282" s="429"/>
      <c r="W282" s="429"/>
      <c r="X282" s="429"/>
      <c r="Y282" s="429"/>
      <c r="Z282" s="429"/>
      <c r="AA282" s="429"/>
      <c r="AB282" s="429"/>
      <c r="AC282" s="429"/>
      <c r="AD282" s="429"/>
      <c r="AE282" s="429"/>
      <c r="AF282" s="429"/>
      <c r="AG282" s="429"/>
      <c r="AH282" s="429"/>
      <c r="AI282" s="429"/>
      <c r="AJ282" s="429"/>
      <c r="AK282" s="429"/>
      <c r="AL282" s="429"/>
      <c r="AM282" s="429"/>
      <c r="AN282" s="429"/>
      <c r="AO282" s="429"/>
      <c r="AP282" s="429"/>
      <c r="AQ282" s="429"/>
      <c r="AR282" s="429"/>
      <c r="AS282" s="429"/>
      <c r="AT282" s="429"/>
      <c r="AU282" s="429"/>
      <c r="AV282" s="429"/>
      <c r="AW282" s="429"/>
      <c r="AX282" s="429"/>
      <c r="AY282" s="429"/>
      <c r="AZ282" s="429"/>
      <c r="BA282" s="429"/>
      <c r="BB282" s="429"/>
      <c r="BC282" s="429"/>
      <c r="BD282" s="429"/>
      <c r="BE282" s="429"/>
      <c r="BF282" s="429"/>
      <c r="BG282" s="429"/>
      <c r="BH282" s="429"/>
      <c r="BI282" s="429"/>
      <c r="BJ282" s="429"/>
      <c r="BK282" s="429"/>
      <c r="BL282" s="429"/>
      <c r="BM282" s="429"/>
      <c r="BN282" s="429"/>
      <c r="BO282" s="429"/>
      <c r="BP282" s="102"/>
      <c r="BQ282" s="102">
        <v>4.637</v>
      </c>
      <c r="BR282" s="451">
        <f t="shared" si="27"/>
        <v>1604.4</v>
      </c>
      <c r="BS282" s="451">
        <f t="shared" si="26"/>
        <v>12434.1</v>
      </c>
      <c r="BT282" s="429" t="str">
        <f>IFERROR(VLOOKUP(E282,名称!A:D,4,FALSE),"")</f>
        <v>KIK</v>
      </c>
    </row>
    <row r="283" s="427" customFormat="1" hidden="1" customHeight="1" spans="1:72">
      <c r="A283" s="93">
        <v>46099</v>
      </c>
      <c r="B283" s="95" t="s">
        <v>237</v>
      </c>
      <c r="C283" s="96">
        <v>10122626</v>
      </c>
      <c r="D283" s="96">
        <v>1042268806</v>
      </c>
      <c r="E283" s="97" t="s">
        <v>154</v>
      </c>
      <c r="F283" s="99">
        <v>820</v>
      </c>
      <c r="G283" s="93">
        <v>46169</v>
      </c>
      <c r="H283" s="429"/>
      <c r="I283" s="429"/>
      <c r="J283" s="429"/>
      <c r="K283" s="429"/>
      <c r="L283" s="429"/>
      <c r="M283" s="429"/>
      <c r="N283" s="429"/>
      <c r="O283" s="429"/>
      <c r="P283" s="429"/>
      <c r="Q283" s="429"/>
      <c r="R283" s="429">
        <f>F283</f>
        <v>820</v>
      </c>
      <c r="S283" s="429"/>
      <c r="T283" s="429"/>
      <c r="U283" s="429"/>
      <c r="V283" s="429"/>
      <c r="W283" s="429"/>
      <c r="X283" s="429"/>
      <c r="Y283" s="429"/>
      <c r="Z283" s="429"/>
      <c r="AA283" s="429"/>
      <c r="AB283" s="429"/>
      <c r="AC283" s="429"/>
      <c r="AD283" s="429"/>
      <c r="AE283" s="429"/>
      <c r="AF283" s="429"/>
      <c r="AG283" s="429"/>
      <c r="AH283" s="429"/>
      <c r="AI283" s="429"/>
      <c r="AJ283" s="429"/>
      <c r="AK283" s="429"/>
      <c r="AL283" s="429"/>
      <c r="AM283" s="429"/>
      <c r="AN283" s="429"/>
      <c r="AO283" s="429"/>
      <c r="AP283" s="429"/>
      <c r="AQ283" s="429"/>
      <c r="AR283" s="429"/>
      <c r="AS283" s="429"/>
      <c r="AT283" s="429"/>
      <c r="AU283" s="429"/>
      <c r="AV283" s="429"/>
      <c r="AW283" s="429"/>
      <c r="AX283" s="429"/>
      <c r="AY283" s="429"/>
      <c r="AZ283" s="429"/>
      <c r="BA283" s="429"/>
      <c r="BB283" s="429"/>
      <c r="BC283" s="429"/>
      <c r="BD283" s="429"/>
      <c r="BE283" s="429"/>
      <c r="BF283" s="429"/>
      <c r="BG283" s="429"/>
      <c r="BH283" s="429"/>
      <c r="BI283" s="429"/>
      <c r="BJ283" s="429"/>
      <c r="BK283" s="429"/>
      <c r="BL283" s="429"/>
      <c r="BM283" s="429"/>
      <c r="BN283" s="429"/>
      <c r="BO283" s="429"/>
      <c r="BP283" s="102"/>
      <c r="BQ283" s="102">
        <v>4.684</v>
      </c>
      <c r="BR283" s="451">
        <f t="shared" si="27"/>
        <v>3840.88</v>
      </c>
      <c r="BS283" s="451">
        <f t="shared" si="26"/>
        <v>29766.82</v>
      </c>
      <c r="BT283" s="429" t="str">
        <f>IFERROR(VLOOKUP(E283,名称!A:D,4,FALSE),"")</f>
        <v>KIK</v>
      </c>
    </row>
    <row r="284" s="427" customFormat="1" hidden="1" customHeight="1" spans="1:72">
      <c r="A284" s="93">
        <v>46099</v>
      </c>
      <c r="B284" s="95" t="s">
        <v>248</v>
      </c>
      <c r="C284" s="96">
        <v>10122567</v>
      </c>
      <c r="D284" s="96">
        <v>4500032455</v>
      </c>
      <c r="E284" s="97" t="s">
        <v>50</v>
      </c>
      <c r="F284" s="99">
        <v>600</v>
      </c>
      <c r="G284" s="93">
        <v>46120</v>
      </c>
      <c r="H284" s="429"/>
      <c r="I284" s="429"/>
      <c r="J284" s="429"/>
      <c r="K284" s="429"/>
      <c r="L284" s="429">
        <f>F284</f>
        <v>600</v>
      </c>
      <c r="M284" s="429"/>
      <c r="N284" s="429"/>
      <c r="O284" s="429"/>
      <c r="P284" s="429"/>
      <c r="Q284" s="429"/>
      <c r="R284" s="429"/>
      <c r="S284" s="429"/>
      <c r="T284" s="429"/>
      <c r="U284" s="429"/>
      <c r="V284" s="429"/>
      <c r="W284" s="429"/>
      <c r="X284" s="429"/>
      <c r="Y284" s="429"/>
      <c r="Z284" s="429"/>
      <c r="AA284" s="429"/>
      <c r="AB284" s="429"/>
      <c r="AC284" s="429"/>
      <c r="AD284" s="429"/>
      <c r="AE284" s="429"/>
      <c r="AF284" s="429"/>
      <c r="AG284" s="429"/>
      <c r="AH284" s="429"/>
      <c r="AI284" s="429"/>
      <c r="AJ284" s="429"/>
      <c r="AK284" s="429"/>
      <c r="AL284" s="429"/>
      <c r="AM284" s="429"/>
      <c r="AN284" s="429"/>
      <c r="AO284" s="429"/>
      <c r="AP284" s="429"/>
      <c r="AQ284" s="429"/>
      <c r="AR284" s="429"/>
      <c r="AS284" s="429"/>
      <c r="AT284" s="429"/>
      <c r="AU284" s="429"/>
      <c r="AV284" s="429"/>
      <c r="AW284" s="429"/>
      <c r="AX284" s="429"/>
      <c r="AY284" s="429"/>
      <c r="AZ284" s="429"/>
      <c r="BA284" s="429"/>
      <c r="BB284" s="429"/>
      <c r="BC284" s="429"/>
      <c r="BD284" s="429"/>
      <c r="BE284" s="429"/>
      <c r="BF284" s="429"/>
      <c r="BG284" s="429"/>
      <c r="BH284" s="429"/>
      <c r="BI284" s="429"/>
      <c r="BJ284" s="429"/>
      <c r="BK284" s="429"/>
      <c r="BL284" s="429"/>
      <c r="BM284" s="429"/>
      <c r="BN284" s="429"/>
      <c r="BO284" s="429"/>
      <c r="BP284" s="102"/>
      <c r="BQ284" s="102">
        <v>2.218</v>
      </c>
      <c r="BR284" s="451">
        <f t="shared" si="27"/>
        <v>1330.8</v>
      </c>
      <c r="BS284" s="451">
        <f t="shared" ref="BS284:BS289" si="28">BR284*7.75</f>
        <v>10313.7</v>
      </c>
      <c r="BT284" s="429" t="str">
        <f>IFERROR(VLOOKUP(E284,名称!A:D,4,FALSE),"")</f>
        <v>KIK</v>
      </c>
    </row>
    <row r="285" s="427" customFormat="1" hidden="1" customHeight="1" spans="1:72">
      <c r="A285" s="93">
        <v>46099</v>
      </c>
      <c r="B285" s="95" t="s">
        <v>248</v>
      </c>
      <c r="C285" s="96">
        <v>10122567</v>
      </c>
      <c r="D285" s="96">
        <v>4500032455</v>
      </c>
      <c r="E285" s="97" t="s">
        <v>95</v>
      </c>
      <c r="F285" s="99">
        <v>480</v>
      </c>
      <c r="G285" s="93">
        <v>46134</v>
      </c>
      <c r="H285" s="429"/>
      <c r="I285" s="429"/>
      <c r="J285" s="429"/>
      <c r="K285" s="429"/>
      <c r="L285" s="429"/>
      <c r="M285" s="429"/>
      <c r="N285" s="429"/>
      <c r="O285" s="429"/>
      <c r="P285" s="429"/>
      <c r="Q285" s="429"/>
      <c r="R285" s="429"/>
      <c r="S285" s="429"/>
      <c r="T285" s="429"/>
      <c r="U285" s="429"/>
      <c r="V285" s="429"/>
      <c r="W285" s="429"/>
      <c r="X285" s="429"/>
      <c r="Y285" s="429"/>
      <c r="Z285" s="429"/>
      <c r="AA285" s="429"/>
      <c r="AB285" s="429"/>
      <c r="AC285" s="429"/>
      <c r="AD285" s="429"/>
      <c r="AE285" s="429"/>
      <c r="AF285" s="429"/>
      <c r="AG285" s="429"/>
      <c r="AH285" s="429">
        <f>F285</f>
        <v>480</v>
      </c>
      <c r="AI285" s="429"/>
      <c r="AJ285" s="429"/>
      <c r="AK285" s="429"/>
      <c r="AL285" s="429"/>
      <c r="AM285" s="429"/>
      <c r="AN285" s="429"/>
      <c r="AO285" s="429"/>
      <c r="AP285" s="429"/>
      <c r="AQ285" s="429"/>
      <c r="AR285" s="429"/>
      <c r="AS285" s="429"/>
      <c r="AT285" s="429"/>
      <c r="AU285" s="429"/>
      <c r="AV285" s="429"/>
      <c r="AW285" s="429"/>
      <c r="AX285" s="429"/>
      <c r="AY285" s="429"/>
      <c r="AZ285" s="429"/>
      <c r="BA285" s="429"/>
      <c r="BB285" s="429"/>
      <c r="BC285" s="429"/>
      <c r="BD285" s="429"/>
      <c r="BE285" s="429"/>
      <c r="BF285" s="429"/>
      <c r="BG285" s="429"/>
      <c r="BH285" s="429"/>
      <c r="BI285" s="429"/>
      <c r="BJ285" s="429"/>
      <c r="BK285" s="429"/>
      <c r="BL285" s="429"/>
      <c r="BM285" s="429"/>
      <c r="BN285" s="429"/>
      <c r="BO285" s="429"/>
      <c r="BP285" s="102"/>
      <c r="BQ285" s="102">
        <v>2.205</v>
      </c>
      <c r="BR285" s="451">
        <f t="shared" si="27"/>
        <v>1058.4</v>
      </c>
      <c r="BS285" s="451">
        <f t="shared" si="28"/>
        <v>8202.6</v>
      </c>
      <c r="BT285" s="429" t="str">
        <f>IFERROR(VLOOKUP(E285,名称!A:D,4,FALSE),"")</f>
        <v>KIK</v>
      </c>
    </row>
    <row r="286" s="427" customFormat="1" hidden="1" customHeight="1" spans="1:72">
      <c r="A286" s="93">
        <v>46099</v>
      </c>
      <c r="B286" s="95" t="s">
        <v>248</v>
      </c>
      <c r="C286" s="96">
        <v>10122567</v>
      </c>
      <c r="D286" s="96">
        <v>4500032455</v>
      </c>
      <c r="E286" s="97" t="s">
        <v>89</v>
      </c>
      <c r="F286" s="99">
        <v>600</v>
      </c>
      <c r="G286" s="93">
        <v>46134</v>
      </c>
      <c r="H286" s="429"/>
      <c r="I286" s="429"/>
      <c r="J286" s="429"/>
      <c r="K286" s="429"/>
      <c r="L286" s="429"/>
      <c r="M286" s="429"/>
      <c r="N286" s="429"/>
      <c r="O286" s="429"/>
      <c r="P286" s="429"/>
      <c r="Q286" s="429"/>
      <c r="R286" s="429"/>
      <c r="S286" s="429"/>
      <c r="T286" s="429"/>
      <c r="U286" s="429"/>
      <c r="V286" s="429"/>
      <c r="W286" s="429"/>
      <c r="X286" s="429"/>
      <c r="Y286" s="429"/>
      <c r="Z286" s="429"/>
      <c r="AA286" s="429"/>
      <c r="AB286" s="429"/>
      <c r="AC286" s="429"/>
      <c r="AD286" s="429"/>
      <c r="AE286" s="429"/>
      <c r="AF286" s="429">
        <f>F286/6*4</f>
        <v>400</v>
      </c>
      <c r="AG286" s="429">
        <f>F286/6*2</f>
        <v>200</v>
      </c>
      <c r="AH286" s="429"/>
      <c r="AI286" s="429"/>
      <c r="AJ286" s="429"/>
      <c r="AK286" s="429"/>
      <c r="AL286" s="429"/>
      <c r="AM286" s="429"/>
      <c r="AN286" s="429"/>
      <c r="AO286" s="429"/>
      <c r="AP286" s="429"/>
      <c r="AQ286" s="429"/>
      <c r="AR286" s="429"/>
      <c r="AS286" s="429"/>
      <c r="AT286" s="429"/>
      <c r="AU286" s="429"/>
      <c r="AV286" s="429"/>
      <c r="AW286" s="429"/>
      <c r="AX286" s="429"/>
      <c r="AY286" s="429"/>
      <c r="AZ286" s="429"/>
      <c r="BA286" s="429"/>
      <c r="BB286" s="429"/>
      <c r="BC286" s="429"/>
      <c r="BD286" s="429"/>
      <c r="BE286" s="429"/>
      <c r="BF286" s="429"/>
      <c r="BG286" s="429"/>
      <c r="BH286" s="429"/>
      <c r="BI286" s="429"/>
      <c r="BJ286" s="429"/>
      <c r="BK286" s="429"/>
      <c r="BL286" s="429"/>
      <c r="BM286" s="429"/>
      <c r="BN286" s="429"/>
      <c r="BO286" s="429"/>
      <c r="BP286" s="102"/>
      <c r="BQ286" s="102">
        <v>1.377</v>
      </c>
      <c r="BR286" s="451">
        <f t="shared" si="27"/>
        <v>826.2</v>
      </c>
      <c r="BS286" s="451">
        <f t="shared" si="28"/>
        <v>6403.05</v>
      </c>
      <c r="BT286" s="429" t="str">
        <f>IFERROR(VLOOKUP(E286,名称!A:D,4,FALSE),"")</f>
        <v>KIK</v>
      </c>
    </row>
    <row r="287" s="427" customFormat="1" hidden="1" customHeight="1" spans="1:72">
      <c r="A287" s="93">
        <v>46099</v>
      </c>
      <c r="B287" s="95" t="s">
        <v>248</v>
      </c>
      <c r="C287" s="96">
        <v>10122567</v>
      </c>
      <c r="D287" s="96">
        <v>4500032455</v>
      </c>
      <c r="E287" s="97" t="s">
        <v>141</v>
      </c>
      <c r="F287" s="99">
        <v>1200</v>
      </c>
      <c r="G287" s="93">
        <v>46127</v>
      </c>
      <c r="H287" s="429"/>
      <c r="I287" s="429"/>
      <c r="J287" s="429"/>
      <c r="K287" s="429"/>
      <c r="L287" s="429"/>
      <c r="M287" s="429"/>
      <c r="N287" s="429"/>
      <c r="O287" s="429"/>
      <c r="P287" s="429"/>
      <c r="Q287" s="429"/>
      <c r="R287" s="429"/>
      <c r="S287" s="429"/>
      <c r="T287" s="429"/>
      <c r="U287" s="429"/>
      <c r="V287" s="429"/>
      <c r="W287" s="429"/>
      <c r="X287" s="429"/>
      <c r="Y287" s="429"/>
      <c r="Z287" s="429"/>
      <c r="AA287" s="429"/>
      <c r="AB287" s="429"/>
      <c r="AC287" s="429"/>
      <c r="AD287" s="429"/>
      <c r="AE287" s="429"/>
      <c r="AF287" s="429">
        <f>F287/6*3</f>
        <v>600</v>
      </c>
      <c r="AG287" s="429">
        <f>F287/6*3</f>
        <v>600</v>
      </c>
      <c r="AH287" s="429"/>
      <c r="AI287" s="429"/>
      <c r="AJ287" s="429"/>
      <c r="AK287" s="429"/>
      <c r="AL287" s="429"/>
      <c r="AM287" s="429"/>
      <c r="AN287" s="429"/>
      <c r="AO287" s="429"/>
      <c r="AP287" s="429"/>
      <c r="AQ287" s="429"/>
      <c r="AR287" s="429"/>
      <c r="AS287" s="429"/>
      <c r="AT287" s="429"/>
      <c r="AU287" s="429"/>
      <c r="AV287" s="429"/>
      <c r="AW287" s="429"/>
      <c r="AX287" s="429"/>
      <c r="AY287" s="429"/>
      <c r="AZ287" s="429"/>
      <c r="BA287" s="429"/>
      <c r="BB287" s="429"/>
      <c r="BC287" s="429"/>
      <c r="BD287" s="429"/>
      <c r="BE287" s="429"/>
      <c r="BF287" s="429"/>
      <c r="BG287" s="429"/>
      <c r="BH287" s="429"/>
      <c r="BI287" s="429"/>
      <c r="BJ287" s="429"/>
      <c r="BK287" s="429"/>
      <c r="BL287" s="429"/>
      <c r="BM287" s="429"/>
      <c r="BN287" s="429"/>
      <c r="BO287" s="429"/>
      <c r="BP287" s="102"/>
      <c r="BQ287" s="102">
        <v>2.398</v>
      </c>
      <c r="BR287" s="451">
        <f t="shared" si="27"/>
        <v>2877.6</v>
      </c>
      <c r="BS287" s="451">
        <f t="shared" si="28"/>
        <v>22301.4</v>
      </c>
      <c r="BT287" s="429" t="str">
        <f>IFERROR(VLOOKUP(E287,名称!A:D,4,FALSE),"")</f>
        <v>KIK</v>
      </c>
    </row>
    <row r="288" s="427" customFormat="1" hidden="1" customHeight="1" spans="1:72">
      <c r="A288" s="93">
        <v>46099</v>
      </c>
      <c r="B288" s="95" t="s">
        <v>248</v>
      </c>
      <c r="C288" s="96">
        <v>10122567</v>
      </c>
      <c r="D288" s="96">
        <v>4500032455</v>
      </c>
      <c r="E288" s="97" t="s">
        <v>97</v>
      </c>
      <c r="F288" s="99">
        <v>600</v>
      </c>
      <c r="G288" s="93">
        <v>46134</v>
      </c>
      <c r="H288" s="429"/>
      <c r="I288" s="429"/>
      <c r="J288" s="429"/>
      <c r="K288" s="429"/>
      <c r="L288" s="429"/>
      <c r="M288" s="429"/>
      <c r="N288" s="429"/>
      <c r="O288" s="429"/>
      <c r="P288" s="429"/>
      <c r="Q288" s="429"/>
      <c r="R288" s="429"/>
      <c r="S288" s="429"/>
      <c r="T288" s="429"/>
      <c r="U288" s="429"/>
      <c r="V288" s="429"/>
      <c r="W288" s="429"/>
      <c r="X288" s="429"/>
      <c r="Y288" s="429"/>
      <c r="Z288" s="429"/>
      <c r="AA288" s="429"/>
      <c r="AB288" s="429"/>
      <c r="AC288" s="429"/>
      <c r="AD288" s="429"/>
      <c r="AE288" s="429"/>
      <c r="AF288" s="429"/>
      <c r="AG288" s="429"/>
      <c r="AH288" s="429"/>
      <c r="AI288" s="429">
        <f>F288</f>
        <v>600</v>
      </c>
      <c r="AJ288" s="429"/>
      <c r="AK288" s="429"/>
      <c r="AL288" s="429"/>
      <c r="AM288" s="429"/>
      <c r="AN288" s="429"/>
      <c r="AO288" s="429"/>
      <c r="AP288" s="429"/>
      <c r="AQ288" s="429"/>
      <c r="AR288" s="429"/>
      <c r="AS288" s="429"/>
      <c r="AT288" s="429"/>
      <c r="AU288" s="429"/>
      <c r="AV288" s="429"/>
      <c r="AW288" s="429"/>
      <c r="AX288" s="429"/>
      <c r="AY288" s="429"/>
      <c r="AZ288" s="429"/>
      <c r="BA288" s="429"/>
      <c r="BB288" s="429"/>
      <c r="BC288" s="429"/>
      <c r="BD288" s="429"/>
      <c r="BE288" s="429"/>
      <c r="BF288" s="429"/>
      <c r="BG288" s="429"/>
      <c r="BH288" s="429"/>
      <c r="BI288" s="429"/>
      <c r="BJ288" s="429"/>
      <c r="BK288" s="429"/>
      <c r="BL288" s="429"/>
      <c r="BM288" s="429"/>
      <c r="BN288" s="429"/>
      <c r="BO288" s="429"/>
      <c r="BP288" s="102"/>
      <c r="BQ288" s="102">
        <v>3.43</v>
      </c>
      <c r="BR288" s="451">
        <f t="shared" si="27"/>
        <v>2058</v>
      </c>
      <c r="BS288" s="451">
        <f t="shared" si="28"/>
        <v>15949.5</v>
      </c>
      <c r="BT288" s="429" t="str">
        <f>IFERROR(VLOOKUP(E288,名称!A:D,4,FALSE),"")</f>
        <v>KIK</v>
      </c>
    </row>
    <row r="289" s="427" customFormat="1" hidden="1" customHeight="1" spans="1:72">
      <c r="A289" s="93">
        <v>46099</v>
      </c>
      <c r="B289" s="95" t="s">
        <v>248</v>
      </c>
      <c r="C289" s="96">
        <v>10122567</v>
      </c>
      <c r="D289" s="96">
        <v>4500032455</v>
      </c>
      <c r="E289" s="97" t="s">
        <v>91</v>
      </c>
      <c r="F289" s="99">
        <v>480</v>
      </c>
      <c r="G289" s="93">
        <v>46134</v>
      </c>
      <c r="H289" s="429"/>
      <c r="I289" s="429"/>
      <c r="J289" s="429"/>
      <c r="K289" s="429"/>
      <c r="L289" s="429"/>
      <c r="M289" s="429"/>
      <c r="N289" s="429"/>
      <c r="O289" s="429"/>
      <c r="P289" s="429"/>
      <c r="Q289" s="429"/>
      <c r="R289" s="429"/>
      <c r="S289" s="429"/>
      <c r="T289" s="429"/>
      <c r="U289" s="429"/>
      <c r="V289" s="429"/>
      <c r="W289" s="429"/>
      <c r="X289" s="429"/>
      <c r="Y289" s="429"/>
      <c r="Z289" s="429"/>
      <c r="AA289" s="429"/>
      <c r="AB289" s="429"/>
      <c r="AC289" s="429"/>
      <c r="AD289" s="429"/>
      <c r="AE289" s="429"/>
      <c r="AF289" s="429">
        <f>F289</f>
        <v>480</v>
      </c>
      <c r="AG289" s="429"/>
      <c r="AH289" s="429"/>
      <c r="AI289" s="429"/>
      <c r="AJ289" s="429"/>
      <c r="AK289" s="429"/>
      <c r="AL289" s="429"/>
      <c r="AM289" s="429"/>
      <c r="AN289" s="429"/>
      <c r="AO289" s="429"/>
      <c r="AP289" s="429"/>
      <c r="AQ289" s="429"/>
      <c r="AR289" s="429"/>
      <c r="AS289" s="429"/>
      <c r="AT289" s="429"/>
      <c r="AU289" s="429"/>
      <c r="AV289" s="429"/>
      <c r="AW289" s="429"/>
      <c r="AX289" s="429"/>
      <c r="AY289" s="429"/>
      <c r="AZ289" s="429"/>
      <c r="BA289" s="429"/>
      <c r="BB289" s="429"/>
      <c r="BC289" s="429"/>
      <c r="BD289" s="429"/>
      <c r="BE289" s="429"/>
      <c r="BF289" s="429"/>
      <c r="BG289" s="429"/>
      <c r="BH289" s="429"/>
      <c r="BI289" s="429"/>
      <c r="BJ289" s="429"/>
      <c r="BK289" s="429"/>
      <c r="BL289" s="429"/>
      <c r="BM289" s="429"/>
      <c r="BN289" s="429"/>
      <c r="BO289" s="429"/>
      <c r="BP289" s="102"/>
      <c r="BQ289" s="102">
        <v>1.451</v>
      </c>
      <c r="BR289" s="451">
        <f t="shared" si="27"/>
        <v>696.48</v>
      </c>
      <c r="BS289" s="451">
        <f t="shared" si="28"/>
        <v>5397.72</v>
      </c>
      <c r="BT289" s="429" t="str">
        <f>IFERROR(VLOOKUP(E289,名称!A:D,4,FALSE),"")</f>
        <v>KIK</v>
      </c>
    </row>
    <row r="290" s="427" customFormat="1" hidden="1" customHeight="1" spans="1:72">
      <c r="A290" s="93">
        <v>46099</v>
      </c>
      <c r="B290" s="95" t="s">
        <v>237</v>
      </c>
      <c r="C290" s="96">
        <v>10122654</v>
      </c>
      <c r="D290" s="96">
        <v>1042269848</v>
      </c>
      <c r="E290" s="97" t="s">
        <v>160</v>
      </c>
      <c r="F290" s="99">
        <v>62</v>
      </c>
      <c r="G290" s="93">
        <v>46190</v>
      </c>
      <c r="H290" s="429"/>
      <c r="I290" s="429"/>
      <c r="J290" s="429"/>
      <c r="K290" s="429"/>
      <c r="L290" s="429"/>
      <c r="M290" s="429"/>
      <c r="N290" s="429"/>
      <c r="O290" s="429"/>
      <c r="P290" s="429"/>
      <c r="Q290" s="429"/>
      <c r="R290" s="429"/>
      <c r="S290" s="429"/>
      <c r="T290" s="429"/>
      <c r="U290" s="429"/>
      <c r="V290" s="429"/>
      <c r="W290" s="429"/>
      <c r="X290" s="429"/>
      <c r="Y290" s="429"/>
      <c r="Z290" s="429"/>
      <c r="AA290" s="429"/>
      <c r="AB290" s="429"/>
      <c r="AC290" s="429"/>
      <c r="AD290" s="429"/>
      <c r="AE290" s="429"/>
      <c r="AF290" s="429"/>
      <c r="AG290" s="429"/>
      <c r="AH290" s="429"/>
      <c r="AI290" s="429"/>
      <c r="AJ290" s="429"/>
      <c r="AK290" s="429"/>
      <c r="AL290" s="429"/>
      <c r="AM290" s="429"/>
      <c r="AN290" s="429">
        <f>F290</f>
        <v>62</v>
      </c>
      <c r="AO290" s="429"/>
      <c r="AP290" s="429"/>
      <c r="AQ290" s="429"/>
      <c r="AR290" s="429"/>
      <c r="AS290" s="429"/>
      <c r="AT290" s="429"/>
      <c r="AU290" s="429"/>
      <c r="AV290" s="429"/>
      <c r="AW290" s="429"/>
      <c r="AX290" s="429"/>
      <c r="AY290" s="429"/>
      <c r="AZ290" s="429"/>
      <c r="BA290" s="429"/>
      <c r="BB290" s="429"/>
      <c r="BC290" s="429"/>
      <c r="BD290" s="429"/>
      <c r="BE290" s="429"/>
      <c r="BF290" s="429"/>
      <c r="BG290" s="429"/>
      <c r="BH290" s="429"/>
      <c r="BI290" s="429"/>
      <c r="BJ290" s="429"/>
      <c r="BK290" s="429"/>
      <c r="BL290" s="429"/>
      <c r="BM290" s="429"/>
      <c r="BN290" s="429"/>
      <c r="BO290" s="429"/>
      <c r="BP290" s="102"/>
      <c r="BQ290" s="102">
        <v>5.743</v>
      </c>
      <c r="BR290" s="451">
        <f t="shared" si="27"/>
        <v>356.07</v>
      </c>
      <c r="BS290" s="451">
        <f t="shared" ref="BS290:BS321" si="29">BR290*7.75</f>
        <v>2759.54</v>
      </c>
      <c r="BT290" s="429" t="str">
        <f>IFERROR(VLOOKUP(E290,名称!A:D,4,FALSE),"")</f>
        <v>KIK</v>
      </c>
    </row>
    <row r="291" s="427" customFormat="1" hidden="1" customHeight="1" spans="1:72">
      <c r="A291" s="93">
        <v>46099</v>
      </c>
      <c r="B291" s="95" t="s">
        <v>237</v>
      </c>
      <c r="C291" s="96">
        <v>10122654</v>
      </c>
      <c r="D291" s="96">
        <v>1042269848</v>
      </c>
      <c r="E291" s="97" t="s">
        <v>155</v>
      </c>
      <c r="F291" s="99">
        <v>742</v>
      </c>
      <c r="G291" s="93">
        <v>46190</v>
      </c>
      <c r="H291" s="429"/>
      <c r="I291" s="429"/>
      <c r="J291" s="429"/>
      <c r="K291" s="429"/>
      <c r="L291" s="429"/>
      <c r="M291" s="429"/>
      <c r="N291" s="429"/>
      <c r="O291" s="429"/>
      <c r="P291" s="429"/>
      <c r="Q291" s="429"/>
      <c r="R291" s="429"/>
      <c r="S291" s="429">
        <f>F291</f>
        <v>742</v>
      </c>
      <c r="T291" s="429"/>
      <c r="U291" s="429"/>
      <c r="V291" s="429"/>
      <c r="W291" s="429"/>
      <c r="X291" s="429"/>
      <c r="Y291" s="429"/>
      <c r="Z291" s="429"/>
      <c r="AA291" s="429"/>
      <c r="AB291" s="429"/>
      <c r="AC291" s="429"/>
      <c r="AD291" s="429"/>
      <c r="AE291" s="429"/>
      <c r="AF291" s="429"/>
      <c r="AG291" s="429"/>
      <c r="AH291" s="429"/>
      <c r="AI291" s="429"/>
      <c r="AJ291" s="429"/>
      <c r="AK291" s="429"/>
      <c r="AL291" s="429"/>
      <c r="AM291" s="429"/>
      <c r="AN291" s="429"/>
      <c r="AO291" s="429"/>
      <c r="AP291" s="429"/>
      <c r="AQ291" s="429"/>
      <c r="AR291" s="429"/>
      <c r="AS291" s="429"/>
      <c r="AT291" s="429"/>
      <c r="AU291" s="429"/>
      <c r="AV291" s="429"/>
      <c r="AW291" s="429"/>
      <c r="AX291" s="429"/>
      <c r="AY291" s="429"/>
      <c r="AZ291" s="429"/>
      <c r="BA291" s="429"/>
      <c r="BB291" s="429"/>
      <c r="BC291" s="429"/>
      <c r="BD291" s="429"/>
      <c r="BE291" s="429"/>
      <c r="BF291" s="429"/>
      <c r="BG291" s="429"/>
      <c r="BH291" s="429"/>
      <c r="BI291" s="429"/>
      <c r="BJ291" s="429"/>
      <c r="BK291" s="429"/>
      <c r="BL291" s="429"/>
      <c r="BM291" s="429"/>
      <c r="BN291" s="429"/>
      <c r="BO291" s="429"/>
      <c r="BP291" s="102"/>
      <c r="BQ291" s="102">
        <v>4.637</v>
      </c>
      <c r="BR291" s="451">
        <f t="shared" si="27"/>
        <v>3440.65</v>
      </c>
      <c r="BS291" s="451">
        <f t="shared" si="29"/>
        <v>26665.04</v>
      </c>
      <c r="BT291" s="429" t="str">
        <f>IFERROR(VLOOKUP(E291,名称!A:D,4,FALSE),"")</f>
        <v>KIK</v>
      </c>
    </row>
    <row r="292" s="427" customFormat="1" hidden="1" customHeight="1" spans="1:72">
      <c r="A292" s="93">
        <v>46099</v>
      </c>
      <c r="B292" s="95" t="s">
        <v>237</v>
      </c>
      <c r="C292" s="96">
        <v>10122654</v>
      </c>
      <c r="D292" s="96">
        <v>1042269848</v>
      </c>
      <c r="E292" s="97" t="s">
        <v>154</v>
      </c>
      <c r="F292" s="99">
        <v>792</v>
      </c>
      <c r="G292" s="93">
        <v>46190</v>
      </c>
      <c r="H292" s="429"/>
      <c r="I292" s="429"/>
      <c r="J292" s="429"/>
      <c r="K292" s="429"/>
      <c r="L292" s="429"/>
      <c r="M292" s="429"/>
      <c r="N292" s="429"/>
      <c r="O292" s="429"/>
      <c r="P292" s="429"/>
      <c r="Q292" s="429"/>
      <c r="R292" s="429">
        <f>F292</f>
        <v>792</v>
      </c>
      <c r="S292" s="429"/>
      <c r="T292" s="429"/>
      <c r="U292" s="429"/>
      <c r="V292" s="429"/>
      <c r="W292" s="429"/>
      <c r="X292" s="429"/>
      <c r="Y292" s="429"/>
      <c r="Z292" s="429"/>
      <c r="AA292" s="429"/>
      <c r="AB292" s="429"/>
      <c r="AC292" s="429"/>
      <c r="AD292" s="429"/>
      <c r="AE292" s="429"/>
      <c r="AF292" s="429"/>
      <c r="AG292" s="429"/>
      <c r="AH292" s="429"/>
      <c r="AI292" s="429"/>
      <c r="AJ292" s="429"/>
      <c r="AK292" s="429"/>
      <c r="AL292" s="429"/>
      <c r="AM292" s="429"/>
      <c r="AN292" s="429"/>
      <c r="AO292" s="429"/>
      <c r="AP292" s="429"/>
      <c r="AQ292" s="429"/>
      <c r="AR292" s="429"/>
      <c r="AS292" s="429"/>
      <c r="AT292" s="429"/>
      <c r="AU292" s="429"/>
      <c r="AV292" s="429"/>
      <c r="AW292" s="429"/>
      <c r="AX292" s="429"/>
      <c r="AY292" s="429"/>
      <c r="AZ292" s="429"/>
      <c r="BA292" s="429"/>
      <c r="BB292" s="429"/>
      <c r="BC292" s="429"/>
      <c r="BD292" s="429"/>
      <c r="BE292" s="429"/>
      <c r="BF292" s="429"/>
      <c r="BG292" s="429"/>
      <c r="BH292" s="429"/>
      <c r="BI292" s="429"/>
      <c r="BJ292" s="429"/>
      <c r="BK292" s="429"/>
      <c r="BL292" s="429"/>
      <c r="BM292" s="429"/>
      <c r="BN292" s="429"/>
      <c r="BO292" s="429"/>
      <c r="BP292" s="102"/>
      <c r="BQ292" s="102">
        <v>4.684</v>
      </c>
      <c r="BR292" s="451">
        <f t="shared" si="27"/>
        <v>3709.73</v>
      </c>
      <c r="BS292" s="451">
        <f t="shared" si="29"/>
        <v>28750.41</v>
      </c>
      <c r="BT292" s="429" t="str">
        <f>IFERROR(VLOOKUP(E292,名称!A:D,4,FALSE),"")</f>
        <v>KIK</v>
      </c>
    </row>
    <row r="293" s="427" customFormat="1" hidden="1" customHeight="1" spans="1:72">
      <c r="A293" s="93">
        <v>46099</v>
      </c>
      <c r="B293" s="95" t="s">
        <v>237</v>
      </c>
      <c r="C293" s="96">
        <v>10122655</v>
      </c>
      <c r="D293" s="96">
        <v>1042269836</v>
      </c>
      <c r="E293" s="97" t="s">
        <v>160</v>
      </c>
      <c r="F293" s="99">
        <v>130</v>
      </c>
      <c r="G293" s="93">
        <v>46197</v>
      </c>
      <c r="H293" s="429"/>
      <c r="I293" s="429"/>
      <c r="J293" s="429"/>
      <c r="K293" s="429"/>
      <c r="L293" s="429"/>
      <c r="M293" s="429"/>
      <c r="N293" s="429"/>
      <c r="O293" s="429"/>
      <c r="P293" s="429"/>
      <c r="Q293" s="429"/>
      <c r="R293" s="429"/>
      <c r="S293" s="429"/>
      <c r="T293" s="429"/>
      <c r="U293" s="429"/>
      <c r="V293" s="429"/>
      <c r="W293" s="429"/>
      <c r="X293" s="429"/>
      <c r="Y293" s="429"/>
      <c r="Z293" s="429"/>
      <c r="AA293" s="429"/>
      <c r="AB293" s="429"/>
      <c r="AC293" s="429"/>
      <c r="AD293" s="429"/>
      <c r="AE293" s="429"/>
      <c r="AF293" s="429"/>
      <c r="AG293" s="429"/>
      <c r="AH293" s="429"/>
      <c r="AI293" s="429"/>
      <c r="AJ293" s="429"/>
      <c r="AK293" s="429"/>
      <c r="AL293" s="429"/>
      <c r="AM293" s="429"/>
      <c r="AN293" s="429">
        <f>F293</f>
        <v>130</v>
      </c>
      <c r="AO293" s="429"/>
      <c r="AP293" s="429"/>
      <c r="AQ293" s="429"/>
      <c r="AR293" s="429"/>
      <c r="AS293" s="429"/>
      <c r="AT293" s="429"/>
      <c r="AU293" s="429"/>
      <c r="AV293" s="429"/>
      <c r="AW293" s="429"/>
      <c r="AX293" s="429"/>
      <c r="AY293" s="429"/>
      <c r="AZ293" s="429"/>
      <c r="BA293" s="429"/>
      <c r="BB293" s="429"/>
      <c r="BC293" s="429"/>
      <c r="BD293" s="429"/>
      <c r="BE293" s="429"/>
      <c r="BF293" s="429"/>
      <c r="BG293" s="429"/>
      <c r="BH293" s="429"/>
      <c r="BI293" s="429"/>
      <c r="BJ293" s="429"/>
      <c r="BK293" s="429"/>
      <c r="BL293" s="429"/>
      <c r="BM293" s="429"/>
      <c r="BN293" s="429"/>
      <c r="BO293" s="429"/>
      <c r="BP293" s="102"/>
      <c r="BQ293" s="102">
        <v>5.743</v>
      </c>
      <c r="BR293" s="451">
        <f t="shared" si="27"/>
        <v>746.59</v>
      </c>
      <c r="BS293" s="451">
        <f t="shared" si="29"/>
        <v>5786.07</v>
      </c>
      <c r="BT293" s="429" t="str">
        <f>IFERROR(VLOOKUP(E293,名称!A:D,4,FALSE),"")</f>
        <v>KIK</v>
      </c>
    </row>
    <row r="294" s="427" customFormat="1" hidden="1" customHeight="1" spans="1:72">
      <c r="A294" s="93">
        <v>46099</v>
      </c>
      <c r="B294" s="95" t="s">
        <v>237</v>
      </c>
      <c r="C294" s="96">
        <v>10122655</v>
      </c>
      <c r="D294" s="96">
        <v>1042269836</v>
      </c>
      <c r="E294" s="97" t="s">
        <v>155</v>
      </c>
      <c r="F294" s="99">
        <v>1162</v>
      </c>
      <c r="G294" s="93">
        <v>46197</v>
      </c>
      <c r="H294" s="429"/>
      <c r="I294" s="429"/>
      <c r="J294" s="429"/>
      <c r="K294" s="429"/>
      <c r="L294" s="429"/>
      <c r="M294" s="429"/>
      <c r="N294" s="429"/>
      <c r="O294" s="429"/>
      <c r="P294" s="429"/>
      <c r="Q294" s="429"/>
      <c r="R294" s="429"/>
      <c r="S294" s="429">
        <f>F294</f>
        <v>1162</v>
      </c>
      <c r="T294" s="429"/>
      <c r="U294" s="429"/>
      <c r="V294" s="429"/>
      <c r="W294" s="429"/>
      <c r="X294" s="429"/>
      <c r="Y294" s="429"/>
      <c r="Z294" s="429"/>
      <c r="AA294" s="429"/>
      <c r="AB294" s="429"/>
      <c r="AC294" s="429"/>
      <c r="AD294" s="429"/>
      <c r="AE294" s="429"/>
      <c r="AF294" s="429"/>
      <c r="AG294" s="429"/>
      <c r="AH294" s="429"/>
      <c r="AI294" s="429"/>
      <c r="AJ294" s="429"/>
      <c r="AK294" s="429"/>
      <c r="AL294" s="429"/>
      <c r="AM294" s="429"/>
      <c r="AN294" s="429"/>
      <c r="AO294" s="429"/>
      <c r="AP294" s="429"/>
      <c r="AQ294" s="429"/>
      <c r="AR294" s="429"/>
      <c r="AS294" s="429"/>
      <c r="AT294" s="429"/>
      <c r="AU294" s="429"/>
      <c r="AV294" s="429"/>
      <c r="AW294" s="429"/>
      <c r="AX294" s="429"/>
      <c r="AY294" s="429"/>
      <c r="AZ294" s="429"/>
      <c r="BA294" s="429"/>
      <c r="BB294" s="429"/>
      <c r="BC294" s="429"/>
      <c r="BD294" s="429"/>
      <c r="BE294" s="429"/>
      <c r="BF294" s="429"/>
      <c r="BG294" s="429"/>
      <c r="BH294" s="429"/>
      <c r="BI294" s="429"/>
      <c r="BJ294" s="429"/>
      <c r="BK294" s="429"/>
      <c r="BL294" s="429"/>
      <c r="BM294" s="429"/>
      <c r="BN294" s="429"/>
      <c r="BO294" s="429"/>
      <c r="BP294" s="102"/>
      <c r="BQ294" s="102">
        <v>4.637</v>
      </c>
      <c r="BR294" s="451">
        <f t="shared" ref="BR294:BR301" si="30">SUM(H294:BP294)*BQ294</f>
        <v>5388.19</v>
      </c>
      <c r="BS294" s="451">
        <f t="shared" ref="BS294:BS301" si="31">BR294*7.75</f>
        <v>41758.47</v>
      </c>
      <c r="BT294" s="429" t="str">
        <f>IFERROR(VLOOKUP(E294,名称!A:D,4,FALSE),"")</f>
        <v>KIK</v>
      </c>
    </row>
    <row r="295" s="427" customFormat="1" hidden="1" customHeight="1" spans="1:72">
      <c r="A295" s="93">
        <v>46099</v>
      </c>
      <c r="B295" s="95" t="s">
        <v>237</v>
      </c>
      <c r="C295" s="96">
        <v>10122655</v>
      </c>
      <c r="D295" s="96">
        <v>1042269836</v>
      </c>
      <c r="E295" s="97" t="s">
        <v>154</v>
      </c>
      <c r="F295" s="99">
        <v>1276</v>
      </c>
      <c r="G295" s="93">
        <v>46197</v>
      </c>
      <c r="H295" s="429"/>
      <c r="I295" s="429"/>
      <c r="J295" s="429"/>
      <c r="K295" s="429"/>
      <c r="L295" s="429"/>
      <c r="M295" s="429"/>
      <c r="N295" s="429"/>
      <c r="O295" s="429"/>
      <c r="P295" s="429"/>
      <c r="Q295" s="429"/>
      <c r="R295" s="429">
        <f>F295</f>
        <v>1276</v>
      </c>
      <c r="S295" s="429"/>
      <c r="T295" s="429"/>
      <c r="U295" s="429"/>
      <c r="V295" s="429"/>
      <c r="W295" s="429"/>
      <c r="X295" s="429"/>
      <c r="Y295" s="429"/>
      <c r="Z295" s="429"/>
      <c r="AA295" s="429"/>
      <c r="AB295" s="429"/>
      <c r="AC295" s="429"/>
      <c r="AD295" s="429"/>
      <c r="AE295" s="429"/>
      <c r="AF295" s="429"/>
      <c r="AG295" s="429"/>
      <c r="AH295" s="429"/>
      <c r="AI295" s="429"/>
      <c r="AJ295" s="429"/>
      <c r="AK295" s="429"/>
      <c r="AL295" s="429"/>
      <c r="AM295" s="429"/>
      <c r="AN295" s="429"/>
      <c r="AO295" s="429"/>
      <c r="AP295" s="429"/>
      <c r="AQ295" s="429"/>
      <c r="AR295" s="429"/>
      <c r="AS295" s="429"/>
      <c r="AT295" s="429"/>
      <c r="AU295" s="429"/>
      <c r="AV295" s="429"/>
      <c r="AW295" s="429"/>
      <c r="AX295" s="429"/>
      <c r="AY295" s="429"/>
      <c r="AZ295" s="429"/>
      <c r="BA295" s="429"/>
      <c r="BB295" s="429"/>
      <c r="BC295" s="429"/>
      <c r="BD295" s="429"/>
      <c r="BE295" s="429"/>
      <c r="BF295" s="429"/>
      <c r="BG295" s="429"/>
      <c r="BH295" s="429"/>
      <c r="BI295" s="429"/>
      <c r="BJ295" s="429"/>
      <c r="BK295" s="429"/>
      <c r="BL295" s="429"/>
      <c r="BM295" s="429"/>
      <c r="BN295" s="429"/>
      <c r="BO295" s="429"/>
      <c r="BP295" s="102"/>
      <c r="BQ295" s="102">
        <v>4.684</v>
      </c>
      <c r="BR295" s="451">
        <f t="shared" si="30"/>
        <v>5976.78</v>
      </c>
      <c r="BS295" s="451">
        <f t="shared" si="31"/>
        <v>46320.05</v>
      </c>
      <c r="BT295" s="429" t="str">
        <f>IFERROR(VLOOKUP(E295,名称!A:D,4,FALSE),"")</f>
        <v>KIK</v>
      </c>
    </row>
    <row r="296" s="427" customFormat="1" hidden="1" customHeight="1" spans="1:72">
      <c r="A296" s="93">
        <v>46099</v>
      </c>
      <c r="B296" s="95" t="s">
        <v>237</v>
      </c>
      <c r="C296" s="96">
        <v>10122658</v>
      </c>
      <c r="D296" s="96">
        <v>1042269844</v>
      </c>
      <c r="E296" s="97" t="s">
        <v>160</v>
      </c>
      <c r="F296" s="99">
        <v>160</v>
      </c>
      <c r="G296" s="93">
        <v>46197</v>
      </c>
      <c r="H296" s="429"/>
      <c r="I296" s="429"/>
      <c r="J296" s="429"/>
      <c r="K296" s="429"/>
      <c r="L296" s="429"/>
      <c r="M296" s="429"/>
      <c r="N296" s="429"/>
      <c r="O296" s="429"/>
      <c r="P296" s="429"/>
      <c r="Q296" s="429"/>
      <c r="R296" s="429"/>
      <c r="S296" s="429"/>
      <c r="T296" s="429"/>
      <c r="U296" s="429"/>
      <c r="V296" s="429"/>
      <c r="W296" s="429"/>
      <c r="X296" s="429"/>
      <c r="Y296" s="429"/>
      <c r="Z296" s="429"/>
      <c r="AA296" s="429"/>
      <c r="AB296" s="429"/>
      <c r="AC296" s="429"/>
      <c r="AD296" s="429"/>
      <c r="AE296" s="429"/>
      <c r="AF296" s="429"/>
      <c r="AG296" s="429"/>
      <c r="AH296" s="429"/>
      <c r="AI296" s="429"/>
      <c r="AJ296" s="429"/>
      <c r="AK296" s="429"/>
      <c r="AL296" s="429"/>
      <c r="AM296" s="429"/>
      <c r="AN296" s="429">
        <f>F296</f>
        <v>160</v>
      </c>
      <c r="AO296" s="429"/>
      <c r="AP296" s="429"/>
      <c r="AQ296" s="429"/>
      <c r="AR296" s="429"/>
      <c r="AS296" s="429"/>
      <c r="AT296" s="429"/>
      <c r="AU296" s="429"/>
      <c r="AV296" s="429"/>
      <c r="AW296" s="429"/>
      <c r="AX296" s="429"/>
      <c r="AY296" s="429"/>
      <c r="AZ296" s="429"/>
      <c r="BA296" s="429"/>
      <c r="BB296" s="429"/>
      <c r="BC296" s="429"/>
      <c r="BD296" s="429"/>
      <c r="BE296" s="429"/>
      <c r="BF296" s="429"/>
      <c r="BG296" s="429"/>
      <c r="BH296" s="429"/>
      <c r="BI296" s="429"/>
      <c r="BJ296" s="429"/>
      <c r="BK296" s="429"/>
      <c r="BL296" s="429"/>
      <c r="BM296" s="429"/>
      <c r="BN296" s="429"/>
      <c r="BO296" s="429"/>
      <c r="BP296" s="102"/>
      <c r="BQ296" s="102">
        <v>5.743</v>
      </c>
      <c r="BR296" s="451">
        <f t="shared" si="30"/>
        <v>918.88</v>
      </c>
      <c r="BS296" s="451">
        <f t="shared" si="31"/>
        <v>7121.32</v>
      </c>
      <c r="BT296" s="429" t="str">
        <f>IFERROR(VLOOKUP(E296,名称!A:D,4,FALSE),"")</f>
        <v>KIK</v>
      </c>
    </row>
    <row r="297" s="427" customFormat="1" hidden="1" customHeight="1" spans="1:72">
      <c r="A297" s="93">
        <v>46099</v>
      </c>
      <c r="B297" s="95" t="s">
        <v>237</v>
      </c>
      <c r="C297" s="96">
        <v>10122658</v>
      </c>
      <c r="D297" s="96">
        <v>1042269844</v>
      </c>
      <c r="E297" s="97" t="s">
        <v>155</v>
      </c>
      <c r="F297" s="99">
        <v>1348</v>
      </c>
      <c r="G297" s="93">
        <v>46197</v>
      </c>
      <c r="H297" s="429"/>
      <c r="I297" s="429"/>
      <c r="J297" s="429"/>
      <c r="K297" s="429"/>
      <c r="L297" s="429"/>
      <c r="M297" s="429"/>
      <c r="N297" s="429"/>
      <c r="O297" s="429"/>
      <c r="P297" s="429"/>
      <c r="Q297" s="429"/>
      <c r="R297" s="429"/>
      <c r="S297" s="429">
        <f>F297</f>
        <v>1348</v>
      </c>
      <c r="T297" s="429"/>
      <c r="U297" s="429"/>
      <c r="V297" s="429"/>
      <c r="W297" s="429"/>
      <c r="X297" s="429"/>
      <c r="Y297" s="429"/>
      <c r="Z297" s="429"/>
      <c r="AA297" s="429"/>
      <c r="AB297" s="429"/>
      <c r="AC297" s="429"/>
      <c r="AD297" s="429"/>
      <c r="AE297" s="429"/>
      <c r="AF297" s="429"/>
      <c r="AG297" s="429"/>
      <c r="AH297" s="429"/>
      <c r="AI297" s="429"/>
      <c r="AJ297" s="429"/>
      <c r="AK297" s="429"/>
      <c r="AL297" s="429"/>
      <c r="AM297" s="429"/>
      <c r="AN297" s="429"/>
      <c r="AO297" s="429"/>
      <c r="AP297" s="429"/>
      <c r="AQ297" s="429"/>
      <c r="AR297" s="429"/>
      <c r="AS297" s="429"/>
      <c r="AT297" s="429"/>
      <c r="AU297" s="429"/>
      <c r="AV297" s="429"/>
      <c r="AW297" s="429"/>
      <c r="AX297" s="429"/>
      <c r="AY297" s="429"/>
      <c r="AZ297" s="429"/>
      <c r="BA297" s="429"/>
      <c r="BB297" s="429"/>
      <c r="BC297" s="429"/>
      <c r="BD297" s="429"/>
      <c r="BE297" s="429"/>
      <c r="BF297" s="429"/>
      <c r="BG297" s="429"/>
      <c r="BH297" s="429"/>
      <c r="BI297" s="429"/>
      <c r="BJ297" s="429"/>
      <c r="BK297" s="429"/>
      <c r="BL297" s="429"/>
      <c r="BM297" s="429"/>
      <c r="BN297" s="429"/>
      <c r="BO297" s="429"/>
      <c r="BP297" s="102"/>
      <c r="BQ297" s="102">
        <v>4.637</v>
      </c>
      <c r="BR297" s="451">
        <f t="shared" si="30"/>
        <v>6250.68</v>
      </c>
      <c r="BS297" s="451">
        <f t="shared" si="31"/>
        <v>48442.77</v>
      </c>
      <c r="BT297" s="429" t="str">
        <f>IFERROR(VLOOKUP(E297,名称!A:D,4,FALSE),"")</f>
        <v>KIK</v>
      </c>
    </row>
    <row r="298" s="427" customFormat="1" hidden="1" customHeight="1" spans="1:72">
      <c r="A298" s="93">
        <v>46099</v>
      </c>
      <c r="B298" s="95" t="s">
        <v>237</v>
      </c>
      <c r="C298" s="96">
        <v>10122658</v>
      </c>
      <c r="D298" s="96">
        <v>1042269844</v>
      </c>
      <c r="E298" s="97" t="s">
        <v>154</v>
      </c>
      <c r="F298" s="99">
        <v>1500</v>
      </c>
      <c r="G298" s="93">
        <v>46197</v>
      </c>
      <c r="H298" s="429"/>
      <c r="I298" s="429"/>
      <c r="J298" s="429"/>
      <c r="K298" s="429"/>
      <c r="L298" s="429"/>
      <c r="M298" s="429"/>
      <c r="N298" s="429"/>
      <c r="O298" s="429"/>
      <c r="P298" s="429"/>
      <c r="Q298" s="429"/>
      <c r="R298" s="429">
        <f>F298</f>
        <v>1500</v>
      </c>
      <c r="S298" s="429"/>
      <c r="T298" s="429"/>
      <c r="U298" s="429"/>
      <c r="V298" s="429"/>
      <c r="W298" s="429"/>
      <c r="X298" s="429"/>
      <c r="Y298" s="429"/>
      <c r="Z298" s="429"/>
      <c r="AA298" s="429"/>
      <c r="AB298" s="429"/>
      <c r="AC298" s="429"/>
      <c r="AD298" s="429"/>
      <c r="AE298" s="429"/>
      <c r="AF298" s="429"/>
      <c r="AG298" s="429"/>
      <c r="AH298" s="429"/>
      <c r="AI298" s="429"/>
      <c r="AJ298" s="429"/>
      <c r="AK298" s="429"/>
      <c r="AL298" s="429"/>
      <c r="AM298" s="429"/>
      <c r="AN298" s="429"/>
      <c r="AO298" s="429"/>
      <c r="AP298" s="429"/>
      <c r="AQ298" s="429"/>
      <c r="AR298" s="429"/>
      <c r="AS298" s="429"/>
      <c r="AT298" s="429"/>
      <c r="AU298" s="429"/>
      <c r="AV298" s="429"/>
      <c r="AW298" s="429"/>
      <c r="AX298" s="429"/>
      <c r="AY298" s="429"/>
      <c r="AZ298" s="429"/>
      <c r="BA298" s="429"/>
      <c r="BB298" s="429"/>
      <c r="BC298" s="429"/>
      <c r="BD298" s="429"/>
      <c r="BE298" s="429"/>
      <c r="BF298" s="429"/>
      <c r="BG298" s="429"/>
      <c r="BH298" s="429"/>
      <c r="BI298" s="429"/>
      <c r="BJ298" s="429"/>
      <c r="BK298" s="429"/>
      <c r="BL298" s="429"/>
      <c r="BM298" s="429"/>
      <c r="BN298" s="429"/>
      <c r="BO298" s="429"/>
      <c r="BP298" s="102"/>
      <c r="BQ298" s="102">
        <v>4.684</v>
      </c>
      <c r="BR298" s="451">
        <f t="shared" si="30"/>
        <v>7026</v>
      </c>
      <c r="BS298" s="451">
        <f t="shared" si="31"/>
        <v>54451.5</v>
      </c>
      <c r="BT298" s="429" t="str">
        <f>IFERROR(VLOOKUP(E298,名称!A:D,4,FALSE),"")</f>
        <v>KIK</v>
      </c>
    </row>
    <row r="299" s="427" customFormat="1" hidden="1" customHeight="1" spans="1:72">
      <c r="A299" s="93">
        <v>46099</v>
      </c>
      <c r="B299" s="95" t="s">
        <v>237</v>
      </c>
      <c r="C299" s="96">
        <v>10122660</v>
      </c>
      <c r="D299" s="96">
        <v>1042269854</v>
      </c>
      <c r="E299" s="97" t="s">
        <v>160</v>
      </c>
      <c r="F299" s="99">
        <v>34</v>
      </c>
      <c r="G299" s="93">
        <v>46197</v>
      </c>
      <c r="H299" s="429"/>
      <c r="I299" s="429"/>
      <c r="J299" s="429"/>
      <c r="K299" s="429"/>
      <c r="L299" s="429"/>
      <c r="M299" s="429"/>
      <c r="N299" s="429"/>
      <c r="O299" s="429"/>
      <c r="P299" s="429"/>
      <c r="Q299" s="429"/>
      <c r="R299" s="429"/>
      <c r="S299" s="429"/>
      <c r="T299" s="429"/>
      <c r="U299" s="429"/>
      <c r="V299" s="429"/>
      <c r="W299" s="429"/>
      <c r="X299" s="429"/>
      <c r="Y299" s="429"/>
      <c r="Z299" s="429"/>
      <c r="AA299" s="429"/>
      <c r="AB299" s="429"/>
      <c r="AC299" s="429"/>
      <c r="AD299" s="429"/>
      <c r="AE299" s="429"/>
      <c r="AF299" s="429"/>
      <c r="AG299" s="429"/>
      <c r="AH299" s="429"/>
      <c r="AI299" s="429"/>
      <c r="AJ299" s="429"/>
      <c r="AK299" s="429"/>
      <c r="AL299" s="429"/>
      <c r="AM299" s="429"/>
      <c r="AN299" s="429">
        <f>F299</f>
        <v>34</v>
      </c>
      <c r="AO299" s="429"/>
      <c r="AP299" s="429"/>
      <c r="AQ299" s="429"/>
      <c r="AR299" s="429"/>
      <c r="AS299" s="429"/>
      <c r="AT299" s="429"/>
      <c r="AU299" s="429"/>
      <c r="AV299" s="429"/>
      <c r="AW299" s="429"/>
      <c r="AX299" s="429"/>
      <c r="AY299" s="429"/>
      <c r="AZ299" s="429"/>
      <c r="BA299" s="429"/>
      <c r="BB299" s="429"/>
      <c r="BC299" s="429"/>
      <c r="BD299" s="429"/>
      <c r="BE299" s="429"/>
      <c r="BF299" s="429"/>
      <c r="BG299" s="429"/>
      <c r="BH299" s="429"/>
      <c r="BI299" s="429"/>
      <c r="BJ299" s="429"/>
      <c r="BK299" s="429"/>
      <c r="BL299" s="429"/>
      <c r="BM299" s="429"/>
      <c r="BN299" s="429"/>
      <c r="BO299" s="429"/>
      <c r="BP299" s="102"/>
      <c r="BQ299" s="102">
        <v>5.743</v>
      </c>
      <c r="BR299" s="451">
        <f t="shared" si="30"/>
        <v>195.26</v>
      </c>
      <c r="BS299" s="451">
        <f t="shared" si="31"/>
        <v>1513.27</v>
      </c>
      <c r="BT299" s="429" t="str">
        <f>IFERROR(VLOOKUP(E299,名称!A:D,4,FALSE),"")</f>
        <v>KIK</v>
      </c>
    </row>
    <row r="300" s="427" customFormat="1" hidden="1" customHeight="1" spans="1:72">
      <c r="A300" s="93">
        <v>46099</v>
      </c>
      <c r="B300" s="95" t="s">
        <v>237</v>
      </c>
      <c r="C300" s="96">
        <v>10122660</v>
      </c>
      <c r="D300" s="96">
        <v>1042269854</v>
      </c>
      <c r="E300" s="97" t="s">
        <v>154</v>
      </c>
      <c r="F300" s="99">
        <v>716</v>
      </c>
      <c r="G300" s="93">
        <v>46197</v>
      </c>
      <c r="H300" s="429"/>
      <c r="I300" s="429"/>
      <c r="J300" s="429"/>
      <c r="K300" s="429"/>
      <c r="L300" s="429"/>
      <c r="M300" s="429"/>
      <c r="N300" s="429"/>
      <c r="O300" s="429"/>
      <c r="P300" s="429"/>
      <c r="Q300" s="429"/>
      <c r="R300" s="429">
        <f>F300</f>
        <v>716</v>
      </c>
      <c r="S300" s="429"/>
      <c r="T300" s="429"/>
      <c r="U300" s="429"/>
      <c r="V300" s="429"/>
      <c r="W300" s="429"/>
      <c r="X300" s="429"/>
      <c r="Y300" s="429"/>
      <c r="Z300" s="429"/>
      <c r="AA300" s="429"/>
      <c r="AB300" s="429"/>
      <c r="AC300" s="429"/>
      <c r="AD300" s="429"/>
      <c r="AE300" s="429"/>
      <c r="AF300" s="429"/>
      <c r="AG300" s="429"/>
      <c r="AH300" s="429"/>
      <c r="AI300" s="429"/>
      <c r="AJ300" s="429"/>
      <c r="AK300" s="429"/>
      <c r="AL300" s="429"/>
      <c r="AM300" s="429"/>
      <c r="AN300" s="429"/>
      <c r="AO300" s="429"/>
      <c r="AP300" s="429"/>
      <c r="AQ300" s="429"/>
      <c r="AR300" s="429"/>
      <c r="AS300" s="429"/>
      <c r="AT300" s="429"/>
      <c r="AU300" s="429"/>
      <c r="AV300" s="429"/>
      <c r="AW300" s="429"/>
      <c r="AX300" s="429"/>
      <c r="AY300" s="429"/>
      <c r="AZ300" s="429"/>
      <c r="BA300" s="429"/>
      <c r="BB300" s="429"/>
      <c r="BC300" s="429"/>
      <c r="BD300" s="429"/>
      <c r="BE300" s="429"/>
      <c r="BF300" s="429"/>
      <c r="BG300" s="429"/>
      <c r="BH300" s="429"/>
      <c r="BI300" s="429"/>
      <c r="BJ300" s="429"/>
      <c r="BK300" s="429"/>
      <c r="BL300" s="429"/>
      <c r="BM300" s="429"/>
      <c r="BN300" s="429"/>
      <c r="BO300" s="429"/>
      <c r="BP300" s="102"/>
      <c r="BQ300" s="102">
        <v>4.684</v>
      </c>
      <c r="BR300" s="451">
        <f t="shared" si="30"/>
        <v>3353.74</v>
      </c>
      <c r="BS300" s="451">
        <f t="shared" si="31"/>
        <v>25991.49</v>
      </c>
      <c r="BT300" s="429" t="str">
        <f>IFERROR(VLOOKUP(E300,名称!A:D,4,FALSE),"")</f>
        <v>KIK</v>
      </c>
    </row>
    <row r="301" s="427" customFormat="1" hidden="1" customHeight="1" spans="1:72">
      <c r="A301" s="93">
        <v>46099</v>
      </c>
      <c r="B301" s="95" t="s">
        <v>237</v>
      </c>
      <c r="C301" s="96">
        <v>10122660</v>
      </c>
      <c r="D301" s="96">
        <v>1042269854</v>
      </c>
      <c r="E301" s="97" t="s">
        <v>155</v>
      </c>
      <c r="F301" s="99">
        <v>746</v>
      </c>
      <c r="G301" s="93">
        <v>46197</v>
      </c>
      <c r="H301" s="429"/>
      <c r="I301" s="429"/>
      <c r="J301" s="429"/>
      <c r="K301" s="429"/>
      <c r="L301" s="429"/>
      <c r="M301" s="429"/>
      <c r="N301" s="429"/>
      <c r="O301" s="429"/>
      <c r="P301" s="429"/>
      <c r="Q301" s="429"/>
      <c r="R301" s="429"/>
      <c r="S301" s="429">
        <f>F301</f>
        <v>746</v>
      </c>
      <c r="T301" s="429"/>
      <c r="U301" s="429"/>
      <c r="V301" s="429"/>
      <c r="W301" s="429"/>
      <c r="X301" s="429"/>
      <c r="Y301" s="429"/>
      <c r="Z301" s="429"/>
      <c r="AA301" s="429"/>
      <c r="AB301" s="429"/>
      <c r="AC301" s="429"/>
      <c r="AD301" s="429"/>
      <c r="AE301" s="429"/>
      <c r="AF301" s="429"/>
      <c r="AG301" s="429"/>
      <c r="AH301" s="429"/>
      <c r="AI301" s="429"/>
      <c r="AJ301" s="429"/>
      <c r="AK301" s="429"/>
      <c r="AL301" s="429"/>
      <c r="AM301" s="429"/>
      <c r="AN301" s="429"/>
      <c r="AO301" s="429"/>
      <c r="AP301" s="429"/>
      <c r="AQ301" s="429"/>
      <c r="AR301" s="429"/>
      <c r="AS301" s="429"/>
      <c r="AT301" s="429"/>
      <c r="AU301" s="429"/>
      <c r="AV301" s="429"/>
      <c r="AW301" s="429"/>
      <c r="AX301" s="429"/>
      <c r="AY301" s="429"/>
      <c r="AZ301" s="429"/>
      <c r="BA301" s="429"/>
      <c r="BB301" s="429"/>
      <c r="BC301" s="429"/>
      <c r="BD301" s="429"/>
      <c r="BE301" s="429"/>
      <c r="BF301" s="429"/>
      <c r="BG301" s="429"/>
      <c r="BH301" s="429"/>
      <c r="BI301" s="429"/>
      <c r="BJ301" s="429"/>
      <c r="BK301" s="429"/>
      <c r="BL301" s="429"/>
      <c r="BM301" s="429"/>
      <c r="BN301" s="429"/>
      <c r="BO301" s="429"/>
      <c r="BP301" s="102"/>
      <c r="BQ301" s="102">
        <v>4.637</v>
      </c>
      <c r="BR301" s="451">
        <f t="shared" si="30"/>
        <v>3459.2</v>
      </c>
      <c r="BS301" s="451">
        <f t="shared" si="31"/>
        <v>26808.8</v>
      </c>
      <c r="BT301" s="429" t="str">
        <f>IFERROR(VLOOKUP(E301,名称!A:D,4,FALSE),"")</f>
        <v>KIK</v>
      </c>
    </row>
    <row r="302" s="427" customFormat="1" hidden="1" customHeight="1" spans="1:72">
      <c r="A302" s="93">
        <v>46099</v>
      </c>
      <c r="B302" s="95" t="s">
        <v>237</v>
      </c>
      <c r="C302" s="96">
        <v>10122639</v>
      </c>
      <c r="D302" s="96">
        <v>1042268223</v>
      </c>
      <c r="E302" s="97" t="s">
        <v>154</v>
      </c>
      <c r="F302" s="99">
        <v>1092</v>
      </c>
      <c r="G302" s="93">
        <v>46169</v>
      </c>
      <c r="H302" s="429"/>
      <c r="I302" s="429"/>
      <c r="J302" s="429"/>
      <c r="K302" s="429"/>
      <c r="L302" s="429"/>
      <c r="M302" s="429"/>
      <c r="N302" s="429"/>
      <c r="O302" s="429"/>
      <c r="P302" s="429"/>
      <c r="Q302" s="429"/>
      <c r="R302" s="429">
        <v>1092</v>
      </c>
      <c r="S302" s="429"/>
      <c r="T302" s="429"/>
      <c r="U302" s="429"/>
      <c r="V302" s="429"/>
      <c r="W302" s="429"/>
      <c r="X302" s="429"/>
      <c r="Y302" s="429"/>
      <c r="Z302" s="429"/>
      <c r="AA302" s="429"/>
      <c r="AB302" s="429"/>
      <c r="AC302" s="429"/>
      <c r="AD302" s="429"/>
      <c r="AE302" s="429"/>
      <c r="AF302" s="429"/>
      <c r="AG302" s="429"/>
      <c r="AH302" s="429"/>
      <c r="AI302" s="429"/>
      <c r="AJ302" s="429"/>
      <c r="AK302" s="429"/>
      <c r="AL302" s="429"/>
      <c r="AM302" s="429"/>
      <c r="AN302" s="429"/>
      <c r="AO302" s="429"/>
      <c r="AP302" s="429"/>
      <c r="AQ302" s="429"/>
      <c r="AR302" s="429"/>
      <c r="AS302" s="429"/>
      <c r="AT302" s="429"/>
      <c r="AU302" s="429"/>
      <c r="AV302" s="429"/>
      <c r="AW302" s="429"/>
      <c r="AX302" s="429"/>
      <c r="AY302" s="429"/>
      <c r="AZ302" s="429"/>
      <c r="BA302" s="429"/>
      <c r="BB302" s="429"/>
      <c r="BC302" s="429"/>
      <c r="BD302" s="429"/>
      <c r="BE302" s="429"/>
      <c r="BF302" s="429"/>
      <c r="BG302" s="429"/>
      <c r="BH302" s="429"/>
      <c r="BI302" s="429"/>
      <c r="BJ302" s="429"/>
      <c r="BK302" s="429"/>
      <c r="BL302" s="429"/>
      <c r="BM302" s="429"/>
      <c r="BN302" s="429"/>
      <c r="BO302" s="429"/>
      <c r="BP302" s="102"/>
      <c r="BQ302" s="102">
        <v>4.684</v>
      </c>
      <c r="BR302" s="451">
        <f t="shared" si="27"/>
        <v>5114.93</v>
      </c>
      <c r="BS302" s="451">
        <f t="shared" si="29"/>
        <v>39640.71</v>
      </c>
      <c r="BT302" s="429" t="str">
        <f>IFERROR(VLOOKUP(E302,名称!A:D,4,FALSE),"")</f>
        <v>KIK</v>
      </c>
    </row>
    <row r="303" s="427" customFormat="1" hidden="1" customHeight="1" spans="1:72">
      <c r="A303" s="93">
        <v>46099</v>
      </c>
      <c r="B303" s="95" t="s">
        <v>237</v>
      </c>
      <c r="C303" s="96">
        <v>10122662</v>
      </c>
      <c r="D303" s="96">
        <v>1042269830</v>
      </c>
      <c r="E303" s="97" t="s">
        <v>154</v>
      </c>
      <c r="F303" s="99">
        <v>312</v>
      </c>
      <c r="G303" s="93">
        <v>46204</v>
      </c>
      <c r="H303" s="429"/>
      <c r="I303" s="429"/>
      <c r="J303" s="429"/>
      <c r="K303" s="429"/>
      <c r="L303" s="429"/>
      <c r="M303" s="429"/>
      <c r="N303" s="429"/>
      <c r="O303" s="429"/>
      <c r="P303" s="429"/>
      <c r="Q303" s="429"/>
      <c r="R303" s="429">
        <f>F303</f>
        <v>312</v>
      </c>
      <c r="S303" s="429"/>
      <c r="T303" s="429"/>
      <c r="U303" s="429"/>
      <c r="V303" s="429"/>
      <c r="W303" s="429"/>
      <c r="X303" s="429"/>
      <c r="Y303" s="429"/>
      <c r="Z303" s="429"/>
      <c r="AA303" s="429"/>
      <c r="AB303" s="429"/>
      <c r="AC303" s="429"/>
      <c r="AD303" s="429"/>
      <c r="AE303" s="429"/>
      <c r="AF303" s="429"/>
      <c r="AG303" s="429"/>
      <c r="AH303" s="429"/>
      <c r="AI303" s="429"/>
      <c r="AJ303" s="429"/>
      <c r="AK303" s="429"/>
      <c r="AL303" s="429"/>
      <c r="AM303" s="429"/>
      <c r="AN303" s="429"/>
      <c r="AO303" s="429"/>
      <c r="AP303" s="429"/>
      <c r="AQ303" s="429"/>
      <c r="AR303" s="429"/>
      <c r="AS303" s="429"/>
      <c r="AT303" s="429"/>
      <c r="AU303" s="429"/>
      <c r="AV303" s="429"/>
      <c r="AW303" s="429"/>
      <c r="AX303" s="429"/>
      <c r="AY303" s="429"/>
      <c r="AZ303" s="429"/>
      <c r="BA303" s="429"/>
      <c r="BB303" s="429"/>
      <c r="BC303" s="429"/>
      <c r="BD303" s="429"/>
      <c r="BE303" s="429"/>
      <c r="BF303" s="429"/>
      <c r="BG303" s="429"/>
      <c r="BH303" s="429"/>
      <c r="BI303" s="429"/>
      <c r="BJ303" s="429"/>
      <c r="BK303" s="429"/>
      <c r="BL303" s="429"/>
      <c r="BM303" s="429"/>
      <c r="BN303" s="429"/>
      <c r="BO303" s="429"/>
      <c r="BP303" s="102"/>
      <c r="BQ303" s="102">
        <v>4.684</v>
      </c>
      <c r="BR303" s="451">
        <f t="shared" si="27"/>
        <v>1461.41</v>
      </c>
      <c r="BS303" s="451">
        <f t="shared" si="29"/>
        <v>11325.93</v>
      </c>
      <c r="BT303" s="429" t="str">
        <f>IFERROR(VLOOKUP(E303,名称!A:D,4,FALSE),"")</f>
        <v>KIK</v>
      </c>
    </row>
    <row r="304" s="427" customFormat="1" hidden="1" customHeight="1" spans="1:72">
      <c r="A304" s="93">
        <v>46099</v>
      </c>
      <c r="B304" s="95" t="s">
        <v>237</v>
      </c>
      <c r="C304" s="96">
        <v>10122662</v>
      </c>
      <c r="D304" s="96">
        <v>1042269830</v>
      </c>
      <c r="E304" s="97" t="s">
        <v>155</v>
      </c>
      <c r="F304" s="99">
        <v>452</v>
      </c>
      <c r="G304" s="93">
        <v>46204</v>
      </c>
      <c r="H304" s="429"/>
      <c r="I304" s="429"/>
      <c r="J304" s="429"/>
      <c r="K304" s="429"/>
      <c r="L304" s="429"/>
      <c r="M304" s="429"/>
      <c r="N304" s="429"/>
      <c r="O304" s="429"/>
      <c r="P304" s="429"/>
      <c r="Q304" s="429"/>
      <c r="R304" s="429"/>
      <c r="S304" s="429">
        <f>F304</f>
        <v>452</v>
      </c>
      <c r="T304" s="429"/>
      <c r="U304" s="429"/>
      <c r="V304" s="429"/>
      <c r="W304" s="429"/>
      <c r="X304" s="429"/>
      <c r="Y304" s="429"/>
      <c r="Z304" s="429"/>
      <c r="AA304" s="429"/>
      <c r="AB304" s="429"/>
      <c r="AC304" s="429"/>
      <c r="AD304" s="429"/>
      <c r="AE304" s="429"/>
      <c r="AF304" s="429"/>
      <c r="AG304" s="429"/>
      <c r="AH304" s="429"/>
      <c r="AI304" s="429"/>
      <c r="AJ304" s="429"/>
      <c r="AK304" s="429"/>
      <c r="AL304" s="429"/>
      <c r="AM304" s="429"/>
      <c r="AN304" s="429"/>
      <c r="AO304" s="429"/>
      <c r="AP304" s="429"/>
      <c r="AQ304" s="429"/>
      <c r="AR304" s="429"/>
      <c r="AS304" s="429"/>
      <c r="AT304" s="429"/>
      <c r="AU304" s="429"/>
      <c r="AV304" s="429"/>
      <c r="AW304" s="429"/>
      <c r="AX304" s="429"/>
      <c r="AY304" s="429"/>
      <c r="AZ304" s="429"/>
      <c r="BA304" s="429"/>
      <c r="BB304" s="429"/>
      <c r="BC304" s="429"/>
      <c r="BD304" s="429"/>
      <c r="BE304" s="429"/>
      <c r="BF304" s="429"/>
      <c r="BG304" s="429"/>
      <c r="BH304" s="429"/>
      <c r="BI304" s="429"/>
      <c r="BJ304" s="429"/>
      <c r="BK304" s="429"/>
      <c r="BL304" s="429"/>
      <c r="BM304" s="429"/>
      <c r="BN304" s="429"/>
      <c r="BO304" s="429"/>
      <c r="BP304" s="102"/>
      <c r="BQ304" s="102">
        <v>4.637</v>
      </c>
      <c r="BR304" s="451">
        <f t="shared" ref="BR304:BR312" si="32">SUM(H304:BP304)*BQ304</f>
        <v>2095.92</v>
      </c>
      <c r="BS304" s="451">
        <f t="shared" ref="BS304:BS312" si="33">BR304*7.75</f>
        <v>16243.38</v>
      </c>
      <c r="BT304" s="429" t="str">
        <f>IFERROR(VLOOKUP(E304,名称!A:D,4,FALSE),"")</f>
        <v>KIK</v>
      </c>
    </row>
    <row r="305" s="427" customFormat="1" hidden="1" customHeight="1" spans="1:72">
      <c r="A305" s="93">
        <v>46099</v>
      </c>
      <c r="B305" s="95" t="s">
        <v>237</v>
      </c>
      <c r="C305" s="96">
        <v>10122663</v>
      </c>
      <c r="D305" s="96">
        <v>1042269846</v>
      </c>
      <c r="E305" s="97" t="s">
        <v>160</v>
      </c>
      <c r="F305" s="99">
        <v>62</v>
      </c>
      <c r="G305" s="93">
        <v>46204</v>
      </c>
      <c r="H305" s="429"/>
      <c r="I305" s="429"/>
      <c r="J305" s="429"/>
      <c r="K305" s="429"/>
      <c r="L305" s="429"/>
      <c r="M305" s="429"/>
      <c r="N305" s="429"/>
      <c r="O305" s="429"/>
      <c r="P305" s="429"/>
      <c r="Q305" s="429"/>
      <c r="R305" s="429"/>
      <c r="S305" s="429"/>
      <c r="T305" s="429"/>
      <c r="U305" s="429"/>
      <c r="V305" s="429"/>
      <c r="W305" s="429"/>
      <c r="X305" s="429"/>
      <c r="Y305" s="429"/>
      <c r="Z305" s="429"/>
      <c r="AA305" s="429"/>
      <c r="AB305" s="429"/>
      <c r="AC305" s="429"/>
      <c r="AD305" s="429"/>
      <c r="AE305" s="429"/>
      <c r="AF305" s="429"/>
      <c r="AG305" s="429"/>
      <c r="AH305" s="429"/>
      <c r="AI305" s="429"/>
      <c r="AJ305" s="429"/>
      <c r="AK305" s="429"/>
      <c r="AL305" s="429"/>
      <c r="AM305" s="429"/>
      <c r="AN305" s="429">
        <f>F305</f>
        <v>62</v>
      </c>
      <c r="AO305" s="429"/>
      <c r="AP305" s="429"/>
      <c r="AQ305" s="429"/>
      <c r="AR305" s="429"/>
      <c r="AS305" s="429"/>
      <c r="AT305" s="429"/>
      <c r="AU305" s="429"/>
      <c r="AV305" s="429"/>
      <c r="AW305" s="429"/>
      <c r="AX305" s="429"/>
      <c r="AY305" s="429"/>
      <c r="AZ305" s="429"/>
      <c r="BA305" s="429"/>
      <c r="BB305" s="429"/>
      <c r="BC305" s="429"/>
      <c r="BD305" s="429"/>
      <c r="BE305" s="429"/>
      <c r="BF305" s="429"/>
      <c r="BG305" s="429"/>
      <c r="BH305" s="429"/>
      <c r="BI305" s="429"/>
      <c r="BJ305" s="429"/>
      <c r="BK305" s="429"/>
      <c r="BL305" s="429"/>
      <c r="BM305" s="429"/>
      <c r="BN305" s="429"/>
      <c r="BO305" s="429"/>
      <c r="BP305" s="102"/>
      <c r="BQ305" s="102">
        <v>5.743</v>
      </c>
      <c r="BR305" s="451">
        <f t="shared" si="32"/>
        <v>356.07</v>
      </c>
      <c r="BS305" s="451">
        <f t="shared" si="33"/>
        <v>2759.54</v>
      </c>
      <c r="BT305" s="429" t="str">
        <f>IFERROR(VLOOKUP(E305,名称!A:D,4,FALSE),"")</f>
        <v>KIK</v>
      </c>
    </row>
    <row r="306" s="427" customFormat="1" hidden="1" customHeight="1" spans="1:72">
      <c r="A306" s="93">
        <v>46099</v>
      </c>
      <c r="B306" s="95" t="s">
        <v>237</v>
      </c>
      <c r="C306" s="96">
        <v>10122663</v>
      </c>
      <c r="D306" s="96">
        <v>1042269846</v>
      </c>
      <c r="E306" s="97" t="s">
        <v>155</v>
      </c>
      <c r="F306" s="99">
        <v>762</v>
      </c>
      <c r="G306" s="93">
        <v>46204</v>
      </c>
      <c r="H306" s="429"/>
      <c r="I306" s="429"/>
      <c r="J306" s="429"/>
      <c r="K306" s="429"/>
      <c r="L306" s="429"/>
      <c r="M306" s="429"/>
      <c r="N306" s="429"/>
      <c r="O306" s="429"/>
      <c r="P306" s="429"/>
      <c r="Q306" s="429"/>
      <c r="R306" s="429"/>
      <c r="S306" s="429">
        <f>F306</f>
        <v>762</v>
      </c>
      <c r="T306" s="429"/>
      <c r="U306" s="429"/>
      <c r="V306" s="429"/>
      <c r="W306" s="429"/>
      <c r="X306" s="429"/>
      <c r="Y306" s="429"/>
      <c r="Z306" s="429"/>
      <c r="AA306" s="429"/>
      <c r="AB306" s="429"/>
      <c r="AC306" s="429"/>
      <c r="AD306" s="429"/>
      <c r="AE306" s="429"/>
      <c r="AF306" s="429"/>
      <c r="AG306" s="429"/>
      <c r="AH306" s="429"/>
      <c r="AI306" s="429"/>
      <c r="AJ306" s="429"/>
      <c r="AK306" s="429"/>
      <c r="AL306" s="429"/>
      <c r="AM306" s="429"/>
      <c r="AN306" s="429"/>
      <c r="AO306" s="429"/>
      <c r="AP306" s="429"/>
      <c r="AQ306" s="429"/>
      <c r="AR306" s="429"/>
      <c r="AS306" s="429"/>
      <c r="AT306" s="429"/>
      <c r="AU306" s="429"/>
      <c r="AV306" s="429"/>
      <c r="AW306" s="429"/>
      <c r="AX306" s="429"/>
      <c r="AY306" s="429"/>
      <c r="AZ306" s="429"/>
      <c r="BA306" s="429"/>
      <c r="BB306" s="429"/>
      <c r="BC306" s="429"/>
      <c r="BD306" s="429"/>
      <c r="BE306" s="429"/>
      <c r="BF306" s="429"/>
      <c r="BG306" s="429"/>
      <c r="BH306" s="429"/>
      <c r="BI306" s="429"/>
      <c r="BJ306" s="429"/>
      <c r="BK306" s="429"/>
      <c r="BL306" s="429"/>
      <c r="BM306" s="429"/>
      <c r="BN306" s="429"/>
      <c r="BO306" s="429"/>
      <c r="BP306" s="102"/>
      <c r="BQ306" s="102">
        <v>4.637</v>
      </c>
      <c r="BR306" s="451">
        <f t="shared" si="32"/>
        <v>3533.39</v>
      </c>
      <c r="BS306" s="451">
        <f t="shared" si="33"/>
        <v>27383.77</v>
      </c>
      <c r="BT306" s="429" t="str">
        <f>IFERROR(VLOOKUP(E306,名称!A:D,4,FALSE),"")</f>
        <v>KIK</v>
      </c>
    </row>
    <row r="307" s="427" customFormat="1" hidden="1" customHeight="1" spans="1:72">
      <c r="A307" s="93">
        <v>46099</v>
      </c>
      <c r="B307" s="95" t="s">
        <v>237</v>
      </c>
      <c r="C307" s="96">
        <v>10122663</v>
      </c>
      <c r="D307" s="96">
        <v>1042269846</v>
      </c>
      <c r="E307" s="97" t="s">
        <v>154</v>
      </c>
      <c r="F307" s="99">
        <v>832</v>
      </c>
      <c r="G307" s="93">
        <v>46204</v>
      </c>
      <c r="H307" s="429"/>
      <c r="I307" s="429"/>
      <c r="J307" s="429"/>
      <c r="K307" s="429"/>
      <c r="L307" s="429"/>
      <c r="M307" s="429"/>
      <c r="N307" s="429"/>
      <c r="O307" s="429"/>
      <c r="P307" s="429"/>
      <c r="Q307" s="429"/>
      <c r="R307" s="429">
        <f>F307</f>
        <v>832</v>
      </c>
      <c r="S307" s="429"/>
      <c r="T307" s="429"/>
      <c r="U307" s="429"/>
      <c r="V307" s="429"/>
      <c r="W307" s="429"/>
      <c r="X307" s="429"/>
      <c r="Y307" s="429"/>
      <c r="Z307" s="429"/>
      <c r="AA307" s="429"/>
      <c r="AB307" s="429"/>
      <c r="AC307" s="429"/>
      <c r="AD307" s="429"/>
      <c r="AE307" s="429"/>
      <c r="AF307" s="429"/>
      <c r="AG307" s="429"/>
      <c r="AH307" s="429"/>
      <c r="AI307" s="429"/>
      <c r="AJ307" s="429"/>
      <c r="AK307" s="429"/>
      <c r="AL307" s="429"/>
      <c r="AM307" s="429"/>
      <c r="AN307" s="429"/>
      <c r="AO307" s="429"/>
      <c r="AP307" s="429"/>
      <c r="AQ307" s="429"/>
      <c r="AR307" s="429"/>
      <c r="AS307" s="429"/>
      <c r="AT307" s="429"/>
      <c r="AU307" s="429"/>
      <c r="AV307" s="429"/>
      <c r="AW307" s="429"/>
      <c r="AX307" s="429"/>
      <c r="AY307" s="429"/>
      <c r="AZ307" s="429"/>
      <c r="BA307" s="429"/>
      <c r="BB307" s="429"/>
      <c r="BC307" s="429"/>
      <c r="BD307" s="429"/>
      <c r="BE307" s="429"/>
      <c r="BF307" s="429"/>
      <c r="BG307" s="429"/>
      <c r="BH307" s="429"/>
      <c r="BI307" s="429"/>
      <c r="BJ307" s="429"/>
      <c r="BK307" s="429"/>
      <c r="BL307" s="429"/>
      <c r="BM307" s="429"/>
      <c r="BN307" s="429"/>
      <c r="BO307" s="429"/>
      <c r="BP307" s="102"/>
      <c r="BQ307" s="102">
        <v>4.684</v>
      </c>
      <c r="BR307" s="451">
        <f t="shared" si="32"/>
        <v>3897.09</v>
      </c>
      <c r="BS307" s="451">
        <f t="shared" si="33"/>
        <v>30202.45</v>
      </c>
      <c r="BT307" s="429" t="str">
        <f>IFERROR(VLOOKUP(E307,名称!A:D,4,FALSE),"")</f>
        <v>KIK</v>
      </c>
    </row>
    <row r="308" s="427" customFormat="1" hidden="1" customHeight="1" spans="1:72">
      <c r="A308" s="93">
        <v>46099</v>
      </c>
      <c r="B308" s="95" t="s">
        <v>237</v>
      </c>
      <c r="C308" s="96">
        <v>10122665</v>
      </c>
      <c r="D308" s="96">
        <v>1042269852</v>
      </c>
      <c r="E308" s="97" t="s">
        <v>160</v>
      </c>
      <c r="F308" s="99">
        <v>32</v>
      </c>
      <c r="G308" s="93">
        <v>46204</v>
      </c>
      <c r="H308" s="429"/>
      <c r="I308" s="429"/>
      <c r="J308" s="429"/>
      <c r="K308" s="429"/>
      <c r="L308" s="429"/>
      <c r="M308" s="429"/>
      <c r="N308" s="429"/>
      <c r="O308" s="429"/>
      <c r="P308" s="429"/>
      <c r="Q308" s="429"/>
      <c r="R308" s="429"/>
      <c r="S308" s="429"/>
      <c r="T308" s="429"/>
      <c r="U308" s="429"/>
      <c r="V308" s="429"/>
      <c r="W308" s="429"/>
      <c r="X308" s="429"/>
      <c r="Y308" s="429"/>
      <c r="Z308" s="429"/>
      <c r="AA308" s="429"/>
      <c r="AB308" s="429"/>
      <c r="AC308" s="429"/>
      <c r="AD308" s="429"/>
      <c r="AE308" s="429"/>
      <c r="AF308" s="429"/>
      <c r="AG308" s="429"/>
      <c r="AH308" s="429"/>
      <c r="AI308" s="429"/>
      <c r="AJ308" s="429"/>
      <c r="AK308" s="429"/>
      <c r="AL308" s="429"/>
      <c r="AM308" s="429"/>
      <c r="AN308" s="429">
        <f>F308</f>
        <v>32</v>
      </c>
      <c r="AO308" s="429"/>
      <c r="AP308" s="429"/>
      <c r="AQ308" s="429"/>
      <c r="AR308" s="429"/>
      <c r="AS308" s="429"/>
      <c r="AT308" s="429"/>
      <c r="AU308" s="429"/>
      <c r="AV308" s="429"/>
      <c r="AW308" s="429"/>
      <c r="AX308" s="429"/>
      <c r="AY308" s="429"/>
      <c r="AZ308" s="429"/>
      <c r="BA308" s="429"/>
      <c r="BB308" s="429"/>
      <c r="BC308" s="429"/>
      <c r="BD308" s="429"/>
      <c r="BE308" s="429"/>
      <c r="BF308" s="429"/>
      <c r="BG308" s="429"/>
      <c r="BH308" s="429"/>
      <c r="BI308" s="429"/>
      <c r="BJ308" s="429"/>
      <c r="BK308" s="429"/>
      <c r="BL308" s="429"/>
      <c r="BM308" s="429"/>
      <c r="BN308" s="429"/>
      <c r="BO308" s="429"/>
      <c r="BP308" s="102"/>
      <c r="BQ308" s="102">
        <v>5.743</v>
      </c>
      <c r="BR308" s="451">
        <f t="shared" si="32"/>
        <v>183.78</v>
      </c>
      <c r="BS308" s="451">
        <f t="shared" si="33"/>
        <v>1424.3</v>
      </c>
      <c r="BT308" s="429" t="str">
        <f>IFERROR(VLOOKUP(E308,名称!A:D,4,FALSE),"")</f>
        <v>KIK</v>
      </c>
    </row>
    <row r="309" s="427" customFormat="1" hidden="1" customHeight="1" spans="1:72">
      <c r="A309" s="93">
        <v>46099</v>
      </c>
      <c r="B309" s="95" t="s">
        <v>237</v>
      </c>
      <c r="C309" s="96">
        <v>10122665</v>
      </c>
      <c r="D309" s="96">
        <v>1042269852</v>
      </c>
      <c r="E309" s="97" t="s">
        <v>155</v>
      </c>
      <c r="F309" s="99">
        <v>260</v>
      </c>
      <c r="G309" s="93">
        <v>46204</v>
      </c>
      <c r="H309" s="429"/>
      <c r="I309" s="429"/>
      <c r="J309" s="429"/>
      <c r="K309" s="429"/>
      <c r="L309" s="429"/>
      <c r="M309" s="429"/>
      <c r="N309" s="429"/>
      <c r="O309" s="429"/>
      <c r="P309" s="429"/>
      <c r="Q309" s="429"/>
      <c r="R309" s="429"/>
      <c r="S309" s="429">
        <f>F309</f>
        <v>260</v>
      </c>
      <c r="T309" s="429"/>
      <c r="U309" s="429"/>
      <c r="V309" s="429"/>
      <c r="W309" s="429"/>
      <c r="X309" s="429"/>
      <c r="Y309" s="429"/>
      <c r="Z309" s="429"/>
      <c r="AA309" s="429"/>
      <c r="AB309" s="429"/>
      <c r="AC309" s="429"/>
      <c r="AD309" s="429"/>
      <c r="AE309" s="429"/>
      <c r="AF309" s="429"/>
      <c r="AG309" s="429"/>
      <c r="AH309" s="429"/>
      <c r="AI309" s="429"/>
      <c r="AJ309" s="429"/>
      <c r="AK309" s="429"/>
      <c r="AL309" s="429"/>
      <c r="AM309" s="429"/>
      <c r="AN309" s="429"/>
      <c r="AO309" s="429"/>
      <c r="AP309" s="429"/>
      <c r="AQ309" s="429"/>
      <c r="AR309" s="429"/>
      <c r="AS309" s="429"/>
      <c r="AT309" s="429"/>
      <c r="AU309" s="429"/>
      <c r="AV309" s="429"/>
      <c r="AW309" s="429"/>
      <c r="AX309" s="429"/>
      <c r="AY309" s="429"/>
      <c r="AZ309" s="429"/>
      <c r="BA309" s="429"/>
      <c r="BB309" s="429"/>
      <c r="BC309" s="429"/>
      <c r="BD309" s="429"/>
      <c r="BE309" s="429"/>
      <c r="BF309" s="429"/>
      <c r="BG309" s="429"/>
      <c r="BH309" s="429"/>
      <c r="BI309" s="429"/>
      <c r="BJ309" s="429"/>
      <c r="BK309" s="429"/>
      <c r="BL309" s="429"/>
      <c r="BM309" s="429"/>
      <c r="BN309" s="429"/>
      <c r="BO309" s="429"/>
      <c r="BP309" s="102"/>
      <c r="BQ309" s="102">
        <v>4.637</v>
      </c>
      <c r="BR309" s="451">
        <f t="shared" si="32"/>
        <v>1205.62</v>
      </c>
      <c r="BS309" s="451">
        <f t="shared" si="33"/>
        <v>9343.56</v>
      </c>
      <c r="BT309" s="429" t="str">
        <f>IFERROR(VLOOKUP(E309,名称!A:D,4,FALSE),"")</f>
        <v>KIK</v>
      </c>
    </row>
    <row r="310" s="427" customFormat="1" hidden="1" customHeight="1" spans="1:72">
      <c r="A310" s="93">
        <v>46099</v>
      </c>
      <c r="B310" s="95" t="s">
        <v>237</v>
      </c>
      <c r="C310" s="96">
        <v>10122665</v>
      </c>
      <c r="D310" s="96">
        <v>1042269852</v>
      </c>
      <c r="E310" s="97" t="s">
        <v>154</v>
      </c>
      <c r="F310" s="99">
        <v>276</v>
      </c>
      <c r="G310" s="93">
        <v>46204</v>
      </c>
      <c r="H310" s="429"/>
      <c r="I310" s="429"/>
      <c r="J310" s="429"/>
      <c r="K310" s="429"/>
      <c r="L310" s="429"/>
      <c r="M310" s="429"/>
      <c r="N310" s="429"/>
      <c r="O310" s="429"/>
      <c r="P310" s="429"/>
      <c r="Q310" s="429"/>
      <c r="R310" s="429">
        <f>F310</f>
        <v>276</v>
      </c>
      <c r="S310" s="429"/>
      <c r="T310" s="429"/>
      <c r="U310" s="429"/>
      <c r="V310" s="429"/>
      <c r="W310" s="429"/>
      <c r="X310" s="429"/>
      <c r="Y310" s="429"/>
      <c r="Z310" s="429"/>
      <c r="AA310" s="429"/>
      <c r="AB310" s="429"/>
      <c r="AC310" s="429"/>
      <c r="AD310" s="429"/>
      <c r="AE310" s="429"/>
      <c r="AF310" s="429"/>
      <c r="AG310" s="429"/>
      <c r="AH310" s="429"/>
      <c r="AI310" s="429"/>
      <c r="AJ310" s="429"/>
      <c r="AK310" s="429"/>
      <c r="AL310" s="429"/>
      <c r="AM310" s="429"/>
      <c r="AN310" s="429"/>
      <c r="AO310" s="429"/>
      <c r="AP310" s="429"/>
      <c r="AQ310" s="429"/>
      <c r="AR310" s="429"/>
      <c r="AS310" s="429"/>
      <c r="AT310" s="429"/>
      <c r="AU310" s="429"/>
      <c r="AV310" s="429"/>
      <c r="AW310" s="429"/>
      <c r="AX310" s="429"/>
      <c r="AY310" s="429"/>
      <c r="AZ310" s="429"/>
      <c r="BA310" s="429"/>
      <c r="BB310" s="429"/>
      <c r="BC310" s="429"/>
      <c r="BD310" s="429"/>
      <c r="BE310" s="429"/>
      <c r="BF310" s="429"/>
      <c r="BG310" s="429"/>
      <c r="BH310" s="429"/>
      <c r="BI310" s="429"/>
      <c r="BJ310" s="429"/>
      <c r="BK310" s="429"/>
      <c r="BL310" s="429"/>
      <c r="BM310" s="429"/>
      <c r="BN310" s="429"/>
      <c r="BO310" s="429"/>
      <c r="BP310" s="102"/>
      <c r="BQ310" s="102">
        <v>4.684</v>
      </c>
      <c r="BR310" s="451">
        <f t="shared" si="32"/>
        <v>1292.78</v>
      </c>
      <c r="BS310" s="451">
        <f t="shared" si="33"/>
        <v>10019.05</v>
      </c>
      <c r="BT310" s="429" t="str">
        <f>IFERROR(VLOOKUP(E310,名称!A:D,4,FALSE),"")</f>
        <v>KIK</v>
      </c>
    </row>
    <row r="311" s="427" customFormat="1" hidden="1" customHeight="1" spans="1:72">
      <c r="A311" s="93">
        <v>46099</v>
      </c>
      <c r="B311" s="95" t="s">
        <v>237</v>
      </c>
      <c r="C311" s="96">
        <v>10122667</v>
      </c>
      <c r="D311" s="96">
        <v>1042269838</v>
      </c>
      <c r="E311" s="97" t="s">
        <v>154</v>
      </c>
      <c r="F311" s="99">
        <v>168</v>
      </c>
      <c r="G311" s="93">
        <v>46204</v>
      </c>
      <c r="H311" s="429"/>
      <c r="I311" s="429"/>
      <c r="J311" s="429"/>
      <c r="K311" s="429"/>
      <c r="L311" s="429"/>
      <c r="M311" s="429"/>
      <c r="N311" s="429"/>
      <c r="O311" s="429"/>
      <c r="P311" s="429"/>
      <c r="Q311" s="429"/>
      <c r="R311" s="429">
        <f>F311</f>
        <v>168</v>
      </c>
      <c r="S311" s="429"/>
      <c r="T311" s="429"/>
      <c r="U311" s="429"/>
      <c r="V311" s="429"/>
      <c r="W311" s="429"/>
      <c r="X311" s="429"/>
      <c r="Y311" s="429"/>
      <c r="Z311" s="429"/>
      <c r="AA311" s="429"/>
      <c r="AB311" s="429"/>
      <c r="AC311" s="429"/>
      <c r="AD311" s="429"/>
      <c r="AE311" s="429"/>
      <c r="AF311" s="429"/>
      <c r="AG311" s="429"/>
      <c r="AH311" s="429"/>
      <c r="AI311" s="429"/>
      <c r="AJ311" s="429"/>
      <c r="AK311" s="429"/>
      <c r="AL311" s="429"/>
      <c r="AM311" s="429"/>
      <c r="AN311" s="429"/>
      <c r="AO311" s="429"/>
      <c r="AP311" s="429"/>
      <c r="AQ311" s="429"/>
      <c r="AR311" s="429"/>
      <c r="AS311" s="429"/>
      <c r="AT311" s="429"/>
      <c r="AU311" s="429"/>
      <c r="AV311" s="429"/>
      <c r="AW311" s="429"/>
      <c r="AX311" s="429"/>
      <c r="AY311" s="429"/>
      <c r="AZ311" s="429"/>
      <c r="BA311" s="429"/>
      <c r="BB311" s="429"/>
      <c r="BC311" s="429"/>
      <c r="BD311" s="429"/>
      <c r="BE311" s="429"/>
      <c r="BF311" s="429"/>
      <c r="BG311" s="429"/>
      <c r="BH311" s="429"/>
      <c r="BI311" s="429"/>
      <c r="BJ311" s="429"/>
      <c r="BK311" s="429"/>
      <c r="BL311" s="429"/>
      <c r="BM311" s="429"/>
      <c r="BN311" s="429"/>
      <c r="BO311" s="429"/>
      <c r="BP311" s="102"/>
      <c r="BQ311" s="102">
        <v>4.828</v>
      </c>
      <c r="BR311" s="451">
        <f t="shared" si="32"/>
        <v>811.1</v>
      </c>
      <c r="BS311" s="451">
        <f t="shared" si="33"/>
        <v>6286.03</v>
      </c>
      <c r="BT311" s="429" t="str">
        <f>IFERROR(VLOOKUP(E311,名称!A:D,4,FALSE),"")</f>
        <v>KIK</v>
      </c>
    </row>
    <row r="312" s="427" customFormat="1" hidden="1" customHeight="1" spans="1:72">
      <c r="A312" s="93">
        <v>46099</v>
      </c>
      <c r="B312" s="95" t="s">
        <v>237</v>
      </c>
      <c r="C312" s="96">
        <v>10122667</v>
      </c>
      <c r="D312" s="96">
        <v>1042269838</v>
      </c>
      <c r="E312" s="97" t="s">
        <v>155</v>
      </c>
      <c r="F312" s="99">
        <v>298</v>
      </c>
      <c r="G312" s="93">
        <v>46204</v>
      </c>
      <c r="H312" s="429"/>
      <c r="I312" s="429"/>
      <c r="J312" s="429"/>
      <c r="K312" s="429"/>
      <c r="L312" s="429"/>
      <c r="M312" s="429"/>
      <c r="N312" s="429"/>
      <c r="O312" s="429"/>
      <c r="P312" s="429"/>
      <c r="Q312" s="429"/>
      <c r="R312" s="429"/>
      <c r="S312" s="429">
        <f>F312</f>
        <v>298</v>
      </c>
      <c r="T312" s="429"/>
      <c r="U312" s="429"/>
      <c r="V312" s="429"/>
      <c r="W312" s="429"/>
      <c r="X312" s="429"/>
      <c r="Y312" s="429"/>
      <c r="Z312" s="429"/>
      <c r="AA312" s="429"/>
      <c r="AB312" s="429"/>
      <c r="AC312" s="429"/>
      <c r="AD312" s="429"/>
      <c r="AE312" s="429"/>
      <c r="AF312" s="429"/>
      <c r="AG312" s="429"/>
      <c r="AH312" s="429"/>
      <c r="AI312" s="429"/>
      <c r="AJ312" s="429"/>
      <c r="AK312" s="429"/>
      <c r="AL312" s="429"/>
      <c r="AM312" s="429"/>
      <c r="AN312" s="429"/>
      <c r="AO312" s="429"/>
      <c r="AP312" s="429"/>
      <c r="AQ312" s="429"/>
      <c r="AR312" s="429"/>
      <c r="AS312" s="429"/>
      <c r="AT312" s="429"/>
      <c r="AU312" s="429"/>
      <c r="AV312" s="429"/>
      <c r="AW312" s="429"/>
      <c r="AX312" s="429"/>
      <c r="AY312" s="429"/>
      <c r="AZ312" s="429"/>
      <c r="BA312" s="429"/>
      <c r="BB312" s="429"/>
      <c r="BC312" s="429"/>
      <c r="BD312" s="429"/>
      <c r="BE312" s="429"/>
      <c r="BF312" s="429"/>
      <c r="BG312" s="429"/>
      <c r="BH312" s="429"/>
      <c r="BI312" s="429"/>
      <c r="BJ312" s="429"/>
      <c r="BK312" s="429"/>
      <c r="BL312" s="429"/>
      <c r="BM312" s="429"/>
      <c r="BN312" s="429"/>
      <c r="BO312" s="429"/>
      <c r="BP312" s="102"/>
      <c r="BQ312" s="102">
        <v>4.684</v>
      </c>
      <c r="BR312" s="451">
        <f t="shared" si="32"/>
        <v>1395.83</v>
      </c>
      <c r="BS312" s="451">
        <f t="shared" si="33"/>
        <v>10817.68</v>
      </c>
      <c r="BT312" s="429" t="str">
        <f>IFERROR(VLOOKUP(E312,名称!A:D,4,FALSE),"")</f>
        <v>KIK</v>
      </c>
    </row>
    <row r="313" s="427" customFormat="1" hidden="1" customHeight="1" spans="1:72">
      <c r="A313" s="93">
        <v>46099</v>
      </c>
      <c r="B313" s="95" t="s">
        <v>237</v>
      </c>
      <c r="C313" s="96">
        <v>10122650</v>
      </c>
      <c r="D313" s="96">
        <v>1042269833</v>
      </c>
      <c r="E313" s="97" t="s">
        <v>160</v>
      </c>
      <c r="F313" s="99">
        <v>148</v>
      </c>
      <c r="G313" s="93">
        <v>46190</v>
      </c>
      <c r="H313" s="429"/>
      <c r="I313" s="429"/>
      <c r="J313" s="429"/>
      <c r="K313" s="429"/>
      <c r="L313" s="429"/>
      <c r="M313" s="429"/>
      <c r="N313" s="429"/>
      <c r="O313" s="429"/>
      <c r="P313" s="429"/>
      <c r="Q313" s="429"/>
      <c r="R313" s="429"/>
      <c r="S313" s="429"/>
      <c r="T313" s="429"/>
      <c r="U313" s="429"/>
      <c r="V313" s="429"/>
      <c r="W313" s="429"/>
      <c r="X313" s="429"/>
      <c r="Y313" s="429"/>
      <c r="Z313" s="429"/>
      <c r="AA313" s="429"/>
      <c r="AB313" s="429"/>
      <c r="AC313" s="429"/>
      <c r="AD313" s="429"/>
      <c r="AE313" s="429"/>
      <c r="AF313" s="429"/>
      <c r="AG313" s="429"/>
      <c r="AH313" s="429"/>
      <c r="AI313" s="429"/>
      <c r="AJ313" s="429"/>
      <c r="AK313" s="429"/>
      <c r="AL313" s="429"/>
      <c r="AM313" s="429"/>
      <c r="AN313" s="429">
        <f>F313</f>
        <v>148</v>
      </c>
      <c r="AO313" s="429"/>
      <c r="AP313" s="429"/>
      <c r="AQ313" s="429"/>
      <c r="AR313" s="429"/>
      <c r="AS313" s="429"/>
      <c r="AT313" s="429"/>
      <c r="AU313" s="429"/>
      <c r="AV313" s="429"/>
      <c r="AW313" s="429"/>
      <c r="AX313" s="429"/>
      <c r="AY313" s="429"/>
      <c r="AZ313" s="429"/>
      <c r="BA313" s="429"/>
      <c r="BB313" s="429"/>
      <c r="BC313" s="429"/>
      <c r="BD313" s="429"/>
      <c r="BE313" s="429"/>
      <c r="BF313" s="429"/>
      <c r="BG313" s="429"/>
      <c r="BH313" s="429"/>
      <c r="BI313" s="429"/>
      <c r="BJ313" s="429"/>
      <c r="BK313" s="429"/>
      <c r="BL313" s="429"/>
      <c r="BM313" s="429"/>
      <c r="BN313" s="429"/>
      <c r="BO313" s="429"/>
      <c r="BP313" s="102"/>
      <c r="BQ313" s="102">
        <v>5.743</v>
      </c>
      <c r="BR313" s="451">
        <f t="shared" si="27"/>
        <v>849.96</v>
      </c>
      <c r="BS313" s="451">
        <f t="shared" si="29"/>
        <v>6587.19</v>
      </c>
      <c r="BT313" s="429" t="str">
        <f>IFERROR(VLOOKUP(E313,名称!A:D,4,FALSE),"")</f>
        <v>KIK</v>
      </c>
    </row>
    <row r="314" s="427" customFormat="1" hidden="1" customHeight="1" spans="1:72">
      <c r="A314" s="93">
        <v>46099</v>
      </c>
      <c r="B314" s="95" t="s">
        <v>237</v>
      </c>
      <c r="C314" s="96">
        <v>10122650</v>
      </c>
      <c r="D314" s="96">
        <v>1042269833</v>
      </c>
      <c r="E314" s="97" t="s">
        <v>155</v>
      </c>
      <c r="F314" s="99">
        <v>1268</v>
      </c>
      <c r="G314" s="93">
        <v>46190</v>
      </c>
      <c r="H314" s="429"/>
      <c r="I314" s="429"/>
      <c r="J314" s="429"/>
      <c r="K314" s="429"/>
      <c r="L314" s="429"/>
      <c r="M314" s="429"/>
      <c r="N314" s="429"/>
      <c r="O314" s="429"/>
      <c r="P314" s="429"/>
      <c r="Q314" s="429"/>
      <c r="R314" s="429"/>
      <c r="S314" s="429">
        <f>F314</f>
        <v>1268</v>
      </c>
      <c r="T314" s="429"/>
      <c r="U314" s="429"/>
      <c r="V314" s="429"/>
      <c r="W314" s="429"/>
      <c r="X314" s="429"/>
      <c r="Y314" s="429"/>
      <c r="Z314" s="429"/>
      <c r="AA314" s="429"/>
      <c r="AB314" s="429"/>
      <c r="AC314" s="429"/>
      <c r="AD314" s="429"/>
      <c r="AE314" s="429"/>
      <c r="AF314" s="429"/>
      <c r="AG314" s="429"/>
      <c r="AH314" s="429"/>
      <c r="AI314" s="429"/>
      <c r="AJ314" s="429"/>
      <c r="AK314" s="429"/>
      <c r="AL314" s="429"/>
      <c r="AM314" s="429"/>
      <c r="AN314" s="429"/>
      <c r="AO314" s="429"/>
      <c r="AP314" s="429"/>
      <c r="AQ314" s="429"/>
      <c r="AR314" s="429"/>
      <c r="AS314" s="429"/>
      <c r="AT314" s="429"/>
      <c r="AU314" s="429"/>
      <c r="AV314" s="429"/>
      <c r="AW314" s="429"/>
      <c r="AX314" s="429"/>
      <c r="AY314" s="429"/>
      <c r="AZ314" s="429"/>
      <c r="BA314" s="429"/>
      <c r="BB314" s="429"/>
      <c r="BC314" s="429"/>
      <c r="BD314" s="429"/>
      <c r="BE314" s="429"/>
      <c r="BF314" s="429"/>
      <c r="BG314" s="429"/>
      <c r="BH314" s="429"/>
      <c r="BI314" s="429"/>
      <c r="BJ314" s="429"/>
      <c r="BK314" s="429"/>
      <c r="BL314" s="429"/>
      <c r="BM314" s="429"/>
      <c r="BN314" s="429"/>
      <c r="BO314" s="429"/>
      <c r="BP314" s="102"/>
      <c r="BQ314" s="102">
        <v>4.637</v>
      </c>
      <c r="BR314" s="451">
        <f t="shared" si="27"/>
        <v>5879.72</v>
      </c>
      <c r="BS314" s="451">
        <f t="shared" si="29"/>
        <v>45567.83</v>
      </c>
      <c r="BT314" s="429" t="str">
        <f>IFERROR(VLOOKUP(E314,名称!A:D,4,FALSE),"")</f>
        <v>KIK</v>
      </c>
    </row>
    <row r="315" s="427" customFormat="1" hidden="1" customHeight="1" spans="1:72">
      <c r="A315" s="93">
        <v>46099</v>
      </c>
      <c r="B315" s="95" t="s">
        <v>237</v>
      </c>
      <c r="C315" s="96">
        <v>10122650</v>
      </c>
      <c r="D315" s="96">
        <v>1042269833</v>
      </c>
      <c r="E315" s="97" t="s">
        <v>154</v>
      </c>
      <c r="F315" s="99">
        <v>1376</v>
      </c>
      <c r="G315" s="93">
        <v>46190</v>
      </c>
      <c r="H315" s="429"/>
      <c r="I315" s="429"/>
      <c r="J315" s="429"/>
      <c r="K315" s="429"/>
      <c r="L315" s="429"/>
      <c r="M315" s="429"/>
      <c r="N315" s="429"/>
      <c r="O315" s="429"/>
      <c r="P315" s="429"/>
      <c r="Q315" s="429"/>
      <c r="R315" s="429">
        <f>F315</f>
        <v>1376</v>
      </c>
      <c r="S315" s="429"/>
      <c r="T315" s="429"/>
      <c r="U315" s="429"/>
      <c r="V315" s="429"/>
      <c r="W315" s="429"/>
      <c r="X315" s="429"/>
      <c r="Y315" s="429"/>
      <c r="Z315" s="429"/>
      <c r="AA315" s="429"/>
      <c r="AB315" s="429"/>
      <c r="AC315" s="429"/>
      <c r="AD315" s="429"/>
      <c r="AE315" s="429"/>
      <c r="AF315" s="429"/>
      <c r="AG315" s="429"/>
      <c r="AH315" s="429"/>
      <c r="AI315" s="429"/>
      <c r="AJ315" s="429"/>
      <c r="AK315" s="429"/>
      <c r="AL315" s="429"/>
      <c r="AM315" s="429"/>
      <c r="AN315" s="429"/>
      <c r="AO315" s="429"/>
      <c r="AP315" s="429"/>
      <c r="AQ315" s="429"/>
      <c r="AR315" s="429"/>
      <c r="AS315" s="429"/>
      <c r="AT315" s="429"/>
      <c r="AU315" s="429"/>
      <c r="AV315" s="429"/>
      <c r="AW315" s="429"/>
      <c r="AX315" s="429"/>
      <c r="AY315" s="429"/>
      <c r="AZ315" s="429"/>
      <c r="BA315" s="429"/>
      <c r="BB315" s="429"/>
      <c r="BC315" s="429"/>
      <c r="BD315" s="429"/>
      <c r="BE315" s="429"/>
      <c r="BF315" s="429"/>
      <c r="BG315" s="429"/>
      <c r="BH315" s="429"/>
      <c r="BI315" s="429"/>
      <c r="BJ315" s="429"/>
      <c r="BK315" s="429"/>
      <c r="BL315" s="429"/>
      <c r="BM315" s="429"/>
      <c r="BN315" s="429"/>
      <c r="BO315" s="429"/>
      <c r="BP315" s="102"/>
      <c r="BQ315" s="102">
        <v>4.684</v>
      </c>
      <c r="BR315" s="451">
        <f t="shared" si="27"/>
        <v>6445.18</v>
      </c>
      <c r="BS315" s="451">
        <f t="shared" si="29"/>
        <v>49950.15</v>
      </c>
      <c r="BT315" s="429" t="str">
        <f>IFERROR(VLOOKUP(E315,名称!A:D,4,FALSE),"")</f>
        <v>KIK</v>
      </c>
    </row>
    <row r="316" s="427" customFormat="1" hidden="1" customHeight="1" spans="1:72">
      <c r="A316" s="93">
        <v>46099</v>
      </c>
      <c r="B316" s="95" t="s">
        <v>237</v>
      </c>
      <c r="C316" s="96">
        <v>10122648</v>
      </c>
      <c r="D316" s="96">
        <v>1042268801</v>
      </c>
      <c r="E316" s="97" t="s">
        <v>160</v>
      </c>
      <c r="F316" s="99">
        <v>78</v>
      </c>
      <c r="G316" s="93">
        <v>46176</v>
      </c>
      <c r="H316" s="429"/>
      <c r="I316" s="429"/>
      <c r="J316" s="429"/>
      <c r="K316" s="429"/>
      <c r="L316" s="429"/>
      <c r="M316" s="429"/>
      <c r="N316" s="429"/>
      <c r="O316" s="429"/>
      <c r="P316" s="429"/>
      <c r="Q316" s="429"/>
      <c r="R316" s="429"/>
      <c r="S316" s="429"/>
      <c r="T316" s="429"/>
      <c r="U316" s="429"/>
      <c r="V316" s="429"/>
      <c r="W316" s="429"/>
      <c r="X316" s="429"/>
      <c r="Y316" s="429"/>
      <c r="Z316" s="429"/>
      <c r="AA316" s="429"/>
      <c r="AB316" s="429"/>
      <c r="AC316" s="429"/>
      <c r="AD316" s="429"/>
      <c r="AE316" s="429"/>
      <c r="AF316" s="429"/>
      <c r="AG316" s="429"/>
      <c r="AH316" s="429"/>
      <c r="AI316" s="429"/>
      <c r="AJ316" s="429"/>
      <c r="AK316" s="429"/>
      <c r="AL316" s="429"/>
      <c r="AM316" s="429"/>
      <c r="AN316" s="429">
        <f>F316</f>
        <v>78</v>
      </c>
      <c r="AO316" s="429"/>
      <c r="AP316" s="429"/>
      <c r="AQ316" s="429"/>
      <c r="AR316" s="429"/>
      <c r="AS316" s="429"/>
      <c r="AT316" s="429"/>
      <c r="AU316" s="429"/>
      <c r="AV316" s="429"/>
      <c r="AW316" s="429"/>
      <c r="AX316" s="429"/>
      <c r="AY316" s="429"/>
      <c r="AZ316" s="429"/>
      <c r="BA316" s="429"/>
      <c r="BB316" s="429"/>
      <c r="BC316" s="429"/>
      <c r="BD316" s="429"/>
      <c r="BE316" s="429"/>
      <c r="BF316" s="429"/>
      <c r="BG316" s="429"/>
      <c r="BH316" s="429"/>
      <c r="BI316" s="429"/>
      <c r="BJ316" s="429"/>
      <c r="BK316" s="429"/>
      <c r="BL316" s="429"/>
      <c r="BM316" s="429"/>
      <c r="BN316" s="429"/>
      <c r="BO316" s="429"/>
      <c r="BP316" s="102"/>
      <c r="BQ316" s="102">
        <v>5.743</v>
      </c>
      <c r="BR316" s="451">
        <f t="shared" si="27"/>
        <v>447.95</v>
      </c>
      <c r="BS316" s="451">
        <f t="shared" si="29"/>
        <v>3471.61</v>
      </c>
      <c r="BT316" s="429" t="str">
        <f>IFERROR(VLOOKUP(E316,名称!A:D,4,FALSE),"")</f>
        <v>KIK</v>
      </c>
    </row>
    <row r="317" s="427" customFormat="1" hidden="1" customHeight="1" spans="1:72">
      <c r="A317" s="93">
        <v>46099</v>
      </c>
      <c r="B317" s="95" t="s">
        <v>237</v>
      </c>
      <c r="C317" s="96">
        <v>10122648</v>
      </c>
      <c r="D317" s="96">
        <v>1042268801</v>
      </c>
      <c r="E317" s="97" t="s">
        <v>155</v>
      </c>
      <c r="F317" s="99">
        <v>312</v>
      </c>
      <c r="G317" s="93">
        <v>46176</v>
      </c>
      <c r="H317" s="429"/>
      <c r="I317" s="429"/>
      <c r="J317" s="429"/>
      <c r="K317" s="429"/>
      <c r="L317" s="429"/>
      <c r="M317" s="429"/>
      <c r="N317" s="429"/>
      <c r="O317" s="429"/>
      <c r="P317" s="429"/>
      <c r="Q317" s="429"/>
      <c r="R317" s="429"/>
      <c r="S317" s="429">
        <f>F317</f>
        <v>312</v>
      </c>
      <c r="T317" s="429"/>
      <c r="U317" s="429"/>
      <c r="V317" s="429"/>
      <c r="W317" s="429"/>
      <c r="X317" s="429"/>
      <c r="Y317" s="429"/>
      <c r="Z317" s="429"/>
      <c r="AA317" s="429"/>
      <c r="AB317" s="429"/>
      <c r="AC317" s="429"/>
      <c r="AD317" s="429"/>
      <c r="AE317" s="429"/>
      <c r="AF317" s="429"/>
      <c r="AG317" s="429"/>
      <c r="AH317" s="429"/>
      <c r="AI317" s="429"/>
      <c r="AJ317" s="429"/>
      <c r="AK317" s="429"/>
      <c r="AL317" s="429"/>
      <c r="AM317" s="429"/>
      <c r="AN317" s="429"/>
      <c r="AO317" s="429"/>
      <c r="AP317" s="429"/>
      <c r="AQ317" s="429"/>
      <c r="AR317" s="429"/>
      <c r="AS317" s="429"/>
      <c r="AT317" s="429"/>
      <c r="AU317" s="429"/>
      <c r="AV317" s="429"/>
      <c r="AW317" s="429"/>
      <c r="AX317" s="429"/>
      <c r="AY317" s="429"/>
      <c r="AZ317" s="429"/>
      <c r="BA317" s="429"/>
      <c r="BB317" s="429"/>
      <c r="BC317" s="429"/>
      <c r="BD317" s="429"/>
      <c r="BE317" s="429"/>
      <c r="BF317" s="429"/>
      <c r="BG317" s="429"/>
      <c r="BH317" s="429"/>
      <c r="BI317" s="429"/>
      <c r="BJ317" s="429"/>
      <c r="BK317" s="429"/>
      <c r="BL317" s="429"/>
      <c r="BM317" s="429"/>
      <c r="BN317" s="429"/>
      <c r="BO317" s="429"/>
      <c r="BP317" s="102"/>
      <c r="BQ317" s="102">
        <v>4.637</v>
      </c>
      <c r="BR317" s="451">
        <f t="shared" si="27"/>
        <v>1446.74</v>
      </c>
      <c r="BS317" s="451">
        <f t="shared" si="29"/>
        <v>11212.24</v>
      </c>
      <c r="BT317" s="429" t="str">
        <f>IFERROR(VLOOKUP(E317,名称!A:D,4,FALSE),"")</f>
        <v>KIK</v>
      </c>
    </row>
    <row r="318" s="427" customFormat="1" hidden="1" customHeight="1" spans="1:72">
      <c r="A318" s="93">
        <v>46099</v>
      </c>
      <c r="B318" s="95" t="s">
        <v>237</v>
      </c>
      <c r="C318" s="96">
        <v>10122648</v>
      </c>
      <c r="D318" s="96">
        <v>1042268801</v>
      </c>
      <c r="E318" s="97" t="s">
        <v>154</v>
      </c>
      <c r="F318" s="99">
        <v>1036</v>
      </c>
      <c r="G318" s="93">
        <v>46176</v>
      </c>
      <c r="H318" s="429"/>
      <c r="I318" s="429"/>
      <c r="J318" s="429"/>
      <c r="K318" s="429"/>
      <c r="L318" s="429"/>
      <c r="M318" s="429"/>
      <c r="N318" s="429"/>
      <c r="O318" s="429"/>
      <c r="P318" s="429"/>
      <c r="Q318" s="429"/>
      <c r="R318" s="429">
        <f>F318</f>
        <v>1036</v>
      </c>
      <c r="S318" s="429"/>
      <c r="T318" s="429"/>
      <c r="U318" s="429"/>
      <c r="V318" s="429"/>
      <c r="W318" s="429"/>
      <c r="X318" s="429"/>
      <c r="Y318" s="429"/>
      <c r="Z318" s="429"/>
      <c r="AA318" s="429"/>
      <c r="AB318" s="429"/>
      <c r="AC318" s="429"/>
      <c r="AD318" s="429"/>
      <c r="AE318" s="429"/>
      <c r="AF318" s="429"/>
      <c r="AG318" s="429"/>
      <c r="AH318" s="429"/>
      <c r="AI318" s="429"/>
      <c r="AJ318" s="429"/>
      <c r="AK318" s="429"/>
      <c r="AL318" s="429"/>
      <c r="AM318" s="429"/>
      <c r="AN318" s="429"/>
      <c r="AO318" s="429"/>
      <c r="AP318" s="429"/>
      <c r="AQ318" s="429"/>
      <c r="AR318" s="429"/>
      <c r="AS318" s="429"/>
      <c r="AT318" s="429"/>
      <c r="AU318" s="429"/>
      <c r="AV318" s="429"/>
      <c r="AW318" s="429"/>
      <c r="AX318" s="429"/>
      <c r="AY318" s="429"/>
      <c r="AZ318" s="429"/>
      <c r="BA318" s="429"/>
      <c r="BB318" s="429"/>
      <c r="BC318" s="429"/>
      <c r="BD318" s="429"/>
      <c r="BE318" s="429"/>
      <c r="BF318" s="429"/>
      <c r="BG318" s="429"/>
      <c r="BH318" s="429"/>
      <c r="BI318" s="429"/>
      <c r="BJ318" s="429"/>
      <c r="BK318" s="429"/>
      <c r="BL318" s="429"/>
      <c r="BM318" s="429"/>
      <c r="BN318" s="429"/>
      <c r="BO318" s="429"/>
      <c r="BP318" s="102"/>
      <c r="BQ318" s="102">
        <v>4.684</v>
      </c>
      <c r="BR318" s="451">
        <f t="shared" si="27"/>
        <v>4852.62</v>
      </c>
      <c r="BS318" s="451">
        <f t="shared" si="29"/>
        <v>37607.81</v>
      </c>
      <c r="BT318" s="429" t="str">
        <f>IFERROR(VLOOKUP(E318,名称!A:D,4,FALSE),"")</f>
        <v>KIK</v>
      </c>
    </row>
    <row r="319" s="427" customFormat="1" hidden="1" customHeight="1" spans="1:72">
      <c r="A319" s="93">
        <v>46099</v>
      </c>
      <c r="B319" s="95" t="s">
        <v>237</v>
      </c>
      <c r="C319" s="96">
        <v>10122647</v>
      </c>
      <c r="D319" s="96">
        <v>1042268198</v>
      </c>
      <c r="E319" s="97" t="s">
        <v>160</v>
      </c>
      <c r="F319" s="99">
        <v>260</v>
      </c>
      <c r="G319" s="93">
        <v>46169</v>
      </c>
      <c r="H319" s="429"/>
      <c r="I319" s="429"/>
      <c r="J319" s="429"/>
      <c r="K319" s="429"/>
      <c r="L319" s="429"/>
      <c r="M319" s="429"/>
      <c r="N319" s="429"/>
      <c r="O319" s="429"/>
      <c r="P319" s="429"/>
      <c r="Q319" s="429"/>
      <c r="R319" s="429"/>
      <c r="S319" s="429"/>
      <c r="T319" s="429"/>
      <c r="U319" s="429"/>
      <c r="V319" s="429"/>
      <c r="W319" s="429"/>
      <c r="X319" s="429"/>
      <c r="Y319" s="429"/>
      <c r="Z319" s="429"/>
      <c r="AA319" s="429"/>
      <c r="AB319" s="429"/>
      <c r="AC319" s="429"/>
      <c r="AD319" s="429"/>
      <c r="AE319" s="429"/>
      <c r="AF319" s="429"/>
      <c r="AG319" s="429"/>
      <c r="AH319" s="429"/>
      <c r="AI319" s="429"/>
      <c r="AJ319" s="429"/>
      <c r="AK319" s="429"/>
      <c r="AL319" s="429"/>
      <c r="AM319" s="429"/>
      <c r="AN319" s="429">
        <f>F319</f>
        <v>260</v>
      </c>
      <c r="AO319" s="429"/>
      <c r="AP319" s="429"/>
      <c r="AQ319" s="429"/>
      <c r="AR319" s="429"/>
      <c r="AS319" s="429"/>
      <c r="AT319" s="429"/>
      <c r="AU319" s="429"/>
      <c r="AV319" s="429"/>
      <c r="AW319" s="429"/>
      <c r="AX319" s="429"/>
      <c r="AY319" s="429"/>
      <c r="AZ319" s="429"/>
      <c r="BA319" s="429"/>
      <c r="BB319" s="429"/>
      <c r="BC319" s="429"/>
      <c r="BD319" s="429"/>
      <c r="BE319" s="429"/>
      <c r="BF319" s="429"/>
      <c r="BG319" s="429"/>
      <c r="BH319" s="429"/>
      <c r="BI319" s="429"/>
      <c r="BJ319" s="429"/>
      <c r="BK319" s="429"/>
      <c r="BL319" s="429"/>
      <c r="BM319" s="429"/>
      <c r="BN319" s="429"/>
      <c r="BO319" s="429"/>
      <c r="BP319" s="102"/>
      <c r="BQ319" s="102">
        <v>5.743</v>
      </c>
      <c r="BR319" s="451">
        <f t="shared" si="27"/>
        <v>1493.18</v>
      </c>
      <c r="BS319" s="451">
        <f t="shared" si="29"/>
        <v>11572.15</v>
      </c>
      <c r="BT319" s="429" t="str">
        <f>IFERROR(VLOOKUP(E319,名称!A:D,4,FALSE),"")</f>
        <v>KIK</v>
      </c>
    </row>
    <row r="320" s="427" customFormat="1" hidden="1" customHeight="1" spans="1:72">
      <c r="A320" s="93">
        <v>46099</v>
      </c>
      <c r="B320" s="95" t="s">
        <v>237</v>
      </c>
      <c r="C320" s="96">
        <v>10122647</v>
      </c>
      <c r="D320" s="96">
        <v>1042268198</v>
      </c>
      <c r="E320" s="97" t="s">
        <v>155</v>
      </c>
      <c r="F320" s="99">
        <v>344</v>
      </c>
      <c r="G320" s="93">
        <v>46169</v>
      </c>
      <c r="H320" s="429"/>
      <c r="I320" s="429"/>
      <c r="J320" s="429"/>
      <c r="K320" s="429"/>
      <c r="L320" s="429"/>
      <c r="M320" s="429"/>
      <c r="N320" s="429"/>
      <c r="O320" s="429"/>
      <c r="P320" s="429"/>
      <c r="Q320" s="429"/>
      <c r="R320" s="429"/>
      <c r="S320" s="429">
        <f>F320</f>
        <v>344</v>
      </c>
      <c r="T320" s="429"/>
      <c r="U320" s="429"/>
      <c r="V320" s="429"/>
      <c r="W320" s="429"/>
      <c r="X320" s="429"/>
      <c r="Y320" s="429"/>
      <c r="Z320" s="429"/>
      <c r="AA320" s="429"/>
      <c r="AB320" s="429"/>
      <c r="AC320" s="429"/>
      <c r="AD320" s="429"/>
      <c r="AE320" s="429"/>
      <c r="AF320" s="429"/>
      <c r="AG320" s="429"/>
      <c r="AH320" s="429"/>
      <c r="AI320" s="429"/>
      <c r="AJ320" s="429"/>
      <c r="AK320" s="429"/>
      <c r="AL320" s="429"/>
      <c r="AM320" s="429"/>
      <c r="AN320" s="429"/>
      <c r="AO320" s="429"/>
      <c r="AP320" s="429"/>
      <c r="AQ320" s="429"/>
      <c r="AR320" s="429"/>
      <c r="AS320" s="429"/>
      <c r="AT320" s="429"/>
      <c r="AU320" s="429"/>
      <c r="AV320" s="429"/>
      <c r="AW320" s="429"/>
      <c r="AX320" s="429"/>
      <c r="AY320" s="429"/>
      <c r="AZ320" s="429"/>
      <c r="BA320" s="429"/>
      <c r="BB320" s="429"/>
      <c r="BC320" s="429"/>
      <c r="BD320" s="429"/>
      <c r="BE320" s="429"/>
      <c r="BF320" s="429"/>
      <c r="BG320" s="429"/>
      <c r="BH320" s="429"/>
      <c r="BI320" s="429"/>
      <c r="BJ320" s="429"/>
      <c r="BK320" s="429"/>
      <c r="BL320" s="429"/>
      <c r="BM320" s="429"/>
      <c r="BN320" s="429"/>
      <c r="BO320" s="429"/>
      <c r="BP320" s="102"/>
      <c r="BQ320" s="102">
        <v>4.637</v>
      </c>
      <c r="BR320" s="451">
        <f t="shared" si="27"/>
        <v>1595.13</v>
      </c>
      <c r="BS320" s="451">
        <f t="shared" si="29"/>
        <v>12362.26</v>
      </c>
      <c r="BT320" s="429" t="str">
        <f>IFERROR(VLOOKUP(E320,名称!A:D,4,FALSE),"")</f>
        <v>KIK</v>
      </c>
    </row>
    <row r="321" s="427" customFormat="1" hidden="1" customHeight="1" spans="1:72">
      <c r="A321" s="93">
        <v>46099</v>
      </c>
      <c r="B321" s="95" t="s">
        <v>237</v>
      </c>
      <c r="C321" s="96">
        <v>10122647</v>
      </c>
      <c r="D321" s="96">
        <v>1042268198</v>
      </c>
      <c r="E321" s="97" t="s">
        <v>154</v>
      </c>
      <c r="F321" s="99">
        <v>820</v>
      </c>
      <c r="G321" s="93">
        <v>46169</v>
      </c>
      <c r="H321" s="429"/>
      <c r="I321" s="429"/>
      <c r="J321" s="429"/>
      <c r="K321" s="429"/>
      <c r="L321" s="429"/>
      <c r="M321" s="429"/>
      <c r="N321" s="429"/>
      <c r="O321" s="429"/>
      <c r="P321" s="429"/>
      <c r="Q321" s="429"/>
      <c r="R321" s="429">
        <f>F321</f>
        <v>820</v>
      </c>
      <c r="S321" s="429"/>
      <c r="T321" s="429"/>
      <c r="U321" s="429"/>
      <c r="V321" s="429"/>
      <c r="W321" s="429"/>
      <c r="X321" s="429"/>
      <c r="Y321" s="429"/>
      <c r="Z321" s="429"/>
      <c r="AA321" s="429"/>
      <c r="AB321" s="429"/>
      <c r="AC321" s="429"/>
      <c r="AD321" s="429"/>
      <c r="AE321" s="429"/>
      <c r="AF321" s="429"/>
      <c r="AG321" s="429"/>
      <c r="AH321" s="429"/>
      <c r="AI321" s="429"/>
      <c r="AJ321" s="429"/>
      <c r="AK321" s="429"/>
      <c r="AL321" s="429"/>
      <c r="AM321" s="429"/>
      <c r="AN321" s="429"/>
      <c r="AO321" s="429"/>
      <c r="AP321" s="429"/>
      <c r="AQ321" s="429"/>
      <c r="AR321" s="429"/>
      <c r="AS321" s="429"/>
      <c r="AT321" s="429"/>
      <c r="AU321" s="429"/>
      <c r="AV321" s="429"/>
      <c r="AW321" s="429"/>
      <c r="AX321" s="429"/>
      <c r="AY321" s="429"/>
      <c r="AZ321" s="429"/>
      <c r="BA321" s="429"/>
      <c r="BB321" s="429"/>
      <c r="BC321" s="429"/>
      <c r="BD321" s="429"/>
      <c r="BE321" s="429"/>
      <c r="BF321" s="429"/>
      <c r="BG321" s="429"/>
      <c r="BH321" s="429"/>
      <c r="BI321" s="429"/>
      <c r="BJ321" s="429"/>
      <c r="BK321" s="429"/>
      <c r="BL321" s="429"/>
      <c r="BM321" s="429"/>
      <c r="BN321" s="429"/>
      <c r="BO321" s="429"/>
      <c r="BP321" s="102"/>
      <c r="BQ321" s="102">
        <v>4.684</v>
      </c>
      <c r="BR321" s="451">
        <f t="shared" si="27"/>
        <v>3840.88</v>
      </c>
      <c r="BS321" s="451">
        <f t="shared" si="29"/>
        <v>29766.82</v>
      </c>
      <c r="BT321" s="429" t="str">
        <f>IFERROR(VLOOKUP(E321,名称!A:D,4,FALSE),"")</f>
        <v>KIK</v>
      </c>
    </row>
    <row r="322" s="427" customFormat="1" hidden="1" customHeight="1" spans="1:72">
      <c r="A322" s="93">
        <v>46099</v>
      </c>
      <c r="B322" s="95" t="s">
        <v>237</v>
      </c>
      <c r="C322" s="96">
        <v>10122645</v>
      </c>
      <c r="D322" s="96">
        <v>1042268796</v>
      </c>
      <c r="E322" s="97" t="s">
        <v>160</v>
      </c>
      <c r="F322" s="99">
        <v>450</v>
      </c>
      <c r="G322" s="93">
        <v>46169</v>
      </c>
      <c r="H322" s="429"/>
      <c r="I322" s="429"/>
      <c r="J322" s="429"/>
      <c r="K322" s="429"/>
      <c r="L322" s="429"/>
      <c r="M322" s="429"/>
      <c r="N322" s="429"/>
      <c r="O322" s="429"/>
      <c r="P322" s="429"/>
      <c r="Q322" s="429"/>
      <c r="R322" s="429"/>
      <c r="S322" s="429"/>
      <c r="T322" s="429"/>
      <c r="U322" s="429"/>
      <c r="V322" s="429"/>
      <c r="W322" s="429"/>
      <c r="X322" s="429"/>
      <c r="Y322" s="429"/>
      <c r="Z322" s="429"/>
      <c r="AA322" s="429"/>
      <c r="AB322" s="429"/>
      <c r="AC322" s="429"/>
      <c r="AD322" s="429"/>
      <c r="AE322" s="429"/>
      <c r="AF322" s="429"/>
      <c r="AG322" s="429"/>
      <c r="AH322" s="429"/>
      <c r="AI322" s="429"/>
      <c r="AJ322" s="429"/>
      <c r="AK322" s="429"/>
      <c r="AL322" s="429"/>
      <c r="AM322" s="429"/>
      <c r="AN322" s="429">
        <f>F322</f>
        <v>450</v>
      </c>
      <c r="AO322" s="429"/>
      <c r="AP322" s="429"/>
      <c r="AQ322" s="429"/>
      <c r="AR322" s="429"/>
      <c r="AS322" s="429"/>
      <c r="AT322" s="429"/>
      <c r="AU322" s="429"/>
      <c r="AV322" s="429"/>
      <c r="AW322" s="429"/>
      <c r="AX322" s="429"/>
      <c r="AY322" s="429"/>
      <c r="AZ322" s="429"/>
      <c r="BA322" s="429"/>
      <c r="BB322" s="429"/>
      <c r="BC322" s="429"/>
      <c r="BD322" s="429"/>
      <c r="BE322" s="429"/>
      <c r="BF322" s="429"/>
      <c r="BG322" s="429"/>
      <c r="BH322" s="429"/>
      <c r="BI322" s="429"/>
      <c r="BJ322" s="429"/>
      <c r="BK322" s="429"/>
      <c r="BL322" s="429"/>
      <c r="BM322" s="429"/>
      <c r="BN322" s="429"/>
      <c r="BO322" s="429"/>
      <c r="BP322" s="102"/>
      <c r="BQ322" s="102">
        <v>5.743</v>
      </c>
      <c r="BR322" s="451">
        <f t="shared" si="27"/>
        <v>2584.35</v>
      </c>
      <c r="BS322" s="451">
        <f t="shared" ref="BS322:BS361" si="34">BR322*7.75</f>
        <v>20028.71</v>
      </c>
      <c r="BT322" s="429" t="str">
        <f>IFERROR(VLOOKUP(E322,名称!A:D,4,FALSE),"")</f>
        <v>KIK</v>
      </c>
    </row>
    <row r="323" s="427" customFormat="1" hidden="1" customHeight="1" spans="1:72">
      <c r="A323" s="93">
        <v>46099</v>
      </c>
      <c r="B323" s="95" t="s">
        <v>237</v>
      </c>
      <c r="C323" s="96">
        <v>10122645</v>
      </c>
      <c r="D323" s="96">
        <v>1042268796</v>
      </c>
      <c r="E323" s="97" t="s">
        <v>155</v>
      </c>
      <c r="F323" s="99">
        <v>528</v>
      </c>
      <c r="G323" s="93">
        <v>46169</v>
      </c>
      <c r="H323" s="429"/>
      <c r="I323" s="429"/>
      <c r="J323" s="429"/>
      <c r="K323" s="429"/>
      <c r="L323" s="429"/>
      <c r="M323" s="429"/>
      <c r="N323" s="429"/>
      <c r="O323" s="429"/>
      <c r="P323" s="429"/>
      <c r="Q323" s="429"/>
      <c r="R323" s="429"/>
      <c r="S323" s="429">
        <f>F323</f>
        <v>528</v>
      </c>
      <c r="T323" s="429"/>
      <c r="U323" s="429"/>
      <c r="V323" s="429"/>
      <c r="W323" s="429"/>
      <c r="X323" s="429"/>
      <c r="Y323" s="429"/>
      <c r="Z323" s="429"/>
      <c r="AA323" s="429"/>
      <c r="AB323" s="429"/>
      <c r="AC323" s="429"/>
      <c r="AD323" s="429"/>
      <c r="AE323" s="429"/>
      <c r="AF323" s="429"/>
      <c r="AG323" s="429"/>
      <c r="AH323" s="429"/>
      <c r="AI323" s="429"/>
      <c r="AJ323" s="429"/>
      <c r="AK323" s="429"/>
      <c r="AL323" s="429"/>
      <c r="AM323" s="429"/>
      <c r="AN323" s="429"/>
      <c r="AO323" s="429"/>
      <c r="AP323" s="429"/>
      <c r="AQ323" s="429"/>
      <c r="AR323" s="429"/>
      <c r="AS323" s="429"/>
      <c r="AT323" s="429"/>
      <c r="AU323" s="429"/>
      <c r="AV323" s="429"/>
      <c r="AW323" s="429"/>
      <c r="AX323" s="429"/>
      <c r="AY323" s="429"/>
      <c r="AZ323" s="429"/>
      <c r="BA323" s="429"/>
      <c r="BB323" s="429"/>
      <c r="BC323" s="429"/>
      <c r="BD323" s="429"/>
      <c r="BE323" s="429"/>
      <c r="BF323" s="429"/>
      <c r="BG323" s="429"/>
      <c r="BH323" s="429"/>
      <c r="BI323" s="429"/>
      <c r="BJ323" s="429"/>
      <c r="BK323" s="429"/>
      <c r="BL323" s="429"/>
      <c r="BM323" s="429"/>
      <c r="BN323" s="429"/>
      <c r="BO323" s="429"/>
      <c r="BP323" s="102"/>
      <c r="BQ323" s="102">
        <v>4.637</v>
      </c>
      <c r="BR323" s="451">
        <f t="shared" si="27"/>
        <v>2448.34</v>
      </c>
      <c r="BS323" s="451">
        <f t="shared" si="34"/>
        <v>18974.64</v>
      </c>
      <c r="BT323" s="429" t="str">
        <f>IFERROR(VLOOKUP(E323,名称!A:D,4,FALSE),"")</f>
        <v>KIK</v>
      </c>
    </row>
    <row r="324" s="427" customFormat="1" hidden="1" customHeight="1" spans="1:72">
      <c r="A324" s="93">
        <v>46099</v>
      </c>
      <c r="B324" s="95" t="s">
        <v>237</v>
      </c>
      <c r="C324" s="97">
        <v>10122669</v>
      </c>
      <c r="D324" s="96">
        <v>1042269828</v>
      </c>
      <c r="E324" s="97" t="s">
        <v>160</v>
      </c>
      <c r="F324" s="99">
        <v>90</v>
      </c>
      <c r="G324" s="93">
        <v>46204</v>
      </c>
      <c r="H324" s="429"/>
      <c r="I324" s="429"/>
      <c r="J324" s="429"/>
      <c r="K324" s="429"/>
      <c r="L324" s="429"/>
      <c r="M324" s="429"/>
      <c r="N324" s="429"/>
      <c r="O324" s="429"/>
      <c r="P324" s="429"/>
      <c r="Q324" s="429"/>
      <c r="R324" s="429"/>
      <c r="S324" s="429"/>
      <c r="T324" s="429"/>
      <c r="U324" s="429"/>
      <c r="V324" s="429"/>
      <c r="W324" s="429"/>
      <c r="X324" s="429"/>
      <c r="Y324" s="429"/>
      <c r="Z324" s="429"/>
      <c r="AA324" s="429"/>
      <c r="AB324" s="429"/>
      <c r="AC324" s="429"/>
      <c r="AD324" s="429"/>
      <c r="AE324" s="429"/>
      <c r="AF324" s="429"/>
      <c r="AG324" s="429"/>
      <c r="AH324" s="429"/>
      <c r="AI324" s="429"/>
      <c r="AJ324" s="429"/>
      <c r="AK324" s="429"/>
      <c r="AL324" s="429"/>
      <c r="AM324" s="429"/>
      <c r="AN324" s="429">
        <f>F324</f>
        <v>90</v>
      </c>
      <c r="AO324" s="429"/>
      <c r="AP324" s="429"/>
      <c r="AQ324" s="429"/>
      <c r="AR324" s="429"/>
      <c r="AS324" s="429"/>
      <c r="AT324" s="429"/>
      <c r="AU324" s="429"/>
      <c r="AV324" s="429"/>
      <c r="AW324" s="429"/>
      <c r="AX324" s="429"/>
      <c r="AY324" s="429"/>
      <c r="AZ324" s="429"/>
      <c r="BA324" s="429"/>
      <c r="BB324" s="429"/>
      <c r="BC324" s="429"/>
      <c r="BD324" s="429"/>
      <c r="BE324" s="429"/>
      <c r="BF324" s="429"/>
      <c r="BG324" s="429"/>
      <c r="BH324" s="429"/>
      <c r="BI324" s="429"/>
      <c r="BJ324" s="429"/>
      <c r="BK324" s="429"/>
      <c r="BL324" s="429"/>
      <c r="BM324" s="429"/>
      <c r="BN324" s="429"/>
      <c r="BO324" s="429"/>
      <c r="BP324" s="102"/>
      <c r="BQ324" s="102">
        <v>5.743</v>
      </c>
      <c r="BR324" s="451">
        <f t="shared" si="27"/>
        <v>516.87</v>
      </c>
      <c r="BS324" s="451">
        <f t="shared" si="34"/>
        <v>4005.74</v>
      </c>
      <c r="BT324" s="429" t="str">
        <f>IFERROR(VLOOKUP(E324,名称!A:D,4,FALSE),"")</f>
        <v>KIK</v>
      </c>
    </row>
    <row r="325" s="427" customFormat="1" hidden="1" customHeight="1" spans="1:72">
      <c r="A325" s="93">
        <v>46099</v>
      </c>
      <c r="B325" s="95" t="s">
        <v>237</v>
      </c>
      <c r="C325" s="97">
        <v>10122669</v>
      </c>
      <c r="D325" s="96">
        <v>1042269828</v>
      </c>
      <c r="E325" s="97" t="s">
        <v>155</v>
      </c>
      <c r="F325" s="99">
        <v>658</v>
      </c>
      <c r="G325" s="93">
        <v>46204</v>
      </c>
      <c r="H325" s="429"/>
      <c r="I325" s="429"/>
      <c r="J325" s="429"/>
      <c r="K325" s="429"/>
      <c r="L325" s="429"/>
      <c r="M325" s="429"/>
      <c r="N325" s="429"/>
      <c r="O325" s="429"/>
      <c r="P325" s="429"/>
      <c r="Q325" s="429"/>
      <c r="R325" s="429"/>
      <c r="S325" s="429">
        <f>F325</f>
        <v>658</v>
      </c>
      <c r="T325" s="429"/>
      <c r="U325" s="429"/>
      <c r="V325" s="429"/>
      <c r="W325" s="429"/>
      <c r="X325" s="429"/>
      <c r="Y325" s="429"/>
      <c r="Z325" s="429"/>
      <c r="AA325" s="429"/>
      <c r="AB325" s="429"/>
      <c r="AC325" s="429"/>
      <c r="AD325" s="429"/>
      <c r="AE325" s="429"/>
      <c r="AF325" s="429"/>
      <c r="AG325" s="429"/>
      <c r="AH325" s="429"/>
      <c r="AI325" s="429"/>
      <c r="AJ325" s="429"/>
      <c r="AK325" s="429"/>
      <c r="AL325" s="429"/>
      <c r="AM325" s="429"/>
      <c r="AN325" s="429"/>
      <c r="AO325" s="429"/>
      <c r="AP325" s="429"/>
      <c r="AQ325" s="429"/>
      <c r="AR325" s="429"/>
      <c r="AS325" s="429"/>
      <c r="AT325" s="429"/>
      <c r="AU325" s="429"/>
      <c r="AV325" s="429"/>
      <c r="AW325" s="429"/>
      <c r="AX325" s="429"/>
      <c r="AY325" s="429"/>
      <c r="AZ325" s="429"/>
      <c r="BA325" s="429"/>
      <c r="BB325" s="429"/>
      <c r="BC325" s="429"/>
      <c r="BD325" s="429"/>
      <c r="BE325" s="429"/>
      <c r="BF325" s="429"/>
      <c r="BG325" s="429"/>
      <c r="BH325" s="429"/>
      <c r="BI325" s="429"/>
      <c r="BJ325" s="429"/>
      <c r="BK325" s="429"/>
      <c r="BL325" s="429"/>
      <c r="BM325" s="429"/>
      <c r="BN325" s="429"/>
      <c r="BO325" s="429"/>
      <c r="BP325" s="102"/>
      <c r="BQ325" s="102">
        <v>4.637</v>
      </c>
      <c r="BR325" s="451">
        <f t="shared" si="27"/>
        <v>3051.15</v>
      </c>
      <c r="BS325" s="451">
        <f t="shared" si="34"/>
        <v>23646.41</v>
      </c>
      <c r="BT325" s="429" t="str">
        <f>IFERROR(VLOOKUP(E325,名称!A:D,4,FALSE),"")</f>
        <v>KIK</v>
      </c>
    </row>
    <row r="326" s="427" customFormat="1" hidden="1" customHeight="1" spans="1:72">
      <c r="A326" s="93">
        <v>46099</v>
      </c>
      <c r="B326" s="95" t="s">
        <v>237</v>
      </c>
      <c r="C326" s="97">
        <v>10122669</v>
      </c>
      <c r="D326" s="96">
        <v>1042269828</v>
      </c>
      <c r="E326" s="97" t="s">
        <v>154</v>
      </c>
      <c r="F326" s="99">
        <v>740</v>
      </c>
      <c r="G326" s="93">
        <v>46204</v>
      </c>
      <c r="H326" s="429"/>
      <c r="I326" s="429"/>
      <c r="J326" s="429"/>
      <c r="K326" s="429"/>
      <c r="L326" s="429"/>
      <c r="M326" s="429"/>
      <c r="N326" s="429"/>
      <c r="O326" s="429"/>
      <c r="P326" s="429"/>
      <c r="Q326" s="429"/>
      <c r="R326" s="429">
        <f>F326</f>
        <v>740</v>
      </c>
      <c r="S326" s="429"/>
      <c r="T326" s="429"/>
      <c r="U326" s="429"/>
      <c r="V326" s="429"/>
      <c r="W326" s="429"/>
      <c r="X326" s="429"/>
      <c r="Y326" s="429"/>
      <c r="Z326" s="429"/>
      <c r="AA326" s="429"/>
      <c r="AB326" s="429"/>
      <c r="AC326" s="429"/>
      <c r="AD326" s="429"/>
      <c r="AE326" s="429"/>
      <c r="AF326" s="429"/>
      <c r="AG326" s="429"/>
      <c r="AH326" s="429"/>
      <c r="AI326" s="429"/>
      <c r="AJ326" s="429"/>
      <c r="AK326" s="429"/>
      <c r="AL326" s="429"/>
      <c r="AM326" s="429"/>
      <c r="AN326" s="429"/>
      <c r="AO326" s="429"/>
      <c r="AP326" s="429"/>
      <c r="AQ326" s="429"/>
      <c r="AR326" s="429"/>
      <c r="AS326" s="429"/>
      <c r="AT326" s="429"/>
      <c r="AU326" s="429"/>
      <c r="AV326" s="429"/>
      <c r="AW326" s="429"/>
      <c r="AX326" s="429"/>
      <c r="AY326" s="429"/>
      <c r="AZ326" s="429"/>
      <c r="BA326" s="429"/>
      <c r="BB326" s="429"/>
      <c r="BC326" s="429"/>
      <c r="BD326" s="429"/>
      <c r="BE326" s="429"/>
      <c r="BF326" s="429"/>
      <c r="BG326" s="429"/>
      <c r="BH326" s="429"/>
      <c r="BI326" s="429"/>
      <c r="BJ326" s="429"/>
      <c r="BK326" s="429"/>
      <c r="BL326" s="429"/>
      <c r="BM326" s="429"/>
      <c r="BN326" s="429"/>
      <c r="BO326" s="429"/>
      <c r="BP326" s="102"/>
      <c r="BQ326" s="102">
        <v>4.684</v>
      </c>
      <c r="BR326" s="451">
        <f t="shared" si="27"/>
        <v>3466.16</v>
      </c>
      <c r="BS326" s="451">
        <f t="shared" si="34"/>
        <v>26862.74</v>
      </c>
      <c r="BT326" s="429" t="str">
        <f>IFERROR(VLOOKUP(E326,名称!A:D,4,FALSE),"")</f>
        <v>KIK</v>
      </c>
    </row>
    <row r="327" s="427" customFormat="1" hidden="1" customHeight="1" spans="1:72">
      <c r="A327" s="93">
        <v>46100</v>
      </c>
      <c r="B327" s="95" t="s">
        <v>237</v>
      </c>
      <c r="C327" s="96">
        <v>10122824</v>
      </c>
      <c r="D327" s="96">
        <v>4881634</v>
      </c>
      <c r="E327" s="97" t="s">
        <v>39</v>
      </c>
      <c r="F327" s="99">
        <v>476</v>
      </c>
      <c r="G327" s="93">
        <v>46176</v>
      </c>
      <c r="H327" s="429"/>
      <c r="I327" s="429"/>
      <c r="J327" s="429"/>
      <c r="K327" s="429"/>
      <c r="L327" s="429"/>
      <c r="M327" s="429"/>
      <c r="N327" s="429"/>
      <c r="O327" s="429"/>
      <c r="P327" s="429"/>
      <c r="Q327" s="429"/>
      <c r="R327" s="429"/>
      <c r="S327" s="429"/>
      <c r="T327" s="429"/>
      <c r="U327" s="429"/>
      <c r="V327" s="429"/>
      <c r="W327" s="429">
        <f>F327</f>
        <v>476</v>
      </c>
      <c r="X327" s="429"/>
      <c r="Y327" s="429"/>
      <c r="Z327" s="429"/>
      <c r="AA327" s="429"/>
      <c r="AB327" s="429"/>
      <c r="AC327" s="429"/>
      <c r="AD327" s="429"/>
      <c r="AE327" s="429"/>
      <c r="AF327" s="429"/>
      <c r="AG327" s="429"/>
      <c r="AH327" s="429"/>
      <c r="AI327" s="429"/>
      <c r="AJ327" s="429"/>
      <c r="AK327" s="429"/>
      <c r="AL327" s="429"/>
      <c r="AM327" s="429"/>
      <c r="AN327" s="429"/>
      <c r="AO327" s="429"/>
      <c r="AP327" s="429"/>
      <c r="AQ327" s="429"/>
      <c r="AR327" s="429"/>
      <c r="AS327" s="429"/>
      <c r="AT327" s="429"/>
      <c r="AU327" s="429"/>
      <c r="AV327" s="429"/>
      <c r="AW327" s="429"/>
      <c r="AX327" s="429"/>
      <c r="AY327" s="429"/>
      <c r="AZ327" s="429"/>
      <c r="BA327" s="429"/>
      <c r="BB327" s="429"/>
      <c r="BC327" s="429"/>
      <c r="BD327" s="429"/>
      <c r="BE327" s="429"/>
      <c r="BF327" s="429"/>
      <c r="BG327" s="429"/>
      <c r="BH327" s="429"/>
      <c r="BI327" s="429"/>
      <c r="BJ327" s="429"/>
      <c r="BK327" s="429"/>
      <c r="BL327" s="429"/>
      <c r="BM327" s="429"/>
      <c r="BN327" s="429"/>
      <c r="BO327" s="429"/>
      <c r="BP327" s="102"/>
      <c r="BQ327" s="102">
        <v>30.536</v>
      </c>
      <c r="BR327" s="451">
        <f t="shared" si="27"/>
        <v>14535.14</v>
      </c>
      <c r="BS327" s="451">
        <f t="shared" si="34"/>
        <v>112647.34</v>
      </c>
      <c r="BT327" s="429" t="str">
        <f>IFERROR(VLOOKUP(E327,名称!A:D,4,FALSE),"")</f>
        <v>KIK</v>
      </c>
    </row>
    <row r="328" s="427" customFormat="1" hidden="1" customHeight="1" spans="1:72">
      <c r="A328" s="93">
        <v>46100</v>
      </c>
      <c r="B328" s="95" t="s">
        <v>237</v>
      </c>
      <c r="C328" s="96">
        <v>10122824</v>
      </c>
      <c r="D328" s="96">
        <v>4881634</v>
      </c>
      <c r="E328" s="97">
        <v>47669</v>
      </c>
      <c r="F328" s="99">
        <v>472</v>
      </c>
      <c r="G328" s="93">
        <v>46176</v>
      </c>
      <c r="H328" s="429"/>
      <c r="I328" s="429"/>
      <c r="J328" s="429"/>
      <c r="K328" s="429"/>
      <c r="L328" s="429"/>
      <c r="M328" s="429"/>
      <c r="N328" s="429"/>
      <c r="O328" s="429"/>
      <c r="P328" s="429"/>
      <c r="Q328" s="429"/>
      <c r="R328" s="429">
        <f>F328</f>
        <v>472</v>
      </c>
      <c r="S328" s="429"/>
      <c r="T328" s="429"/>
      <c r="U328" s="429"/>
      <c r="V328" s="429"/>
      <c r="W328" s="429"/>
      <c r="X328" s="429"/>
      <c r="Y328" s="429"/>
      <c r="Z328" s="429"/>
      <c r="AA328" s="429"/>
      <c r="AB328" s="429"/>
      <c r="AC328" s="429"/>
      <c r="AD328" s="429"/>
      <c r="AE328" s="429"/>
      <c r="AF328" s="429"/>
      <c r="AG328" s="429"/>
      <c r="AH328" s="429"/>
      <c r="AI328" s="429"/>
      <c r="AJ328" s="429"/>
      <c r="AK328" s="429"/>
      <c r="AL328" s="429"/>
      <c r="AM328" s="429"/>
      <c r="AN328" s="429"/>
      <c r="AO328" s="429"/>
      <c r="AP328" s="429"/>
      <c r="AQ328" s="429"/>
      <c r="AR328" s="429"/>
      <c r="AS328" s="429"/>
      <c r="AT328" s="429"/>
      <c r="AU328" s="429"/>
      <c r="AV328" s="429"/>
      <c r="AW328" s="429"/>
      <c r="AX328" s="429"/>
      <c r="AY328" s="429"/>
      <c r="AZ328" s="429"/>
      <c r="BA328" s="429"/>
      <c r="BB328" s="429"/>
      <c r="BC328" s="429"/>
      <c r="BD328" s="429"/>
      <c r="BE328" s="429"/>
      <c r="BF328" s="429"/>
      <c r="BG328" s="429"/>
      <c r="BH328" s="429"/>
      <c r="BI328" s="429"/>
      <c r="BJ328" s="429"/>
      <c r="BK328" s="429"/>
      <c r="BL328" s="429"/>
      <c r="BM328" s="429"/>
      <c r="BN328" s="429"/>
      <c r="BO328" s="429"/>
      <c r="BP328" s="102"/>
      <c r="BQ328" s="102">
        <v>4.808</v>
      </c>
      <c r="BR328" s="451">
        <f t="shared" si="27"/>
        <v>2269.38</v>
      </c>
      <c r="BS328" s="451">
        <f t="shared" si="34"/>
        <v>17587.7</v>
      </c>
      <c r="BT328" s="429" t="str">
        <f>IFERROR(VLOOKUP(E328,名称!A:D,4,FALSE),"")</f>
        <v>KIK</v>
      </c>
    </row>
    <row r="329" s="427" customFormat="1" hidden="1" customHeight="1" spans="1:72">
      <c r="A329" s="93">
        <v>46100</v>
      </c>
      <c r="B329" s="95" t="s">
        <v>237</v>
      </c>
      <c r="C329" s="96">
        <v>10122824</v>
      </c>
      <c r="D329" s="96">
        <v>4881634</v>
      </c>
      <c r="E329" s="97" t="s">
        <v>109</v>
      </c>
      <c r="F329" s="99">
        <v>472</v>
      </c>
      <c r="G329" s="93">
        <v>46176</v>
      </c>
      <c r="H329" s="429"/>
      <c r="I329" s="429"/>
      <c r="J329" s="429"/>
      <c r="K329" s="429"/>
      <c r="L329" s="429"/>
      <c r="M329" s="429"/>
      <c r="N329" s="429"/>
      <c r="O329" s="429"/>
      <c r="P329" s="429"/>
      <c r="Q329" s="429"/>
      <c r="R329" s="429"/>
      <c r="S329" s="429"/>
      <c r="T329" s="429"/>
      <c r="U329" s="429"/>
      <c r="V329" s="429"/>
      <c r="W329" s="429"/>
      <c r="X329" s="429"/>
      <c r="Y329" s="429"/>
      <c r="Z329" s="429"/>
      <c r="AA329" s="429"/>
      <c r="AB329" s="429"/>
      <c r="AC329" s="429"/>
      <c r="AD329" s="429"/>
      <c r="AE329" s="429"/>
      <c r="AF329" s="429"/>
      <c r="AG329" s="429"/>
      <c r="AH329" s="429"/>
      <c r="AI329" s="429"/>
      <c r="AJ329" s="429"/>
      <c r="AK329" s="429"/>
      <c r="AL329" s="429">
        <f>F329</f>
        <v>472</v>
      </c>
      <c r="AM329" s="429"/>
      <c r="AN329" s="429"/>
      <c r="AO329" s="429"/>
      <c r="AP329" s="429"/>
      <c r="AQ329" s="429"/>
      <c r="AR329" s="429"/>
      <c r="AS329" s="429"/>
      <c r="AT329" s="429"/>
      <c r="AU329" s="429"/>
      <c r="AV329" s="429"/>
      <c r="AW329" s="429"/>
      <c r="AX329" s="429"/>
      <c r="AY329" s="429"/>
      <c r="AZ329" s="429"/>
      <c r="BA329" s="429"/>
      <c r="BB329" s="429"/>
      <c r="BC329" s="429"/>
      <c r="BD329" s="429"/>
      <c r="BE329" s="429"/>
      <c r="BF329" s="429"/>
      <c r="BG329" s="429"/>
      <c r="BH329" s="429"/>
      <c r="BI329" s="429"/>
      <c r="BJ329" s="429"/>
      <c r="BK329" s="429"/>
      <c r="BL329" s="429"/>
      <c r="BM329" s="429"/>
      <c r="BN329" s="429"/>
      <c r="BO329" s="429"/>
      <c r="BP329" s="102"/>
      <c r="BQ329" s="102">
        <v>3.886</v>
      </c>
      <c r="BR329" s="451">
        <f t="shared" si="27"/>
        <v>1834.19</v>
      </c>
      <c r="BS329" s="451">
        <f t="shared" si="34"/>
        <v>14214.97</v>
      </c>
      <c r="BT329" s="429" t="str">
        <f>IFERROR(VLOOKUP(E329,名称!A:D,4,FALSE),"")</f>
        <v>KIK</v>
      </c>
    </row>
    <row r="330" s="427" customFormat="1" hidden="1" customHeight="1" spans="1:72">
      <c r="A330" s="93">
        <v>46100</v>
      </c>
      <c r="B330" s="95" t="s">
        <v>237</v>
      </c>
      <c r="C330" s="96">
        <v>10122824</v>
      </c>
      <c r="D330" s="96">
        <v>4881634</v>
      </c>
      <c r="E330" s="97" t="s">
        <v>111</v>
      </c>
      <c r="F330" s="99">
        <v>708</v>
      </c>
      <c r="G330" s="93">
        <v>46176</v>
      </c>
      <c r="H330" s="429"/>
      <c r="I330" s="429"/>
      <c r="J330" s="429"/>
      <c r="K330" s="429"/>
      <c r="L330" s="429"/>
      <c r="M330" s="429"/>
      <c r="N330" s="429"/>
      <c r="O330" s="429"/>
      <c r="P330" s="429"/>
      <c r="Q330" s="429"/>
      <c r="R330" s="429"/>
      <c r="S330" s="429"/>
      <c r="T330" s="429"/>
      <c r="U330" s="429"/>
      <c r="V330" s="429"/>
      <c r="W330" s="429"/>
      <c r="X330" s="429"/>
      <c r="Y330" s="429"/>
      <c r="Z330" s="429"/>
      <c r="AA330" s="429"/>
      <c r="AB330" s="429"/>
      <c r="AC330" s="429"/>
      <c r="AD330" s="429"/>
      <c r="AE330" s="429"/>
      <c r="AF330" s="429"/>
      <c r="AG330" s="429"/>
      <c r="AH330" s="429"/>
      <c r="AI330" s="429"/>
      <c r="AJ330" s="429"/>
      <c r="AK330" s="429"/>
      <c r="AL330" s="429"/>
      <c r="AM330" s="429">
        <f>F330</f>
        <v>708</v>
      </c>
      <c r="AN330" s="429"/>
      <c r="AO330" s="429"/>
      <c r="AP330" s="429"/>
      <c r="AQ330" s="429"/>
      <c r="AR330" s="429"/>
      <c r="AS330" s="429"/>
      <c r="AT330" s="429"/>
      <c r="AU330" s="429"/>
      <c r="AV330" s="429"/>
      <c r="AW330" s="429"/>
      <c r="AX330" s="429"/>
      <c r="AY330" s="429"/>
      <c r="AZ330" s="429"/>
      <c r="BA330" s="429"/>
      <c r="BB330" s="429"/>
      <c r="BC330" s="429"/>
      <c r="BD330" s="429"/>
      <c r="BE330" s="429"/>
      <c r="BF330" s="429"/>
      <c r="BG330" s="429"/>
      <c r="BH330" s="429"/>
      <c r="BI330" s="429"/>
      <c r="BJ330" s="429"/>
      <c r="BK330" s="429"/>
      <c r="BL330" s="429"/>
      <c r="BM330" s="429"/>
      <c r="BN330" s="429"/>
      <c r="BO330" s="429"/>
      <c r="BP330" s="102"/>
      <c r="BQ330" s="102">
        <v>3.816</v>
      </c>
      <c r="BR330" s="451">
        <f t="shared" si="27"/>
        <v>2701.73</v>
      </c>
      <c r="BS330" s="451">
        <f t="shared" si="34"/>
        <v>20938.41</v>
      </c>
      <c r="BT330" s="429" t="str">
        <f>IFERROR(VLOOKUP(E330,名称!A:D,4,FALSE),"")</f>
        <v>KIK</v>
      </c>
    </row>
    <row r="331" s="427" customFormat="1" hidden="1" customHeight="1" spans="1:72">
      <c r="A331" s="93">
        <v>46100</v>
      </c>
      <c r="B331" s="95" t="s">
        <v>237</v>
      </c>
      <c r="C331" s="96">
        <v>10122824</v>
      </c>
      <c r="D331" s="96">
        <v>4881634</v>
      </c>
      <c r="E331" s="97" t="s">
        <v>113</v>
      </c>
      <c r="F331" s="99">
        <v>412</v>
      </c>
      <c r="G331" s="93">
        <v>46176</v>
      </c>
      <c r="H331" s="429"/>
      <c r="I331" s="429"/>
      <c r="J331" s="429"/>
      <c r="K331" s="429"/>
      <c r="L331" s="429"/>
      <c r="M331" s="429"/>
      <c r="N331" s="429"/>
      <c r="O331" s="429"/>
      <c r="P331" s="429"/>
      <c r="Q331" s="429"/>
      <c r="R331" s="429"/>
      <c r="S331" s="429"/>
      <c r="T331" s="429"/>
      <c r="U331" s="429"/>
      <c r="V331" s="429"/>
      <c r="W331" s="429"/>
      <c r="X331" s="429"/>
      <c r="Y331" s="429"/>
      <c r="Z331" s="429"/>
      <c r="AA331" s="429"/>
      <c r="AB331" s="429"/>
      <c r="AC331" s="429"/>
      <c r="AD331" s="429"/>
      <c r="AE331" s="429"/>
      <c r="AF331" s="429"/>
      <c r="AG331" s="429"/>
      <c r="AH331" s="429"/>
      <c r="AI331" s="429"/>
      <c r="AJ331" s="429"/>
      <c r="AK331" s="429"/>
      <c r="AL331" s="429"/>
      <c r="AM331" s="429"/>
      <c r="AN331" s="429">
        <f>F331</f>
        <v>412</v>
      </c>
      <c r="AO331" s="429"/>
      <c r="AP331" s="429"/>
      <c r="AQ331" s="429"/>
      <c r="AR331" s="429"/>
      <c r="AS331" s="429"/>
      <c r="AT331" s="429"/>
      <c r="AU331" s="429"/>
      <c r="AV331" s="429"/>
      <c r="AW331" s="429"/>
      <c r="AX331" s="429"/>
      <c r="AY331" s="429"/>
      <c r="AZ331" s="429"/>
      <c r="BA331" s="429"/>
      <c r="BB331" s="429"/>
      <c r="BC331" s="429"/>
      <c r="BD331" s="429"/>
      <c r="BE331" s="429"/>
      <c r="BF331" s="429"/>
      <c r="BG331" s="429"/>
      <c r="BH331" s="429"/>
      <c r="BI331" s="429"/>
      <c r="BJ331" s="429"/>
      <c r="BK331" s="429"/>
      <c r="BL331" s="429"/>
      <c r="BM331" s="429"/>
      <c r="BN331" s="429"/>
      <c r="BO331" s="429"/>
      <c r="BP331" s="102"/>
      <c r="BQ331" s="102">
        <v>5.97</v>
      </c>
      <c r="BR331" s="451">
        <f t="shared" si="27"/>
        <v>2459.64</v>
      </c>
      <c r="BS331" s="451">
        <f t="shared" si="34"/>
        <v>19062.21</v>
      </c>
      <c r="BT331" s="429" t="str">
        <f>IFERROR(VLOOKUP(E331,名称!A:D,4,FALSE),"")</f>
        <v>KIK</v>
      </c>
    </row>
    <row r="332" s="427" customFormat="1" hidden="1" customHeight="1" spans="1:72">
      <c r="A332" s="93">
        <v>46100</v>
      </c>
      <c r="B332" s="95" t="s">
        <v>237</v>
      </c>
      <c r="C332" s="96">
        <v>10122824</v>
      </c>
      <c r="D332" s="96">
        <v>4881634</v>
      </c>
      <c r="E332" s="97" t="s">
        <v>105</v>
      </c>
      <c r="F332" s="99">
        <v>592</v>
      </c>
      <c r="G332" s="93">
        <v>46176</v>
      </c>
      <c r="H332" s="429"/>
      <c r="I332" s="429"/>
      <c r="J332" s="429"/>
      <c r="K332" s="429"/>
      <c r="L332" s="429"/>
      <c r="M332" s="429"/>
      <c r="N332" s="429"/>
      <c r="O332" s="429"/>
      <c r="P332" s="429"/>
      <c r="Q332" s="429"/>
      <c r="R332" s="429"/>
      <c r="S332" s="429"/>
      <c r="T332" s="429"/>
      <c r="U332" s="429"/>
      <c r="V332" s="429"/>
      <c r="W332" s="429"/>
      <c r="X332" s="429"/>
      <c r="Y332" s="429"/>
      <c r="Z332" s="429"/>
      <c r="AA332" s="429"/>
      <c r="AB332" s="429"/>
      <c r="AC332" s="429"/>
      <c r="AD332" s="429"/>
      <c r="AE332" s="429"/>
      <c r="AF332" s="429"/>
      <c r="AG332" s="429"/>
      <c r="AH332" s="429"/>
      <c r="AI332" s="429"/>
      <c r="AJ332" s="429">
        <f>F332</f>
        <v>592</v>
      </c>
      <c r="AK332" s="429"/>
      <c r="AL332" s="429"/>
      <c r="AM332" s="429"/>
      <c r="AN332" s="429"/>
      <c r="AO332" s="429"/>
      <c r="AP332" s="429"/>
      <c r="AQ332" s="429"/>
      <c r="AR332" s="429"/>
      <c r="AS332" s="429"/>
      <c r="AT332" s="429"/>
      <c r="AU332" s="429"/>
      <c r="AV332" s="429"/>
      <c r="AW332" s="429"/>
      <c r="AX332" s="429"/>
      <c r="AY332" s="429"/>
      <c r="AZ332" s="429"/>
      <c r="BA332" s="429"/>
      <c r="BB332" s="429"/>
      <c r="BC332" s="429"/>
      <c r="BD332" s="429"/>
      <c r="BE332" s="429"/>
      <c r="BF332" s="429"/>
      <c r="BG332" s="429"/>
      <c r="BH332" s="429"/>
      <c r="BI332" s="429"/>
      <c r="BJ332" s="429"/>
      <c r="BK332" s="429"/>
      <c r="BL332" s="429"/>
      <c r="BM332" s="429"/>
      <c r="BN332" s="429"/>
      <c r="BO332" s="429"/>
      <c r="BP332" s="102"/>
      <c r="BQ332" s="102">
        <v>2.994</v>
      </c>
      <c r="BR332" s="451">
        <f t="shared" si="27"/>
        <v>1772.45</v>
      </c>
      <c r="BS332" s="451">
        <f t="shared" si="34"/>
        <v>13736.49</v>
      </c>
      <c r="BT332" s="429" t="str">
        <f>IFERROR(VLOOKUP(E332,名称!A:D,4,FALSE),"")</f>
        <v>KIK</v>
      </c>
    </row>
    <row r="333" s="427" customFormat="1" hidden="1" customHeight="1" spans="1:72">
      <c r="A333" s="93">
        <v>46100</v>
      </c>
      <c r="B333" s="95" t="s">
        <v>237</v>
      </c>
      <c r="C333" s="96">
        <v>10122821</v>
      </c>
      <c r="D333" s="96">
        <v>4881631</v>
      </c>
      <c r="E333" s="97" t="s">
        <v>29</v>
      </c>
      <c r="F333" s="99">
        <v>356</v>
      </c>
      <c r="G333" s="93">
        <v>46190</v>
      </c>
      <c r="H333" s="429"/>
      <c r="I333" s="429"/>
      <c r="J333" s="429">
        <f>F333</f>
        <v>356</v>
      </c>
      <c r="K333" s="429"/>
      <c r="L333" s="429"/>
      <c r="M333" s="429"/>
      <c r="N333" s="429"/>
      <c r="O333" s="429"/>
      <c r="P333" s="429"/>
      <c r="Q333" s="429"/>
      <c r="R333" s="429"/>
      <c r="S333" s="429"/>
      <c r="T333" s="429"/>
      <c r="U333" s="429"/>
      <c r="V333" s="429"/>
      <c r="W333" s="429"/>
      <c r="X333" s="429"/>
      <c r="Y333" s="429"/>
      <c r="Z333" s="429"/>
      <c r="AA333" s="429"/>
      <c r="AB333" s="429"/>
      <c r="AC333" s="429"/>
      <c r="AD333" s="429"/>
      <c r="AE333" s="429"/>
      <c r="AF333" s="429"/>
      <c r="AG333" s="429"/>
      <c r="AH333" s="429"/>
      <c r="AI333" s="429"/>
      <c r="AJ333" s="429"/>
      <c r="AK333" s="429"/>
      <c r="AL333" s="429"/>
      <c r="AM333" s="429"/>
      <c r="AN333" s="429"/>
      <c r="AO333" s="429"/>
      <c r="AP333" s="429"/>
      <c r="AQ333" s="429"/>
      <c r="AR333" s="429"/>
      <c r="AS333" s="429"/>
      <c r="AT333" s="429"/>
      <c r="AU333" s="429"/>
      <c r="AV333" s="429"/>
      <c r="AW333" s="429"/>
      <c r="AX333" s="429"/>
      <c r="AY333" s="429"/>
      <c r="AZ333" s="429"/>
      <c r="BA333" s="429"/>
      <c r="BB333" s="429"/>
      <c r="BC333" s="429"/>
      <c r="BD333" s="429"/>
      <c r="BE333" s="429"/>
      <c r="BF333" s="429"/>
      <c r="BG333" s="429"/>
      <c r="BH333" s="429"/>
      <c r="BI333" s="429"/>
      <c r="BJ333" s="429"/>
      <c r="BK333" s="429"/>
      <c r="BL333" s="429"/>
      <c r="BM333" s="429"/>
      <c r="BN333" s="429"/>
      <c r="BO333" s="429"/>
      <c r="BP333" s="102"/>
      <c r="BQ333" s="102">
        <v>21.801</v>
      </c>
      <c r="BR333" s="451">
        <f t="shared" si="27"/>
        <v>7761.16</v>
      </c>
      <c r="BS333" s="451">
        <f t="shared" si="34"/>
        <v>60148.99</v>
      </c>
      <c r="BT333" s="429" t="str">
        <f>IFERROR(VLOOKUP(E333,名称!A:D,4,FALSE),"")</f>
        <v>KIK</v>
      </c>
    </row>
    <row r="334" s="427" customFormat="1" hidden="1" customHeight="1" spans="1:72">
      <c r="A334" s="93">
        <v>46100</v>
      </c>
      <c r="B334" s="95" t="s">
        <v>237</v>
      </c>
      <c r="C334" s="96">
        <v>10122821</v>
      </c>
      <c r="D334" s="96">
        <v>4881631</v>
      </c>
      <c r="E334" s="97" t="s">
        <v>31</v>
      </c>
      <c r="F334" s="99">
        <v>22</v>
      </c>
      <c r="G334" s="93">
        <v>46190</v>
      </c>
      <c r="H334" s="429"/>
      <c r="I334" s="429"/>
      <c r="J334" s="429"/>
      <c r="K334" s="429"/>
      <c r="L334" s="429"/>
      <c r="M334" s="429"/>
      <c r="N334" s="429"/>
      <c r="O334" s="429"/>
      <c r="P334" s="429"/>
      <c r="Q334" s="429"/>
      <c r="R334" s="429"/>
      <c r="S334" s="429"/>
      <c r="T334" s="429"/>
      <c r="U334" s="429"/>
      <c r="V334" s="429"/>
      <c r="W334" s="429"/>
      <c r="X334" s="429"/>
      <c r="Y334" s="429"/>
      <c r="Z334" s="429">
        <f>F334</f>
        <v>22</v>
      </c>
      <c r="AA334" s="429"/>
      <c r="AB334" s="429"/>
      <c r="AC334" s="429"/>
      <c r="AD334" s="429"/>
      <c r="AE334" s="429"/>
      <c r="AF334" s="429"/>
      <c r="AG334" s="429"/>
      <c r="AH334" s="429"/>
      <c r="AI334" s="429"/>
      <c r="AJ334" s="429"/>
      <c r="AK334" s="429"/>
      <c r="AL334" s="429"/>
      <c r="AM334" s="429"/>
      <c r="AN334" s="429"/>
      <c r="AO334" s="429"/>
      <c r="AP334" s="429"/>
      <c r="AQ334" s="429"/>
      <c r="AR334" s="429"/>
      <c r="AS334" s="429"/>
      <c r="AT334" s="429"/>
      <c r="AU334" s="429"/>
      <c r="AV334" s="429"/>
      <c r="AW334" s="429"/>
      <c r="AX334" s="429"/>
      <c r="AY334" s="429"/>
      <c r="AZ334" s="429"/>
      <c r="BA334" s="429"/>
      <c r="BB334" s="429"/>
      <c r="BC334" s="429"/>
      <c r="BD334" s="429"/>
      <c r="BE334" s="429"/>
      <c r="BF334" s="429"/>
      <c r="BG334" s="429"/>
      <c r="BH334" s="429"/>
      <c r="BI334" s="429"/>
      <c r="BJ334" s="429"/>
      <c r="BK334" s="429"/>
      <c r="BL334" s="429"/>
      <c r="BM334" s="429"/>
      <c r="BN334" s="429"/>
      <c r="BO334" s="429"/>
      <c r="BP334" s="102"/>
      <c r="BQ334" s="102">
        <v>29.652</v>
      </c>
      <c r="BR334" s="451">
        <f t="shared" si="27"/>
        <v>652.34</v>
      </c>
      <c r="BS334" s="451">
        <f t="shared" si="34"/>
        <v>5055.64</v>
      </c>
      <c r="BT334" s="429" t="str">
        <f>IFERROR(VLOOKUP(E334,名称!A:D,4,FALSE),"")</f>
        <v>KIK</v>
      </c>
    </row>
    <row r="335" s="427" customFormat="1" hidden="1" customHeight="1" spans="1:72">
      <c r="A335" s="93">
        <v>46100</v>
      </c>
      <c r="B335" s="95" t="s">
        <v>237</v>
      </c>
      <c r="C335" s="96">
        <v>10122821</v>
      </c>
      <c r="D335" s="96">
        <v>4881631</v>
      </c>
      <c r="E335" s="97" t="s">
        <v>35</v>
      </c>
      <c r="F335" s="99">
        <v>354</v>
      </c>
      <c r="G335" s="93">
        <v>46190</v>
      </c>
      <c r="H335" s="429"/>
      <c r="I335" s="429"/>
      <c r="J335" s="429"/>
      <c r="K335" s="429"/>
      <c r="L335" s="429"/>
      <c r="M335" s="429"/>
      <c r="N335" s="429"/>
      <c r="O335" s="429"/>
      <c r="P335" s="429"/>
      <c r="Q335" s="429"/>
      <c r="R335" s="429"/>
      <c r="S335" s="429"/>
      <c r="T335" s="429"/>
      <c r="U335" s="429"/>
      <c r="V335" s="429"/>
      <c r="W335" s="429"/>
      <c r="X335" s="429"/>
      <c r="Y335" s="429">
        <f>F335</f>
        <v>354</v>
      </c>
      <c r="Z335" s="429"/>
      <c r="AA335" s="429"/>
      <c r="AB335" s="429"/>
      <c r="AC335" s="429"/>
      <c r="AD335" s="429"/>
      <c r="AE335" s="429"/>
      <c r="AF335" s="429"/>
      <c r="AG335" s="429"/>
      <c r="AH335" s="429"/>
      <c r="AI335" s="429"/>
      <c r="AJ335" s="429"/>
      <c r="AK335" s="429"/>
      <c r="AL335" s="429"/>
      <c r="AM335" s="429"/>
      <c r="AN335" s="429"/>
      <c r="AO335" s="429"/>
      <c r="AP335" s="429"/>
      <c r="AQ335" s="429"/>
      <c r="AR335" s="429"/>
      <c r="AS335" s="429"/>
      <c r="AT335" s="429"/>
      <c r="AU335" s="429"/>
      <c r="AV335" s="429"/>
      <c r="AW335" s="429"/>
      <c r="AX335" s="429"/>
      <c r="AY335" s="429"/>
      <c r="AZ335" s="429"/>
      <c r="BA335" s="429"/>
      <c r="BB335" s="429"/>
      <c r="BC335" s="429"/>
      <c r="BD335" s="429"/>
      <c r="BE335" s="429"/>
      <c r="BF335" s="429"/>
      <c r="BG335" s="429"/>
      <c r="BH335" s="429"/>
      <c r="BI335" s="429"/>
      <c r="BJ335" s="429"/>
      <c r="BK335" s="429"/>
      <c r="BL335" s="429"/>
      <c r="BM335" s="429"/>
      <c r="BN335" s="429"/>
      <c r="BO335" s="429"/>
      <c r="BP335" s="102"/>
      <c r="BQ335" s="102">
        <v>22.9</v>
      </c>
      <c r="BR335" s="451">
        <f t="shared" si="27"/>
        <v>8106.6</v>
      </c>
      <c r="BS335" s="451">
        <f t="shared" si="34"/>
        <v>62826.15</v>
      </c>
      <c r="BT335" s="429" t="str">
        <f>IFERROR(VLOOKUP(E335,名称!A:D,4,FALSE),"")</f>
        <v>KIK</v>
      </c>
    </row>
    <row r="336" s="427" customFormat="1" hidden="1" customHeight="1" spans="1:72">
      <c r="A336" s="93">
        <v>46100</v>
      </c>
      <c r="B336" s="95" t="s">
        <v>237</v>
      </c>
      <c r="C336" s="96">
        <v>10122821</v>
      </c>
      <c r="D336" s="96">
        <v>4881631</v>
      </c>
      <c r="E336" s="97" t="s">
        <v>158</v>
      </c>
      <c r="F336" s="99">
        <v>590</v>
      </c>
      <c r="G336" s="93">
        <v>46190</v>
      </c>
      <c r="H336" s="429"/>
      <c r="I336" s="429"/>
      <c r="J336" s="429"/>
      <c r="K336" s="429"/>
      <c r="L336" s="429"/>
      <c r="M336" s="429"/>
      <c r="N336" s="429"/>
      <c r="O336" s="429"/>
      <c r="P336" s="429"/>
      <c r="Q336" s="429"/>
      <c r="R336" s="429"/>
      <c r="S336" s="429">
        <f>F336</f>
        <v>590</v>
      </c>
      <c r="T336" s="429"/>
      <c r="U336" s="429"/>
      <c r="V336" s="429"/>
      <c r="W336" s="429"/>
      <c r="X336" s="429"/>
      <c r="Y336" s="429"/>
      <c r="Z336" s="429"/>
      <c r="AA336" s="429"/>
      <c r="AB336" s="429"/>
      <c r="AC336" s="429"/>
      <c r="AD336" s="429"/>
      <c r="AE336" s="429"/>
      <c r="AF336" s="429"/>
      <c r="AG336" s="429"/>
      <c r="AH336" s="429"/>
      <c r="AI336" s="429"/>
      <c r="AJ336" s="429"/>
      <c r="AK336" s="429"/>
      <c r="AL336" s="429"/>
      <c r="AM336" s="429"/>
      <c r="AN336" s="429"/>
      <c r="AO336" s="429"/>
      <c r="AP336" s="429"/>
      <c r="AQ336" s="429"/>
      <c r="AR336" s="429"/>
      <c r="AS336" s="429"/>
      <c r="AT336" s="429"/>
      <c r="AU336" s="429"/>
      <c r="AV336" s="429"/>
      <c r="AW336" s="429"/>
      <c r="AX336" s="429"/>
      <c r="AY336" s="429"/>
      <c r="AZ336" s="429"/>
      <c r="BA336" s="429"/>
      <c r="BB336" s="429"/>
      <c r="BC336" s="429"/>
      <c r="BD336" s="429"/>
      <c r="BE336" s="429"/>
      <c r="BF336" s="429"/>
      <c r="BG336" s="429"/>
      <c r="BH336" s="429"/>
      <c r="BI336" s="429"/>
      <c r="BJ336" s="429"/>
      <c r="BK336" s="429"/>
      <c r="BL336" s="429"/>
      <c r="BM336" s="429"/>
      <c r="BN336" s="429"/>
      <c r="BO336" s="429"/>
      <c r="BP336" s="102"/>
      <c r="BQ336" s="102">
        <v>4.792</v>
      </c>
      <c r="BR336" s="451">
        <f t="shared" si="27"/>
        <v>2827.28</v>
      </c>
      <c r="BS336" s="451">
        <f t="shared" si="34"/>
        <v>21911.42</v>
      </c>
      <c r="BT336" s="429" t="str">
        <f>IFERROR(VLOOKUP(E336,名称!A:D,4,FALSE),"")</f>
        <v>KIK</v>
      </c>
    </row>
    <row r="337" s="427" customFormat="1" hidden="1" customHeight="1" spans="1:72">
      <c r="A337" s="93">
        <v>46100</v>
      </c>
      <c r="B337" s="95" t="s">
        <v>237</v>
      </c>
      <c r="C337" s="96">
        <v>10122821</v>
      </c>
      <c r="D337" s="96">
        <v>4881631</v>
      </c>
      <c r="E337" s="97" t="s">
        <v>118</v>
      </c>
      <c r="F337" s="99">
        <v>356</v>
      </c>
      <c r="G337" s="93">
        <v>46190</v>
      </c>
      <c r="H337" s="429"/>
      <c r="I337" s="429"/>
      <c r="J337" s="429"/>
      <c r="K337" s="429"/>
      <c r="L337" s="429"/>
      <c r="M337" s="429"/>
      <c r="N337" s="429"/>
      <c r="O337" s="429"/>
      <c r="P337" s="429"/>
      <c r="Q337" s="429"/>
      <c r="R337" s="429"/>
      <c r="S337" s="429"/>
      <c r="T337" s="429"/>
      <c r="U337" s="429"/>
      <c r="V337" s="429"/>
      <c r="W337" s="429"/>
      <c r="X337" s="429"/>
      <c r="Y337" s="429"/>
      <c r="Z337" s="429"/>
      <c r="AA337" s="429"/>
      <c r="AB337" s="429"/>
      <c r="AC337" s="429"/>
      <c r="AD337" s="429"/>
      <c r="AE337" s="429"/>
      <c r="AF337" s="429"/>
      <c r="AG337" s="429"/>
      <c r="AH337" s="429"/>
      <c r="AI337" s="429"/>
      <c r="AJ337" s="429"/>
      <c r="AK337" s="429"/>
      <c r="AL337" s="429"/>
      <c r="AM337" s="429"/>
      <c r="AN337" s="429"/>
      <c r="AO337" s="429"/>
      <c r="AP337" s="429"/>
      <c r="AQ337" s="429">
        <f>F337</f>
        <v>356</v>
      </c>
      <c r="AR337" s="429"/>
      <c r="AS337" s="429"/>
      <c r="AT337" s="429"/>
      <c r="AU337" s="429"/>
      <c r="AV337" s="429"/>
      <c r="AW337" s="429"/>
      <c r="AX337" s="429"/>
      <c r="AY337" s="429"/>
      <c r="AZ337" s="429"/>
      <c r="BA337" s="429"/>
      <c r="BB337" s="429"/>
      <c r="BC337" s="429"/>
      <c r="BD337" s="429"/>
      <c r="BE337" s="429"/>
      <c r="BF337" s="429"/>
      <c r="BG337" s="429"/>
      <c r="BH337" s="429"/>
      <c r="BI337" s="429"/>
      <c r="BJ337" s="429"/>
      <c r="BK337" s="429"/>
      <c r="BL337" s="429"/>
      <c r="BM337" s="429"/>
      <c r="BN337" s="429"/>
      <c r="BO337" s="429"/>
      <c r="BP337" s="102"/>
      <c r="BQ337" s="102">
        <v>16.71</v>
      </c>
      <c r="BR337" s="451">
        <f t="shared" si="27"/>
        <v>5948.76</v>
      </c>
      <c r="BS337" s="451">
        <f t="shared" si="34"/>
        <v>46102.89</v>
      </c>
      <c r="BT337" s="429" t="str">
        <f>IFERROR(VLOOKUP(E337,名称!A:D,4,FALSE),"")</f>
        <v>KIK</v>
      </c>
    </row>
    <row r="338" s="427" customFormat="1" hidden="1" customHeight="1" spans="1:72">
      <c r="A338" s="93">
        <v>46100</v>
      </c>
      <c r="B338" s="95" t="s">
        <v>237</v>
      </c>
      <c r="C338" s="97">
        <v>10122817</v>
      </c>
      <c r="D338" s="96">
        <v>4881613</v>
      </c>
      <c r="E338" s="97" t="s">
        <v>31</v>
      </c>
      <c r="F338" s="99">
        <v>560</v>
      </c>
      <c r="G338" s="93">
        <v>46176</v>
      </c>
      <c r="H338" s="429"/>
      <c r="I338" s="429"/>
      <c r="J338" s="429"/>
      <c r="K338" s="429"/>
      <c r="L338" s="429"/>
      <c r="M338" s="429"/>
      <c r="N338" s="429"/>
      <c r="O338" s="429"/>
      <c r="P338" s="429"/>
      <c r="Q338" s="429"/>
      <c r="R338" s="429"/>
      <c r="S338" s="429"/>
      <c r="T338" s="429"/>
      <c r="U338" s="429"/>
      <c r="V338" s="429"/>
      <c r="W338" s="429"/>
      <c r="X338" s="429"/>
      <c r="Y338" s="429"/>
      <c r="Z338" s="429">
        <f>F338</f>
        <v>560</v>
      </c>
      <c r="AA338" s="429"/>
      <c r="AB338" s="429"/>
      <c r="AC338" s="429"/>
      <c r="AD338" s="429"/>
      <c r="AE338" s="429"/>
      <c r="AF338" s="429"/>
      <c r="AG338" s="429"/>
      <c r="AH338" s="429"/>
      <c r="AI338" s="429"/>
      <c r="AJ338" s="429"/>
      <c r="AK338" s="429"/>
      <c r="AL338" s="429"/>
      <c r="AM338" s="429"/>
      <c r="AN338" s="429"/>
      <c r="AO338" s="429"/>
      <c r="AP338" s="429"/>
      <c r="AQ338" s="429"/>
      <c r="AR338" s="429"/>
      <c r="AS338" s="429"/>
      <c r="AT338" s="429"/>
      <c r="AU338" s="429"/>
      <c r="AV338" s="429"/>
      <c r="AW338" s="429"/>
      <c r="AX338" s="429"/>
      <c r="AY338" s="429"/>
      <c r="AZ338" s="429"/>
      <c r="BA338" s="429"/>
      <c r="BB338" s="429"/>
      <c r="BC338" s="429"/>
      <c r="BD338" s="429"/>
      <c r="BE338" s="429"/>
      <c r="BF338" s="429"/>
      <c r="BG338" s="429"/>
      <c r="BH338" s="429"/>
      <c r="BI338" s="429"/>
      <c r="BJ338" s="429"/>
      <c r="BK338" s="429"/>
      <c r="BL338" s="429"/>
      <c r="BM338" s="429"/>
      <c r="BN338" s="429"/>
      <c r="BO338" s="429"/>
      <c r="BP338" s="102"/>
      <c r="BQ338" s="102">
        <v>29.652</v>
      </c>
      <c r="BR338" s="451">
        <f t="shared" si="27"/>
        <v>16605.12</v>
      </c>
      <c r="BS338" s="451">
        <f t="shared" si="34"/>
        <v>128689.68</v>
      </c>
      <c r="BT338" s="429" t="str">
        <f>IFERROR(VLOOKUP(E338,名称!A:D,4,FALSE),"")</f>
        <v>KIK</v>
      </c>
    </row>
    <row r="339" s="427" customFormat="1" hidden="1" customHeight="1" spans="1:72">
      <c r="A339" s="93">
        <v>46100</v>
      </c>
      <c r="B339" s="95" t="s">
        <v>236</v>
      </c>
      <c r="C339" s="96">
        <v>10122856</v>
      </c>
      <c r="D339" s="96">
        <v>20218982</v>
      </c>
      <c r="E339" s="97" t="s">
        <v>35</v>
      </c>
      <c r="F339" s="99">
        <v>120</v>
      </c>
      <c r="G339" s="93">
        <v>46204</v>
      </c>
      <c r="H339" s="429"/>
      <c r="I339" s="429"/>
      <c r="J339" s="429"/>
      <c r="K339" s="429"/>
      <c r="L339" s="429"/>
      <c r="M339" s="429"/>
      <c r="N339" s="429"/>
      <c r="O339" s="429"/>
      <c r="P339" s="429"/>
      <c r="Q339" s="429"/>
      <c r="R339" s="429"/>
      <c r="S339" s="429"/>
      <c r="T339" s="429"/>
      <c r="U339" s="429"/>
      <c r="V339" s="429"/>
      <c r="W339" s="429"/>
      <c r="X339" s="429"/>
      <c r="Y339" s="429">
        <f>F339</f>
        <v>120</v>
      </c>
      <c r="Z339" s="429"/>
      <c r="AA339" s="429"/>
      <c r="AB339" s="429"/>
      <c r="AC339" s="429"/>
      <c r="AD339" s="429"/>
      <c r="AE339" s="429"/>
      <c r="AF339" s="429"/>
      <c r="AG339" s="429"/>
      <c r="AH339" s="429"/>
      <c r="AI339" s="429"/>
      <c r="AJ339" s="429"/>
      <c r="AK339" s="429"/>
      <c r="AL339" s="429"/>
      <c r="AM339" s="429"/>
      <c r="AN339" s="429"/>
      <c r="AO339" s="429"/>
      <c r="AP339" s="429"/>
      <c r="AQ339" s="429"/>
      <c r="AR339" s="429"/>
      <c r="AS339" s="429"/>
      <c r="AT339" s="429"/>
      <c r="AU339" s="429"/>
      <c r="AV339" s="429"/>
      <c r="AW339" s="429"/>
      <c r="AX339" s="429"/>
      <c r="AY339" s="429"/>
      <c r="AZ339" s="429"/>
      <c r="BA339" s="429"/>
      <c r="BB339" s="429"/>
      <c r="BC339" s="429"/>
      <c r="BD339" s="429"/>
      <c r="BE339" s="429"/>
      <c r="BF339" s="429"/>
      <c r="BG339" s="429"/>
      <c r="BH339" s="429"/>
      <c r="BI339" s="429"/>
      <c r="BJ339" s="429"/>
      <c r="BK339" s="429"/>
      <c r="BL339" s="429"/>
      <c r="BM339" s="429"/>
      <c r="BN339" s="429"/>
      <c r="BO339" s="429"/>
      <c r="BP339" s="102"/>
      <c r="BQ339" s="102">
        <v>22.9</v>
      </c>
      <c r="BR339" s="451">
        <f t="shared" si="27"/>
        <v>2748</v>
      </c>
      <c r="BS339" s="451">
        <f t="shared" si="34"/>
        <v>21297</v>
      </c>
      <c r="BT339" s="429" t="str">
        <f>IFERROR(VLOOKUP(E339,名称!A:D,4,FALSE),"")</f>
        <v>KIK</v>
      </c>
    </row>
    <row r="340" s="427" customFormat="1" hidden="1" customHeight="1" spans="1:72">
      <c r="A340" s="93">
        <v>46100</v>
      </c>
      <c r="B340" s="95" t="s">
        <v>236</v>
      </c>
      <c r="C340" s="96">
        <v>10122856</v>
      </c>
      <c r="D340" s="96">
        <v>20218982</v>
      </c>
      <c r="E340" s="97" t="s">
        <v>87</v>
      </c>
      <c r="F340" s="99">
        <v>120</v>
      </c>
      <c r="G340" s="93">
        <v>46204</v>
      </c>
      <c r="H340" s="429"/>
      <c r="I340" s="429"/>
      <c r="J340" s="429"/>
      <c r="K340" s="429"/>
      <c r="L340" s="429"/>
      <c r="M340" s="429"/>
      <c r="N340" s="429"/>
      <c r="O340" s="429"/>
      <c r="P340" s="429"/>
      <c r="Q340" s="429"/>
      <c r="R340" s="429"/>
      <c r="S340" s="429"/>
      <c r="T340" s="429"/>
      <c r="U340" s="429"/>
      <c r="V340" s="429"/>
      <c r="W340" s="429"/>
      <c r="X340" s="429"/>
      <c r="Y340" s="429"/>
      <c r="Z340" s="429"/>
      <c r="AA340" s="429"/>
      <c r="AB340" s="429"/>
      <c r="AC340" s="429"/>
      <c r="AD340" s="429">
        <f>F340</f>
        <v>120</v>
      </c>
      <c r="AE340" s="429"/>
      <c r="AF340" s="429"/>
      <c r="AG340" s="429"/>
      <c r="AH340" s="429"/>
      <c r="AI340" s="429"/>
      <c r="AJ340" s="429"/>
      <c r="AK340" s="429"/>
      <c r="AL340" s="429"/>
      <c r="AM340" s="429"/>
      <c r="AN340" s="429"/>
      <c r="AO340" s="429"/>
      <c r="AP340" s="429"/>
      <c r="AQ340" s="429"/>
      <c r="AR340" s="429"/>
      <c r="AS340" s="429"/>
      <c r="AT340" s="429"/>
      <c r="AU340" s="429"/>
      <c r="AV340" s="429"/>
      <c r="AW340" s="429"/>
      <c r="AX340" s="429"/>
      <c r="AY340" s="429"/>
      <c r="AZ340" s="429"/>
      <c r="BA340" s="429"/>
      <c r="BB340" s="429"/>
      <c r="BC340" s="429"/>
      <c r="BD340" s="429"/>
      <c r="BE340" s="429"/>
      <c r="BF340" s="429"/>
      <c r="BG340" s="429"/>
      <c r="BH340" s="429"/>
      <c r="BI340" s="429"/>
      <c r="BJ340" s="429"/>
      <c r="BK340" s="429"/>
      <c r="BL340" s="429"/>
      <c r="BM340" s="429"/>
      <c r="BN340" s="429"/>
      <c r="BO340" s="429"/>
      <c r="BP340" s="102"/>
      <c r="BQ340" s="102">
        <v>31.4</v>
      </c>
      <c r="BR340" s="451">
        <f t="shared" si="27"/>
        <v>3768</v>
      </c>
      <c r="BS340" s="451">
        <f t="shared" si="34"/>
        <v>29202</v>
      </c>
      <c r="BT340" s="429" t="str">
        <f>IFERROR(VLOOKUP(E340,名称!A:D,4,FALSE),"")</f>
        <v>KIK</v>
      </c>
    </row>
    <row r="341" s="427" customFormat="1" hidden="1" customHeight="1" spans="1:72">
      <c r="A341" s="93">
        <v>46100</v>
      </c>
      <c r="B341" s="95" t="s">
        <v>236</v>
      </c>
      <c r="C341" s="96">
        <v>10122856</v>
      </c>
      <c r="D341" s="96">
        <v>20218982</v>
      </c>
      <c r="E341" s="97" t="s">
        <v>111</v>
      </c>
      <c r="F341" s="99">
        <v>120</v>
      </c>
      <c r="G341" s="93">
        <v>46204</v>
      </c>
      <c r="H341" s="429"/>
      <c r="I341" s="429"/>
      <c r="J341" s="429"/>
      <c r="K341" s="429"/>
      <c r="L341" s="429"/>
      <c r="M341" s="429"/>
      <c r="N341" s="429"/>
      <c r="O341" s="429"/>
      <c r="P341" s="429"/>
      <c r="Q341" s="429"/>
      <c r="R341" s="429"/>
      <c r="S341" s="429"/>
      <c r="T341" s="429"/>
      <c r="U341" s="429"/>
      <c r="V341" s="429"/>
      <c r="W341" s="429"/>
      <c r="X341" s="429"/>
      <c r="Y341" s="429"/>
      <c r="Z341" s="429"/>
      <c r="AA341" s="429"/>
      <c r="AB341" s="429"/>
      <c r="AC341" s="429"/>
      <c r="AD341" s="429"/>
      <c r="AE341" s="429"/>
      <c r="AF341" s="429"/>
      <c r="AG341" s="429"/>
      <c r="AH341" s="429"/>
      <c r="AI341" s="429"/>
      <c r="AJ341" s="429"/>
      <c r="AK341" s="429"/>
      <c r="AL341" s="429"/>
      <c r="AM341" s="429">
        <f>F341</f>
        <v>120</v>
      </c>
      <c r="AN341" s="429"/>
      <c r="AO341" s="429"/>
      <c r="AP341" s="429"/>
      <c r="AQ341" s="429"/>
      <c r="AR341" s="429"/>
      <c r="AS341" s="429"/>
      <c r="AT341" s="429"/>
      <c r="AU341" s="429"/>
      <c r="AV341" s="429"/>
      <c r="AW341" s="429"/>
      <c r="AX341" s="429"/>
      <c r="AY341" s="429"/>
      <c r="AZ341" s="429"/>
      <c r="BA341" s="429"/>
      <c r="BB341" s="429"/>
      <c r="BC341" s="429"/>
      <c r="BD341" s="429"/>
      <c r="BE341" s="429"/>
      <c r="BF341" s="429"/>
      <c r="BG341" s="429"/>
      <c r="BH341" s="429"/>
      <c r="BI341" s="429"/>
      <c r="BJ341" s="429"/>
      <c r="BK341" s="429"/>
      <c r="BL341" s="429"/>
      <c r="BM341" s="429"/>
      <c r="BN341" s="429"/>
      <c r="BO341" s="429"/>
      <c r="BP341" s="102"/>
      <c r="BQ341" s="102">
        <v>3.816</v>
      </c>
      <c r="BR341" s="451">
        <f t="shared" si="27"/>
        <v>457.92</v>
      </c>
      <c r="BS341" s="451">
        <f t="shared" si="34"/>
        <v>3548.88</v>
      </c>
      <c r="BT341" s="429" t="str">
        <f>IFERROR(VLOOKUP(E341,名称!A:D,4,FALSE),"")</f>
        <v>KIK</v>
      </c>
    </row>
    <row r="342" s="427" customFormat="1" hidden="1" customHeight="1" spans="1:72">
      <c r="A342" s="93">
        <v>46100</v>
      </c>
      <c r="B342" s="95" t="s">
        <v>236</v>
      </c>
      <c r="C342" s="96">
        <v>10122856</v>
      </c>
      <c r="D342" s="96">
        <v>20218982</v>
      </c>
      <c r="E342" s="97" t="s">
        <v>31</v>
      </c>
      <c r="F342" s="99">
        <v>300</v>
      </c>
      <c r="G342" s="93">
        <v>46204</v>
      </c>
      <c r="H342" s="429"/>
      <c r="I342" s="429"/>
      <c r="J342" s="429"/>
      <c r="K342" s="429"/>
      <c r="L342" s="429"/>
      <c r="M342" s="429"/>
      <c r="N342" s="429"/>
      <c r="O342" s="429"/>
      <c r="P342" s="429"/>
      <c r="Q342" s="429"/>
      <c r="R342" s="429"/>
      <c r="S342" s="429"/>
      <c r="T342" s="429"/>
      <c r="U342" s="429"/>
      <c r="V342" s="429"/>
      <c r="W342" s="429"/>
      <c r="X342" s="429"/>
      <c r="Y342" s="429"/>
      <c r="Z342" s="429">
        <f>F342</f>
        <v>300</v>
      </c>
      <c r="AA342" s="429"/>
      <c r="AB342" s="429"/>
      <c r="AC342" s="429"/>
      <c r="AD342" s="429"/>
      <c r="AE342" s="429"/>
      <c r="AF342" s="429"/>
      <c r="AG342" s="429"/>
      <c r="AH342" s="429"/>
      <c r="AI342" s="429"/>
      <c r="AJ342" s="429"/>
      <c r="AK342" s="429"/>
      <c r="AL342" s="429"/>
      <c r="AM342" s="429"/>
      <c r="AN342" s="429"/>
      <c r="AO342" s="429"/>
      <c r="AP342" s="429"/>
      <c r="AQ342" s="429"/>
      <c r="AR342" s="429"/>
      <c r="AS342" s="429"/>
      <c r="AT342" s="429"/>
      <c r="AU342" s="429"/>
      <c r="AV342" s="429"/>
      <c r="AW342" s="429"/>
      <c r="AX342" s="429"/>
      <c r="AY342" s="429"/>
      <c r="AZ342" s="429"/>
      <c r="BA342" s="429"/>
      <c r="BB342" s="429"/>
      <c r="BC342" s="429"/>
      <c r="BD342" s="429"/>
      <c r="BE342" s="429"/>
      <c r="BF342" s="429"/>
      <c r="BG342" s="429"/>
      <c r="BH342" s="429"/>
      <c r="BI342" s="429"/>
      <c r="BJ342" s="429"/>
      <c r="BK342" s="429"/>
      <c r="BL342" s="429"/>
      <c r="BM342" s="429"/>
      <c r="BN342" s="429"/>
      <c r="BO342" s="429"/>
      <c r="BP342" s="102"/>
      <c r="BQ342" s="102">
        <v>29.652</v>
      </c>
      <c r="BR342" s="451">
        <f t="shared" si="27"/>
        <v>8895.6</v>
      </c>
      <c r="BS342" s="451">
        <f t="shared" si="34"/>
        <v>68940.9</v>
      </c>
      <c r="BT342" s="429" t="str">
        <f>IFERROR(VLOOKUP(E342,名称!A:D,4,FALSE),"")</f>
        <v>KIK</v>
      </c>
    </row>
    <row r="343" s="427" customFormat="1" customHeight="1" spans="1:72">
      <c r="A343" s="93">
        <v>46101</v>
      </c>
      <c r="B343" s="171" t="s">
        <v>258</v>
      </c>
      <c r="C343" s="173">
        <v>10122908</v>
      </c>
      <c r="D343" s="172">
        <v>56793</v>
      </c>
      <c r="E343" s="173" t="s">
        <v>161</v>
      </c>
      <c r="F343" s="175">
        <v>12000</v>
      </c>
      <c r="G343" s="150">
        <v>46239</v>
      </c>
      <c r="H343" s="429"/>
      <c r="I343" s="429"/>
      <c r="J343" s="429"/>
      <c r="K343" s="429"/>
      <c r="L343" s="429"/>
      <c r="M343" s="429"/>
      <c r="N343" s="429"/>
      <c r="O343" s="429"/>
      <c r="P343" s="429"/>
      <c r="Q343" s="429"/>
      <c r="R343" s="429"/>
      <c r="S343" s="429"/>
      <c r="T343" s="429"/>
      <c r="U343" s="429"/>
      <c r="V343" s="429"/>
      <c r="W343" s="429"/>
      <c r="X343" s="429"/>
      <c r="Y343" s="429"/>
      <c r="Z343" s="429"/>
      <c r="AA343" s="429"/>
      <c r="AB343" s="429"/>
      <c r="AC343" s="429"/>
      <c r="AD343" s="429"/>
      <c r="AE343" s="429"/>
      <c r="AF343" s="429"/>
      <c r="AG343" s="429"/>
      <c r="AH343" s="429"/>
      <c r="AI343" s="429"/>
      <c r="AJ343" s="429"/>
      <c r="AK343" s="429"/>
      <c r="AL343" s="429"/>
      <c r="AM343" s="429"/>
      <c r="AN343" s="429"/>
      <c r="AO343" s="429"/>
      <c r="AP343" s="429"/>
      <c r="AQ343" s="429"/>
      <c r="AR343" s="429"/>
      <c r="AS343" s="429"/>
      <c r="AT343" s="429"/>
      <c r="AU343" s="429"/>
      <c r="AV343" s="429"/>
      <c r="AW343" s="429"/>
      <c r="AX343" s="429"/>
      <c r="AY343" s="429">
        <f>F343</f>
        <v>12000</v>
      </c>
      <c r="AZ343" s="429"/>
      <c r="BA343" s="429"/>
      <c r="BB343" s="429"/>
      <c r="BC343" s="429"/>
      <c r="BD343" s="429"/>
      <c r="BE343" s="429"/>
      <c r="BF343" s="429"/>
      <c r="BG343" s="429"/>
      <c r="BH343" s="429"/>
      <c r="BI343" s="429"/>
      <c r="BJ343" s="429"/>
      <c r="BK343" s="429"/>
      <c r="BL343" s="429"/>
      <c r="BM343" s="429"/>
      <c r="BN343" s="429"/>
      <c r="BO343" s="429"/>
      <c r="BP343" s="102"/>
      <c r="BQ343" s="176">
        <v>5.8</v>
      </c>
      <c r="BR343" s="451">
        <f>SUM(H343:BP343)*BQ343</f>
        <v>69600</v>
      </c>
      <c r="BS343" s="451">
        <f t="shared" si="34"/>
        <v>539400</v>
      </c>
      <c r="BT343" s="429" t="str">
        <f>IFERROR(VLOOKUP(E343,名称!A:D,4,FALSE),"")</f>
        <v>KIK</v>
      </c>
    </row>
    <row r="344" s="427" customFormat="1" hidden="1" customHeight="1" spans="1:72">
      <c r="A344" s="93">
        <v>46102</v>
      </c>
      <c r="B344" s="95" t="s">
        <v>248</v>
      </c>
      <c r="C344" s="96">
        <v>10122974</v>
      </c>
      <c r="D344" s="96">
        <v>4500032502</v>
      </c>
      <c r="E344" s="97" t="s">
        <v>62</v>
      </c>
      <c r="F344" s="99">
        <v>900</v>
      </c>
      <c r="G344" s="93">
        <v>46134</v>
      </c>
      <c r="H344" s="429"/>
      <c r="I344" s="429"/>
      <c r="J344" s="429"/>
      <c r="K344" s="429"/>
      <c r="L344" s="429"/>
      <c r="M344" s="429"/>
      <c r="N344" s="429"/>
      <c r="O344" s="429"/>
      <c r="P344" s="429"/>
      <c r="Q344" s="429"/>
      <c r="R344" s="429"/>
      <c r="S344" s="429"/>
      <c r="T344" s="429"/>
      <c r="U344" s="429"/>
      <c r="V344" s="429">
        <f>F344</f>
        <v>900</v>
      </c>
      <c r="W344" s="429"/>
      <c r="X344" s="429"/>
      <c r="Y344" s="429"/>
      <c r="Z344" s="429"/>
      <c r="AA344" s="429"/>
      <c r="AB344" s="429"/>
      <c r="AC344" s="429"/>
      <c r="AD344" s="429"/>
      <c r="AE344" s="429"/>
      <c r="AF344" s="429"/>
      <c r="AG344" s="429"/>
      <c r="AH344" s="429"/>
      <c r="AI344" s="429"/>
      <c r="AJ344" s="429"/>
      <c r="AK344" s="429"/>
      <c r="AL344" s="429"/>
      <c r="AM344" s="429"/>
      <c r="AN344" s="429"/>
      <c r="AO344" s="429"/>
      <c r="AP344" s="429"/>
      <c r="AQ344" s="429"/>
      <c r="AR344" s="429"/>
      <c r="AS344" s="429"/>
      <c r="AT344" s="429"/>
      <c r="AU344" s="429"/>
      <c r="AV344" s="429"/>
      <c r="AW344" s="429"/>
      <c r="AX344" s="429"/>
      <c r="AY344" s="429"/>
      <c r="AZ344" s="429"/>
      <c r="BA344" s="429"/>
      <c r="BB344" s="429"/>
      <c r="BC344" s="429"/>
      <c r="BD344" s="429"/>
      <c r="BE344" s="429"/>
      <c r="BF344" s="429"/>
      <c r="BG344" s="429"/>
      <c r="BH344" s="429"/>
      <c r="BI344" s="429"/>
      <c r="BJ344" s="429"/>
      <c r="BK344" s="429"/>
      <c r="BL344" s="429"/>
      <c r="BM344" s="429"/>
      <c r="BN344" s="429"/>
      <c r="BO344" s="429"/>
      <c r="BP344" s="102"/>
      <c r="BQ344" s="102">
        <v>3.243</v>
      </c>
      <c r="BR344" s="451">
        <f t="shared" ref="BR344:BR394" si="35">SUM(H344:BP344)*BQ344</f>
        <v>2918.7</v>
      </c>
      <c r="BS344" s="451">
        <f t="shared" si="34"/>
        <v>22619.93</v>
      </c>
      <c r="BT344" s="429" t="str">
        <f>IFERROR(VLOOKUP(E344,名称!A:D,4,FALSE),"")</f>
        <v>KIK</v>
      </c>
    </row>
    <row r="345" s="427" customFormat="1" hidden="1" customHeight="1" spans="1:72">
      <c r="A345" s="93">
        <v>46102</v>
      </c>
      <c r="B345" s="95" t="s">
        <v>237</v>
      </c>
      <c r="C345" s="96">
        <v>10123059</v>
      </c>
      <c r="D345" s="96">
        <v>202607770043</v>
      </c>
      <c r="E345" s="97" t="s">
        <v>115</v>
      </c>
      <c r="F345" s="99">
        <v>5000</v>
      </c>
      <c r="G345" s="93">
        <v>46197</v>
      </c>
      <c r="H345" s="429"/>
      <c r="I345" s="429"/>
      <c r="J345" s="429"/>
      <c r="K345" s="429"/>
      <c r="L345" s="429"/>
      <c r="M345" s="429"/>
      <c r="N345" s="429"/>
      <c r="O345" s="429"/>
      <c r="P345" s="429"/>
      <c r="Q345" s="429"/>
      <c r="R345" s="429"/>
      <c r="S345" s="429"/>
      <c r="T345" s="429"/>
      <c r="U345" s="429"/>
      <c r="V345" s="429"/>
      <c r="W345" s="429"/>
      <c r="X345" s="429"/>
      <c r="Y345" s="429"/>
      <c r="Z345" s="429"/>
      <c r="AA345" s="429"/>
      <c r="AB345" s="429"/>
      <c r="AC345" s="429"/>
      <c r="AD345" s="429"/>
      <c r="AE345" s="429"/>
      <c r="AF345" s="429"/>
      <c r="AG345" s="429"/>
      <c r="AH345" s="429"/>
      <c r="AI345" s="429"/>
      <c r="AJ345" s="429"/>
      <c r="AK345" s="429"/>
      <c r="AL345" s="429"/>
      <c r="AM345" s="429"/>
      <c r="AN345" s="429"/>
      <c r="AO345" s="429">
        <f>F345</f>
        <v>5000</v>
      </c>
      <c r="AP345" s="429"/>
      <c r="AQ345" s="429"/>
      <c r="AR345" s="429"/>
      <c r="AS345" s="429"/>
      <c r="AT345" s="429"/>
      <c r="AU345" s="429"/>
      <c r="AV345" s="429"/>
      <c r="AW345" s="429"/>
      <c r="AX345" s="429"/>
      <c r="AY345" s="429"/>
      <c r="AZ345" s="429"/>
      <c r="BA345" s="429"/>
      <c r="BB345" s="429"/>
      <c r="BC345" s="429"/>
      <c r="BD345" s="429"/>
      <c r="BE345" s="429"/>
      <c r="BF345" s="429"/>
      <c r="BG345" s="429"/>
      <c r="BH345" s="429"/>
      <c r="BI345" s="429"/>
      <c r="BJ345" s="429"/>
      <c r="BK345" s="429"/>
      <c r="BL345" s="429"/>
      <c r="BM345" s="429"/>
      <c r="BN345" s="429"/>
      <c r="BO345" s="429"/>
      <c r="BP345" s="102"/>
      <c r="BQ345" s="102">
        <v>2.204</v>
      </c>
      <c r="BR345" s="451">
        <f t="shared" si="35"/>
        <v>11020</v>
      </c>
      <c r="BS345" s="451">
        <f t="shared" si="34"/>
        <v>85405</v>
      </c>
      <c r="BT345" s="429" t="str">
        <f>IFERROR(VLOOKUP(E345,名称!A:D,4,FALSE),"")</f>
        <v>KIK</v>
      </c>
    </row>
    <row r="346" s="425" customFormat="1" hidden="1" customHeight="1" spans="1:72">
      <c r="A346" s="108">
        <v>46105</v>
      </c>
      <c r="B346" s="109" t="s">
        <v>237</v>
      </c>
      <c r="C346" s="110">
        <v>10123136</v>
      </c>
      <c r="D346" s="110">
        <v>202607270116</v>
      </c>
      <c r="E346" s="30" t="s">
        <v>163</v>
      </c>
      <c r="F346" s="31">
        <v>5000</v>
      </c>
      <c r="G346" s="108">
        <v>46274</v>
      </c>
      <c r="H346" s="443"/>
      <c r="I346" s="443"/>
      <c r="J346" s="443"/>
      <c r="K346" s="443"/>
      <c r="L346" s="443"/>
      <c r="M346" s="443"/>
      <c r="N346" s="443"/>
      <c r="O346" s="443"/>
      <c r="P346" s="443"/>
      <c r="Q346" s="443"/>
      <c r="R346" s="443"/>
      <c r="S346" s="443"/>
      <c r="T346" s="443"/>
      <c r="U346" s="443"/>
      <c r="V346" s="443"/>
      <c r="W346" s="443"/>
      <c r="X346" s="443"/>
      <c r="Y346" s="443"/>
      <c r="Z346" s="443"/>
      <c r="AA346" s="443"/>
      <c r="AB346" s="443"/>
      <c r="AC346" s="443"/>
      <c r="AD346" s="443"/>
      <c r="AE346" s="443"/>
      <c r="AF346" s="443"/>
      <c r="AG346" s="443"/>
      <c r="AH346" s="443"/>
      <c r="AI346" s="443"/>
      <c r="AJ346" s="443"/>
      <c r="AK346" s="443"/>
      <c r="AL346" s="443"/>
      <c r="AM346" s="443"/>
      <c r="AN346" s="443"/>
      <c r="AO346" s="443"/>
      <c r="AP346" s="443"/>
      <c r="AQ346" s="443"/>
      <c r="AR346" s="443"/>
      <c r="AS346" s="443"/>
      <c r="AT346" s="443"/>
      <c r="AU346" s="443"/>
      <c r="AV346" s="443"/>
      <c r="AW346" s="443"/>
      <c r="AX346" s="443"/>
      <c r="AY346" s="443"/>
      <c r="AZ346" s="443">
        <f>F346</f>
        <v>5000</v>
      </c>
      <c r="BA346" s="443"/>
      <c r="BB346" s="443"/>
      <c r="BC346" s="443"/>
      <c r="BD346" s="443"/>
      <c r="BE346" s="443"/>
      <c r="BF346" s="443"/>
      <c r="BG346" s="443"/>
      <c r="BH346" s="443"/>
      <c r="BI346" s="443"/>
      <c r="BJ346" s="443"/>
      <c r="BK346" s="443"/>
      <c r="BL346" s="443"/>
      <c r="BM346" s="443"/>
      <c r="BN346" s="443"/>
      <c r="BO346" s="443"/>
      <c r="BP346" s="92"/>
      <c r="BQ346" s="92">
        <v>4.419</v>
      </c>
      <c r="BR346" s="462">
        <f t="shared" si="35"/>
        <v>22095</v>
      </c>
      <c r="BS346" s="447">
        <f t="shared" si="34"/>
        <v>171236.25</v>
      </c>
      <c r="BT346" s="443" t="str">
        <f>IFERROR(VLOOKUP(E346,名称!A:D,4,FALSE),"")</f>
        <v>RRM</v>
      </c>
    </row>
    <row r="347" s="427" customFormat="1" hidden="1" customHeight="1" spans="1:72">
      <c r="A347" s="93">
        <v>46105</v>
      </c>
      <c r="B347" s="95" t="s">
        <v>237</v>
      </c>
      <c r="C347" s="96">
        <v>10123118</v>
      </c>
      <c r="D347" s="96" t="s">
        <v>259</v>
      </c>
      <c r="E347" s="97" t="s">
        <v>39</v>
      </c>
      <c r="F347" s="99">
        <v>300</v>
      </c>
      <c r="G347" s="93">
        <v>46176</v>
      </c>
      <c r="H347" s="429"/>
      <c r="I347" s="429"/>
      <c r="J347" s="429"/>
      <c r="K347" s="429"/>
      <c r="L347" s="429"/>
      <c r="M347" s="429"/>
      <c r="N347" s="429"/>
      <c r="O347" s="429"/>
      <c r="P347" s="429"/>
      <c r="Q347" s="429"/>
      <c r="R347" s="429"/>
      <c r="S347" s="429"/>
      <c r="T347" s="429"/>
      <c r="U347" s="429"/>
      <c r="V347" s="429"/>
      <c r="W347" s="429">
        <f>F347</f>
        <v>300</v>
      </c>
      <c r="X347" s="429"/>
      <c r="Y347" s="429"/>
      <c r="Z347" s="429"/>
      <c r="AA347" s="429"/>
      <c r="AB347" s="429"/>
      <c r="AC347" s="429"/>
      <c r="AD347" s="429"/>
      <c r="AE347" s="429"/>
      <c r="AF347" s="429"/>
      <c r="AG347" s="429"/>
      <c r="AH347" s="429"/>
      <c r="AI347" s="429"/>
      <c r="AJ347" s="429"/>
      <c r="AK347" s="429"/>
      <c r="AL347" s="429"/>
      <c r="AM347" s="429"/>
      <c r="AN347" s="429"/>
      <c r="AO347" s="429"/>
      <c r="AP347" s="429"/>
      <c r="AQ347" s="429"/>
      <c r="AR347" s="429"/>
      <c r="AS347" s="429"/>
      <c r="AT347" s="429"/>
      <c r="AU347" s="429"/>
      <c r="AV347" s="429"/>
      <c r="AW347" s="429"/>
      <c r="AX347" s="429"/>
      <c r="AY347" s="429"/>
      <c r="AZ347" s="429"/>
      <c r="BA347" s="429"/>
      <c r="BB347" s="429"/>
      <c r="BC347" s="429"/>
      <c r="BD347" s="429"/>
      <c r="BE347" s="429"/>
      <c r="BF347" s="429"/>
      <c r="BG347" s="429"/>
      <c r="BH347" s="429"/>
      <c r="BI347" s="429"/>
      <c r="BJ347" s="429"/>
      <c r="BK347" s="429"/>
      <c r="BL347" s="429"/>
      <c r="BM347" s="429"/>
      <c r="BN347" s="429"/>
      <c r="BO347" s="429"/>
      <c r="BP347" s="102"/>
      <c r="BQ347" s="102">
        <v>30.536</v>
      </c>
      <c r="BR347" s="451">
        <f t="shared" si="35"/>
        <v>9160.8</v>
      </c>
      <c r="BS347" s="451">
        <f t="shared" si="34"/>
        <v>70996.2</v>
      </c>
      <c r="BT347" s="429" t="str">
        <f>IFERROR(VLOOKUP(E347,名称!A:D,4,FALSE),"")</f>
        <v>KIK</v>
      </c>
    </row>
    <row r="348" s="427" customFormat="1" hidden="1" customHeight="1" spans="1:72">
      <c r="A348" s="93">
        <v>46105</v>
      </c>
      <c r="B348" s="95" t="s">
        <v>237</v>
      </c>
      <c r="C348" s="96">
        <v>10123118</v>
      </c>
      <c r="D348" s="96" t="s">
        <v>259</v>
      </c>
      <c r="E348" s="97" t="s">
        <v>158</v>
      </c>
      <c r="F348" s="99">
        <v>600</v>
      </c>
      <c r="G348" s="93">
        <v>46176</v>
      </c>
      <c r="H348" s="429"/>
      <c r="I348" s="429"/>
      <c r="J348" s="429"/>
      <c r="K348" s="429"/>
      <c r="L348" s="429"/>
      <c r="M348" s="429"/>
      <c r="N348" s="429"/>
      <c r="O348" s="429"/>
      <c r="P348" s="429"/>
      <c r="Q348" s="429"/>
      <c r="R348" s="429"/>
      <c r="S348" s="429">
        <f>F348</f>
        <v>600</v>
      </c>
      <c r="T348" s="429"/>
      <c r="U348" s="429"/>
      <c r="V348" s="429"/>
      <c r="W348" s="429"/>
      <c r="X348" s="429"/>
      <c r="Y348" s="429"/>
      <c r="Z348" s="429"/>
      <c r="AA348" s="429"/>
      <c r="AB348" s="429"/>
      <c r="AC348" s="429"/>
      <c r="AD348" s="429"/>
      <c r="AE348" s="429"/>
      <c r="AF348" s="429"/>
      <c r="AG348" s="429"/>
      <c r="AH348" s="429"/>
      <c r="AI348" s="429"/>
      <c r="AJ348" s="429"/>
      <c r="AK348" s="429"/>
      <c r="AL348" s="429"/>
      <c r="AM348" s="429"/>
      <c r="AN348" s="429"/>
      <c r="AO348" s="429"/>
      <c r="AP348" s="429"/>
      <c r="AQ348" s="429"/>
      <c r="AR348" s="429"/>
      <c r="AS348" s="429"/>
      <c r="AT348" s="429"/>
      <c r="AU348" s="429"/>
      <c r="AV348" s="429"/>
      <c r="AW348" s="429"/>
      <c r="AX348" s="429"/>
      <c r="AY348" s="429"/>
      <c r="AZ348" s="429"/>
      <c r="BA348" s="429"/>
      <c r="BB348" s="429"/>
      <c r="BC348" s="429"/>
      <c r="BD348" s="429"/>
      <c r="BE348" s="429"/>
      <c r="BF348" s="429"/>
      <c r="BG348" s="429"/>
      <c r="BH348" s="429"/>
      <c r="BI348" s="429"/>
      <c r="BJ348" s="429"/>
      <c r="BK348" s="429"/>
      <c r="BL348" s="429"/>
      <c r="BM348" s="429"/>
      <c r="BN348" s="429"/>
      <c r="BO348" s="429"/>
      <c r="BP348" s="102"/>
      <c r="BQ348" s="102">
        <v>4.792</v>
      </c>
      <c r="BR348" s="451">
        <f t="shared" si="35"/>
        <v>2875.2</v>
      </c>
      <c r="BS348" s="451">
        <f t="shared" si="34"/>
        <v>22282.8</v>
      </c>
      <c r="BT348" s="429" t="str">
        <f>IFERROR(VLOOKUP(E348,名称!A:D,4,FALSE),"")</f>
        <v>KIK</v>
      </c>
    </row>
    <row r="349" s="427" customFormat="1" hidden="1" customHeight="1" spans="1:72">
      <c r="A349" s="93">
        <v>46105</v>
      </c>
      <c r="B349" s="95" t="s">
        <v>237</v>
      </c>
      <c r="C349" s="96">
        <v>10123118</v>
      </c>
      <c r="D349" s="96" t="s">
        <v>259</v>
      </c>
      <c r="E349" s="97">
        <v>47669</v>
      </c>
      <c r="F349" s="99">
        <v>500</v>
      </c>
      <c r="G349" s="93">
        <v>46176</v>
      </c>
      <c r="H349" s="429"/>
      <c r="I349" s="429"/>
      <c r="J349" s="429"/>
      <c r="K349" s="429"/>
      <c r="L349" s="429"/>
      <c r="M349" s="429"/>
      <c r="N349" s="429"/>
      <c r="O349" s="429"/>
      <c r="P349" s="429"/>
      <c r="Q349" s="429"/>
      <c r="R349" s="429">
        <f>F349</f>
        <v>500</v>
      </c>
      <c r="S349" s="429"/>
      <c r="T349" s="429"/>
      <c r="U349" s="429"/>
      <c r="V349" s="429"/>
      <c r="W349" s="429"/>
      <c r="X349" s="429"/>
      <c r="Y349" s="429"/>
      <c r="Z349" s="429"/>
      <c r="AA349" s="429"/>
      <c r="AB349" s="429"/>
      <c r="AC349" s="429"/>
      <c r="AD349" s="429"/>
      <c r="AE349" s="429"/>
      <c r="AF349" s="429"/>
      <c r="AG349" s="429"/>
      <c r="AH349" s="429"/>
      <c r="AI349" s="429"/>
      <c r="AJ349" s="429"/>
      <c r="AK349" s="429"/>
      <c r="AL349" s="429"/>
      <c r="AM349" s="429"/>
      <c r="AN349" s="429"/>
      <c r="AO349" s="429"/>
      <c r="AP349" s="429"/>
      <c r="AQ349" s="429"/>
      <c r="AR349" s="429"/>
      <c r="AS349" s="429"/>
      <c r="AT349" s="429"/>
      <c r="AU349" s="429"/>
      <c r="AV349" s="429"/>
      <c r="AW349" s="429"/>
      <c r="AX349" s="429"/>
      <c r="AY349" s="429"/>
      <c r="AZ349" s="429"/>
      <c r="BA349" s="429"/>
      <c r="BB349" s="429"/>
      <c r="BC349" s="429"/>
      <c r="BD349" s="429"/>
      <c r="BE349" s="429"/>
      <c r="BF349" s="429"/>
      <c r="BG349" s="429"/>
      <c r="BH349" s="429"/>
      <c r="BI349" s="429"/>
      <c r="BJ349" s="429"/>
      <c r="BK349" s="429"/>
      <c r="BL349" s="429"/>
      <c r="BM349" s="429"/>
      <c r="BN349" s="429"/>
      <c r="BO349" s="429"/>
      <c r="BP349" s="102"/>
      <c r="BQ349" s="102">
        <v>4.808</v>
      </c>
      <c r="BR349" s="451">
        <f t="shared" si="35"/>
        <v>2404</v>
      </c>
      <c r="BS349" s="451">
        <f t="shared" si="34"/>
        <v>18631</v>
      </c>
      <c r="BT349" s="429" t="str">
        <f>IFERROR(VLOOKUP(E349,名称!A:D,4,FALSE),"")</f>
        <v>KIK</v>
      </c>
    </row>
    <row r="350" s="427" customFormat="1" hidden="1" customHeight="1" spans="1:72">
      <c r="A350" s="93">
        <v>46105</v>
      </c>
      <c r="B350" s="95" t="s">
        <v>237</v>
      </c>
      <c r="C350" s="96">
        <v>10123118</v>
      </c>
      <c r="D350" s="96" t="s">
        <v>259</v>
      </c>
      <c r="E350" s="97" t="s">
        <v>111</v>
      </c>
      <c r="F350" s="99">
        <v>320</v>
      </c>
      <c r="G350" s="93">
        <v>46176</v>
      </c>
      <c r="H350" s="429"/>
      <c r="I350" s="429"/>
      <c r="J350" s="429"/>
      <c r="K350" s="429"/>
      <c r="L350" s="429"/>
      <c r="M350" s="429"/>
      <c r="N350" s="429"/>
      <c r="O350" s="429"/>
      <c r="P350" s="429"/>
      <c r="Q350" s="429"/>
      <c r="R350" s="429"/>
      <c r="S350" s="429"/>
      <c r="T350" s="429"/>
      <c r="U350" s="429"/>
      <c r="V350" s="429"/>
      <c r="W350" s="429"/>
      <c r="X350" s="429"/>
      <c r="Y350" s="429"/>
      <c r="Z350" s="429"/>
      <c r="AA350" s="429"/>
      <c r="AB350" s="429"/>
      <c r="AC350" s="429"/>
      <c r="AD350" s="429"/>
      <c r="AE350" s="429"/>
      <c r="AF350" s="429"/>
      <c r="AG350" s="429"/>
      <c r="AH350" s="429"/>
      <c r="AI350" s="429"/>
      <c r="AJ350" s="429"/>
      <c r="AK350" s="429"/>
      <c r="AL350" s="429"/>
      <c r="AM350" s="429">
        <f>F350</f>
        <v>320</v>
      </c>
      <c r="AN350" s="429"/>
      <c r="AO350" s="429"/>
      <c r="AP350" s="429"/>
      <c r="AQ350" s="429"/>
      <c r="AR350" s="429"/>
      <c r="AS350" s="429"/>
      <c r="AT350" s="429"/>
      <c r="AU350" s="429"/>
      <c r="AV350" s="429"/>
      <c r="AW350" s="429"/>
      <c r="AX350" s="429"/>
      <c r="AY350" s="429"/>
      <c r="AZ350" s="429"/>
      <c r="BA350" s="429"/>
      <c r="BB350" s="429"/>
      <c r="BC350" s="429"/>
      <c r="BD350" s="429"/>
      <c r="BE350" s="429"/>
      <c r="BF350" s="429"/>
      <c r="BG350" s="429"/>
      <c r="BH350" s="429"/>
      <c r="BI350" s="429"/>
      <c r="BJ350" s="429"/>
      <c r="BK350" s="429"/>
      <c r="BL350" s="429"/>
      <c r="BM350" s="429"/>
      <c r="BN350" s="429"/>
      <c r="BO350" s="429"/>
      <c r="BP350" s="102"/>
      <c r="BQ350" s="102">
        <v>3.816</v>
      </c>
      <c r="BR350" s="451">
        <f t="shared" si="35"/>
        <v>1221.12</v>
      </c>
      <c r="BS350" s="451">
        <f t="shared" si="34"/>
        <v>9463.68</v>
      </c>
      <c r="BT350" s="429" t="str">
        <f>IFERROR(VLOOKUP(E350,名称!A:D,4,FALSE),"")</f>
        <v>KIK</v>
      </c>
    </row>
    <row r="351" s="427" customFormat="1" hidden="1" customHeight="1" spans="1:72">
      <c r="A351" s="93">
        <v>46105</v>
      </c>
      <c r="B351" s="95" t="s">
        <v>237</v>
      </c>
      <c r="C351" s="96">
        <v>10123118</v>
      </c>
      <c r="D351" s="96" t="s">
        <v>259</v>
      </c>
      <c r="E351" s="97" t="s">
        <v>113</v>
      </c>
      <c r="F351" s="99">
        <v>380</v>
      </c>
      <c r="G351" s="93">
        <v>46176</v>
      </c>
      <c r="H351" s="429"/>
      <c r="I351" s="429"/>
      <c r="J351" s="429"/>
      <c r="K351" s="429"/>
      <c r="L351" s="429"/>
      <c r="M351" s="429"/>
      <c r="N351" s="429"/>
      <c r="O351" s="429"/>
      <c r="P351" s="429"/>
      <c r="Q351" s="429"/>
      <c r="R351" s="429"/>
      <c r="S351" s="429"/>
      <c r="T351" s="429"/>
      <c r="U351" s="429"/>
      <c r="V351" s="429"/>
      <c r="W351" s="429"/>
      <c r="X351" s="429"/>
      <c r="Y351" s="429"/>
      <c r="Z351" s="429"/>
      <c r="AA351" s="429"/>
      <c r="AB351" s="429"/>
      <c r="AC351" s="429"/>
      <c r="AD351" s="429"/>
      <c r="AE351" s="429"/>
      <c r="AF351" s="429"/>
      <c r="AG351" s="429"/>
      <c r="AH351" s="429"/>
      <c r="AI351" s="429"/>
      <c r="AJ351" s="429"/>
      <c r="AK351" s="429"/>
      <c r="AL351" s="429"/>
      <c r="AM351" s="429"/>
      <c r="AN351" s="429">
        <f>F351</f>
        <v>380</v>
      </c>
      <c r="AO351" s="429"/>
      <c r="AP351" s="429"/>
      <c r="AQ351" s="429"/>
      <c r="AR351" s="429"/>
      <c r="AS351" s="429"/>
      <c r="AT351" s="429"/>
      <c r="AU351" s="429"/>
      <c r="AV351" s="429"/>
      <c r="AW351" s="429"/>
      <c r="AX351" s="429"/>
      <c r="AY351" s="429"/>
      <c r="AZ351" s="429"/>
      <c r="BA351" s="429"/>
      <c r="BB351" s="429"/>
      <c r="BC351" s="429"/>
      <c r="BD351" s="429"/>
      <c r="BE351" s="429"/>
      <c r="BF351" s="429"/>
      <c r="BG351" s="429"/>
      <c r="BH351" s="429"/>
      <c r="BI351" s="429"/>
      <c r="BJ351" s="429"/>
      <c r="BK351" s="429"/>
      <c r="BL351" s="429"/>
      <c r="BM351" s="429"/>
      <c r="BN351" s="429"/>
      <c r="BO351" s="429"/>
      <c r="BP351" s="102"/>
      <c r="BQ351" s="102">
        <v>5.97</v>
      </c>
      <c r="BR351" s="451">
        <f t="shared" si="35"/>
        <v>2268.6</v>
      </c>
      <c r="BS351" s="451">
        <f t="shared" si="34"/>
        <v>17581.65</v>
      </c>
      <c r="BT351" s="429" t="str">
        <f>IFERROR(VLOOKUP(E351,名称!A:D,4,FALSE),"")</f>
        <v>KIK</v>
      </c>
    </row>
    <row r="352" s="427" customFormat="1" hidden="1" customHeight="1" spans="1:72">
      <c r="A352" s="93">
        <v>46105</v>
      </c>
      <c r="B352" s="95" t="s">
        <v>237</v>
      </c>
      <c r="C352" s="96">
        <v>10123118</v>
      </c>
      <c r="D352" s="96" t="s">
        <v>259</v>
      </c>
      <c r="E352" s="97" t="s">
        <v>109</v>
      </c>
      <c r="F352" s="99">
        <v>320</v>
      </c>
      <c r="G352" s="93">
        <v>46176</v>
      </c>
      <c r="H352" s="429"/>
      <c r="I352" s="429"/>
      <c r="J352" s="429"/>
      <c r="K352" s="429"/>
      <c r="L352" s="429"/>
      <c r="M352" s="429"/>
      <c r="N352" s="429"/>
      <c r="O352" s="429"/>
      <c r="P352" s="429"/>
      <c r="Q352" s="429"/>
      <c r="R352" s="429"/>
      <c r="S352" s="429"/>
      <c r="T352" s="429"/>
      <c r="U352" s="429"/>
      <c r="V352" s="429"/>
      <c r="W352" s="429"/>
      <c r="X352" s="429"/>
      <c r="Y352" s="429"/>
      <c r="Z352" s="429"/>
      <c r="AA352" s="429"/>
      <c r="AB352" s="429"/>
      <c r="AC352" s="429"/>
      <c r="AD352" s="429"/>
      <c r="AE352" s="429"/>
      <c r="AF352" s="429"/>
      <c r="AG352" s="429"/>
      <c r="AH352" s="429"/>
      <c r="AI352" s="429"/>
      <c r="AJ352" s="429"/>
      <c r="AK352" s="429"/>
      <c r="AL352" s="429">
        <f>F352</f>
        <v>320</v>
      </c>
      <c r="AM352" s="429"/>
      <c r="AN352" s="429"/>
      <c r="AO352" s="429"/>
      <c r="AP352" s="429"/>
      <c r="AQ352" s="429"/>
      <c r="AR352" s="429"/>
      <c r="AS352" s="429"/>
      <c r="AT352" s="429"/>
      <c r="AU352" s="429"/>
      <c r="AV352" s="429"/>
      <c r="AW352" s="429"/>
      <c r="AX352" s="429"/>
      <c r="AY352" s="429"/>
      <c r="AZ352" s="429"/>
      <c r="BA352" s="429"/>
      <c r="BB352" s="429"/>
      <c r="BC352" s="429"/>
      <c r="BD352" s="429"/>
      <c r="BE352" s="429"/>
      <c r="BF352" s="429"/>
      <c r="BG352" s="429"/>
      <c r="BH352" s="429"/>
      <c r="BI352" s="429"/>
      <c r="BJ352" s="429"/>
      <c r="BK352" s="429"/>
      <c r="BL352" s="429"/>
      <c r="BM352" s="429"/>
      <c r="BN352" s="429"/>
      <c r="BO352" s="429"/>
      <c r="BP352" s="102"/>
      <c r="BQ352" s="102">
        <v>3.886</v>
      </c>
      <c r="BR352" s="451">
        <f t="shared" si="35"/>
        <v>1243.52</v>
      </c>
      <c r="BS352" s="451">
        <f t="shared" si="34"/>
        <v>9637.28</v>
      </c>
      <c r="BT352" s="429" t="str">
        <f>IFERROR(VLOOKUP(E352,名称!A:D,4,FALSE),"")</f>
        <v>KIK</v>
      </c>
    </row>
    <row r="353" s="427" customFormat="1" hidden="1" customHeight="1" spans="1:72">
      <c r="A353" s="93">
        <v>46105</v>
      </c>
      <c r="B353" s="95" t="s">
        <v>237</v>
      </c>
      <c r="C353" s="96">
        <v>10123118</v>
      </c>
      <c r="D353" s="96" t="s">
        <v>259</v>
      </c>
      <c r="E353" s="97" t="s">
        <v>118</v>
      </c>
      <c r="F353" s="99">
        <v>540</v>
      </c>
      <c r="G353" s="93">
        <v>46176</v>
      </c>
      <c r="H353" s="429"/>
      <c r="I353" s="429"/>
      <c r="J353" s="429"/>
      <c r="K353" s="429"/>
      <c r="L353" s="429"/>
      <c r="M353" s="429"/>
      <c r="N353" s="429"/>
      <c r="O353" s="429"/>
      <c r="P353" s="429"/>
      <c r="Q353" s="429"/>
      <c r="R353" s="429"/>
      <c r="S353" s="429"/>
      <c r="T353" s="429"/>
      <c r="U353" s="429"/>
      <c r="V353" s="429"/>
      <c r="W353" s="429"/>
      <c r="X353" s="429"/>
      <c r="Y353" s="429"/>
      <c r="Z353" s="429"/>
      <c r="AA353" s="429"/>
      <c r="AB353" s="429"/>
      <c r="AC353" s="429"/>
      <c r="AD353" s="429"/>
      <c r="AE353" s="429"/>
      <c r="AF353" s="429"/>
      <c r="AG353" s="429"/>
      <c r="AH353" s="429"/>
      <c r="AI353" s="429"/>
      <c r="AJ353" s="429"/>
      <c r="AK353" s="429"/>
      <c r="AL353" s="429"/>
      <c r="AM353" s="429"/>
      <c r="AN353" s="429"/>
      <c r="AO353" s="429"/>
      <c r="AP353" s="429"/>
      <c r="AQ353" s="429">
        <f>F353</f>
        <v>540</v>
      </c>
      <c r="AR353" s="429"/>
      <c r="AS353" s="429"/>
      <c r="AT353" s="429"/>
      <c r="AU353" s="429"/>
      <c r="AV353" s="429"/>
      <c r="AW353" s="429"/>
      <c r="AX353" s="429"/>
      <c r="AY353" s="429"/>
      <c r="AZ353" s="429"/>
      <c r="BA353" s="429"/>
      <c r="BB353" s="429"/>
      <c r="BC353" s="429"/>
      <c r="BD353" s="429"/>
      <c r="BE353" s="429"/>
      <c r="BF353" s="429"/>
      <c r="BG353" s="429"/>
      <c r="BH353" s="429"/>
      <c r="BI353" s="429"/>
      <c r="BJ353" s="429"/>
      <c r="BK353" s="429"/>
      <c r="BL353" s="429"/>
      <c r="BM353" s="429"/>
      <c r="BN353" s="429"/>
      <c r="BO353" s="429"/>
      <c r="BP353" s="102"/>
      <c r="BQ353" s="102">
        <v>16.71</v>
      </c>
      <c r="BR353" s="451">
        <f t="shared" si="35"/>
        <v>9023.4</v>
      </c>
      <c r="BS353" s="451">
        <f t="shared" si="34"/>
        <v>69931.35</v>
      </c>
      <c r="BT353" s="429" t="str">
        <f>IFERROR(VLOOKUP(E353,名称!A:D,4,FALSE),"")</f>
        <v>KIK</v>
      </c>
    </row>
    <row r="354" s="427" customFormat="1" hidden="1" customHeight="1" spans="1:72">
      <c r="A354" s="93">
        <v>46105</v>
      </c>
      <c r="B354" s="95" t="s">
        <v>237</v>
      </c>
      <c r="C354" s="96">
        <v>10123116</v>
      </c>
      <c r="D354" s="96" t="s">
        <v>260</v>
      </c>
      <c r="E354" s="97" t="s">
        <v>35</v>
      </c>
      <c r="F354" s="99">
        <v>560</v>
      </c>
      <c r="G354" s="93">
        <v>46176</v>
      </c>
      <c r="H354" s="429"/>
      <c r="I354" s="429"/>
      <c r="J354" s="429"/>
      <c r="K354" s="429"/>
      <c r="L354" s="429"/>
      <c r="M354" s="429"/>
      <c r="N354" s="429"/>
      <c r="O354" s="429"/>
      <c r="P354" s="429"/>
      <c r="Q354" s="429"/>
      <c r="R354" s="429"/>
      <c r="S354" s="429"/>
      <c r="T354" s="429"/>
      <c r="U354" s="429"/>
      <c r="V354" s="429"/>
      <c r="W354" s="429"/>
      <c r="X354" s="429"/>
      <c r="Y354" s="429">
        <f>F354</f>
        <v>560</v>
      </c>
      <c r="Z354" s="429"/>
      <c r="AA354" s="429"/>
      <c r="AB354" s="429"/>
      <c r="AC354" s="429"/>
      <c r="AD354" s="429"/>
      <c r="AE354" s="429"/>
      <c r="AF354" s="429"/>
      <c r="AG354" s="429"/>
      <c r="AH354" s="429"/>
      <c r="AI354" s="429"/>
      <c r="AJ354" s="429"/>
      <c r="AK354" s="429"/>
      <c r="AL354" s="429"/>
      <c r="AM354" s="429"/>
      <c r="AN354" s="429"/>
      <c r="AO354" s="429"/>
      <c r="AP354" s="429"/>
      <c r="AQ354" s="429"/>
      <c r="AR354" s="429"/>
      <c r="AS354" s="429"/>
      <c r="AT354" s="429"/>
      <c r="AU354" s="429"/>
      <c r="AV354" s="429"/>
      <c r="AW354" s="429"/>
      <c r="AX354" s="429"/>
      <c r="AY354" s="429"/>
      <c r="AZ354" s="429"/>
      <c r="BA354" s="429"/>
      <c r="BB354" s="429"/>
      <c r="BC354" s="429"/>
      <c r="BD354" s="429"/>
      <c r="BE354" s="429"/>
      <c r="BF354" s="429"/>
      <c r="BG354" s="429"/>
      <c r="BH354" s="429"/>
      <c r="BI354" s="429"/>
      <c r="BJ354" s="429"/>
      <c r="BK354" s="429"/>
      <c r="BL354" s="429"/>
      <c r="BM354" s="429"/>
      <c r="BN354" s="429"/>
      <c r="BO354" s="429"/>
      <c r="BP354" s="102"/>
      <c r="BQ354" s="102">
        <v>22.9</v>
      </c>
      <c r="BR354" s="451">
        <f t="shared" si="35"/>
        <v>12824</v>
      </c>
      <c r="BS354" s="451">
        <f t="shared" si="34"/>
        <v>99386</v>
      </c>
      <c r="BT354" s="429" t="str">
        <f>IFERROR(VLOOKUP(E354,名称!A:D,4,FALSE),"")</f>
        <v>KIK</v>
      </c>
    </row>
    <row r="355" s="427" customFormat="1" hidden="1" customHeight="1" spans="1:72">
      <c r="A355" s="93">
        <v>46105</v>
      </c>
      <c r="B355" s="95" t="s">
        <v>237</v>
      </c>
      <c r="C355" s="96">
        <v>10123116</v>
      </c>
      <c r="D355" s="96" t="s">
        <v>260</v>
      </c>
      <c r="E355" s="97" t="s">
        <v>105</v>
      </c>
      <c r="F355" s="99">
        <v>420</v>
      </c>
      <c r="G355" s="93">
        <v>46176</v>
      </c>
      <c r="H355" s="429"/>
      <c r="I355" s="429"/>
      <c r="J355" s="429"/>
      <c r="K355" s="429"/>
      <c r="L355" s="429"/>
      <c r="M355" s="429"/>
      <c r="N355" s="429"/>
      <c r="O355" s="429"/>
      <c r="P355" s="429"/>
      <c r="Q355" s="429"/>
      <c r="R355" s="429"/>
      <c r="S355" s="429"/>
      <c r="T355" s="429"/>
      <c r="U355" s="429"/>
      <c r="V355" s="429"/>
      <c r="W355" s="429"/>
      <c r="X355" s="429"/>
      <c r="Y355" s="429"/>
      <c r="Z355" s="429"/>
      <c r="AA355" s="429"/>
      <c r="AB355" s="429"/>
      <c r="AC355" s="429"/>
      <c r="AD355" s="429"/>
      <c r="AE355" s="429"/>
      <c r="AF355" s="429"/>
      <c r="AG355" s="429"/>
      <c r="AH355" s="429"/>
      <c r="AI355" s="429"/>
      <c r="AJ355" s="429">
        <f>F355</f>
        <v>420</v>
      </c>
      <c r="AK355" s="429"/>
      <c r="AL355" s="429"/>
      <c r="AM355" s="429"/>
      <c r="AN355" s="429"/>
      <c r="AO355" s="429"/>
      <c r="AP355" s="429"/>
      <c r="AQ355" s="429"/>
      <c r="AR355" s="429"/>
      <c r="AS355" s="429"/>
      <c r="AT355" s="429"/>
      <c r="AU355" s="429"/>
      <c r="AV355" s="429"/>
      <c r="AW355" s="429"/>
      <c r="AX355" s="429"/>
      <c r="AY355" s="429"/>
      <c r="AZ355" s="429"/>
      <c r="BA355" s="429"/>
      <c r="BB355" s="429"/>
      <c r="BC355" s="429"/>
      <c r="BD355" s="429"/>
      <c r="BE355" s="429"/>
      <c r="BF355" s="429"/>
      <c r="BG355" s="429"/>
      <c r="BH355" s="429"/>
      <c r="BI355" s="429"/>
      <c r="BJ355" s="429"/>
      <c r="BK355" s="429"/>
      <c r="BL355" s="429"/>
      <c r="BM355" s="429"/>
      <c r="BN355" s="429"/>
      <c r="BO355" s="429"/>
      <c r="BP355" s="102"/>
      <c r="BQ355" s="102">
        <v>2.994</v>
      </c>
      <c r="BR355" s="451">
        <f t="shared" si="35"/>
        <v>1257.48</v>
      </c>
      <c r="BS355" s="451">
        <f t="shared" si="34"/>
        <v>9745.47</v>
      </c>
      <c r="BT355" s="429" t="str">
        <f>IFERROR(VLOOKUP(E355,名称!A:D,4,FALSE),"")</f>
        <v>KIK</v>
      </c>
    </row>
    <row r="356" s="427" customFormat="1" hidden="1" customHeight="1" spans="1:72">
      <c r="A356" s="93">
        <v>46105</v>
      </c>
      <c r="B356" s="95" t="s">
        <v>237</v>
      </c>
      <c r="C356" s="96">
        <v>10123116</v>
      </c>
      <c r="D356" s="96" t="s">
        <v>260</v>
      </c>
      <c r="E356" s="97" t="s">
        <v>107</v>
      </c>
      <c r="F356" s="99">
        <v>380</v>
      </c>
      <c r="G356" s="93">
        <v>46176</v>
      </c>
      <c r="H356" s="429"/>
      <c r="I356" s="429"/>
      <c r="J356" s="429"/>
      <c r="K356" s="429"/>
      <c r="L356" s="429"/>
      <c r="M356" s="429"/>
      <c r="N356" s="429"/>
      <c r="O356" s="429"/>
      <c r="P356" s="429"/>
      <c r="Q356" s="429"/>
      <c r="R356" s="429"/>
      <c r="S356" s="429"/>
      <c r="T356" s="429"/>
      <c r="U356" s="429"/>
      <c r="V356" s="429"/>
      <c r="W356" s="429"/>
      <c r="X356" s="429"/>
      <c r="Y356" s="429"/>
      <c r="Z356" s="429"/>
      <c r="AA356" s="429"/>
      <c r="AB356" s="429"/>
      <c r="AC356" s="429"/>
      <c r="AD356" s="429"/>
      <c r="AE356" s="429"/>
      <c r="AF356" s="429"/>
      <c r="AG356" s="429"/>
      <c r="AH356" s="429"/>
      <c r="AI356" s="429"/>
      <c r="AJ356" s="429"/>
      <c r="AK356" s="429">
        <f>F356</f>
        <v>380</v>
      </c>
      <c r="AL356" s="429"/>
      <c r="AM356" s="429"/>
      <c r="AN356" s="429"/>
      <c r="AO356" s="429"/>
      <c r="AP356" s="429"/>
      <c r="AQ356" s="429"/>
      <c r="AR356" s="429"/>
      <c r="AS356" s="429"/>
      <c r="AT356" s="429"/>
      <c r="AU356" s="429"/>
      <c r="AV356" s="429"/>
      <c r="AW356" s="429"/>
      <c r="AX356" s="429"/>
      <c r="AY356" s="429"/>
      <c r="AZ356" s="429"/>
      <c r="BA356" s="429"/>
      <c r="BB356" s="429"/>
      <c r="BC356" s="429"/>
      <c r="BD356" s="429"/>
      <c r="BE356" s="429"/>
      <c r="BF356" s="429"/>
      <c r="BG356" s="429"/>
      <c r="BH356" s="429"/>
      <c r="BI356" s="429"/>
      <c r="BJ356" s="429"/>
      <c r="BK356" s="429"/>
      <c r="BL356" s="429"/>
      <c r="BM356" s="429"/>
      <c r="BN356" s="429"/>
      <c r="BO356" s="429"/>
      <c r="BP356" s="102"/>
      <c r="BQ356" s="102">
        <v>4.956</v>
      </c>
      <c r="BR356" s="451">
        <f t="shared" si="35"/>
        <v>1883.28</v>
      </c>
      <c r="BS356" s="451">
        <f t="shared" si="34"/>
        <v>14595.42</v>
      </c>
      <c r="BT356" s="429" t="str">
        <f>IFERROR(VLOOKUP(E356,名称!A:D,4,FALSE),"")</f>
        <v>KIK</v>
      </c>
    </row>
    <row r="357" s="427" customFormat="1" hidden="1" customHeight="1" spans="1:72">
      <c r="A357" s="93">
        <v>46105</v>
      </c>
      <c r="B357" s="95" t="s">
        <v>237</v>
      </c>
      <c r="C357" s="96">
        <v>10123116</v>
      </c>
      <c r="D357" s="96" t="s">
        <v>260</v>
      </c>
      <c r="E357" s="97" t="s">
        <v>87</v>
      </c>
      <c r="F357" s="99">
        <v>100</v>
      </c>
      <c r="G357" s="93">
        <v>46176</v>
      </c>
      <c r="H357" s="429"/>
      <c r="I357" s="429"/>
      <c r="J357" s="429"/>
      <c r="K357" s="429"/>
      <c r="L357" s="429"/>
      <c r="M357" s="429"/>
      <c r="N357" s="429"/>
      <c r="O357" s="429"/>
      <c r="P357" s="429"/>
      <c r="Q357" s="429"/>
      <c r="R357" s="429"/>
      <c r="S357" s="429"/>
      <c r="T357" s="429"/>
      <c r="U357" s="429"/>
      <c r="V357" s="429"/>
      <c r="W357" s="429"/>
      <c r="X357" s="429"/>
      <c r="Y357" s="429"/>
      <c r="Z357" s="429"/>
      <c r="AA357" s="429"/>
      <c r="AB357" s="429"/>
      <c r="AC357" s="429"/>
      <c r="AD357" s="429">
        <f>F357</f>
        <v>100</v>
      </c>
      <c r="AE357" s="429"/>
      <c r="AF357" s="429"/>
      <c r="AG357" s="429"/>
      <c r="AH357" s="429"/>
      <c r="AI357" s="429"/>
      <c r="AJ357" s="429"/>
      <c r="AK357" s="429"/>
      <c r="AL357" s="429"/>
      <c r="AM357" s="429"/>
      <c r="AN357" s="429"/>
      <c r="AO357" s="429"/>
      <c r="AP357" s="429"/>
      <c r="AQ357" s="429"/>
      <c r="AR357" s="429"/>
      <c r="AS357" s="429"/>
      <c r="AT357" s="429"/>
      <c r="AU357" s="429"/>
      <c r="AV357" s="429"/>
      <c r="AW357" s="429"/>
      <c r="AX357" s="429"/>
      <c r="AY357" s="429"/>
      <c r="AZ357" s="429"/>
      <c r="BA357" s="429"/>
      <c r="BB357" s="429"/>
      <c r="BC357" s="429"/>
      <c r="BD357" s="429"/>
      <c r="BE357" s="429"/>
      <c r="BF357" s="429"/>
      <c r="BG357" s="429"/>
      <c r="BH357" s="429"/>
      <c r="BI357" s="429"/>
      <c r="BJ357" s="429"/>
      <c r="BK357" s="429"/>
      <c r="BL357" s="429"/>
      <c r="BM357" s="429"/>
      <c r="BN357" s="429"/>
      <c r="BO357" s="429"/>
      <c r="BP357" s="102"/>
      <c r="BQ357" s="102">
        <v>31.4</v>
      </c>
      <c r="BR357" s="451">
        <f t="shared" si="35"/>
        <v>3140</v>
      </c>
      <c r="BS357" s="451">
        <f t="shared" si="34"/>
        <v>24335</v>
      </c>
      <c r="BT357" s="429" t="str">
        <f>IFERROR(VLOOKUP(E357,名称!A:D,4,FALSE),"")</f>
        <v>KIK</v>
      </c>
    </row>
    <row r="358" s="427" customFormat="1" hidden="1" customHeight="1" spans="1:72">
      <c r="A358" s="93">
        <v>46105</v>
      </c>
      <c r="B358" s="95" t="s">
        <v>237</v>
      </c>
      <c r="C358" s="96">
        <v>10123113</v>
      </c>
      <c r="D358" s="96" t="s">
        <v>261</v>
      </c>
      <c r="E358" s="97" t="s">
        <v>29</v>
      </c>
      <c r="F358" s="99">
        <v>240</v>
      </c>
      <c r="G358" s="93">
        <v>46176</v>
      </c>
      <c r="H358" s="429"/>
      <c r="I358" s="429"/>
      <c r="J358" s="429">
        <f>F358</f>
        <v>240</v>
      </c>
      <c r="K358" s="429"/>
      <c r="L358" s="429"/>
      <c r="M358" s="429"/>
      <c r="N358" s="429"/>
      <c r="O358" s="429"/>
      <c r="P358" s="429"/>
      <c r="Q358" s="429"/>
      <c r="R358" s="429"/>
      <c r="S358" s="429"/>
      <c r="T358" s="429"/>
      <c r="U358" s="429"/>
      <c r="V358" s="429"/>
      <c r="W358" s="429"/>
      <c r="X358" s="429"/>
      <c r="Y358" s="429"/>
      <c r="Z358" s="429"/>
      <c r="AA358" s="429"/>
      <c r="AB358" s="429"/>
      <c r="AC358" s="429"/>
      <c r="AD358" s="429"/>
      <c r="AE358" s="429"/>
      <c r="AF358" s="429"/>
      <c r="AG358" s="429"/>
      <c r="AH358" s="429"/>
      <c r="AI358" s="429"/>
      <c r="AJ358" s="429"/>
      <c r="AK358" s="429"/>
      <c r="AL358" s="429"/>
      <c r="AM358" s="429"/>
      <c r="AN358" s="429"/>
      <c r="AO358" s="429"/>
      <c r="AP358" s="429"/>
      <c r="AQ358" s="429"/>
      <c r="AR358" s="429"/>
      <c r="AS358" s="429"/>
      <c r="AT358" s="429"/>
      <c r="AU358" s="429"/>
      <c r="AV358" s="429"/>
      <c r="AW358" s="429"/>
      <c r="AX358" s="429"/>
      <c r="AY358" s="429"/>
      <c r="AZ358" s="429"/>
      <c r="BA358" s="429"/>
      <c r="BB358" s="429"/>
      <c r="BC358" s="429"/>
      <c r="BD358" s="429"/>
      <c r="BE358" s="429"/>
      <c r="BF358" s="429"/>
      <c r="BG358" s="429"/>
      <c r="BH358" s="429"/>
      <c r="BI358" s="429"/>
      <c r="BJ358" s="429"/>
      <c r="BK358" s="429"/>
      <c r="BL358" s="429"/>
      <c r="BM358" s="429"/>
      <c r="BN358" s="429"/>
      <c r="BO358" s="429"/>
      <c r="BP358" s="102"/>
      <c r="BQ358" s="102">
        <v>21.801</v>
      </c>
      <c r="BR358" s="451">
        <f t="shared" si="35"/>
        <v>5232.24</v>
      </c>
      <c r="BS358" s="451">
        <f t="shared" si="34"/>
        <v>40549.86</v>
      </c>
      <c r="BT358" s="429" t="str">
        <f>IFERROR(VLOOKUP(E358,名称!A:D,4,FALSE),"")</f>
        <v>KIK</v>
      </c>
    </row>
    <row r="359" s="427" customFormat="1" hidden="1" customHeight="1" spans="1:72">
      <c r="A359" s="93">
        <v>46105</v>
      </c>
      <c r="B359" s="95" t="s">
        <v>237</v>
      </c>
      <c r="C359" s="96">
        <v>10123113</v>
      </c>
      <c r="D359" s="96" t="s">
        <v>261</v>
      </c>
      <c r="E359" s="97" t="s">
        <v>31</v>
      </c>
      <c r="F359" s="99">
        <v>265</v>
      </c>
      <c r="G359" s="93">
        <v>46176</v>
      </c>
      <c r="H359" s="429"/>
      <c r="I359" s="429"/>
      <c r="J359" s="429"/>
      <c r="K359" s="429"/>
      <c r="L359" s="429"/>
      <c r="M359" s="429"/>
      <c r="N359" s="429"/>
      <c r="O359" s="429"/>
      <c r="P359" s="429"/>
      <c r="Q359" s="429"/>
      <c r="R359" s="429"/>
      <c r="S359" s="429"/>
      <c r="T359" s="429"/>
      <c r="U359" s="429"/>
      <c r="V359" s="429"/>
      <c r="W359" s="429"/>
      <c r="X359" s="429"/>
      <c r="Y359" s="429"/>
      <c r="Z359" s="429">
        <f>F359</f>
        <v>265</v>
      </c>
      <c r="AA359" s="429"/>
      <c r="AB359" s="429"/>
      <c r="AC359" s="429"/>
      <c r="AD359" s="429"/>
      <c r="AE359" s="429"/>
      <c r="AF359" s="429"/>
      <c r="AG359" s="429"/>
      <c r="AH359" s="429"/>
      <c r="AI359" s="429"/>
      <c r="AJ359" s="429"/>
      <c r="AK359" s="429"/>
      <c r="AL359" s="429"/>
      <c r="AM359" s="429"/>
      <c r="AN359" s="429"/>
      <c r="AO359" s="429"/>
      <c r="AP359" s="429"/>
      <c r="AQ359" s="429"/>
      <c r="AR359" s="429"/>
      <c r="AS359" s="429"/>
      <c r="AT359" s="429"/>
      <c r="AU359" s="429"/>
      <c r="AV359" s="429"/>
      <c r="AW359" s="429"/>
      <c r="AX359" s="429"/>
      <c r="AY359" s="429"/>
      <c r="AZ359" s="429"/>
      <c r="BA359" s="429"/>
      <c r="BB359" s="429"/>
      <c r="BC359" s="429"/>
      <c r="BD359" s="429"/>
      <c r="BE359" s="429"/>
      <c r="BF359" s="429"/>
      <c r="BG359" s="429"/>
      <c r="BH359" s="429"/>
      <c r="BI359" s="429"/>
      <c r="BJ359" s="429"/>
      <c r="BK359" s="429"/>
      <c r="BL359" s="429"/>
      <c r="BM359" s="429"/>
      <c r="BN359" s="429"/>
      <c r="BO359" s="429"/>
      <c r="BP359" s="102"/>
      <c r="BQ359" s="102">
        <v>29.652</v>
      </c>
      <c r="BR359" s="451">
        <f t="shared" si="35"/>
        <v>7857.78</v>
      </c>
      <c r="BS359" s="451">
        <f t="shared" si="34"/>
        <v>60897.8</v>
      </c>
      <c r="BT359" s="429" t="str">
        <f>IFERROR(VLOOKUP(E359,名称!A:D,4,FALSE),"")</f>
        <v>KIK</v>
      </c>
    </row>
    <row r="360" s="427" customFormat="1" hidden="1" customHeight="1" spans="1:72">
      <c r="A360" s="93">
        <v>46105</v>
      </c>
      <c r="B360" s="95" t="s">
        <v>237</v>
      </c>
      <c r="C360" s="96">
        <v>10123113</v>
      </c>
      <c r="D360" s="96" t="s">
        <v>261</v>
      </c>
      <c r="E360" s="97" t="s">
        <v>120</v>
      </c>
      <c r="F360" s="99">
        <v>200</v>
      </c>
      <c r="G360" s="93">
        <v>46176</v>
      </c>
      <c r="H360" s="429"/>
      <c r="I360" s="429"/>
      <c r="J360" s="429"/>
      <c r="K360" s="429"/>
      <c r="L360" s="429"/>
      <c r="M360" s="429"/>
      <c r="N360" s="429"/>
      <c r="O360" s="429"/>
      <c r="P360" s="429"/>
      <c r="Q360" s="429"/>
      <c r="R360" s="429"/>
      <c r="S360" s="429"/>
      <c r="T360" s="429"/>
      <c r="U360" s="429"/>
      <c r="V360" s="429"/>
      <c r="W360" s="429"/>
      <c r="X360" s="429"/>
      <c r="Y360" s="429"/>
      <c r="Z360" s="429"/>
      <c r="AA360" s="429"/>
      <c r="AB360" s="429"/>
      <c r="AC360" s="429"/>
      <c r="AD360" s="429"/>
      <c r="AE360" s="429"/>
      <c r="AF360" s="429"/>
      <c r="AG360" s="429"/>
      <c r="AH360" s="429"/>
      <c r="AI360" s="429"/>
      <c r="AJ360" s="429"/>
      <c r="AK360" s="429"/>
      <c r="AL360" s="429"/>
      <c r="AM360" s="429"/>
      <c r="AN360" s="429"/>
      <c r="AO360" s="429"/>
      <c r="AP360" s="429"/>
      <c r="AQ360" s="429"/>
      <c r="AR360" s="429">
        <f>F360</f>
        <v>200</v>
      </c>
      <c r="AS360" s="429"/>
      <c r="AT360" s="429"/>
      <c r="AU360" s="429"/>
      <c r="AV360" s="429"/>
      <c r="AW360" s="429"/>
      <c r="AX360" s="429"/>
      <c r="AY360" s="429"/>
      <c r="AZ360" s="429"/>
      <c r="BA360" s="429"/>
      <c r="BB360" s="429"/>
      <c r="BC360" s="429"/>
      <c r="BD360" s="429"/>
      <c r="BE360" s="429"/>
      <c r="BF360" s="429"/>
      <c r="BG360" s="429"/>
      <c r="BH360" s="429"/>
      <c r="BI360" s="429"/>
      <c r="BJ360" s="429"/>
      <c r="BK360" s="429"/>
      <c r="BL360" s="429"/>
      <c r="BM360" s="429"/>
      <c r="BN360" s="429"/>
      <c r="BO360" s="429"/>
      <c r="BP360" s="102"/>
      <c r="BQ360" s="102">
        <v>21.246</v>
      </c>
      <c r="BR360" s="451">
        <f t="shared" si="35"/>
        <v>4249.2</v>
      </c>
      <c r="BS360" s="451">
        <f t="shared" si="34"/>
        <v>32931.3</v>
      </c>
      <c r="BT360" s="429" t="str">
        <f>IFERROR(VLOOKUP(E360,名称!A:D,4,FALSE),"")</f>
        <v>KIK</v>
      </c>
    </row>
    <row r="361" s="425" customFormat="1" hidden="1" customHeight="1" spans="1:72">
      <c r="A361" s="108">
        <v>46106</v>
      </c>
      <c r="B361" s="109" t="s">
        <v>236</v>
      </c>
      <c r="C361" s="110">
        <v>10123190</v>
      </c>
      <c r="D361" s="110">
        <v>20218996</v>
      </c>
      <c r="E361" s="30" t="s">
        <v>163</v>
      </c>
      <c r="F361" s="31">
        <v>600</v>
      </c>
      <c r="G361" s="108">
        <v>46274</v>
      </c>
      <c r="H361" s="443"/>
      <c r="I361" s="443"/>
      <c r="J361" s="443"/>
      <c r="K361" s="443"/>
      <c r="L361" s="443"/>
      <c r="M361" s="443"/>
      <c r="N361" s="443"/>
      <c r="O361" s="443"/>
      <c r="P361" s="443"/>
      <c r="Q361" s="443"/>
      <c r="R361" s="443"/>
      <c r="S361" s="443"/>
      <c r="T361" s="443"/>
      <c r="U361" s="443"/>
      <c r="V361" s="443"/>
      <c r="W361" s="443"/>
      <c r="X361" s="443"/>
      <c r="Y361" s="443"/>
      <c r="Z361" s="443"/>
      <c r="AA361" s="443"/>
      <c r="AB361" s="443"/>
      <c r="AC361" s="443"/>
      <c r="AD361" s="443"/>
      <c r="AE361" s="443"/>
      <c r="AF361" s="443"/>
      <c r="AG361" s="443"/>
      <c r="AH361" s="443"/>
      <c r="AI361" s="443"/>
      <c r="AJ361" s="443"/>
      <c r="AK361" s="443"/>
      <c r="AL361" s="443"/>
      <c r="AM361" s="443"/>
      <c r="AN361" s="443"/>
      <c r="AO361" s="443"/>
      <c r="AP361" s="443"/>
      <c r="AQ361" s="443"/>
      <c r="AR361" s="443"/>
      <c r="AS361" s="443"/>
      <c r="AT361" s="443"/>
      <c r="AU361" s="443"/>
      <c r="AV361" s="443"/>
      <c r="AW361" s="443"/>
      <c r="AX361" s="443"/>
      <c r="AY361" s="443"/>
      <c r="AZ361" s="443">
        <f>F361</f>
        <v>600</v>
      </c>
      <c r="BA361" s="443"/>
      <c r="BB361" s="443"/>
      <c r="BC361" s="443"/>
      <c r="BD361" s="443"/>
      <c r="BE361" s="443"/>
      <c r="BF361" s="443"/>
      <c r="BG361" s="443"/>
      <c r="BH361" s="443"/>
      <c r="BI361" s="443"/>
      <c r="BJ361" s="443"/>
      <c r="BK361" s="443"/>
      <c r="BL361" s="443"/>
      <c r="BM361" s="443"/>
      <c r="BN361" s="443"/>
      <c r="BO361" s="443"/>
      <c r="BP361" s="92"/>
      <c r="BQ361" s="92">
        <v>4.419</v>
      </c>
      <c r="BR361" s="462">
        <f t="shared" si="35"/>
        <v>2651.4</v>
      </c>
      <c r="BS361" s="447">
        <f t="shared" si="34"/>
        <v>20548.35</v>
      </c>
      <c r="BT361" s="443" t="str">
        <f>IFERROR(VLOOKUP(E361,名称!A:D,4,FALSE),"")</f>
        <v>RRM</v>
      </c>
    </row>
    <row r="362" s="427" customFormat="1" hidden="1" customHeight="1" spans="1:72">
      <c r="A362" s="93">
        <v>46107</v>
      </c>
      <c r="B362" s="95" t="s">
        <v>237</v>
      </c>
      <c r="C362" s="96">
        <v>10123385</v>
      </c>
      <c r="D362" s="96" t="s">
        <v>262</v>
      </c>
      <c r="E362" s="97" t="s">
        <v>31</v>
      </c>
      <c r="F362" s="99">
        <v>547</v>
      </c>
      <c r="G362" s="93">
        <v>46176</v>
      </c>
      <c r="H362" s="429"/>
      <c r="I362" s="429"/>
      <c r="J362" s="429"/>
      <c r="K362" s="429"/>
      <c r="L362" s="429"/>
      <c r="M362" s="429"/>
      <c r="N362" s="429"/>
      <c r="O362" s="429"/>
      <c r="P362" s="429"/>
      <c r="Q362" s="429"/>
      <c r="R362" s="429"/>
      <c r="S362" s="429"/>
      <c r="T362" s="429"/>
      <c r="U362" s="429"/>
      <c r="V362" s="429"/>
      <c r="W362" s="429"/>
      <c r="X362" s="429"/>
      <c r="Y362" s="429"/>
      <c r="Z362" s="429">
        <f t="shared" ref="Z362:Z367" si="36">F362</f>
        <v>547</v>
      </c>
      <c r="AA362" s="429"/>
      <c r="AB362" s="429"/>
      <c r="AC362" s="429"/>
      <c r="AD362" s="429"/>
      <c r="AE362" s="429"/>
      <c r="AF362" s="429"/>
      <c r="AG362" s="429"/>
      <c r="AH362" s="429"/>
      <c r="AI362" s="429"/>
      <c r="AJ362" s="429"/>
      <c r="AK362" s="429"/>
      <c r="AL362" s="429"/>
      <c r="AM362" s="429"/>
      <c r="AN362" s="429"/>
      <c r="AO362" s="429"/>
      <c r="AP362" s="429"/>
      <c r="AQ362" s="429"/>
      <c r="AR362" s="429"/>
      <c r="AS362" s="429"/>
      <c r="AT362" s="429"/>
      <c r="AU362" s="429"/>
      <c r="AV362" s="429"/>
      <c r="AW362" s="429"/>
      <c r="AX362" s="429"/>
      <c r="AY362" s="429"/>
      <c r="AZ362" s="429"/>
      <c r="BA362" s="429"/>
      <c r="BB362" s="429"/>
      <c r="BC362" s="429"/>
      <c r="BD362" s="429"/>
      <c r="BE362" s="429"/>
      <c r="BF362" s="429"/>
      <c r="BG362" s="429"/>
      <c r="BH362" s="429"/>
      <c r="BI362" s="429"/>
      <c r="BJ362" s="429"/>
      <c r="BK362" s="429"/>
      <c r="BL362" s="429"/>
      <c r="BM362" s="429"/>
      <c r="BN362" s="429"/>
      <c r="BO362" s="429"/>
      <c r="BP362" s="102"/>
      <c r="BQ362" s="102">
        <v>29.652</v>
      </c>
      <c r="BR362" s="451">
        <f t="shared" ref="BR362:BR367" si="37">SUM(H362:BP362)*BQ362</f>
        <v>16219.64</v>
      </c>
      <c r="BS362" s="451">
        <f t="shared" ref="BS362:BS367" si="38">BR362*7.75</f>
        <v>125702.21</v>
      </c>
      <c r="BT362" s="429" t="str">
        <f>IFERROR(VLOOKUP(E362,名称!A:D,4,FALSE),"")</f>
        <v>KIK</v>
      </c>
    </row>
    <row r="363" s="427" customFormat="1" hidden="1" customHeight="1" spans="1:72">
      <c r="A363" s="93">
        <v>46107</v>
      </c>
      <c r="B363" s="95" t="s">
        <v>237</v>
      </c>
      <c r="C363" s="96">
        <v>10123384</v>
      </c>
      <c r="D363" s="96" t="s">
        <v>263</v>
      </c>
      <c r="E363" s="97" t="s">
        <v>31</v>
      </c>
      <c r="F363" s="99">
        <v>547</v>
      </c>
      <c r="G363" s="93">
        <v>46218</v>
      </c>
      <c r="H363" s="429"/>
      <c r="I363" s="429"/>
      <c r="J363" s="429"/>
      <c r="K363" s="429"/>
      <c r="L363" s="429"/>
      <c r="M363" s="429"/>
      <c r="N363" s="429"/>
      <c r="O363" s="429"/>
      <c r="P363" s="429"/>
      <c r="Q363" s="429"/>
      <c r="R363" s="429"/>
      <c r="S363" s="429"/>
      <c r="T363" s="429"/>
      <c r="U363" s="429"/>
      <c r="V363" s="429"/>
      <c r="W363" s="429"/>
      <c r="X363" s="429"/>
      <c r="Y363" s="429"/>
      <c r="Z363" s="429">
        <f t="shared" si="36"/>
        <v>547</v>
      </c>
      <c r="AA363" s="429"/>
      <c r="AB363" s="429"/>
      <c r="AC363" s="429"/>
      <c r="AD363" s="429"/>
      <c r="AE363" s="429"/>
      <c r="AF363" s="429"/>
      <c r="AG363" s="429"/>
      <c r="AH363" s="429"/>
      <c r="AI363" s="429"/>
      <c r="AJ363" s="429"/>
      <c r="AK363" s="429"/>
      <c r="AL363" s="429"/>
      <c r="AM363" s="429"/>
      <c r="AN363" s="429"/>
      <c r="AO363" s="429"/>
      <c r="AP363" s="429"/>
      <c r="AQ363" s="429"/>
      <c r="AR363" s="429"/>
      <c r="AS363" s="429"/>
      <c r="AT363" s="429"/>
      <c r="AU363" s="429"/>
      <c r="AV363" s="429"/>
      <c r="AW363" s="429"/>
      <c r="AX363" s="429"/>
      <c r="AY363" s="429"/>
      <c r="AZ363" s="429"/>
      <c r="BA363" s="429"/>
      <c r="BB363" s="429"/>
      <c r="BC363" s="429"/>
      <c r="BD363" s="429"/>
      <c r="BE363" s="429"/>
      <c r="BF363" s="429"/>
      <c r="BG363" s="429"/>
      <c r="BH363" s="429"/>
      <c r="BI363" s="429"/>
      <c r="BJ363" s="429"/>
      <c r="BK363" s="429"/>
      <c r="BL363" s="429"/>
      <c r="BM363" s="429"/>
      <c r="BN363" s="429"/>
      <c r="BO363" s="429"/>
      <c r="BP363" s="102"/>
      <c r="BQ363" s="102">
        <v>29.652</v>
      </c>
      <c r="BR363" s="451">
        <f t="shared" si="37"/>
        <v>16219.64</v>
      </c>
      <c r="BS363" s="451">
        <f t="shared" si="38"/>
        <v>125702.21</v>
      </c>
      <c r="BT363" s="429" t="str">
        <f>IFERROR(VLOOKUP(E363,名称!A:D,4,FALSE),"")</f>
        <v>KIK</v>
      </c>
    </row>
    <row r="364" s="427" customFormat="1" hidden="1" customHeight="1" spans="1:72">
      <c r="A364" s="93">
        <v>46107</v>
      </c>
      <c r="B364" s="95" t="s">
        <v>237</v>
      </c>
      <c r="C364" s="96">
        <v>10123383</v>
      </c>
      <c r="D364" s="96" t="s">
        <v>264</v>
      </c>
      <c r="E364" s="97" t="s">
        <v>31</v>
      </c>
      <c r="F364" s="99">
        <v>547</v>
      </c>
      <c r="G364" s="93">
        <v>46218</v>
      </c>
      <c r="H364" s="429"/>
      <c r="I364" s="429"/>
      <c r="J364" s="429"/>
      <c r="K364" s="429"/>
      <c r="L364" s="429"/>
      <c r="M364" s="429"/>
      <c r="N364" s="429"/>
      <c r="O364" s="429"/>
      <c r="P364" s="429"/>
      <c r="Q364" s="429"/>
      <c r="R364" s="429"/>
      <c r="S364" s="429"/>
      <c r="T364" s="429"/>
      <c r="U364" s="429"/>
      <c r="V364" s="429"/>
      <c r="W364" s="429"/>
      <c r="X364" s="429"/>
      <c r="Y364" s="429"/>
      <c r="Z364" s="429">
        <f t="shared" si="36"/>
        <v>547</v>
      </c>
      <c r="AA364" s="429"/>
      <c r="AB364" s="429"/>
      <c r="AC364" s="429"/>
      <c r="AD364" s="429"/>
      <c r="AE364" s="429"/>
      <c r="AF364" s="429"/>
      <c r="AG364" s="429"/>
      <c r="AH364" s="429"/>
      <c r="AI364" s="429"/>
      <c r="AJ364" s="429"/>
      <c r="AK364" s="429"/>
      <c r="AL364" s="429"/>
      <c r="AM364" s="429"/>
      <c r="AN364" s="429"/>
      <c r="AO364" s="429"/>
      <c r="AP364" s="429"/>
      <c r="AQ364" s="429"/>
      <c r="AR364" s="429"/>
      <c r="AS364" s="429"/>
      <c r="AT364" s="429"/>
      <c r="AU364" s="429"/>
      <c r="AV364" s="429"/>
      <c r="AW364" s="429"/>
      <c r="AX364" s="429"/>
      <c r="AY364" s="429"/>
      <c r="AZ364" s="429"/>
      <c r="BA364" s="429"/>
      <c r="BB364" s="429"/>
      <c r="BC364" s="429"/>
      <c r="BD364" s="429"/>
      <c r="BE364" s="429"/>
      <c r="BF364" s="429"/>
      <c r="BG364" s="429"/>
      <c r="BH364" s="429"/>
      <c r="BI364" s="429"/>
      <c r="BJ364" s="429"/>
      <c r="BK364" s="429"/>
      <c r="BL364" s="429"/>
      <c r="BM364" s="429"/>
      <c r="BN364" s="429"/>
      <c r="BO364" s="429"/>
      <c r="BP364" s="102"/>
      <c r="BQ364" s="102">
        <v>29.652</v>
      </c>
      <c r="BR364" s="451">
        <f t="shared" si="37"/>
        <v>16219.64</v>
      </c>
      <c r="BS364" s="451">
        <f t="shared" si="38"/>
        <v>125702.21</v>
      </c>
      <c r="BT364" s="429" t="str">
        <f>IFERROR(VLOOKUP(E364,名称!A:D,4,FALSE),"")</f>
        <v>KIK</v>
      </c>
    </row>
    <row r="365" s="427" customFormat="1" hidden="1" customHeight="1" spans="1:72">
      <c r="A365" s="93">
        <v>46107</v>
      </c>
      <c r="B365" s="95" t="s">
        <v>237</v>
      </c>
      <c r="C365" s="96">
        <v>10123387</v>
      </c>
      <c r="D365" s="96" t="s">
        <v>265</v>
      </c>
      <c r="E365" s="97" t="s">
        <v>31</v>
      </c>
      <c r="F365" s="99">
        <v>547</v>
      </c>
      <c r="G365" s="93">
        <v>46176</v>
      </c>
      <c r="H365" s="429"/>
      <c r="I365" s="429"/>
      <c r="J365" s="429"/>
      <c r="K365" s="429"/>
      <c r="L365" s="429"/>
      <c r="M365" s="429"/>
      <c r="N365" s="429"/>
      <c r="O365" s="429"/>
      <c r="P365" s="429"/>
      <c r="Q365" s="429"/>
      <c r="R365" s="429"/>
      <c r="S365" s="429"/>
      <c r="T365" s="429"/>
      <c r="U365" s="429"/>
      <c r="V365" s="429"/>
      <c r="W365" s="429"/>
      <c r="X365" s="429"/>
      <c r="Y365" s="429"/>
      <c r="Z365" s="429">
        <f t="shared" si="36"/>
        <v>547</v>
      </c>
      <c r="AA365" s="429"/>
      <c r="AB365" s="429"/>
      <c r="AC365" s="429"/>
      <c r="AD365" s="429"/>
      <c r="AE365" s="429"/>
      <c r="AF365" s="429"/>
      <c r="AG365" s="429"/>
      <c r="AH365" s="429"/>
      <c r="AI365" s="429"/>
      <c r="AJ365" s="429"/>
      <c r="AK365" s="429"/>
      <c r="AL365" s="429"/>
      <c r="AM365" s="429"/>
      <c r="AN365" s="429"/>
      <c r="AO365" s="429"/>
      <c r="AP365" s="429"/>
      <c r="AQ365" s="429"/>
      <c r="AR365" s="429"/>
      <c r="AS365" s="429"/>
      <c r="AT365" s="429"/>
      <c r="AU365" s="429"/>
      <c r="AV365" s="429"/>
      <c r="AW365" s="429"/>
      <c r="AX365" s="429"/>
      <c r="AY365" s="429"/>
      <c r="AZ365" s="429"/>
      <c r="BA365" s="429"/>
      <c r="BB365" s="429"/>
      <c r="BC365" s="429"/>
      <c r="BD365" s="429"/>
      <c r="BE365" s="429"/>
      <c r="BF365" s="429"/>
      <c r="BG365" s="429"/>
      <c r="BH365" s="429"/>
      <c r="BI365" s="429"/>
      <c r="BJ365" s="429"/>
      <c r="BK365" s="429"/>
      <c r="BL365" s="429"/>
      <c r="BM365" s="429"/>
      <c r="BN365" s="429"/>
      <c r="BO365" s="429"/>
      <c r="BP365" s="102"/>
      <c r="BQ365" s="102">
        <v>29.652</v>
      </c>
      <c r="BR365" s="451">
        <f t="shared" si="37"/>
        <v>16219.64</v>
      </c>
      <c r="BS365" s="451">
        <f t="shared" si="38"/>
        <v>125702.21</v>
      </c>
      <c r="BT365" s="429" t="str">
        <f>IFERROR(VLOOKUP(E365,名称!A:D,4,FALSE),"")</f>
        <v>KIK</v>
      </c>
    </row>
    <row r="366" s="427" customFormat="1" hidden="1" customHeight="1" spans="1:72">
      <c r="A366" s="93">
        <v>46107</v>
      </c>
      <c r="B366" s="95" t="s">
        <v>237</v>
      </c>
      <c r="C366" s="96">
        <v>10123380</v>
      </c>
      <c r="D366" s="96" t="s">
        <v>266</v>
      </c>
      <c r="E366" s="97" t="s">
        <v>31</v>
      </c>
      <c r="F366" s="99">
        <v>547</v>
      </c>
      <c r="G366" s="93">
        <v>46218</v>
      </c>
      <c r="H366" s="429"/>
      <c r="I366" s="429"/>
      <c r="J366" s="429"/>
      <c r="K366" s="429"/>
      <c r="L366" s="429"/>
      <c r="M366" s="429"/>
      <c r="N366" s="429"/>
      <c r="O366" s="429"/>
      <c r="P366" s="429"/>
      <c r="Q366" s="429"/>
      <c r="R366" s="429"/>
      <c r="S366" s="429"/>
      <c r="T366" s="429"/>
      <c r="U366" s="429"/>
      <c r="V366" s="429"/>
      <c r="W366" s="429"/>
      <c r="X366" s="429"/>
      <c r="Y366" s="429"/>
      <c r="Z366" s="429">
        <f t="shared" si="36"/>
        <v>547</v>
      </c>
      <c r="AA366" s="429"/>
      <c r="AB366" s="429"/>
      <c r="AC366" s="429"/>
      <c r="AD366" s="429"/>
      <c r="AE366" s="429"/>
      <c r="AF366" s="429"/>
      <c r="AG366" s="429"/>
      <c r="AH366" s="429"/>
      <c r="AI366" s="429"/>
      <c r="AJ366" s="429"/>
      <c r="AK366" s="429"/>
      <c r="AL366" s="429"/>
      <c r="AM366" s="429"/>
      <c r="AN366" s="429"/>
      <c r="AO366" s="429"/>
      <c r="AP366" s="429"/>
      <c r="AQ366" s="429"/>
      <c r="AR366" s="429"/>
      <c r="AS366" s="429"/>
      <c r="AT366" s="429"/>
      <c r="AU366" s="429"/>
      <c r="AV366" s="429"/>
      <c r="AW366" s="429"/>
      <c r="AX366" s="429"/>
      <c r="AY366" s="429"/>
      <c r="AZ366" s="429"/>
      <c r="BA366" s="429"/>
      <c r="BB366" s="429"/>
      <c r="BC366" s="429"/>
      <c r="BD366" s="429"/>
      <c r="BE366" s="429"/>
      <c r="BF366" s="429"/>
      <c r="BG366" s="429"/>
      <c r="BH366" s="429"/>
      <c r="BI366" s="429"/>
      <c r="BJ366" s="429"/>
      <c r="BK366" s="429"/>
      <c r="BL366" s="429"/>
      <c r="BM366" s="429"/>
      <c r="BN366" s="429"/>
      <c r="BO366" s="429"/>
      <c r="BP366" s="102"/>
      <c r="BQ366" s="102">
        <v>29.652</v>
      </c>
      <c r="BR366" s="451">
        <f t="shared" si="37"/>
        <v>16219.64</v>
      </c>
      <c r="BS366" s="451">
        <f t="shared" si="38"/>
        <v>125702.21</v>
      </c>
      <c r="BT366" s="429" t="str">
        <f>IFERROR(VLOOKUP(E366,名称!A:D,4,FALSE),"")</f>
        <v>KIK</v>
      </c>
    </row>
    <row r="367" s="427" customFormat="1" hidden="1" customHeight="1" spans="1:72">
      <c r="A367" s="93">
        <v>46107</v>
      </c>
      <c r="B367" s="95" t="s">
        <v>237</v>
      </c>
      <c r="C367" s="96">
        <v>10123388</v>
      </c>
      <c r="D367" s="96" t="s">
        <v>267</v>
      </c>
      <c r="E367" s="97" t="s">
        <v>31</v>
      </c>
      <c r="F367" s="99">
        <v>547</v>
      </c>
      <c r="G367" s="93">
        <v>46176</v>
      </c>
      <c r="H367" s="429"/>
      <c r="I367" s="429"/>
      <c r="J367" s="429"/>
      <c r="K367" s="429"/>
      <c r="L367" s="429"/>
      <c r="M367" s="429"/>
      <c r="N367" s="429"/>
      <c r="O367" s="429"/>
      <c r="P367" s="429"/>
      <c r="Q367" s="429"/>
      <c r="R367" s="429"/>
      <c r="S367" s="429"/>
      <c r="T367" s="429"/>
      <c r="U367" s="429"/>
      <c r="V367" s="429"/>
      <c r="W367" s="429"/>
      <c r="X367" s="429"/>
      <c r="Y367" s="429"/>
      <c r="Z367" s="429">
        <f t="shared" si="36"/>
        <v>547</v>
      </c>
      <c r="AA367" s="429"/>
      <c r="AB367" s="429"/>
      <c r="AC367" s="429"/>
      <c r="AD367" s="429"/>
      <c r="AE367" s="429"/>
      <c r="AF367" s="429"/>
      <c r="AG367" s="429"/>
      <c r="AH367" s="429"/>
      <c r="AI367" s="429"/>
      <c r="AJ367" s="429"/>
      <c r="AK367" s="429"/>
      <c r="AL367" s="429"/>
      <c r="AM367" s="429"/>
      <c r="AN367" s="429"/>
      <c r="AO367" s="429"/>
      <c r="AP367" s="429"/>
      <c r="AQ367" s="429"/>
      <c r="AR367" s="429"/>
      <c r="AS367" s="429"/>
      <c r="AT367" s="429"/>
      <c r="AU367" s="429"/>
      <c r="AV367" s="429"/>
      <c r="AW367" s="429"/>
      <c r="AX367" s="429"/>
      <c r="AY367" s="429"/>
      <c r="AZ367" s="429"/>
      <c r="BA367" s="429"/>
      <c r="BB367" s="429"/>
      <c r="BC367" s="429"/>
      <c r="BD367" s="429"/>
      <c r="BE367" s="429"/>
      <c r="BF367" s="429"/>
      <c r="BG367" s="429"/>
      <c r="BH367" s="429"/>
      <c r="BI367" s="429"/>
      <c r="BJ367" s="429"/>
      <c r="BK367" s="429"/>
      <c r="BL367" s="429"/>
      <c r="BM367" s="429"/>
      <c r="BN367" s="429"/>
      <c r="BO367" s="429"/>
      <c r="BP367" s="102"/>
      <c r="BQ367" s="102">
        <v>29.652</v>
      </c>
      <c r="BR367" s="451">
        <f t="shared" si="37"/>
        <v>16219.64</v>
      </c>
      <c r="BS367" s="451">
        <f t="shared" si="38"/>
        <v>125702.21</v>
      </c>
      <c r="BT367" s="429" t="str">
        <f>IFERROR(VLOOKUP(E367,名称!A:D,4,FALSE),"")</f>
        <v>KIK</v>
      </c>
    </row>
    <row r="368" s="427" customFormat="1" hidden="1" customHeight="1" spans="1:72">
      <c r="A368" s="93">
        <v>46107</v>
      </c>
      <c r="B368" s="95" t="s">
        <v>237</v>
      </c>
      <c r="C368" s="96">
        <v>10123386</v>
      </c>
      <c r="D368" s="96" t="s">
        <v>268</v>
      </c>
      <c r="E368" s="97" t="s">
        <v>113</v>
      </c>
      <c r="F368" s="99">
        <v>3700</v>
      </c>
      <c r="G368" s="93">
        <v>46176</v>
      </c>
      <c r="H368" s="429"/>
      <c r="I368" s="429"/>
      <c r="J368" s="429"/>
      <c r="K368" s="429"/>
      <c r="L368" s="429"/>
      <c r="M368" s="429"/>
      <c r="N368" s="429"/>
      <c r="O368" s="429"/>
      <c r="P368" s="429"/>
      <c r="Q368" s="429"/>
      <c r="R368" s="429"/>
      <c r="S368" s="429"/>
      <c r="T368" s="429"/>
      <c r="U368" s="429"/>
      <c r="V368" s="429"/>
      <c r="W368" s="429"/>
      <c r="X368" s="429"/>
      <c r="Y368" s="429"/>
      <c r="Z368" s="429"/>
      <c r="AA368" s="429"/>
      <c r="AB368" s="429"/>
      <c r="AC368" s="429"/>
      <c r="AD368" s="429"/>
      <c r="AE368" s="429"/>
      <c r="AF368" s="429"/>
      <c r="AG368" s="429"/>
      <c r="AH368" s="429"/>
      <c r="AI368" s="429"/>
      <c r="AJ368" s="429"/>
      <c r="AK368" s="429"/>
      <c r="AL368" s="429"/>
      <c r="AM368" s="429"/>
      <c r="AN368" s="429">
        <f t="shared" ref="AN368:AN373" si="39">F368</f>
        <v>3700</v>
      </c>
      <c r="AO368" s="429"/>
      <c r="AP368" s="429"/>
      <c r="AQ368" s="429"/>
      <c r="AR368" s="429"/>
      <c r="AS368" s="429"/>
      <c r="AT368" s="429"/>
      <c r="AU368" s="429"/>
      <c r="AV368" s="429"/>
      <c r="AW368" s="429"/>
      <c r="AX368" s="429"/>
      <c r="AY368" s="429"/>
      <c r="AZ368" s="429"/>
      <c r="BA368" s="429"/>
      <c r="BB368" s="429"/>
      <c r="BC368" s="429"/>
      <c r="BD368" s="429"/>
      <c r="BE368" s="429"/>
      <c r="BF368" s="429"/>
      <c r="BG368" s="429"/>
      <c r="BH368" s="429"/>
      <c r="BI368" s="429"/>
      <c r="BJ368" s="429"/>
      <c r="BK368" s="429"/>
      <c r="BL368" s="429"/>
      <c r="BM368" s="429"/>
      <c r="BN368" s="429"/>
      <c r="BO368" s="429"/>
      <c r="BP368" s="102"/>
      <c r="BQ368" s="102">
        <v>5.97</v>
      </c>
      <c r="BR368" s="451">
        <f t="shared" si="35"/>
        <v>22089</v>
      </c>
      <c r="BS368" s="451">
        <f t="shared" ref="BS368:BS385" si="40">BR368*7.75</f>
        <v>171189.75</v>
      </c>
      <c r="BT368" s="429" t="str">
        <f>IFERROR(VLOOKUP(E368,名称!A:D,4,FALSE),"")</f>
        <v>KIK</v>
      </c>
    </row>
    <row r="369" s="427" customFormat="1" hidden="1" customHeight="1" spans="1:72">
      <c r="A369" s="93">
        <v>46107</v>
      </c>
      <c r="B369" s="95" t="s">
        <v>237</v>
      </c>
      <c r="C369" s="96">
        <v>10123382</v>
      </c>
      <c r="D369" s="96" t="s">
        <v>269</v>
      </c>
      <c r="E369" s="97" t="s">
        <v>113</v>
      </c>
      <c r="F369" s="99">
        <v>4360</v>
      </c>
      <c r="G369" s="93">
        <v>46176</v>
      </c>
      <c r="H369" s="429"/>
      <c r="I369" s="429"/>
      <c r="J369" s="429"/>
      <c r="K369" s="429"/>
      <c r="L369" s="429"/>
      <c r="M369" s="429"/>
      <c r="N369" s="429"/>
      <c r="O369" s="429"/>
      <c r="P369" s="429"/>
      <c r="Q369" s="429"/>
      <c r="R369" s="429"/>
      <c r="S369" s="429"/>
      <c r="T369" s="429"/>
      <c r="U369" s="429"/>
      <c r="V369" s="429"/>
      <c r="W369" s="429"/>
      <c r="X369" s="429"/>
      <c r="Y369" s="429"/>
      <c r="Z369" s="429"/>
      <c r="AA369" s="429"/>
      <c r="AB369" s="429"/>
      <c r="AC369" s="429"/>
      <c r="AD369" s="429"/>
      <c r="AE369" s="429"/>
      <c r="AF369" s="429"/>
      <c r="AG369" s="429"/>
      <c r="AH369" s="429"/>
      <c r="AI369" s="429"/>
      <c r="AJ369" s="429"/>
      <c r="AK369" s="429"/>
      <c r="AL369" s="429"/>
      <c r="AM369" s="429"/>
      <c r="AN369" s="429">
        <f t="shared" si="39"/>
        <v>4360</v>
      </c>
      <c r="AO369" s="429"/>
      <c r="AP369" s="429"/>
      <c r="AQ369" s="429"/>
      <c r="AR369" s="429"/>
      <c r="AS369" s="429"/>
      <c r="AT369" s="429"/>
      <c r="AU369" s="429"/>
      <c r="AV369" s="429"/>
      <c r="AW369" s="429"/>
      <c r="AX369" s="429"/>
      <c r="AY369" s="429"/>
      <c r="AZ369" s="429"/>
      <c r="BA369" s="429"/>
      <c r="BB369" s="429"/>
      <c r="BC369" s="429"/>
      <c r="BD369" s="429"/>
      <c r="BE369" s="429"/>
      <c r="BF369" s="429"/>
      <c r="BG369" s="429"/>
      <c r="BH369" s="429"/>
      <c r="BI369" s="429"/>
      <c r="BJ369" s="429"/>
      <c r="BK369" s="429"/>
      <c r="BL369" s="429"/>
      <c r="BM369" s="429"/>
      <c r="BN369" s="429"/>
      <c r="BO369" s="429"/>
      <c r="BP369" s="102"/>
      <c r="BQ369" s="102">
        <v>5.97</v>
      </c>
      <c r="BR369" s="451">
        <f t="shared" si="35"/>
        <v>26029.2</v>
      </c>
      <c r="BS369" s="451">
        <f t="shared" si="40"/>
        <v>201726.3</v>
      </c>
      <c r="BT369" s="429" t="str">
        <f>IFERROR(VLOOKUP(E369,名称!A:D,4,FALSE),"")</f>
        <v>KIK</v>
      </c>
    </row>
    <row r="370" s="427" customFormat="1" hidden="1" customHeight="1" spans="1:72">
      <c r="A370" s="93">
        <v>46107</v>
      </c>
      <c r="B370" s="95" t="s">
        <v>237</v>
      </c>
      <c r="C370" s="96">
        <v>10123378</v>
      </c>
      <c r="D370" s="96" t="s">
        <v>270</v>
      </c>
      <c r="E370" s="97" t="s">
        <v>120</v>
      </c>
      <c r="F370" s="99">
        <v>1400</v>
      </c>
      <c r="G370" s="93">
        <v>46176</v>
      </c>
      <c r="H370" s="429"/>
      <c r="I370" s="429"/>
      <c r="J370" s="429"/>
      <c r="K370" s="429"/>
      <c r="L370" s="429"/>
      <c r="M370" s="429"/>
      <c r="N370" s="429"/>
      <c r="O370" s="429"/>
      <c r="P370" s="429"/>
      <c r="Q370" s="429"/>
      <c r="R370" s="429"/>
      <c r="S370" s="429"/>
      <c r="T370" s="429"/>
      <c r="U370" s="429"/>
      <c r="V370" s="429"/>
      <c r="W370" s="429"/>
      <c r="X370" s="429"/>
      <c r="Y370" s="429"/>
      <c r="Z370" s="429"/>
      <c r="AA370" s="429"/>
      <c r="AB370" s="429"/>
      <c r="AC370" s="429"/>
      <c r="AD370" s="429"/>
      <c r="AE370" s="429"/>
      <c r="AF370" s="429"/>
      <c r="AG370" s="429"/>
      <c r="AH370" s="429"/>
      <c r="AI370" s="429"/>
      <c r="AJ370" s="429"/>
      <c r="AK370" s="429"/>
      <c r="AL370" s="429"/>
      <c r="AM370" s="429"/>
      <c r="AN370" s="429"/>
      <c r="AO370" s="429"/>
      <c r="AP370" s="429"/>
      <c r="AQ370" s="429"/>
      <c r="AR370" s="429">
        <f>F370</f>
        <v>1400</v>
      </c>
      <c r="AS370" s="429"/>
      <c r="AT370" s="429"/>
      <c r="AU370" s="429"/>
      <c r="AV370" s="429"/>
      <c r="AW370" s="429"/>
      <c r="AX370" s="429"/>
      <c r="AY370" s="429"/>
      <c r="AZ370" s="429"/>
      <c r="BA370" s="429"/>
      <c r="BB370" s="429"/>
      <c r="BC370" s="429"/>
      <c r="BD370" s="429"/>
      <c r="BE370" s="429"/>
      <c r="BF370" s="429"/>
      <c r="BG370" s="429"/>
      <c r="BH370" s="429"/>
      <c r="BI370" s="429"/>
      <c r="BJ370" s="429"/>
      <c r="BK370" s="429"/>
      <c r="BL370" s="429"/>
      <c r="BM370" s="429"/>
      <c r="BN370" s="429"/>
      <c r="BO370" s="429"/>
      <c r="BP370" s="102"/>
      <c r="BQ370" s="102">
        <v>21.246</v>
      </c>
      <c r="BR370" s="451">
        <f t="shared" si="35"/>
        <v>29744.4</v>
      </c>
      <c r="BS370" s="451">
        <f t="shared" si="40"/>
        <v>230519.1</v>
      </c>
      <c r="BT370" s="429" t="str">
        <f>IFERROR(VLOOKUP(E370,名称!A:D,4,FALSE),"")</f>
        <v>KIK</v>
      </c>
    </row>
    <row r="371" s="427" customFormat="1" hidden="1" customHeight="1" spans="1:72">
      <c r="A371" s="93">
        <v>46107</v>
      </c>
      <c r="B371" s="95" t="s">
        <v>235</v>
      </c>
      <c r="C371" s="96">
        <v>10123389</v>
      </c>
      <c r="D371" s="96">
        <v>4500032518</v>
      </c>
      <c r="E371" s="97" t="s">
        <v>113</v>
      </c>
      <c r="F371" s="99">
        <v>3000</v>
      </c>
      <c r="G371" s="93">
        <v>46218</v>
      </c>
      <c r="H371" s="429"/>
      <c r="I371" s="429"/>
      <c r="J371" s="429"/>
      <c r="K371" s="429"/>
      <c r="L371" s="429"/>
      <c r="M371" s="429"/>
      <c r="N371" s="429"/>
      <c r="O371" s="429"/>
      <c r="P371" s="429"/>
      <c r="Q371" s="429"/>
      <c r="R371" s="429"/>
      <c r="S371" s="429"/>
      <c r="T371" s="429"/>
      <c r="U371" s="429"/>
      <c r="V371" s="429"/>
      <c r="W371" s="429"/>
      <c r="X371" s="429"/>
      <c r="Y371" s="429"/>
      <c r="Z371" s="429"/>
      <c r="AA371" s="429"/>
      <c r="AB371" s="429"/>
      <c r="AC371" s="429"/>
      <c r="AD371" s="429"/>
      <c r="AE371" s="429"/>
      <c r="AF371" s="429"/>
      <c r="AG371" s="429"/>
      <c r="AH371" s="429"/>
      <c r="AI371" s="429"/>
      <c r="AJ371" s="429"/>
      <c r="AK371" s="429"/>
      <c r="AL371" s="429"/>
      <c r="AM371" s="429"/>
      <c r="AN371" s="429">
        <f t="shared" si="39"/>
        <v>3000</v>
      </c>
      <c r="AO371" s="429"/>
      <c r="AP371" s="429"/>
      <c r="AQ371" s="429"/>
      <c r="AR371" s="429"/>
      <c r="AS371" s="429"/>
      <c r="AT371" s="429"/>
      <c r="AU371" s="429"/>
      <c r="AV371" s="429"/>
      <c r="AW371" s="429"/>
      <c r="AX371" s="429"/>
      <c r="AY371" s="429"/>
      <c r="AZ371" s="429"/>
      <c r="BA371" s="429"/>
      <c r="BB371" s="429"/>
      <c r="BC371" s="429"/>
      <c r="BD371" s="429"/>
      <c r="BE371" s="429"/>
      <c r="BF371" s="429"/>
      <c r="BG371" s="429"/>
      <c r="BH371" s="429"/>
      <c r="BI371" s="429"/>
      <c r="BJ371" s="429"/>
      <c r="BK371" s="429"/>
      <c r="BL371" s="429"/>
      <c r="BM371" s="429"/>
      <c r="BN371" s="429"/>
      <c r="BO371" s="429"/>
      <c r="BP371" s="102"/>
      <c r="BQ371" s="102">
        <v>5.97</v>
      </c>
      <c r="BR371" s="451">
        <f t="shared" si="35"/>
        <v>17910</v>
      </c>
      <c r="BS371" s="451">
        <f t="shared" si="40"/>
        <v>138802.5</v>
      </c>
      <c r="BT371" s="429" t="str">
        <f>IFERROR(VLOOKUP(E371,名称!A:D,4,FALSE),"")</f>
        <v>KIK</v>
      </c>
    </row>
    <row r="372" s="427" customFormat="1" hidden="1" customHeight="1" spans="1:72">
      <c r="A372" s="93">
        <v>46107</v>
      </c>
      <c r="B372" s="95" t="s">
        <v>235</v>
      </c>
      <c r="C372" s="96">
        <v>10123389</v>
      </c>
      <c r="D372" s="96">
        <v>4500032518</v>
      </c>
      <c r="E372" s="97" t="s">
        <v>113</v>
      </c>
      <c r="F372" s="99">
        <f>2000-920</f>
        <v>1080</v>
      </c>
      <c r="G372" s="93">
        <v>46218</v>
      </c>
      <c r="H372" s="429"/>
      <c r="I372" s="429"/>
      <c r="J372" s="429"/>
      <c r="K372" s="429"/>
      <c r="L372" s="429"/>
      <c r="M372" s="429"/>
      <c r="N372" s="429"/>
      <c r="O372" s="429"/>
      <c r="P372" s="429"/>
      <c r="Q372" s="429"/>
      <c r="R372" s="429"/>
      <c r="S372" s="429"/>
      <c r="T372" s="429"/>
      <c r="U372" s="429"/>
      <c r="V372" s="429"/>
      <c r="W372" s="429"/>
      <c r="X372" s="429"/>
      <c r="Y372" s="429"/>
      <c r="Z372" s="429"/>
      <c r="AA372" s="429"/>
      <c r="AB372" s="429"/>
      <c r="AC372" s="429"/>
      <c r="AD372" s="429"/>
      <c r="AE372" s="429"/>
      <c r="AF372" s="429"/>
      <c r="AG372" s="429"/>
      <c r="AH372" s="429"/>
      <c r="AI372" s="429"/>
      <c r="AJ372" s="429"/>
      <c r="AK372" s="429"/>
      <c r="AL372" s="429"/>
      <c r="AM372" s="429"/>
      <c r="AN372" s="429">
        <f t="shared" si="39"/>
        <v>1080</v>
      </c>
      <c r="AO372" s="429"/>
      <c r="AP372" s="429"/>
      <c r="AQ372" s="429"/>
      <c r="AR372" s="429"/>
      <c r="AS372" s="429"/>
      <c r="AT372" s="429"/>
      <c r="AU372" s="429"/>
      <c r="AV372" s="429"/>
      <c r="AW372" s="429"/>
      <c r="AX372" s="429"/>
      <c r="AY372" s="429"/>
      <c r="AZ372" s="429"/>
      <c r="BA372" s="429"/>
      <c r="BB372" s="429"/>
      <c r="BC372" s="429"/>
      <c r="BD372" s="429"/>
      <c r="BE372" s="429"/>
      <c r="BF372" s="429"/>
      <c r="BG372" s="429"/>
      <c r="BH372" s="429"/>
      <c r="BI372" s="429"/>
      <c r="BJ372" s="429"/>
      <c r="BK372" s="429"/>
      <c r="BL372" s="429"/>
      <c r="BM372" s="429"/>
      <c r="BN372" s="429"/>
      <c r="BO372" s="429"/>
      <c r="BP372" s="102"/>
      <c r="BQ372" s="102">
        <v>5.97</v>
      </c>
      <c r="BR372" s="451">
        <f t="shared" si="35"/>
        <v>6447.6</v>
      </c>
      <c r="BS372" s="451">
        <f t="shared" si="40"/>
        <v>49968.9</v>
      </c>
      <c r="BT372" s="429" t="str">
        <f>IFERROR(VLOOKUP(E372,名称!A:D,4,FALSE),"")</f>
        <v>KIK</v>
      </c>
    </row>
    <row r="373" s="427" customFormat="1" hidden="1" customHeight="1" spans="1:72">
      <c r="A373" s="93">
        <v>46107</v>
      </c>
      <c r="B373" s="95" t="s">
        <v>235</v>
      </c>
      <c r="C373" s="96">
        <v>10123389</v>
      </c>
      <c r="D373" s="96">
        <v>4500032518</v>
      </c>
      <c r="E373" s="97" t="s">
        <v>113</v>
      </c>
      <c r="F373" s="99">
        <v>920</v>
      </c>
      <c r="G373" s="93">
        <v>46218</v>
      </c>
      <c r="H373" s="429"/>
      <c r="I373" s="429"/>
      <c r="J373" s="429"/>
      <c r="K373" s="429"/>
      <c r="L373" s="429"/>
      <c r="M373" s="429"/>
      <c r="N373" s="429"/>
      <c r="O373" s="429"/>
      <c r="P373" s="429"/>
      <c r="Q373" s="429"/>
      <c r="R373" s="429"/>
      <c r="S373" s="429"/>
      <c r="T373" s="429"/>
      <c r="U373" s="429"/>
      <c r="V373" s="429"/>
      <c r="W373" s="429"/>
      <c r="X373" s="429"/>
      <c r="Y373" s="429"/>
      <c r="Z373" s="429"/>
      <c r="AA373" s="429"/>
      <c r="AB373" s="429"/>
      <c r="AC373" s="429"/>
      <c r="AD373" s="429"/>
      <c r="AE373" s="429"/>
      <c r="AF373" s="429"/>
      <c r="AG373" s="429"/>
      <c r="AH373" s="429"/>
      <c r="AI373" s="429"/>
      <c r="AJ373" s="429"/>
      <c r="AK373" s="429"/>
      <c r="AL373" s="429"/>
      <c r="AM373" s="429"/>
      <c r="AN373" s="429">
        <f t="shared" si="39"/>
        <v>920</v>
      </c>
      <c r="AO373" s="429"/>
      <c r="AP373" s="429"/>
      <c r="AQ373" s="429"/>
      <c r="AR373" s="429"/>
      <c r="AS373" s="429"/>
      <c r="AT373" s="429"/>
      <c r="AU373" s="429"/>
      <c r="AV373" s="429"/>
      <c r="AW373" s="429"/>
      <c r="AX373" s="429"/>
      <c r="AY373" s="429"/>
      <c r="AZ373" s="429"/>
      <c r="BA373" s="429"/>
      <c r="BB373" s="429"/>
      <c r="BC373" s="429"/>
      <c r="BD373" s="429"/>
      <c r="BE373" s="429"/>
      <c r="BF373" s="429"/>
      <c r="BG373" s="429"/>
      <c r="BH373" s="429"/>
      <c r="BI373" s="429"/>
      <c r="BJ373" s="429"/>
      <c r="BK373" s="429"/>
      <c r="BL373" s="429"/>
      <c r="BM373" s="429"/>
      <c r="BN373" s="429"/>
      <c r="BO373" s="429"/>
      <c r="BP373" s="102"/>
      <c r="BQ373" s="102">
        <v>5.97</v>
      </c>
      <c r="BR373" s="451">
        <f t="shared" si="35"/>
        <v>5492.4</v>
      </c>
      <c r="BS373" s="451">
        <f t="shared" si="40"/>
        <v>42566.1</v>
      </c>
      <c r="BT373" s="429" t="str">
        <f>IFERROR(VLOOKUP(E373,名称!A:D,4,FALSE),"")</f>
        <v>KIK</v>
      </c>
    </row>
    <row r="374" s="425" customFormat="1" hidden="1" customHeight="1" spans="1:72">
      <c r="A374" s="108">
        <v>46108</v>
      </c>
      <c r="B374" s="109" t="s">
        <v>237</v>
      </c>
      <c r="C374" s="110">
        <v>1012348</v>
      </c>
      <c r="D374" s="110">
        <v>202608270087</v>
      </c>
      <c r="E374" s="30" t="s">
        <v>165</v>
      </c>
      <c r="F374" s="31">
        <v>5000</v>
      </c>
      <c r="G374" s="108">
        <v>46225</v>
      </c>
      <c r="H374" s="443"/>
      <c r="I374" s="443"/>
      <c r="J374" s="443"/>
      <c r="K374" s="443"/>
      <c r="L374" s="443"/>
      <c r="M374" s="443"/>
      <c r="N374" s="443"/>
      <c r="O374" s="443"/>
      <c r="P374" s="443"/>
      <c r="Q374" s="443"/>
      <c r="R374" s="443"/>
      <c r="S374" s="443"/>
      <c r="T374" s="443"/>
      <c r="U374" s="443"/>
      <c r="V374" s="443"/>
      <c r="W374" s="443"/>
      <c r="X374" s="443"/>
      <c r="Y374" s="443"/>
      <c r="Z374" s="443"/>
      <c r="AA374" s="443"/>
      <c r="AB374" s="443"/>
      <c r="AC374" s="443"/>
      <c r="AD374" s="443"/>
      <c r="AE374" s="443"/>
      <c r="AF374" s="443"/>
      <c r="AG374" s="443"/>
      <c r="AH374" s="443"/>
      <c r="AI374" s="443"/>
      <c r="AJ374" s="443"/>
      <c r="AK374" s="443"/>
      <c r="AL374" s="443"/>
      <c r="AM374" s="443"/>
      <c r="AN374" s="443"/>
      <c r="AO374" s="443"/>
      <c r="AP374" s="443"/>
      <c r="AQ374" s="443"/>
      <c r="AR374" s="443"/>
      <c r="AS374" s="443"/>
      <c r="AT374" s="443"/>
      <c r="AU374" s="443"/>
      <c r="AV374" s="443"/>
      <c r="AW374" s="443"/>
      <c r="AX374" s="443"/>
      <c r="AY374" s="443"/>
      <c r="AZ374" s="443"/>
      <c r="BA374" s="443">
        <f>F374</f>
        <v>5000</v>
      </c>
      <c r="BB374" s="443"/>
      <c r="BC374" s="443"/>
      <c r="BD374" s="443"/>
      <c r="BE374" s="443"/>
      <c r="BF374" s="443"/>
      <c r="BG374" s="443"/>
      <c r="BH374" s="443"/>
      <c r="BI374" s="443"/>
      <c r="BJ374" s="443"/>
      <c r="BK374" s="443"/>
      <c r="BL374" s="443"/>
      <c r="BM374" s="443"/>
      <c r="BN374" s="443"/>
      <c r="BO374" s="443"/>
      <c r="BP374" s="92"/>
      <c r="BQ374" s="92">
        <v>2.542</v>
      </c>
      <c r="BR374" s="462">
        <f t="shared" si="35"/>
        <v>12710</v>
      </c>
      <c r="BS374" s="447">
        <f t="shared" si="40"/>
        <v>98502.5</v>
      </c>
      <c r="BT374" s="443" t="str">
        <f>IFERROR(VLOOKUP(E374,名称!A:D,4,FALSE),"")</f>
        <v>RRM</v>
      </c>
    </row>
    <row r="375" s="425" customFormat="1" hidden="1" customHeight="1" spans="1:72">
      <c r="A375" s="108">
        <v>46108</v>
      </c>
      <c r="B375" s="109" t="s">
        <v>236</v>
      </c>
      <c r="C375" s="110">
        <v>10123464</v>
      </c>
      <c r="D375" s="110">
        <v>20219008</v>
      </c>
      <c r="E375" s="30" t="s">
        <v>165</v>
      </c>
      <c r="F375" s="31">
        <v>720</v>
      </c>
      <c r="G375" s="108">
        <v>46267</v>
      </c>
      <c r="H375" s="443"/>
      <c r="I375" s="443"/>
      <c r="J375" s="443"/>
      <c r="K375" s="443"/>
      <c r="L375" s="443"/>
      <c r="M375" s="443"/>
      <c r="N375" s="443"/>
      <c r="O375" s="443"/>
      <c r="P375" s="443"/>
      <c r="Q375" s="443"/>
      <c r="R375" s="443"/>
      <c r="S375" s="443"/>
      <c r="T375" s="443"/>
      <c r="U375" s="443"/>
      <c r="V375" s="443"/>
      <c r="W375" s="443"/>
      <c r="X375" s="443"/>
      <c r="Y375" s="443"/>
      <c r="Z375" s="443"/>
      <c r="AA375" s="443"/>
      <c r="AB375" s="443"/>
      <c r="AC375" s="443"/>
      <c r="AD375" s="443"/>
      <c r="AE375" s="443"/>
      <c r="AF375" s="443"/>
      <c r="AG375" s="443"/>
      <c r="AH375" s="443"/>
      <c r="AI375" s="443"/>
      <c r="AJ375" s="443"/>
      <c r="AK375" s="443"/>
      <c r="AL375" s="443"/>
      <c r="AM375" s="443"/>
      <c r="AN375" s="443"/>
      <c r="AO375" s="443"/>
      <c r="AP375" s="443"/>
      <c r="AQ375" s="443"/>
      <c r="AR375" s="443"/>
      <c r="AS375" s="443"/>
      <c r="AT375" s="443"/>
      <c r="AU375" s="443"/>
      <c r="AV375" s="443"/>
      <c r="AW375" s="443"/>
      <c r="AX375" s="443"/>
      <c r="AY375" s="443"/>
      <c r="AZ375" s="443"/>
      <c r="BA375" s="443">
        <f>F375</f>
        <v>720</v>
      </c>
      <c r="BB375" s="443"/>
      <c r="BC375" s="443"/>
      <c r="BD375" s="443"/>
      <c r="BE375" s="443"/>
      <c r="BF375" s="443"/>
      <c r="BG375" s="443"/>
      <c r="BH375" s="443"/>
      <c r="BI375" s="443"/>
      <c r="BJ375" s="443"/>
      <c r="BK375" s="443"/>
      <c r="BL375" s="443"/>
      <c r="BM375" s="443"/>
      <c r="BN375" s="443"/>
      <c r="BO375" s="443"/>
      <c r="BP375" s="92"/>
      <c r="BQ375" s="92">
        <v>2.542</v>
      </c>
      <c r="BR375" s="462">
        <f t="shared" si="35"/>
        <v>1830.24</v>
      </c>
      <c r="BS375" s="447">
        <f t="shared" si="40"/>
        <v>14184.36</v>
      </c>
      <c r="BT375" s="443" t="str">
        <f>IFERROR(VLOOKUP(E375,名称!A:D,4,FALSE),"")</f>
        <v>RRM</v>
      </c>
    </row>
    <row r="376" s="427" customFormat="1" hidden="1" customHeight="1" spans="1:72">
      <c r="A376" s="93">
        <v>46109</v>
      </c>
      <c r="B376" s="95" t="s">
        <v>236</v>
      </c>
      <c r="C376" s="96">
        <v>10123623</v>
      </c>
      <c r="D376" s="96">
        <v>20219019</v>
      </c>
      <c r="E376" s="97" t="s">
        <v>182</v>
      </c>
      <c r="F376" s="99">
        <v>5004</v>
      </c>
      <c r="G376" s="93">
        <v>46204</v>
      </c>
      <c r="H376" s="429"/>
      <c r="I376" s="429"/>
      <c r="J376" s="429"/>
      <c r="K376" s="429"/>
      <c r="L376" s="429"/>
      <c r="M376" s="429"/>
      <c r="N376" s="429"/>
      <c r="O376" s="429"/>
      <c r="P376" s="429"/>
      <c r="Q376" s="429"/>
      <c r="R376" s="429"/>
      <c r="S376" s="429"/>
      <c r="T376" s="429"/>
      <c r="U376" s="429"/>
      <c r="V376" s="429"/>
      <c r="W376" s="429"/>
      <c r="X376" s="429"/>
      <c r="Y376" s="429"/>
      <c r="Z376" s="429"/>
      <c r="AA376" s="429"/>
      <c r="AB376" s="429"/>
      <c r="AC376" s="429"/>
      <c r="AD376" s="429"/>
      <c r="AE376" s="429"/>
      <c r="AF376" s="429">
        <f>F376/6*4</f>
        <v>3336</v>
      </c>
      <c r="AG376" s="429">
        <f>F376/6*2</f>
        <v>1668</v>
      </c>
      <c r="AH376" s="429"/>
      <c r="AI376" s="429"/>
      <c r="AJ376" s="429"/>
      <c r="AK376" s="429"/>
      <c r="AL376" s="429"/>
      <c r="AM376" s="429"/>
      <c r="AN376" s="429"/>
      <c r="AO376" s="429"/>
      <c r="AP376" s="429"/>
      <c r="AQ376" s="429"/>
      <c r="AR376" s="429"/>
      <c r="AS376" s="429"/>
      <c r="AT376" s="429"/>
      <c r="AU376" s="429"/>
      <c r="AV376" s="429"/>
      <c r="AW376" s="429"/>
      <c r="AX376" s="429"/>
      <c r="AY376" s="429"/>
      <c r="AZ376" s="429"/>
      <c r="BA376" s="429"/>
      <c r="BB376" s="429"/>
      <c r="BC376" s="429"/>
      <c r="BD376" s="429"/>
      <c r="BE376" s="429"/>
      <c r="BF376" s="429"/>
      <c r="BG376" s="429"/>
      <c r="BH376" s="429"/>
      <c r="BI376" s="429"/>
      <c r="BJ376" s="429"/>
      <c r="BK376" s="429"/>
      <c r="BL376" s="429"/>
      <c r="BM376" s="429"/>
      <c r="BN376" s="429"/>
      <c r="BO376" s="429"/>
      <c r="BP376" s="102"/>
      <c r="BQ376" s="102">
        <v>1.405</v>
      </c>
      <c r="BR376" s="451">
        <f t="shared" si="35"/>
        <v>7030.62</v>
      </c>
      <c r="BS376" s="451">
        <f t="shared" si="40"/>
        <v>54487.31</v>
      </c>
      <c r="BT376" s="429" t="str">
        <f>IFERROR(VLOOKUP(E376,名称!A:D,4,FALSE),"")</f>
        <v>KIK</v>
      </c>
    </row>
    <row r="377" s="427" customFormat="1" hidden="1" customHeight="1" spans="1:72">
      <c r="A377" s="93">
        <v>46109</v>
      </c>
      <c r="B377" s="95" t="s">
        <v>236</v>
      </c>
      <c r="C377" s="96">
        <v>10123472</v>
      </c>
      <c r="D377" s="96">
        <v>20219018</v>
      </c>
      <c r="E377" s="97" t="s">
        <v>95</v>
      </c>
      <c r="F377" s="99">
        <v>1000</v>
      </c>
      <c r="G377" s="93">
        <v>46204</v>
      </c>
      <c r="H377" s="429"/>
      <c r="I377" s="429"/>
      <c r="J377" s="429"/>
      <c r="K377" s="429"/>
      <c r="L377" s="429"/>
      <c r="M377" s="429"/>
      <c r="N377" s="429"/>
      <c r="O377" s="429"/>
      <c r="P377" s="429"/>
      <c r="Q377" s="429"/>
      <c r="R377" s="429"/>
      <c r="S377" s="429"/>
      <c r="T377" s="429"/>
      <c r="U377" s="429"/>
      <c r="V377" s="429"/>
      <c r="W377" s="429"/>
      <c r="X377" s="429"/>
      <c r="Y377" s="429"/>
      <c r="Z377" s="429"/>
      <c r="AA377" s="429"/>
      <c r="AB377" s="429"/>
      <c r="AC377" s="429"/>
      <c r="AD377" s="429"/>
      <c r="AE377" s="429"/>
      <c r="AF377" s="429"/>
      <c r="AG377" s="429"/>
      <c r="AH377" s="429">
        <f>F377</f>
        <v>1000</v>
      </c>
      <c r="AI377" s="429"/>
      <c r="AJ377" s="429"/>
      <c r="AK377" s="429"/>
      <c r="AL377" s="429"/>
      <c r="AM377" s="429"/>
      <c r="AN377" s="429"/>
      <c r="AO377" s="429"/>
      <c r="AP377" s="429"/>
      <c r="AQ377" s="429"/>
      <c r="AR377" s="429"/>
      <c r="AS377" s="429"/>
      <c r="AT377" s="429"/>
      <c r="AU377" s="429"/>
      <c r="AV377" s="429"/>
      <c r="AW377" s="429"/>
      <c r="AX377" s="429"/>
      <c r="AY377" s="429"/>
      <c r="AZ377" s="429"/>
      <c r="BA377" s="429"/>
      <c r="BB377" s="429"/>
      <c r="BC377" s="429"/>
      <c r="BD377" s="429"/>
      <c r="BE377" s="429"/>
      <c r="BF377" s="429"/>
      <c r="BG377" s="429"/>
      <c r="BH377" s="429"/>
      <c r="BI377" s="429"/>
      <c r="BJ377" s="429"/>
      <c r="BK377" s="429"/>
      <c r="BL377" s="429"/>
      <c r="BM377" s="429"/>
      <c r="BN377" s="429"/>
      <c r="BO377" s="429"/>
      <c r="BP377" s="102"/>
      <c r="BQ377" s="102">
        <v>2.205</v>
      </c>
      <c r="BR377" s="451">
        <f t="shared" si="35"/>
        <v>2205</v>
      </c>
      <c r="BS377" s="451">
        <f t="shared" si="40"/>
        <v>17088.75</v>
      </c>
      <c r="BT377" s="429" t="str">
        <f>IFERROR(VLOOKUP(E377,名称!A:D,4,FALSE),"")</f>
        <v>KIK</v>
      </c>
    </row>
    <row r="378" s="427" customFormat="1" hidden="1" customHeight="1" spans="1:72">
      <c r="A378" s="93">
        <v>46109</v>
      </c>
      <c r="B378" s="95" t="s">
        <v>236</v>
      </c>
      <c r="C378" s="96">
        <v>10123472</v>
      </c>
      <c r="D378" s="96">
        <v>20219018</v>
      </c>
      <c r="E378" s="97" t="s">
        <v>97</v>
      </c>
      <c r="F378" s="99">
        <v>3000</v>
      </c>
      <c r="G378" s="93">
        <v>46204</v>
      </c>
      <c r="H378" s="429"/>
      <c r="I378" s="429"/>
      <c r="J378" s="429"/>
      <c r="K378" s="429"/>
      <c r="L378" s="429"/>
      <c r="M378" s="429"/>
      <c r="N378" s="429"/>
      <c r="O378" s="429"/>
      <c r="P378" s="429"/>
      <c r="Q378" s="429"/>
      <c r="R378" s="429"/>
      <c r="S378" s="429"/>
      <c r="T378" s="429"/>
      <c r="U378" s="429"/>
      <c r="V378" s="429"/>
      <c r="W378" s="429"/>
      <c r="X378" s="429"/>
      <c r="Y378" s="429"/>
      <c r="Z378" s="429"/>
      <c r="AA378" s="429"/>
      <c r="AB378" s="429"/>
      <c r="AC378" s="429"/>
      <c r="AD378" s="429"/>
      <c r="AE378" s="429"/>
      <c r="AF378" s="429"/>
      <c r="AG378" s="429"/>
      <c r="AH378" s="429"/>
      <c r="AI378" s="429">
        <f t="shared" ref="AI378:AI383" si="41">F378</f>
        <v>3000</v>
      </c>
      <c r="AJ378" s="429"/>
      <c r="AK378" s="429"/>
      <c r="AL378" s="429"/>
      <c r="AM378" s="429"/>
      <c r="AN378" s="429"/>
      <c r="AO378" s="429"/>
      <c r="AP378" s="429"/>
      <c r="AQ378" s="429"/>
      <c r="AR378" s="429"/>
      <c r="AS378" s="429"/>
      <c r="AT378" s="429"/>
      <c r="AU378" s="429"/>
      <c r="AV378" s="429"/>
      <c r="AW378" s="429"/>
      <c r="AX378" s="429"/>
      <c r="AY378" s="429"/>
      <c r="AZ378" s="429"/>
      <c r="BA378" s="429"/>
      <c r="BB378" s="429"/>
      <c r="BC378" s="429"/>
      <c r="BD378" s="429"/>
      <c r="BE378" s="429"/>
      <c r="BF378" s="429"/>
      <c r="BG378" s="429"/>
      <c r="BH378" s="429"/>
      <c r="BI378" s="429"/>
      <c r="BJ378" s="429"/>
      <c r="BK378" s="429"/>
      <c r="BL378" s="429"/>
      <c r="BM378" s="429"/>
      <c r="BN378" s="429"/>
      <c r="BO378" s="429"/>
      <c r="BP378" s="102"/>
      <c r="BQ378" s="102">
        <v>3.362</v>
      </c>
      <c r="BR378" s="451">
        <f t="shared" si="35"/>
        <v>10086</v>
      </c>
      <c r="BS378" s="451">
        <f t="shared" si="40"/>
        <v>78166.5</v>
      </c>
      <c r="BT378" s="429" t="str">
        <f>IFERROR(VLOOKUP(E378,名称!A:D,4,FALSE),"")</f>
        <v>KIK</v>
      </c>
    </row>
    <row r="379" s="427" customFormat="1" hidden="1" customHeight="1" spans="1:72">
      <c r="A379" s="93">
        <v>46109</v>
      </c>
      <c r="B379" s="95" t="s">
        <v>236</v>
      </c>
      <c r="C379" s="96">
        <v>10123469</v>
      </c>
      <c r="D379" s="96">
        <v>20219017</v>
      </c>
      <c r="E379" s="97" t="s">
        <v>95</v>
      </c>
      <c r="F379" s="99">
        <v>4000</v>
      </c>
      <c r="G379" s="93">
        <v>46113</v>
      </c>
      <c r="H379" s="429"/>
      <c r="I379" s="429"/>
      <c r="J379" s="429"/>
      <c r="K379" s="429"/>
      <c r="L379" s="429"/>
      <c r="M379" s="429"/>
      <c r="N379" s="429"/>
      <c r="O379" s="429"/>
      <c r="P379" s="429"/>
      <c r="Q379" s="429"/>
      <c r="R379" s="429"/>
      <c r="S379" s="429"/>
      <c r="T379" s="429"/>
      <c r="U379" s="429"/>
      <c r="V379" s="429"/>
      <c r="W379" s="429"/>
      <c r="X379" s="429"/>
      <c r="Y379" s="429"/>
      <c r="Z379" s="429"/>
      <c r="AA379" s="429"/>
      <c r="AB379" s="429"/>
      <c r="AC379" s="429"/>
      <c r="AD379" s="429"/>
      <c r="AE379" s="429"/>
      <c r="AF379" s="429"/>
      <c r="AG379" s="429"/>
      <c r="AH379" s="429">
        <f>F379</f>
        <v>4000</v>
      </c>
      <c r="AI379" s="429"/>
      <c r="AJ379" s="429"/>
      <c r="AK379" s="429"/>
      <c r="AL379" s="429"/>
      <c r="AM379" s="429"/>
      <c r="AN379" s="429"/>
      <c r="AO379" s="429"/>
      <c r="AP379" s="429"/>
      <c r="AQ379" s="429"/>
      <c r="AR379" s="429"/>
      <c r="AS379" s="429"/>
      <c r="AT379" s="429"/>
      <c r="AU379" s="429"/>
      <c r="AV379" s="429"/>
      <c r="AW379" s="429"/>
      <c r="AX379" s="429"/>
      <c r="AY379" s="429"/>
      <c r="AZ379" s="429"/>
      <c r="BA379" s="429"/>
      <c r="BB379" s="429"/>
      <c r="BC379" s="429"/>
      <c r="BD379" s="429"/>
      <c r="BE379" s="429"/>
      <c r="BF379" s="429"/>
      <c r="BG379" s="429"/>
      <c r="BH379" s="429"/>
      <c r="BI379" s="429"/>
      <c r="BJ379" s="429"/>
      <c r="BK379" s="429"/>
      <c r="BL379" s="429"/>
      <c r="BM379" s="429"/>
      <c r="BN379" s="429"/>
      <c r="BO379" s="429"/>
      <c r="BP379" s="102"/>
      <c r="BQ379" s="102">
        <v>2.205</v>
      </c>
      <c r="BR379" s="451">
        <f t="shared" si="35"/>
        <v>8820</v>
      </c>
      <c r="BS379" s="447">
        <f t="shared" si="40"/>
        <v>68355</v>
      </c>
      <c r="BT379" s="429" t="str">
        <f>IFERROR(VLOOKUP(E379,名称!A:D,4,FALSE),"")</f>
        <v>KIK</v>
      </c>
    </row>
    <row r="380" s="427" customFormat="1" hidden="1" customHeight="1" spans="1:72">
      <c r="A380" s="93">
        <v>46109</v>
      </c>
      <c r="B380" s="95" t="s">
        <v>236</v>
      </c>
      <c r="C380" s="96">
        <v>10123469</v>
      </c>
      <c r="D380" s="96">
        <v>20219017</v>
      </c>
      <c r="E380" s="97" t="s">
        <v>97</v>
      </c>
      <c r="F380" s="99">
        <v>2000</v>
      </c>
      <c r="G380" s="93">
        <v>46113</v>
      </c>
      <c r="H380" s="429"/>
      <c r="I380" s="429"/>
      <c r="J380" s="429"/>
      <c r="K380" s="429"/>
      <c r="L380" s="429"/>
      <c r="M380" s="429"/>
      <c r="N380" s="429"/>
      <c r="O380" s="429"/>
      <c r="P380" s="429"/>
      <c r="Q380" s="429"/>
      <c r="R380" s="429"/>
      <c r="S380" s="429"/>
      <c r="T380" s="429"/>
      <c r="U380" s="429"/>
      <c r="V380" s="429"/>
      <c r="W380" s="429"/>
      <c r="X380" s="429"/>
      <c r="Y380" s="429"/>
      <c r="Z380" s="429"/>
      <c r="AA380" s="429"/>
      <c r="AB380" s="429"/>
      <c r="AC380" s="429"/>
      <c r="AD380" s="429"/>
      <c r="AE380" s="429"/>
      <c r="AF380" s="429"/>
      <c r="AG380" s="429"/>
      <c r="AH380" s="429"/>
      <c r="AI380" s="429">
        <f t="shared" si="41"/>
        <v>2000</v>
      </c>
      <c r="AJ380" s="429"/>
      <c r="AK380" s="429"/>
      <c r="AL380" s="429"/>
      <c r="AM380" s="429"/>
      <c r="AN380" s="429"/>
      <c r="AO380" s="429"/>
      <c r="AP380" s="429"/>
      <c r="AQ380" s="429"/>
      <c r="AR380" s="429"/>
      <c r="AS380" s="429"/>
      <c r="AT380" s="429"/>
      <c r="AU380" s="429"/>
      <c r="AV380" s="429"/>
      <c r="AW380" s="429"/>
      <c r="AX380" s="429"/>
      <c r="AY380" s="429"/>
      <c r="AZ380" s="429"/>
      <c r="BA380" s="429"/>
      <c r="BB380" s="429"/>
      <c r="BC380" s="429"/>
      <c r="BD380" s="429"/>
      <c r="BE380" s="429"/>
      <c r="BF380" s="429"/>
      <c r="BG380" s="429"/>
      <c r="BH380" s="429"/>
      <c r="BI380" s="429"/>
      <c r="BJ380" s="429"/>
      <c r="BK380" s="429"/>
      <c r="BL380" s="429"/>
      <c r="BM380" s="429"/>
      <c r="BN380" s="429"/>
      <c r="BO380" s="429"/>
      <c r="BP380" s="102"/>
      <c r="BQ380" s="102">
        <v>3.43</v>
      </c>
      <c r="BR380" s="451">
        <f t="shared" si="35"/>
        <v>6860</v>
      </c>
      <c r="BS380" s="447">
        <f t="shared" si="40"/>
        <v>53165</v>
      </c>
      <c r="BT380" s="429" t="str">
        <f>IFERROR(VLOOKUP(E380,名称!A:D,4,FALSE),"")</f>
        <v>KIK</v>
      </c>
    </row>
    <row r="381" s="425" customFormat="1" hidden="1" customHeight="1" spans="1:72">
      <c r="A381" s="108">
        <v>46109</v>
      </c>
      <c r="B381" s="109" t="s">
        <v>235</v>
      </c>
      <c r="C381" s="110">
        <v>10115934</v>
      </c>
      <c r="D381" s="110">
        <v>4500031985</v>
      </c>
      <c r="E381" s="30" t="s">
        <v>95</v>
      </c>
      <c r="F381" s="31">
        <f>4000-2000-2000</f>
        <v>0</v>
      </c>
      <c r="G381" s="108">
        <v>46197</v>
      </c>
      <c r="H381" s="443"/>
      <c r="I381" s="443"/>
      <c r="J381" s="443"/>
      <c r="K381" s="443"/>
      <c r="L381" s="443"/>
      <c r="M381" s="443"/>
      <c r="N381" s="443"/>
      <c r="O381" s="443"/>
      <c r="P381" s="443"/>
      <c r="Q381" s="443"/>
      <c r="R381" s="443"/>
      <c r="S381" s="443"/>
      <c r="T381" s="443"/>
      <c r="U381" s="443"/>
      <c r="V381" s="443"/>
      <c r="W381" s="443"/>
      <c r="X381" s="443"/>
      <c r="Y381" s="443"/>
      <c r="Z381" s="443"/>
      <c r="AA381" s="443"/>
      <c r="AB381" s="443"/>
      <c r="AC381" s="443"/>
      <c r="AD381" s="443"/>
      <c r="AE381" s="443"/>
      <c r="AF381" s="443"/>
      <c r="AG381" s="443"/>
      <c r="AH381" s="443">
        <f>F381</f>
        <v>0</v>
      </c>
      <c r="AI381" s="443"/>
      <c r="AJ381" s="443"/>
      <c r="AK381" s="443"/>
      <c r="AL381" s="443"/>
      <c r="AM381" s="443"/>
      <c r="AN381" s="443"/>
      <c r="AO381" s="443"/>
      <c r="AP381" s="443"/>
      <c r="AQ381" s="443"/>
      <c r="AR381" s="443"/>
      <c r="AS381" s="443"/>
      <c r="AT381" s="443"/>
      <c r="AU381" s="443"/>
      <c r="AV381" s="443"/>
      <c r="AW381" s="443"/>
      <c r="AX381" s="443"/>
      <c r="AY381" s="443"/>
      <c r="AZ381" s="443"/>
      <c r="BA381" s="443"/>
      <c r="BB381" s="443"/>
      <c r="BC381" s="443"/>
      <c r="BD381" s="443"/>
      <c r="BE381" s="443"/>
      <c r="BF381" s="443"/>
      <c r="BG381" s="443"/>
      <c r="BH381" s="443"/>
      <c r="BI381" s="443"/>
      <c r="BJ381" s="443"/>
      <c r="BK381" s="443"/>
      <c r="BL381" s="443"/>
      <c r="BM381" s="443"/>
      <c r="BN381" s="443"/>
      <c r="BO381" s="443"/>
      <c r="BP381" s="92"/>
      <c r="BQ381" s="92">
        <v>2.205</v>
      </c>
      <c r="BR381" s="462">
        <f t="shared" si="35"/>
        <v>0</v>
      </c>
      <c r="BS381" s="447">
        <f t="shared" si="40"/>
        <v>0</v>
      </c>
      <c r="BT381" s="443" t="str">
        <f>IFERROR(VLOOKUP(E381,名称!A:D,4,FALSE),"")</f>
        <v>KIK</v>
      </c>
    </row>
    <row r="382" s="427" customFormat="1" hidden="1" customHeight="1" spans="1:72">
      <c r="A382" s="93">
        <v>46109</v>
      </c>
      <c r="B382" s="95" t="s">
        <v>235</v>
      </c>
      <c r="C382" s="96">
        <v>10115934</v>
      </c>
      <c r="D382" s="96">
        <v>4500031985</v>
      </c>
      <c r="E382" s="97" t="s">
        <v>97</v>
      </c>
      <c r="F382" s="99">
        <v>144</v>
      </c>
      <c r="G382" s="93">
        <v>46218</v>
      </c>
      <c r="H382" s="429"/>
      <c r="I382" s="429"/>
      <c r="J382" s="429"/>
      <c r="K382" s="429"/>
      <c r="L382" s="429"/>
      <c r="M382" s="429"/>
      <c r="N382" s="429"/>
      <c r="O382" s="429"/>
      <c r="P382" s="429"/>
      <c r="Q382" s="429"/>
      <c r="R382" s="429"/>
      <c r="S382" s="429"/>
      <c r="T382" s="429"/>
      <c r="U382" s="429"/>
      <c r="V382" s="429"/>
      <c r="W382" s="429"/>
      <c r="X382" s="429"/>
      <c r="Y382" s="429"/>
      <c r="Z382" s="429"/>
      <c r="AA382" s="429"/>
      <c r="AB382" s="429"/>
      <c r="AC382" s="429"/>
      <c r="AD382" s="429"/>
      <c r="AE382" s="429"/>
      <c r="AF382" s="429"/>
      <c r="AG382" s="429"/>
      <c r="AH382" s="429"/>
      <c r="AI382" s="429">
        <f t="shared" si="41"/>
        <v>144</v>
      </c>
      <c r="AJ382" s="429"/>
      <c r="AK382" s="429"/>
      <c r="AL382" s="429"/>
      <c r="AM382" s="429"/>
      <c r="AN382" s="429"/>
      <c r="AO382" s="429"/>
      <c r="AP382" s="429"/>
      <c r="AQ382" s="429"/>
      <c r="AR382" s="429"/>
      <c r="AS382" s="429"/>
      <c r="AT382" s="429"/>
      <c r="AU382" s="429"/>
      <c r="AV382" s="429"/>
      <c r="AW382" s="429"/>
      <c r="AX382" s="429"/>
      <c r="AY382" s="429"/>
      <c r="AZ382" s="429"/>
      <c r="BA382" s="429"/>
      <c r="BB382" s="429"/>
      <c r="BC382" s="429"/>
      <c r="BD382" s="429"/>
      <c r="BE382" s="429"/>
      <c r="BF382" s="429"/>
      <c r="BG382" s="429"/>
      <c r="BH382" s="429"/>
      <c r="BI382" s="429"/>
      <c r="BJ382" s="429"/>
      <c r="BK382" s="429"/>
      <c r="BL382" s="429"/>
      <c r="BM382" s="429"/>
      <c r="BN382" s="429"/>
      <c r="BO382" s="429"/>
      <c r="BP382" s="102"/>
      <c r="BQ382" s="102">
        <v>3.362</v>
      </c>
      <c r="BR382" s="451">
        <f t="shared" si="35"/>
        <v>484.13</v>
      </c>
      <c r="BS382" s="451">
        <f t="shared" si="40"/>
        <v>3752.01</v>
      </c>
      <c r="BT382" s="429" t="str">
        <f>IFERROR(VLOOKUP(E382,名称!A:D,4,FALSE),"")</f>
        <v>KIK</v>
      </c>
    </row>
    <row r="383" s="427" customFormat="1" hidden="1" customHeight="1" spans="1:72">
      <c r="A383" s="93">
        <v>46109</v>
      </c>
      <c r="B383" s="95" t="s">
        <v>235</v>
      </c>
      <c r="C383" s="96">
        <v>10115934</v>
      </c>
      <c r="D383" s="96">
        <v>4500031985</v>
      </c>
      <c r="E383" s="97" t="s">
        <v>97</v>
      </c>
      <c r="F383" s="99">
        <v>1856</v>
      </c>
      <c r="G383" s="93">
        <v>46204</v>
      </c>
      <c r="H383" s="429"/>
      <c r="I383" s="429"/>
      <c r="J383" s="429"/>
      <c r="K383" s="429"/>
      <c r="L383" s="429"/>
      <c r="M383" s="429"/>
      <c r="N383" s="429"/>
      <c r="O383" s="429"/>
      <c r="P383" s="429"/>
      <c r="Q383" s="429"/>
      <c r="R383" s="429"/>
      <c r="S383" s="429"/>
      <c r="T383" s="429"/>
      <c r="U383" s="429"/>
      <c r="V383" s="429"/>
      <c r="W383" s="429"/>
      <c r="X383" s="429"/>
      <c r="Y383" s="429"/>
      <c r="Z383" s="429"/>
      <c r="AA383" s="429"/>
      <c r="AB383" s="429"/>
      <c r="AC383" s="429"/>
      <c r="AD383" s="429"/>
      <c r="AE383" s="429"/>
      <c r="AF383" s="429"/>
      <c r="AG383" s="429"/>
      <c r="AH383" s="429"/>
      <c r="AI383" s="429">
        <f t="shared" si="41"/>
        <v>1856</v>
      </c>
      <c r="AJ383" s="429"/>
      <c r="AK383" s="429"/>
      <c r="AL383" s="429"/>
      <c r="AM383" s="429"/>
      <c r="AN383" s="429"/>
      <c r="AO383" s="429"/>
      <c r="AP383" s="429"/>
      <c r="AQ383" s="429"/>
      <c r="AR383" s="429"/>
      <c r="AS383" s="429"/>
      <c r="AT383" s="429"/>
      <c r="AU383" s="429"/>
      <c r="AV383" s="429"/>
      <c r="AW383" s="429"/>
      <c r="AX383" s="429"/>
      <c r="AY383" s="429"/>
      <c r="AZ383" s="429"/>
      <c r="BA383" s="429"/>
      <c r="BB383" s="429"/>
      <c r="BC383" s="429"/>
      <c r="BD383" s="429"/>
      <c r="BE383" s="429"/>
      <c r="BF383" s="429"/>
      <c r="BG383" s="429"/>
      <c r="BH383" s="429"/>
      <c r="BI383" s="429"/>
      <c r="BJ383" s="429"/>
      <c r="BK383" s="429"/>
      <c r="BL383" s="429"/>
      <c r="BM383" s="429"/>
      <c r="BN383" s="429"/>
      <c r="BO383" s="429"/>
      <c r="BP383" s="102"/>
      <c r="BQ383" s="102">
        <v>3.362</v>
      </c>
      <c r="BR383" s="451">
        <f t="shared" si="35"/>
        <v>6239.87</v>
      </c>
      <c r="BS383" s="451">
        <f t="shared" si="40"/>
        <v>48358.99</v>
      </c>
      <c r="BT383" s="429" t="str">
        <f>IFERROR(VLOOKUP(E383,名称!A:D,4,FALSE),"")</f>
        <v>KIK</v>
      </c>
    </row>
    <row r="384" s="427" customFormat="1" hidden="1" customHeight="1" spans="1:72">
      <c r="A384" s="93">
        <v>46109</v>
      </c>
      <c r="B384" s="95" t="s">
        <v>271</v>
      </c>
      <c r="C384" s="96">
        <v>10123675</v>
      </c>
      <c r="D384" s="96">
        <v>56799</v>
      </c>
      <c r="E384" s="97" t="s">
        <v>158</v>
      </c>
      <c r="F384" s="99">
        <v>600</v>
      </c>
      <c r="G384" s="93">
        <v>46204</v>
      </c>
      <c r="H384" s="429"/>
      <c r="I384" s="429"/>
      <c r="J384" s="429"/>
      <c r="K384" s="429"/>
      <c r="L384" s="429"/>
      <c r="M384" s="429"/>
      <c r="N384" s="429"/>
      <c r="O384" s="429"/>
      <c r="P384" s="429"/>
      <c r="Q384" s="429"/>
      <c r="R384" s="429"/>
      <c r="S384" s="429">
        <f>F384</f>
        <v>600</v>
      </c>
      <c r="T384" s="429"/>
      <c r="U384" s="429"/>
      <c r="V384" s="429"/>
      <c r="W384" s="429"/>
      <c r="X384" s="429"/>
      <c r="Y384" s="429"/>
      <c r="Z384" s="429"/>
      <c r="AA384" s="429"/>
      <c r="AB384" s="429"/>
      <c r="AC384" s="429"/>
      <c r="AD384" s="429"/>
      <c r="AE384" s="429"/>
      <c r="AF384" s="429"/>
      <c r="AG384" s="429"/>
      <c r="AH384" s="429"/>
      <c r="AI384" s="429"/>
      <c r="AJ384" s="429"/>
      <c r="AK384" s="429"/>
      <c r="AL384" s="429"/>
      <c r="AM384" s="429"/>
      <c r="AN384" s="429"/>
      <c r="AO384" s="429"/>
      <c r="AP384" s="429"/>
      <c r="AQ384" s="429"/>
      <c r="AR384" s="429"/>
      <c r="AS384" s="429"/>
      <c r="AT384" s="429"/>
      <c r="AU384" s="429"/>
      <c r="AV384" s="429"/>
      <c r="AW384" s="429"/>
      <c r="AX384" s="429"/>
      <c r="AY384" s="429"/>
      <c r="AZ384" s="429"/>
      <c r="BA384" s="429"/>
      <c r="BB384" s="429"/>
      <c r="BC384" s="429"/>
      <c r="BD384" s="429"/>
      <c r="BE384" s="429"/>
      <c r="BF384" s="429"/>
      <c r="BG384" s="429"/>
      <c r="BH384" s="429"/>
      <c r="BI384" s="429"/>
      <c r="BJ384" s="429"/>
      <c r="BK384" s="429"/>
      <c r="BL384" s="429"/>
      <c r="BM384" s="429"/>
      <c r="BN384" s="429"/>
      <c r="BO384" s="429"/>
      <c r="BP384" s="102"/>
      <c r="BQ384" s="102">
        <v>4.792</v>
      </c>
      <c r="BR384" s="451">
        <f t="shared" si="35"/>
        <v>2875.2</v>
      </c>
      <c r="BS384" s="451">
        <f t="shared" si="40"/>
        <v>22282.8</v>
      </c>
      <c r="BT384" s="429" t="str">
        <f>IFERROR(VLOOKUP(E384,名称!A:D,4,FALSE),"")</f>
        <v>KIK</v>
      </c>
    </row>
    <row r="385" s="427" customFormat="1" hidden="1" customHeight="1" spans="1:72">
      <c r="A385" s="93">
        <v>46109</v>
      </c>
      <c r="B385" s="95" t="s">
        <v>271</v>
      </c>
      <c r="C385" s="96">
        <v>10123675</v>
      </c>
      <c r="D385" s="96">
        <v>56799</v>
      </c>
      <c r="E385" s="97" t="s">
        <v>95</v>
      </c>
      <c r="F385" s="99">
        <v>480</v>
      </c>
      <c r="G385" s="93">
        <v>46204</v>
      </c>
      <c r="H385" s="429"/>
      <c r="I385" s="429"/>
      <c r="J385" s="429"/>
      <c r="K385" s="429"/>
      <c r="L385" s="429"/>
      <c r="M385" s="429"/>
      <c r="N385" s="429"/>
      <c r="O385" s="429"/>
      <c r="P385" s="429"/>
      <c r="Q385" s="429"/>
      <c r="R385" s="429"/>
      <c r="S385" s="429"/>
      <c r="T385" s="429"/>
      <c r="U385" s="429"/>
      <c r="V385" s="429"/>
      <c r="W385" s="429"/>
      <c r="X385" s="429"/>
      <c r="Y385" s="429"/>
      <c r="Z385" s="429"/>
      <c r="AA385" s="429"/>
      <c r="AB385" s="429"/>
      <c r="AC385" s="429"/>
      <c r="AD385" s="429"/>
      <c r="AE385" s="429"/>
      <c r="AF385" s="429"/>
      <c r="AG385" s="429"/>
      <c r="AH385" s="429">
        <f>F385</f>
        <v>480</v>
      </c>
      <c r="AI385" s="429"/>
      <c r="AJ385" s="429"/>
      <c r="AK385" s="429"/>
      <c r="AL385" s="429"/>
      <c r="AM385" s="429"/>
      <c r="AN385" s="429"/>
      <c r="AO385" s="429"/>
      <c r="AP385" s="429"/>
      <c r="AQ385" s="429"/>
      <c r="AR385" s="429"/>
      <c r="AS385" s="429"/>
      <c r="AT385" s="429"/>
      <c r="AU385" s="429"/>
      <c r="AV385" s="429"/>
      <c r="AW385" s="429"/>
      <c r="AX385" s="429"/>
      <c r="AY385" s="429"/>
      <c r="AZ385" s="429"/>
      <c r="BA385" s="429"/>
      <c r="BB385" s="429"/>
      <c r="BC385" s="429"/>
      <c r="BD385" s="429"/>
      <c r="BE385" s="429"/>
      <c r="BF385" s="429"/>
      <c r="BG385" s="429"/>
      <c r="BH385" s="429"/>
      <c r="BI385" s="429"/>
      <c r="BJ385" s="429"/>
      <c r="BK385" s="429"/>
      <c r="BL385" s="429"/>
      <c r="BM385" s="429"/>
      <c r="BN385" s="429"/>
      <c r="BO385" s="429"/>
      <c r="BP385" s="102"/>
      <c r="BQ385" s="102">
        <v>2.25</v>
      </c>
      <c r="BR385" s="451">
        <f t="shared" si="35"/>
        <v>1080</v>
      </c>
      <c r="BS385" s="451">
        <f t="shared" si="40"/>
        <v>8370</v>
      </c>
      <c r="BT385" s="429" t="str">
        <f>IFERROR(VLOOKUP(E385,名称!A:D,4,FALSE),"")</f>
        <v>KIK</v>
      </c>
    </row>
    <row r="386" s="427" customFormat="1" hidden="1" customHeight="1" spans="1:72">
      <c r="A386" s="93">
        <v>46109</v>
      </c>
      <c r="B386" s="95" t="s">
        <v>271</v>
      </c>
      <c r="C386" s="96">
        <v>10123675</v>
      </c>
      <c r="D386" s="96">
        <v>56799</v>
      </c>
      <c r="E386" s="97" t="s">
        <v>97</v>
      </c>
      <c r="F386" s="99">
        <v>480</v>
      </c>
      <c r="G386" s="93">
        <v>46204</v>
      </c>
      <c r="H386" s="429"/>
      <c r="I386" s="429"/>
      <c r="J386" s="429"/>
      <c r="K386" s="429"/>
      <c r="L386" s="429"/>
      <c r="M386" s="429"/>
      <c r="N386" s="429"/>
      <c r="O386" s="429"/>
      <c r="P386" s="429"/>
      <c r="Q386" s="429"/>
      <c r="R386" s="429"/>
      <c r="S386" s="429"/>
      <c r="T386" s="429"/>
      <c r="U386" s="429"/>
      <c r="V386" s="429"/>
      <c r="W386" s="429"/>
      <c r="X386" s="429"/>
      <c r="Y386" s="429"/>
      <c r="Z386" s="429"/>
      <c r="AA386" s="429"/>
      <c r="AB386" s="429"/>
      <c r="AC386" s="429"/>
      <c r="AD386" s="429"/>
      <c r="AE386" s="429"/>
      <c r="AF386" s="429"/>
      <c r="AG386" s="429"/>
      <c r="AH386" s="429"/>
      <c r="AI386" s="429">
        <f>F386</f>
        <v>480</v>
      </c>
      <c r="AJ386" s="429"/>
      <c r="AK386" s="429"/>
      <c r="AL386" s="429"/>
      <c r="AM386" s="429"/>
      <c r="AN386" s="429"/>
      <c r="AO386" s="429"/>
      <c r="AP386" s="429"/>
      <c r="AQ386" s="429"/>
      <c r="AR386" s="429"/>
      <c r="AS386" s="429"/>
      <c r="AT386" s="429"/>
      <c r="AU386" s="429"/>
      <c r="AV386" s="429"/>
      <c r="AW386" s="429"/>
      <c r="AX386" s="429"/>
      <c r="AY386" s="429"/>
      <c r="AZ386" s="429"/>
      <c r="BA386" s="429"/>
      <c r="BB386" s="429"/>
      <c r="BC386" s="429"/>
      <c r="BD386" s="429"/>
      <c r="BE386" s="429"/>
      <c r="BF386" s="429"/>
      <c r="BG386" s="429"/>
      <c r="BH386" s="429"/>
      <c r="BI386" s="429"/>
      <c r="BJ386" s="429"/>
      <c r="BK386" s="429"/>
      <c r="BL386" s="429"/>
      <c r="BM386" s="429"/>
      <c r="BN386" s="429"/>
      <c r="BO386" s="429"/>
      <c r="BP386" s="102"/>
      <c r="BQ386" s="102">
        <v>3.362</v>
      </c>
      <c r="BR386" s="451">
        <f t="shared" si="35"/>
        <v>1613.76</v>
      </c>
      <c r="BS386" s="451">
        <f t="shared" ref="BS386:BS392" si="42">BR386*7.75</f>
        <v>12506.64</v>
      </c>
      <c r="BT386" s="429" t="str">
        <f>IFERROR(VLOOKUP(E386,名称!A:D,4,FALSE),"")</f>
        <v>KIK</v>
      </c>
    </row>
    <row r="387" s="427" customFormat="1" hidden="1" customHeight="1" spans="1:72">
      <c r="A387" s="93">
        <v>46112</v>
      </c>
      <c r="B387" s="95" t="s">
        <v>237</v>
      </c>
      <c r="C387" s="96">
        <v>10123756</v>
      </c>
      <c r="D387" s="96">
        <v>202608570043</v>
      </c>
      <c r="E387" s="97" t="s">
        <v>182</v>
      </c>
      <c r="F387" s="99">
        <f>3000-1500</f>
        <v>1500</v>
      </c>
      <c r="G387" s="93">
        <v>46218</v>
      </c>
      <c r="H387" s="429"/>
      <c r="I387" s="429"/>
      <c r="J387" s="429"/>
      <c r="K387" s="429"/>
      <c r="L387" s="429"/>
      <c r="M387" s="429"/>
      <c r="N387" s="429"/>
      <c r="O387" s="429"/>
      <c r="P387" s="429"/>
      <c r="Q387" s="429"/>
      <c r="R387" s="429"/>
      <c r="S387" s="429"/>
      <c r="T387" s="429"/>
      <c r="U387" s="429"/>
      <c r="V387" s="429"/>
      <c r="W387" s="429"/>
      <c r="X387" s="429"/>
      <c r="Y387" s="429"/>
      <c r="Z387" s="429"/>
      <c r="AA387" s="429"/>
      <c r="AB387" s="429"/>
      <c r="AC387" s="429"/>
      <c r="AD387" s="429"/>
      <c r="AE387" s="429"/>
      <c r="AF387" s="429">
        <f>F387/6*4</f>
        <v>1000</v>
      </c>
      <c r="AG387" s="429">
        <f>F387/6*2</f>
        <v>500</v>
      </c>
      <c r="AH387" s="429"/>
      <c r="AI387" s="429"/>
      <c r="AJ387" s="429"/>
      <c r="AK387" s="429"/>
      <c r="AL387" s="429"/>
      <c r="AM387" s="429"/>
      <c r="AN387" s="429"/>
      <c r="AO387" s="429"/>
      <c r="AP387" s="429"/>
      <c r="AQ387" s="429"/>
      <c r="AR387" s="429"/>
      <c r="AS387" s="429"/>
      <c r="AT387" s="429"/>
      <c r="AU387" s="429"/>
      <c r="AV387" s="429"/>
      <c r="AW387" s="429"/>
      <c r="AX387" s="429"/>
      <c r="AY387" s="429"/>
      <c r="AZ387" s="429"/>
      <c r="BA387" s="429"/>
      <c r="BB387" s="429"/>
      <c r="BC387" s="429"/>
      <c r="BD387" s="429"/>
      <c r="BE387" s="429"/>
      <c r="BF387" s="429"/>
      <c r="BG387" s="429"/>
      <c r="BH387" s="429"/>
      <c r="BI387" s="429"/>
      <c r="BJ387" s="429"/>
      <c r="BK387" s="429"/>
      <c r="BL387" s="429"/>
      <c r="BM387" s="429"/>
      <c r="BN387" s="429"/>
      <c r="BO387" s="429"/>
      <c r="BP387" s="102"/>
      <c r="BQ387" s="102">
        <v>1.405</v>
      </c>
      <c r="BR387" s="451">
        <f t="shared" si="35"/>
        <v>2107.5</v>
      </c>
      <c r="BS387" s="451">
        <f t="shared" si="42"/>
        <v>16333.13</v>
      </c>
      <c r="BT387" s="429" t="str">
        <f>IFERROR(VLOOKUP(E387,名称!A:D,4,FALSE),"")</f>
        <v>KIK</v>
      </c>
    </row>
    <row r="388" s="427" customFormat="1" hidden="1" customHeight="1" spans="1:72">
      <c r="A388" s="93">
        <v>46112</v>
      </c>
      <c r="B388" s="95" t="s">
        <v>237</v>
      </c>
      <c r="C388" s="96">
        <v>10123756</v>
      </c>
      <c r="D388" s="96">
        <v>202608570043</v>
      </c>
      <c r="E388" s="97" t="s">
        <v>153</v>
      </c>
      <c r="F388" s="99">
        <v>2004</v>
      </c>
      <c r="G388" s="93">
        <v>46218</v>
      </c>
      <c r="H388" s="429"/>
      <c r="I388" s="429"/>
      <c r="J388" s="429"/>
      <c r="K388" s="429"/>
      <c r="L388" s="429"/>
      <c r="M388" s="429"/>
      <c r="N388" s="429"/>
      <c r="O388" s="429"/>
      <c r="P388" s="429"/>
      <c r="Q388" s="429"/>
      <c r="R388" s="429"/>
      <c r="S388" s="429"/>
      <c r="T388" s="429"/>
      <c r="U388" s="429"/>
      <c r="V388" s="429"/>
      <c r="W388" s="429"/>
      <c r="X388" s="429"/>
      <c r="Y388" s="429"/>
      <c r="Z388" s="429"/>
      <c r="AA388" s="429"/>
      <c r="AB388" s="429"/>
      <c r="AC388" s="429"/>
      <c r="AD388" s="429"/>
      <c r="AE388" s="429"/>
      <c r="AF388" s="429"/>
      <c r="AG388" s="429">
        <f>F388</f>
        <v>2004</v>
      </c>
      <c r="AH388" s="429"/>
      <c r="AI388" s="429"/>
      <c r="AJ388" s="429"/>
      <c r="AK388" s="429"/>
      <c r="AL388" s="429"/>
      <c r="AM388" s="429"/>
      <c r="AN388" s="429"/>
      <c r="AO388" s="429"/>
      <c r="AP388" s="429"/>
      <c r="AQ388" s="429"/>
      <c r="AR388" s="429"/>
      <c r="AS388" s="429"/>
      <c r="AT388" s="429"/>
      <c r="AU388" s="429"/>
      <c r="AV388" s="429"/>
      <c r="AW388" s="429"/>
      <c r="AX388" s="429"/>
      <c r="AY388" s="429"/>
      <c r="AZ388" s="429"/>
      <c r="BA388" s="429"/>
      <c r="BB388" s="429"/>
      <c r="BC388" s="429"/>
      <c r="BD388" s="429"/>
      <c r="BE388" s="429"/>
      <c r="BF388" s="429"/>
      <c r="BG388" s="429"/>
      <c r="BH388" s="429"/>
      <c r="BI388" s="429"/>
      <c r="BJ388" s="429"/>
      <c r="BK388" s="429"/>
      <c r="BL388" s="429"/>
      <c r="BM388" s="429"/>
      <c r="BN388" s="429"/>
      <c r="BO388" s="429"/>
      <c r="BP388" s="102"/>
      <c r="BQ388" s="102">
        <v>1.324</v>
      </c>
      <c r="BR388" s="451">
        <f t="shared" si="35"/>
        <v>2653.3</v>
      </c>
      <c r="BS388" s="451">
        <f t="shared" si="42"/>
        <v>20563.08</v>
      </c>
      <c r="BT388" s="429" t="str">
        <f>IFERROR(VLOOKUP(E388,名称!A:D,4,FALSE),"")</f>
        <v>KIK</v>
      </c>
    </row>
    <row r="389" s="427" customFormat="1" hidden="1" customHeight="1" spans="1:72">
      <c r="A389" s="93">
        <v>46112</v>
      </c>
      <c r="B389" s="95" t="s">
        <v>237</v>
      </c>
      <c r="C389" s="96">
        <v>10123756</v>
      </c>
      <c r="D389" s="96">
        <v>202608570043</v>
      </c>
      <c r="E389" s="97" t="s">
        <v>95</v>
      </c>
      <c r="F389" s="99">
        <v>5000</v>
      </c>
      <c r="G389" s="93">
        <v>46204</v>
      </c>
      <c r="H389" s="429"/>
      <c r="I389" s="429"/>
      <c r="J389" s="429"/>
      <c r="K389" s="429"/>
      <c r="L389" s="429"/>
      <c r="M389" s="429"/>
      <c r="N389" s="429"/>
      <c r="O389" s="429"/>
      <c r="P389" s="429"/>
      <c r="Q389" s="429"/>
      <c r="R389" s="429"/>
      <c r="S389" s="429"/>
      <c r="T389" s="429"/>
      <c r="U389" s="429"/>
      <c r="V389" s="429"/>
      <c r="W389" s="429"/>
      <c r="X389" s="429"/>
      <c r="Y389" s="429"/>
      <c r="Z389" s="429"/>
      <c r="AA389" s="429"/>
      <c r="AB389" s="429"/>
      <c r="AC389" s="429"/>
      <c r="AD389" s="429"/>
      <c r="AE389" s="429"/>
      <c r="AF389" s="429"/>
      <c r="AG389" s="429"/>
      <c r="AH389" s="429">
        <f t="shared" ref="AH389:AH392" si="43">F389</f>
        <v>5000</v>
      </c>
      <c r="AI389" s="429"/>
      <c r="AJ389" s="429"/>
      <c r="AK389" s="429"/>
      <c r="AL389" s="429"/>
      <c r="AM389" s="429"/>
      <c r="AN389" s="429"/>
      <c r="AO389" s="429"/>
      <c r="AP389" s="429"/>
      <c r="AQ389" s="429"/>
      <c r="AR389" s="429"/>
      <c r="AS389" s="429"/>
      <c r="AT389" s="429"/>
      <c r="AU389" s="429"/>
      <c r="AV389" s="429"/>
      <c r="AW389" s="429"/>
      <c r="AX389" s="429"/>
      <c r="AY389" s="429"/>
      <c r="AZ389" s="429"/>
      <c r="BA389" s="429"/>
      <c r="BB389" s="429"/>
      <c r="BC389" s="429"/>
      <c r="BD389" s="429"/>
      <c r="BE389" s="429"/>
      <c r="BF389" s="429"/>
      <c r="BG389" s="429"/>
      <c r="BH389" s="429"/>
      <c r="BI389" s="429"/>
      <c r="BJ389" s="429"/>
      <c r="BK389" s="429"/>
      <c r="BL389" s="429"/>
      <c r="BM389" s="429"/>
      <c r="BN389" s="429"/>
      <c r="BO389" s="429"/>
      <c r="BP389" s="102"/>
      <c r="BQ389" s="102">
        <v>2.205</v>
      </c>
      <c r="BR389" s="451">
        <f t="shared" si="35"/>
        <v>11025</v>
      </c>
      <c r="BS389" s="451">
        <f t="shared" si="42"/>
        <v>85443.75</v>
      </c>
      <c r="BT389" s="429" t="str">
        <f>IFERROR(VLOOKUP(E389,名称!A:D,4,FALSE),"")</f>
        <v>KIK</v>
      </c>
    </row>
    <row r="390" s="427" customFormat="1" hidden="1" customHeight="1" spans="1:72">
      <c r="A390" s="93">
        <v>46112</v>
      </c>
      <c r="B390" s="95" t="s">
        <v>237</v>
      </c>
      <c r="C390" s="96">
        <v>10123756</v>
      </c>
      <c r="D390" s="96">
        <v>202608570043</v>
      </c>
      <c r="E390" s="97" t="s">
        <v>183</v>
      </c>
      <c r="F390" s="99">
        <v>3000</v>
      </c>
      <c r="G390" s="93">
        <v>46246</v>
      </c>
      <c r="H390" s="429"/>
      <c r="I390" s="429"/>
      <c r="J390" s="429"/>
      <c r="K390" s="429"/>
      <c r="L390" s="429"/>
      <c r="M390" s="429"/>
      <c r="N390" s="429"/>
      <c r="O390" s="429"/>
      <c r="P390" s="429"/>
      <c r="Q390" s="429"/>
      <c r="R390" s="429"/>
      <c r="S390" s="429"/>
      <c r="T390" s="429"/>
      <c r="U390" s="429"/>
      <c r="V390" s="429"/>
      <c r="W390" s="429"/>
      <c r="X390" s="429"/>
      <c r="Y390" s="429"/>
      <c r="Z390" s="429"/>
      <c r="AA390" s="429"/>
      <c r="AB390" s="429"/>
      <c r="AC390" s="429"/>
      <c r="AD390" s="429"/>
      <c r="AE390" s="429"/>
      <c r="AF390" s="429"/>
      <c r="AG390" s="429"/>
      <c r="AH390" s="429">
        <f t="shared" si="43"/>
        <v>3000</v>
      </c>
      <c r="AI390" s="429"/>
      <c r="AJ390" s="429"/>
      <c r="AK390" s="429"/>
      <c r="AL390" s="429"/>
      <c r="AM390" s="429"/>
      <c r="AN390" s="429"/>
      <c r="AO390" s="429"/>
      <c r="AP390" s="429"/>
      <c r="AQ390" s="429"/>
      <c r="AR390" s="429"/>
      <c r="AS390" s="429"/>
      <c r="AT390" s="429"/>
      <c r="AU390" s="429"/>
      <c r="AV390" s="429"/>
      <c r="AW390" s="429"/>
      <c r="AX390" s="429"/>
      <c r="AY390" s="429"/>
      <c r="AZ390" s="429"/>
      <c r="BA390" s="429"/>
      <c r="BB390" s="429"/>
      <c r="BC390" s="429"/>
      <c r="BD390" s="429"/>
      <c r="BE390" s="429"/>
      <c r="BF390" s="429"/>
      <c r="BG390" s="429"/>
      <c r="BH390" s="429"/>
      <c r="BI390" s="429"/>
      <c r="BJ390" s="429"/>
      <c r="BK390" s="429"/>
      <c r="BL390" s="429"/>
      <c r="BM390" s="429"/>
      <c r="BN390" s="429"/>
      <c r="BO390" s="429"/>
      <c r="BP390" s="102"/>
      <c r="BQ390" s="102">
        <v>2.15</v>
      </c>
      <c r="BR390" s="451">
        <f t="shared" si="35"/>
        <v>6450</v>
      </c>
      <c r="BS390" s="451">
        <f t="shared" si="42"/>
        <v>49987.5</v>
      </c>
      <c r="BT390" s="429" t="str">
        <f>IFERROR(VLOOKUP(E390,名称!A:D,4,FALSE),"")</f>
        <v>KIK</v>
      </c>
    </row>
    <row r="391" s="425" customFormat="1" customHeight="1" spans="1:72">
      <c r="A391" s="108">
        <v>46112</v>
      </c>
      <c r="B391" s="109" t="s">
        <v>237</v>
      </c>
      <c r="C391" s="110">
        <v>10123756</v>
      </c>
      <c r="D391" s="110">
        <v>202608570043</v>
      </c>
      <c r="E391" s="30" t="s">
        <v>183</v>
      </c>
      <c r="F391" s="31">
        <f>2000-600</f>
        <v>1400</v>
      </c>
      <c r="G391" s="108">
        <v>46246</v>
      </c>
      <c r="H391" s="443"/>
      <c r="I391" s="443"/>
      <c r="J391" s="443"/>
      <c r="K391" s="443"/>
      <c r="L391" s="443"/>
      <c r="M391" s="443"/>
      <c r="N391" s="443"/>
      <c r="O391" s="443"/>
      <c r="P391" s="443"/>
      <c r="Q391" s="443"/>
      <c r="R391" s="443"/>
      <c r="S391" s="443"/>
      <c r="T391" s="443"/>
      <c r="U391" s="443"/>
      <c r="V391" s="443"/>
      <c r="W391" s="443"/>
      <c r="X391" s="443"/>
      <c r="Y391" s="443"/>
      <c r="Z391" s="443"/>
      <c r="AA391" s="443"/>
      <c r="AB391" s="443"/>
      <c r="AC391" s="443"/>
      <c r="AD391" s="443"/>
      <c r="AE391" s="443"/>
      <c r="AF391" s="443"/>
      <c r="AG391" s="443"/>
      <c r="AH391" s="443">
        <f t="shared" si="43"/>
        <v>1400</v>
      </c>
      <c r="AI391" s="443"/>
      <c r="AJ391" s="443"/>
      <c r="AK391" s="443"/>
      <c r="AL391" s="443"/>
      <c r="AM391" s="443"/>
      <c r="AN391" s="443"/>
      <c r="AO391" s="443"/>
      <c r="AP391" s="443"/>
      <c r="AQ391" s="443"/>
      <c r="AR391" s="443"/>
      <c r="AS391" s="443"/>
      <c r="AT391" s="443"/>
      <c r="AU391" s="443"/>
      <c r="AV391" s="443"/>
      <c r="AW391" s="443"/>
      <c r="AX391" s="443"/>
      <c r="AY391" s="443"/>
      <c r="AZ391" s="443"/>
      <c r="BA391" s="443"/>
      <c r="BB391" s="443"/>
      <c r="BC391" s="443"/>
      <c r="BD391" s="443"/>
      <c r="BE391" s="443"/>
      <c r="BF391" s="443"/>
      <c r="BG391" s="443"/>
      <c r="BH391" s="443"/>
      <c r="BI391" s="443"/>
      <c r="BJ391" s="443"/>
      <c r="BK391" s="443"/>
      <c r="BL391" s="443"/>
      <c r="BM391" s="443"/>
      <c r="BN391" s="443"/>
      <c r="BO391" s="443"/>
      <c r="BP391" s="92"/>
      <c r="BQ391" s="92">
        <v>2.15</v>
      </c>
      <c r="BR391" s="462">
        <f t="shared" si="35"/>
        <v>3010</v>
      </c>
      <c r="BS391" s="447">
        <f t="shared" si="42"/>
        <v>23327.5</v>
      </c>
      <c r="BT391" s="443" t="str">
        <f>IFERROR(VLOOKUP(E391,名称!A:D,4,FALSE),"")</f>
        <v>KIK</v>
      </c>
    </row>
    <row r="392" s="427" customFormat="1" customHeight="1" spans="1:72">
      <c r="A392" s="93">
        <v>46112</v>
      </c>
      <c r="B392" s="95" t="s">
        <v>237</v>
      </c>
      <c r="C392" s="96">
        <v>10123756</v>
      </c>
      <c r="D392" s="96">
        <v>202608570043</v>
      </c>
      <c r="E392" s="97" t="s">
        <v>183</v>
      </c>
      <c r="F392" s="99">
        <v>600</v>
      </c>
      <c r="G392" s="93">
        <v>46246</v>
      </c>
      <c r="H392" s="429"/>
      <c r="I392" s="429"/>
      <c r="J392" s="429"/>
      <c r="K392" s="429"/>
      <c r="L392" s="429"/>
      <c r="M392" s="429"/>
      <c r="N392" s="429"/>
      <c r="O392" s="429"/>
      <c r="P392" s="429"/>
      <c r="Q392" s="429"/>
      <c r="R392" s="429"/>
      <c r="S392" s="429"/>
      <c r="T392" s="429"/>
      <c r="U392" s="429"/>
      <c r="V392" s="429"/>
      <c r="W392" s="429"/>
      <c r="X392" s="429"/>
      <c r="Y392" s="429"/>
      <c r="Z392" s="429"/>
      <c r="AA392" s="429"/>
      <c r="AB392" s="429"/>
      <c r="AC392" s="429"/>
      <c r="AD392" s="429"/>
      <c r="AE392" s="429"/>
      <c r="AF392" s="429"/>
      <c r="AG392" s="429"/>
      <c r="AH392" s="429">
        <f t="shared" si="43"/>
        <v>600</v>
      </c>
      <c r="AI392" s="429"/>
      <c r="AJ392" s="429"/>
      <c r="AK392" s="429"/>
      <c r="AL392" s="429"/>
      <c r="AM392" s="429"/>
      <c r="AN392" s="429"/>
      <c r="AO392" s="429"/>
      <c r="AP392" s="429"/>
      <c r="AQ392" s="429"/>
      <c r="AR392" s="429"/>
      <c r="AS392" s="429"/>
      <c r="AT392" s="429"/>
      <c r="AU392" s="429"/>
      <c r="AV392" s="429"/>
      <c r="AW392" s="429"/>
      <c r="AX392" s="429"/>
      <c r="AY392" s="429"/>
      <c r="AZ392" s="429"/>
      <c r="BA392" s="429"/>
      <c r="BB392" s="429"/>
      <c r="BC392" s="429"/>
      <c r="BD392" s="429"/>
      <c r="BE392" s="429"/>
      <c r="BF392" s="429"/>
      <c r="BG392" s="429"/>
      <c r="BH392" s="429"/>
      <c r="BI392" s="429"/>
      <c r="BJ392" s="429"/>
      <c r="BK392" s="429"/>
      <c r="BL392" s="429"/>
      <c r="BM392" s="429"/>
      <c r="BN392" s="429"/>
      <c r="BO392" s="429"/>
      <c r="BP392" s="102"/>
      <c r="BQ392" s="102">
        <v>2.15</v>
      </c>
      <c r="BR392" s="451">
        <f t="shared" si="35"/>
        <v>1290</v>
      </c>
      <c r="BS392" s="451">
        <f t="shared" si="42"/>
        <v>9997.5</v>
      </c>
      <c r="BT392" s="429" t="str">
        <f>IFERROR(VLOOKUP(E392,名称!A:D,4,FALSE),"")</f>
        <v>KIK</v>
      </c>
    </row>
    <row r="393" s="427" customFormat="1" hidden="1" customHeight="1" spans="1:72">
      <c r="A393" s="93">
        <v>46112</v>
      </c>
      <c r="B393" s="95" t="s">
        <v>237</v>
      </c>
      <c r="C393" s="96">
        <v>10123756</v>
      </c>
      <c r="D393" s="96">
        <v>202608570043</v>
      </c>
      <c r="E393" s="97" t="s">
        <v>97</v>
      </c>
      <c r="F393" s="99">
        <v>5000</v>
      </c>
      <c r="G393" s="93">
        <v>46204</v>
      </c>
      <c r="H393" s="429"/>
      <c r="I393" s="429"/>
      <c r="J393" s="429"/>
      <c r="K393" s="429"/>
      <c r="L393" s="429"/>
      <c r="M393" s="429"/>
      <c r="N393" s="429"/>
      <c r="O393" s="429"/>
      <c r="P393" s="429"/>
      <c r="Q393" s="429"/>
      <c r="R393" s="429"/>
      <c r="S393" s="429"/>
      <c r="T393" s="429"/>
      <c r="U393" s="429"/>
      <c r="V393" s="429"/>
      <c r="W393" s="429"/>
      <c r="X393" s="429"/>
      <c r="Y393" s="429"/>
      <c r="Z393" s="429"/>
      <c r="AA393" s="429"/>
      <c r="AB393" s="429"/>
      <c r="AC393" s="429"/>
      <c r="AD393" s="429"/>
      <c r="AE393" s="429"/>
      <c r="AF393" s="429"/>
      <c r="AG393" s="429"/>
      <c r="AH393" s="429"/>
      <c r="AI393" s="429">
        <f>F393</f>
        <v>5000</v>
      </c>
      <c r="AJ393" s="429"/>
      <c r="AK393" s="429"/>
      <c r="AL393" s="429"/>
      <c r="AM393" s="429"/>
      <c r="AN393" s="429"/>
      <c r="AO393" s="429"/>
      <c r="AP393" s="429"/>
      <c r="AQ393" s="429"/>
      <c r="AR393" s="429"/>
      <c r="AS393" s="429"/>
      <c r="AT393" s="429"/>
      <c r="AU393" s="429"/>
      <c r="AV393" s="429"/>
      <c r="AW393" s="429"/>
      <c r="AX393" s="429"/>
      <c r="AY393" s="429"/>
      <c r="AZ393" s="429"/>
      <c r="BA393" s="429"/>
      <c r="BB393" s="429"/>
      <c r="BC393" s="429"/>
      <c r="BD393" s="429"/>
      <c r="BE393" s="429"/>
      <c r="BF393" s="429"/>
      <c r="BG393" s="429"/>
      <c r="BH393" s="429"/>
      <c r="BI393" s="429"/>
      <c r="BJ393" s="429"/>
      <c r="BK393" s="429"/>
      <c r="BL393" s="429"/>
      <c r="BM393" s="429"/>
      <c r="BN393" s="429"/>
      <c r="BO393" s="429"/>
      <c r="BP393" s="102"/>
      <c r="BQ393" s="102">
        <v>3.362</v>
      </c>
      <c r="BR393" s="451">
        <f t="shared" si="35"/>
        <v>16810</v>
      </c>
      <c r="BS393" s="451">
        <f t="shared" ref="BS393:BS412" si="44">BR393*7.75</f>
        <v>130277.5</v>
      </c>
      <c r="BT393" s="429" t="str">
        <f>IFERROR(VLOOKUP(E393,名称!A:D,4,FALSE),"")</f>
        <v>KIK</v>
      </c>
    </row>
    <row r="394" s="425" customFormat="1" hidden="1" customHeight="1" spans="1:72">
      <c r="A394" s="108">
        <v>46112</v>
      </c>
      <c r="B394" s="109" t="s">
        <v>237</v>
      </c>
      <c r="C394" s="110">
        <v>10123756</v>
      </c>
      <c r="D394" s="110">
        <v>202608570043</v>
      </c>
      <c r="E394" s="30" t="s">
        <v>184</v>
      </c>
      <c r="F394" s="31">
        <v>5000</v>
      </c>
      <c r="G394" s="463">
        <v>46246</v>
      </c>
      <c r="H394" s="443"/>
      <c r="I394" s="443"/>
      <c r="J394" s="443"/>
      <c r="K394" s="443"/>
      <c r="L394" s="443"/>
      <c r="M394" s="443"/>
      <c r="N394" s="443"/>
      <c r="O394" s="443"/>
      <c r="P394" s="443"/>
      <c r="Q394" s="443"/>
      <c r="R394" s="443"/>
      <c r="S394" s="443"/>
      <c r="T394" s="443"/>
      <c r="U394" s="443"/>
      <c r="V394" s="443"/>
      <c r="W394" s="443"/>
      <c r="X394" s="443"/>
      <c r="Y394" s="443"/>
      <c r="Z394" s="443"/>
      <c r="AA394" s="443"/>
      <c r="AB394" s="443"/>
      <c r="AC394" s="443"/>
      <c r="AD394" s="443"/>
      <c r="AE394" s="443"/>
      <c r="AF394" s="443"/>
      <c r="AG394" s="443"/>
      <c r="AH394" s="443"/>
      <c r="AI394" s="443">
        <f>F394</f>
        <v>5000</v>
      </c>
      <c r="AJ394" s="443"/>
      <c r="AK394" s="443"/>
      <c r="AL394" s="443"/>
      <c r="AM394" s="443"/>
      <c r="AN394" s="443"/>
      <c r="AO394" s="443"/>
      <c r="AP394" s="443"/>
      <c r="AQ394" s="443"/>
      <c r="AR394" s="443"/>
      <c r="AS394" s="443"/>
      <c r="AT394" s="443"/>
      <c r="AU394" s="443"/>
      <c r="AV394" s="443"/>
      <c r="AW394" s="443"/>
      <c r="AX394" s="443"/>
      <c r="AY394" s="443"/>
      <c r="AZ394" s="443"/>
      <c r="BA394" s="443"/>
      <c r="BB394" s="443"/>
      <c r="BC394" s="443"/>
      <c r="BD394" s="443"/>
      <c r="BE394" s="443"/>
      <c r="BF394" s="443"/>
      <c r="BG394" s="443"/>
      <c r="BH394" s="443"/>
      <c r="BI394" s="443"/>
      <c r="BJ394" s="443"/>
      <c r="BK394" s="443"/>
      <c r="BL394" s="443"/>
      <c r="BM394" s="443"/>
      <c r="BN394" s="443"/>
      <c r="BO394" s="443"/>
      <c r="BP394" s="92"/>
      <c r="BQ394" s="92">
        <v>3.354</v>
      </c>
      <c r="BR394" s="462">
        <f t="shared" si="35"/>
        <v>16770</v>
      </c>
      <c r="BS394" s="447">
        <f t="shared" si="44"/>
        <v>129967.5</v>
      </c>
      <c r="BT394" s="443" t="str">
        <f>IFERROR(VLOOKUP(E394,名称!A:D,4,FALSE),"")</f>
        <v>KIK</v>
      </c>
    </row>
    <row r="395" s="427" customFormat="1" hidden="1" customHeight="1" spans="1:72">
      <c r="A395" s="93">
        <v>46112</v>
      </c>
      <c r="B395" s="95" t="s">
        <v>237</v>
      </c>
      <c r="C395" s="96">
        <v>10123752</v>
      </c>
      <c r="D395" s="96">
        <v>202608670036</v>
      </c>
      <c r="E395" s="97" t="s">
        <v>129</v>
      </c>
      <c r="F395" s="99">
        <v>10008</v>
      </c>
      <c r="G395" s="93">
        <v>46197</v>
      </c>
      <c r="H395" s="429"/>
      <c r="I395" s="429">
        <f>F395</f>
        <v>10008</v>
      </c>
      <c r="J395" s="429"/>
      <c r="K395" s="429"/>
      <c r="L395" s="429"/>
      <c r="M395" s="429"/>
      <c r="N395" s="429"/>
      <c r="O395" s="429"/>
      <c r="P395" s="429"/>
      <c r="Q395" s="429"/>
      <c r="R395" s="429"/>
      <c r="S395" s="429"/>
      <c r="T395" s="429"/>
      <c r="U395" s="429"/>
      <c r="V395" s="429"/>
      <c r="W395" s="429"/>
      <c r="X395" s="429"/>
      <c r="Y395" s="429"/>
      <c r="Z395" s="429"/>
      <c r="AA395" s="429"/>
      <c r="AB395" s="429"/>
      <c r="AC395" s="429"/>
      <c r="AD395" s="429"/>
      <c r="AE395" s="429"/>
      <c r="AF395" s="429"/>
      <c r="AG395" s="429"/>
      <c r="AH395" s="429"/>
      <c r="AI395" s="429"/>
      <c r="AJ395" s="429"/>
      <c r="AK395" s="429"/>
      <c r="AL395" s="429"/>
      <c r="AM395" s="429"/>
      <c r="AN395" s="429"/>
      <c r="AO395" s="429"/>
      <c r="AP395" s="429"/>
      <c r="AQ395" s="429"/>
      <c r="AR395" s="429"/>
      <c r="AS395" s="429"/>
      <c r="AT395" s="429"/>
      <c r="AU395" s="429"/>
      <c r="AV395" s="429"/>
      <c r="AW395" s="429"/>
      <c r="AX395" s="429"/>
      <c r="AY395" s="429"/>
      <c r="AZ395" s="429"/>
      <c r="BA395" s="429"/>
      <c r="BB395" s="429"/>
      <c r="BC395" s="429"/>
      <c r="BD395" s="429"/>
      <c r="BE395" s="429"/>
      <c r="BF395" s="429"/>
      <c r="BG395" s="429"/>
      <c r="BH395" s="429"/>
      <c r="BI395" s="429"/>
      <c r="BJ395" s="429"/>
      <c r="BK395" s="429"/>
      <c r="BL395" s="429"/>
      <c r="BM395" s="429"/>
      <c r="BN395" s="429"/>
      <c r="BO395" s="429"/>
      <c r="BP395" s="102"/>
      <c r="BQ395" s="102">
        <v>0.324</v>
      </c>
      <c r="BR395" s="451">
        <f t="shared" ref="BR393:BR456" si="45">SUM(H395:BP395)*BQ395</f>
        <v>3242.59</v>
      </c>
      <c r="BS395" s="451">
        <f t="shared" si="44"/>
        <v>25130.07</v>
      </c>
      <c r="BT395" s="429" t="str">
        <f>IFERROR(VLOOKUP(E395,名称!A:D,4,FALSE),"")</f>
        <v>KIK</v>
      </c>
    </row>
    <row r="396" s="427" customFormat="1" hidden="1" customHeight="1" spans="1:72">
      <c r="A396" s="93">
        <v>46112</v>
      </c>
      <c r="B396" s="95" t="s">
        <v>237</v>
      </c>
      <c r="C396" s="96">
        <v>10123703</v>
      </c>
      <c r="D396" s="96">
        <v>202608570045</v>
      </c>
      <c r="E396" s="97" t="s">
        <v>88</v>
      </c>
      <c r="F396" s="99">
        <v>10008</v>
      </c>
      <c r="G396" s="93">
        <v>46197</v>
      </c>
      <c r="H396" s="429"/>
      <c r="I396" s="429"/>
      <c r="J396" s="429"/>
      <c r="K396" s="429"/>
      <c r="L396" s="429"/>
      <c r="M396" s="429"/>
      <c r="N396" s="429"/>
      <c r="O396" s="429"/>
      <c r="P396" s="429"/>
      <c r="Q396" s="429"/>
      <c r="R396" s="429"/>
      <c r="S396" s="429"/>
      <c r="T396" s="429"/>
      <c r="U396" s="429"/>
      <c r="V396" s="429"/>
      <c r="W396" s="429"/>
      <c r="X396" s="429"/>
      <c r="Y396" s="429"/>
      <c r="Z396" s="429"/>
      <c r="AA396" s="429"/>
      <c r="AB396" s="429"/>
      <c r="AC396" s="429"/>
      <c r="AD396" s="429"/>
      <c r="AE396" s="429">
        <f>F396</f>
        <v>10008</v>
      </c>
      <c r="AF396" s="429"/>
      <c r="AG396" s="429"/>
      <c r="AH396" s="429"/>
      <c r="AI396" s="429"/>
      <c r="AJ396" s="429"/>
      <c r="AK396" s="429"/>
      <c r="AL396" s="429"/>
      <c r="AM396" s="429"/>
      <c r="AN396" s="429"/>
      <c r="AO396" s="429"/>
      <c r="AP396" s="429"/>
      <c r="AQ396" s="429"/>
      <c r="AR396" s="429"/>
      <c r="AS396" s="429"/>
      <c r="AT396" s="429"/>
      <c r="AU396" s="429"/>
      <c r="AV396" s="429"/>
      <c r="AW396" s="429"/>
      <c r="AX396" s="429"/>
      <c r="AY396" s="429"/>
      <c r="AZ396" s="429"/>
      <c r="BA396" s="429"/>
      <c r="BB396" s="429"/>
      <c r="BC396" s="429"/>
      <c r="BD396" s="429"/>
      <c r="BE396" s="429"/>
      <c r="BF396" s="429"/>
      <c r="BG396" s="429"/>
      <c r="BH396" s="429"/>
      <c r="BI396" s="429"/>
      <c r="BJ396" s="429"/>
      <c r="BK396" s="429"/>
      <c r="BL396" s="429"/>
      <c r="BM396" s="429"/>
      <c r="BN396" s="429"/>
      <c r="BO396" s="429"/>
      <c r="BP396" s="102"/>
      <c r="BQ396" s="102">
        <v>0.963</v>
      </c>
      <c r="BR396" s="451">
        <f t="shared" si="45"/>
        <v>9637.7</v>
      </c>
      <c r="BS396" s="451">
        <f t="shared" si="44"/>
        <v>74692.18</v>
      </c>
      <c r="BT396" s="429" t="str">
        <f>IFERROR(VLOOKUP(E396,名称!A:D,4,FALSE),"")</f>
        <v>KIK</v>
      </c>
    </row>
    <row r="397" s="427" customFormat="1" hidden="1" customHeight="1" spans="1:72">
      <c r="A397" s="93">
        <v>46112</v>
      </c>
      <c r="B397" s="95" t="s">
        <v>248</v>
      </c>
      <c r="C397" s="96">
        <v>10123697</v>
      </c>
      <c r="D397" s="96">
        <v>4500032554</v>
      </c>
      <c r="E397" s="97" t="s">
        <v>95</v>
      </c>
      <c r="F397" s="99">
        <v>500</v>
      </c>
      <c r="G397" s="93">
        <v>46232</v>
      </c>
      <c r="H397" s="429"/>
      <c r="I397" s="429"/>
      <c r="J397" s="429"/>
      <c r="K397" s="429"/>
      <c r="L397" s="429"/>
      <c r="M397" s="429"/>
      <c r="N397" s="429"/>
      <c r="O397" s="429"/>
      <c r="P397" s="429"/>
      <c r="Q397" s="429"/>
      <c r="R397" s="429"/>
      <c r="S397" s="429"/>
      <c r="T397" s="429"/>
      <c r="U397" s="429"/>
      <c r="V397" s="429"/>
      <c r="W397" s="429"/>
      <c r="X397" s="429"/>
      <c r="Y397" s="429"/>
      <c r="Z397" s="429"/>
      <c r="AA397" s="429"/>
      <c r="AB397" s="429"/>
      <c r="AC397" s="429"/>
      <c r="AD397" s="429"/>
      <c r="AE397" s="429"/>
      <c r="AF397" s="429"/>
      <c r="AG397" s="429"/>
      <c r="AH397" s="429">
        <f>F397</f>
        <v>500</v>
      </c>
      <c r="AI397" s="429"/>
      <c r="AJ397" s="429"/>
      <c r="AK397" s="429"/>
      <c r="AL397" s="429"/>
      <c r="AM397" s="429"/>
      <c r="AN397" s="429"/>
      <c r="AO397" s="429"/>
      <c r="AP397" s="429"/>
      <c r="AQ397" s="429"/>
      <c r="AR397" s="429"/>
      <c r="AS397" s="429"/>
      <c r="AT397" s="429"/>
      <c r="AU397" s="429"/>
      <c r="AV397" s="429"/>
      <c r="AW397" s="429"/>
      <c r="AX397" s="429"/>
      <c r="AY397" s="429"/>
      <c r="AZ397" s="429"/>
      <c r="BA397" s="429"/>
      <c r="BB397" s="429"/>
      <c r="BC397" s="429"/>
      <c r="BD397" s="429"/>
      <c r="BE397" s="429"/>
      <c r="BF397" s="429"/>
      <c r="BG397" s="429"/>
      <c r="BH397" s="429"/>
      <c r="BI397" s="429"/>
      <c r="BJ397" s="429"/>
      <c r="BK397" s="429"/>
      <c r="BL397" s="429"/>
      <c r="BM397" s="429"/>
      <c r="BN397" s="429"/>
      <c r="BO397" s="429"/>
      <c r="BP397" s="102"/>
      <c r="BQ397" s="102">
        <v>2.205</v>
      </c>
      <c r="BR397" s="451">
        <f t="shared" si="45"/>
        <v>1102.5</v>
      </c>
      <c r="BS397" s="451">
        <f t="shared" si="44"/>
        <v>8544.38</v>
      </c>
      <c r="BT397" s="429" t="str">
        <f>IFERROR(VLOOKUP(E397,名称!A:D,4,FALSE),"")</f>
        <v>KIK</v>
      </c>
    </row>
    <row r="398" s="427" customFormat="1" hidden="1" customHeight="1" spans="1:72">
      <c r="A398" s="93">
        <v>46112</v>
      </c>
      <c r="B398" s="95" t="s">
        <v>248</v>
      </c>
      <c r="C398" s="96">
        <v>10123697</v>
      </c>
      <c r="D398" s="96">
        <v>4500032554</v>
      </c>
      <c r="E398" s="97" t="s">
        <v>182</v>
      </c>
      <c r="F398" s="99">
        <v>720</v>
      </c>
      <c r="G398" s="93">
        <v>46232</v>
      </c>
      <c r="H398" s="429"/>
      <c r="I398" s="429"/>
      <c r="J398" s="429"/>
      <c r="K398" s="429"/>
      <c r="L398" s="429"/>
      <c r="M398" s="429"/>
      <c r="N398" s="429"/>
      <c r="O398" s="429"/>
      <c r="P398" s="429"/>
      <c r="Q398" s="429"/>
      <c r="R398" s="429"/>
      <c r="S398" s="429"/>
      <c r="T398" s="429"/>
      <c r="U398" s="429"/>
      <c r="V398" s="429"/>
      <c r="W398" s="429"/>
      <c r="X398" s="429"/>
      <c r="Y398" s="429"/>
      <c r="Z398" s="429"/>
      <c r="AA398" s="429"/>
      <c r="AB398" s="429"/>
      <c r="AC398" s="429"/>
      <c r="AD398" s="429"/>
      <c r="AE398" s="429"/>
      <c r="AF398" s="429">
        <f>F398/6*4</f>
        <v>480</v>
      </c>
      <c r="AG398" s="429">
        <f>F398/6*2</f>
        <v>240</v>
      </c>
      <c r="AH398" s="429"/>
      <c r="AI398" s="429"/>
      <c r="AJ398" s="429"/>
      <c r="AK398" s="429"/>
      <c r="AL398" s="429"/>
      <c r="AM398" s="429"/>
      <c r="AN398" s="429"/>
      <c r="AO398" s="429"/>
      <c r="AP398" s="429"/>
      <c r="AQ398" s="429"/>
      <c r="AR398" s="429"/>
      <c r="AS398" s="429"/>
      <c r="AT398" s="429"/>
      <c r="AU398" s="429"/>
      <c r="AV398" s="429"/>
      <c r="AW398" s="429"/>
      <c r="AX398" s="429"/>
      <c r="AY398" s="429"/>
      <c r="AZ398" s="429"/>
      <c r="BA398" s="429"/>
      <c r="BB398" s="429"/>
      <c r="BC398" s="429"/>
      <c r="BD398" s="429"/>
      <c r="BE398" s="429"/>
      <c r="BF398" s="429"/>
      <c r="BG398" s="429"/>
      <c r="BH398" s="429"/>
      <c r="BI398" s="429"/>
      <c r="BJ398" s="429"/>
      <c r="BK398" s="429"/>
      <c r="BL398" s="429"/>
      <c r="BM398" s="429"/>
      <c r="BN398" s="429"/>
      <c r="BO398" s="429"/>
      <c r="BP398" s="102"/>
      <c r="BQ398" s="102">
        <v>1.405</v>
      </c>
      <c r="BR398" s="451">
        <f t="shared" si="45"/>
        <v>1011.6</v>
      </c>
      <c r="BS398" s="451">
        <f t="shared" si="44"/>
        <v>7839.9</v>
      </c>
      <c r="BT398" s="429" t="str">
        <f>IFERROR(VLOOKUP(E398,名称!A:D,4,FALSE),"")</f>
        <v>KIK</v>
      </c>
    </row>
    <row r="399" s="427" customFormat="1" hidden="1" customHeight="1" spans="1:72">
      <c r="A399" s="93">
        <v>46112</v>
      </c>
      <c r="B399" s="95" t="s">
        <v>248</v>
      </c>
      <c r="C399" s="96">
        <v>10123689</v>
      </c>
      <c r="D399" s="96">
        <v>4500032549</v>
      </c>
      <c r="E399" s="97" t="s">
        <v>97</v>
      </c>
      <c r="F399" s="99">
        <v>4200</v>
      </c>
      <c r="G399" s="93">
        <v>46218</v>
      </c>
      <c r="H399" s="429"/>
      <c r="I399" s="429"/>
      <c r="J399" s="429"/>
      <c r="K399" s="429"/>
      <c r="L399" s="429"/>
      <c r="M399" s="429"/>
      <c r="N399" s="429"/>
      <c r="O399" s="429"/>
      <c r="P399" s="429"/>
      <c r="Q399" s="429"/>
      <c r="R399" s="429"/>
      <c r="S399" s="429"/>
      <c r="T399" s="429"/>
      <c r="U399" s="429"/>
      <c r="V399" s="429"/>
      <c r="W399" s="429"/>
      <c r="X399" s="429"/>
      <c r="Y399" s="429"/>
      <c r="Z399" s="429"/>
      <c r="AA399" s="429"/>
      <c r="AB399" s="429"/>
      <c r="AC399" s="429"/>
      <c r="AD399" s="429"/>
      <c r="AE399" s="429"/>
      <c r="AF399" s="429"/>
      <c r="AG399" s="429"/>
      <c r="AH399" s="429"/>
      <c r="AI399" s="429">
        <f>F399</f>
        <v>4200</v>
      </c>
      <c r="AJ399" s="429"/>
      <c r="AK399" s="429"/>
      <c r="AL399" s="429"/>
      <c r="AM399" s="429"/>
      <c r="AN399" s="429"/>
      <c r="AO399" s="429"/>
      <c r="AP399" s="429"/>
      <c r="AQ399" s="429"/>
      <c r="AR399" s="429"/>
      <c r="AS399" s="429"/>
      <c r="AT399" s="429"/>
      <c r="AU399" s="429"/>
      <c r="AV399" s="429"/>
      <c r="AW399" s="429"/>
      <c r="AX399" s="429"/>
      <c r="AY399" s="429"/>
      <c r="AZ399" s="429"/>
      <c r="BA399" s="429"/>
      <c r="BB399" s="429"/>
      <c r="BC399" s="429"/>
      <c r="BD399" s="429"/>
      <c r="BE399" s="429"/>
      <c r="BF399" s="429"/>
      <c r="BG399" s="429"/>
      <c r="BH399" s="429"/>
      <c r="BI399" s="429"/>
      <c r="BJ399" s="429"/>
      <c r="BK399" s="429"/>
      <c r="BL399" s="429"/>
      <c r="BM399" s="429"/>
      <c r="BN399" s="429"/>
      <c r="BO399" s="429"/>
      <c r="BP399" s="102"/>
      <c r="BQ399" s="102">
        <v>3.362</v>
      </c>
      <c r="BR399" s="451">
        <f t="shared" si="45"/>
        <v>14120.4</v>
      </c>
      <c r="BS399" s="451">
        <f t="shared" si="44"/>
        <v>109433.1</v>
      </c>
      <c r="BT399" s="429" t="str">
        <f>IFERROR(VLOOKUP(E399,名称!A:D,4,FALSE),"")</f>
        <v>KIK</v>
      </c>
    </row>
    <row r="400" s="427" customFormat="1" hidden="1" customHeight="1" spans="1:72">
      <c r="A400" s="93">
        <v>46112</v>
      </c>
      <c r="B400" s="95" t="s">
        <v>248</v>
      </c>
      <c r="C400" s="96">
        <v>10123689</v>
      </c>
      <c r="D400" s="96">
        <v>4500032549</v>
      </c>
      <c r="E400" s="97" t="s">
        <v>153</v>
      </c>
      <c r="F400" s="99">
        <v>1200</v>
      </c>
      <c r="G400" s="93">
        <v>46204</v>
      </c>
      <c r="H400" s="429"/>
      <c r="I400" s="429"/>
      <c r="J400" s="429"/>
      <c r="K400" s="429"/>
      <c r="L400" s="429"/>
      <c r="M400" s="429"/>
      <c r="N400" s="429"/>
      <c r="O400" s="429"/>
      <c r="P400" s="429"/>
      <c r="Q400" s="429"/>
      <c r="R400" s="429"/>
      <c r="S400" s="429"/>
      <c r="T400" s="429"/>
      <c r="U400" s="429"/>
      <c r="V400" s="429"/>
      <c r="W400" s="429"/>
      <c r="X400" s="429"/>
      <c r="Y400" s="429"/>
      <c r="Z400" s="429"/>
      <c r="AA400" s="429"/>
      <c r="AB400" s="429"/>
      <c r="AC400" s="429"/>
      <c r="AD400" s="429"/>
      <c r="AE400" s="429"/>
      <c r="AF400" s="429"/>
      <c r="AG400" s="429">
        <f>F400</f>
        <v>1200</v>
      </c>
      <c r="AH400" s="429"/>
      <c r="AI400" s="429"/>
      <c r="AJ400" s="429"/>
      <c r="AK400" s="429"/>
      <c r="AL400" s="429"/>
      <c r="AM400" s="429"/>
      <c r="AN400" s="429"/>
      <c r="AO400" s="429"/>
      <c r="AP400" s="429"/>
      <c r="AQ400" s="429"/>
      <c r="AR400" s="429"/>
      <c r="AS400" s="429"/>
      <c r="AT400" s="429"/>
      <c r="AU400" s="429"/>
      <c r="AV400" s="429"/>
      <c r="AW400" s="429"/>
      <c r="AX400" s="429"/>
      <c r="AY400" s="429"/>
      <c r="AZ400" s="429"/>
      <c r="BA400" s="429"/>
      <c r="BB400" s="429"/>
      <c r="BC400" s="429"/>
      <c r="BD400" s="429"/>
      <c r="BE400" s="429"/>
      <c r="BF400" s="429"/>
      <c r="BG400" s="429"/>
      <c r="BH400" s="429"/>
      <c r="BI400" s="429"/>
      <c r="BJ400" s="429"/>
      <c r="BK400" s="429"/>
      <c r="BL400" s="429"/>
      <c r="BM400" s="429"/>
      <c r="BN400" s="429"/>
      <c r="BO400" s="429"/>
      <c r="BP400" s="102"/>
      <c r="BQ400" s="102">
        <v>1.324</v>
      </c>
      <c r="BR400" s="451">
        <f t="shared" si="45"/>
        <v>1588.8</v>
      </c>
      <c r="BS400" s="451">
        <f t="shared" si="44"/>
        <v>12313.2</v>
      </c>
      <c r="BT400" s="429" t="str">
        <f>IFERROR(VLOOKUP(E400,名称!A:D,4,FALSE),"")</f>
        <v>KIK</v>
      </c>
    </row>
    <row r="401" s="427" customFormat="1" hidden="1" customHeight="1" spans="1:72">
      <c r="A401" s="93">
        <v>46112</v>
      </c>
      <c r="B401" s="95" t="s">
        <v>248</v>
      </c>
      <c r="C401" s="96">
        <v>10123689</v>
      </c>
      <c r="D401" s="96">
        <v>4500032549</v>
      </c>
      <c r="E401" s="97" t="s">
        <v>182</v>
      </c>
      <c r="F401" s="99">
        <f>3000-1500</f>
        <v>1500</v>
      </c>
      <c r="G401" s="93">
        <v>46204</v>
      </c>
      <c r="H401" s="429"/>
      <c r="I401" s="429"/>
      <c r="J401" s="429"/>
      <c r="K401" s="429"/>
      <c r="L401" s="429"/>
      <c r="M401" s="429"/>
      <c r="N401" s="429"/>
      <c r="O401" s="429"/>
      <c r="P401" s="429"/>
      <c r="Q401" s="429"/>
      <c r="R401" s="429"/>
      <c r="S401" s="429"/>
      <c r="T401" s="429"/>
      <c r="U401" s="429"/>
      <c r="V401" s="429"/>
      <c r="W401" s="429"/>
      <c r="X401" s="429"/>
      <c r="Y401" s="429"/>
      <c r="Z401" s="429"/>
      <c r="AA401" s="429"/>
      <c r="AB401" s="429"/>
      <c r="AC401" s="429"/>
      <c r="AD401" s="429"/>
      <c r="AE401" s="429"/>
      <c r="AF401" s="429">
        <f>F401/6*4</f>
        <v>1000</v>
      </c>
      <c r="AG401" s="429">
        <f>F401/6*2</f>
        <v>500</v>
      </c>
      <c r="AH401" s="429"/>
      <c r="AI401" s="429"/>
      <c r="AJ401" s="429"/>
      <c r="AK401" s="429"/>
      <c r="AL401" s="429"/>
      <c r="AM401" s="429"/>
      <c r="AN401" s="429"/>
      <c r="AO401" s="429"/>
      <c r="AP401" s="429"/>
      <c r="AQ401" s="429"/>
      <c r="AR401" s="429"/>
      <c r="AS401" s="429"/>
      <c r="AT401" s="429"/>
      <c r="AU401" s="429"/>
      <c r="AV401" s="429"/>
      <c r="AW401" s="429"/>
      <c r="AX401" s="429"/>
      <c r="AY401" s="429"/>
      <c r="AZ401" s="429"/>
      <c r="BA401" s="429"/>
      <c r="BB401" s="429"/>
      <c r="BC401" s="429"/>
      <c r="BD401" s="429"/>
      <c r="BE401" s="429"/>
      <c r="BF401" s="429"/>
      <c r="BG401" s="429"/>
      <c r="BH401" s="429"/>
      <c r="BI401" s="429"/>
      <c r="BJ401" s="429"/>
      <c r="BK401" s="429"/>
      <c r="BL401" s="429"/>
      <c r="BM401" s="429"/>
      <c r="BN401" s="429"/>
      <c r="BO401" s="429"/>
      <c r="BP401" s="102"/>
      <c r="BQ401" s="102">
        <v>1.405</v>
      </c>
      <c r="BR401" s="451">
        <f t="shared" si="45"/>
        <v>2107.5</v>
      </c>
      <c r="BS401" s="451">
        <f t="shared" si="44"/>
        <v>16333.13</v>
      </c>
      <c r="BT401" s="429" t="str">
        <f>IFERROR(VLOOKUP(E401,名称!A:D,4,FALSE),"")</f>
        <v>KIK</v>
      </c>
    </row>
    <row r="402" s="427" customFormat="1" hidden="1" customHeight="1" spans="1:72">
      <c r="A402" s="93">
        <v>46112</v>
      </c>
      <c r="B402" s="95" t="s">
        <v>248</v>
      </c>
      <c r="C402" s="96">
        <v>10123689</v>
      </c>
      <c r="D402" s="96">
        <v>4500032549</v>
      </c>
      <c r="E402" s="97" t="s">
        <v>91</v>
      </c>
      <c r="F402" s="99">
        <v>1500</v>
      </c>
      <c r="G402" s="93">
        <v>46218</v>
      </c>
      <c r="H402" s="429"/>
      <c r="I402" s="429"/>
      <c r="J402" s="429"/>
      <c r="K402" s="429"/>
      <c r="L402" s="429"/>
      <c r="M402" s="429"/>
      <c r="N402" s="429"/>
      <c r="O402" s="429"/>
      <c r="P402" s="429"/>
      <c r="Q402" s="429"/>
      <c r="R402" s="429"/>
      <c r="S402" s="429"/>
      <c r="T402" s="429"/>
      <c r="U402" s="429"/>
      <c r="V402" s="429"/>
      <c r="W402" s="429"/>
      <c r="X402" s="429"/>
      <c r="Y402" s="429"/>
      <c r="Z402" s="429"/>
      <c r="AA402" s="429"/>
      <c r="AB402" s="429"/>
      <c r="AC402" s="429"/>
      <c r="AD402" s="429"/>
      <c r="AE402" s="429"/>
      <c r="AF402" s="429">
        <f>F402</f>
        <v>1500</v>
      </c>
      <c r="AG402" s="429"/>
      <c r="AH402" s="429"/>
      <c r="AI402" s="429"/>
      <c r="AJ402" s="429"/>
      <c r="AK402" s="429"/>
      <c r="AL402" s="429"/>
      <c r="AM402" s="429"/>
      <c r="AN402" s="429"/>
      <c r="AO402" s="429"/>
      <c r="AP402" s="429"/>
      <c r="AQ402" s="429"/>
      <c r="AR402" s="429"/>
      <c r="AS402" s="429"/>
      <c r="AT402" s="429"/>
      <c r="AU402" s="429"/>
      <c r="AV402" s="429"/>
      <c r="AW402" s="429"/>
      <c r="AX402" s="429"/>
      <c r="AY402" s="429"/>
      <c r="AZ402" s="429"/>
      <c r="BA402" s="429"/>
      <c r="BB402" s="429"/>
      <c r="BC402" s="429"/>
      <c r="BD402" s="429"/>
      <c r="BE402" s="429"/>
      <c r="BF402" s="429"/>
      <c r="BG402" s="429"/>
      <c r="BH402" s="429"/>
      <c r="BI402" s="429"/>
      <c r="BJ402" s="429"/>
      <c r="BK402" s="429"/>
      <c r="BL402" s="429"/>
      <c r="BM402" s="429"/>
      <c r="BN402" s="429"/>
      <c r="BO402" s="429"/>
      <c r="BP402" s="102"/>
      <c r="BQ402" s="102">
        <v>1.451</v>
      </c>
      <c r="BR402" s="451">
        <f t="shared" si="45"/>
        <v>2176.5</v>
      </c>
      <c r="BS402" s="451">
        <f t="shared" si="44"/>
        <v>16867.88</v>
      </c>
      <c r="BT402" s="429" t="str">
        <f>IFERROR(VLOOKUP(E402,名称!A:D,4,FALSE),"")</f>
        <v>KIK</v>
      </c>
    </row>
    <row r="403" s="427" customFormat="1" hidden="1" customHeight="1" spans="1:72">
      <c r="A403" s="93">
        <v>46112</v>
      </c>
      <c r="B403" s="95" t="s">
        <v>237</v>
      </c>
      <c r="C403" s="96">
        <v>10123753</v>
      </c>
      <c r="D403" s="96">
        <v>202608670037</v>
      </c>
      <c r="E403" s="97" t="s">
        <v>52</v>
      </c>
      <c r="F403" s="99">
        <v>3900</v>
      </c>
      <c r="G403" s="93">
        <v>46183</v>
      </c>
      <c r="H403" s="429"/>
      <c r="I403" s="429"/>
      <c r="J403" s="429"/>
      <c r="K403" s="429">
        <f>F403</f>
        <v>3900</v>
      </c>
      <c r="L403" s="429"/>
      <c r="M403" s="429"/>
      <c r="N403" s="429"/>
      <c r="O403" s="429"/>
      <c r="P403" s="429"/>
      <c r="Q403" s="429"/>
      <c r="R403" s="429"/>
      <c r="S403" s="429"/>
      <c r="T403" s="429"/>
      <c r="U403" s="429"/>
      <c r="V403" s="429"/>
      <c r="W403" s="429"/>
      <c r="X403" s="429"/>
      <c r="Y403" s="429"/>
      <c r="Z403" s="429"/>
      <c r="AA403" s="429"/>
      <c r="AB403" s="429"/>
      <c r="AC403" s="429"/>
      <c r="AD403" s="429"/>
      <c r="AE403" s="429"/>
      <c r="AF403" s="429"/>
      <c r="AG403" s="429"/>
      <c r="AH403" s="429"/>
      <c r="AI403" s="429"/>
      <c r="AJ403" s="429"/>
      <c r="AK403" s="429"/>
      <c r="AL403" s="429"/>
      <c r="AM403" s="429"/>
      <c r="AN403" s="429"/>
      <c r="AO403" s="429"/>
      <c r="AP403" s="429"/>
      <c r="AQ403" s="429"/>
      <c r="AR403" s="429"/>
      <c r="AS403" s="429"/>
      <c r="AT403" s="429"/>
      <c r="AU403" s="429"/>
      <c r="AV403" s="429"/>
      <c r="AW403" s="429"/>
      <c r="AX403" s="429"/>
      <c r="AY403" s="429"/>
      <c r="AZ403" s="429"/>
      <c r="BA403" s="429"/>
      <c r="BB403" s="429"/>
      <c r="BC403" s="429"/>
      <c r="BD403" s="429"/>
      <c r="BE403" s="429"/>
      <c r="BF403" s="429"/>
      <c r="BG403" s="429"/>
      <c r="BH403" s="429"/>
      <c r="BI403" s="429"/>
      <c r="BJ403" s="429"/>
      <c r="BK403" s="429"/>
      <c r="BL403" s="429"/>
      <c r="BM403" s="429"/>
      <c r="BN403" s="429"/>
      <c r="BO403" s="429"/>
      <c r="BP403" s="102"/>
      <c r="BQ403" s="102">
        <v>2.001</v>
      </c>
      <c r="BR403" s="451">
        <f t="shared" si="45"/>
        <v>7803.9</v>
      </c>
      <c r="BS403" s="451">
        <f t="shared" si="44"/>
        <v>60480.23</v>
      </c>
      <c r="BT403" s="429" t="str">
        <f>IFERROR(VLOOKUP(E403,名称!A:D,4,FALSE),"")</f>
        <v>KIK</v>
      </c>
    </row>
    <row r="404" s="427" customFormat="1" hidden="1" customHeight="1" spans="1:72">
      <c r="A404" s="93">
        <v>46112</v>
      </c>
      <c r="B404" s="95" t="s">
        <v>237</v>
      </c>
      <c r="C404" s="96">
        <v>10123753</v>
      </c>
      <c r="D404" s="96">
        <v>202608670037</v>
      </c>
      <c r="E404" s="97" t="s">
        <v>52</v>
      </c>
      <c r="F404" s="99">
        <v>1104</v>
      </c>
      <c r="G404" s="93">
        <v>46197</v>
      </c>
      <c r="H404" s="429"/>
      <c r="I404" s="429"/>
      <c r="J404" s="429"/>
      <c r="K404" s="429">
        <f>F404</f>
        <v>1104</v>
      </c>
      <c r="L404" s="429"/>
      <c r="M404" s="429"/>
      <c r="N404" s="429"/>
      <c r="O404" s="429"/>
      <c r="P404" s="429"/>
      <c r="Q404" s="429"/>
      <c r="R404" s="429"/>
      <c r="S404" s="429"/>
      <c r="T404" s="429"/>
      <c r="U404" s="429"/>
      <c r="V404" s="429"/>
      <c r="W404" s="429"/>
      <c r="X404" s="429"/>
      <c r="Y404" s="429"/>
      <c r="Z404" s="429"/>
      <c r="AA404" s="429"/>
      <c r="AB404" s="429"/>
      <c r="AC404" s="429"/>
      <c r="AD404" s="429"/>
      <c r="AE404" s="429"/>
      <c r="AF404" s="429"/>
      <c r="AG404" s="429"/>
      <c r="AH404" s="429"/>
      <c r="AI404" s="429"/>
      <c r="AJ404" s="429"/>
      <c r="AK404" s="429"/>
      <c r="AL404" s="429"/>
      <c r="AM404" s="429"/>
      <c r="AN404" s="429"/>
      <c r="AO404" s="429"/>
      <c r="AP404" s="429"/>
      <c r="AQ404" s="429"/>
      <c r="AR404" s="429"/>
      <c r="AS404" s="429"/>
      <c r="AT404" s="429"/>
      <c r="AU404" s="429"/>
      <c r="AV404" s="429"/>
      <c r="AW404" s="429"/>
      <c r="AX404" s="429"/>
      <c r="AY404" s="429"/>
      <c r="AZ404" s="429"/>
      <c r="BA404" s="429"/>
      <c r="BB404" s="429"/>
      <c r="BC404" s="429"/>
      <c r="BD404" s="429"/>
      <c r="BE404" s="429"/>
      <c r="BF404" s="429"/>
      <c r="BG404" s="429"/>
      <c r="BH404" s="429"/>
      <c r="BI404" s="429"/>
      <c r="BJ404" s="429"/>
      <c r="BK404" s="429"/>
      <c r="BL404" s="429"/>
      <c r="BM404" s="429"/>
      <c r="BN404" s="429"/>
      <c r="BO404" s="429"/>
      <c r="BP404" s="102"/>
      <c r="BQ404" s="102">
        <v>2.001</v>
      </c>
      <c r="BR404" s="451">
        <f t="shared" si="45"/>
        <v>2209.1</v>
      </c>
      <c r="BS404" s="451">
        <f t="shared" si="44"/>
        <v>17120.53</v>
      </c>
      <c r="BT404" s="429" t="str">
        <f>IFERROR(VLOOKUP(E404,名称!A:D,4,FALSE),"")</f>
        <v>KIK</v>
      </c>
    </row>
    <row r="405" s="427" customFormat="1" hidden="1" customHeight="1" spans="1:72">
      <c r="A405" s="93">
        <v>46114</v>
      </c>
      <c r="B405" s="95" t="s">
        <v>237</v>
      </c>
      <c r="C405" s="96">
        <v>10124073</v>
      </c>
      <c r="D405" s="96" t="s">
        <v>272</v>
      </c>
      <c r="E405" s="97" t="s">
        <v>35</v>
      </c>
      <c r="F405" s="99">
        <v>150</v>
      </c>
      <c r="G405" s="93">
        <v>46176</v>
      </c>
      <c r="H405" s="429"/>
      <c r="I405" s="429"/>
      <c r="J405" s="429"/>
      <c r="K405" s="429"/>
      <c r="L405" s="429"/>
      <c r="M405" s="429"/>
      <c r="N405" s="429"/>
      <c r="O405" s="429"/>
      <c r="P405" s="429"/>
      <c r="Q405" s="429"/>
      <c r="R405" s="429"/>
      <c r="S405" s="429"/>
      <c r="T405" s="429"/>
      <c r="U405" s="429"/>
      <c r="V405" s="429"/>
      <c r="W405" s="429"/>
      <c r="X405" s="429"/>
      <c r="Y405" s="429">
        <f>F405</f>
        <v>150</v>
      </c>
      <c r="Z405" s="429"/>
      <c r="AA405" s="429"/>
      <c r="AB405" s="429"/>
      <c r="AC405" s="429"/>
      <c r="AD405" s="429"/>
      <c r="AE405" s="429"/>
      <c r="AF405" s="429"/>
      <c r="AG405" s="429"/>
      <c r="AH405" s="429"/>
      <c r="AI405" s="429"/>
      <c r="AJ405" s="429"/>
      <c r="AK405" s="429"/>
      <c r="AL405" s="429"/>
      <c r="AM405" s="429"/>
      <c r="AN405" s="429"/>
      <c r="AO405" s="429"/>
      <c r="AP405" s="429"/>
      <c r="AQ405" s="429"/>
      <c r="AR405" s="429"/>
      <c r="AS405" s="429"/>
      <c r="AT405" s="429"/>
      <c r="AU405" s="429"/>
      <c r="AV405" s="429"/>
      <c r="AW405" s="429"/>
      <c r="AX405" s="429"/>
      <c r="AY405" s="429"/>
      <c r="AZ405" s="429"/>
      <c r="BA405" s="429"/>
      <c r="BB405" s="429"/>
      <c r="BC405" s="429"/>
      <c r="BD405" s="429"/>
      <c r="BE405" s="429"/>
      <c r="BF405" s="429"/>
      <c r="BG405" s="429"/>
      <c r="BH405" s="429"/>
      <c r="BI405" s="429"/>
      <c r="BJ405" s="429"/>
      <c r="BK405" s="429"/>
      <c r="BL405" s="429"/>
      <c r="BM405" s="429"/>
      <c r="BN405" s="429"/>
      <c r="BO405" s="429"/>
      <c r="BP405" s="102"/>
      <c r="BQ405" s="102">
        <v>22.9</v>
      </c>
      <c r="BR405" s="451">
        <f t="shared" si="45"/>
        <v>3435</v>
      </c>
      <c r="BS405" s="451">
        <f t="shared" si="44"/>
        <v>26621.25</v>
      </c>
      <c r="BT405" s="429" t="str">
        <f>IFERROR(VLOOKUP(E405,名称!A:D,4,FALSE),"")</f>
        <v>KIK</v>
      </c>
    </row>
    <row r="406" s="427" customFormat="1" hidden="1" customHeight="1" spans="1:72">
      <c r="A406" s="93">
        <v>46114</v>
      </c>
      <c r="B406" s="95" t="s">
        <v>237</v>
      </c>
      <c r="C406" s="96">
        <v>10124073</v>
      </c>
      <c r="D406" s="96" t="s">
        <v>272</v>
      </c>
      <c r="E406" s="97">
        <v>47669</v>
      </c>
      <c r="F406" s="99">
        <v>344</v>
      </c>
      <c r="G406" s="93">
        <v>46176</v>
      </c>
      <c r="H406" s="429"/>
      <c r="I406" s="429"/>
      <c r="J406" s="429"/>
      <c r="K406" s="429"/>
      <c r="L406" s="429"/>
      <c r="M406" s="429"/>
      <c r="N406" s="429"/>
      <c r="O406" s="429"/>
      <c r="P406" s="429"/>
      <c r="Q406" s="429"/>
      <c r="R406" s="429">
        <f>F406</f>
        <v>344</v>
      </c>
      <c r="S406" s="429"/>
      <c r="T406" s="429"/>
      <c r="U406" s="429"/>
      <c r="V406" s="429"/>
      <c r="W406" s="429"/>
      <c r="X406" s="429"/>
      <c r="Y406" s="429"/>
      <c r="Z406" s="429"/>
      <c r="AA406" s="429"/>
      <c r="AB406" s="429"/>
      <c r="AC406" s="429"/>
      <c r="AD406" s="429"/>
      <c r="AE406" s="429"/>
      <c r="AF406" s="429"/>
      <c r="AG406" s="429"/>
      <c r="AH406" s="429"/>
      <c r="AI406" s="429"/>
      <c r="AJ406" s="429"/>
      <c r="AK406" s="429"/>
      <c r="AL406" s="429"/>
      <c r="AM406" s="429"/>
      <c r="AN406" s="429"/>
      <c r="AO406" s="429"/>
      <c r="AP406" s="429"/>
      <c r="AQ406" s="429"/>
      <c r="AR406" s="429"/>
      <c r="AS406" s="429"/>
      <c r="AT406" s="429"/>
      <c r="AU406" s="429"/>
      <c r="AV406" s="429"/>
      <c r="AW406" s="429"/>
      <c r="AX406" s="429"/>
      <c r="AY406" s="429"/>
      <c r="AZ406" s="429"/>
      <c r="BA406" s="429"/>
      <c r="BB406" s="429"/>
      <c r="BC406" s="429"/>
      <c r="BD406" s="429"/>
      <c r="BE406" s="429"/>
      <c r="BF406" s="429"/>
      <c r="BG406" s="429"/>
      <c r="BH406" s="429"/>
      <c r="BI406" s="429"/>
      <c r="BJ406" s="429"/>
      <c r="BK406" s="429"/>
      <c r="BL406" s="429"/>
      <c r="BM406" s="429"/>
      <c r="BN406" s="429"/>
      <c r="BO406" s="429"/>
      <c r="BP406" s="102"/>
      <c r="BQ406" s="102">
        <v>4.808</v>
      </c>
      <c r="BR406" s="451">
        <f t="shared" si="45"/>
        <v>1653.95</v>
      </c>
      <c r="BS406" s="451">
        <f t="shared" si="44"/>
        <v>12818.11</v>
      </c>
      <c r="BT406" s="429" t="str">
        <f>IFERROR(VLOOKUP(E406,名称!A:D,4,FALSE),"")</f>
        <v>KIK</v>
      </c>
    </row>
    <row r="407" s="427" customFormat="1" hidden="1" customHeight="1" spans="1:72">
      <c r="A407" s="93">
        <v>46114</v>
      </c>
      <c r="B407" s="95" t="s">
        <v>237</v>
      </c>
      <c r="C407" s="96">
        <v>10124073</v>
      </c>
      <c r="D407" s="96" t="s">
        <v>272</v>
      </c>
      <c r="E407" s="97" t="s">
        <v>109</v>
      </c>
      <c r="F407" s="99">
        <v>280</v>
      </c>
      <c r="G407" s="93">
        <v>46176</v>
      </c>
      <c r="H407" s="429"/>
      <c r="I407" s="429"/>
      <c r="J407" s="429"/>
      <c r="K407" s="429"/>
      <c r="L407" s="429"/>
      <c r="M407" s="429"/>
      <c r="N407" s="429"/>
      <c r="O407" s="429"/>
      <c r="P407" s="429"/>
      <c r="Q407" s="429"/>
      <c r="R407" s="429"/>
      <c r="S407" s="429"/>
      <c r="T407" s="429"/>
      <c r="U407" s="429"/>
      <c r="V407" s="429"/>
      <c r="W407" s="429"/>
      <c r="X407" s="429"/>
      <c r="Y407" s="429"/>
      <c r="Z407" s="429"/>
      <c r="AA407" s="429"/>
      <c r="AB407" s="429"/>
      <c r="AC407" s="429"/>
      <c r="AD407" s="429"/>
      <c r="AE407" s="429"/>
      <c r="AF407" s="429"/>
      <c r="AG407" s="429"/>
      <c r="AH407" s="429"/>
      <c r="AI407" s="429"/>
      <c r="AJ407" s="429"/>
      <c r="AK407" s="429"/>
      <c r="AL407" s="429">
        <f>F407</f>
        <v>280</v>
      </c>
      <c r="AM407" s="429"/>
      <c r="AN407" s="429"/>
      <c r="AO407" s="429"/>
      <c r="AP407" s="429"/>
      <c r="AQ407" s="429"/>
      <c r="AR407" s="429"/>
      <c r="AS407" s="429"/>
      <c r="AT407" s="429"/>
      <c r="AU407" s="429"/>
      <c r="AV407" s="429"/>
      <c r="AW407" s="429"/>
      <c r="AX407" s="429"/>
      <c r="AY407" s="429"/>
      <c r="AZ407" s="429"/>
      <c r="BA407" s="429"/>
      <c r="BB407" s="429"/>
      <c r="BC407" s="429"/>
      <c r="BD407" s="429"/>
      <c r="BE407" s="429"/>
      <c r="BF407" s="429"/>
      <c r="BG407" s="429"/>
      <c r="BH407" s="429"/>
      <c r="BI407" s="429"/>
      <c r="BJ407" s="429"/>
      <c r="BK407" s="429"/>
      <c r="BL407" s="429"/>
      <c r="BM407" s="429"/>
      <c r="BN407" s="429"/>
      <c r="BO407" s="429"/>
      <c r="BP407" s="102"/>
      <c r="BQ407" s="102">
        <v>3.886</v>
      </c>
      <c r="BR407" s="451">
        <f t="shared" si="45"/>
        <v>1088.08</v>
      </c>
      <c r="BS407" s="451">
        <f t="shared" si="44"/>
        <v>8432.62</v>
      </c>
      <c r="BT407" s="429" t="str">
        <f>IFERROR(VLOOKUP(E407,名称!A:D,4,FALSE),"")</f>
        <v>KIK</v>
      </c>
    </row>
    <row r="408" s="427" customFormat="1" hidden="1" customHeight="1" spans="1:72">
      <c r="A408" s="93">
        <v>46114</v>
      </c>
      <c r="B408" s="95" t="s">
        <v>237</v>
      </c>
      <c r="C408" s="96">
        <v>10124073</v>
      </c>
      <c r="D408" s="96" t="s">
        <v>272</v>
      </c>
      <c r="E408" s="97" t="s">
        <v>113</v>
      </c>
      <c r="F408" s="99">
        <v>2616</v>
      </c>
      <c r="G408" s="93">
        <v>46176</v>
      </c>
      <c r="H408" s="429"/>
      <c r="I408" s="429"/>
      <c r="J408" s="429"/>
      <c r="K408" s="429"/>
      <c r="L408" s="429"/>
      <c r="M408" s="429"/>
      <c r="N408" s="429"/>
      <c r="O408" s="429"/>
      <c r="P408" s="429"/>
      <c r="Q408" s="429"/>
      <c r="R408" s="429"/>
      <c r="S408" s="429"/>
      <c r="T408" s="429"/>
      <c r="U408" s="429"/>
      <c r="V408" s="429"/>
      <c r="W408" s="429"/>
      <c r="X408" s="429"/>
      <c r="Y408" s="429"/>
      <c r="Z408" s="429"/>
      <c r="AA408" s="429"/>
      <c r="AB408" s="429"/>
      <c r="AC408" s="429"/>
      <c r="AD408" s="429"/>
      <c r="AE408" s="429"/>
      <c r="AF408" s="429"/>
      <c r="AG408" s="429"/>
      <c r="AH408" s="429"/>
      <c r="AI408" s="429"/>
      <c r="AJ408" s="429"/>
      <c r="AK408" s="429"/>
      <c r="AL408" s="429"/>
      <c r="AM408" s="429"/>
      <c r="AN408" s="429">
        <f>F408</f>
        <v>2616</v>
      </c>
      <c r="AO408" s="429"/>
      <c r="AP408" s="429"/>
      <c r="AQ408" s="429"/>
      <c r="AR408" s="429"/>
      <c r="AS408" s="429"/>
      <c r="AT408" s="429"/>
      <c r="AU408" s="429"/>
      <c r="AV408" s="429"/>
      <c r="AW408" s="429"/>
      <c r="AX408" s="429"/>
      <c r="AY408" s="429"/>
      <c r="AZ408" s="429"/>
      <c r="BA408" s="429"/>
      <c r="BB408" s="429"/>
      <c r="BC408" s="429"/>
      <c r="BD408" s="429"/>
      <c r="BE408" s="429"/>
      <c r="BF408" s="429"/>
      <c r="BG408" s="429"/>
      <c r="BH408" s="429"/>
      <c r="BI408" s="429"/>
      <c r="BJ408" s="429"/>
      <c r="BK408" s="429"/>
      <c r="BL408" s="429"/>
      <c r="BM408" s="429"/>
      <c r="BN408" s="429"/>
      <c r="BO408" s="429"/>
      <c r="BP408" s="102"/>
      <c r="BQ408" s="102">
        <v>5.97</v>
      </c>
      <c r="BR408" s="451">
        <f t="shared" si="45"/>
        <v>15617.52</v>
      </c>
      <c r="BS408" s="451">
        <f t="shared" si="44"/>
        <v>121035.78</v>
      </c>
      <c r="BT408" s="429" t="str">
        <f>IFERROR(VLOOKUP(E408,名称!A:D,4,FALSE),"")</f>
        <v>KIK</v>
      </c>
    </row>
    <row r="409" s="427" customFormat="1" hidden="1" customHeight="1" spans="1:72">
      <c r="A409" s="93">
        <v>46114</v>
      </c>
      <c r="B409" s="95" t="s">
        <v>237</v>
      </c>
      <c r="C409" s="96">
        <v>10124073</v>
      </c>
      <c r="D409" s="96" t="s">
        <v>272</v>
      </c>
      <c r="E409" s="97" t="s">
        <v>105</v>
      </c>
      <c r="F409" s="99">
        <v>360</v>
      </c>
      <c r="G409" s="93">
        <v>46176</v>
      </c>
      <c r="H409" s="429"/>
      <c r="I409" s="429"/>
      <c r="J409" s="429"/>
      <c r="K409" s="429"/>
      <c r="L409" s="429"/>
      <c r="M409" s="429"/>
      <c r="N409" s="429"/>
      <c r="O409" s="429"/>
      <c r="P409" s="429"/>
      <c r="Q409" s="429"/>
      <c r="R409" s="429"/>
      <c r="S409" s="429"/>
      <c r="T409" s="429"/>
      <c r="U409" s="429"/>
      <c r="V409" s="429"/>
      <c r="W409" s="429"/>
      <c r="X409" s="429"/>
      <c r="Y409" s="429"/>
      <c r="Z409" s="429"/>
      <c r="AA409" s="429"/>
      <c r="AB409" s="429"/>
      <c r="AC409" s="429"/>
      <c r="AD409" s="429"/>
      <c r="AE409" s="429"/>
      <c r="AF409" s="429"/>
      <c r="AG409" s="429"/>
      <c r="AH409" s="429"/>
      <c r="AI409" s="429"/>
      <c r="AJ409" s="429">
        <f>F409</f>
        <v>360</v>
      </c>
      <c r="AK409" s="429"/>
      <c r="AL409" s="429"/>
      <c r="AM409" s="429"/>
      <c r="AN409" s="429"/>
      <c r="AO409" s="429"/>
      <c r="AP409" s="429"/>
      <c r="AQ409" s="429"/>
      <c r="AR409" s="429"/>
      <c r="AS409" s="429"/>
      <c r="AT409" s="429"/>
      <c r="AU409" s="429"/>
      <c r="AV409" s="429"/>
      <c r="AW409" s="429"/>
      <c r="AX409" s="429"/>
      <c r="AY409" s="429"/>
      <c r="AZ409" s="429"/>
      <c r="BA409" s="429"/>
      <c r="BB409" s="429"/>
      <c r="BC409" s="429"/>
      <c r="BD409" s="429"/>
      <c r="BE409" s="429"/>
      <c r="BF409" s="429"/>
      <c r="BG409" s="429"/>
      <c r="BH409" s="429"/>
      <c r="BI409" s="429"/>
      <c r="BJ409" s="429"/>
      <c r="BK409" s="429"/>
      <c r="BL409" s="429"/>
      <c r="BM409" s="429"/>
      <c r="BN409" s="429"/>
      <c r="BO409" s="429"/>
      <c r="BP409" s="102"/>
      <c r="BQ409" s="102">
        <v>2.994</v>
      </c>
      <c r="BR409" s="451">
        <f t="shared" si="45"/>
        <v>1077.84</v>
      </c>
      <c r="BS409" s="451">
        <f t="shared" si="44"/>
        <v>8353.26</v>
      </c>
      <c r="BT409" s="429" t="str">
        <f>IFERROR(VLOOKUP(E409,名称!A:D,4,FALSE),"")</f>
        <v>KIK</v>
      </c>
    </row>
    <row r="410" s="427" customFormat="1" hidden="1" customHeight="1" spans="1:72">
      <c r="A410" s="93">
        <v>46114</v>
      </c>
      <c r="B410" s="95" t="s">
        <v>237</v>
      </c>
      <c r="C410" s="96">
        <v>10124071</v>
      </c>
      <c r="D410" s="96" t="s">
        <v>273</v>
      </c>
      <c r="E410" s="97" t="s">
        <v>120</v>
      </c>
      <c r="F410" s="99">
        <v>1400</v>
      </c>
      <c r="G410" s="93">
        <v>46176</v>
      </c>
      <c r="H410" s="429"/>
      <c r="I410" s="429"/>
      <c r="J410" s="429"/>
      <c r="K410" s="429"/>
      <c r="L410" s="429"/>
      <c r="M410" s="429"/>
      <c r="N410" s="429"/>
      <c r="O410" s="429"/>
      <c r="P410" s="429"/>
      <c r="Q410" s="429"/>
      <c r="R410" s="429"/>
      <c r="S410" s="429"/>
      <c r="T410" s="429"/>
      <c r="U410" s="429"/>
      <c r="V410" s="429"/>
      <c r="W410" s="429"/>
      <c r="X410" s="429"/>
      <c r="Y410" s="429"/>
      <c r="Z410" s="429"/>
      <c r="AA410" s="429"/>
      <c r="AB410" s="429"/>
      <c r="AC410" s="429"/>
      <c r="AD410" s="429"/>
      <c r="AE410" s="429"/>
      <c r="AF410" s="429"/>
      <c r="AG410" s="429"/>
      <c r="AH410" s="429"/>
      <c r="AI410" s="429"/>
      <c r="AJ410" s="429"/>
      <c r="AK410" s="429"/>
      <c r="AL410" s="429"/>
      <c r="AM410" s="429"/>
      <c r="AN410" s="429"/>
      <c r="AO410" s="429"/>
      <c r="AP410" s="429"/>
      <c r="AQ410" s="429"/>
      <c r="AR410" s="429">
        <f>F410</f>
        <v>1400</v>
      </c>
      <c r="AS410" s="429"/>
      <c r="AT410" s="429"/>
      <c r="AU410" s="429"/>
      <c r="AV410" s="429"/>
      <c r="AW410" s="429"/>
      <c r="AX410" s="429"/>
      <c r="AY410" s="429"/>
      <c r="AZ410" s="429"/>
      <c r="BA410" s="429"/>
      <c r="BB410" s="429"/>
      <c r="BC410" s="429"/>
      <c r="BD410" s="429"/>
      <c r="BE410" s="429"/>
      <c r="BF410" s="429"/>
      <c r="BG410" s="429"/>
      <c r="BH410" s="429"/>
      <c r="BI410" s="429"/>
      <c r="BJ410" s="429"/>
      <c r="BK410" s="429"/>
      <c r="BL410" s="429"/>
      <c r="BM410" s="429"/>
      <c r="BN410" s="429"/>
      <c r="BO410" s="429"/>
      <c r="BP410" s="102"/>
      <c r="BQ410" s="102">
        <v>21.246</v>
      </c>
      <c r="BR410" s="451">
        <f t="shared" si="45"/>
        <v>29744.4</v>
      </c>
      <c r="BS410" s="451">
        <f t="shared" si="44"/>
        <v>230519.1</v>
      </c>
      <c r="BT410" s="429" t="str">
        <f>IFERROR(VLOOKUP(E410,名称!A:D,4,FALSE),"")</f>
        <v>KIK</v>
      </c>
    </row>
    <row r="411" s="427" customFormat="1" hidden="1" customHeight="1" spans="1:72">
      <c r="A411" s="93">
        <v>46114</v>
      </c>
      <c r="B411" s="95" t="s">
        <v>237</v>
      </c>
      <c r="C411" s="96">
        <v>10124077</v>
      </c>
      <c r="D411" s="96" t="s">
        <v>274</v>
      </c>
      <c r="E411" s="97" t="s">
        <v>31</v>
      </c>
      <c r="F411" s="99">
        <v>547</v>
      </c>
      <c r="G411" s="93">
        <v>46218</v>
      </c>
      <c r="H411" s="429"/>
      <c r="I411" s="429"/>
      <c r="J411" s="429"/>
      <c r="K411" s="429"/>
      <c r="L411" s="429"/>
      <c r="M411" s="429"/>
      <c r="N411" s="429"/>
      <c r="O411" s="429"/>
      <c r="P411" s="429"/>
      <c r="Q411" s="429"/>
      <c r="R411" s="429"/>
      <c r="S411" s="429"/>
      <c r="T411" s="429"/>
      <c r="U411" s="429"/>
      <c r="V411" s="429"/>
      <c r="W411" s="429"/>
      <c r="X411" s="429"/>
      <c r="Y411" s="429"/>
      <c r="Z411" s="429">
        <f>F411</f>
        <v>547</v>
      </c>
      <c r="AA411" s="429"/>
      <c r="AB411" s="429"/>
      <c r="AC411" s="429"/>
      <c r="AD411" s="429"/>
      <c r="AE411" s="429"/>
      <c r="AF411" s="429"/>
      <c r="AG411" s="429"/>
      <c r="AH411" s="429"/>
      <c r="AI411" s="429"/>
      <c r="AJ411" s="429"/>
      <c r="AK411" s="429"/>
      <c r="AL411" s="429"/>
      <c r="AM411" s="429"/>
      <c r="AN411" s="429"/>
      <c r="AO411" s="429"/>
      <c r="AP411" s="429"/>
      <c r="AQ411" s="429"/>
      <c r="AR411" s="429"/>
      <c r="AS411" s="429"/>
      <c r="AT411" s="429"/>
      <c r="AU411" s="429"/>
      <c r="AV411" s="429"/>
      <c r="AW411" s="429"/>
      <c r="AX411" s="429"/>
      <c r="AY411" s="429"/>
      <c r="AZ411" s="429"/>
      <c r="BA411" s="429"/>
      <c r="BB411" s="429"/>
      <c r="BC411" s="429"/>
      <c r="BD411" s="429"/>
      <c r="BE411" s="429"/>
      <c r="BF411" s="429"/>
      <c r="BG411" s="429"/>
      <c r="BH411" s="429"/>
      <c r="BI411" s="429"/>
      <c r="BJ411" s="429"/>
      <c r="BK411" s="429"/>
      <c r="BL411" s="429"/>
      <c r="BM411" s="429"/>
      <c r="BN411" s="429"/>
      <c r="BO411" s="429"/>
      <c r="BP411" s="102"/>
      <c r="BQ411" s="102">
        <v>29.652</v>
      </c>
      <c r="BR411" s="451">
        <f t="shared" si="45"/>
        <v>16219.64</v>
      </c>
      <c r="BS411" s="451">
        <f t="shared" si="44"/>
        <v>125702.21</v>
      </c>
      <c r="BT411" s="429" t="str">
        <f>IFERROR(VLOOKUP(E411,名称!A:D,4,FALSE),"")</f>
        <v>KIK</v>
      </c>
    </row>
    <row r="412" s="427" customFormat="1" hidden="1" customHeight="1" spans="1:72">
      <c r="A412" s="93">
        <v>46114</v>
      </c>
      <c r="B412" s="95" t="s">
        <v>237</v>
      </c>
      <c r="C412" s="96">
        <v>10124082</v>
      </c>
      <c r="D412" s="96" t="s">
        <v>275</v>
      </c>
      <c r="E412" s="97" t="s">
        <v>29</v>
      </c>
      <c r="F412" s="99">
        <v>52</v>
      </c>
      <c r="G412" s="93">
        <v>46176</v>
      </c>
      <c r="H412" s="429"/>
      <c r="I412" s="429"/>
      <c r="J412" s="429">
        <f>F412</f>
        <v>52</v>
      </c>
      <c r="K412" s="429"/>
      <c r="L412" s="429"/>
      <c r="M412" s="429"/>
      <c r="N412" s="429"/>
      <c r="O412" s="429"/>
      <c r="P412" s="429"/>
      <c r="Q412" s="429"/>
      <c r="R412" s="429"/>
      <c r="S412" s="429"/>
      <c r="T412" s="429"/>
      <c r="U412" s="429"/>
      <c r="V412" s="429"/>
      <c r="W412" s="429"/>
      <c r="X412" s="429"/>
      <c r="Y412" s="429"/>
      <c r="Z412" s="429"/>
      <c r="AA412" s="429"/>
      <c r="AB412" s="429"/>
      <c r="AC412" s="429"/>
      <c r="AD412" s="429"/>
      <c r="AE412" s="429"/>
      <c r="AF412" s="429"/>
      <c r="AG412" s="429"/>
      <c r="AH412" s="429"/>
      <c r="AI412" s="429"/>
      <c r="AJ412" s="429"/>
      <c r="AK412" s="429"/>
      <c r="AL412" s="429"/>
      <c r="AM412" s="429"/>
      <c r="AN412" s="429"/>
      <c r="AO412" s="429"/>
      <c r="AP412" s="429"/>
      <c r="AQ412" s="429"/>
      <c r="AR412" s="429"/>
      <c r="AS412" s="429"/>
      <c r="AT412" s="429"/>
      <c r="AU412" s="429"/>
      <c r="AV412" s="429"/>
      <c r="AW412" s="429"/>
      <c r="AX412" s="429"/>
      <c r="AY412" s="429"/>
      <c r="AZ412" s="429"/>
      <c r="BA412" s="429"/>
      <c r="BB412" s="429"/>
      <c r="BC412" s="429"/>
      <c r="BD412" s="429"/>
      <c r="BE412" s="429"/>
      <c r="BF412" s="429"/>
      <c r="BG412" s="429"/>
      <c r="BH412" s="429"/>
      <c r="BI412" s="429"/>
      <c r="BJ412" s="429"/>
      <c r="BK412" s="429"/>
      <c r="BL412" s="429"/>
      <c r="BM412" s="429"/>
      <c r="BN412" s="429"/>
      <c r="BO412" s="429"/>
      <c r="BP412" s="102"/>
      <c r="BQ412" s="102">
        <v>21.801</v>
      </c>
      <c r="BR412" s="451">
        <f t="shared" si="45"/>
        <v>1133.65</v>
      </c>
      <c r="BS412" s="451">
        <f t="shared" si="44"/>
        <v>8785.79</v>
      </c>
      <c r="BT412" s="429" t="str">
        <f>IFERROR(VLOOKUP(E412,名称!A:D,4,FALSE),"")</f>
        <v>KIK</v>
      </c>
    </row>
    <row r="413" s="427" customFormat="1" hidden="1" customHeight="1" spans="1:72">
      <c r="A413" s="93">
        <v>46114</v>
      </c>
      <c r="B413" s="95" t="s">
        <v>237</v>
      </c>
      <c r="C413" s="96">
        <v>10124082</v>
      </c>
      <c r="D413" s="96" t="s">
        <v>275</v>
      </c>
      <c r="E413" s="97" t="s">
        <v>35</v>
      </c>
      <c r="F413" s="99">
        <v>200</v>
      </c>
      <c r="G413" s="93">
        <v>46176</v>
      </c>
      <c r="H413" s="429"/>
      <c r="I413" s="429"/>
      <c r="J413" s="429"/>
      <c r="K413" s="429"/>
      <c r="L413" s="429"/>
      <c r="M413" s="429"/>
      <c r="N413" s="429"/>
      <c r="O413" s="429"/>
      <c r="P413" s="429"/>
      <c r="Q413" s="429"/>
      <c r="R413" s="429"/>
      <c r="S413" s="429"/>
      <c r="T413" s="429"/>
      <c r="U413" s="429"/>
      <c r="V413" s="429"/>
      <c r="W413" s="429"/>
      <c r="X413" s="429"/>
      <c r="Y413" s="429">
        <f>F413</f>
        <v>200</v>
      </c>
      <c r="Z413" s="429"/>
      <c r="AA413" s="429"/>
      <c r="AB413" s="429"/>
      <c r="AC413" s="429"/>
      <c r="AD413" s="429"/>
      <c r="AE413" s="429"/>
      <c r="AF413" s="429"/>
      <c r="AG413" s="429"/>
      <c r="AH413" s="429"/>
      <c r="AI413" s="429"/>
      <c r="AJ413" s="429"/>
      <c r="AK413" s="429"/>
      <c r="AL413" s="429"/>
      <c r="AM413" s="429"/>
      <c r="AN413" s="429"/>
      <c r="AO413" s="429"/>
      <c r="AP413" s="429"/>
      <c r="AQ413" s="429"/>
      <c r="AR413" s="429"/>
      <c r="AS413" s="429"/>
      <c r="AT413" s="429"/>
      <c r="AU413" s="429"/>
      <c r="AV413" s="429"/>
      <c r="AW413" s="429"/>
      <c r="AX413" s="429"/>
      <c r="AY413" s="429"/>
      <c r="AZ413" s="429"/>
      <c r="BA413" s="429"/>
      <c r="BB413" s="429"/>
      <c r="BC413" s="429"/>
      <c r="BD413" s="429"/>
      <c r="BE413" s="429"/>
      <c r="BF413" s="429"/>
      <c r="BG413" s="429"/>
      <c r="BH413" s="429"/>
      <c r="BI413" s="429"/>
      <c r="BJ413" s="429"/>
      <c r="BK413" s="429"/>
      <c r="BL413" s="429"/>
      <c r="BM413" s="429"/>
      <c r="BN413" s="429"/>
      <c r="BO413" s="429"/>
      <c r="BP413" s="102"/>
      <c r="BQ413" s="102">
        <v>22.9</v>
      </c>
      <c r="BR413" s="451">
        <f t="shared" si="45"/>
        <v>4580</v>
      </c>
      <c r="BS413" s="451">
        <f t="shared" ref="BS413:BS476" si="46">BR413*7.75</f>
        <v>35495</v>
      </c>
      <c r="BT413" s="429" t="str">
        <f>IFERROR(VLOOKUP(E413,名称!A:D,4,FALSE),"")</f>
        <v>KIK</v>
      </c>
    </row>
    <row r="414" s="427" customFormat="1" hidden="1" customHeight="1" spans="1:72">
      <c r="A414" s="93">
        <v>46114</v>
      </c>
      <c r="B414" s="95" t="s">
        <v>237</v>
      </c>
      <c r="C414" s="96">
        <v>10124082</v>
      </c>
      <c r="D414" s="96" t="s">
        <v>275</v>
      </c>
      <c r="E414" s="97">
        <v>47669</v>
      </c>
      <c r="F414" s="99">
        <v>412</v>
      </c>
      <c r="G414" s="93">
        <v>46176</v>
      </c>
      <c r="H414" s="429"/>
      <c r="I414" s="429"/>
      <c r="J414" s="429"/>
      <c r="K414" s="429"/>
      <c r="L414" s="429"/>
      <c r="M414" s="429"/>
      <c r="N414" s="429"/>
      <c r="O414" s="429"/>
      <c r="P414" s="429"/>
      <c r="Q414" s="429"/>
      <c r="R414" s="429">
        <f>F414</f>
        <v>412</v>
      </c>
      <c r="S414" s="429"/>
      <c r="T414" s="429"/>
      <c r="U414" s="429"/>
      <c r="V414" s="429"/>
      <c r="W414" s="429"/>
      <c r="X414" s="429"/>
      <c r="Y414" s="429"/>
      <c r="Z414" s="429"/>
      <c r="AA414" s="429"/>
      <c r="AB414" s="429"/>
      <c r="AC414" s="429"/>
      <c r="AD414" s="429"/>
      <c r="AE414" s="429"/>
      <c r="AF414" s="429"/>
      <c r="AG414" s="429"/>
      <c r="AH414" s="429"/>
      <c r="AI414" s="429"/>
      <c r="AJ414" s="429"/>
      <c r="AK414" s="429"/>
      <c r="AL414" s="429"/>
      <c r="AM414" s="429"/>
      <c r="AN414" s="429"/>
      <c r="AO414" s="429"/>
      <c r="AP414" s="429"/>
      <c r="AQ414" s="429"/>
      <c r="AR414" s="429"/>
      <c r="AS414" s="429"/>
      <c r="AT414" s="429"/>
      <c r="AU414" s="429"/>
      <c r="AV414" s="429"/>
      <c r="AW414" s="429"/>
      <c r="AX414" s="429"/>
      <c r="AY414" s="429"/>
      <c r="AZ414" s="429"/>
      <c r="BA414" s="429"/>
      <c r="BB414" s="429"/>
      <c r="BC414" s="429"/>
      <c r="BD414" s="429"/>
      <c r="BE414" s="429"/>
      <c r="BF414" s="429"/>
      <c r="BG414" s="429"/>
      <c r="BH414" s="429"/>
      <c r="BI414" s="429"/>
      <c r="BJ414" s="429"/>
      <c r="BK414" s="429"/>
      <c r="BL414" s="429"/>
      <c r="BM414" s="429"/>
      <c r="BN414" s="429"/>
      <c r="BO414" s="429"/>
      <c r="BP414" s="102"/>
      <c r="BQ414" s="102">
        <v>4.808</v>
      </c>
      <c r="BR414" s="451">
        <f t="shared" si="45"/>
        <v>1980.9</v>
      </c>
      <c r="BS414" s="451">
        <f t="shared" si="46"/>
        <v>15351.98</v>
      </c>
      <c r="BT414" s="429" t="str">
        <f>IFERROR(VLOOKUP(E414,名称!A:D,4,FALSE),"")</f>
        <v>KIK</v>
      </c>
    </row>
    <row r="415" s="427" customFormat="1" hidden="1" customHeight="1" spans="1:72">
      <c r="A415" s="93">
        <v>46114</v>
      </c>
      <c r="B415" s="95" t="s">
        <v>237</v>
      </c>
      <c r="C415" s="96">
        <v>10124082</v>
      </c>
      <c r="D415" s="96" t="s">
        <v>275</v>
      </c>
      <c r="E415" s="97" t="s">
        <v>109</v>
      </c>
      <c r="F415" s="99">
        <v>336</v>
      </c>
      <c r="G415" s="93">
        <v>46176</v>
      </c>
      <c r="H415" s="429"/>
      <c r="I415" s="429"/>
      <c r="J415" s="429"/>
      <c r="K415" s="429"/>
      <c r="L415" s="429"/>
      <c r="M415" s="429"/>
      <c r="N415" s="429"/>
      <c r="O415" s="429"/>
      <c r="P415" s="429"/>
      <c r="Q415" s="429"/>
      <c r="R415" s="429"/>
      <c r="S415" s="429"/>
      <c r="T415" s="429"/>
      <c r="U415" s="429"/>
      <c r="V415" s="429"/>
      <c r="W415" s="429"/>
      <c r="X415" s="429"/>
      <c r="Y415" s="429"/>
      <c r="Z415" s="429"/>
      <c r="AA415" s="429"/>
      <c r="AB415" s="429"/>
      <c r="AC415" s="429"/>
      <c r="AD415" s="429"/>
      <c r="AE415" s="429"/>
      <c r="AF415" s="429"/>
      <c r="AG415" s="429"/>
      <c r="AH415" s="429"/>
      <c r="AI415" s="429"/>
      <c r="AJ415" s="429"/>
      <c r="AK415" s="429"/>
      <c r="AL415" s="429">
        <f>F415</f>
        <v>336</v>
      </c>
      <c r="AM415" s="429"/>
      <c r="AN415" s="429"/>
      <c r="AO415" s="429"/>
      <c r="AP415" s="429"/>
      <c r="AQ415" s="429"/>
      <c r="AR415" s="429"/>
      <c r="AS415" s="429"/>
      <c r="AT415" s="429"/>
      <c r="AU415" s="429"/>
      <c r="AV415" s="429"/>
      <c r="AW415" s="429"/>
      <c r="AX415" s="429"/>
      <c r="AY415" s="429"/>
      <c r="AZ415" s="429"/>
      <c r="BA415" s="429"/>
      <c r="BB415" s="429"/>
      <c r="BC415" s="429"/>
      <c r="BD415" s="429"/>
      <c r="BE415" s="429"/>
      <c r="BF415" s="429"/>
      <c r="BG415" s="429"/>
      <c r="BH415" s="429"/>
      <c r="BI415" s="429"/>
      <c r="BJ415" s="429"/>
      <c r="BK415" s="429"/>
      <c r="BL415" s="429"/>
      <c r="BM415" s="429"/>
      <c r="BN415" s="429"/>
      <c r="BO415" s="429"/>
      <c r="BP415" s="102"/>
      <c r="BQ415" s="102">
        <v>3.886</v>
      </c>
      <c r="BR415" s="451">
        <f t="shared" si="45"/>
        <v>1305.7</v>
      </c>
      <c r="BS415" s="451">
        <f t="shared" si="46"/>
        <v>10119.18</v>
      </c>
      <c r="BT415" s="429" t="str">
        <f>IFERROR(VLOOKUP(E415,名称!A:D,4,FALSE),"")</f>
        <v>KIK</v>
      </c>
    </row>
    <row r="416" s="427" customFormat="1" hidden="1" customHeight="1" spans="1:72">
      <c r="A416" s="93">
        <v>46114</v>
      </c>
      <c r="B416" s="95" t="s">
        <v>237</v>
      </c>
      <c r="C416" s="96">
        <v>10124082</v>
      </c>
      <c r="D416" s="96" t="s">
        <v>275</v>
      </c>
      <c r="E416" s="97" t="s">
        <v>113</v>
      </c>
      <c r="F416" s="99">
        <v>1744</v>
      </c>
      <c r="G416" s="93">
        <v>46176</v>
      </c>
      <c r="H416" s="429"/>
      <c r="I416" s="429"/>
      <c r="J416" s="429"/>
      <c r="K416" s="429"/>
      <c r="L416" s="429"/>
      <c r="M416" s="429"/>
      <c r="N416" s="429"/>
      <c r="O416" s="429"/>
      <c r="P416" s="429"/>
      <c r="Q416" s="429"/>
      <c r="R416" s="429"/>
      <c r="S416" s="429"/>
      <c r="T416" s="429"/>
      <c r="U416" s="429"/>
      <c r="V416" s="429"/>
      <c r="W416" s="429"/>
      <c r="X416" s="429"/>
      <c r="Y416" s="429"/>
      <c r="Z416" s="429"/>
      <c r="AA416" s="429"/>
      <c r="AB416" s="429"/>
      <c r="AC416" s="429"/>
      <c r="AD416" s="429"/>
      <c r="AE416" s="429"/>
      <c r="AF416" s="429"/>
      <c r="AG416" s="429"/>
      <c r="AH416" s="429"/>
      <c r="AI416" s="429"/>
      <c r="AJ416" s="429"/>
      <c r="AK416" s="429"/>
      <c r="AL416" s="429"/>
      <c r="AM416" s="429"/>
      <c r="AN416" s="429">
        <f>F416</f>
        <v>1744</v>
      </c>
      <c r="AO416" s="429"/>
      <c r="AP416" s="429"/>
      <c r="AQ416" s="429"/>
      <c r="AR416" s="429"/>
      <c r="AS416" s="429"/>
      <c r="AT416" s="429"/>
      <c r="AU416" s="429"/>
      <c r="AV416" s="429"/>
      <c r="AW416" s="429"/>
      <c r="AX416" s="429"/>
      <c r="AY416" s="429"/>
      <c r="AZ416" s="429"/>
      <c r="BA416" s="429"/>
      <c r="BB416" s="429"/>
      <c r="BC416" s="429"/>
      <c r="BD416" s="429"/>
      <c r="BE416" s="429"/>
      <c r="BF416" s="429"/>
      <c r="BG416" s="429"/>
      <c r="BH416" s="429"/>
      <c r="BI416" s="429"/>
      <c r="BJ416" s="429"/>
      <c r="BK416" s="429"/>
      <c r="BL416" s="429"/>
      <c r="BM416" s="429"/>
      <c r="BN416" s="429"/>
      <c r="BO416" s="429"/>
      <c r="BP416" s="102"/>
      <c r="BQ416" s="102">
        <v>5.97</v>
      </c>
      <c r="BR416" s="451">
        <f t="shared" si="45"/>
        <v>10411.68</v>
      </c>
      <c r="BS416" s="451">
        <f t="shared" si="46"/>
        <v>80690.52</v>
      </c>
      <c r="BT416" s="429" t="str">
        <f>IFERROR(VLOOKUP(E416,名称!A:D,4,FALSE),"")</f>
        <v>KIK</v>
      </c>
    </row>
    <row r="417" s="427" customFormat="1" hidden="1" customHeight="1" spans="1:72">
      <c r="A417" s="93">
        <v>46114</v>
      </c>
      <c r="B417" s="95" t="s">
        <v>237</v>
      </c>
      <c r="C417" s="96">
        <v>10124082</v>
      </c>
      <c r="D417" s="96" t="s">
        <v>275</v>
      </c>
      <c r="E417" s="97" t="s">
        <v>105</v>
      </c>
      <c r="F417" s="99">
        <v>432</v>
      </c>
      <c r="G417" s="93">
        <v>46176</v>
      </c>
      <c r="H417" s="429"/>
      <c r="I417" s="429"/>
      <c r="J417" s="429"/>
      <c r="K417" s="429"/>
      <c r="L417" s="429"/>
      <c r="M417" s="429"/>
      <c r="N417" s="429"/>
      <c r="O417" s="429"/>
      <c r="P417" s="429"/>
      <c r="Q417" s="429"/>
      <c r="R417" s="429"/>
      <c r="S417" s="429"/>
      <c r="T417" s="429"/>
      <c r="U417" s="429"/>
      <c r="V417" s="429"/>
      <c r="W417" s="429"/>
      <c r="X417" s="429"/>
      <c r="Y417" s="429"/>
      <c r="Z417" s="429"/>
      <c r="AA417" s="429"/>
      <c r="AB417" s="429"/>
      <c r="AC417" s="429"/>
      <c r="AD417" s="429"/>
      <c r="AE417" s="429"/>
      <c r="AF417" s="429"/>
      <c r="AG417" s="429"/>
      <c r="AH417" s="429"/>
      <c r="AI417" s="429"/>
      <c r="AJ417" s="429">
        <f>F417</f>
        <v>432</v>
      </c>
      <c r="AK417" s="429"/>
      <c r="AL417" s="429"/>
      <c r="AM417" s="429"/>
      <c r="AN417" s="429"/>
      <c r="AO417" s="429"/>
      <c r="AP417" s="429"/>
      <c r="AQ417" s="429"/>
      <c r="AR417" s="429"/>
      <c r="AS417" s="429"/>
      <c r="AT417" s="429"/>
      <c r="AU417" s="429"/>
      <c r="AV417" s="429"/>
      <c r="AW417" s="429"/>
      <c r="AX417" s="429"/>
      <c r="AY417" s="429"/>
      <c r="AZ417" s="429"/>
      <c r="BA417" s="429"/>
      <c r="BB417" s="429"/>
      <c r="BC417" s="429"/>
      <c r="BD417" s="429"/>
      <c r="BE417" s="429"/>
      <c r="BF417" s="429"/>
      <c r="BG417" s="429"/>
      <c r="BH417" s="429"/>
      <c r="BI417" s="429"/>
      <c r="BJ417" s="429"/>
      <c r="BK417" s="429"/>
      <c r="BL417" s="429"/>
      <c r="BM417" s="429"/>
      <c r="BN417" s="429"/>
      <c r="BO417" s="429"/>
      <c r="BP417" s="102"/>
      <c r="BQ417" s="102">
        <v>2.994</v>
      </c>
      <c r="BR417" s="451">
        <f t="shared" si="45"/>
        <v>1293.41</v>
      </c>
      <c r="BS417" s="451">
        <f t="shared" si="46"/>
        <v>10023.93</v>
      </c>
      <c r="BT417" s="429" t="str">
        <f>IFERROR(VLOOKUP(E417,名称!A:D,4,FALSE),"")</f>
        <v>KIK</v>
      </c>
    </row>
    <row r="418" s="427" customFormat="1" hidden="1" customHeight="1" spans="1:72">
      <c r="A418" s="93">
        <v>46114</v>
      </c>
      <c r="B418" s="95" t="s">
        <v>237</v>
      </c>
      <c r="C418" s="96">
        <v>10124082</v>
      </c>
      <c r="D418" s="96" t="s">
        <v>275</v>
      </c>
      <c r="E418" s="97" t="s">
        <v>107</v>
      </c>
      <c r="F418" s="99">
        <v>648</v>
      </c>
      <c r="G418" s="93">
        <v>46176</v>
      </c>
      <c r="H418" s="429"/>
      <c r="I418" s="429"/>
      <c r="J418" s="429"/>
      <c r="K418" s="429"/>
      <c r="L418" s="429"/>
      <c r="M418" s="429"/>
      <c r="N418" s="429"/>
      <c r="O418" s="429"/>
      <c r="P418" s="429"/>
      <c r="Q418" s="429"/>
      <c r="R418" s="429"/>
      <c r="S418" s="429"/>
      <c r="T418" s="429"/>
      <c r="U418" s="429"/>
      <c r="V418" s="429"/>
      <c r="W418" s="429"/>
      <c r="X418" s="429"/>
      <c r="Y418" s="429"/>
      <c r="Z418" s="429"/>
      <c r="AA418" s="429"/>
      <c r="AB418" s="429"/>
      <c r="AC418" s="429"/>
      <c r="AD418" s="429"/>
      <c r="AE418" s="429"/>
      <c r="AF418" s="429"/>
      <c r="AG418" s="429"/>
      <c r="AH418" s="429"/>
      <c r="AI418" s="429"/>
      <c r="AJ418" s="429"/>
      <c r="AK418" s="429">
        <f>F418</f>
        <v>648</v>
      </c>
      <c r="AL418" s="429"/>
      <c r="AM418" s="429"/>
      <c r="AN418" s="429"/>
      <c r="AO418" s="429"/>
      <c r="AP418" s="429"/>
      <c r="AQ418" s="429"/>
      <c r="AR418" s="429"/>
      <c r="AS418" s="429"/>
      <c r="AT418" s="429"/>
      <c r="AU418" s="429"/>
      <c r="AV418" s="429"/>
      <c r="AW418" s="429"/>
      <c r="AX418" s="429"/>
      <c r="AY418" s="429"/>
      <c r="AZ418" s="429"/>
      <c r="BA418" s="429"/>
      <c r="BB418" s="429"/>
      <c r="BC418" s="429"/>
      <c r="BD418" s="429"/>
      <c r="BE418" s="429"/>
      <c r="BF418" s="429"/>
      <c r="BG418" s="429"/>
      <c r="BH418" s="429"/>
      <c r="BI418" s="429"/>
      <c r="BJ418" s="429"/>
      <c r="BK418" s="429"/>
      <c r="BL418" s="429"/>
      <c r="BM418" s="429"/>
      <c r="BN418" s="429"/>
      <c r="BO418" s="429"/>
      <c r="BP418" s="102"/>
      <c r="BQ418" s="102">
        <v>4.956</v>
      </c>
      <c r="BR418" s="451">
        <f t="shared" si="45"/>
        <v>3211.49</v>
      </c>
      <c r="BS418" s="451">
        <f t="shared" si="46"/>
        <v>24889.05</v>
      </c>
      <c r="BT418" s="429" t="str">
        <f>IFERROR(VLOOKUP(E418,名称!A:D,4,FALSE),"")</f>
        <v>KIK</v>
      </c>
    </row>
    <row r="419" s="427" customFormat="1" hidden="1" customHeight="1" spans="1:72">
      <c r="A419" s="93">
        <v>46114</v>
      </c>
      <c r="B419" s="95" t="s">
        <v>237</v>
      </c>
      <c r="C419" s="96">
        <v>10124078</v>
      </c>
      <c r="D419" s="96" t="s">
        <v>276</v>
      </c>
      <c r="E419" s="97" t="s">
        <v>31</v>
      </c>
      <c r="F419" s="99">
        <v>547</v>
      </c>
      <c r="G419" s="93">
        <v>46218</v>
      </c>
      <c r="H419" s="429"/>
      <c r="I419" s="429"/>
      <c r="J419" s="429"/>
      <c r="K419" s="429"/>
      <c r="L419" s="429"/>
      <c r="M419" s="429"/>
      <c r="N419" s="429"/>
      <c r="O419" s="429"/>
      <c r="P419" s="429"/>
      <c r="Q419" s="429"/>
      <c r="R419" s="429"/>
      <c r="S419" s="429"/>
      <c r="T419" s="429"/>
      <c r="U419" s="429"/>
      <c r="V419" s="429"/>
      <c r="W419" s="429"/>
      <c r="X419" s="429"/>
      <c r="Y419" s="429"/>
      <c r="Z419" s="429">
        <f>F419</f>
        <v>547</v>
      </c>
      <c r="AA419" s="429"/>
      <c r="AB419" s="429"/>
      <c r="AC419" s="429"/>
      <c r="AD419" s="429"/>
      <c r="AE419" s="429"/>
      <c r="AF419" s="429"/>
      <c r="AG419" s="429"/>
      <c r="AH419" s="429"/>
      <c r="AI419" s="429"/>
      <c r="AJ419" s="429"/>
      <c r="AK419" s="429"/>
      <c r="AL419" s="429"/>
      <c r="AM419" s="429"/>
      <c r="AN419" s="429"/>
      <c r="AO419" s="429"/>
      <c r="AP419" s="429"/>
      <c r="AQ419" s="429"/>
      <c r="AR419" s="429"/>
      <c r="AS419" s="429"/>
      <c r="AT419" s="429"/>
      <c r="AU419" s="429"/>
      <c r="AV419" s="429"/>
      <c r="AW419" s="429"/>
      <c r="AX419" s="429"/>
      <c r="AY419" s="429"/>
      <c r="AZ419" s="429"/>
      <c r="BA419" s="429"/>
      <c r="BB419" s="429"/>
      <c r="BC419" s="429"/>
      <c r="BD419" s="429"/>
      <c r="BE419" s="429"/>
      <c r="BF419" s="429"/>
      <c r="BG419" s="429"/>
      <c r="BH419" s="429"/>
      <c r="BI419" s="429"/>
      <c r="BJ419" s="429"/>
      <c r="BK419" s="429"/>
      <c r="BL419" s="429"/>
      <c r="BM419" s="429"/>
      <c r="BN419" s="429"/>
      <c r="BO419" s="429"/>
      <c r="BP419" s="102"/>
      <c r="BQ419" s="102">
        <v>29.652</v>
      </c>
      <c r="BR419" s="451">
        <f t="shared" si="45"/>
        <v>16219.64</v>
      </c>
      <c r="BS419" s="451">
        <f t="shared" si="46"/>
        <v>125702.21</v>
      </c>
      <c r="BT419" s="429" t="str">
        <f>IFERROR(VLOOKUP(E419,名称!A:D,4,FALSE),"")</f>
        <v>KIK</v>
      </c>
    </row>
    <row r="420" s="427" customFormat="1" hidden="1" customHeight="1" spans="1:72">
      <c r="A420" s="93">
        <v>46114</v>
      </c>
      <c r="B420" s="95" t="s">
        <v>237</v>
      </c>
      <c r="C420" s="96">
        <v>10124081</v>
      </c>
      <c r="D420" s="96" t="s">
        <v>277</v>
      </c>
      <c r="E420" s="97" t="s">
        <v>120</v>
      </c>
      <c r="F420" s="99">
        <v>1400</v>
      </c>
      <c r="G420" s="93">
        <v>46176</v>
      </c>
      <c r="H420" s="429"/>
      <c r="I420" s="429"/>
      <c r="J420" s="429"/>
      <c r="K420" s="429"/>
      <c r="L420" s="429"/>
      <c r="M420" s="429"/>
      <c r="N420" s="429"/>
      <c r="O420" s="429"/>
      <c r="P420" s="429"/>
      <c r="Q420" s="429"/>
      <c r="R420" s="429"/>
      <c r="S420" s="429"/>
      <c r="T420" s="429"/>
      <c r="U420" s="429"/>
      <c r="V420" s="429"/>
      <c r="W420" s="429"/>
      <c r="X420" s="429"/>
      <c r="Y420" s="429"/>
      <c r="Z420" s="429"/>
      <c r="AA420" s="429"/>
      <c r="AB420" s="429"/>
      <c r="AC420" s="429"/>
      <c r="AD420" s="429"/>
      <c r="AE420" s="429"/>
      <c r="AF420" s="429"/>
      <c r="AG420" s="429"/>
      <c r="AH420" s="429"/>
      <c r="AI420" s="429"/>
      <c r="AJ420" s="429"/>
      <c r="AK420" s="429"/>
      <c r="AL420" s="429"/>
      <c r="AM420" s="429"/>
      <c r="AN420" s="429"/>
      <c r="AO420" s="429"/>
      <c r="AP420" s="429"/>
      <c r="AQ420" s="429"/>
      <c r="AR420" s="429">
        <f>F420</f>
        <v>1400</v>
      </c>
      <c r="AS420" s="429"/>
      <c r="AT420" s="429"/>
      <c r="AU420" s="429"/>
      <c r="AV420" s="429"/>
      <c r="AW420" s="429"/>
      <c r="AX420" s="429"/>
      <c r="AY420" s="429"/>
      <c r="AZ420" s="429"/>
      <c r="BA420" s="429"/>
      <c r="BB420" s="429"/>
      <c r="BC420" s="429"/>
      <c r="BD420" s="429"/>
      <c r="BE420" s="429"/>
      <c r="BF420" s="429"/>
      <c r="BG420" s="429"/>
      <c r="BH420" s="429"/>
      <c r="BI420" s="429"/>
      <c r="BJ420" s="429"/>
      <c r="BK420" s="429"/>
      <c r="BL420" s="429"/>
      <c r="BM420" s="429"/>
      <c r="BN420" s="429"/>
      <c r="BO420" s="429"/>
      <c r="BP420" s="102"/>
      <c r="BQ420" s="102">
        <v>21.246</v>
      </c>
      <c r="BR420" s="451">
        <f t="shared" si="45"/>
        <v>29744.4</v>
      </c>
      <c r="BS420" s="451">
        <f t="shared" si="46"/>
        <v>230519.1</v>
      </c>
      <c r="BT420" s="429" t="str">
        <f>IFERROR(VLOOKUP(E420,名称!A:D,4,FALSE),"")</f>
        <v>KIK</v>
      </c>
    </row>
    <row r="421" s="427" customFormat="1" hidden="1" customHeight="1" spans="1:72">
      <c r="A421" s="93">
        <v>46114</v>
      </c>
      <c r="B421" s="95" t="s">
        <v>237</v>
      </c>
      <c r="C421" s="96">
        <v>10124085</v>
      </c>
      <c r="D421" s="96" t="s">
        <v>278</v>
      </c>
      <c r="E421" s="97" t="s">
        <v>35</v>
      </c>
      <c r="F421" s="99">
        <v>60</v>
      </c>
      <c r="G421" s="93">
        <v>46176</v>
      </c>
      <c r="H421" s="429"/>
      <c r="I421" s="429"/>
      <c r="J421" s="429"/>
      <c r="K421" s="429"/>
      <c r="L421" s="429"/>
      <c r="M421" s="429"/>
      <c r="N421" s="429"/>
      <c r="O421" s="429"/>
      <c r="P421" s="429"/>
      <c r="Q421" s="429"/>
      <c r="R421" s="429"/>
      <c r="S421" s="429"/>
      <c r="T421" s="429"/>
      <c r="U421" s="429"/>
      <c r="V421" s="429"/>
      <c r="W421" s="429"/>
      <c r="X421" s="429"/>
      <c r="Y421" s="429">
        <f>F421</f>
        <v>60</v>
      </c>
      <c r="Z421" s="429"/>
      <c r="AA421" s="429"/>
      <c r="AB421" s="429"/>
      <c r="AC421" s="429"/>
      <c r="AD421" s="429"/>
      <c r="AE421" s="429"/>
      <c r="AF421" s="429"/>
      <c r="AG421" s="429"/>
      <c r="AH421" s="429"/>
      <c r="AI421" s="429"/>
      <c r="AJ421" s="429"/>
      <c r="AK421" s="429"/>
      <c r="AL421" s="429"/>
      <c r="AM421" s="429"/>
      <c r="AN421" s="429"/>
      <c r="AO421" s="429"/>
      <c r="AP421" s="429"/>
      <c r="AQ421" s="429"/>
      <c r="AR421" s="429"/>
      <c r="AS421" s="429"/>
      <c r="AT421" s="429"/>
      <c r="AU421" s="429"/>
      <c r="AV421" s="429"/>
      <c r="AW421" s="429"/>
      <c r="AX421" s="429"/>
      <c r="AY421" s="429"/>
      <c r="AZ421" s="429"/>
      <c r="BA421" s="429"/>
      <c r="BB421" s="429"/>
      <c r="BC421" s="429"/>
      <c r="BD421" s="429"/>
      <c r="BE421" s="429"/>
      <c r="BF421" s="429"/>
      <c r="BG421" s="429"/>
      <c r="BH421" s="429"/>
      <c r="BI421" s="429"/>
      <c r="BJ421" s="429"/>
      <c r="BK421" s="429"/>
      <c r="BL421" s="429"/>
      <c r="BM421" s="429"/>
      <c r="BN421" s="429"/>
      <c r="BO421" s="429"/>
      <c r="BP421" s="102"/>
      <c r="BQ421" s="102">
        <v>22.9</v>
      </c>
      <c r="BR421" s="451">
        <f t="shared" si="45"/>
        <v>1374</v>
      </c>
      <c r="BS421" s="451">
        <f t="shared" si="46"/>
        <v>10648.5</v>
      </c>
      <c r="BT421" s="429" t="str">
        <f>IFERROR(VLOOKUP(E421,名称!A:D,4,FALSE),"")</f>
        <v>KIK</v>
      </c>
    </row>
    <row r="422" s="427" customFormat="1" hidden="1" customHeight="1" spans="1:72">
      <c r="A422" s="93">
        <v>46114</v>
      </c>
      <c r="B422" s="95" t="s">
        <v>237</v>
      </c>
      <c r="C422" s="96">
        <v>10124085</v>
      </c>
      <c r="D422" s="96" t="s">
        <v>278</v>
      </c>
      <c r="E422" s="97" t="s">
        <v>31</v>
      </c>
      <c r="F422" s="99">
        <v>220</v>
      </c>
      <c r="G422" s="93">
        <v>46176</v>
      </c>
      <c r="H422" s="429"/>
      <c r="I422" s="429"/>
      <c r="J422" s="429"/>
      <c r="K422" s="429"/>
      <c r="L422" s="429"/>
      <c r="M422" s="429"/>
      <c r="N422" s="429"/>
      <c r="O422" s="429"/>
      <c r="P422" s="429"/>
      <c r="Q422" s="429"/>
      <c r="R422" s="429"/>
      <c r="S422" s="429"/>
      <c r="T422" s="429"/>
      <c r="U422" s="429"/>
      <c r="V422" s="429"/>
      <c r="W422" s="429"/>
      <c r="X422" s="429"/>
      <c r="Y422" s="429"/>
      <c r="Z422" s="429">
        <f>F422</f>
        <v>220</v>
      </c>
      <c r="AA422" s="429"/>
      <c r="AB422" s="429"/>
      <c r="AC422" s="429"/>
      <c r="AD422" s="429"/>
      <c r="AE422" s="429"/>
      <c r="AF422" s="429"/>
      <c r="AG422" s="429"/>
      <c r="AH422" s="429"/>
      <c r="AI422" s="429"/>
      <c r="AJ422" s="429"/>
      <c r="AK422" s="429"/>
      <c r="AL422" s="429"/>
      <c r="AM422" s="429"/>
      <c r="AN422" s="429"/>
      <c r="AO422" s="429"/>
      <c r="AP422" s="429"/>
      <c r="AQ422" s="429"/>
      <c r="AR422" s="429"/>
      <c r="AS422" s="429"/>
      <c r="AT422" s="429"/>
      <c r="AU422" s="429"/>
      <c r="AV422" s="429"/>
      <c r="AW422" s="429"/>
      <c r="AX422" s="429"/>
      <c r="AY422" s="429"/>
      <c r="AZ422" s="429"/>
      <c r="BA422" s="429"/>
      <c r="BB422" s="429"/>
      <c r="BC422" s="429"/>
      <c r="BD422" s="429"/>
      <c r="BE422" s="429"/>
      <c r="BF422" s="429"/>
      <c r="BG422" s="429"/>
      <c r="BH422" s="429"/>
      <c r="BI422" s="429"/>
      <c r="BJ422" s="429"/>
      <c r="BK422" s="429"/>
      <c r="BL422" s="429"/>
      <c r="BM422" s="429"/>
      <c r="BN422" s="429"/>
      <c r="BO422" s="429"/>
      <c r="BP422" s="102"/>
      <c r="BQ422" s="102">
        <v>29.652</v>
      </c>
      <c r="BR422" s="451">
        <f t="shared" si="45"/>
        <v>6523.44</v>
      </c>
      <c r="BS422" s="451">
        <f t="shared" si="46"/>
        <v>50556.66</v>
      </c>
      <c r="BT422" s="429" t="str">
        <f>IFERROR(VLOOKUP(E422,名称!A:D,4,FALSE),"")</f>
        <v>KIK</v>
      </c>
    </row>
    <row r="423" s="427" customFormat="1" hidden="1" customHeight="1" spans="1:72">
      <c r="A423" s="93">
        <v>46114</v>
      </c>
      <c r="B423" s="95" t="s">
        <v>237</v>
      </c>
      <c r="C423" s="96">
        <v>10124085</v>
      </c>
      <c r="D423" s="96" t="s">
        <v>278</v>
      </c>
      <c r="E423" s="97" t="s">
        <v>87</v>
      </c>
      <c r="F423" s="99">
        <v>60</v>
      </c>
      <c r="G423" s="93">
        <v>46176</v>
      </c>
      <c r="H423" s="429"/>
      <c r="I423" s="429"/>
      <c r="J423" s="429"/>
      <c r="K423" s="429"/>
      <c r="L423" s="429"/>
      <c r="M423" s="429"/>
      <c r="N423" s="429"/>
      <c r="O423" s="429"/>
      <c r="P423" s="429"/>
      <c r="Q423" s="429"/>
      <c r="R423" s="429"/>
      <c r="S423" s="429"/>
      <c r="T423" s="429"/>
      <c r="U423" s="429"/>
      <c r="V423" s="429"/>
      <c r="W423" s="429"/>
      <c r="X423" s="429"/>
      <c r="Y423" s="429"/>
      <c r="Z423" s="429"/>
      <c r="AA423" s="429"/>
      <c r="AB423" s="429"/>
      <c r="AC423" s="429"/>
      <c r="AD423" s="429">
        <f>F423</f>
        <v>60</v>
      </c>
      <c r="AE423" s="429"/>
      <c r="AF423" s="429"/>
      <c r="AG423" s="429"/>
      <c r="AH423" s="429"/>
      <c r="AI423" s="429"/>
      <c r="AJ423" s="429"/>
      <c r="AK423" s="429"/>
      <c r="AL423" s="429"/>
      <c r="AM423" s="429"/>
      <c r="AN423" s="429"/>
      <c r="AO423" s="429"/>
      <c r="AP423" s="429"/>
      <c r="AQ423" s="429"/>
      <c r="AR423" s="429"/>
      <c r="AS423" s="429"/>
      <c r="AT423" s="429"/>
      <c r="AU423" s="429"/>
      <c r="AV423" s="429"/>
      <c r="AW423" s="429"/>
      <c r="AX423" s="429"/>
      <c r="AY423" s="429"/>
      <c r="AZ423" s="429"/>
      <c r="BA423" s="429"/>
      <c r="BB423" s="429"/>
      <c r="BC423" s="429"/>
      <c r="BD423" s="429"/>
      <c r="BE423" s="429"/>
      <c r="BF423" s="429"/>
      <c r="BG423" s="429"/>
      <c r="BH423" s="429"/>
      <c r="BI423" s="429"/>
      <c r="BJ423" s="429"/>
      <c r="BK423" s="429"/>
      <c r="BL423" s="429"/>
      <c r="BM423" s="429"/>
      <c r="BN423" s="429"/>
      <c r="BO423" s="429"/>
      <c r="BP423" s="102"/>
      <c r="BQ423" s="102">
        <v>31.4</v>
      </c>
      <c r="BR423" s="451">
        <f t="shared" si="45"/>
        <v>1884</v>
      </c>
      <c r="BS423" s="451">
        <f t="shared" si="46"/>
        <v>14601</v>
      </c>
      <c r="BT423" s="429" t="str">
        <f>IFERROR(VLOOKUP(E423,名称!A:D,4,FALSE),"")</f>
        <v>KIK</v>
      </c>
    </row>
    <row r="424" s="427" customFormat="1" hidden="1" customHeight="1" spans="1:72">
      <c r="A424" s="93">
        <v>46114</v>
      </c>
      <c r="B424" s="95" t="s">
        <v>237</v>
      </c>
      <c r="C424" s="96">
        <v>10124085</v>
      </c>
      <c r="D424" s="96" t="s">
        <v>278</v>
      </c>
      <c r="E424" s="97" t="s">
        <v>39</v>
      </c>
      <c r="F424" s="99">
        <v>20</v>
      </c>
      <c r="G424" s="93">
        <v>46176</v>
      </c>
      <c r="H424" s="429"/>
      <c r="I424" s="429"/>
      <c r="J424" s="429"/>
      <c r="K424" s="429"/>
      <c r="L424" s="429"/>
      <c r="M424" s="429"/>
      <c r="N424" s="429"/>
      <c r="O424" s="429"/>
      <c r="P424" s="429"/>
      <c r="Q424" s="429"/>
      <c r="R424" s="429"/>
      <c r="S424" s="429"/>
      <c r="T424" s="429"/>
      <c r="U424" s="429"/>
      <c r="V424" s="429"/>
      <c r="W424" s="429">
        <f>F424</f>
        <v>20</v>
      </c>
      <c r="X424" s="429"/>
      <c r="Y424" s="429"/>
      <c r="Z424" s="429"/>
      <c r="AA424" s="429"/>
      <c r="AB424" s="429"/>
      <c r="AC424" s="429"/>
      <c r="AD424" s="429"/>
      <c r="AE424" s="429"/>
      <c r="AF424" s="429"/>
      <c r="AG424" s="429"/>
      <c r="AH424" s="429"/>
      <c r="AI424" s="429"/>
      <c r="AJ424" s="429"/>
      <c r="AK424" s="429"/>
      <c r="AL424" s="429"/>
      <c r="AM424" s="429"/>
      <c r="AN424" s="429"/>
      <c r="AO424" s="429"/>
      <c r="AP424" s="429"/>
      <c r="AQ424" s="429"/>
      <c r="AR424" s="429"/>
      <c r="AS424" s="429"/>
      <c r="AT424" s="429"/>
      <c r="AU424" s="429"/>
      <c r="AV424" s="429"/>
      <c r="AW424" s="429"/>
      <c r="AX424" s="429"/>
      <c r="AY424" s="429"/>
      <c r="AZ424" s="429"/>
      <c r="BA424" s="429"/>
      <c r="BB424" s="429"/>
      <c r="BC424" s="429"/>
      <c r="BD424" s="429"/>
      <c r="BE424" s="429"/>
      <c r="BF424" s="429"/>
      <c r="BG424" s="429"/>
      <c r="BH424" s="429"/>
      <c r="BI424" s="429"/>
      <c r="BJ424" s="429"/>
      <c r="BK424" s="429"/>
      <c r="BL424" s="429"/>
      <c r="BM424" s="429"/>
      <c r="BN424" s="429"/>
      <c r="BO424" s="429"/>
      <c r="BP424" s="102"/>
      <c r="BQ424" s="102">
        <v>30.536</v>
      </c>
      <c r="BR424" s="451">
        <f t="shared" si="45"/>
        <v>610.72</v>
      </c>
      <c r="BS424" s="451">
        <f t="shared" si="46"/>
        <v>4733.08</v>
      </c>
      <c r="BT424" s="429" t="str">
        <f>IFERROR(VLOOKUP(E424,名称!A:D,4,FALSE),"")</f>
        <v>KIK</v>
      </c>
    </row>
    <row r="425" s="427" customFormat="1" hidden="1" customHeight="1" spans="1:72">
      <c r="A425" s="93">
        <v>46114</v>
      </c>
      <c r="B425" s="95" t="s">
        <v>237</v>
      </c>
      <c r="C425" s="96">
        <v>10124085</v>
      </c>
      <c r="D425" s="96" t="s">
        <v>278</v>
      </c>
      <c r="E425" s="97">
        <v>47669</v>
      </c>
      <c r="F425" s="99">
        <v>160</v>
      </c>
      <c r="G425" s="93">
        <v>46176</v>
      </c>
      <c r="H425" s="429"/>
      <c r="I425" s="429"/>
      <c r="J425" s="429"/>
      <c r="K425" s="429"/>
      <c r="L425" s="429"/>
      <c r="M425" s="429"/>
      <c r="N425" s="429"/>
      <c r="O425" s="429"/>
      <c r="P425" s="429"/>
      <c r="Q425" s="429"/>
      <c r="R425" s="429">
        <f>F425</f>
        <v>160</v>
      </c>
      <c r="S425" s="429"/>
      <c r="T425" s="429"/>
      <c r="U425" s="429"/>
      <c r="V425" s="429"/>
      <c r="W425" s="429"/>
      <c r="X425" s="429"/>
      <c r="Y425" s="429"/>
      <c r="Z425" s="429"/>
      <c r="AA425" s="429"/>
      <c r="AB425" s="429"/>
      <c r="AC425" s="429"/>
      <c r="AD425" s="429"/>
      <c r="AE425" s="429"/>
      <c r="AF425" s="429"/>
      <c r="AG425" s="429"/>
      <c r="AH425" s="429"/>
      <c r="AI425" s="429"/>
      <c r="AJ425" s="429"/>
      <c r="AK425" s="429"/>
      <c r="AL425" s="429"/>
      <c r="AM425" s="429"/>
      <c r="AN425" s="429"/>
      <c r="AO425" s="429"/>
      <c r="AP425" s="429"/>
      <c r="AQ425" s="429"/>
      <c r="AR425" s="429"/>
      <c r="AS425" s="429"/>
      <c r="AT425" s="429"/>
      <c r="AU425" s="429"/>
      <c r="AV425" s="429"/>
      <c r="AW425" s="429"/>
      <c r="AX425" s="429"/>
      <c r="AY425" s="429"/>
      <c r="AZ425" s="429"/>
      <c r="BA425" s="429"/>
      <c r="BB425" s="429"/>
      <c r="BC425" s="429"/>
      <c r="BD425" s="429"/>
      <c r="BE425" s="429"/>
      <c r="BF425" s="429"/>
      <c r="BG425" s="429"/>
      <c r="BH425" s="429"/>
      <c r="BI425" s="429"/>
      <c r="BJ425" s="429"/>
      <c r="BK425" s="429"/>
      <c r="BL425" s="429"/>
      <c r="BM425" s="429"/>
      <c r="BN425" s="429"/>
      <c r="BO425" s="429"/>
      <c r="BP425" s="102"/>
      <c r="BQ425" s="102">
        <v>4.808</v>
      </c>
      <c r="BR425" s="451">
        <f t="shared" si="45"/>
        <v>769.28</v>
      </c>
      <c r="BS425" s="451">
        <f t="shared" si="46"/>
        <v>5961.92</v>
      </c>
      <c r="BT425" s="429" t="str">
        <f>IFERROR(VLOOKUP(E425,名称!A:D,4,FALSE),"")</f>
        <v>KIK</v>
      </c>
    </row>
    <row r="426" s="427" customFormat="1" hidden="1" customHeight="1" spans="1:72">
      <c r="A426" s="93">
        <v>46114</v>
      </c>
      <c r="B426" s="95" t="s">
        <v>237</v>
      </c>
      <c r="C426" s="96">
        <v>10124085</v>
      </c>
      <c r="D426" s="96" t="s">
        <v>278</v>
      </c>
      <c r="E426" s="97" t="s">
        <v>118</v>
      </c>
      <c r="F426" s="99">
        <v>100</v>
      </c>
      <c r="G426" s="93">
        <v>46176</v>
      </c>
      <c r="H426" s="429"/>
      <c r="I426" s="429"/>
      <c r="J426" s="429"/>
      <c r="K426" s="429"/>
      <c r="L426" s="429"/>
      <c r="M426" s="429"/>
      <c r="N426" s="429"/>
      <c r="O426" s="429"/>
      <c r="P426" s="429"/>
      <c r="Q426" s="429"/>
      <c r="R426" s="429"/>
      <c r="S426" s="429"/>
      <c r="T426" s="429"/>
      <c r="U426" s="429"/>
      <c r="V426" s="429"/>
      <c r="W426" s="429"/>
      <c r="X426" s="429"/>
      <c r="Y426" s="429"/>
      <c r="Z426" s="429"/>
      <c r="AA426" s="429"/>
      <c r="AB426" s="429"/>
      <c r="AC426" s="429"/>
      <c r="AD426" s="429"/>
      <c r="AE426" s="429"/>
      <c r="AF426" s="429"/>
      <c r="AG426" s="429"/>
      <c r="AH426" s="429"/>
      <c r="AI426" s="429"/>
      <c r="AJ426" s="429"/>
      <c r="AK426" s="429"/>
      <c r="AL426" s="429"/>
      <c r="AM426" s="429"/>
      <c r="AN426" s="429"/>
      <c r="AO426" s="429"/>
      <c r="AP426" s="429"/>
      <c r="AQ426" s="429">
        <f>F426</f>
        <v>100</v>
      </c>
      <c r="AR426" s="429"/>
      <c r="AS426" s="429"/>
      <c r="AT426" s="429"/>
      <c r="AU426" s="429"/>
      <c r="AV426" s="429"/>
      <c r="AW426" s="429"/>
      <c r="AX426" s="429"/>
      <c r="AY426" s="429"/>
      <c r="AZ426" s="429"/>
      <c r="BA426" s="429"/>
      <c r="BB426" s="429"/>
      <c r="BC426" s="429"/>
      <c r="BD426" s="429"/>
      <c r="BE426" s="429"/>
      <c r="BF426" s="429"/>
      <c r="BG426" s="429"/>
      <c r="BH426" s="429"/>
      <c r="BI426" s="429"/>
      <c r="BJ426" s="429"/>
      <c r="BK426" s="429"/>
      <c r="BL426" s="429"/>
      <c r="BM426" s="429"/>
      <c r="BN426" s="429"/>
      <c r="BO426" s="429"/>
      <c r="BP426" s="102"/>
      <c r="BQ426" s="102">
        <v>16.71</v>
      </c>
      <c r="BR426" s="451">
        <f t="shared" si="45"/>
        <v>1671</v>
      </c>
      <c r="BS426" s="451">
        <f t="shared" si="46"/>
        <v>12950.25</v>
      </c>
      <c r="BT426" s="429" t="str">
        <f>IFERROR(VLOOKUP(E426,名称!A:D,4,FALSE),"")</f>
        <v>KIK</v>
      </c>
    </row>
    <row r="427" s="427" customFormat="1" hidden="1" customHeight="1" spans="1:72">
      <c r="A427" s="93">
        <v>46114</v>
      </c>
      <c r="B427" s="95" t="s">
        <v>237</v>
      </c>
      <c r="C427" s="96">
        <v>10124085</v>
      </c>
      <c r="D427" s="96" t="s">
        <v>278</v>
      </c>
      <c r="E427" s="97" t="s">
        <v>105</v>
      </c>
      <c r="F427" s="99">
        <v>200</v>
      </c>
      <c r="G427" s="93">
        <v>46176</v>
      </c>
      <c r="H427" s="429"/>
      <c r="I427" s="429"/>
      <c r="J427" s="429"/>
      <c r="K427" s="429"/>
      <c r="L427" s="429"/>
      <c r="M427" s="429"/>
      <c r="N427" s="429"/>
      <c r="O427" s="429"/>
      <c r="P427" s="429"/>
      <c r="Q427" s="429"/>
      <c r="R427" s="429"/>
      <c r="S427" s="429"/>
      <c r="T427" s="429"/>
      <c r="U427" s="429"/>
      <c r="V427" s="429"/>
      <c r="W427" s="429"/>
      <c r="X427" s="429"/>
      <c r="Y427" s="429"/>
      <c r="Z427" s="429"/>
      <c r="AA427" s="429"/>
      <c r="AB427" s="429"/>
      <c r="AC427" s="429"/>
      <c r="AD427" s="429"/>
      <c r="AE427" s="429"/>
      <c r="AF427" s="429"/>
      <c r="AG427" s="429"/>
      <c r="AH427" s="429"/>
      <c r="AI427" s="429"/>
      <c r="AJ427" s="429">
        <f>F427</f>
        <v>200</v>
      </c>
      <c r="AK427" s="429"/>
      <c r="AL427" s="429"/>
      <c r="AM427" s="429"/>
      <c r="AN427" s="429"/>
      <c r="AO427" s="429"/>
      <c r="AP427" s="429"/>
      <c r="AQ427" s="429"/>
      <c r="AR427" s="429"/>
      <c r="AS427" s="429"/>
      <c r="AT427" s="429"/>
      <c r="AU427" s="429"/>
      <c r="AV427" s="429"/>
      <c r="AW427" s="429"/>
      <c r="AX427" s="429"/>
      <c r="AY427" s="429"/>
      <c r="AZ427" s="429"/>
      <c r="BA427" s="429"/>
      <c r="BB427" s="429"/>
      <c r="BC427" s="429"/>
      <c r="BD427" s="429"/>
      <c r="BE427" s="429"/>
      <c r="BF427" s="429"/>
      <c r="BG427" s="429"/>
      <c r="BH427" s="429"/>
      <c r="BI427" s="429"/>
      <c r="BJ427" s="429"/>
      <c r="BK427" s="429"/>
      <c r="BL427" s="429"/>
      <c r="BM427" s="429"/>
      <c r="BN427" s="429"/>
      <c r="BO427" s="429"/>
      <c r="BP427" s="102"/>
      <c r="BQ427" s="102">
        <v>2.994</v>
      </c>
      <c r="BR427" s="451">
        <f t="shared" si="45"/>
        <v>598.8</v>
      </c>
      <c r="BS427" s="451">
        <f t="shared" si="46"/>
        <v>4640.7</v>
      </c>
      <c r="BT427" s="429" t="str">
        <f>IFERROR(VLOOKUP(E427,名称!A:D,4,FALSE),"")</f>
        <v>KIK</v>
      </c>
    </row>
    <row r="428" s="427" customFormat="1" hidden="1" customHeight="1" spans="1:72">
      <c r="A428" s="93">
        <v>46114</v>
      </c>
      <c r="B428" s="95" t="s">
        <v>237</v>
      </c>
      <c r="C428" s="96">
        <v>10124085</v>
      </c>
      <c r="D428" s="96" t="s">
        <v>278</v>
      </c>
      <c r="E428" s="97" t="s">
        <v>109</v>
      </c>
      <c r="F428" s="99">
        <v>100</v>
      </c>
      <c r="G428" s="93">
        <v>46176</v>
      </c>
      <c r="H428" s="429"/>
      <c r="I428" s="429"/>
      <c r="J428" s="429"/>
      <c r="K428" s="429"/>
      <c r="L428" s="429"/>
      <c r="M428" s="429"/>
      <c r="N428" s="429"/>
      <c r="O428" s="429"/>
      <c r="P428" s="429"/>
      <c r="Q428" s="429"/>
      <c r="R428" s="429"/>
      <c r="S428" s="429"/>
      <c r="T428" s="429"/>
      <c r="U428" s="429"/>
      <c r="V428" s="429"/>
      <c r="W428" s="429"/>
      <c r="X428" s="429"/>
      <c r="Y428" s="429"/>
      <c r="Z428" s="429"/>
      <c r="AA428" s="429"/>
      <c r="AB428" s="429"/>
      <c r="AC428" s="429"/>
      <c r="AD428" s="429"/>
      <c r="AE428" s="429"/>
      <c r="AF428" s="429"/>
      <c r="AG428" s="429"/>
      <c r="AH428" s="429"/>
      <c r="AI428" s="429"/>
      <c r="AJ428" s="429"/>
      <c r="AK428" s="429"/>
      <c r="AL428" s="429">
        <f>F428</f>
        <v>100</v>
      </c>
      <c r="AM428" s="429"/>
      <c r="AN428" s="429"/>
      <c r="AO428" s="429"/>
      <c r="AP428" s="429"/>
      <c r="AQ428" s="429"/>
      <c r="AR428" s="429"/>
      <c r="AS428" s="429"/>
      <c r="AT428" s="429"/>
      <c r="AU428" s="429"/>
      <c r="AV428" s="429"/>
      <c r="AW428" s="429"/>
      <c r="AX428" s="429"/>
      <c r="AY428" s="429"/>
      <c r="AZ428" s="429"/>
      <c r="BA428" s="429"/>
      <c r="BB428" s="429"/>
      <c r="BC428" s="429"/>
      <c r="BD428" s="429"/>
      <c r="BE428" s="429"/>
      <c r="BF428" s="429"/>
      <c r="BG428" s="429"/>
      <c r="BH428" s="429"/>
      <c r="BI428" s="429"/>
      <c r="BJ428" s="429"/>
      <c r="BK428" s="429"/>
      <c r="BL428" s="429"/>
      <c r="BM428" s="429"/>
      <c r="BN428" s="429"/>
      <c r="BO428" s="429"/>
      <c r="BP428" s="102"/>
      <c r="BQ428" s="102">
        <v>3.886</v>
      </c>
      <c r="BR428" s="451">
        <f t="shared" si="45"/>
        <v>388.6</v>
      </c>
      <c r="BS428" s="451">
        <f t="shared" si="46"/>
        <v>3011.65</v>
      </c>
      <c r="BT428" s="429" t="str">
        <f>IFERROR(VLOOKUP(E428,名称!A:D,4,FALSE),"")</f>
        <v>KIK</v>
      </c>
    </row>
    <row r="429" s="427" customFormat="1" hidden="1" customHeight="1" spans="1:72">
      <c r="A429" s="93">
        <v>46114</v>
      </c>
      <c r="B429" s="95" t="s">
        <v>237</v>
      </c>
      <c r="C429" s="96">
        <v>10124085</v>
      </c>
      <c r="D429" s="96" t="s">
        <v>278</v>
      </c>
      <c r="E429" s="97" t="s">
        <v>111</v>
      </c>
      <c r="F429" s="99">
        <v>120</v>
      </c>
      <c r="G429" s="93">
        <v>46176</v>
      </c>
      <c r="H429" s="429"/>
      <c r="I429" s="429"/>
      <c r="J429" s="429"/>
      <c r="K429" s="429"/>
      <c r="L429" s="429"/>
      <c r="M429" s="429"/>
      <c r="N429" s="429"/>
      <c r="O429" s="429"/>
      <c r="P429" s="429"/>
      <c r="Q429" s="429"/>
      <c r="R429" s="429"/>
      <c r="S429" s="429"/>
      <c r="T429" s="429"/>
      <c r="U429" s="429"/>
      <c r="V429" s="429"/>
      <c r="W429" s="429"/>
      <c r="X429" s="429"/>
      <c r="Y429" s="429"/>
      <c r="Z429" s="429"/>
      <c r="AA429" s="429"/>
      <c r="AB429" s="429"/>
      <c r="AC429" s="429"/>
      <c r="AD429" s="429"/>
      <c r="AE429" s="429"/>
      <c r="AF429" s="429"/>
      <c r="AG429" s="429"/>
      <c r="AH429" s="429"/>
      <c r="AI429" s="429"/>
      <c r="AJ429" s="429"/>
      <c r="AK429" s="429"/>
      <c r="AL429" s="429"/>
      <c r="AM429" s="429">
        <f>F429</f>
        <v>120</v>
      </c>
      <c r="AN429" s="429"/>
      <c r="AO429" s="429"/>
      <c r="AP429" s="429"/>
      <c r="AQ429" s="429"/>
      <c r="AR429" s="429"/>
      <c r="AS429" s="429"/>
      <c r="AT429" s="429"/>
      <c r="AU429" s="429"/>
      <c r="AV429" s="429"/>
      <c r="AW429" s="429"/>
      <c r="AX429" s="429"/>
      <c r="AY429" s="429"/>
      <c r="AZ429" s="429"/>
      <c r="BA429" s="429"/>
      <c r="BB429" s="429"/>
      <c r="BC429" s="429"/>
      <c r="BD429" s="429"/>
      <c r="BE429" s="429"/>
      <c r="BF429" s="429"/>
      <c r="BG429" s="429"/>
      <c r="BH429" s="429"/>
      <c r="BI429" s="429"/>
      <c r="BJ429" s="429"/>
      <c r="BK429" s="429"/>
      <c r="BL429" s="429"/>
      <c r="BM429" s="429"/>
      <c r="BN429" s="429"/>
      <c r="BO429" s="429"/>
      <c r="BP429" s="102"/>
      <c r="BQ429" s="102">
        <v>3.816</v>
      </c>
      <c r="BR429" s="451">
        <f t="shared" si="45"/>
        <v>457.92</v>
      </c>
      <c r="BS429" s="451">
        <f t="shared" si="46"/>
        <v>3548.88</v>
      </c>
      <c r="BT429" s="429" t="str">
        <f>IFERROR(VLOOKUP(E429,名称!A:D,4,FALSE),"")</f>
        <v>KIK</v>
      </c>
    </row>
    <row r="430" s="427" customFormat="1" hidden="1" customHeight="1" spans="1:72">
      <c r="A430" s="93">
        <v>46114</v>
      </c>
      <c r="B430" s="95" t="s">
        <v>237</v>
      </c>
      <c r="C430" s="96">
        <v>10124085</v>
      </c>
      <c r="D430" s="96" t="s">
        <v>278</v>
      </c>
      <c r="E430" s="97" t="s">
        <v>113</v>
      </c>
      <c r="F430" s="99">
        <v>700</v>
      </c>
      <c r="G430" s="93">
        <v>46176</v>
      </c>
      <c r="H430" s="429"/>
      <c r="I430" s="429"/>
      <c r="J430" s="429"/>
      <c r="K430" s="429"/>
      <c r="L430" s="429"/>
      <c r="M430" s="429"/>
      <c r="N430" s="429"/>
      <c r="O430" s="429"/>
      <c r="P430" s="429"/>
      <c r="Q430" s="429"/>
      <c r="R430" s="429"/>
      <c r="S430" s="429"/>
      <c r="T430" s="429"/>
      <c r="U430" s="429"/>
      <c r="V430" s="429"/>
      <c r="W430" s="429"/>
      <c r="X430" s="429"/>
      <c r="Y430" s="429"/>
      <c r="Z430" s="429"/>
      <c r="AA430" s="429"/>
      <c r="AB430" s="429"/>
      <c r="AC430" s="429"/>
      <c r="AD430" s="429"/>
      <c r="AE430" s="429"/>
      <c r="AF430" s="429"/>
      <c r="AG430" s="429"/>
      <c r="AH430" s="429"/>
      <c r="AI430" s="429"/>
      <c r="AJ430" s="429"/>
      <c r="AK430" s="429"/>
      <c r="AL430" s="429"/>
      <c r="AM430" s="429"/>
      <c r="AN430" s="429">
        <f>F430</f>
        <v>700</v>
      </c>
      <c r="AO430" s="429"/>
      <c r="AP430" s="429"/>
      <c r="AQ430" s="429"/>
      <c r="AR430" s="429"/>
      <c r="AS430" s="429"/>
      <c r="AT430" s="429"/>
      <c r="AU430" s="429"/>
      <c r="AV430" s="429"/>
      <c r="AW430" s="429"/>
      <c r="AX430" s="429"/>
      <c r="AY430" s="429"/>
      <c r="AZ430" s="429"/>
      <c r="BA430" s="429"/>
      <c r="BB430" s="429"/>
      <c r="BC430" s="429"/>
      <c r="BD430" s="429"/>
      <c r="BE430" s="429"/>
      <c r="BF430" s="429"/>
      <c r="BG430" s="429"/>
      <c r="BH430" s="429"/>
      <c r="BI430" s="429"/>
      <c r="BJ430" s="429"/>
      <c r="BK430" s="429"/>
      <c r="BL430" s="429"/>
      <c r="BM430" s="429"/>
      <c r="BN430" s="429"/>
      <c r="BO430" s="429"/>
      <c r="BP430" s="102"/>
      <c r="BQ430" s="102">
        <v>5.97</v>
      </c>
      <c r="BR430" s="451">
        <f t="shared" si="45"/>
        <v>4179</v>
      </c>
      <c r="BS430" s="451">
        <f t="shared" si="46"/>
        <v>32387.25</v>
      </c>
      <c r="BT430" s="429" t="str">
        <f>IFERROR(VLOOKUP(E430,名称!A:D,4,FALSE),"")</f>
        <v>KIK</v>
      </c>
    </row>
    <row r="431" s="427" customFormat="1" hidden="1" customHeight="1" spans="1:72">
      <c r="A431" s="93">
        <v>46114</v>
      </c>
      <c r="B431" s="95" t="s">
        <v>237</v>
      </c>
      <c r="C431" s="96">
        <v>10124085</v>
      </c>
      <c r="D431" s="96" t="s">
        <v>278</v>
      </c>
      <c r="E431" s="97" t="s">
        <v>120</v>
      </c>
      <c r="F431" s="99">
        <v>150</v>
      </c>
      <c r="G431" s="93">
        <v>46176</v>
      </c>
      <c r="H431" s="429"/>
      <c r="I431" s="429"/>
      <c r="J431" s="429"/>
      <c r="K431" s="429"/>
      <c r="L431" s="429"/>
      <c r="M431" s="429"/>
      <c r="N431" s="429"/>
      <c r="O431" s="429"/>
      <c r="P431" s="429"/>
      <c r="Q431" s="429"/>
      <c r="R431" s="429"/>
      <c r="S431" s="429"/>
      <c r="T431" s="429"/>
      <c r="U431" s="429"/>
      <c r="V431" s="429"/>
      <c r="W431" s="429"/>
      <c r="X431" s="429"/>
      <c r="Y431" s="429"/>
      <c r="Z431" s="429"/>
      <c r="AA431" s="429"/>
      <c r="AB431" s="429"/>
      <c r="AC431" s="429"/>
      <c r="AD431" s="429"/>
      <c r="AE431" s="429"/>
      <c r="AF431" s="429"/>
      <c r="AG431" s="429"/>
      <c r="AH431" s="429"/>
      <c r="AI431" s="429"/>
      <c r="AJ431" s="429"/>
      <c r="AK431" s="429"/>
      <c r="AL431" s="429"/>
      <c r="AM431" s="429"/>
      <c r="AN431" s="429"/>
      <c r="AO431" s="429"/>
      <c r="AP431" s="429"/>
      <c r="AQ431" s="429"/>
      <c r="AR431" s="429">
        <f>F431</f>
        <v>150</v>
      </c>
      <c r="AS431" s="429"/>
      <c r="AT431" s="429"/>
      <c r="AU431" s="429"/>
      <c r="AV431" s="429"/>
      <c r="AW431" s="429"/>
      <c r="AX431" s="429"/>
      <c r="AY431" s="429"/>
      <c r="AZ431" s="429"/>
      <c r="BA431" s="429"/>
      <c r="BB431" s="429"/>
      <c r="BC431" s="429"/>
      <c r="BD431" s="429"/>
      <c r="BE431" s="429"/>
      <c r="BF431" s="429"/>
      <c r="BG431" s="429"/>
      <c r="BH431" s="429"/>
      <c r="BI431" s="429"/>
      <c r="BJ431" s="429"/>
      <c r="BK431" s="429"/>
      <c r="BL431" s="429"/>
      <c r="BM431" s="429"/>
      <c r="BN431" s="429"/>
      <c r="BO431" s="429"/>
      <c r="BP431" s="102"/>
      <c r="BQ431" s="102">
        <v>21.246</v>
      </c>
      <c r="BR431" s="451">
        <f t="shared" si="45"/>
        <v>3186.9</v>
      </c>
      <c r="BS431" s="451">
        <f t="shared" si="46"/>
        <v>24698.48</v>
      </c>
      <c r="BT431" s="429" t="str">
        <f>IFERROR(VLOOKUP(E431,名称!A:D,4,FALSE),"")</f>
        <v>KIK</v>
      </c>
    </row>
    <row r="432" s="427" customFormat="1" hidden="1" customHeight="1" spans="1:72">
      <c r="A432" s="93">
        <v>46114</v>
      </c>
      <c r="B432" s="95" t="s">
        <v>237</v>
      </c>
      <c r="C432" s="96">
        <v>10124085</v>
      </c>
      <c r="D432" s="96" t="s">
        <v>278</v>
      </c>
      <c r="E432" s="97" t="s">
        <v>107</v>
      </c>
      <c r="F432" s="99">
        <v>144</v>
      </c>
      <c r="G432" s="93">
        <v>46176</v>
      </c>
      <c r="H432" s="429"/>
      <c r="I432" s="429"/>
      <c r="J432" s="429"/>
      <c r="K432" s="429"/>
      <c r="L432" s="429"/>
      <c r="M432" s="429"/>
      <c r="N432" s="429"/>
      <c r="O432" s="429"/>
      <c r="P432" s="429"/>
      <c r="Q432" s="429"/>
      <c r="R432" s="429"/>
      <c r="S432" s="429"/>
      <c r="T432" s="429"/>
      <c r="U432" s="429"/>
      <c r="V432" s="429"/>
      <c r="W432" s="429"/>
      <c r="X432" s="429"/>
      <c r="Y432" s="429"/>
      <c r="Z432" s="429"/>
      <c r="AA432" s="429"/>
      <c r="AB432" s="429"/>
      <c r="AC432" s="429"/>
      <c r="AD432" s="429"/>
      <c r="AE432" s="429"/>
      <c r="AF432" s="429"/>
      <c r="AG432" s="429"/>
      <c r="AH432" s="429"/>
      <c r="AI432" s="429"/>
      <c r="AJ432" s="429"/>
      <c r="AK432" s="429">
        <f>F432</f>
        <v>144</v>
      </c>
      <c r="AL432" s="429"/>
      <c r="AM432" s="429"/>
      <c r="AN432" s="429"/>
      <c r="AO432" s="429"/>
      <c r="AP432" s="429"/>
      <c r="AQ432" s="429"/>
      <c r="AR432" s="429"/>
      <c r="AS432" s="429"/>
      <c r="AT432" s="429"/>
      <c r="AU432" s="429"/>
      <c r="AV432" s="429"/>
      <c r="AW432" s="429"/>
      <c r="AX432" s="429"/>
      <c r="AY432" s="429"/>
      <c r="AZ432" s="429"/>
      <c r="BA432" s="429"/>
      <c r="BB432" s="429"/>
      <c r="BC432" s="429"/>
      <c r="BD432" s="429"/>
      <c r="BE432" s="429"/>
      <c r="BF432" s="429"/>
      <c r="BG432" s="429"/>
      <c r="BH432" s="429"/>
      <c r="BI432" s="429"/>
      <c r="BJ432" s="429"/>
      <c r="BK432" s="429"/>
      <c r="BL432" s="429"/>
      <c r="BM432" s="429"/>
      <c r="BN432" s="429"/>
      <c r="BO432" s="429"/>
      <c r="BP432" s="102"/>
      <c r="BQ432" s="102">
        <v>4.956</v>
      </c>
      <c r="BR432" s="451">
        <f t="shared" si="45"/>
        <v>713.66</v>
      </c>
      <c r="BS432" s="451">
        <f t="shared" si="46"/>
        <v>5530.87</v>
      </c>
      <c r="BT432" s="429" t="str">
        <f>IFERROR(VLOOKUP(E432,名称!A:D,4,FALSE),"")</f>
        <v>KIK</v>
      </c>
    </row>
    <row r="433" s="425" customFormat="1" hidden="1" customHeight="1" spans="1:72">
      <c r="A433" s="108">
        <v>46114</v>
      </c>
      <c r="B433" s="109" t="s">
        <v>235</v>
      </c>
      <c r="C433" s="110"/>
      <c r="D433" s="110">
        <v>4500032586</v>
      </c>
      <c r="E433" s="30" t="s">
        <v>185</v>
      </c>
      <c r="F433" s="31">
        <v>4800</v>
      </c>
      <c r="G433" s="108">
        <v>46280</v>
      </c>
      <c r="H433" s="443"/>
      <c r="I433" s="443"/>
      <c r="J433" s="443"/>
      <c r="K433" s="443"/>
      <c r="L433" s="443"/>
      <c r="M433" s="443"/>
      <c r="N433" s="443"/>
      <c r="O433" s="443"/>
      <c r="P433" s="443"/>
      <c r="Q433" s="443"/>
      <c r="R433" s="443"/>
      <c r="S433" s="443"/>
      <c r="T433" s="443"/>
      <c r="U433" s="443"/>
      <c r="V433" s="443"/>
      <c r="W433" s="443"/>
      <c r="X433" s="443"/>
      <c r="Y433" s="443"/>
      <c r="Z433" s="443"/>
      <c r="AA433" s="443"/>
      <c r="AB433" s="443"/>
      <c r="AC433" s="443"/>
      <c r="AD433" s="443"/>
      <c r="AE433" s="443"/>
      <c r="AF433" s="443"/>
      <c r="AG433" s="443"/>
      <c r="AH433" s="443"/>
      <c r="AI433" s="443"/>
      <c r="AJ433" s="443"/>
      <c r="AK433" s="443"/>
      <c r="AL433" s="443"/>
      <c r="AM433" s="443"/>
      <c r="AN433" s="443"/>
      <c r="AO433" s="443"/>
      <c r="AP433" s="443"/>
      <c r="AQ433" s="443"/>
      <c r="AR433" s="443"/>
      <c r="AS433" s="443"/>
      <c r="AT433" s="443"/>
      <c r="AU433" s="443"/>
      <c r="AV433" s="443"/>
      <c r="AW433" s="443"/>
      <c r="AX433" s="443"/>
      <c r="AY433" s="443"/>
      <c r="AZ433" s="443"/>
      <c r="BA433" s="443"/>
      <c r="BB433" s="443">
        <f>F433</f>
        <v>4800</v>
      </c>
      <c r="BC433" s="443"/>
      <c r="BD433" s="443"/>
      <c r="BE433" s="443"/>
      <c r="BF433" s="443"/>
      <c r="BG433" s="443"/>
      <c r="BH433" s="443"/>
      <c r="BI433" s="443"/>
      <c r="BJ433" s="443"/>
      <c r="BK433" s="443"/>
      <c r="BL433" s="443"/>
      <c r="BM433" s="443"/>
      <c r="BN433" s="443"/>
      <c r="BO433" s="443"/>
      <c r="BP433" s="92"/>
      <c r="BQ433" s="92">
        <v>25.96</v>
      </c>
      <c r="BR433" s="462">
        <f t="shared" si="45"/>
        <v>124608</v>
      </c>
      <c r="BS433" s="447">
        <f t="shared" si="46"/>
        <v>965712</v>
      </c>
      <c r="BT433" s="443" t="str">
        <f>IFERROR(VLOOKUP(E433,名称!A:D,4,FALSE),"")</f>
        <v>RRM</v>
      </c>
    </row>
    <row r="434" s="427" customFormat="1" hidden="1" customHeight="1" spans="1:72">
      <c r="A434" s="93">
        <v>46115</v>
      </c>
      <c r="B434" s="95" t="s">
        <v>248</v>
      </c>
      <c r="C434" s="96">
        <v>10124190</v>
      </c>
      <c r="D434" s="96">
        <v>4500032599</v>
      </c>
      <c r="E434" s="97" t="s">
        <v>113</v>
      </c>
      <c r="F434" s="99">
        <v>3000</v>
      </c>
      <c r="G434" s="93">
        <v>46218</v>
      </c>
      <c r="H434" s="429"/>
      <c r="I434" s="429"/>
      <c r="J434" s="429"/>
      <c r="K434" s="429"/>
      <c r="L434" s="429"/>
      <c r="M434" s="429"/>
      <c r="N434" s="429"/>
      <c r="O434" s="429"/>
      <c r="P434" s="429"/>
      <c r="Q434" s="429"/>
      <c r="R434" s="429"/>
      <c r="S434" s="429"/>
      <c r="T434" s="429"/>
      <c r="U434" s="429"/>
      <c r="V434" s="429"/>
      <c r="W434" s="429"/>
      <c r="X434" s="429"/>
      <c r="Y434" s="429"/>
      <c r="Z434" s="429"/>
      <c r="AA434" s="429"/>
      <c r="AB434" s="429"/>
      <c r="AC434" s="429"/>
      <c r="AD434" s="429"/>
      <c r="AE434" s="429"/>
      <c r="AF434" s="429"/>
      <c r="AG434" s="429"/>
      <c r="AH434" s="429"/>
      <c r="AI434" s="429"/>
      <c r="AJ434" s="429"/>
      <c r="AK434" s="429"/>
      <c r="AL434" s="429"/>
      <c r="AM434" s="429"/>
      <c r="AN434" s="429">
        <f>F434</f>
        <v>3000</v>
      </c>
      <c r="AO434" s="429"/>
      <c r="AP434" s="429"/>
      <c r="AQ434" s="429"/>
      <c r="AR434" s="429"/>
      <c r="AS434" s="429"/>
      <c r="AT434" s="429"/>
      <c r="AU434" s="429"/>
      <c r="AV434" s="429"/>
      <c r="AW434" s="429"/>
      <c r="AX434" s="429"/>
      <c r="AY434" s="429"/>
      <c r="AZ434" s="429"/>
      <c r="BA434" s="429"/>
      <c r="BB434" s="429"/>
      <c r="BC434" s="429"/>
      <c r="BD434" s="429"/>
      <c r="BE434" s="429"/>
      <c r="BF434" s="429"/>
      <c r="BG434" s="429"/>
      <c r="BH434" s="429"/>
      <c r="BI434" s="429"/>
      <c r="BJ434" s="429"/>
      <c r="BK434" s="429"/>
      <c r="BL434" s="429"/>
      <c r="BM434" s="429"/>
      <c r="BN434" s="429"/>
      <c r="BO434" s="429"/>
      <c r="BP434" s="102"/>
      <c r="BQ434" s="102">
        <v>5.97</v>
      </c>
      <c r="BR434" s="451">
        <f t="shared" si="45"/>
        <v>17910</v>
      </c>
      <c r="BS434" s="451">
        <f t="shared" si="46"/>
        <v>138802.5</v>
      </c>
      <c r="BT434" s="429" t="str">
        <f>IFERROR(VLOOKUP(E434,名称!A:D,4,FALSE),"")</f>
        <v>KIK</v>
      </c>
    </row>
    <row r="435" s="427" customFormat="1" hidden="1" customHeight="1" spans="1:72">
      <c r="A435" s="93">
        <v>46115</v>
      </c>
      <c r="B435" s="95" t="s">
        <v>237</v>
      </c>
      <c r="C435" s="96">
        <v>10124130</v>
      </c>
      <c r="D435" s="96">
        <v>187625003</v>
      </c>
      <c r="E435" s="97">
        <v>47669</v>
      </c>
      <c r="F435" s="99">
        <v>92</v>
      </c>
      <c r="G435" s="93">
        <v>46176</v>
      </c>
      <c r="H435" s="429"/>
      <c r="I435" s="429"/>
      <c r="J435" s="429"/>
      <c r="K435" s="429"/>
      <c r="L435" s="429"/>
      <c r="M435" s="429"/>
      <c r="N435" s="429"/>
      <c r="O435" s="429"/>
      <c r="P435" s="429"/>
      <c r="Q435" s="429"/>
      <c r="R435" s="429">
        <f>F435</f>
        <v>92</v>
      </c>
      <c r="S435" s="429"/>
      <c r="T435" s="429"/>
      <c r="U435" s="429"/>
      <c r="V435" s="429"/>
      <c r="W435" s="429"/>
      <c r="X435" s="429"/>
      <c r="Y435" s="429"/>
      <c r="Z435" s="429"/>
      <c r="AA435" s="429"/>
      <c r="AB435" s="429"/>
      <c r="AC435" s="429"/>
      <c r="AD435" s="429"/>
      <c r="AE435" s="429"/>
      <c r="AF435" s="429"/>
      <c r="AG435" s="429"/>
      <c r="AH435" s="429"/>
      <c r="AI435" s="429"/>
      <c r="AJ435" s="429"/>
      <c r="AK435" s="429"/>
      <c r="AL435" s="429"/>
      <c r="AM435" s="429"/>
      <c r="AN435" s="429"/>
      <c r="AO435" s="429"/>
      <c r="AP435" s="429"/>
      <c r="AQ435" s="429"/>
      <c r="AR435" s="429"/>
      <c r="AS435" s="429"/>
      <c r="AT435" s="429"/>
      <c r="AU435" s="429"/>
      <c r="AV435" s="429"/>
      <c r="AW435" s="429"/>
      <c r="AX435" s="429"/>
      <c r="AY435" s="429"/>
      <c r="AZ435" s="429"/>
      <c r="BA435" s="429"/>
      <c r="BB435" s="429"/>
      <c r="BC435" s="429"/>
      <c r="BD435" s="429"/>
      <c r="BE435" s="429"/>
      <c r="BF435" s="429"/>
      <c r="BG435" s="429"/>
      <c r="BH435" s="429"/>
      <c r="BI435" s="429"/>
      <c r="BJ435" s="429"/>
      <c r="BK435" s="429"/>
      <c r="BL435" s="429"/>
      <c r="BM435" s="429"/>
      <c r="BN435" s="429"/>
      <c r="BO435" s="429"/>
      <c r="BP435" s="102"/>
      <c r="BQ435" s="102">
        <v>4.808</v>
      </c>
      <c r="BR435" s="451">
        <f t="shared" si="45"/>
        <v>442.34</v>
      </c>
      <c r="BS435" s="451">
        <f t="shared" si="46"/>
        <v>3428.14</v>
      </c>
      <c r="BT435" s="429" t="str">
        <f>IFERROR(VLOOKUP(E435,名称!A:D,4,FALSE),"")</f>
        <v>KIK</v>
      </c>
    </row>
    <row r="436" s="427" customFormat="1" hidden="1" customHeight="1" spans="1:72">
      <c r="A436" s="93">
        <v>46115</v>
      </c>
      <c r="B436" s="95" t="s">
        <v>237</v>
      </c>
      <c r="C436" s="96">
        <v>10124130</v>
      </c>
      <c r="D436" s="96">
        <v>187625003</v>
      </c>
      <c r="E436" s="97" t="s">
        <v>118</v>
      </c>
      <c r="F436" s="99">
        <v>60</v>
      </c>
      <c r="G436" s="93">
        <v>46176</v>
      </c>
      <c r="H436" s="429"/>
      <c r="I436" s="429"/>
      <c r="J436" s="429"/>
      <c r="K436" s="429"/>
      <c r="L436" s="429"/>
      <c r="M436" s="429"/>
      <c r="N436" s="429"/>
      <c r="O436" s="429"/>
      <c r="P436" s="429"/>
      <c r="Q436" s="429"/>
      <c r="R436" s="429"/>
      <c r="S436" s="429"/>
      <c r="T436" s="429"/>
      <c r="U436" s="429"/>
      <c r="V436" s="429"/>
      <c r="W436" s="429"/>
      <c r="X436" s="429"/>
      <c r="Y436" s="429"/>
      <c r="Z436" s="429"/>
      <c r="AA436" s="429"/>
      <c r="AB436" s="429"/>
      <c r="AC436" s="429"/>
      <c r="AD436" s="429"/>
      <c r="AE436" s="429"/>
      <c r="AF436" s="429"/>
      <c r="AG436" s="429"/>
      <c r="AH436" s="429"/>
      <c r="AI436" s="429"/>
      <c r="AJ436" s="429"/>
      <c r="AK436" s="429"/>
      <c r="AL436" s="429"/>
      <c r="AM436" s="429"/>
      <c r="AN436" s="429"/>
      <c r="AO436" s="429"/>
      <c r="AP436" s="429"/>
      <c r="AQ436" s="429">
        <f>F436</f>
        <v>60</v>
      </c>
      <c r="AR436" s="429"/>
      <c r="AS436" s="429"/>
      <c r="AT436" s="429"/>
      <c r="AU436" s="429"/>
      <c r="AV436" s="429"/>
      <c r="AW436" s="429"/>
      <c r="AX436" s="429"/>
      <c r="AY436" s="429"/>
      <c r="AZ436" s="429"/>
      <c r="BA436" s="429"/>
      <c r="BB436" s="429"/>
      <c r="BC436" s="429"/>
      <c r="BD436" s="429"/>
      <c r="BE436" s="429"/>
      <c r="BF436" s="429"/>
      <c r="BG436" s="429"/>
      <c r="BH436" s="429"/>
      <c r="BI436" s="429"/>
      <c r="BJ436" s="429"/>
      <c r="BK436" s="429"/>
      <c r="BL436" s="429"/>
      <c r="BM436" s="429"/>
      <c r="BN436" s="429"/>
      <c r="BO436" s="429"/>
      <c r="BP436" s="102"/>
      <c r="BQ436" s="102">
        <v>16.71</v>
      </c>
      <c r="BR436" s="451">
        <f t="shared" si="45"/>
        <v>1002.6</v>
      </c>
      <c r="BS436" s="451">
        <f t="shared" si="46"/>
        <v>7770.15</v>
      </c>
      <c r="BT436" s="429" t="str">
        <f>IFERROR(VLOOKUP(E436,名称!A:D,4,FALSE),"")</f>
        <v>KIK</v>
      </c>
    </row>
    <row r="437" s="427" customFormat="1" hidden="1" customHeight="1" spans="1:72">
      <c r="A437" s="93">
        <v>46115</v>
      </c>
      <c r="B437" s="95" t="s">
        <v>237</v>
      </c>
      <c r="C437" s="96">
        <v>10124130</v>
      </c>
      <c r="D437" s="96">
        <v>187625003</v>
      </c>
      <c r="E437" s="97" t="s">
        <v>105</v>
      </c>
      <c r="F437" s="99">
        <v>100</v>
      </c>
      <c r="G437" s="93">
        <v>46176</v>
      </c>
      <c r="H437" s="429"/>
      <c r="I437" s="429"/>
      <c r="J437" s="429"/>
      <c r="K437" s="429"/>
      <c r="L437" s="429"/>
      <c r="M437" s="429"/>
      <c r="N437" s="429"/>
      <c r="O437" s="429"/>
      <c r="P437" s="429"/>
      <c r="Q437" s="429"/>
      <c r="R437" s="429"/>
      <c r="S437" s="429"/>
      <c r="T437" s="429"/>
      <c r="U437" s="429"/>
      <c r="V437" s="429"/>
      <c r="W437" s="429"/>
      <c r="X437" s="429"/>
      <c r="Y437" s="429"/>
      <c r="Z437" s="429"/>
      <c r="AA437" s="429"/>
      <c r="AB437" s="429"/>
      <c r="AC437" s="429"/>
      <c r="AD437" s="429"/>
      <c r="AE437" s="429"/>
      <c r="AF437" s="429"/>
      <c r="AG437" s="429"/>
      <c r="AH437" s="429"/>
      <c r="AI437" s="429"/>
      <c r="AJ437" s="429">
        <f>F437</f>
        <v>100</v>
      </c>
      <c r="AK437" s="429"/>
      <c r="AL437" s="429"/>
      <c r="AM437" s="429"/>
      <c r="AN437" s="429"/>
      <c r="AO437" s="429"/>
      <c r="AP437" s="429"/>
      <c r="AQ437" s="429"/>
      <c r="AR437" s="429"/>
      <c r="AS437" s="429"/>
      <c r="AT437" s="429"/>
      <c r="AU437" s="429"/>
      <c r="AV437" s="429"/>
      <c r="AW437" s="429"/>
      <c r="AX437" s="429"/>
      <c r="AY437" s="429"/>
      <c r="AZ437" s="429"/>
      <c r="BA437" s="429"/>
      <c r="BB437" s="429"/>
      <c r="BC437" s="429"/>
      <c r="BD437" s="429"/>
      <c r="BE437" s="429"/>
      <c r="BF437" s="429"/>
      <c r="BG437" s="429"/>
      <c r="BH437" s="429"/>
      <c r="BI437" s="429"/>
      <c r="BJ437" s="429"/>
      <c r="BK437" s="429"/>
      <c r="BL437" s="429"/>
      <c r="BM437" s="429"/>
      <c r="BN437" s="429"/>
      <c r="BO437" s="429"/>
      <c r="BP437" s="102"/>
      <c r="BQ437" s="102">
        <v>2.994</v>
      </c>
      <c r="BR437" s="451">
        <f t="shared" si="45"/>
        <v>299.4</v>
      </c>
      <c r="BS437" s="451">
        <f t="shared" si="46"/>
        <v>2320.35</v>
      </c>
      <c r="BT437" s="429" t="str">
        <f>IFERROR(VLOOKUP(E437,名称!A:D,4,FALSE),"")</f>
        <v>KIK</v>
      </c>
    </row>
    <row r="438" s="427" customFormat="1" hidden="1" customHeight="1" spans="1:72">
      <c r="A438" s="93">
        <v>46115</v>
      </c>
      <c r="B438" s="95" t="s">
        <v>237</v>
      </c>
      <c r="C438" s="96">
        <v>10124130</v>
      </c>
      <c r="D438" s="96">
        <v>187625003</v>
      </c>
      <c r="E438" s="97" t="s">
        <v>111</v>
      </c>
      <c r="F438" s="99">
        <v>120</v>
      </c>
      <c r="G438" s="93">
        <v>46176</v>
      </c>
      <c r="H438" s="429"/>
      <c r="I438" s="429"/>
      <c r="J438" s="429"/>
      <c r="K438" s="429"/>
      <c r="L438" s="429"/>
      <c r="M438" s="429"/>
      <c r="N438" s="429"/>
      <c r="O438" s="429"/>
      <c r="P438" s="429"/>
      <c r="Q438" s="429"/>
      <c r="R438" s="429"/>
      <c r="S438" s="429"/>
      <c r="T438" s="429"/>
      <c r="U438" s="429"/>
      <c r="V438" s="429"/>
      <c r="W438" s="429"/>
      <c r="X438" s="429"/>
      <c r="Y438" s="429"/>
      <c r="Z438" s="429"/>
      <c r="AA438" s="429"/>
      <c r="AB438" s="429"/>
      <c r="AC438" s="429"/>
      <c r="AD438" s="429"/>
      <c r="AE438" s="429"/>
      <c r="AF438" s="429"/>
      <c r="AG438" s="429"/>
      <c r="AH438" s="429"/>
      <c r="AI438" s="429"/>
      <c r="AJ438" s="429"/>
      <c r="AK438" s="429"/>
      <c r="AL438" s="429"/>
      <c r="AM438" s="429">
        <f>F438</f>
        <v>120</v>
      </c>
      <c r="AN438" s="429"/>
      <c r="AO438" s="429"/>
      <c r="AP438" s="429"/>
      <c r="AQ438" s="429"/>
      <c r="AR438" s="429"/>
      <c r="AS438" s="429"/>
      <c r="AT438" s="429"/>
      <c r="AU438" s="429"/>
      <c r="AV438" s="429"/>
      <c r="AW438" s="429"/>
      <c r="AX438" s="429"/>
      <c r="AY438" s="429"/>
      <c r="AZ438" s="429"/>
      <c r="BA438" s="429"/>
      <c r="BB438" s="429"/>
      <c r="BC438" s="429"/>
      <c r="BD438" s="429"/>
      <c r="BE438" s="429"/>
      <c r="BF438" s="429"/>
      <c r="BG438" s="429"/>
      <c r="BH438" s="429"/>
      <c r="BI438" s="429"/>
      <c r="BJ438" s="429"/>
      <c r="BK438" s="429"/>
      <c r="BL438" s="429"/>
      <c r="BM438" s="429"/>
      <c r="BN438" s="429"/>
      <c r="BO438" s="429"/>
      <c r="BP438" s="102"/>
      <c r="BQ438" s="102">
        <v>3.816</v>
      </c>
      <c r="BR438" s="451">
        <f t="shared" si="45"/>
        <v>457.92</v>
      </c>
      <c r="BS438" s="451">
        <f t="shared" si="46"/>
        <v>3548.88</v>
      </c>
      <c r="BT438" s="429" t="str">
        <f>IFERROR(VLOOKUP(E438,名称!A:D,4,FALSE),"")</f>
        <v>KIK</v>
      </c>
    </row>
    <row r="439" s="427" customFormat="1" hidden="1" customHeight="1" spans="1:72">
      <c r="A439" s="93">
        <v>46115</v>
      </c>
      <c r="B439" s="95" t="s">
        <v>237</v>
      </c>
      <c r="C439" s="96">
        <v>10124130</v>
      </c>
      <c r="D439" s="96">
        <v>187625003</v>
      </c>
      <c r="E439" s="97" t="s">
        <v>113</v>
      </c>
      <c r="F439" s="99">
        <v>210</v>
      </c>
      <c r="G439" s="93">
        <v>46176</v>
      </c>
      <c r="H439" s="429"/>
      <c r="I439" s="429"/>
      <c r="J439" s="429"/>
      <c r="K439" s="429"/>
      <c r="L439" s="429"/>
      <c r="M439" s="429"/>
      <c r="N439" s="429"/>
      <c r="O439" s="429"/>
      <c r="P439" s="429"/>
      <c r="Q439" s="429"/>
      <c r="R439" s="429"/>
      <c r="S439" s="429"/>
      <c r="T439" s="429"/>
      <c r="U439" s="429"/>
      <c r="V439" s="429"/>
      <c r="W439" s="429"/>
      <c r="X439" s="429"/>
      <c r="Y439" s="429"/>
      <c r="Z439" s="429"/>
      <c r="AA439" s="429"/>
      <c r="AB439" s="429"/>
      <c r="AC439" s="429"/>
      <c r="AD439" s="429"/>
      <c r="AE439" s="429"/>
      <c r="AF439" s="429"/>
      <c r="AG439" s="429"/>
      <c r="AH439" s="429"/>
      <c r="AI439" s="429"/>
      <c r="AJ439" s="429"/>
      <c r="AK439" s="429"/>
      <c r="AL439" s="429"/>
      <c r="AM439" s="429"/>
      <c r="AN439" s="429">
        <f>F439</f>
        <v>210</v>
      </c>
      <c r="AO439" s="429"/>
      <c r="AP439" s="429"/>
      <c r="AQ439" s="429"/>
      <c r="AR439" s="429"/>
      <c r="AS439" s="429"/>
      <c r="AT439" s="429"/>
      <c r="AU439" s="429"/>
      <c r="AV439" s="429"/>
      <c r="AW439" s="429"/>
      <c r="AX439" s="429"/>
      <c r="AY439" s="429"/>
      <c r="AZ439" s="429"/>
      <c r="BA439" s="429"/>
      <c r="BB439" s="429"/>
      <c r="BC439" s="429"/>
      <c r="BD439" s="429"/>
      <c r="BE439" s="429"/>
      <c r="BF439" s="429"/>
      <c r="BG439" s="429"/>
      <c r="BH439" s="429"/>
      <c r="BI439" s="429"/>
      <c r="BJ439" s="429"/>
      <c r="BK439" s="429"/>
      <c r="BL439" s="429"/>
      <c r="BM439" s="429"/>
      <c r="BN439" s="429"/>
      <c r="BO439" s="429"/>
      <c r="BP439" s="102"/>
      <c r="BQ439" s="102">
        <v>5.97</v>
      </c>
      <c r="BR439" s="451">
        <f t="shared" si="45"/>
        <v>1253.7</v>
      </c>
      <c r="BS439" s="451">
        <f t="shared" si="46"/>
        <v>9716.18</v>
      </c>
      <c r="BT439" s="429" t="str">
        <f>IFERROR(VLOOKUP(E439,名称!A:D,4,FALSE),"")</f>
        <v>KIK</v>
      </c>
    </row>
    <row r="440" s="427" customFormat="1" hidden="1" customHeight="1" spans="1:72">
      <c r="A440" s="93">
        <v>46115</v>
      </c>
      <c r="B440" s="95" t="s">
        <v>237</v>
      </c>
      <c r="C440" s="96">
        <v>10124130</v>
      </c>
      <c r="D440" s="96">
        <v>187625003</v>
      </c>
      <c r="E440" s="97" t="s">
        <v>120</v>
      </c>
      <c r="F440" s="99">
        <v>200</v>
      </c>
      <c r="G440" s="93">
        <v>46176</v>
      </c>
      <c r="H440" s="429"/>
      <c r="I440" s="429"/>
      <c r="J440" s="429"/>
      <c r="K440" s="429"/>
      <c r="L440" s="429"/>
      <c r="M440" s="429"/>
      <c r="N440" s="429"/>
      <c r="O440" s="429"/>
      <c r="P440" s="429"/>
      <c r="Q440" s="429"/>
      <c r="R440" s="429"/>
      <c r="S440" s="429"/>
      <c r="T440" s="429"/>
      <c r="U440" s="429"/>
      <c r="V440" s="429"/>
      <c r="W440" s="429"/>
      <c r="X440" s="429"/>
      <c r="Y440" s="429"/>
      <c r="Z440" s="429"/>
      <c r="AA440" s="429"/>
      <c r="AB440" s="429"/>
      <c r="AC440" s="429"/>
      <c r="AD440" s="429"/>
      <c r="AE440" s="429"/>
      <c r="AF440" s="429"/>
      <c r="AG440" s="429"/>
      <c r="AH440" s="429"/>
      <c r="AI440" s="429"/>
      <c r="AJ440" s="429"/>
      <c r="AK440" s="429"/>
      <c r="AL440" s="429"/>
      <c r="AM440" s="429"/>
      <c r="AN440" s="429"/>
      <c r="AO440" s="429"/>
      <c r="AP440" s="429"/>
      <c r="AQ440" s="429"/>
      <c r="AR440" s="429">
        <f>F440</f>
        <v>200</v>
      </c>
      <c r="AS440" s="429"/>
      <c r="AT440" s="429"/>
      <c r="AU440" s="429"/>
      <c r="AV440" s="429"/>
      <c r="AW440" s="429"/>
      <c r="AX440" s="429"/>
      <c r="AY440" s="429"/>
      <c r="AZ440" s="429"/>
      <c r="BA440" s="429"/>
      <c r="BB440" s="429"/>
      <c r="BC440" s="429"/>
      <c r="BD440" s="429"/>
      <c r="BE440" s="429"/>
      <c r="BF440" s="429"/>
      <c r="BG440" s="429"/>
      <c r="BH440" s="429"/>
      <c r="BI440" s="429"/>
      <c r="BJ440" s="429"/>
      <c r="BK440" s="429"/>
      <c r="BL440" s="429"/>
      <c r="BM440" s="429"/>
      <c r="BN440" s="429"/>
      <c r="BO440" s="429"/>
      <c r="BP440" s="102"/>
      <c r="BQ440" s="102">
        <v>21.246</v>
      </c>
      <c r="BR440" s="451">
        <f t="shared" si="45"/>
        <v>4249.2</v>
      </c>
      <c r="BS440" s="451">
        <f t="shared" si="46"/>
        <v>32931.3</v>
      </c>
      <c r="BT440" s="429" t="str">
        <f>IFERROR(VLOOKUP(E440,名称!A:D,4,FALSE),"")</f>
        <v>KIK</v>
      </c>
    </row>
    <row r="441" s="427" customFormat="1" hidden="1" customHeight="1" spans="1:72">
      <c r="A441" s="93">
        <v>46115</v>
      </c>
      <c r="B441" s="95" t="s">
        <v>237</v>
      </c>
      <c r="C441" s="96">
        <v>10124130</v>
      </c>
      <c r="D441" s="96">
        <v>187625003</v>
      </c>
      <c r="E441" s="97" t="s">
        <v>31</v>
      </c>
      <c r="F441" s="99">
        <v>100</v>
      </c>
      <c r="G441" s="93">
        <v>46176</v>
      </c>
      <c r="H441" s="429"/>
      <c r="I441" s="429"/>
      <c r="J441" s="429"/>
      <c r="K441" s="429"/>
      <c r="L441" s="429"/>
      <c r="M441" s="429"/>
      <c r="N441" s="429"/>
      <c r="O441" s="429"/>
      <c r="P441" s="429"/>
      <c r="Q441" s="429"/>
      <c r="R441" s="429"/>
      <c r="S441" s="429"/>
      <c r="T441" s="429"/>
      <c r="U441" s="429"/>
      <c r="V441" s="429"/>
      <c r="W441" s="429"/>
      <c r="X441" s="429"/>
      <c r="Y441" s="429"/>
      <c r="Z441" s="429">
        <f>F441</f>
        <v>100</v>
      </c>
      <c r="AA441" s="429"/>
      <c r="AB441" s="429"/>
      <c r="AC441" s="429"/>
      <c r="AD441" s="429"/>
      <c r="AE441" s="429"/>
      <c r="AF441" s="429"/>
      <c r="AG441" s="429"/>
      <c r="AH441" s="429"/>
      <c r="AI441" s="429"/>
      <c r="AJ441" s="429"/>
      <c r="AK441" s="429"/>
      <c r="AL441" s="429"/>
      <c r="AM441" s="429"/>
      <c r="AN441" s="429"/>
      <c r="AO441" s="429"/>
      <c r="AP441" s="429"/>
      <c r="AQ441" s="429"/>
      <c r="AR441" s="429"/>
      <c r="AS441" s="429"/>
      <c r="AT441" s="429"/>
      <c r="AU441" s="429"/>
      <c r="AV441" s="429"/>
      <c r="AW441" s="429"/>
      <c r="AX441" s="429"/>
      <c r="AY441" s="429"/>
      <c r="AZ441" s="429"/>
      <c r="BA441" s="429"/>
      <c r="BB441" s="429"/>
      <c r="BC441" s="429"/>
      <c r="BD441" s="429"/>
      <c r="BE441" s="429"/>
      <c r="BF441" s="429"/>
      <c r="BG441" s="429"/>
      <c r="BH441" s="429"/>
      <c r="BI441" s="429"/>
      <c r="BJ441" s="429"/>
      <c r="BK441" s="429"/>
      <c r="BL441" s="429"/>
      <c r="BM441" s="429"/>
      <c r="BN441" s="429"/>
      <c r="BO441" s="429"/>
      <c r="BP441" s="102"/>
      <c r="BQ441" s="102">
        <v>29.652</v>
      </c>
      <c r="BR441" s="451">
        <f t="shared" si="45"/>
        <v>2965.2</v>
      </c>
      <c r="BS441" s="451">
        <f t="shared" si="46"/>
        <v>22980.3</v>
      </c>
      <c r="BT441" s="429" t="str">
        <f>IFERROR(VLOOKUP(E441,名称!A:D,4,FALSE),"")</f>
        <v>KIK</v>
      </c>
    </row>
    <row r="442" s="427" customFormat="1" hidden="1" customHeight="1" spans="1:72">
      <c r="A442" s="93">
        <v>46115</v>
      </c>
      <c r="B442" s="95" t="s">
        <v>237</v>
      </c>
      <c r="C442" s="96">
        <v>10124132</v>
      </c>
      <c r="D442" s="96">
        <v>40123982</v>
      </c>
      <c r="E442" s="97" t="s">
        <v>29</v>
      </c>
      <c r="F442" s="99">
        <v>48</v>
      </c>
      <c r="G442" s="93">
        <v>46176</v>
      </c>
      <c r="H442" s="429"/>
      <c r="I442" s="429"/>
      <c r="J442" s="429">
        <f>F442</f>
        <v>48</v>
      </c>
      <c r="K442" s="429"/>
      <c r="L442" s="429"/>
      <c r="M442" s="429"/>
      <c r="N442" s="429"/>
      <c r="O442" s="429"/>
      <c r="P442" s="429"/>
      <c r="Q442" s="429"/>
      <c r="R442" s="429"/>
      <c r="S442" s="429"/>
      <c r="T442" s="429"/>
      <c r="U442" s="429"/>
      <c r="V442" s="429"/>
      <c r="W442" s="429"/>
      <c r="X442" s="429"/>
      <c r="Y442" s="429"/>
      <c r="Z442" s="429"/>
      <c r="AA442" s="429"/>
      <c r="AB442" s="429"/>
      <c r="AC442" s="429"/>
      <c r="AD442" s="429"/>
      <c r="AE442" s="429"/>
      <c r="AF442" s="429"/>
      <c r="AG442" s="429"/>
      <c r="AH442" s="429"/>
      <c r="AI442" s="429"/>
      <c r="AJ442" s="429"/>
      <c r="AK442" s="429"/>
      <c r="AL442" s="429"/>
      <c r="AM442" s="429"/>
      <c r="AN442" s="429"/>
      <c r="AO442" s="429"/>
      <c r="AP442" s="429"/>
      <c r="AQ442" s="429"/>
      <c r="AR442" s="429"/>
      <c r="AS442" s="429"/>
      <c r="AT442" s="429"/>
      <c r="AU442" s="429"/>
      <c r="AV442" s="429"/>
      <c r="AW442" s="429"/>
      <c r="AX442" s="429"/>
      <c r="AY442" s="429"/>
      <c r="AZ442" s="429"/>
      <c r="BA442" s="429"/>
      <c r="BB442" s="429"/>
      <c r="BC442" s="429"/>
      <c r="BD442" s="429"/>
      <c r="BE442" s="429"/>
      <c r="BF442" s="429"/>
      <c r="BG442" s="429"/>
      <c r="BH442" s="429"/>
      <c r="BI442" s="429"/>
      <c r="BJ442" s="429"/>
      <c r="BK442" s="429"/>
      <c r="BL442" s="429"/>
      <c r="BM442" s="429"/>
      <c r="BN442" s="429"/>
      <c r="BO442" s="429"/>
      <c r="BP442" s="102"/>
      <c r="BQ442" s="102">
        <v>21.801</v>
      </c>
      <c r="BR442" s="451">
        <f t="shared" si="45"/>
        <v>1046.45</v>
      </c>
      <c r="BS442" s="451">
        <f t="shared" si="46"/>
        <v>8109.99</v>
      </c>
      <c r="BT442" s="429" t="str">
        <f>IFERROR(VLOOKUP(E442,名称!A:D,4,FALSE),"")</f>
        <v>KIK</v>
      </c>
    </row>
    <row r="443" s="427" customFormat="1" hidden="1" customHeight="1" spans="1:72">
      <c r="A443" s="93">
        <v>46115</v>
      </c>
      <c r="B443" s="95" t="s">
        <v>237</v>
      </c>
      <c r="C443" s="96">
        <v>10124132</v>
      </c>
      <c r="D443" s="96">
        <v>40123982</v>
      </c>
      <c r="E443" s="97" t="s">
        <v>35</v>
      </c>
      <c r="F443" s="99">
        <v>62</v>
      </c>
      <c r="G443" s="93">
        <v>46176</v>
      </c>
      <c r="H443" s="429"/>
      <c r="I443" s="429"/>
      <c r="J443" s="429"/>
      <c r="K443" s="429"/>
      <c r="L443" s="429"/>
      <c r="M443" s="429"/>
      <c r="N443" s="429"/>
      <c r="O443" s="429"/>
      <c r="P443" s="429"/>
      <c r="Q443" s="429"/>
      <c r="R443" s="429"/>
      <c r="S443" s="429"/>
      <c r="T443" s="429"/>
      <c r="U443" s="429"/>
      <c r="V443" s="429"/>
      <c r="W443" s="429"/>
      <c r="X443" s="429"/>
      <c r="Y443" s="429">
        <f>F443</f>
        <v>62</v>
      </c>
      <c r="Z443" s="429"/>
      <c r="AA443" s="429"/>
      <c r="AB443" s="429"/>
      <c r="AC443" s="429"/>
      <c r="AD443" s="429"/>
      <c r="AE443" s="429"/>
      <c r="AF443" s="429"/>
      <c r="AG443" s="429"/>
      <c r="AH443" s="429"/>
      <c r="AI443" s="429"/>
      <c r="AJ443" s="429"/>
      <c r="AK443" s="429"/>
      <c r="AL443" s="429"/>
      <c r="AM443" s="429"/>
      <c r="AN443" s="429"/>
      <c r="AO443" s="429"/>
      <c r="AP443" s="429"/>
      <c r="AQ443" s="429"/>
      <c r="AR443" s="429"/>
      <c r="AS443" s="429"/>
      <c r="AT443" s="429"/>
      <c r="AU443" s="429"/>
      <c r="AV443" s="429"/>
      <c r="AW443" s="429"/>
      <c r="AX443" s="429"/>
      <c r="AY443" s="429"/>
      <c r="AZ443" s="429"/>
      <c r="BA443" s="429"/>
      <c r="BB443" s="429"/>
      <c r="BC443" s="429"/>
      <c r="BD443" s="429"/>
      <c r="BE443" s="429"/>
      <c r="BF443" s="429"/>
      <c r="BG443" s="429"/>
      <c r="BH443" s="429"/>
      <c r="BI443" s="429"/>
      <c r="BJ443" s="429"/>
      <c r="BK443" s="429"/>
      <c r="BL443" s="429"/>
      <c r="BM443" s="429"/>
      <c r="BN443" s="429"/>
      <c r="BO443" s="429"/>
      <c r="BP443" s="102"/>
      <c r="BQ443" s="102">
        <v>22.9</v>
      </c>
      <c r="BR443" s="451">
        <f t="shared" si="45"/>
        <v>1419.8</v>
      </c>
      <c r="BS443" s="451">
        <f t="shared" si="46"/>
        <v>11003.45</v>
      </c>
      <c r="BT443" s="429" t="str">
        <f>IFERROR(VLOOKUP(E443,名称!A:D,4,FALSE),"")</f>
        <v>KIK</v>
      </c>
    </row>
    <row r="444" s="427" customFormat="1" hidden="1" customHeight="1" spans="1:72">
      <c r="A444" s="93">
        <v>46115</v>
      </c>
      <c r="B444" s="95" t="s">
        <v>237</v>
      </c>
      <c r="C444" s="96">
        <v>10124132</v>
      </c>
      <c r="D444" s="96">
        <v>40123982</v>
      </c>
      <c r="E444" s="97" t="s">
        <v>31</v>
      </c>
      <c r="F444" s="99">
        <v>90</v>
      </c>
      <c r="G444" s="93">
        <v>46176</v>
      </c>
      <c r="H444" s="429"/>
      <c r="I444" s="429"/>
      <c r="J444" s="429"/>
      <c r="K444" s="429"/>
      <c r="L444" s="429"/>
      <c r="M444" s="429"/>
      <c r="N444" s="429"/>
      <c r="O444" s="429"/>
      <c r="P444" s="429"/>
      <c r="Q444" s="429"/>
      <c r="R444" s="429"/>
      <c r="S444" s="429"/>
      <c r="T444" s="429"/>
      <c r="U444" s="429"/>
      <c r="V444" s="429"/>
      <c r="W444" s="429"/>
      <c r="X444" s="429"/>
      <c r="Y444" s="429"/>
      <c r="Z444" s="429">
        <f>F444</f>
        <v>90</v>
      </c>
      <c r="AA444" s="429"/>
      <c r="AB444" s="429"/>
      <c r="AC444" s="429"/>
      <c r="AD444" s="429"/>
      <c r="AE444" s="429"/>
      <c r="AF444" s="429"/>
      <c r="AG444" s="429"/>
      <c r="AH444" s="429"/>
      <c r="AI444" s="429"/>
      <c r="AJ444" s="429"/>
      <c r="AK444" s="429"/>
      <c r="AL444" s="429"/>
      <c r="AM444" s="429"/>
      <c r="AN444" s="429"/>
      <c r="AO444" s="429"/>
      <c r="AP444" s="429"/>
      <c r="AQ444" s="429"/>
      <c r="AR444" s="429"/>
      <c r="AS444" s="429"/>
      <c r="AT444" s="429"/>
      <c r="AU444" s="429"/>
      <c r="AV444" s="429"/>
      <c r="AW444" s="429"/>
      <c r="AX444" s="429"/>
      <c r="AY444" s="429"/>
      <c r="AZ444" s="429"/>
      <c r="BA444" s="429"/>
      <c r="BB444" s="429"/>
      <c r="BC444" s="429"/>
      <c r="BD444" s="429"/>
      <c r="BE444" s="429"/>
      <c r="BF444" s="429"/>
      <c r="BG444" s="429"/>
      <c r="BH444" s="429"/>
      <c r="BI444" s="429"/>
      <c r="BJ444" s="429"/>
      <c r="BK444" s="429"/>
      <c r="BL444" s="429"/>
      <c r="BM444" s="429"/>
      <c r="BN444" s="429"/>
      <c r="BO444" s="429"/>
      <c r="BP444" s="102"/>
      <c r="BQ444" s="102">
        <v>29.652</v>
      </c>
      <c r="BR444" s="451">
        <f t="shared" si="45"/>
        <v>2668.68</v>
      </c>
      <c r="BS444" s="451">
        <f t="shared" si="46"/>
        <v>20682.27</v>
      </c>
      <c r="BT444" s="429" t="str">
        <f>IFERROR(VLOOKUP(E444,名称!A:D,4,FALSE),"")</f>
        <v>KIK</v>
      </c>
    </row>
    <row r="445" s="427" customFormat="1" hidden="1" customHeight="1" spans="1:72">
      <c r="A445" s="93">
        <v>46115</v>
      </c>
      <c r="B445" s="95" t="s">
        <v>237</v>
      </c>
      <c r="C445" s="96">
        <v>10124132</v>
      </c>
      <c r="D445" s="96">
        <v>40123982</v>
      </c>
      <c r="E445" s="97" t="s">
        <v>87</v>
      </c>
      <c r="F445" s="99">
        <v>34</v>
      </c>
      <c r="G445" s="93">
        <v>46176</v>
      </c>
      <c r="H445" s="429"/>
      <c r="I445" s="429"/>
      <c r="J445" s="429"/>
      <c r="K445" s="429"/>
      <c r="L445" s="429"/>
      <c r="M445" s="429"/>
      <c r="N445" s="429"/>
      <c r="O445" s="429"/>
      <c r="P445" s="429"/>
      <c r="Q445" s="429"/>
      <c r="R445" s="429"/>
      <c r="S445" s="429"/>
      <c r="T445" s="429"/>
      <c r="U445" s="429"/>
      <c r="V445" s="429"/>
      <c r="W445" s="429"/>
      <c r="X445" s="429"/>
      <c r="Y445" s="429"/>
      <c r="Z445" s="429"/>
      <c r="AA445" s="429"/>
      <c r="AB445" s="429"/>
      <c r="AC445" s="429"/>
      <c r="AD445" s="429">
        <f>F445</f>
        <v>34</v>
      </c>
      <c r="AE445" s="429"/>
      <c r="AF445" s="429"/>
      <c r="AG445" s="429"/>
      <c r="AH445" s="429"/>
      <c r="AI445" s="429"/>
      <c r="AJ445" s="429"/>
      <c r="AK445" s="429"/>
      <c r="AL445" s="429"/>
      <c r="AM445" s="429"/>
      <c r="AN445" s="429"/>
      <c r="AO445" s="429"/>
      <c r="AP445" s="429"/>
      <c r="AQ445" s="429"/>
      <c r="AR445" s="429"/>
      <c r="AS445" s="429"/>
      <c r="AT445" s="429"/>
      <c r="AU445" s="429"/>
      <c r="AV445" s="429"/>
      <c r="AW445" s="429"/>
      <c r="AX445" s="429"/>
      <c r="AY445" s="429"/>
      <c r="AZ445" s="429"/>
      <c r="BA445" s="429"/>
      <c r="BB445" s="429"/>
      <c r="BC445" s="429"/>
      <c r="BD445" s="429"/>
      <c r="BE445" s="429"/>
      <c r="BF445" s="429"/>
      <c r="BG445" s="429"/>
      <c r="BH445" s="429"/>
      <c r="BI445" s="429"/>
      <c r="BJ445" s="429"/>
      <c r="BK445" s="429"/>
      <c r="BL445" s="429"/>
      <c r="BM445" s="429"/>
      <c r="BN445" s="429"/>
      <c r="BO445" s="429"/>
      <c r="BP445" s="102"/>
      <c r="BQ445" s="102">
        <v>31.4</v>
      </c>
      <c r="BR445" s="451">
        <f t="shared" si="45"/>
        <v>1067.6</v>
      </c>
      <c r="BS445" s="451">
        <f t="shared" si="46"/>
        <v>8273.9</v>
      </c>
      <c r="BT445" s="429" t="str">
        <f>IFERROR(VLOOKUP(E445,名称!A:D,4,FALSE),"")</f>
        <v>KIK</v>
      </c>
    </row>
    <row r="446" s="427" customFormat="1" hidden="1" customHeight="1" spans="1:72">
      <c r="A446" s="93">
        <v>46115</v>
      </c>
      <c r="B446" s="95" t="s">
        <v>237</v>
      </c>
      <c r="C446" s="96">
        <v>10124132</v>
      </c>
      <c r="D446" s="96">
        <v>40123982</v>
      </c>
      <c r="E446" s="97" t="s">
        <v>39</v>
      </c>
      <c r="F446" s="99">
        <v>40</v>
      </c>
      <c r="G446" s="93">
        <v>46176</v>
      </c>
      <c r="H446" s="429"/>
      <c r="I446" s="429"/>
      <c r="J446" s="429"/>
      <c r="K446" s="429"/>
      <c r="L446" s="429"/>
      <c r="M446" s="429"/>
      <c r="N446" s="429"/>
      <c r="O446" s="429"/>
      <c r="P446" s="429"/>
      <c r="Q446" s="429"/>
      <c r="R446" s="429"/>
      <c r="S446" s="429"/>
      <c r="T446" s="429"/>
      <c r="U446" s="429"/>
      <c r="V446" s="429"/>
      <c r="W446" s="429">
        <f>F446</f>
        <v>40</v>
      </c>
      <c r="X446" s="429"/>
      <c r="Y446" s="429"/>
      <c r="Z446" s="429"/>
      <c r="AA446" s="429"/>
      <c r="AB446" s="429"/>
      <c r="AC446" s="429"/>
      <c r="AD446" s="429"/>
      <c r="AE446" s="429"/>
      <c r="AF446" s="429"/>
      <c r="AG446" s="429"/>
      <c r="AH446" s="429"/>
      <c r="AI446" s="429"/>
      <c r="AJ446" s="429"/>
      <c r="AK446" s="429"/>
      <c r="AL446" s="429"/>
      <c r="AM446" s="429"/>
      <c r="AN446" s="429"/>
      <c r="AO446" s="429"/>
      <c r="AP446" s="429"/>
      <c r="AQ446" s="429"/>
      <c r="AR446" s="429"/>
      <c r="AS446" s="429"/>
      <c r="AT446" s="429"/>
      <c r="AU446" s="429"/>
      <c r="AV446" s="429"/>
      <c r="AW446" s="429"/>
      <c r="AX446" s="429"/>
      <c r="AY446" s="429"/>
      <c r="AZ446" s="429"/>
      <c r="BA446" s="429"/>
      <c r="BB446" s="429"/>
      <c r="BC446" s="429"/>
      <c r="BD446" s="429"/>
      <c r="BE446" s="429"/>
      <c r="BF446" s="429"/>
      <c r="BG446" s="429"/>
      <c r="BH446" s="429"/>
      <c r="BI446" s="429"/>
      <c r="BJ446" s="429"/>
      <c r="BK446" s="429"/>
      <c r="BL446" s="429"/>
      <c r="BM446" s="429"/>
      <c r="BN446" s="429"/>
      <c r="BO446" s="429"/>
      <c r="BP446" s="102"/>
      <c r="BQ446" s="102">
        <v>30.536</v>
      </c>
      <c r="BR446" s="451">
        <f t="shared" si="45"/>
        <v>1221.44</v>
      </c>
      <c r="BS446" s="451">
        <f t="shared" si="46"/>
        <v>9466.16</v>
      </c>
      <c r="BT446" s="429" t="str">
        <f>IFERROR(VLOOKUP(E446,名称!A:D,4,FALSE),"")</f>
        <v>KIK</v>
      </c>
    </row>
    <row r="447" s="427" customFormat="1" hidden="1" customHeight="1" spans="1:72">
      <c r="A447" s="93">
        <v>46115</v>
      </c>
      <c r="B447" s="95" t="s">
        <v>237</v>
      </c>
      <c r="C447" s="96">
        <v>10124132</v>
      </c>
      <c r="D447" s="96">
        <v>40123982</v>
      </c>
      <c r="E447" s="97" t="s">
        <v>158</v>
      </c>
      <c r="F447" s="99">
        <v>300</v>
      </c>
      <c r="G447" s="93">
        <v>46176</v>
      </c>
      <c r="H447" s="429"/>
      <c r="I447" s="429"/>
      <c r="J447" s="429"/>
      <c r="K447" s="429"/>
      <c r="L447" s="429"/>
      <c r="M447" s="429"/>
      <c r="N447" s="429"/>
      <c r="O447" s="429"/>
      <c r="P447" s="429"/>
      <c r="Q447" s="429"/>
      <c r="R447" s="429"/>
      <c r="S447" s="429">
        <f>F447</f>
        <v>300</v>
      </c>
      <c r="T447" s="429"/>
      <c r="U447" s="429"/>
      <c r="V447" s="429"/>
      <c r="W447" s="429"/>
      <c r="X447" s="429"/>
      <c r="Y447" s="429"/>
      <c r="Z447" s="429"/>
      <c r="AA447" s="429"/>
      <c r="AB447" s="429"/>
      <c r="AC447" s="429"/>
      <c r="AD447" s="429"/>
      <c r="AE447" s="429"/>
      <c r="AF447" s="429"/>
      <c r="AG447" s="429"/>
      <c r="AH447" s="429"/>
      <c r="AI447" s="429"/>
      <c r="AJ447" s="429"/>
      <c r="AK447" s="429"/>
      <c r="AL447" s="429"/>
      <c r="AM447" s="429"/>
      <c r="AN447" s="429"/>
      <c r="AO447" s="429"/>
      <c r="AP447" s="429"/>
      <c r="AQ447" s="429"/>
      <c r="AR447" s="429"/>
      <c r="AS447" s="429"/>
      <c r="AT447" s="429"/>
      <c r="AU447" s="429"/>
      <c r="AV447" s="429"/>
      <c r="AW447" s="429"/>
      <c r="AX447" s="429"/>
      <c r="AY447" s="429"/>
      <c r="AZ447" s="429"/>
      <c r="BA447" s="429"/>
      <c r="BB447" s="429"/>
      <c r="BC447" s="429"/>
      <c r="BD447" s="429"/>
      <c r="BE447" s="429"/>
      <c r="BF447" s="429"/>
      <c r="BG447" s="429"/>
      <c r="BH447" s="429"/>
      <c r="BI447" s="429"/>
      <c r="BJ447" s="429"/>
      <c r="BK447" s="429"/>
      <c r="BL447" s="429"/>
      <c r="BM447" s="429"/>
      <c r="BN447" s="429"/>
      <c r="BO447" s="429"/>
      <c r="BP447" s="102"/>
      <c r="BQ447" s="102">
        <v>4.792</v>
      </c>
      <c r="BR447" s="451">
        <f t="shared" si="45"/>
        <v>1437.6</v>
      </c>
      <c r="BS447" s="451">
        <f t="shared" si="46"/>
        <v>11141.4</v>
      </c>
      <c r="BT447" s="429" t="str">
        <f>IFERROR(VLOOKUP(E447,名称!A:D,4,FALSE),"")</f>
        <v>KIK</v>
      </c>
    </row>
    <row r="448" s="427" customFormat="1" hidden="1" customHeight="1" spans="1:72">
      <c r="A448" s="93">
        <v>46115</v>
      </c>
      <c r="B448" s="95" t="s">
        <v>237</v>
      </c>
      <c r="C448" s="96">
        <v>10124132</v>
      </c>
      <c r="D448" s="96">
        <v>40123982</v>
      </c>
      <c r="E448" s="97">
        <v>47669</v>
      </c>
      <c r="F448" s="99">
        <v>160</v>
      </c>
      <c r="G448" s="93">
        <v>46176</v>
      </c>
      <c r="H448" s="429"/>
      <c r="I448" s="429"/>
      <c r="J448" s="429"/>
      <c r="K448" s="429"/>
      <c r="L448" s="429"/>
      <c r="M448" s="429"/>
      <c r="N448" s="429"/>
      <c r="O448" s="429"/>
      <c r="P448" s="429"/>
      <c r="Q448" s="429"/>
      <c r="R448" s="429">
        <f>F448</f>
        <v>160</v>
      </c>
      <c r="S448" s="429"/>
      <c r="T448" s="429"/>
      <c r="U448" s="429"/>
      <c r="V448" s="429"/>
      <c r="W448" s="429"/>
      <c r="X448" s="429"/>
      <c r="Y448" s="429"/>
      <c r="Z448" s="429"/>
      <c r="AA448" s="429"/>
      <c r="AB448" s="429"/>
      <c r="AC448" s="429"/>
      <c r="AD448" s="429"/>
      <c r="AE448" s="429"/>
      <c r="AF448" s="429"/>
      <c r="AG448" s="429"/>
      <c r="AH448" s="429"/>
      <c r="AI448" s="429"/>
      <c r="AJ448" s="429"/>
      <c r="AK448" s="429"/>
      <c r="AL448" s="429"/>
      <c r="AM448" s="429"/>
      <c r="AN448" s="429"/>
      <c r="AO448" s="429"/>
      <c r="AP448" s="429"/>
      <c r="AQ448" s="429"/>
      <c r="AR448" s="429"/>
      <c r="AS448" s="429"/>
      <c r="AT448" s="429"/>
      <c r="AU448" s="429"/>
      <c r="AV448" s="429"/>
      <c r="AW448" s="429"/>
      <c r="AX448" s="429"/>
      <c r="AY448" s="429"/>
      <c r="AZ448" s="429"/>
      <c r="BA448" s="429"/>
      <c r="BB448" s="429"/>
      <c r="BC448" s="429"/>
      <c r="BD448" s="429"/>
      <c r="BE448" s="429"/>
      <c r="BF448" s="429"/>
      <c r="BG448" s="429"/>
      <c r="BH448" s="429"/>
      <c r="BI448" s="429"/>
      <c r="BJ448" s="429"/>
      <c r="BK448" s="429"/>
      <c r="BL448" s="429"/>
      <c r="BM448" s="429"/>
      <c r="BN448" s="429"/>
      <c r="BO448" s="429"/>
      <c r="BP448" s="102"/>
      <c r="BQ448" s="102">
        <v>4.808</v>
      </c>
      <c r="BR448" s="451">
        <f t="shared" si="45"/>
        <v>769.28</v>
      </c>
      <c r="BS448" s="451">
        <f t="shared" si="46"/>
        <v>5961.92</v>
      </c>
      <c r="BT448" s="429" t="str">
        <f>IFERROR(VLOOKUP(E448,名称!A:D,4,FALSE),"")</f>
        <v>KIK</v>
      </c>
    </row>
    <row r="449" s="427" customFormat="1" hidden="1" customHeight="1" spans="1:72">
      <c r="A449" s="93">
        <v>46115</v>
      </c>
      <c r="B449" s="95" t="s">
        <v>237</v>
      </c>
      <c r="C449" s="96">
        <v>10124132</v>
      </c>
      <c r="D449" s="96">
        <v>40123982</v>
      </c>
      <c r="E449" s="97" t="s">
        <v>120</v>
      </c>
      <c r="F449" s="99">
        <v>90</v>
      </c>
      <c r="G449" s="93">
        <v>46176</v>
      </c>
      <c r="H449" s="429"/>
      <c r="I449" s="429"/>
      <c r="J449" s="429"/>
      <c r="K449" s="429"/>
      <c r="L449" s="429"/>
      <c r="M449" s="429"/>
      <c r="N449" s="429"/>
      <c r="O449" s="429"/>
      <c r="P449" s="429"/>
      <c r="Q449" s="429"/>
      <c r="R449" s="429"/>
      <c r="S449" s="429"/>
      <c r="T449" s="429"/>
      <c r="U449" s="429"/>
      <c r="V449" s="429"/>
      <c r="W449" s="429"/>
      <c r="X449" s="429"/>
      <c r="Y449" s="429"/>
      <c r="Z449" s="429"/>
      <c r="AA449" s="429"/>
      <c r="AB449" s="429"/>
      <c r="AC449" s="429"/>
      <c r="AD449" s="429"/>
      <c r="AE449" s="429"/>
      <c r="AF449" s="429"/>
      <c r="AG449" s="429"/>
      <c r="AH449" s="429"/>
      <c r="AI449" s="429"/>
      <c r="AJ449" s="429"/>
      <c r="AK449" s="429"/>
      <c r="AL449" s="429"/>
      <c r="AM449" s="429"/>
      <c r="AN449" s="429"/>
      <c r="AO449" s="429"/>
      <c r="AP449" s="429"/>
      <c r="AQ449" s="429"/>
      <c r="AR449" s="429">
        <f>F449</f>
        <v>90</v>
      </c>
      <c r="AS449" s="429"/>
      <c r="AT449" s="429"/>
      <c r="AU449" s="429"/>
      <c r="AV449" s="429"/>
      <c r="AW449" s="429"/>
      <c r="AX449" s="429"/>
      <c r="AY449" s="429"/>
      <c r="AZ449" s="429"/>
      <c r="BA449" s="429"/>
      <c r="BB449" s="429"/>
      <c r="BC449" s="429"/>
      <c r="BD449" s="429"/>
      <c r="BE449" s="429"/>
      <c r="BF449" s="429"/>
      <c r="BG449" s="429"/>
      <c r="BH449" s="429"/>
      <c r="BI449" s="429"/>
      <c r="BJ449" s="429"/>
      <c r="BK449" s="429"/>
      <c r="BL449" s="429"/>
      <c r="BM449" s="429"/>
      <c r="BN449" s="429"/>
      <c r="BO449" s="429"/>
      <c r="BP449" s="102"/>
      <c r="BQ449" s="102">
        <v>21.246</v>
      </c>
      <c r="BR449" s="451">
        <f t="shared" si="45"/>
        <v>1912.14</v>
      </c>
      <c r="BS449" s="451">
        <f t="shared" si="46"/>
        <v>14819.09</v>
      </c>
      <c r="BT449" s="429" t="str">
        <f>IFERROR(VLOOKUP(E449,名称!A:D,4,FALSE),"")</f>
        <v>KIK</v>
      </c>
    </row>
    <row r="450" s="427" customFormat="1" hidden="1" customHeight="1" spans="1:72">
      <c r="A450" s="93">
        <v>46115</v>
      </c>
      <c r="B450" s="95" t="s">
        <v>237</v>
      </c>
      <c r="C450" s="96">
        <v>10124132</v>
      </c>
      <c r="D450" s="96">
        <v>40123982</v>
      </c>
      <c r="E450" s="97" t="s">
        <v>113</v>
      </c>
      <c r="F450" s="99">
        <v>864</v>
      </c>
      <c r="G450" s="93">
        <v>46176</v>
      </c>
      <c r="H450" s="429"/>
      <c r="I450" s="429"/>
      <c r="J450" s="429"/>
      <c r="K450" s="429"/>
      <c r="L450" s="429"/>
      <c r="M450" s="429"/>
      <c r="N450" s="429"/>
      <c r="O450" s="429"/>
      <c r="P450" s="429"/>
      <c r="Q450" s="429"/>
      <c r="R450" s="429"/>
      <c r="S450" s="429"/>
      <c r="T450" s="429"/>
      <c r="U450" s="429"/>
      <c r="V450" s="429"/>
      <c r="W450" s="429"/>
      <c r="X450" s="429"/>
      <c r="Y450" s="429"/>
      <c r="Z450" s="429"/>
      <c r="AA450" s="429"/>
      <c r="AB450" s="429"/>
      <c r="AC450" s="429"/>
      <c r="AD450" s="429"/>
      <c r="AE450" s="429"/>
      <c r="AF450" s="429"/>
      <c r="AG450" s="429"/>
      <c r="AH450" s="429"/>
      <c r="AI450" s="429"/>
      <c r="AJ450" s="429"/>
      <c r="AK450" s="429"/>
      <c r="AL450" s="429"/>
      <c r="AM450" s="429"/>
      <c r="AN450" s="429">
        <f>F450</f>
        <v>864</v>
      </c>
      <c r="AO450" s="429"/>
      <c r="AP450" s="429"/>
      <c r="AQ450" s="429"/>
      <c r="AR450" s="429"/>
      <c r="AS450" s="429"/>
      <c r="AT450" s="429"/>
      <c r="AU450" s="429"/>
      <c r="AV450" s="429"/>
      <c r="AW450" s="429"/>
      <c r="AX450" s="429"/>
      <c r="AY450" s="429"/>
      <c r="AZ450" s="429"/>
      <c r="BA450" s="429"/>
      <c r="BB450" s="429"/>
      <c r="BC450" s="429"/>
      <c r="BD450" s="429"/>
      <c r="BE450" s="429"/>
      <c r="BF450" s="429"/>
      <c r="BG450" s="429"/>
      <c r="BH450" s="429"/>
      <c r="BI450" s="429"/>
      <c r="BJ450" s="429"/>
      <c r="BK450" s="429"/>
      <c r="BL450" s="429"/>
      <c r="BM450" s="429"/>
      <c r="BN450" s="429"/>
      <c r="BO450" s="429"/>
      <c r="BP450" s="102"/>
      <c r="BQ450" s="102">
        <v>5.97</v>
      </c>
      <c r="BR450" s="451">
        <f t="shared" si="45"/>
        <v>5158.08</v>
      </c>
      <c r="BS450" s="451">
        <f t="shared" si="46"/>
        <v>39975.12</v>
      </c>
      <c r="BT450" s="429" t="str">
        <f>IFERROR(VLOOKUP(E450,名称!A:D,4,FALSE),"")</f>
        <v>KIK</v>
      </c>
    </row>
    <row r="451" s="427" customFormat="1" hidden="1" customHeight="1" spans="1:72">
      <c r="A451" s="93">
        <v>46115</v>
      </c>
      <c r="B451" s="95" t="s">
        <v>237</v>
      </c>
      <c r="C451" s="96">
        <v>10124132</v>
      </c>
      <c r="D451" s="96">
        <v>40123982</v>
      </c>
      <c r="E451" s="97" t="s">
        <v>105</v>
      </c>
      <c r="F451" s="99">
        <v>112</v>
      </c>
      <c r="G451" s="93">
        <v>46176</v>
      </c>
      <c r="H451" s="429"/>
      <c r="I451" s="429"/>
      <c r="J451" s="429"/>
      <c r="K451" s="429"/>
      <c r="L451" s="429"/>
      <c r="M451" s="429"/>
      <c r="N451" s="429"/>
      <c r="O451" s="429"/>
      <c r="P451" s="429"/>
      <c r="Q451" s="429"/>
      <c r="R451" s="429"/>
      <c r="S451" s="429"/>
      <c r="T451" s="429"/>
      <c r="U451" s="429"/>
      <c r="V451" s="429"/>
      <c r="W451" s="429"/>
      <c r="X451" s="429"/>
      <c r="Y451" s="429"/>
      <c r="Z451" s="429"/>
      <c r="AA451" s="429"/>
      <c r="AB451" s="429"/>
      <c r="AC451" s="429"/>
      <c r="AD451" s="429"/>
      <c r="AE451" s="429"/>
      <c r="AF451" s="429"/>
      <c r="AG451" s="429"/>
      <c r="AH451" s="429"/>
      <c r="AI451" s="429"/>
      <c r="AJ451" s="429">
        <f>F451</f>
        <v>112</v>
      </c>
      <c r="AK451" s="429"/>
      <c r="AL451" s="429"/>
      <c r="AM451" s="429"/>
      <c r="AN451" s="429"/>
      <c r="AO451" s="429"/>
      <c r="AP451" s="429"/>
      <c r="AQ451" s="429"/>
      <c r="AR451" s="429"/>
      <c r="AS451" s="429"/>
      <c r="AT451" s="429"/>
      <c r="AU451" s="429"/>
      <c r="AV451" s="429"/>
      <c r="AW451" s="429"/>
      <c r="AX451" s="429"/>
      <c r="AY451" s="429"/>
      <c r="AZ451" s="429"/>
      <c r="BA451" s="429"/>
      <c r="BB451" s="429"/>
      <c r="BC451" s="429"/>
      <c r="BD451" s="429"/>
      <c r="BE451" s="429"/>
      <c r="BF451" s="429"/>
      <c r="BG451" s="429"/>
      <c r="BH451" s="429"/>
      <c r="BI451" s="429"/>
      <c r="BJ451" s="429"/>
      <c r="BK451" s="429"/>
      <c r="BL451" s="429"/>
      <c r="BM451" s="429"/>
      <c r="BN451" s="429"/>
      <c r="BO451" s="429"/>
      <c r="BP451" s="102"/>
      <c r="BQ451" s="102">
        <v>2.994</v>
      </c>
      <c r="BR451" s="451">
        <f t="shared" si="45"/>
        <v>335.33</v>
      </c>
      <c r="BS451" s="451">
        <f t="shared" si="46"/>
        <v>2598.81</v>
      </c>
      <c r="BT451" s="429" t="str">
        <f>IFERROR(VLOOKUP(E451,名称!A:D,4,FALSE),"")</f>
        <v>KIK</v>
      </c>
    </row>
    <row r="452" s="427" customFormat="1" hidden="1" customHeight="1" spans="1:72">
      <c r="A452" s="93">
        <v>46115</v>
      </c>
      <c r="B452" s="95" t="s">
        <v>237</v>
      </c>
      <c r="C452" s="96">
        <v>10124132</v>
      </c>
      <c r="D452" s="96">
        <v>40123982</v>
      </c>
      <c r="E452" s="97" t="s">
        <v>107</v>
      </c>
      <c r="F452" s="99">
        <v>112</v>
      </c>
      <c r="G452" s="93">
        <v>46176</v>
      </c>
      <c r="H452" s="429"/>
      <c r="I452" s="429"/>
      <c r="J452" s="429"/>
      <c r="K452" s="429"/>
      <c r="L452" s="429"/>
      <c r="M452" s="429"/>
      <c r="N452" s="429"/>
      <c r="O452" s="429"/>
      <c r="P452" s="429"/>
      <c r="Q452" s="429"/>
      <c r="R452" s="429"/>
      <c r="S452" s="429"/>
      <c r="T452" s="429"/>
      <c r="U452" s="429"/>
      <c r="V452" s="429"/>
      <c r="W452" s="429"/>
      <c r="X452" s="429"/>
      <c r="Y452" s="429"/>
      <c r="Z452" s="429"/>
      <c r="AA452" s="429"/>
      <c r="AB452" s="429"/>
      <c r="AC452" s="429"/>
      <c r="AD452" s="429"/>
      <c r="AE452" s="429"/>
      <c r="AF452" s="429"/>
      <c r="AG452" s="429"/>
      <c r="AH452" s="429"/>
      <c r="AI452" s="429"/>
      <c r="AJ452" s="429"/>
      <c r="AK452" s="429">
        <f>F452</f>
        <v>112</v>
      </c>
      <c r="AL452" s="429"/>
      <c r="AM452" s="429"/>
      <c r="AN452" s="429"/>
      <c r="AO452" s="429"/>
      <c r="AP452" s="429"/>
      <c r="AQ452" s="429"/>
      <c r="AR452" s="429"/>
      <c r="AS452" s="429"/>
      <c r="AT452" s="429"/>
      <c r="AU452" s="429"/>
      <c r="AV452" s="429"/>
      <c r="AW452" s="429"/>
      <c r="AX452" s="429"/>
      <c r="AY452" s="429"/>
      <c r="AZ452" s="429"/>
      <c r="BA452" s="429"/>
      <c r="BB452" s="429"/>
      <c r="BC452" s="429"/>
      <c r="BD452" s="429"/>
      <c r="BE452" s="429"/>
      <c r="BF452" s="429"/>
      <c r="BG452" s="429"/>
      <c r="BH452" s="429"/>
      <c r="BI452" s="429"/>
      <c r="BJ452" s="429"/>
      <c r="BK452" s="429"/>
      <c r="BL452" s="429"/>
      <c r="BM452" s="429"/>
      <c r="BN452" s="429"/>
      <c r="BO452" s="429"/>
      <c r="BP452" s="102"/>
      <c r="BQ452" s="102">
        <v>4.956</v>
      </c>
      <c r="BR452" s="451">
        <f t="shared" si="45"/>
        <v>555.07</v>
      </c>
      <c r="BS452" s="451">
        <f t="shared" si="46"/>
        <v>4301.79</v>
      </c>
      <c r="BT452" s="429" t="str">
        <f>IFERROR(VLOOKUP(E452,名称!A:D,4,FALSE),"")</f>
        <v>KIK</v>
      </c>
    </row>
    <row r="453" s="427" customFormat="1" hidden="1" customHeight="1" spans="1:72">
      <c r="A453" s="93">
        <v>46115</v>
      </c>
      <c r="B453" s="95" t="s">
        <v>237</v>
      </c>
      <c r="C453" s="96">
        <v>10124132</v>
      </c>
      <c r="D453" s="96">
        <v>40123982</v>
      </c>
      <c r="E453" s="97" t="s">
        <v>118</v>
      </c>
      <c r="F453" s="99">
        <v>96</v>
      </c>
      <c r="G453" s="93">
        <v>46176</v>
      </c>
      <c r="H453" s="429"/>
      <c r="I453" s="429"/>
      <c r="J453" s="429"/>
      <c r="K453" s="429"/>
      <c r="L453" s="429"/>
      <c r="M453" s="429"/>
      <c r="N453" s="429"/>
      <c r="O453" s="429"/>
      <c r="P453" s="429"/>
      <c r="Q453" s="429"/>
      <c r="R453" s="429"/>
      <c r="S453" s="429"/>
      <c r="T453" s="429"/>
      <c r="U453" s="429"/>
      <c r="V453" s="429"/>
      <c r="W453" s="429"/>
      <c r="X453" s="429"/>
      <c r="Y453" s="429"/>
      <c r="Z453" s="429"/>
      <c r="AA453" s="429"/>
      <c r="AB453" s="429"/>
      <c r="AC453" s="429"/>
      <c r="AD453" s="429"/>
      <c r="AE453" s="429"/>
      <c r="AF453" s="429"/>
      <c r="AG453" s="429"/>
      <c r="AH453" s="429"/>
      <c r="AI453" s="429"/>
      <c r="AJ453" s="429"/>
      <c r="AK453" s="429"/>
      <c r="AL453" s="429"/>
      <c r="AM453" s="429"/>
      <c r="AN453" s="429"/>
      <c r="AO453" s="429"/>
      <c r="AP453" s="429"/>
      <c r="AQ453" s="429">
        <f>F453</f>
        <v>96</v>
      </c>
      <c r="AR453" s="429"/>
      <c r="AS453" s="429"/>
      <c r="AT453" s="429"/>
      <c r="AU453" s="429"/>
      <c r="AV453" s="429"/>
      <c r="AW453" s="429"/>
      <c r="AX453" s="429"/>
      <c r="AY453" s="429"/>
      <c r="AZ453" s="429"/>
      <c r="BA453" s="429"/>
      <c r="BB453" s="429"/>
      <c r="BC453" s="429"/>
      <c r="BD453" s="429"/>
      <c r="BE453" s="429"/>
      <c r="BF453" s="429"/>
      <c r="BG453" s="429"/>
      <c r="BH453" s="429"/>
      <c r="BI453" s="429"/>
      <c r="BJ453" s="429"/>
      <c r="BK453" s="429"/>
      <c r="BL453" s="429"/>
      <c r="BM453" s="429"/>
      <c r="BN453" s="429"/>
      <c r="BO453" s="429"/>
      <c r="BP453" s="102"/>
      <c r="BQ453" s="102">
        <v>16.71</v>
      </c>
      <c r="BR453" s="451">
        <f t="shared" si="45"/>
        <v>1604.16</v>
      </c>
      <c r="BS453" s="451">
        <f t="shared" si="46"/>
        <v>12432.24</v>
      </c>
      <c r="BT453" s="429" t="str">
        <f>IFERROR(VLOOKUP(E453,名称!A:D,4,FALSE),"")</f>
        <v>KIK</v>
      </c>
    </row>
    <row r="454" s="427" customFormat="1" hidden="1" customHeight="1" spans="1:72">
      <c r="A454" s="93">
        <v>46115</v>
      </c>
      <c r="B454" s="95" t="s">
        <v>237</v>
      </c>
      <c r="C454" s="96">
        <v>10124132</v>
      </c>
      <c r="D454" s="96">
        <v>40123982</v>
      </c>
      <c r="E454" s="97" t="s">
        <v>109</v>
      </c>
      <c r="F454" s="99">
        <v>204</v>
      </c>
      <c r="G454" s="93">
        <v>46176</v>
      </c>
      <c r="H454" s="429"/>
      <c r="I454" s="429"/>
      <c r="J454" s="429"/>
      <c r="K454" s="429"/>
      <c r="L454" s="429"/>
      <c r="M454" s="429"/>
      <c r="N454" s="429"/>
      <c r="O454" s="429"/>
      <c r="P454" s="429"/>
      <c r="Q454" s="429"/>
      <c r="R454" s="429"/>
      <c r="S454" s="429"/>
      <c r="T454" s="429"/>
      <c r="U454" s="429"/>
      <c r="V454" s="429"/>
      <c r="W454" s="429"/>
      <c r="X454" s="429"/>
      <c r="Y454" s="429"/>
      <c r="Z454" s="429"/>
      <c r="AA454" s="429"/>
      <c r="AB454" s="429"/>
      <c r="AC454" s="429"/>
      <c r="AD454" s="429"/>
      <c r="AE454" s="429"/>
      <c r="AF454" s="429"/>
      <c r="AG454" s="429"/>
      <c r="AH454" s="429"/>
      <c r="AI454" s="429"/>
      <c r="AJ454" s="429"/>
      <c r="AK454" s="429"/>
      <c r="AL454" s="429">
        <f>F454</f>
        <v>204</v>
      </c>
      <c r="AM454" s="429"/>
      <c r="AN454" s="429"/>
      <c r="AO454" s="429"/>
      <c r="AP454" s="429"/>
      <c r="AQ454" s="429"/>
      <c r="AR454" s="429"/>
      <c r="AS454" s="429"/>
      <c r="AT454" s="429"/>
      <c r="AU454" s="429"/>
      <c r="AV454" s="429"/>
      <c r="AW454" s="429"/>
      <c r="AX454" s="429"/>
      <c r="AY454" s="429"/>
      <c r="AZ454" s="429"/>
      <c r="BA454" s="429"/>
      <c r="BB454" s="429"/>
      <c r="BC454" s="429"/>
      <c r="BD454" s="429"/>
      <c r="BE454" s="429"/>
      <c r="BF454" s="429"/>
      <c r="BG454" s="429"/>
      <c r="BH454" s="429"/>
      <c r="BI454" s="429"/>
      <c r="BJ454" s="429"/>
      <c r="BK454" s="429"/>
      <c r="BL454" s="429"/>
      <c r="BM454" s="429"/>
      <c r="BN454" s="429"/>
      <c r="BO454" s="429"/>
      <c r="BP454" s="102"/>
      <c r="BQ454" s="102">
        <v>3.886</v>
      </c>
      <c r="BR454" s="451">
        <f t="shared" si="45"/>
        <v>792.74</v>
      </c>
      <c r="BS454" s="451">
        <f t="shared" si="46"/>
        <v>6143.74</v>
      </c>
      <c r="BT454" s="429" t="str">
        <f>IFERROR(VLOOKUP(E454,名称!A:D,4,FALSE),"")</f>
        <v>KIK</v>
      </c>
    </row>
    <row r="455" s="427" customFormat="1" hidden="1" customHeight="1" spans="1:72">
      <c r="A455" s="93">
        <v>46115</v>
      </c>
      <c r="B455" s="95" t="s">
        <v>237</v>
      </c>
      <c r="C455" s="96">
        <v>10124132</v>
      </c>
      <c r="D455" s="96">
        <v>40123982</v>
      </c>
      <c r="E455" s="97" t="s">
        <v>111</v>
      </c>
      <c r="F455" s="99">
        <v>308</v>
      </c>
      <c r="G455" s="93">
        <v>46176</v>
      </c>
      <c r="H455" s="429"/>
      <c r="I455" s="429"/>
      <c r="J455" s="429"/>
      <c r="K455" s="429"/>
      <c r="L455" s="429"/>
      <c r="M455" s="429"/>
      <c r="N455" s="429"/>
      <c r="O455" s="429"/>
      <c r="P455" s="429"/>
      <c r="Q455" s="429"/>
      <c r="R455" s="429"/>
      <c r="S455" s="429"/>
      <c r="T455" s="429"/>
      <c r="U455" s="429"/>
      <c r="V455" s="429"/>
      <c r="W455" s="429"/>
      <c r="X455" s="429"/>
      <c r="Y455" s="429"/>
      <c r="Z455" s="429"/>
      <c r="AA455" s="429"/>
      <c r="AB455" s="429"/>
      <c r="AC455" s="429"/>
      <c r="AD455" s="429"/>
      <c r="AE455" s="429"/>
      <c r="AF455" s="429"/>
      <c r="AG455" s="429"/>
      <c r="AH455" s="429"/>
      <c r="AI455" s="429"/>
      <c r="AJ455" s="429"/>
      <c r="AK455" s="429"/>
      <c r="AL455" s="429"/>
      <c r="AM455" s="429">
        <f>F455</f>
        <v>308</v>
      </c>
      <c r="AN455" s="429"/>
      <c r="AO455" s="429"/>
      <c r="AP455" s="429"/>
      <c r="AQ455" s="429"/>
      <c r="AR455" s="429"/>
      <c r="AS455" s="429"/>
      <c r="AT455" s="429"/>
      <c r="AU455" s="429"/>
      <c r="AV455" s="429"/>
      <c r="AW455" s="429"/>
      <c r="AX455" s="429"/>
      <c r="AY455" s="429"/>
      <c r="AZ455" s="429"/>
      <c r="BA455" s="429"/>
      <c r="BB455" s="429"/>
      <c r="BC455" s="429"/>
      <c r="BD455" s="429"/>
      <c r="BE455" s="429"/>
      <c r="BF455" s="429"/>
      <c r="BG455" s="429"/>
      <c r="BH455" s="429"/>
      <c r="BI455" s="429"/>
      <c r="BJ455" s="429"/>
      <c r="BK455" s="429"/>
      <c r="BL455" s="429"/>
      <c r="BM455" s="429"/>
      <c r="BN455" s="429"/>
      <c r="BO455" s="429"/>
      <c r="BP455" s="102"/>
      <c r="BQ455" s="102">
        <v>3.816</v>
      </c>
      <c r="BR455" s="451">
        <f t="shared" si="45"/>
        <v>1175.33</v>
      </c>
      <c r="BS455" s="451">
        <f t="shared" si="46"/>
        <v>9108.81</v>
      </c>
      <c r="BT455" s="429" t="str">
        <f>IFERROR(VLOOKUP(E455,名称!A:D,4,FALSE),"")</f>
        <v>KIK</v>
      </c>
    </row>
    <row r="456" s="427" customFormat="1" hidden="1" customHeight="1" spans="1:72">
      <c r="A456" s="93">
        <v>46115</v>
      </c>
      <c r="B456" s="95" t="s">
        <v>237</v>
      </c>
      <c r="C456" s="96">
        <v>10124135</v>
      </c>
      <c r="D456" s="96">
        <v>1825547</v>
      </c>
      <c r="E456" s="97" t="s">
        <v>31</v>
      </c>
      <c r="F456" s="99">
        <v>36</v>
      </c>
      <c r="G456" s="93">
        <v>46176</v>
      </c>
      <c r="H456" s="429"/>
      <c r="I456" s="429"/>
      <c r="J456" s="429"/>
      <c r="K456" s="429"/>
      <c r="L456" s="429"/>
      <c r="M456" s="429"/>
      <c r="N456" s="429"/>
      <c r="O456" s="429"/>
      <c r="P456" s="429"/>
      <c r="Q456" s="429"/>
      <c r="R456" s="429"/>
      <c r="S456" s="429"/>
      <c r="T456" s="429"/>
      <c r="U456" s="429"/>
      <c r="V456" s="429"/>
      <c r="W456" s="429"/>
      <c r="X456" s="429"/>
      <c r="Y456" s="429"/>
      <c r="Z456" s="429">
        <f>F456</f>
        <v>36</v>
      </c>
      <c r="AA456" s="429"/>
      <c r="AB456" s="429"/>
      <c r="AC456" s="429"/>
      <c r="AD456" s="429"/>
      <c r="AE456" s="429"/>
      <c r="AF456" s="429"/>
      <c r="AG456" s="429"/>
      <c r="AH456" s="429"/>
      <c r="AI456" s="429"/>
      <c r="AJ456" s="429"/>
      <c r="AK456" s="429"/>
      <c r="AL456" s="429"/>
      <c r="AM456" s="429"/>
      <c r="AN456" s="429"/>
      <c r="AO456" s="429"/>
      <c r="AP456" s="429"/>
      <c r="AQ456" s="429"/>
      <c r="AR456" s="429"/>
      <c r="AS456" s="429"/>
      <c r="AT456" s="429"/>
      <c r="AU456" s="429"/>
      <c r="AV456" s="429"/>
      <c r="AW456" s="429"/>
      <c r="AX456" s="429"/>
      <c r="AY456" s="429"/>
      <c r="AZ456" s="429"/>
      <c r="BA456" s="429"/>
      <c r="BB456" s="429"/>
      <c r="BC456" s="429"/>
      <c r="BD456" s="429"/>
      <c r="BE456" s="429"/>
      <c r="BF456" s="429"/>
      <c r="BG456" s="429"/>
      <c r="BH456" s="429"/>
      <c r="BI456" s="429"/>
      <c r="BJ456" s="429"/>
      <c r="BK456" s="429"/>
      <c r="BL456" s="429"/>
      <c r="BM456" s="429"/>
      <c r="BN456" s="429"/>
      <c r="BO456" s="429"/>
      <c r="BP456" s="102"/>
      <c r="BQ456" s="102">
        <v>29.652</v>
      </c>
      <c r="BR456" s="451">
        <f t="shared" si="45"/>
        <v>1067.47</v>
      </c>
      <c r="BS456" s="451">
        <f t="shared" si="46"/>
        <v>8272.89</v>
      </c>
      <c r="BT456" s="429" t="str">
        <f>IFERROR(VLOOKUP(E456,名称!A:D,4,FALSE),"")</f>
        <v>KIK</v>
      </c>
    </row>
    <row r="457" s="427" customFormat="1" hidden="1" customHeight="1" spans="1:72">
      <c r="A457" s="93">
        <v>46115</v>
      </c>
      <c r="B457" s="95" t="s">
        <v>237</v>
      </c>
      <c r="C457" s="96">
        <v>10124135</v>
      </c>
      <c r="D457" s="96">
        <v>1825547</v>
      </c>
      <c r="E457" s="97" t="s">
        <v>35</v>
      </c>
      <c r="F457" s="99">
        <v>54</v>
      </c>
      <c r="G457" s="93">
        <v>46176</v>
      </c>
      <c r="H457" s="429"/>
      <c r="I457" s="429"/>
      <c r="J457" s="429"/>
      <c r="K457" s="429"/>
      <c r="L457" s="429"/>
      <c r="M457" s="429"/>
      <c r="N457" s="429"/>
      <c r="O457" s="429"/>
      <c r="P457" s="429"/>
      <c r="Q457" s="429"/>
      <c r="R457" s="429"/>
      <c r="S457" s="429"/>
      <c r="T457" s="429"/>
      <c r="U457" s="429"/>
      <c r="V457" s="429"/>
      <c r="W457" s="429"/>
      <c r="X457" s="429"/>
      <c r="Y457" s="429">
        <f>F457</f>
        <v>54</v>
      </c>
      <c r="Z457" s="429"/>
      <c r="AA457" s="429"/>
      <c r="AB457" s="429"/>
      <c r="AC457" s="429"/>
      <c r="AD457" s="429"/>
      <c r="AE457" s="429"/>
      <c r="AF457" s="429"/>
      <c r="AG457" s="429"/>
      <c r="AH457" s="429"/>
      <c r="AI457" s="429"/>
      <c r="AJ457" s="429"/>
      <c r="AK457" s="429"/>
      <c r="AL457" s="429"/>
      <c r="AM457" s="429"/>
      <c r="AN457" s="429"/>
      <c r="AO457" s="429"/>
      <c r="AP457" s="429"/>
      <c r="AQ457" s="429"/>
      <c r="AR457" s="429"/>
      <c r="AS457" s="429"/>
      <c r="AT457" s="429"/>
      <c r="AU457" s="429"/>
      <c r="AV457" s="429"/>
      <c r="AW457" s="429"/>
      <c r="AX457" s="429"/>
      <c r="AY457" s="429"/>
      <c r="AZ457" s="429"/>
      <c r="BA457" s="429"/>
      <c r="BB457" s="429"/>
      <c r="BC457" s="429"/>
      <c r="BD457" s="429"/>
      <c r="BE457" s="429"/>
      <c r="BF457" s="429"/>
      <c r="BG457" s="429"/>
      <c r="BH457" s="429"/>
      <c r="BI457" s="429"/>
      <c r="BJ457" s="429"/>
      <c r="BK457" s="429"/>
      <c r="BL457" s="429"/>
      <c r="BM457" s="429"/>
      <c r="BN457" s="429"/>
      <c r="BO457" s="429"/>
      <c r="BP457" s="102"/>
      <c r="BQ457" s="102">
        <v>22.9</v>
      </c>
      <c r="BR457" s="451">
        <f t="shared" ref="BR457:BR520" si="47">SUM(H457:BP457)*BQ457</f>
        <v>1236.6</v>
      </c>
      <c r="BS457" s="451">
        <f t="shared" si="46"/>
        <v>9583.65</v>
      </c>
      <c r="BT457" s="429" t="str">
        <f>IFERROR(VLOOKUP(E457,名称!A:D,4,FALSE),"")</f>
        <v>KIK</v>
      </c>
    </row>
    <row r="458" s="427" customFormat="1" hidden="1" customHeight="1" spans="1:72">
      <c r="A458" s="93">
        <v>46115</v>
      </c>
      <c r="B458" s="95" t="s">
        <v>237</v>
      </c>
      <c r="C458" s="96">
        <v>10124135</v>
      </c>
      <c r="D458" s="96">
        <v>1825547</v>
      </c>
      <c r="E458" s="97">
        <v>47669</v>
      </c>
      <c r="F458" s="99">
        <v>80</v>
      </c>
      <c r="G458" s="93">
        <v>46176</v>
      </c>
      <c r="H458" s="429"/>
      <c r="I458" s="429"/>
      <c r="J458" s="429"/>
      <c r="K458" s="429"/>
      <c r="L458" s="429"/>
      <c r="M458" s="429"/>
      <c r="N458" s="429"/>
      <c r="O458" s="429"/>
      <c r="P458" s="429"/>
      <c r="Q458" s="429"/>
      <c r="R458" s="429">
        <f>F458</f>
        <v>80</v>
      </c>
      <c r="S458" s="429"/>
      <c r="T458" s="429"/>
      <c r="U458" s="429"/>
      <c r="V458" s="429"/>
      <c r="W458" s="429"/>
      <c r="X458" s="429"/>
      <c r="Y458" s="429"/>
      <c r="Z458" s="429"/>
      <c r="AA458" s="429"/>
      <c r="AB458" s="429"/>
      <c r="AC458" s="429"/>
      <c r="AD458" s="429"/>
      <c r="AE458" s="429"/>
      <c r="AF458" s="429"/>
      <c r="AG458" s="429"/>
      <c r="AH458" s="429"/>
      <c r="AI458" s="429"/>
      <c r="AJ458" s="429"/>
      <c r="AK458" s="429"/>
      <c r="AL458" s="429"/>
      <c r="AM458" s="429"/>
      <c r="AN458" s="429"/>
      <c r="AO458" s="429"/>
      <c r="AP458" s="429"/>
      <c r="AQ458" s="429"/>
      <c r="AR458" s="429"/>
      <c r="AS458" s="429"/>
      <c r="AT458" s="429"/>
      <c r="AU458" s="429"/>
      <c r="AV458" s="429"/>
      <c r="AW458" s="429"/>
      <c r="AX458" s="429"/>
      <c r="AY458" s="429"/>
      <c r="AZ458" s="429"/>
      <c r="BA458" s="429"/>
      <c r="BB458" s="429"/>
      <c r="BC458" s="429"/>
      <c r="BD458" s="429"/>
      <c r="BE458" s="429"/>
      <c r="BF458" s="429"/>
      <c r="BG458" s="429"/>
      <c r="BH458" s="429"/>
      <c r="BI458" s="429"/>
      <c r="BJ458" s="429"/>
      <c r="BK458" s="429"/>
      <c r="BL458" s="429"/>
      <c r="BM458" s="429"/>
      <c r="BN458" s="429"/>
      <c r="BO458" s="429"/>
      <c r="BP458" s="102"/>
      <c r="BQ458" s="102">
        <v>4.808</v>
      </c>
      <c r="BR458" s="451">
        <f t="shared" si="47"/>
        <v>384.64</v>
      </c>
      <c r="BS458" s="451">
        <f t="shared" si="46"/>
        <v>2980.96</v>
      </c>
      <c r="BT458" s="429" t="str">
        <f>IFERROR(VLOOKUP(E458,名称!A:D,4,FALSE),"")</f>
        <v>KIK</v>
      </c>
    </row>
    <row r="459" s="427" customFormat="1" hidden="1" customHeight="1" spans="1:72">
      <c r="A459" s="93">
        <v>46115</v>
      </c>
      <c r="B459" s="95" t="s">
        <v>237</v>
      </c>
      <c r="C459" s="96">
        <v>10124135</v>
      </c>
      <c r="D459" s="96">
        <v>1825547</v>
      </c>
      <c r="E459" s="97" t="s">
        <v>158</v>
      </c>
      <c r="F459" s="99">
        <v>188</v>
      </c>
      <c r="G459" s="93">
        <v>46176</v>
      </c>
      <c r="H459" s="429"/>
      <c r="I459" s="429"/>
      <c r="J459" s="429"/>
      <c r="K459" s="429"/>
      <c r="L459" s="429"/>
      <c r="M459" s="429"/>
      <c r="N459" s="429"/>
      <c r="O459" s="429"/>
      <c r="P459" s="429"/>
      <c r="Q459" s="429"/>
      <c r="R459" s="429"/>
      <c r="S459" s="429">
        <f>F459</f>
        <v>188</v>
      </c>
      <c r="T459" s="429"/>
      <c r="U459" s="429"/>
      <c r="V459" s="429"/>
      <c r="W459" s="429"/>
      <c r="X459" s="429"/>
      <c r="Y459" s="429"/>
      <c r="Z459" s="429"/>
      <c r="AA459" s="429"/>
      <c r="AB459" s="429"/>
      <c r="AC459" s="429"/>
      <c r="AD459" s="429"/>
      <c r="AE459" s="429"/>
      <c r="AF459" s="429"/>
      <c r="AG459" s="429"/>
      <c r="AH459" s="429"/>
      <c r="AI459" s="429"/>
      <c r="AJ459" s="429"/>
      <c r="AK459" s="429"/>
      <c r="AL459" s="429"/>
      <c r="AM459" s="429"/>
      <c r="AN459" s="429"/>
      <c r="AO459" s="429"/>
      <c r="AP459" s="429"/>
      <c r="AQ459" s="429"/>
      <c r="AR459" s="429"/>
      <c r="AS459" s="429"/>
      <c r="AT459" s="429"/>
      <c r="AU459" s="429"/>
      <c r="AV459" s="429"/>
      <c r="AW459" s="429"/>
      <c r="AX459" s="429"/>
      <c r="AY459" s="429"/>
      <c r="AZ459" s="429"/>
      <c r="BA459" s="429"/>
      <c r="BB459" s="429"/>
      <c r="BC459" s="429"/>
      <c r="BD459" s="429"/>
      <c r="BE459" s="429"/>
      <c r="BF459" s="429"/>
      <c r="BG459" s="429"/>
      <c r="BH459" s="429"/>
      <c r="BI459" s="429"/>
      <c r="BJ459" s="429"/>
      <c r="BK459" s="429"/>
      <c r="BL459" s="429"/>
      <c r="BM459" s="429"/>
      <c r="BN459" s="429"/>
      <c r="BO459" s="429"/>
      <c r="BP459" s="102"/>
      <c r="BQ459" s="102">
        <v>4.792</v>
      </c>
      <c r="BR459" s="451">
        <f t="shared" si="47"/>
        <v>900.9</v>
      </c>
      <c r="BS459" s="451">
        <f t="shared" si="46"/>
        <v>6981.98</v>
      </c>
      <c r="BT459" s="429" t="str">
        <f>IFERROR(VLOOKUP(E459,名称!A:D,4,FALSE),"")</f>
        <v>KIK</v>
      </c>
    </row>
    <row r="460" s="427" customFormat="1" hidden="1" customHeight="1" spans="1:72">
      <c r="A460" s="93">
        <v>46115</v>
      </c>
      <c r="B460" s="95" t="s">
        <v>237</v>
      </c>
      <c r="C460" s="96">
        <v>10124135</v>
      </c>
      <c r="D460" s="96">
        <v>1825547</v>
      </c>
      <c r="E460" s="97" t="s">
        <v>120</v>
      </c>
      <c r="F460" s="99">
        <v>40</v>
      </c>
      <c r="G460" s="93">
        <v>46176</v>
      </c>
      <c r="H460" s="429"/>
      <c r="I460" s="429"/>
      <c r="J460" s="429"/>
      <c r="K460" s="429"/>
      <c r="L460" s="429"/>
      <c r="M460" s="429"/>
      <c r="N460" s="429"/>
      <c r="O460" s="429"/>
      <c r="P460" s="429"/>
      <c r="Q460" s="429"/>
      <c r="R460" s="429"/>
      <c r="S460" s="429"/>
      <c r="T460" s="429"/>
      <c r="U460" s="429"/>
      <c r="V460" s="429"/>
      <c r="W460" s="429"/>
      <c r="X460" s="429"/>
      <c r="Y460" s="429"/>
      <c r="Z460" s="429"/>
      <c r="AA460" s="429"/>
      <c r="AB460" s="429"/>
      <c r="AC460" s="429"/>
      <c r="AD460" s="429"/>
      <c r="AE460" s="429"/>
      <c r="AF460" s="429"/>
      <c r="AG460" s="429"/>
      <c r="AH460" s="429"/>
      <c r="AI460" s="429"/>
      <c r="AJ460" s="429"/>
      <c r="AK460" s="429"/>
      <c r="AL460" s="429"/>
      <c r="AM460" s="429"/>
      <c r="AN460" s="429"/>
      <c r="AO460" s="429"/>
      <c r="AP460" s="429"/>
      <c r="AQ460" s="429"/>
      <c r="AR460" s="429">
        <f>F460</f>
        <v>40</v>
      </c>
      <c r="AS460" s="429"/>
      <c r="AT460" s="429"/>
      <c r="AU460" s="429"/>
      <c r="AV460" s="429"/>
      <c r="AW460" s="429"/>
      <c r="AX460" s="429"/>
      <c r="AY460" s="429"/>
      <c r="AZ460" s="429"/>
      <c r="BA460" s="429"/>
      <c r="BB460" s="429"/>
      <c r="BC460" s="429"/>
      <c r="BD460" s="429"/>
      <c r="BE460" s="429"/>
      <c r="BF460" s="429"/>
      <c r="BG460" s="429"/>
      <c r="BH460" s="429"/>
      <c r="BI460" s="429"/>
      <c r="BJ460" s="429"/>
      <c r="BK460" s="429"/>
      <c r="BL460" s="429"/>
      <c r="BM460" s="429"/>
      <c r="BN460" s="429"/>
      <c r="BO460" s="429"/>
      <c r="BP460" s="102"/>
      <c r="BQ460" s="102">
        <v>21.246</v>
      </c>
      <c r="BR460" s="451">
        <f t="shared" si="47"/>
        <v>849.84</v>
      </c>
      <c r="BS460" s="451">
        <f t="shared" si="46"/>
        <v>6586.26</v>
      </c>
      <c r="BT460" s="429" t="str">
        <f>IFERROR(VLOOKUP(E460,名称!A:D,4,FALSE),"")</f>
        <v>KIK</v>
      </c>
    </row>
    <row r="461" s="427" customFormat="1" hidden="1" customHeight="1" spans="1:72">
      <c r="A461" s="93">
        <v>46115</v>
      </c>
      <c r="B461" s="95" t="s">
        <v>237</v>
      </c>
      <c r="C461" s="96">
        <v>10124135</v>
      </c>
      <c r="D461" s="96">
        <v>1825547</v>
      </c>
      <c r="E461" s="97" t="s">
        <v>111</v>
      </c>
      <c r="F461" s="99">
        <v>320</v>
      </c>
      <c r="G461" s="93">
        <v>46176</v>
      </c>
      <c r="H461" s="429"/>
      <c r="I461" s="429"/>
      <c r="J461" s="429"/>
      <c r="K461" s="429"/>
      <c r="L461" s="429"/>
      <c r="M461" s="429"/>
      <c r="N461" s="429"/>
      <c r="O461" s="429"/>
      <c r="P461" s="429"/>
      <c r="Q461" s="429"/>
      <c r="R461" s="429"/>
      <c r="S461" s="429"/>
      <c r="T461" s="429"/>
      <c r="U461" s="429"/>
      <c r="V461" s="429"/>
      <c r="W461" s="429"/>
      <c r="X461" s="429"/>
      <c r="Y461" s="429"/>
      <c r="Z461" s="429"/>
      <c r="AA461" s="429"/>
      <c r="AB461" s="429"/>
      <c r="AC461" s="429"/>
      <c r="AD461" s="429"/>
      <c r="AE461" s="429"/>
      <c r="AF461" s="429"/>
      <c r="AG461" s="429"/>
      <c r="AH461" s="429"/>
      <c r="AI461" s="429"/>
      <c r="AJ461" s="429"/>
      <c r="AK461" s="429"/>
      <c r="AL461" s="429"/>
      <c r="AM461" s="429">
        <f>F461</f>
        <v>320</v>
      </c>
      <c r="AN461" s="429"/>
      <c r="AO461" s="429"/>
      <c r="AP461" s="429"/>
      <c r="AQ461" s="429"/>
      <c r="AR461" s="429"/>
      <c r="AS461" s="429"/>
      <c r="AT461" s="429"/>
      <c r="AU461" s="429"/>
      <c r="AV461" s="429"/>
      <c r="AW461" s="429"/>
      <c r="AX461" s="429"/>
      <c r="AY461" s="429"/>
      <c r="AZ461" s="429"/>
      <c r="BA461" s="429"/>
      <c r="BB461" s="429"/>
      <c r="BC461" s="429"/>
      <c r="BD461" s="429"/>
      <c r="BE461" s="429"/>
      <c r="BF461" s="429"/>
      <c r="BG461" s="429"/>
      <c r="BH461" s="429"/>
      <c r="BI461" s="429"/>
      <c r="BJ461" s="429"/>
      <c r="BK461" s="429"/>
      <c r="BL461" s="429"/>
      <c r="BM461" s="429"/>
      <c r="BN461" s="429"/>
      <c r="BO461" s="429"/>
      <c r="BP461" s="102"/>
      <c r="BQ461" s="102">
        <v>3.816</v>
      </c>
      <c r="BR461" s="451">
        <f t="shared" si="47"/>
        <v>1221.12</v>
      </c>
      <c r="BS461" s="451">
        <f t="shared" si="46"/>
        <v>9463.68</v>
      </c>
      <c r="BT461" s="429" t="str">
        <f>IFERROR(VLOOKUP(E461,名称!A:D,4,FALSE),"")</f>
        <v>KIK</v>
      </c>
    </row>
    <row r="462" s="427" customFormat="1" hidden="1" customHeight="1" spans="1:72">
      <c r="A462" s="93">
        <v>46115</v>
      </c>
      <c r="B462" s="95" t="s">
        <v>237</v>
      </c>
      <c r="C462" s="96">
        <v>10124135</v>
      </c>
      <c r="D462" s="96">
        <v>1825547</v>
      </c>
      <c r="E462" s="97" t="s">
        <v>113</v>
      </c>
      <c r="F462" s="99">
        <v>144</v>
      </c>
      <c r="G462" s="93">
        <v>46176</v>
      </c>
      <c r="H462" s="429"/>
      <c r="I462" s="429"/>
      <c r="J462" s="429"/>
      <c r="K462" s="429"/>
      <c r="L462" s="429"/>
      <c r="M462" s="429"/>
      <c r="N462" s="429"/>
      <c r="O462" s="429"/>
      <c r="P462" s="429"/>
      <c r="Q462" s="429"/>
      <c r="R462" s="429"/>
      <c r="S462" s="429"/>
      <c r="T462" s="429"/>
      <c r="U462" s="429"/>
      <c r="V462" s="429"/>
      <c r="W462" s="429"/>
      <c r="X462" s="429"/>
      <c r="Y462" s="429"/>
      <c r="Z462" s="429"/>
      <c r="AA462" s="429"/>
      <c r="AB462" s="429"/>
      <c r="AC462" s="429"/>
      <c r="AD462" s="429"/>
      <c r="AE462" s="429"/>
      <c r="AF462" s="429"/>
      <c r="AG462" s="429"/>
      <c r="AH462" s="429"/>
      <c r="AI462" s="429"/>
      <c r="AJ462" s="429"/>
      <c r="AK462" s="429"/>
      <c r="AL462" s="429"/>
      <c r="AM462" s="429"/>
      <c r="AN462" s="429">
        <f>F462</f>
        <v>144</v>
      </c>
      <c r="AO462" s="429"/>
      <c r="AP462" s="429"/>
      <c r="AQ462" s="429"/>
      <c r="AR462" s="429"/>
      <c r="AS462" s="429"/>
      <c r="AT462" s="429"/>
      <c r="AU462" s="429"/>
      <c r="AV462" s="429"/>
      <c r="AW462" s="429"/>
      <c r="AX462" s="429"/>
      <c r="AY462" s="429"/>
      <c r="AZ462" s="429"/>
      <c r="BA462" s="429"/>
      <c r="BB462" s="429"/>
      <c r="BC462" s="429"/>
      <c r="BD462" s="429"/>
      <c r="BE462" s="429"/>
      <c r="BF462" s="429"/>
      <c r="BG462" s="429"/>
      <c r="BH462" s="429"/>
      <c r="BI462" s="429"/>
      <c r="BJ462" s="429"/>
      <c r="BK462" s="429"/>
      <c r="BL462" s="429"/>
      <c r="BM462" s="429"/>
      <c r="BN462" s="429"/>
      <c r="BO462" s="429"/>
      <c r="BP462" s="102"/>
      <c r="BQ462" s="102">
        <v>5.97</v>
      </c>
      <c r="BR462" s="451">
        <f t="shared" si="47"/>
        <v>859.68</v>
      </c>
      <c r="BS462" s="451">
        <f t="shared" si="46"/>
        <v>6662.52</v>
      </c>
      <c r="BT462" s="429" t="str">
        <f>IFERROR(VLOOKUP(E462,名称!A:D,4,FALSE),"")</f>
        <v>KIK</v>
      </c>
    </row>
    <row r="463" s="427" customFormat="1" hidden="1" customHeight="1" spans="1:72">
      <c r="A463" s="93">
        <v>46115</v>
      </c>
      <c r="B463" s="95" t="s">
        <v>237</v>
      </c>
      <c r="C463" s="96">
        <v>10124135</v>
      </c>
      <c r="D463" s="96">
        <v>1825547</v>
      </c>
      <c r="E463" s="97" t="s">
        <v>118</v>
      </c>
      <c r="F463" s="99">
        <v>80</v>
      </c>
      <c r="G463" s="93">
        <v>46176</v>
      </c>
      <c r="H463" s="429"/>
      <c r="I463" s="429"/>
      <c r="J463" s="429"/>
      <c r="K463" s="429"/>
      <c r="L463" s="429"/>
      <c r="M463" s="429"/>
      <c r="N463" s="429"/>
      <c r="O463" s="429"/>
      <c r="P463" s="429"/>
      <c r="Q463" s="429"/>
      <c r="R463" s="429"/>
      <c r="S463" s="429"/>
      <c r="T463" s="429"/>
      <c r="U463" s="429"/>
      <c r="V463" s="429"/>
      <c r="W463" s="429"/>
      <c r="X463" s="429"/>
      <c r="Y463" s="429"/>
      <c r="Z463" s="429"/>
      <c r="AA463" s="429"/>
      <c r="AB463" s="429"/>
      <c r="AC463" s="429"/>
      <c r="AD463" s="429"/>
      <c r="AE463" s="429"/>
      <c r="AF463" s="429"/>
      <c r="AG463" s="429"/>
      <c r="AH463" s="429"/>
      <c r="AI463" s="429"/>
      <c r="AJ463" s="429"/>
      <c r="AK463" s="429"/>
      <c r="AL463" s="429"/>
      <c r="AM463" s="429"/>
      <c r="AN463" s="429"/>
      <c r="AO463" s="429"/>
      <c r="AP463" s="429"/>
      <c r="AQ463" s="429">
        <f>F463</f>
        <v>80</v>
      </c>
      <c r="AR463" s="429"/>
      <c r="AS463" s="429"/>
      <c r="AT463" s="429"/>
      <c r="AU463" s="429"/>
      <c r="AV463" s="429"/>
      <c r="AW463" s="429"/>
      <c r="AX463" s="429"/>
      <c r="AY463" s="429"/>
      <c r="AZ463" s="429"/>
      <c r="BA463" s="429"/>
      <c r="BB463" s="429"/>
      <c r="BC463" s="429"/>
      <c r="BD463" s="429"/>
      <c r="BE463" s="429"/>
      <c r="BF463" s="429"/>
      <c r="BG463" s="429"/>
      <c r="BH463" s="429"/>
      <c r="BI463" s="429"/>
      <c r="BJ463" s="429"/>
      <c r="BK463" s="429"/>
      <c r="BL463" s="429"/>
      <c r="BM463" s="429"/>
      <c r="BN463" s="429"/>
      <c r="BO463" s="429"/>
      <c r="BP463" s="102"/>
      <c r="BQ463" s="102">
        <v>16.71</v>
      </c>
      <c r="BR463" s="451">
        <f t="shared" si="47"/>
        <v>1336.8</v>
      </c>
      <c r="BS463" s="451">
        <f t="shared" si="46"/>
        <v>10360.2</v>
      </c>
      <c r="BT463" s="429" t="str">
        <f>IFERROR(VLOOKUP(E463,名称!A:D,4,FALSE),"")</f>
        <v>KIK</v>
      </c>
    </row>
    <row r="464" s="427" customFormat="1" hidden="1" customHeight="1" spans="1:72">
      <c r="A464" s="93">
        <v>46115</v>
      </c>
      <c r="B464" s="95" t="s">
        <v>237</v>
      </c>
      <c r="C464" s="96">
        <v>10124135</v>
      </c>
      <c r="D464" s="96">
        <v>1825547</v>
      </c>
      <c r="E464" s="97" t="s">
        <v>105</v>
      </c>
      <c r="F464" s="99">
        <v>96</v>
      </c>
      <c r="G464" s="93">
        <v>46176</v>
      </c>
      <c r="H464" s="429"/>
      <c r="I464" s="429"/>
      <c r="J464" s="429"/>
      <c r="K464" s="429"/>
      <c r="L464" s="429"/>
      <c r="M464" s="429"/>
      <c r="N464" s="429"/>
      <c r="O464" s="429"/>
      <c r="P464" s="429"/>
      <c r="Q464" s="429"/>
      <c r="R464" s="429"/>
      <c r="S464" s="429"/>
      <c r="T464" s="429"/>
      <c r="U464" s="429"/>
      <c r="V464" s="429"/>
      <c r="W464" s="429"/>
      <c r="X464" s="429"/>
      <c r="Y464" s="429"/>
      <c r="Z464" s="429"/>
      <c r="AA464" s="429"/>
      <c r="AB464" s="429"/>
      <c r="AC464" s="429"/>
      <c r="AD464" s="429"/>
      <c r="AE464" s="429"/>
      <c r="AF464" s="429"/>
      <c r="AG464" s="429"/>
      <c r="AH464" s="429"/>
      <c r="AI464" s="429"/>
      <c r="AJ464" s="429">
        <f>F464</f>
        <v>96</v>
      </c>
      <c r="AK464" s="429"/>
      <c r="AL464" s="429"/>
      <c r="AM464" s="429"/>
      <c r="AN464" s="429"/>
      <c r="AO464" s="429"/>
      <c r="AP464" s="429"/>
      <c r="AQ464" s="429"/>
      <c r="AR464" s="429"/>
      <c r="AS464" s="429"/>
      <c r="AT464" s="429"/>
      <c r="AU464" s="429"/>
      <c r="AV464" s="429"/>
      <c r="AW464" s="429"/>
      <c r="AX464" s="429"/>
      <c r="AY464" s="429"/>
      <c r="AZ464" s="429"/>
      <c r="BA464" s="429"/>
      <c r="BB464" s="429"/>
      <c r="BC464" s="429"/>
      <c r="BD464" s="429"/>
      <c r="BE464" s="429"/>
      <c r="BF464" s="429"/>
      <c r="BG464" s="429"/>
      <c r="BH464" s="429"/>
      <c r="BI464" s="429"/>
      <c r="BJ464" s="429"/>
      <c r="BK464" s="429"/>
      <c r="BL464" s="429"/>
      <c r="BM464" s="429"/>
      <c r="BN464" s="429"/>
      <c r="BO464" s="429"/>
      <c r="BP464" s="102"/>
      <c r="BQ464" s="102">
        <v>2.994</v>
      </c>
      <c r="BR464" s="451">
        <f t="shared" si="47"/>
        <v>287.42</v>
      </c>
      <c r="BS464" s="451">
        <f t="shared" si="46"/>
        <v>2227.51</v>
      </c>
      <c r="BT464" s="429" t="str">
        <f>IFERROR(VLOOKUP(E464,名称!A:D,4,FALSE),"")</f>
        <v>KIK</v>
      </c>
    </row>
    <row r="465" s="427" customFormat="1" hidden="1" customHeight="1" spans="1:72">
      <c r="A465" s="93">
        <v>46115</v>
      </c>
      <c r="B465" s="95" t="s">
        <v>237</v>
      </c>
      <c r="C465" s="96">
        <v>10124135</v>
      </c>
      <c r="D465" s="96">
        <v>1825547</v>
      </c>
      <c r="E465" s="97" t="s">
        <v>107</v>
      </c>
      <c r="F465" s="99">
        <v>96</v>
      </c>
      <c r="G465" s="93">
        <v>46176</v>
      </c>
      <c r="H465" s="429"/>
      <c r="I465" s="429"/>
      <c r="J465" s="429"/>
      <c r="K465" s="429"/>
      <c r="L465" s="429"/>
      <c r="M465" s="429"/>
      <c r="N465" s="429"/>
      <c r="O465" s="429"/>
      <c r="P465" s="429"/>
      <c r="Q465" s="429"/>
      <c r="R465" s="429"/>
      <c r="S465" s="429"/>
      <c r="T465" s="429"/>
      <c r="U465" s="429"/>
      <c r="V465" s="429"/>
      <c r="W465" s="429"/>
      <c r="X465" s="429"/>
      <c r="Y465" s="429"/>
      <c r="Z465" s="429"/>
      <c r="AA465" s="429"/>
      <c r="AB465" s="429"/>
      <c r="AC465" s="429"/>
      <c r="AD465" s="429"/>
      <c r="AE465" s="429"/>
      <c r="AF465" s="429"/>
      <c r="AG465" s="429"/>
      <c r="AH465" s="429"/>
      <c r="AI465" s="429"/>
      <c r="AJ465" s="429"/>
      <c r="AK465" s="429">
        <f>F465</f>
        <v>96</v>
      </c>
      <c r="AL465" s="429"/>
      <c r="AM465" s="429"/>
      <c r="AN465" s="429"/>
      <c r="AO465" s="429"/>
      <c r="AP465" s="429"/>
      <c r="AQ465" s="429"/>
      <c r="AR465" s="429"/>
      <c r="AS465" s="429"/>
      <c r="AT465" s="429"/>
      <c r="AU465" s="429"/>
      <c r="AV465" s="429"/>
      <c r="AW465" s="429"/>
      <c r="AX465" s="429"/>
      <c r="AY465" s="429"/>
      <c r="AZ465" s="429"/>
      <c r="BA465" s="429"/>
      <c r="BB465" s="429"/>
      <c r="BC465" s="429"/>
      <c r="BD465" s="429"/>
      <c r="BE465" s="429"/>
      <c r="BF465" s="429"/>
      <c r="BG465" s="429"/>
      <c r="BH465" s="429"/>
      <c r="BI465" s="429"/>
      <c r="BJ465" s="429"/>
      <c r="BK465" s="429"/>
      <c r="BL465" s="429"/>
      <c r="BM465" s="429"/>
      <c r="BN465" s="429"/>
      <c r="BO465" s="429"/>
      <c r="BP465" s="102"/>
      <c r="BQ465" s="102">
        <v>4.956</v>
      </c>
      <c r="BR465" s="451">
        <f t="shared" si="47"/>
        <v>475.78</v>
      </c>
      <c r="BS465" s="451">
        <f t="shared" si="46"/>
        <v>3687.3</v>
      </c>
      <c r="BT465" s="429" t="str">
        <f>IFERROR(VLOOKUP(E465,名称!A:D,4,FALSE),"")</f>
        <v>KIK</v>
      </c>
    </row>
    <row r="466" s="427" customFormat="1" hidden="1" customHeight="1" spans="1:72">
      <c r="A466" s="93">
        <v>46115</v>
      </c>
      <c r="B466" s="95" t="s">
        <v>237</v>
      </c>
      <c r="C466" s="96">
        <v>10124137</v>
      </c>
      <c r="D466" s="96" t="s">
        <v>279</v>
      </c>
      <c r="E466" s="97" t="s">
        <v>105</v>
      </c>
      <c r="F466" s="99">
        <v>88</v>
      </c>
      <c r="G466" s="93">
        <v>46176</v>
      </c>
      <c r="H466" s="429"/>
      <c r="I466" s="429"/>
      <c r="J466" s="429"/>
      <c r="K466" s="429"/>
      <c r="L466" s="429"/>
      <c r="M466" s="429"/>
      <c r="N466" s="429"/>
      <c r="O466" s="429"/>
      <c r="P466" s="429"/>
      <c r="Q466" s="429"/>
      <c r="R466" s="429"/>
      <c r="S466" s="429"/>
      <c r="T466" s="429"/>
      <c r="U466" s="429"/>
      <c r="V466" s="429"/>
      <c r="W466" s="429"/>
      <c r="X466" s="429"/>
      <c r="Y466" s="429"/>
      <c r="Z466" s="429"/>
      <c r="AA466" s="429"/>
      <c r="AB466" s="429"/>
      <c r="AC466" s="429"/>
      <c r="AD466" s="429"/>
      <c r="AE466" s="429"/>
      <c r="AF466" s="429"/>
      <c r="AG466" s="429"/>
      <c r="AH466" s="429"/>
      <c r="AI466" s="429"/>
      <c r="AJ466" s="429">
        <f>F466</f>
        <v>88</v>
      </c>
      <c r="AK466" s="429"/>
      <c r="AL466" s="429"/>
      <c r="AM466" s="429"/>
      <c r="AN466" s="429"/>
      <c r="AO466" s="429"/>
      <c r="AP466" s="429"/>
      <c r="AQ466" s="429"/>
      <c r="AR466" s="429"/>
      <c r="AS466" s="429"/>
      <c r="AT466" s="429"/>
      <c r="AU466" s="429"/>
      <c r="AV466" s="429"/>
      <c r="AW466" s="429"/>
      <c r="AX466" s="429"/>
      <c r="AY466" s="429"/>
      <c r="AZ466" s="429"/>
      <c r="BA466" s="429"/>
      <c r="BB466" s="429"/>
      <c r="BC466" s="429"/>
      <c r="BD466" s="429"/>
      <c r="BE466" s="429"/>
      <c r="BF466" s="429"/>
      <c r="BG466" s="429"/>
      <c r="BH466" s="429"/>
      <c r="BI466" s="429"/>
      <c r="BJ466" s="429"/>
      <c r="BK466" s="429"/>
      <c r="BL466" s="429"/>
      <c r="BM466" s="429"/>
      <c r="BN466" s="429"/>
      <c r="BO466" s="429"/>
      <c r="BP466" s="102"/>
      <c r="BQ466" s="102">
        <v>2.994</v>
      </c>
      <c r="BR466" s="451">
        <f t="shared" si="47"/>
        <v>263.47</v>
      </c>
      <c r="BS466" s="451">
        <f t="shared" si="46"/>
        <v>2041.89</v>
      </c>
      <c r="BT466" s="429" t="str">
        <f>IFERROR(VLOOKUP(E466,名称!A:D,4,FALSE),"")</f>
        <v>KIK</v>
      </c>
    </row>
    <row r="467" s="427" customFormat="1" hidden="1" customHeight="1" spans="1:72">
      <c r="A467" s="93">
        <v>46115</v>
      </c>
      <c r="B467" s="95" t="s">
        <v>237</v>
      </c>
      <c r="C467" s="96">
        <v>10124137</v>
      </c>
      <c r="D467" s="96" t="s">
        <v>279</v>
      </c>
      <c r="E467" s="97" t="s">
        <v>109</v>
      </c>
      <c r="F467" s="99">
        <v>80</v>
      </c>
      <c r="G467" s="93">
        <v>46176</v>
      </c>
      <c r="H467" s="429"/>
      <c r="I467" s="429"/>
      <c r="J467" s="429"/>
      <c r="K467" s="429"/>
      <c r="L467" s="429"/>
      <c r="M467" s="429"/>
      <c r="N467" s="429"/>
      <c r="O467" s="429"/>
      <c r="P467" s="429"/>
      <c r="Q467" s="429"/>
      <c r="R467" s="429"/>
      <c r="S467" s="429"/>
      <c r="T467" s="429"/>
      <c r="U467" s="429"/>
      <c r="V467" s="429"/>
      <c r="W467" s="429"/>
      <c r="X467" s="429"/>
      <c r="Y467" s="429"/>
      <c r="Z467" s="429"/>
      <c r="AA467" s="429"/>
      <c r="AB467" s="429"/>
      <c r="AC467" s="429"/>
      <c r="AD467" s="429"/>
      <c r="AE467" s="429"/>
      <c r="AF467" s="429"/>
      <c r="AG467" s="429"/>
      <c r="AH467" s="429"/>
      <c r="AI467" s="429"/>
      <c r="AJ467" s="429"/>
      <c r="AK467" s="429"/>
      <c r="AL467" s="429">
        <f>F467</f>
        <v>80</v>
      </c>
      <c r="AM467" s="429"/>
      <c r="AN467" s="429"/>
      <c r="AO467" s="429"/>
      <c r="AP467" s="429"/>
      <c r="AQ467" s="429"/>
      <c r="AR467" s="429"/>
      <c r="AS467" s="429"/>
      <c r="AT467" s="429"/>
      <c r="AU467" s="429"/>
      <c r="AV467" s="429"/>
      <c r="AW467" s="429"/>
      <c r="AX467" s="429"/>
      <c r="AY467" s="429"/>
      <c r="AZ467" s="429"/>
      <c r="BA467" s="429"/>
      <c r="BB467" s="429"/>
      <c r="BC467" s="429"/>
      <c r="BD467" s="429"/>
      <c r="BE467" s="429"/>
      <c r="BF467" s="429"/>
      <c r="BG467" s="429"/>
      <c r="BH467" s="429"/>
      <c r="BI467" s="429"/>
      <c r="BJ467" s="429"/>
      <c r="BK467" s="429"/>
      <c r="BL467" s="429"/>
      <c r="BM467" s="429"/>
      <c r="BN467" s="429"/>
      <c r="BO467" s="429"/>
      <c r="BP467" s="102"/>
      <c r="BQ467" s="102">
        <v>3.886</v>
      </c>
      <c r="BR467" s="451">
        <f t="shared" si="47"/>
        <v>310.88</v>
      </c>
      <c r="BS467" s="451">
        <f t="shared" si="46"/>
        <v>2409.32</v>
      </c>
      <c r="BT467" s="429" t="str">
        <f>IFERROR(VLOOKUP(E467,名称!A:D,4,FALSE),"")</f>
        <v>KIK</v>
      </c>
    </row>
    <row r="468" s="427" customFormat="1" hidden="1" customHeight="1" spans="1:72">
      <c r="A468" s="93">
        <v>46115</v>
      </c>
      <c r="B468" s="95" t="s">
        <v>237</v>
      </c>
      <c r="C468" s="96">
        <v>10124137</v>
      </c>
      <c r="D468" s="96" t="s">
        <v>279</v>
      </c>
      <c r="E468" s="97" t="s">
        <v>120</v>
      </c>
      <c r="F468" s="99">
        <v>350</v>
      </c>
      <c r="G468" s="93">
        <v>46176</v>
      </c>
      <c r="H468" s="429"/>
      <c r="I468" s="429"/>
      <c r="J468" s="429"/>
      <c r="K468" s="429"/>
      <c r="L468" s="429"/>
      <c r="M468" s="429"/>
      <c r="N468" s="429"/>
      <c r="O468" s="429"/>
      <c r="P468" s="429"/>
      <c r="Q468" s="429"/>
      <c r="R468" s="429"/>
      <c r="S468" s="429"/>
      <c r="T468" s="429"/>
      <c r="U468" s="429"/>
      <c r="V468" s="429"/>
      <c r="W468" s="429"/>
      <c r="X468" s="429"/>
      <c r="Y468" s="429"/>
      <c r="Z468" s="429"/>
      <c r="AA468" s="429"/>
      <c r="AB468" s="429"/>
      <c r="AC468" s="429"/>
      <c r="AD468" s="429"/>
      <c r="AE468" s="429"/>
      <c r="AF468" s="429"/>
      <c r="AG468" s="429"/>
      <c r="AH468" s="429"/>
      <c r="AI468" s="429"/>
      <c r="AJ468" s="429"/>
      <c r="AK468" s="429"/>
      <c r="AL468" s="429"/>
      <c r="AM468" s="429"/>
      <c r="AN468" s="429"/>
      <c r="AO468" s="429"/>
      <c r="AP468" s="429"/>
      <c r="AQ468" s="429"/>
      <c r="AR468" s="429">
        <f>F468</f>
        <v>350</v>
      </c>
      <c r="AS468" s="429"/>
      <c r="AT468" s="429"/>
      <c r="AU468" s="429"/>
      <c r="AV468" s="429"/>
      <c r="AW468" s="429"/>
      <c r="AX468" s="429"/>
      <c r="AY468" s="429"/>
      <c r="AZ468" s="429"/>
      <c r="BA468" s="429"/>
      <c r="BB468" s="429"/>
      <c r="BC468" s="429"/>
      <c r="BD468" s="429"/>
      <c r="BE468" s="429"/>
      <c r="BF468" s="429"/>
      <c r="BG468" s="429"/>
      <c r="BH468" s="429"/>
      <c r="BI468" s="429"/>
      <c r="BJ468" s="429"/>
      <c r="BK468" s="429"/>
      <c r="BL468" s="429"/>
      <c r="BM468" s="429"/>
      <c r="BN468" s="429"/>
      <c r="BO468" s="429"/>
      <c r="BP468" s="102"/>
      <c r="BQ468" s="102">
        <v>21.246</v>
      </c>
      <c r="BR468" s="451">
        <f t="shared" si="47"/>
        <v>7436.1</v>
      </c>
      <c r="BS468" s="451">
        <f t="shared" si="46"/>
        <v>57629.78</v>
      </c>
      <c r="BT468" s="429" t="str">
        <f>IFERROR(VLOOKUP(E468,名称!A:D,4,FALSE),"")</f>
        <v>KIK</v>
      </c>
    </row>
    <row r="469" s="427" customFormat="1" hidden="1" customHeight="1" spans="1:72">
      <c r="A469" s="93">
        <v>46115</v>
      </c>
      <c r="B469" s="95" t="s">
        <v>237</v>
      </c>
      <c r="C469" s="96">
        <v>10124137</v>
      </c>
      <c r="D469" s="96" t="s">
        <v>279</v>
      </c>
      <c r="E469" s="97" t="s">
        <v>158</v>
      </c>
      <c r="F469" s="99">
        <v>44</v>
      </c>
      <c r="G469" s="93">
        <v>46176</v>
      </c>
      <c r="H469" s="429"/>
      <c r="I469" s="429"/>
      <c r="J469" s="429"/>
      <c r="K469" s="429"/>
      <c r="L469" s="429"/>
      <c r="M469" s="429"/>
      <c r="N469" s="429"/>
      <c r="O469" s="429"/>
      <c r="P469" s="429"/>
      <c r="Q469" s="429"/>
      <c r="R469" s="429"/>
      <c r="S469" s="429">
        <f>F469</f>
        <v>44</v>
      </c>
      <c r="T469" s="429"/>
      <c r="U469" s="429"/>
      <c r="V469" s="429"/>
      <c r="W469" s="429"/>
      <c r="X469" s="429"/>
      <c r="Y469" s="429"/>
      <c r="Z469" s="429"/>
      <c r="AA469" s="429"/>
      <c r="AB469" s="429"/>
      <c r="AC469" s="429"/>
      <c r="AD469" s="429"/>
      <c r="AE469" s="429"/>
      <c r="AF469" s="429"/>
      <c r="AG469" s="429"/>
      <c r="AH469" s="429"/>
      <c r="AI469" s="429"/>
      <c r="AJ469" s="429"/>
      <c r="AK469" s="429"/>
      <c r="AL469" s="429"/>
      <c r="AM469" s="429"/>
      <c r="AN469" s="429"/>
      <c r="AO469" s="429"/>
      <c r="AP469" s="429"/>
      <c r="AQ469" s="429"/>
      <c r="AR469" s="429"/>
      <c r="AS469" s="429"/>
      <c r="AT469" s="429"/>
      <c r="AU469" s="429"/>
      <c r="AV469" s="429"/>
      <c r="AW469" s="429"/>
      <c r="AX469" s="429"/>
      <c r="AY469" s="429"/>
      <c r="AZ469" s="429"/>
      <c r="BA469" s="429"/>
      <c r="BB469" s="429"/>
      <c r="BC469" s="429"/>
      <c r="BD469" s="429"/>
      <c r="BE469" s="429"/>
      <c r="BF469" s="429"/>
      <c r="BG469" s="429"/>
      <c r="BH469" s="429"/>
      <c r="BI469" s="429"/>
      <c r="BJ469" s="429"/>
      <c r="BK469" s="429"/>
      <c r="BL469" s="429"/>
      <c r="BM469" s="429"/>
      <c r="BN469" s="429"/>
      <c r="BO469" s="429"/>
      <c r="BP469" s="102"/>
      <c r="BQ469" s="102">
        <v>4.792</v>
      </c>
      <c r="BR469" s="451">
        <f t="shared" si="47"/>
        <v>210.85</v>
      </c>
      <c r="BS469" s="451">
        <f t="shared" si="46"/>
        <v>1634.09</v>
      </c>
      <c r="BT469" s="429" t="str">
        <f>IFERROR(VLOOKUP(E469,名称!A:D,4,FALSE),"")</f>
        <v>KIK</v>
      </c>
    </row>
    <row r="470" s="427" customFormat="1" hidden="1" customHeight="1" spans="1:72">
      <c r="A470" s="93">
        <v>46115</v>
      </c>
      <c r="B470" s="95" t="s">
        <v>237</v>
      </c>
      <c r="C470" s="96">
        <v>10124137</v>
      </c>
      <c r="D470" s="96" t="s">
        <v>279</v>
      </c>
      <c r="E470" s="97" t="s">
        <v>35</v>
      </c>
      <c r="F470" s="99">
        <v>40</v>
      </c>
      <c r="G470" s="93">
        <v>46176</v>
      </c>
      <c r="H470" s="429"/>
      <c r="I470" s="429"/>
      <c r="J470" s="429"/>
      <c r="K470" s="429"/>
      <c r="L470" s="429"/>
      <c r="M470" s="429"/>
      <c r="N470" s="429"/>
      <c r="O470" s="429"/>
      <c r="P470" s="429"/>
      <c r="Q470" s="429"/>
      <c r="R470" s="429"/>
      <c r="S470" s="429"/>
      <c r="T470" s="429"/>
      <c r="U470" s="429"/>
      <c r="V470" s="429"/>
      <c r="W470" s="429"/>
      <c r="X470" s="429"/>
      <c r="Y470" s="429">
        <f>F470</f>
        <v>40</v>
      </c>
      <c r="Z470" s="429"/>
      <c r="AA470" s="429"/>
      <c r="AB470" s="429"/>
      <c r="AC470" s="429"/>
      <c r="AD470" s="429"/>
      <c r="AE470" s="429"/>
      <c r="AF470" s="429"/>
      <c r="AG470" s="429"/>
      <c r="AH470" s="429"/>
      <c r="AI470" s="429"/>
      <c r="AJ470" s="429"/>
      <c r="AK470" s="429"/>
      <c r="AL470" s="429"/>
      <c r="AM470" s="429"/>
      <c r="AN470" s="429"/>
      <c r="AO470" s="429"/>
      <c r="AP470" s="429"/>
      <c r="AQ470" s="429"/>
      <c r="AR470" s="429"/>
      <c r="AS470" s="429"/>
      <c r="AT470" s="429"/>
      <c r="AU470" s="429"/>
      <c r="AV470" s="429"/>
      <c r="AW470" s="429"/>
      <c r="AX470" s="429"/>
      <c r="AY470" s="429"/>
      <c r="AZ470" s="429"/>
      <c r="BA470" s="429"/>
      <c r="BB470" s="429"/>
      <c r="BC470" s="429"/>
      <c r="BD470" s="429"/>
      <c r="BE470" s="429"/>
      <c r="BF470" s="429"/>
      <c r="BG470" s="429"/>
      <c r="BH470" s="429"/>
      <c r="BI470" s="429"/>
      <c r="BJ470" s="429"/>
      <c r="BK470" s="429"/>
      <c r="BL470" s="429"/>
      <c r="BM470" s="429"/>
      <c r="BN470" s="429"/>
      <c r="BO470" s="429"/>
      <c r="BP470" s="102"/>
      <c r="BQ470" s="102">
        <v>22.9</v>
      </c>
      <c r="BR470" s="451">
        <f t="shared" si="47"/>
        <v>916</v>
      </c>
      <c r="BS470" s="451">
        <f t="shared" si="46"/>
        <v>7099</v>
      </c>
      <c r="BT470" s="429" t="str">
        <f>IFERROR(VLOOKUP(E470,名称!A:D,4,FALSE),"")</f>
        <v>KIK</v>
      </c>
    </row>
    <row r="471" s="427" customFormat="1" hidden="1" customHeight="1" spans="1:72">
      <c r="A471" s="93">
        <v>46115</v>
      </c>
      <c r="B471" s="95" t="s">
        <v>237</v>
      </c>
      <c r="C471" s="96">
        <v>10124137</v>
      </c>
      <c r="D471" s="96" t="s">
        <v>279</v>
      </c>
      <c r="E471" s="97">
        <v>47669</v>
      </c>
      <c r="F471" s="99">
        <v>60</v>
      </c>
      <c r="G471" s="93">
        <v>46176</v>
      </c>
      <c r="H471" s="429"/>
      <c r="I471" s="429"/>
      <c r="J471" s="429"/>
      <c r="K471" s="429"/>
      <c r="L471" s="429"/>
      <c r="M471" s="429"/>
      <c r="N471" s="429"/>
      <c r="O471" s="429"/>
      <c r="P471" s="429"/>
      <c r="Q471" s="429"/>
      <c r="R471" s="429">
        <f>F471</f>
        <v>60</v>
      </c>
      <c r="S471" s="429"/>
      <c r="T471" s="429"/>
      <c r="U471" s="429"/>
      <c r="V471" s="429"/>
      <c r="W471" s="429"/>
      <c r="X471" s="429"/>
      <c r="Y471" s="429"/>
      <c r="Z471" s="429"/>
      <c r="AA471" s="429"/>
      <c r="AB471" s="429"/>
      <c r="AC471" s="429"/>
      <c r="AD471" s="429"/>
      <c r="AE471" s="429"/>
      <c r="AF471" s="429"/>
      <c r="AG471" s="429"/>
      <c r="AH471" s="429"/>
      <c r="AI471" s="429"/>
      <c r="AJ471" s="429"/>
      <c r="AK471" s="429"/>
      <c r="AL471" s="429"/>
      <c r="AM471" s="429"/>
      <c r="AN471" s="429"/>
      <c r="AO471" s="429"/>
      <c r="AP471" s="429"/>
      <c r="AQ471" s="429"/>
      <c r="AR471" s="429"/>
      <c r="AS471" s="429"/>
      <c r="AT471" s="429"/>
      <c r="AU471" s="429"/>
      <c r="AV471" s="429"/>
      <c r="AW471" s="429"/>
      <c r="AX471" s="429"/>
      <c r="AY471" s="429"/>
      <c r="AZ471" s="429"/>
      <c r="BA471" s="429"/>
      <c r="BB471" s="429"/>
      <c r="BC471" s="429"/>
      <c r="BD471" s="429"/>
      <c r="BE471" s="429"/>
      <c r="BF471" s="429"/>
      <c r="BG471" s="429"/>
      <c r="BH471" s="429"/>
      <c r="BI471" s="429"/>
      <c r="BJ471" s="429"/>
      <c r="BK471" s="429"/>
      <c r="BL471" s="429"/>
      <c r="BM471" s="429"/>
      <c r="BN471" s="429"/>
      <c r="BO471" s="429"/>
      <c r="BP471" s="102"/>
      <c r="BQ471" s="102">
        <v>4.808</v>
      </c>
      <c r="BR471" s="451">
        <f t="shared" si="47"/>
        <v>288.48</v>
      </c>
      <c r="BS471" s="451">
        <f t="shared" si="46"/>
        <v>2235.72</v>
      </c>
      <c r="BT471" s="429" t="str">
        <f>IFERROR(VLOOKUP(E471,名称!A:D,4,FALSE),"")</f>
        <v>KIK</v>
      </c>
    </row>
    <row r="472" s="427" customFormat="1" hidden="1" customHeight="1" spans="1:72">
      <c r="A472" s="93">
        <v>46115</v>
      </c>
      <c r="B472" s="95" t="s">
        <v>237</v>
      </c>
      <c r="C472" s="96">
        <v>10124137</v>
      </c>
      <c r="D472" s="96" t="s">
        <v>279</v>
      </c>
      <c r="E472" s="97" t="s">
        <v>107</v>
      </c>
      <c r="F472" s="99">
        <v>88</v>
      </c>
      <c r="G472" s="93">
        <v>46176</v>
      </c>
      <c r="H472" s="429"/>
      <c r="I472" s="429"/>
      <c r="J472" s="429"/>
      <c r="K472" s="429"/>
      <c r="L472" s="429"/>
      <c r="M472" s="429"/>
      <c r="N472" s="429"/>
      <c r="O472" s="429"/>
      <c r="P472" s="429"/>
      <c r="Q472" s="429"/>
      <c r="R472" s="429"/>
      <c r="S472" s="429"/>
      <c r="T472" s="429"/>
      <c r="U472" s="429"/>
      <c r="V472" s="429"/>
      <c r="W472" s="429"/>
      <c r="X472" s="429"/>
      <c r="Y472" s="429"/>
      <c r="Z472" s="429"/>
      <c r="AA472" s="429"/>
      <c r="AB472" s="429"/>
      <c r="AC472" s="429"/>
      <c r="AD472" s="429"/>
      <c r="AE472" s="429"/>
      <c r="AF472" s="429"/>
      <c r="AG472" s="429"/>
      <c r="AH472" s="429"/>
      <c r="AI472" s="429"/>
      <c r="AJ472" s="429"/>
      <c r="AK472" s="429">
        <f>F472</f>
        <v>88</v>
      </c>
      <c r="AL472" s="429"/>
      <c r="AM472" s="429"/>
      <c r="AN472" s="429"/>
      <c r="AO472" s="429"/>
      <c r="AP472" s="429"/>
      <c r="AQ472" s="429"/>
      <c r="AR472" s="429"/>
      <c r="AS472" s="429"/>
      <c r="AT472" s="429"/>
      <c r="AU472" s="429"/>
      <c r="AV472" s="429"/>
      <c r="AW472" s="429"/>
      <c r="AX472" s="429"/>
      <c r="AY472" s="429"/>
      <c r="AZ472" s="429"/>
      <c r="BA472" s="429"/>
      <c r="BB472" s="429"/>
      <c r="BC472" s="429"/>
      <c r="BD472" s="429"/>
      <c r="BE472" s="429"/>
      <c r="BF472" s="429"/>
      <c r="BG472" s="429"/>
      <c r="BH472" s="429"/>
      <c r="BI472" s="429"/>
      <c r="BJ472" s="429"/>
      <c r="BK472" s="429"/>
      <c r="BL472" s="429"/>
      <c r="BM472" s="429"/>
      <c r="BN472" s="429"/>
      <c r="BO472" s="429"/>
      <c r="BP472" s="102"/>
      <c r="BQ472" s="102">
        <v>4.956</v>
      </c>
      <c r="BR472" s="451">
        <f t="shared" si="47"/>
        <v>436.13</v>
      </c>
      <c r="BS472" s="451">
        <f t="shared" si="46"/>
        <v>3380.01</v>
      </c>
      <c r="BT472" s="429" t="str">
        <f>IFERROR(VLOOKUP(E472,名称!A:D,4,FALSE),"")</f>
        <v>KIK</v>
      </c>
    </row>
    <row r="473" s="427" customFormat="1" hidden="1" customHeight="1" spans="1:72">
      <c r="A473" s="93">
        <v>46115</v>
      </c>
      <c r="B473" s="95" t="s">
        <v>237</v>
      </c>
      <c r="C473" s="96">
        <v>10124128</v>
      </c>
      <c r="D473" s="96">
        <v>453409169</v>
      </c>
      <c r="E473" s="97" t="s">
        <v>158</v>
      </c>
      <c r="F473" s="99">
        <v>296</v>
      </c>
      <c r="G473" s="93">
        <v>46176</v>
      </c>
      <c r="H473" s="429"/>
      <c r="I473" s="429"/>
      <c r="J473" s="429"/>
      <c r="K473" s="429"/>
      <c r="L473" s="429"/>
      <c r="M473" s="429"/>
      <c r="N473" s="429"/>
      <c r="O473" s="429"/>
      <c r="P473" s="429"/>
      <c r="Q473" s="429"/>
      <c r="R473" s="429"/>
      <c r="S473" s="429">
        <f>F473</f>
        <v>296</v>
      </c>
      <c r="T473" s="429"/>
      <c r="U473" s="429"/>
      <c r="V473" s="429"/>
      <c r="W473" s="429"/>
      <c r="X473" s="429"/>
      <c r="Y473" s="429"/>
      <c r="Z473" s="429"/>
      <c r="AA473" s="429"/>
      <c r="AB473" s="429"/>
      <c r="AC473" s="429"/>
      <c r="AD473" s="429"/>
      <c r="AE473" s="429"/>
      <c r="AF473" s="429"/>
      <c r="AG473" s="429"/>
      <c r="AH473" s="429"/>
      <c r="AI473" s="429"/>
      <c r="AJ473" s="429"/>
      <c r="AK473" s="429"/>
      <c r="AL473" s="429"/>
      <c r="AM473" s="429"/>
      <c r="AN473" s="429"/>
      <c r="AO473" s="429"/>
      <c r="AP473" s="429"/>
      <c r="AQ473" s="429"/>
      <c r="AR473" s="429"/>
      <c r="AS473" s="429"/>
      <c r="AT473" s="429"/>
      <c r="AU473" s="429"/>
      <c r="AV473" s="429"/>
      <c r="AW473" s="429"/>
      <c r="AX473" s="429"/>
      <c r="AY473" s="429"/>
      <c r="AZ473" s="429"/>
      <c r="BA473" s="429"/>
      <c r="BB473" s="429"/>
      <c r="BC473" s="429"/>
      <c r="BD473" s="429"/>
      <c r="BE473" s="429"/>
      <c r="BF473" s="429"/>
      <c r="BG473" s="429"/>
      <c r="BH473" s="429"/>
      <c r="BI473" s="429"/>
      <c r="BJ473" s="429"/>
      <c r="BK473" s="429"/>
      <c r="BL473" s="429"/>
      <c r="BM473" s="429"/>
      <c r="BN473" s="429"/>
      <c r="BO473" s="429"/>
      <c r="BP473" s="102"/>
      <c r="BQ473" s="102">
        <v>4.792</v>
      </c>
      <c r="BR473" s="451">
        <f t="shared" si="47"/>
        <v>1418.43</v>
      </c>
      <c r="BS473" s="451">
        <f t="shared" si="46"/>
        <v>10992.83</v>
      </c>
      <c r="BT473" s="429" t="str">
        <f>IFERROR(VLOOKUP(E473,名称!A:D,4,FALSE),"")</f>
        <v>KIK</v>
      </c>
    </row>
    <row r="474" s="427" customFormat="1" hidden="1" customHeight="1" spans="1:72">
      <c r="A474" s="93">
        <v>46115</v>
      </c>
      <c r="B474" s="95" t="s">
        <v>237</v>
      </c>
      <c r="C474" s="96">
        <v>10124128</v>
      </c>
      <c r="D474" s="96">
        <v>453409169</v>
      </c>
      <c r="E474" s="97">
        <v>47669</v>
      </c>
      <c r="F474" s="99">
        <v>312</v>
      </c>
      <c r="G474" s="93">
        <v>46176</v>
      </c>
      <c r="H474" s="429"/>
      <c r="I474" s="429"/>
      <c r="J474" s="429"/>
      <c r="K474" s="429"/>
      <c r="L474" s="429"/>
      <c r="M474" s="429"/>
      <c r="N474" s="429"/>
      <c r="O474" s="429"/>
      <c r="P474" s="429"/>
      <c r="Q474" s="429"/>
      <c r="R474" s="429">
        <f>F474</f>
        <v>312</v>
      </c>
      <c r="S474" s="429"/>
      <c r="T474" s="429"/>
      <c r="U474" s="429"/>
      <c r="V474" s="429"/>
      <c r="W474" s="429"/>
      <c r="X474" s="429"/>
      <c r="Y474" s="429"/>
      <c r="Z474" s="429"/>
      <c r="AA474" s="429"/>
      <c r="AB474" s="429"/>
      <c r="AC474" s="429"/>
      <c r="AD474" s="429"/>
      <c r="AE474" s="429"/>
      <c r="AF474" s="429"/>
      <c r="AG474" s="429"/>
      <c r="AH474" s="429"/>
      <c r="AI474" s="429"/>
      <c r="AJ474" s="429"/>
      <c r="AK474" s="429"/>
      <c r="AL474" s="429"/>
      <c r="AM474" s="429"/>
      <c r="AN474" s="429"/>
      <c r="AO474" s="429"/>
      <c r="AP474" s="429"/>
      <c r="AQ474" s="429"/>
      <c r="AR474" s="429"/>
      <c r="AS474" s="429"/>
      <c r="AT474" s="429"/>
      <c r="AU474" s="429"/>
      <c r="AV474" s="429"/>
      <c r="AW474" s="429"/>
      <c r="AX474" s="429"/>
      <c r="AY474" s="429"/>
      <c r="AZ474" s="429"/>
      <c r="BA474" s="429"/>
      <c r="BB474" s="429"/>
      <c r="BC474" s="429"/>
      <c r="BD474" s="429"/>
      <c r="BE474" s="429"/>
      <c r="BF474" s="429"/>
      <c r="BG474" s="429"/>
      <c r="BH474" s="429"/>
      <c r="BI474" s="429"/>
      <c r="BJ474" s="429"/>
      <c r="BK474" s="429"/>
      <c r="BL474" s="429"/>
      <c r="BM474" s="429"/>
      <c r="BN474" s="429"/>
      <c r="BO474" s="429"/>
      <c r="BP474" s="102"/>
      <c r="BQ474" s="102">
        <v>4.808</v>
      </c>
      <c r="BR474" s="451">
        <f t="shared" si="47"/>
        <v>1500.1</v>
      </c>
      <c r="BS474" s="451">
        <f t="shared" si="46"/>
        <v>11625.78</v>
      </c>
      <c r="BT474" s="429" t="str">
        <f>IFERROR(VLOOKUP(E474,名称!A:D,4,FALSE),"")</f>
        <v>KIK</v>
      </c>
    </row>
    <row r="475" s="427" customFormat="1" hidden="1" customHeight="1" spans="1:72">
      <c r="A475" s="93">
        <v>46115</v>
      </c>
      <c r="B475" s="95" t="s">
        <v>237</v>
      </c>
      <c r="C475" s="96">
        <v>10124128</v>
      </c>
      <c r="D475" s="96">
        <v>453409169</v>
      </c>
      <c r="E475" s="97" t="s">
        <v>111</v>
      </c>
      <c r="F475" s="99">
        <v>116</v>
      </c>
      <c r="G475" s="93">
        <v>46176</v>
      </c>
      <c r="H475" s="429"/>
      <c r="I475" s="429"/>
      <c r="J475" s="429"/>
      <c r="K475" s="429"/>
      <c r="L475" s="429"/>
      <c r="M475" s="429"/>
      <c r="N475" s="429"/>
      <c r="O475" s="429"/>
      <c r="P475" s="429"/>
      <c r="Q475" s="429"/>
      <c r="R475" s="429"/>
      <c r="S475" s="429"/>
      <c r="T475" s="429"/>
      <c r="U475" s="429"/>
      <c r="V475" s="429"/>
      <c r="W475" s="429"/>
      <c r="X475" s="429"/>
      <c r="Y475" s="429"/>
      <c r="Z475" s="429"/>
      <c r="AA475" s="429"/>
      <c r="AB475" s="429"/>
      <c r="AC475" s="429"/>
      <c r="AD475" s="429"/>
      <c r="AE475" s="429"/>
      <c r="AF475" s="429"/>
      <c r="AG475" s="429"/>
      <c r="AH475" s="429"/>
      <c r="AI475" s="429"/>
      <c r="AJ475" s="429"/>
      <c r="AK475" s="429"/>
      <c r="AL475" s="429"/>
      <c r="AM475" s="429">
        <f>F475</f>
        <v>116</v>
      </c>
      <c r="AN475" s="429"/>
      <c r="AO475" s="429"/>
      <c r="AP475" s="429"/>
      <c r="AQ475" s="429"/>
      <c r="AR475" s="429"/>
      <c r="AS475" s="429"/>
      <c r="AT475" s="429"/>
      <c r="AU475" s="429"/>
      <c r="AV475" s="429"/>
      <c r="AW475" s="429"/>
      <c r="AX475" s="429"/>
      <c r="AY475" s="429"/>
      <c r="AZ475" s="429"/>
      <c r="BA475" s="429"/>
      <c r="BB475" s="429"/>
      <c r="BC475" s="429"/>
      <c r="BD475" s="429"/>
      <c r="BE475" s="429"/>
      <c r="BF475" s="429"/>
      <c r="BG475" s="429"/>
      <c r="BH475" s="429"/>
      <c r="BI475" s="429"/>
      <c r="BJ475" s="429"/>
      <c r="BK475" s="429"/>
      <c r="BL475" s="429"/>
      <c r="BM475" s="429"/>
      <c r="BN475" s="429"/>
      <c r="BO475" s="429"/>
      <c r="BP475" s="102"/>
      <c r="BQ475" s="102">
        <v>3.816</v>
      </c>
      <c r="BR475" s="451">
        <f t="shared" si="47"/>
        <v>442.66</v>
      </c>
      <c r="BS475" s="451">
        <f t="shared" si="46"/>
        <v>3430.62</v>
      </c>
      <c r="BT475" s="429" t="str">
        <f>IFERROR(VLOOKUP(E475,名称!A:D,4,FALSE),"")</f>
        <v>KIK</v>
      </c>
    </row>
    <row r="476" s="427" customFormat="1" hidden="1" customHeight="1" spans="1:72">
      <c r="A476" s="93">
        <v>46115</v>
      </c>
      <c r="B476" s="95" t="s">
        <v>237</v>
      </c>
      <c r="C476" s="96">
        <v>10124144</v>
      </c>
      <c r="D476" s="96">
        <v>671988977</v>
      </c>
      <c r="E476" s="97" t="s">
        <v>31</v>
      </c>
      <c r="F476" s="99">
        <v>128</v>
      </c>
      <c r="G476" s="93">
        <v>46176</v>
      </c>
      <c r="H476" s="429"/>
      <c r="I476" s="429"/>
      <c r="J476" s="429"/>
      <c r="K476" s="429"/>
      <c r="L476" s="429"/>
      <c r="M476" s="429"/>
      <c r="N476" s="429"/>
      <c r="O476" s="429"/>
      <c r="P476" s="429"/>
      <c r="Q476" s="429"/>
      <c r="R476" s="429"/>
      <c r="S476" s="429"/>
      <c r="T476" s="429"/>
      <c r="U476" s="429"/>
      <c r="V476" s="429"/>
      <c r="W476" s="429"/>
      <c r="X476" s="429"/>
      <c r="Y476" s="429"/>
      <c r="Z476" s="429">
        <f>F476</f>
        <v>128</v>
      </c>
      <c r="AA476" s="429"/>
      <c r="AB476" s="429"/>
      <c r="AC476" s="429"/>
      <c r="AD476" s="429"/>
      <c r="AE476" s="429"/>
      <c r="AF476" s="429"/>
      <c r="AG476" s="429"/>
      <c r="AH476" s="429"/>
      <c r="AI476" s="429"/>
      <c r="AJ476" s="429"/>
      <c r="AK476" s="429"/>
      <c r="AL476" s="429"/>
      <c r="AM476" s="429"/>
      <c r="AN476" s="429"/>
      <c r="AO476" s="429"/>
      <c r="AP476" s="429"/>
      <c r="AQ476" s="429"/>
      <c r="AR476" s="429"/>
      <c r="AS476" s="429"/>
      <c r="AT476" s="429"/>
      <c r="AU476" s="429"/>
      <c r="AV476" s="429"/>
      <c r="AW476" s="429"/>
      <c r="AX476" s="429"/>
      <c r="AY476" s="429"/>
      <c r="AZ476" s="429"/>
      <c r="BA476" s="429"/>
      <c r="BB476" s="429"/>
      <c r="BC476" s="429"/>
      <c r="BD476" s="429"/>
      <c r="BE476" s="429"/>
      <c r="BF476" s="429"/>
      <c r="BG476" s="429"/>
      <c r="BH476" s="429"/>
      <c r="BI476" s="429"/>
      <c r="BJ476" s="429"/>
      <c r="BK476" s="429"/>
      <c r="BL476" s="429"/>
      <c r="BM476" s="429"/>
      <c r="BN476" s="429"/>
      <c r="BO476" s="429"/>
      <c r="BP476" s="102"/>
      <c r="BQ476" s="102">
        <v>29.652</v>
      </c>
      <c r="BR476" s="451">
        <f t="shared" si="47"/>
        <v>3795.46</v>
      </c>
      <c r="BS476" s="451">
        <f t="shared" si="46"/>
        <v>29414.82</v>
      </c>
      <c r="BT476" s="429" t="str">
        <f>IFERROR(VLOOKUP(E476,名称!A:D,4,FALSE),"")</f>
        <v>KIK</v>
      </c>
    </row>
    <row r="477" s="427" customFormat="1" hidden="1" customHeight="1" spans="1:72">
      <c r="A477" s="93">
        <v>46115</v>
      </c>
      <c r="B477" s="95" t="s">
        <v>237</v>
      </c>
      <c r="C477" s="96">
        <v>10124144</v>
      </c>
      <c r="D477" s="96">
        <v>671988977</v>
      </c>
      <c r="E477" s="97" t="s">
        <v>120</v>
      </c>
      <c r="F477" s="99">
        <v>128</v>
      </c>
      <c r="G477" s="93">
        <v>46176</v>
      </c>
      <c r="H477" s="429"/>
      <c r="I477" s="429"/>
      <c r="J477" s="429"/>
      <c r="K477" s="429"/>
      <c r="L477" s="429"/>
      <c r="M477" s="429"/>
      <c r="N477" s="429"/>
      <c r="O477" s="429"/>
      <c r="P477" s="429"/>
      <c r="Q477" s="429"/>
      <c r="R477" s="429"/>
      <c r="S477" s="429"/>
      <c r="T477" s="429"/>
      <c r="U477" s="429"/>
      <c r="V477" s="429"/>
      <c r="W477" s="429"/>
      <c r="X477" s="429"/>
      <c r="Y477" s="429"/>
      <c r="Z477" s="429"/>
      <c r="AA477" s="429"/>
      <c r="AB477" s="429"/>
      <c r="AC477" s="429"/>
      <c r="AD477" s="429"/>
      <c r="AE477" s="429"/>
      <c r="AF477" s="429"/>
      <c r="AG477" s="429"/>
      <c r="AH477" s="429"/>
      <c r="AI477" s="429"/>
      <c r="AJ477" s="429"/>
      <c r="AK477" s="429"/>
      <c r="AL477" s="429"/>
      <c r="AM477" s="429"/>
      <c r="AN477" s="429"/>
      <c r="AO477" s="429"/>
      <c r="AP477" s="429"/>
      <c r="AQ477" s="429"/>
      <c r="AR477" s="429">
        <f>F477</f>
        <v>128</v>
      </c>
      <c r="AS477" s="429"/>
      <c r="AT477" s="429"/>
      <c r="AU477" s="429"/>
      <c r="AV477" s="429"/>
      <c r="AW477" s="429"/>
      <c r="AX477" s="429"/>
      <c r="AY477" s="429"/>
      <c r="AZ477" s="429"/>
      <c r="BA477" s="429"/>
      <c r="BB477" s="429"/>
      <c r="BC477" s="429"/>
      <c r="BD477" s="429"/>
      <c r="BE477" s="429"/>
      <c r="BF477" s="429"/>
      <c r="BG477" s="429"/>
      <c r="BH477" s="429"/>
      <c r="BI477" s="429"/>
      <c r="BJ477" s="429"/>
      <c r="BK477" s="429"/>
      <c r="BL477" s="429"/>
      <c r="BM477" s="429"/>
      <c r="BN477" s="429"/>
      <c r="BO477" s="429"/>
      <c r="BP477" s="102"/>
      <c r="BQ477" s="102">
        <v>21.246</v>
      </c>
      <c r="BR477" s="451">
        <f t="shared" si="47"/>
        <v>2719.49</v>
      </c>
      <c r="BS477" s="451">
        <f t="shared" ref="BS477:BS540" si="48">BR477*7.75</f>
        <v>21076.05</v>
      </c>
      <c r="BT477" s="429" t="str">
        <f>IFERROR(VLOOKUP(E477,名称!A:D,4,FALSE),"")</f>
        <v>KIK</v>
      </c>
    </row>
    <row r="478" s="427" customFormat="1" hidden="1" customHeight="1" spans="1:72">
      <c r="A478" s="93">
        <v>46115</v>
      </c>
      <c r="B478" s="95" t="s">
        <v>237</v>
      </c>
      <c r="C478" s="96">
        <v>10124144</v>
      </c>
      <c r="D478" s="96">
        <v>671988977</v>
      </c>
      <c r="E478" s="97" t="s">
        <v>35</v>
      </c>
      <c r="F478" s="99">
        <v>98</v>
      </c>
      <c r="G478" s="93">
        <v>46176</v>
      </c>
      <c r="H478" s="429"/>
      <c r="I478" s="429"/>
      <c r="J478" s="429"/>
      <c r="K478" s="429"/>
      <c r="L478" s="429"/>
      <c r="M478" s="429"/>
      <c r="N478" s="429"/>
      <c r="O478" s="429"/>
      <c r="P478" s="429"/>
      <c r="Q478" s="429"/>
      <c r="R478" s="429"/>
      <c r="S478" s="429"/>
      <c r="T478" s="429"/>
      <c r="U478" s="429"/>
      <c r="V478" s="429"/>
      <c r="W478" s="429"/>
      <c r="X478" s="429"/>
      <c r="Y478" s="429">
        <f>F478</f>
        <v>98</v>
      </c>
      <c r="Z478" s="429"/>
      <c r="AA478" s="429"/>
      <c r="AB478" s="429"/>
      <c r="AC478" s="429"/>
      <c r="AD478" s="429"/>
      <c r="AE478" s="429"/>
      <c r="AF478" s="429"/>
      <c r="AG478" s="429"/>
      <c r="AH478" s="429"/>
      <c r="AI478" s="429"/>
      <c r="AJ478" s="429"/>
      <c r="AK478" s="429"/>
      <c r="AL478" s="429"/>
      <c r="AM478" s="429"/>
      <c r="AN478" s="429"/>
      <c r="AO478" s="429"/>
      <c r="AP478" s="429"/>
      <c r="AQ478" s="429"/>
      <c r="AR478" s="429"/>
      <c r="AS478" s="429"/>
      <c r="AT478" s="429"/>
      <c r="AU478" s="429"/>
      <c r="AV478" s="429"/>
      <c r="AW478" s="429"/>
      <c r="AX478" s="429"/>
      <c r="AY478" s="429"/>
      <c r="AZ478" s="429"/>
      <c r="BA478" s="429"/>
      <c r="BB478" s="429"/>
      <c r="BC478" s="429"/>
      <c r="BD478" s="429"/>
      <c r="BE478" s="429"/>
      <c r="BF478" s="429"/>
      <c r="BG478" s="429"/>
      <c r="BH478" s="429"/>
      <c r="BI478" s="429"/>
      <c r="BJ478" s="429"/>
      <c r="BK478" s="429"/>
      <c r="BL478" s="429"/>
      <c r="BM478" s="429"/>
      <c r="BN478" s="429"/>
      <c r="BO478" s="429"/>
      <c r="BP478" s="102"/>
      <c r="BQ478" s="102">
        <v>22.9</v>
      </c>
      <c r="BR478" s="451">
        <f t="shared" si="47"/>
        <v>2244.2</v>
      </c>
      <c r="BS478" s="451">
        <f t="shared" si="48"/>
        <v>17392.55</v>
      </c>
      <c r="BT478" s="429" t="str">
        <f>IFERROR(VLOOKUP(E478,名称!A:D,4,FALSE),"")</f>
        <v>KIK</v>
      </c>
    </row>
    <row r="479" s="427" customFormat="1" hidden="1" customHeight="1" spans="1:72">
      <c r="A479" s="93">
        <v>46115</v>
      </c>
      <c r="B479" s="95" t="s">
        <v>237</v>
      </c>
      <c r="C479" s="96">
        <v>10124144</v>
      </c>
      <c r="D479" s="96">
        <v>671988977</v>
      </c>
      <c r="E479" s="97" t="s">
        <v>39</v>
      </c>
      <c r="F479" s="99">
        <v>80</v>
      </c>
      <c r="G479" s="93">
        <v>46176</v>
      </c>
      <c r="H479" s="429"/>
      <c r="I479" s="429"/>
      <c r="J479" s="429"/>
      <c r="K479" s="429"/>
      <c r="L479" s="429"/>
      <c r="M479" s="429"/>
      <c r="N479" s="429"/>
      <c r="O479" s="429"/>
      <c r="P479" s="429"/>
      <c r="Q479" s="429"/>
      <c r="R479" s="429"/>
      <c r="S479" s="429"/>
      <c r="T479" s="429"/>
      <c r="U479" s="429"/>
      <c r="V479" s="429"/>
      <c r="W479" s="429">
        <f>F479</f>
        <v>80</v>
      </c>
      <c r="X479" s="429"/>
      <c r="Y479" s="429"/>
      <c r="Z479" s="429"/>
      <c r="AA479" s="429"/>
      <c r="AB479" s="429"/>
      <c r="AC479" s="429"/>
      <c r="AD479" s="429"/>
      <c r="AE479" s="429"/>
      <c r="AF479" s="429"/>
      <c r="AG479" s="429"/>
      <c r="AH479" s="429"/>
      <c r="AI479" s="429"/>
      <c r="AJ479" s="429"/>
      <c r="AK479" s="429"/>
      <c r="AL479" s="429"/>
      <c r="AM479" s="429"/>
      <c r="AN479" s="429"/>
      <c r="AO479" s="429"/>
      <c r="AP479" s="429"/>
      <c r="AQ479" s="429"/>
      <c r="AR479" s="429"/>
      <c r="AS479" s="429"/>
      <c r="AT479" s="429"/>
      <c r="AU479" s="429"/>
      <c r="AV479" s="429"/>
      <c r="AW479" s="429"/>
      <c r="AX479" s="429"/>
      <c r="AY479" s="429"/>
      <c r="AZ479" s="429"/>
      <c r="BA479" s="429"/>
      <c r="BB479" s="429"/>
      <c r="BC479" s="429"/>
      <c r="BD479" s="429"/>
      <c r="BE479" s="429"/>
      <c r="BF479" s="429"/>
      <c r="BG479" s="429"/>
      <c r="BH479" s="429"/>
      <c r="BI479" s="429"/>
      <c r="BJ479" s="429"/>
      <c r="BK479" s="429"/>
      <c r="BL479" s="429"/>
      <c r="BM479" s="429"/>
      <c r="BN479" s="429"/>
      <c r="BO479" s="429"/>
      <c r="BP479" s="102"/>
      <c r="BQ479" s="102">
        <v>30.536</v>
      </c>
      <c r="BR479" s="451">
        <f t="shared" si="47"/>
        <v>2442.88</v>
      </c>
      <c r="BS479" s="451">
        <f t="shared" si="48"/>
        <v>18932.32</v>
      </c>
      <c r="BT479" s="429" t="str">
        <f>IFERROR(VLOOKUP(E479,名称!A:D,4,FALSE),"")</f>
        <v>KIK</v>
      </c>
    </row>
    <row r="480" s="427" customFormat="1" hidden="1" customHeight="1" spans="1:72">
      <c r="A480" s="93">
        <v>46115</v>
      </c>
      <c r="B480" s="95" t="s">
        <v>237</v>
      </c>
      <c r="C480" s="96">
        <v>10124144</v>
      </c>
      <c r="D480" s="96">
        <v>671988977</v>
      </c>
      <c r="E480" s="97">
        <v>47669</v>
      </c>
      <c r="F480" s="99">
        <v>100</v>
      </c>
      <c r="G480" s="93">
        <v>46176</v>
      </c>
      <c r="H480" s="429"/>
      <c r="I480" s="429"/>
      <c r="J480" s="429"/>
      <c r="K480" s="429"/>
      <c r="L480" s="429"/>
      <c r="M480" s="429"/>
      <c r="N480" s="429"/>
      <c r="O480" s="429"/>
      <c r="P480" s="429"/>
      <c r="Q480" s="429"/>
      <c r="R480" s="429">
        <f>F480</f>
        <v>100</v>
      </c>
      <c r="S480" s="429"/>
      <c r="T480" s="429"/>
      <c r="U480" s="429"/>
      <c r="V480" s="429"/>
      <c r="W480" s="429"/>
      <c r="X480" s="429"/>
      <c r="Y480" s="429"/>
      <c r="Z480" s="429"/>
      <c r="AA480" s="429"/>
      <c r="AB480" s="429"/>
      <c r="AC480" s="429"/>
      <c r="AD480" s="429"/>
      <c r="AE480" s="429"/>
      <c r="AF480" s="429"/>
      <c r="AG480" s="429"/>
      <c r="AH480" s="429"/>
      <c r="AI480" s="429"/>
      <c r="AJ480" s="429"/>
      <c r="AK480" s="429"/>
      <c r="AL480" s="429"/>
      <c r="AM480" s="429"/>
      <c r="AN480" s="429"/>
      <c r="AO480" s="429"/>
      <c r="AP480" s="429"/>
      <c r="AQ480" s="429"/>
      <c r="AR480" s="429"/>
      <c r="AS480" s="429"/>
      <c r="AT480" s="429"/>
      <c r="AU480" s="429"/>
      <c r="AV480" s="429"/>
      <c r="AW480" s="429"/>
      <c r="AX480" s="429"/>
      <c r="AY480" s="429"/>
      <c r="AZ480" s="429"/>
      <c r="BA480" s="429"/>
      <c r="BB480" s="429"/>
      <c r="BC480" s="429"/>
      <c r="BD480" s="429"/>
      <c r="BE480" s="429"/>
      <c r="BF480" s="429"/>
      <c r="BG480" s="429"/>
      <c r="BH480" s="429"/>
      <c r="BI480" s="429"/>
      <c r="BJ480" s="429"/>
      <c r="BK480" s="429"/>
      <c r="BL480" s="429"/>
      <c r="BM480" s="429"/>
      <c r="BN480" s="429"/>
      <c r="BO480" s="429"/>
      <c r="BP480" s="102"/>
      <c r="BQ480" s="102">
        <v>4.808</v>
      </c>
      <c r="BR480" s="451">
        <f t="shared" si="47"/>
        <v>480.8</v>
      </c>
      <c r="BS480" s="451">
        <f t="shared" si="48"/>
        <v>3726.2</v>
      </c>
      <c r="BT480" s="429" t="str">
        <f>IFERROR(VLOOKUP(E480,名称!A:D,4,FALSE),"")</f>
        <v>KIK</v>
      </c>
    </row>
    <row r="481" s="427" customFormat="1" hidden="1" customHeight="1" spans="1:72">
      <c r="A481" s="93">
        <v>46115</v>
      </c>
      <c r="B481" s="95" t="s">
        <v>237</v>
      </c>
      <c r="C481" s="96">
        <v>10124144</v>
      </c>
      <c r="D481" s="96">
        <v>671988977</v>
      </c>
      <c r="E481" s="97" t="s">
        <v>113</v>
      </c>
      <c r="F481" s="99">
        <v>300</v>
      </c>
      <c r="G481" s="93">
        <v>46176</v>
      </c>
      <c r="H481" s="429"/>
      <c r="I481" s="429"/>
      <c r="J481" s="429"/>
      <c r="K481" s="429"/>
      <c r="L481" s="429"/>
      <c r="M481" s="429"/>
      <c r="N481" s="429"/>
      <c r="O481" s="429"/>
      <c r="P481" s="429"/>
      <c r="Q481" s="429"/>
      <c r="R481" s="429"/>
      <c r="S481" s="429"/>
      <c r="T481" s="429"/>
      <c r="U481" s="429"/>
      <c r="V481" s="429"/>
      <c r="W481" s="429"/>
      <c r="X481" s="429"/>
      <c r="Y481" s="429"/>
      <c r="Z481" s="429"/>
      <c r="AA481" s="429"/>
      <c r="AB481" s="429"/>
      <c r="AC481" s="429"/>
      <c r="AD481" s="429"/>
      <c r="AE481" s="429"/>
      <c r="AF481" s="429"/>
      <c r="AG481" s="429"/>
      <c r="AH481" s="429"/>
      <c r="AI481" s="429"/>
      <c r="AJ481" s="429"/>
      <c r="AK481" s="429"/>
      <c r="AL481" s="429"/>
      <c r="AM481" s="429"/>
      <c r="AN481" s="429">
        <f>F481</f>
        <v>300</v>
      </c>
      <c r="AO481" s="429"/>
      <c r="AP481" s="429"/>
      <c r="AQ481" s="429"/>
      <c r="AR481" s="429"/>
      <c r="AS481" s="429"/>
      <c r="AT481" s="429"/>
      <c r="AU481" s="429"/>
      <c r="AV481" s="429"/>
      <c r="AW481" s="429"/>
      <c r="AX481" s="429"/>
      <c r="AY481" s="429"/>
      <c r="AZ481" s="429"/>
      <c r="BA481" s="429"/>
      <c r="BB481" s="429"/>
      <c r="BC481" s="429"/>
      <c r="BD481" s="429"/>
      <c r="BE481" s="429"/>
      <c r="BF481" s="429"/>
      <c r="BG481" s="429"/>
      <c r="BH481" s="429"/>
      <c r="BI481" s="429"/>
      <c r="BJ481" s="429"/>
      <c r="BK481" s="429"/>
      <c r="BL481" s="429"/>
      <c r="BM481" s="429"/>
      <c r="BN481" s="429"/>
      <c r="BO481" s="429"/>
      <c r="BP481" s="102"/>
      <c r="BQ481" s="102">
        <v>5.97</v>
      </c>
      <c r="BR481" s="451">
        <f t="shared" si="47"/>
        <v>1791</v>
      </c>
      <c r="BS481" s="451">
        <f t="shared" si="48"/>
        <v>13880.25</v>
      </c>
      <c r="BT481" s="429" t="str">
        <f>IFERROR(VLOOKUP(E481,名称!A:D,4,FALSE),"")</f>
        <v>KIK</v>
      </c>
    </row>
    <row r="482" s="427" customFormat="1" hidden="1" customHeight="1" spans="1:72">
      <c r="A482" s="93">
        <v>46115</v>
      </c>
      <c r="B482" s="95" t="s">
        <v>237</v>
      </c>
      <c r="C482" s="96">
        <v>10124144</v>
      </c>
      <c r="D482" s="96">
        <v>671988977</v>
      </c>
      <c r="E482" s="97" t="s">
        <v>118</v>
      </c>
      <c r="F482" s="99">
        <v>96</v>
      </c>
      <c r="G482" s="93">
        <v>46176</v>
      </c>
      <c r="H482" s="429"/>
      <c r="I482" s="429"/>
      <c r="J482" s="429"/>
      <c r="K482" s="429"/>
      <c r="L482" s="429"/>
      <c r="M482" s="429"/>
      <c r="N482" s="429"/>
      <c r="O482" s="429"/>
      <c r="P482" s="429"/>
      <c r="Q482" s="429"/>
      <c r="R482" s="429"/>
      <c r="S482" s="429"/>
      <c r="T482" s="429"/>
      <c r="U482" s="429"/>
      <c r="V482" s="429"/>
      <c r="W482" s="429"/>
      <c r="X482" s="429"/>
      <c r="Y482" s="429"/>
      <c r="Z482" s="429"/>
      <c r="AA482" s="429"/>
      <c r="AB482" s="429"/>
      <c r="AC482" s="429"/>
      <c r="AD482" s="429"/>
      <c r="AE482" s="429"/>
      <c r="AF482" s="429"/>
      <c r="AG482" s="429"/>
      <c r="AH482" s="429"/>
      <c r="AI482" s="429"/>
      <c r="AJ482" s="429"/>
      <c r="AK482" s="429"/>
      <c r="AL482" s="429"/>
      <c r="AM482" s="429"/>
      <c r="AN482" s="429"/>
      <c r="AO482" s="429"/>
      <c r="AP482" s="429"/>
      <c r="AQ482" s="429">
        <f>F482</f>
        <v>96</v>
      </c>
      <c r="AR482" s="429"/>
      <c r="AS482" s="429"/>
      <c r="AT482" s="429"/>
      <c r="AU482" s="429"/>
      <c r="AV482" s="429"/>
      <c r="AW482" s="429"/>
      <c r="AX482" s="429"/>
      <c r="AY482" s="429"/>
      <c r="AZ482" s="429"/>
      <c r="BA482" s="429"/>
      <c r="BB482" s="429"/>
      <c r="BC482" s="429"/>
      <c r="BD482" s="429"/>
      <c r="BE482" s="429"/>
      <c r="BF482" s="429"/>
      <c r="BG482" s="429"/>
      <c r="BH482" s="429"/>
      <c r="BI482" s="429"/>
      <c r="BJ482" s="429"/>
      <c r="BK482" s="429"/>
      <c r="BL482" s="429"/>
      <c r="BM482" s="429"/>
      <c r="BN482" s="429"/>
      <c r="BO482" s="429"/>
      <c r="BP482" s="102"/>
      <c r="BQ482" s="102">
        <v>16.71</v>
      </c>
      <c r="BR482" s="451">
        <f t="shared" si="47"/>
        <v>1604.16</v>
      </c>
      <c r="BS482" s="451">
        <f t="shared" si="48"/>
        <v>12432.24</v>
      </c>
      <c r="BT482" s="429" t="str">
        <f>IFERROR(VLOOKUP(E482,名称!A:D,4,FALSE),"")</f>
        <v>KIK</v>
      </c>
    </row>
    <row r="483" s="427" customFormat="1" hidden="1" customHeight="1" spans="1:72">
      <c r="A483" s="93">
        <v>46115</v>
      </c>
      <c r="B483" s="95" t="s">
        <v>237</v>
      </c>
      <c r="C483" s="96">
        <v>10124144</v>
      </c>
      <c r="D483" s="96">
        <v>671988977</v>
      </c>
      <c r="E483" s="97" t="s">
        <v>111</v>
      </c>
      <c r="F483" s="99">
        <v>300</v>
      </c>
      <c r="G483" s="93">
        <v>46176</v>
      </c>
      <c r="H483" s="429"/>
      <c r="I483" s="429"/>
      <c r="J483" s="429"/>
      <c r="K483" s="429"/>
      <c r="L483" s="429"/>
      <c r="M483" s="429"/>
      <c r="N483" s="429"/>
      <c r="O483" s="429"/>
      <c r="P483" s="429"/>
      <c r="Q483" s="429"/>
      <c r="R483" s="429"/>
      <c r="S483" s="429"/>
      <c r="T483" s="429"/>
      <c r="U483" s="429"/>
      <c r="V483" s="429"/>
      <c r="W483" s="429"/>
      <c r="X483" s="429"/>
      <c r="Y483" s="429"/>
      <c r="Z483" s="429"/>
      <c r="AA483" s="429"/>
      <c r="AB483" s="429"/>
      <c r="AC483" s="429"/>
      <c r="AD483" s="429"/>
      <c r="AE483" s="429"/>
      <c r="AF483" s="429"/>
      <c r="AG483" s="429"/>
      <c r="AH483" s="429"/>
      <c r="AI483" s="429"/>
      <c r="AJ483" s="429"/>
      <c r="AK483" s="429"/>
      <c r="AL483" s="429"/>
      <c r="AM483" s="429">
        <f>F483</f>
        <v>300</v>
      </c>
      <c r="AN483" s="429"/>
      <c r="AO483" s="429"/>
      <c r="AP483" s="429"/>
      <c r="AQ483" s="429"/>
      <c r="AR483" s="429"/>
      <c r="AS483" s="429"/>
      <c r="AT483" s="429"/>
      <c r="AU483" s="429"/>
      <c r="AV483" s="429"/>
      <c r="AW483" s="429"/>
      <c r="AX483" s="429"/>
      <c r="AY483" s="429"/>
      <c r="AZ483" s="429"/>
      <c r="BA483" s="429"/>
      <c r="BB483" s="429"/>
      <c r="BC483" s="429"/>
      <c r="BD483" s="429"/>
      <c r="BE483" s="429"/>
      <c r="BF483" s="429"/>
      <c r="BG483" s="429"/>
      <c r="BH483" s="429"/>
      <c r="BI483" s="429"/>
      <c r="BJ483" s="429"/>
      <c r="BK483" s="429"/>
      <c r="BL483" s="429"/>
      <c r="BM483" s="429"/>
      <c r="BN483" s="429"/>
      <c r="BO483" s="429"/>
      <c r="BP483" s="102"/>
      <c r="BQ483" s="102">
        <v>3.816</v>
      </c>
      <c r="BR483" s="451">
        <f t="shared" si="47"/>
        <v>1144.8</v>
      </c>
      <c r="BS483" s="451">
        <f t="shared" si="48"/>
        <v>8872.2</v>
      </c>
      <c r="BT483" s="429" t="str">
        <f>IFERROR(VLOOKUP(E483,名称!A:D,4,FALSE),"")</f>
        <v>KIK</v>
      </c>
    </row>
    <row r="484" s="427" customFormat="1" hidden="1" customHeight="1" spans="1:72">
      <c r="A484" s="93">
        <v>46115</v>
      </c>
      <c r="B484" s="95" t="s">
        <v>237</v>
      </c>
      <c r="C484" s="96">
        <v>10124144</v>
      </c>
      <c r="D484" s="96">
        <v>671988977</v>
      </c>
      <c r="E484" s="97" t="s">
        <v>105</v>
      </c>
      <c r="F484" s="99">
        <v>100</v>
      </c>
      <c r="G484" s="93">
        <v>46176</v>
      </c>
      <c r="H484" s="429"/>
      <c r="I484" s="429"/>
      <c r="J484" s="429"/>
      <c r="K484" s="429"/>
      <c r="L484" s="429"/>
      <c r="M484" s="429"/>
      <c r="N484" s="429"/>
      <c r="O484" s="429"/>
      <c r="P484" s="429"/>
      <c r="Q484" s="429"/>
      <c r="R484" s="429"/>
      <c r="S484" s="429"/>
      <c r="T484" s="429"/>
      <c r="U484" s="429"/>
      <c r="V484" s="429"/>
      <c r="W484" s="429"/>
      <c r="X484" s="429"/>
      <c r="Y484" s="429"/>
      <c r="Z484" s="429"/>
      <c r="AA484" s="429"/>
      <c r="AB484" s="429"/>
      <c r="AC484" s="429"/>
      <c r="AD484" s="429"/>
      <c r="AE484" s="429"/>
      <c r="AF484" s="429"/>
      <c r="AG484" s="429"/>
      <c r="AH484" s="429"/>
      <c r="AI484" s="429"/>
      <c r="AJ484" s="429">
        <f>F484</f>
        <v>100</v>
      </c>
      <c r="AK484" s="429"/>
      <c r="AL484" s="429"/>
      <c r="AM484" s="429"/>
      <c r="AN484" s="429"/>
      <c r="AO484" s="429"/>
      <c r="AP484" s="429"/>
      <c r="AQ484" s="429"/>
      <c r="AR484" s="429"/>
      <c r="AS484" s="429"/>
      <c r="AT484" s="429"/>
      <c r="AU484" s="429"/>
      <c r="AV484" s="429"/>
      <c r="AW484" s="429"/>
      <c r="AX484" s="429"/>
      <c r="AY484" s="429"/>
      <c r="AZ484" s="429"/>
      <c r="BA484" s="429"/>
      <c r="BB484" s="429"/>
      <c r="BC484" s="429"/>
      <c r="BD484" s="429"/>
      <c r="BE484" s="429"/>
      <c r="BF484" s="429"/>
      <c r="BG484" s="429"/>
      <c r="BH484" s="429"/>
      <c r="BI484" s="429"/>
      <c r="BJ484" s="429"/>
      <c r="BK484" s="429"/>
      <c r="BL484" s="429"/>
      <c r="BM484" s="429"/>
      <c r="BN484" s="429"/>
      <c r="BO484" s="429"/>
      <c r="BP484" s="102"/>
      <c r="BQ484" s="102">
        <v>2.994</v>
      </c>
      <c r="BR484" s="451">
        <f t="shared" si="47"/>
        <v>299.4</v>
      </c>
      <c r="BS484" s="451">
        <f t="shared" si="48"/>
        <v>2320.35</v>
      </c>
      <c r="BT484" s="429" t="str">
        <f>IFERROR(VLOOKUP(E484,名称!A:D,4,FALSE),"")</f>
        <v>KIK</v>
      </c>
    </row>
    <row r="485" s="427" customFormat="1" hidden="1" customHeight="1" spans="1:72">
      <c r="A485" s="93">
        <v>46115</v>
      </c>
      <c r="B485" s="95" t="s">
        <v>237</v>
      </c>
      <c r="C485" s="96">
        <v>10124144</v>
      </c>
      <c r="D485" s="96">
        <v>671988977</v>
      </c>
      <c r="E485" s="97" t="s">
        <v>107</v>
      </c>
      <c r="F485" s="99">
        <v>100</v>
      </c>
      <c r="G485" s="93">
        <v>46176</v>
      </c>
      <c r="H485" s="429"/>
      <c r="I485" s="429"/>
      <c r="J485" s="429"/>
      <c r="K485" s="429"/>
      <c r="L485" s="429"/>
      <c r="M485" s="429"/>
      <c r="N485" s="429"/>
      <c r="O485" s="429"/>
      <c r="P485" s="429"/>
      <c r="Q485" s="429"/>
      <c r="R485" s="429"/>
      <c r="S485" s="429"/>
      <c r="T485" s="429"/>
      <c r="U485" s="429"/>
      <c r="V485" s="429"/>
      <c r="W485" s="429"/>
      <c r="X485" s="429"/>
      <c r="Y485" s="429"/>
      <c r="Z485" s="429"/>
      <c r="AA485" s="429"/>
      <c r="AB485" s="429"/>
      <c r="AC485" s="429"/>
      <c r="AD485" s="429"/>
      <c r="AE485" s="429"/>
      <c r="AF485" s="429"/>
      <c r="AG485" s="429"/>
      <c r="AH485" s="429"/>
      <c r="AI485" s="429"/>
      <c r="AJ485" s="429"/>
      <c r="AK485" s="429">
        <f>F485</f>
        <v>100</v>
      </c>
      <c r="AL485" s="429"/>
      <c r="AM485" s="429"/>
      <c r="AN485" s="429"/>
      <c r="AO485" s="429"/>
      <c r="AP485" s="429"/>
      <c r="AQ485" s="429"/>
      <c r="AR485" s="429"/>
      <c r="AS485" s="429"/>
      <c r="AT485" s="429"/>
      <c r="AU485" s="429"/>
      <c r="AV485" s="429"/>
      <c r="AW485" s="429"/>
      <c r="AX485" s="429"/>
      <c r="AY485" s="429"/>
      <c r="AZ485" s="429"/>
      <c r="BA485" s="429"/>
      <c r="BB485" s="429"/>
      <c r="BC485" s="429"/>
      <c r="BD485" s="429"/>
      <c r="BE485" s="429"/>
      <c r="BF485" s="429"/>
      <c r="BG485" s="429"/>
      <c r="BH485" s="429"/>
      <c r="BI485" s="429"/>
      <c r="BJ485" s="429"/>
      <c r="BK485" s="429"/>
      <c r="BL485" s="429"/>
      <c r="BM485" s="429"/>
      <c r="BN485" s="429"/>
      <c r="BO485" s="429"/>
      <c r="BP485" s="102"/>
      <c r="BQ485" s="102">
        <v>4.956</v>
      </c>
      <c r="BR485" s="451">
        <f t="shared" si="47"/>
        <v>495.6</v>
      </c>
      <c r="BS485" s="451">
        <f t="shared" si="48"/>
        <v>3840.9</v>
      </c>
      <c r="BT485" s="429" t="str">
        <f>IFERROR(VLOOKUP(E485,名称!A:D,4,FALSE),"")</f>
        <v>KIK</v>
      </c>
    </row>
    <row r="486" s="427" customFormat="1" hidden="1" customHeight="1" spans="1:72">
      <c r="A486" s="93">
        <v>46115</v>
      </c>
      <c r="B486" s="95" t="s">
        <v>237</v>
      </c>
      <c r="C486" s="96">
        <v>10124144</v>
      </c>
      <c r="D486" s="96">
        <v>671988977</v>
      </c>
      <c r="E486" s="97" t="s">
        <v>29</v>
      </c>
      <c r="F486" s="99">
        <v>88</v>
      </c>
      <c r="G486" s="93">
        <v>46176</v>
      </c>
      <c r="H486" s="429"/>
      <c r="I486" s="429"/>
      <c r="J486" s="429">
        <f>F486</f>
        <v>88</v>
      </c>
      <c r="K486" s="429"/>
      <c r="L486" s="429"/>
      <c r="M486" s="429"/>
      <c r="N486" s="429"/>
      <c r="O486" s="429"/>
      <c r="P486" s="429"/>
      <c r="Q486" s="429"/>
      <c r="R486" s="429"/>
      <c r="S486" s="429"/>
      <c r="T486" s="429"/>
      <c r="U486" s="429"/>
      <c r="V486" s="429"/>
      <c r="W486" s="429"/>
      <c r="X486" s="429"/>
      <c r="Y486" s="429"/>
      <c r="Z486" s="429"/>
      <c r="AA486" s="429"/>
      <c r="AB486" s="429"/>
      <c r="AC486" s="429"/>
      <c r="AD486" s="429"/>
      <c r="AE486" s="429"/>
      <c r="AF486" s="429"/>
      <c r="AG486" s="429"/>
      <c r="AH486" s="429"/>
      <c r="AI486" s="429"/>
      <c r="AJ486" s="429"/>
      <c r="AK486" s="429"/>
      <c r="AL486" s="429"/>
      <c r="AM486" s="429"/>
      <c r="AN486" s="429"/>
      <c r="AO486" s="429"/>
      <c r="AP486" s="429"/>
      <c r="AQ486" s="429"/>
      <c r="AR486" s="429"/>
      <c r="AS486" s="429"/>
      <c r="AT486" s="429"/>
      <c r="AU486" s="429"/>
      <c r="AV486" s="429"/>
      <c r="AW486" s="429"/>
      <c r="AX486" s="429"/>
      <c r="AY486" s="429"/>
      <c r="AZ486" s="429"/>
      <c r="BA486" s="429"/>
      <c r="BB486" s="429"/>
      <c r="BC486" s="429"/>
      <c r="BD486" s="429"/>
      <c r="BE486" s="429"/>
      <c r="BF486" s="429"/>
      <c r="BG486" s="429"/>
      <c r="BH486" s="429"/>
      <c r="BI486" s="429"/>
      <c r="BJ486" s="429"/>
      <c r="BK486" s="429"/>
      <c r="BL486" s="429"/>
      <c r="BM486" s="429"/>
      <c r="BN486" s="429"/>
      <c r="BO486" s="429"/>
      <c r="BP486" s="102"/>
      <c r="BQ486" s="102">
        <v>21.801</v>
      </c>
      <c r="BR486" s="451">
        <f t="shared" si="47"/>
        <v>1918.49</v>
      </c>
      <c r="BS486" s="451">
        <f t="shared" si="48"/>
        <v>14868.3</v>
      </c>
      <c r="BT486" s="429" t="str">
        <f>IFERROR(VLOOKUP(E486,名称!A:D,4,FALSE),"")</f>
        <v>KIK</v>
      </c>
    </row>
    <row r="487" s="427" customFormat="1" hidden="1" customHeight="1" spans="1:72">
      <c r="A487" s="93">
        <v>46115</v>
      </c>
      <c r="B487" s="95" t="s">
        <v>237</v>
      </c>
      <c r="C487" s="96">
        <v>10124147</v>
      </c>
      <c r="D487" s="96">
        <v>671988978</v>
      </c>
      <c r="E487" s="97" t="s">
        <v>31</v>
      </c>
      <c r="F487" s="99">
        <v>102</v>
      </c>
      <c r="G487" s="93">
        <v>46176</v>
      </c>
      <c r="H487" s="429"/>
      <c r="I487" s="429"/>
      <c r="J487" s="429"/>
      <c r="K487" s="429"/>
      <c r="L487" s="429"/>
      <c r="M487" s="429"/>
      <c r="N487" s="429"/>
      <c r="O487" s="429"/>
      <c r="P487" s="429"/>
      <c r="Q487" s="429"/>
      <c r="R487" s="429"/>
      <c r="S487" s="429"/>
      <c r="T487" s="429"/>
      <c r="U487" s="429"/>
      <c r="V487" s="429"/>
      <c r="W487" s="429"/>
      <c r="X487" s="429"/>
      <c r="Y487" s="429"/>
      <c r="Z487" s="429">
        <f>F487</f>
        <v>102</v>
      </c>
      <c r="AA487" s="429"/>
      <c r="AB487" s="429"/>
      <c r="AC487" s="429"/>
      <c r="AD487" s="429"/>
      <c r="AE487" s="429"/>
      <c r="AF487" s="429"/>
      <c r="AG487" s="429"/>
      <c r="AH487" s="429"/>
      <c r="AI487" s="429"/>
      <c r="AJ487" s="429"/>
      <c r="AK487" s="429"/>
      <c r="AL487" s="429"/>
      <c r="AM487" s="429"/>
      <c r="AN487" s="429"/>
      <c r="AO487" s="429"/>
      <c r="AP487" s="429"/>
      <c r="AQ487" s="429"/>
      <c r="AR487" s="429"/>
      <c r="AS487" s="429"/>
      <c r="AT487" s="429"/>
      <c r="AU487" s="429"/>
      <c r="AV487" s="429"/>
      <c r="AW487" s="429"/>
      <c r="AX487" s="429"/>
      <c r="AY487" s="429"/>
      <c r="AZ487" s="429"/>
      <c r="BA487" s="429"/>
      <c r="BB487" s="429"/>
      <c r="BC487" s="429"/>
      <c r="BD487" s="429"/>
      <c r="BE487" s="429"/>
      <c r="BF487" s="429"/>
      <c r="BG487" s="429"/>
      <c r="BH487" s="429"/>
      <c r="BI487" s="429"/>
      <c r="BJ487" s="429"/>
      <c r="BK487" s="429"/>
      <c r="BL487" s="429"/>
      <c r="BM487" s="429"/>
      <c r="BN487" s="429"/>
      <c r="BO487" s="429"/>
      <c r="BP487" s="102"/>
      <c r="BQ487" s="102">
        <v>29.652</v>
      </c>
      <c r="BR487" s="451">
        <f t="shared" si="47"/>
        <v>3024.5</v>
      </c>
      <c r="BS487" s="451">
        <f t="shared" si="48"/>
        <v>23439.88</v>
      </c>
      <c r="BT487" s="429" t="str">
        <f>IFERROR(VLOOKUP(E487,名称!A:D,4,FALSE),"")</f>
        <v>KIK</v>
      </c>
    </row>
    <row r="488" s="427" customFormat="1" hidden="1" customHeight="1" spans="1:72">
      <c r="A488" s="93">
        <v>46115</v>
      </c>
      <c r="B488" s="95" t="s">
        <v>237</v>
      </c>
      <c r="C488" s="96">
        <v>10124147</v>
      </c>
      <c r="D488" s="96">
        <v>671988978</v>
      </c>
      <c r="E488" s="97" t="s">
        <v>120</v>
      </c>
      <c r="F488" s="99">
        <v>102</v>
      </c>
      <c r="G488" s="93">
        <v>46176</v>
      </c>
      <c r="H488" s="429"/>
      <c r="I488" s="429"/>
      <c r="J488" s="429"/>
      <c r="K488" s="429"/>
      <c r="L488" s="429"/>
      <c r="M488" s="429"/>
      <c r="N488" s="429"/>
      <c r="O488" s="429"/>
      <c r="P488" s="429"/>
      <c r="Q488" s="429"/>
      <c r="R488" s="429"/>
      <c r="S488" s="429"/>
      <c r="T488" s="429"/>
      <c r="U488" s="429"/>
      <c r="V488" s="429"/>
      <c r="W488" s="429"/>
      <c r="X488" s="429"/>
      <c r="Y488" s="429"/>
      <c r="Z488" s="429"/>
      <c r="AA488" s="429"/>
      <c r="AB488" s="429"/>
      <c r="AC488" s="429"/>
      <c r="AD488" s="429"/>
      <c r="AE488" s="429"/>
      <c r="AF488" s="429"/>
      <c r="AG488" s="429"/>
      <c r="AH488" s="429"/>
      <c r="AI488" s="429"/>
      <c r="AJ488" s="429"/>
      <c r="AK488" s="429"/>
      <c r="AL488" s="429"/>
      <c r="AM488" s="429"/>
      <c r="AN488" s="429"/>
      <c r="AO488" s="429"/>
      <c r="AP488" s="429"/>
      <c r="AQ488" s="429"/>
      <c r="AR488" s="429">
        <f>F488</f>
        <v>102</v>
      </c>
      <c r="AS488" s="429"/>
      <c r="AT488" s="429"/>
      <c r="AU488" s="429"/>
      <c r="AV488" s="429"/>
      <c r="AW488" s="429"/>
      <c r="AX488" s="429"/>
      <c r="AY488" s="429"/>
      <c r="AZ488" s="429"/>
      <c r="BA488" s="429"/>
      <c r="BB488" s="429"/>
      <c r="BC488" s="429"/>
      <c r="BD488" s="429"/>
      <c r="BE488" s="429"/>
      <c r="BF488" s="429"/>
      <c r="BG488" s="429"/>
      <c r="BH488" s="429"/>
      <c r="BI488" s="429"/>
      <c r="BJ488" s="429"/>
      <c r="BK488" s="429"/>
      <c r="BL488" s="429"/>
      <c r="BM488" s="429"/>
      <c r="BN488" s="429"/>
      <c r="BO488" s="429"/>
      <c r="BP488" s="102"/>
      <c r="BQ488" s="102">
        <v>21.246</v>
      </c>
      <c r="BR488" s="451">
        <f t="shared" si="47"/>
        <v>2167.09</v>
      </c>
      <c r="BS488" s="451">
        <f t="shared" si="48"/>
        <v>16794.95</v>
      </c>
      <c r="BT488" s="429" t="str">
        <f>IFERROR(VLOOKUP(E488,名称!A:D,4,FALSE),"")</f>
        <v>KIK</v>
      </c>
    </row>
    <row r="489" s="427" customFormat="1" hidden="1" customHeight="1" spans="1:72">
      <c r="A489" s="93">
        <v>46115</v>
      </c>
      <c r="B489" s="95" t="s">
        <v>237</v>
      </c>
      <c r="C489" s="96">
        <v>10124147</v>
      </c>
      <c r="D489" s="96">
        <v>671988978</v>
      </c>
      <c r="E489" s="97" t="s">
        <v>35</v>
      </c>
      <c r="F489" s="99">
        <v>54</v>
      </c>
      <c r="G489" s="93">
        <v>46176</v>
      </c>
      <c r="H489" s="429"/>
      <c r="I489" s="429"/>
      <c r="J489" s="429"/>
      <c r="K489" s="429"/>
      <c r="L489" s="429"/>
      <c r="M489" s="429"/>
      <c r="N489" s="429"/>
      <c r="O489" s="429"/>
      <c r="P489" s="429"/>
      <c r="Q489" s="429"/>
      <c r="R489" s="429"/>
      <c r="S489" s="429"/>
      <c r="T489" s="429"/>
      <c r="U489" s="429"/>
      <c r="V489" s="429"/>
      <c r="W489" s="429"/>
      <c r="X489" s="429"/>
      <c r="Y489" s="429">
        <f>F489</f>
        <v>54</v>
      </c>
      <c r="Z489" s="429"/>
      <c r="AA489" s="429"/>
      <c r="AB489" s="429"/>
      <c r="AC489" s="429"/>
      <c r="AD489" s="429"/>
      <c r="AE489" s="429"/>
      <c r="AF489" s="429"/>
      <c r="AG489" s="429"/>
      <c r="AH489" s="429"/>
      <c r="AI489" s="429"/>
      <c r="AJ489" s="429"/>
      <c r="AK489" s="429"/>
      <c r="AL489" s="429"/>
      <c r="AM489" s="429"/>
      <c r="AN489" s="429"/>
      <c r="AO489" s="429"/>
      <c r="AP489" s="429"/>
      <c r="AQ489" s="429"/>
      <c r="AR489" s="429"/>
      <c r="AS489" s="429"/>
      <c r="AT489" s="429"/>
      <c r="AU489" s="429"/>
      <c r="AV489" s="429"/>
      <c r="AW489" s="429"/>
      <c r="AX489" s="429"/>
      <c r="AY489" s="429"/>
      <c r="AZ489" s="429"/>
      <c r="BA489" s="429"/>
      <c r="BB489" s="429"/>
      <c r="BC489" s="429"/>
      <c r="BD489" s="429"/>
      <c r="BE489" s="429"/>
      <c r="BF489" s="429"/>
      <c r="BG489" s="429"/>
      <c r="BH489" s="429"/>
      <c r="BI489" s="429"/>
      <c r="BJ489" s="429"/>
      <c r="BK489" s="429"/>
      <c r="BL489" s="429"/>
      <c r="BM489" s="429"/>
      <c r="BN489" s="429"/>
      <c r="BO489" s="429"/>
      <c r="BP489" s="102"/>
      <c r="BQ489" s="102">
        <v>22.9</v>
      </c>
      <c r="BR489" s="451">
        <f t="shared" si="47"/>
        <v>1236.6</v>
      </c>
      <c r="BS489" s="451">
        <f t="shared" si="48"/>
        <v>9583.65</v>
      </c>
      <c r="BT489" s="429" t="str">
        <f>IFERROR(VLOOKUP(E489,名称!A:D,4,FALSE),"")</f>
        <v>KIK</v>
      </c>
    </row>
    <row r="490" s="427" customFormat="1" hidden="1" customHeight="1" spans="1:72">
      <c r="A490" s="93">
        <v>46115</v>
      </c>
      <c r="B490" s="95" t="s">
        <v>237</v>
      </c>
      <c r="C490" s="96">
        <v>10124147</v>
      </c>
      <c r="D490" s="96">
        <v>671988978</v>
      </c>
      <c r="E490" s="97" t="s">
        <v>39</v>
      </c>
      <c r="F490" s="99">
        <v>54</v>
      </c>
      <c r="G490" s="93">
        <v>46176</v>
      </c>
      <c r="H490" s="429"/>
      <c r="I490" s="429"/>
      <c r="J490" s="429"/>
      <c r="K490" s="429"/>
      <c r="L490" s="429"/>
      <c r="M490" s="429"/>
      <c r="N490" s="429"/>
      <c r="O490" s="429"/>
      <c r="P490" s="429"/>
      <c r="Q490" s="429"/>
      <c r="R490" s="429"/>
      <c r="S490" s="429"/>
      <c r="T490" s="429"/>
      <c r="U490" s="429"/>
      <c r="V490" s="429"/>
      <c r="W490" s="429">
        <f>F490</f>
        <v>54</v>
      </c>
      <c r="X490" s="429"/>
      <c r="Y490" s="429"/>
      <c r="Z490" s="429"/>
      <c r="AA490" s="429"/>
      <c r="AB490" s="429"/>
      <c r="AC490" s="429"/>
      <c r="AD490" s="429"/>
      <c r="AE490" s="429"/>
      <c r="AF490" s="429"/>
      <c r="AG490" s="429"/>
      <c r="AH490" s="429"/>
      <c r="AI490" s="429"/>
      <c r="AJ490" s="429"/>
      <c r="AK490" s="429"/>
      <c r="AL490" s="429"/>
      <c r="AM490" s="429"/>
      <c r="AN490" s="429"/>
      <c r="AO490" s="429"/>
      <c r="AP490" s="429"/>
      <c r="AQ490" s="429"/>
      <c r="AR490" s="429"/>
      <c r="AS490" s="429"/>
      <c r="AT490" s="429"/>
      <c r="AU490" s="429"/>
      <c r="AV490" s="429"/>
      <c r="AW490" s="429"/>
      <c r="AX490" s="429"/>
      <c r="AY490" s="429"/>
      <c r="AZ490" s="429"/>
      <c r="BA490" s="429"/>
      <c r="BB490" s="429"/>
      <c r="BC490" s="429"/>
      <c r="BD490" s="429"/>
      <c r="BE490" s="429"/>
      <c r="BF490" s="429"/>
      <c r="BG490" s="429"/>
      <c r="BH490" s="429"/>
      <c r="BI490" s="429"/>
      <c r="BJ490" s="429"/>
      <c r="BK490" s="429"/>
      <c r="BL490" s="429"/>
      <c r="BM490" s="429"/>
      <c r="BN490" s="429"/>
      <c r="BO490" s="429"/>
      <c r="BP490" s="102"/>
      <c r="BQ490" s="102">
        <v>30.536</v>
      </c>
      <c r="BR490" s="451">
        <f t="shared" si="47"/>
        <v>1648.94</v>
      </c>
      <c r="BS490" s="451">
        <f t="shared" si="48"/>
        <v>12779.29</v>
      </c>
      <c r="BT490" s="429" t="str">
        <f>IFERROR(VLOOKUP(E490,名称!A:D,4,FALSE),"")</f>
        <v>KIK</v>
      </c>
    </row>
    <row r="491" s="427" customFormat="1" hidden="1" customHeight="1" spans="1:72">
      <c r="A491" s="93">
        <v>46115</v>
      </c>
      <c r="B491" s="95" t="s">
        <v>237</v>
      </c>
      <c r="C491" s="96">
        <v>10124147</v>
      </c>
      <c r="D491" s="96">
        <v>671988978</v>
      </c>
      <c r="E491" s="97">
        <v>47669</v>
      </c>
      <c r="F491" s="99">
        <v>80</v>
      </c>
      <c r="G491" s="93">
        <v>46176</v>
      </c>
      <c r="H491" s="429"/>
      <c r="I491" s="429"/>
      <c r="J491" s="429"/>
      <c r="K491" s="429"/>
      <c r="L491" s="429"/>
      <c r="M491" s="429"/>
      <c r="N491" s="429"/>
      <c r="O491" s="429"/>
      <c r="P491" s="429"/>
      <c r="Q491" s="429"/>
      <c r="R491" s="429">
        <f>F491</f>
        <v>80</v>
      </c>
      <c r="S491" s="429"/>
      <c r="T491" s="429"/>
      <c r="U491" s="429"/>
      <c r="V491" s="429"/>
      <c r="W491" s="429"/>
      <c r="X491" s="429"/>
      <c r="Y491" s="429"/>
      <c r="Z491" s="429"/>
      <c r="AA491" s="429"/>
      <c r="AB491" s="429"/>
      <c r="AC491" s="429"/>
      <c r="AD491" s="429"/>
      <c r="AE491" s="429"/>
      <c r="AF491" s="429"/>
      <c r="AG491" s="429"/>
      <c r="AH491" s="429"/>
      <c r="AI491" s="429"/>
      <c r="AJ491" s="429"/>
      <c r="AK491" s="429"/>
      <c r="AL491" s="429"/>
      <c r="AM491" s="429"/>
      <c r="AN491" s="429"/>
      <c r="AO491" s="429"/>
      <c r="AP491" s="429"/>
      <c r="AQ491" s="429"/>
      <c r="AR491" s="429"/>
      <c r="AS491" s="429"/>
      <c r="AT491" s="429"/>
      <c r="AU491" s="429"/>
      <c r="AV491" s="429"/>
      <c r="AW491" s="429"/>
      <c r="AX491" s="429"/>
      <c r="AY491" s="429"/>
      <c r="AZ491" s="429"/>
      <c r="BA491" s="429"/>
      <c r="BB491" s="429"/>
      <c r="BC491" s="429"/>
      <c r="BD491" s="429"/>
      <c r="BE491" s="429"/>
      <c r="BF491" s="429"/>
      <c r="BG491" s="429"/>
      <c r="BH491" s="429"/>
      <c r="BI491" s="429"/>
      <c r="BJ491" s="429"/>
      <c r="BK491" s="429"/>
      <c r="BL491" s="429"/>
      <c r="BM491" s="429"/>
      <c r="BN491" s="429"/>
      <c r="BO491" s="429"/>
      <c r="BP491" s="102"/>
      <c r="BQ491" s="102">
        <v>4.808</v>
      </c>
      <c r="BR491" s="451">
        <f t="shared" si="47"/>
        <v>384.64</v>
      </c>
      <c r="BS491" s="451">
        <f t="shared" si="48"/>
        <v>2980.96</v>
      </c>
      <c r="BT491" s="429" t="str">
        <f>IFERROR(VLOOKUP(E491,名称!A:D,4,FALSE),"")</f>
        <v>KIK</v>
      </c>
    </row>
    <row r="492" s="427" customFormat="1" hidden="1" customHeight="1" spans="1:72">
      <c r="A492" s="93">
        <v>46115</v>
      </c>
      <c r="B492" s="95" t="s">
        <v>237</v>
      </c>
      <c r="C492" s="96">
        <v>10124147</v>
      </c>
      <c r="D492" s="96">
        <v>671988978</v>
      </c>
      <c r="E492" s="97" t="s">
        <v>113</v>
      </c>
      <c r="F492" s="99">
        <v>252</v>
      </c>
      <c r="G492" s="93">
        <v>46176</v>
      </c>
      <c r="H492" s="429"/>
      <c r="I492" s="429"/>
      <c r="J492" s="429"/>
      <c r="K492" s="429"/>
      <c r="L492" s="429"/>
      <c r="M492" s="429"/>
      <c r="N492" s="429"/>
      <c r="O492" s="429"/>
      <c r="P492" s="429"/>
      <c r="Q492" s="429"/>
      <c r="R492" s="429"/>
      <c r="S492" s="429"/>
      <c r="T492" s="429"/>
      <c r="U492" s="429"/>
      <c r="V492" s="429"/>
      <c r="W492" s="429"/>
      <c r="X492" s="429"/>
      <c r="Y492" s="429"/>
      <c r="Z492" s="429"/>
      <c r="AA492" s="429"/>
      <c r="AB492" s="429"/>
      <c r="AC492" s="429"/>
      <c r="AD492" s="429"/>
      <c r="AE492" s="429"/>
      <c r="AF492" s="429"/>
      <c r="AG492" s="429"/>
      <c r="AH492" s="429"/>
      <c r="AI492" s="429"/>
      <c r="AJ492" s="429"/>
      <c r="AK492" s="429"/>
      <c r="AL492" s="429"/>
      <c r="AM492" s="429"/>
      <c r="AN492" s="429">
        <f>F492</f>
        <v>252</v>
      </c>
      <c r="AO492" s="429"/>
      <c r="AP492" s="429"/>
      <c r="AQ492" s="429"/>
      <c r="AR492" s="429"/>
      <c r="AS492" s="429"/>
      <c r="AT492" s="429"/>
      <c r="AU492" s="429"/>
      <c r="AV492" s="429"/>
      <c r="AW492" s="429"/>
      <c r="AX492" s="429"/>
      <c r="AY492" s="429"/>
      <c r="AZ492" s="429"/>
      <c r="BA492" s="429"/>
      <c r="BB492" s="429"/>
      <c r="BC492" s="429"/>
      <c r="BD492" s="429"/>
      <c r="BE492" s="429"/>
      <c r="BF492" s="429"/>
      <c r="BG492" s="429"/>
      <c r="BH492" s="429"/>
      <c r="BI492" s="429"/>
      <c r="BJ492" s="429"/>
      <c r="BK492" s="429"/>
      <c r="BL492" s="429"/>
      <c r="BM492" s="429"/>
      <c r="BN492" s="429"/>
      <c r="BO492" s="429"/>
      <c r="BP492" s="102"/>
      <c r="BQ492" s="102">
        <v>5.97</v>
      </c>
      <c r="BR492" s="451">
        <f t="shared" si="47"/>
        <v>1504.44</v>
      </c>
      <c r="BS492" s="451">
        <f t="shared" si="48"/>
        <v>11659.41</v>
      </c>
      <c r="BT492" s="429" t="str">
        <f>IFERROR(VLOOKUP(E492,名称!A:D,4,FALSE),"")</f>
        <v>KIK</v>
      </c>
    </row>
    <row r="493" s="427" customFormat="1" hidden="1" customHeight="1" spans="1:72">
      <c r="A493" s="93">
        <v>46115</v>
      </c>
      <c r="B493" s="95" t="s">
        <v>237</v>
      </c>
      <c r="C493" s="96">
        <v>10124147</v>
      </c>
      <c r="D493" s="96">
        <v>671988978</v>
      </c>
      <c r="E493" s="97" t="s">
        <v>118</v>
      </c>
      <c r="F493" s="99">
        <v>68</v>
      </c>
      <c r="G493" s="93">
        <v>46176</v>
      </c>
      <c r="H493" s="429"/>
      <c r="I493" s="429"/>
      <c r="J493" s="429"/>
      <c r="K493" s="429"/>
      <c r="L493" s="429"/>
      <c r="M493" s="429"/>
      <c r="N493" s="429"/>
      <c r="O493" s="429"/>
      <c r="P493" s="429"/>
      <c r="Q493" s="429"/>
      <c r="R493" s="429"/>
      <c r="S493" s="429"/>
      <c r="T493" s="429"/>
      <c r="U493" s="429"/>
      <c r="V493" s="429"/>
      <c r="W493" s="429"/>
      <c r="X493" s="429"/>
      <c r="Y493" s="429"/>
      <c r="Z493" s="429"/>
      <c r="AA493" s="429"/>
      <c r="AB493" s="429"/>
      <c r="AC493" s="429"/>
      <c r="AD493" s="429"/>
      <c r="AE493" s="429"/>
      <c r="AF493" s="429"/>
      <c r="AG493" s="429"/>
      <c r="AH493" s="429"/>
      <c r="AI493" s="429"/>
      <c r="AJ493" s="429"/>
      <c r="AK493" s="429"/>
      <c r="AL493" s="429"/>
      <c r="AM493" s="429"/>
      <c r="AN493" s="429"/>
      <c r="AO493" s="429"/>
      <c r="AP493" s="429"/>
      <c r="AQ493" s="429">
        <f>F493</f>
        <v>68</v>
      </c>
      <c r="AR493" s="429"/>
      <c r="AS493" s="429"/>
      <c r="AT493" s="429"/>
      <c r="AU493" s="429"/>
      <c r="AV493" s="429"/>
      <c r="AW493" s="429"/>
      <c r="AX493" s="429"/>
      <c r="AY493" s="429"/>
      <c r="AZ493" s="429"/>
      <c r="BA493" s="429"/>
      <c r="BB493" s="429"/>
      <c r="BC493" s="429"/>
      <c r="BD493" s="429"/>
      <c r="BE493" s="429"/>
      <c r="BF493" s="429"/>
      <c r="BG493" s="429"/>
      <c r="BH493" s="429"/>
      <c r="BI493" s="429"/>
      <c r="BJ493" s="429"/>
      <c r="BK493" s="429"/>
      <c r="BL493" s="429"/>
      <c r="BM493" s="429"/>
      <c r="BN493" s="429"/>
      <c r="BO493" s="429"/>
      <c r="BP493" s="102"/>
      <c r="BQ493" s="102">
        <v>16.71</v>
      </c>
      <c r="BR493" s="451">
        <f t="shared" si="47"/>
        <v>1136.28</v>
      </c>
      <c r="BS493" s="451">
        <f t="shared" si="48"/>
        <v>8806.17</v>
      </c>
      <c r="BT493" s="429" t="str">
        <f>IFERROR(VLOOKUP(E493,名称!A:D,4,FALSE),"")</f>
        <v>KIK</v>
      </c>
    </row>
    <row r="494" s="427" customFormat="1" hidden="1" customHeight="1" spans="1:72">
      <c r="A494" s="93">
        <v>46115</v>
      </c>
      <c r="B494" s="95" t="s">
        <v>237</v>
      </c>
      <c r="C494" s="96">
        <v>10124147</v>
      </c>
      <c r="D494" s="96">
        <v>671988978</v>
      </c>
      <c r="E494" s="97" t="s">
        <v>111</v>
      </c>
      <c r="F494" s="99">
        <v>252</v>
      </c>
      <c r="G494" s="93">
        <v>46176</v>
      </c>
      <c r="H494" s="429"/>
      <c r="I494" s="429"/>
      <c r="J494" s="429"/>
      <c r="K494" s="429"/>
      <c r="L494" s="429"/>
      <c r="M494" s="429"/>
      <c r="N494" s="429"/>
      <c r="O494" s="429"/>
      <c r="P494" s="429"/>
      <c r="Q494" s="429"/>
      <c r="R494" s="429"/>
      <c r="S494" s="429"/>
      <c r="T494" s="429"/>
      <c r="U494" s="429"/>
      <c r="V494" s="429"/>
      <c r="W494" s="429"/>
      <c r="X494" s="429"/>
      <c r="Y494" s="429"/>
      <c r="Z494" s="429"/>
      <c r="AA494" s="429"/>
      <c r="AB494" s="429"/>
      <c r="AC494" s="429"/>
      <c r="AD494" s="429"/>
      <c r="AE494" s="429"/>
      <c r="AF494" s="429"/>
      <c r="AG494" s="429"/>
      <c r="AH494" s="429"/>
      <c r="AI494" s="429"/>
      <c r="AJ494" s="429"/>
      <c r="AK494" s="429"/>
      <c r="AL494" s="429"/>
      <c r="AM494" s="429">
        <f>F494</f>
        <v>252</v>
      </c>
      <c r="AN494" s="429"/>
      <c r="AO494" s="429"/>
      <c r="AP494" s="429"/>
      <c r="AQ494" s="429"/>
      <c r="AR494" s="429"/>
      <c r="AS494" s="429"/>
      <c r="AT494" s="429"/>
      <c r="AU494" s="429"/>
      <c r="AV494" s="429"/>
      <c r="AW494" s="429"/>
      <c r="AX494" s="429"/>
      <c r="AY494" s="429"/>
      <c r="AZ494" s="429"/>
      <c r="BA494" s="429"/>
      <c r="BB494" s="429"/>
      <c r="BC494" s="429"/>
      <c r="BD494" s="429"/>
      <c r="BE494" s="429"/>
      <c r="BF494" s="429"/>
      <c r="BG494" s="429"/>
      <c r="BH494" s="429"/>
      <c r="BI494" s="429"/>
      <c r="BJ494" s="429"/>
      <c r="BK494" s="429"/>
      <c r="BL494" s="429"/>
      <c r="BM494" s="429"/>
      <c r="BN494" s="429"/>
      <c r="BO494" s="429"/>
      <c r="BP494" s="102"/>
      <c r="BQ494" s="102">
        <v>3.816</v>
      </c>
      <c r="BR494" s="451">
        <f t="shared" si="47"/>
        <v>961.63</v>
      </c>
      <c r="BS494" s="451">
        <f t="shared" si="48"/>
        <v>7452.63</v>
      </c>
      <c r="BT494" s="429" t="str">
        <f>IFERROR(VLOOKUP(E494,名称!A:D,4,FALSE),"")</f>
        <v>KIK</v>
      </c>
    </row>
    <row r="495" s="427" customFormat="1" hidden="1" customHeight="1" spans="1:72">
      <c r="A495" s="93">
        <v>46115</v>
      </c>
      <c r="B495" s="95" t="s">
        <v>237</v>
      </c>
      <c r="C495" s="96">
        <v>10124147</v>
      </c>
      <c r="D495" s="96">
        <v>671988978</v>
      </c>
      <c r="E495" s="97" t="s">
        <v>105</v>
      </c>
      <c r="F495" s="99">
        <v>80</v>
      </c>
      <c r="G495" s="93">
        <v>46176</v>
      </c>
      <c r="H495" s="429"/>
      <c r="I495" s="429"/>
      <c r="J495" s="429"/>
      <c r="K495" s="429"/>
      <c r="L495" s="429"/>
      <c r="M495" s="429"/>
      <c r="N495" s="429"/>
      <c r="O495" s="429"/>
      <c r="P495" s="429"/>
      <c r="Q495" s="429"/>
      <c r="R495" s="429"/>
      <c r="S495" s="429"/>
      <c r="T495" s="429"/>
      <c r="U495" s="429"/>
      <c r="V495" s="429"/>
      <c r="W495" s="429"/>
      <c r="X495" s="429"/>
      <c r="Y495" s="429"/>
      <c r="Z495" s="429"/>
      <c r="AA495" s="429"/>
      <c r="AB495" s="429"/>
      <c r="AC495" s="429"/>
      <c r="AD495" s="429"/>
      <c r="AE495" s="429"/>
      <c r="AF495" s="429"/>
      <c r="AG495" s="429"/>
      <c r="AH495" s="429"/>
      <c r="AI495" s="429"/>
      <c r="AJ495" s="429">
        <f>F495</f>
        <v>80</v>
      </c>
      <c r="AK495" s="429"/>
      <c r="AL495" s="429"/>
      <c r="AM495" s="429"/>
      <c r="AN495" s="429"/>
      <c r="AO495" s="429"/>
      <c r="AP495" s="429"/>
      <c r="AQ495" s="429"/>
      <c r="AR495" s="429"/>
      <c r="AS495" s="429"/>
      <c r="AT495" s="429"/>
      <c r="AU495" s="429"/>
      <c r="AV495" s="429"/>
      <c r="AW495" s="429"/>
      <c r="AX495" s="429"/>
      <c r="AY495" s="429"/>
      <c r="AZ495" s="429"/>
      <c r="BA495" s="429"/>
      <c r="BB495" s="429"/>
      <c r="BC495" s="429"/>
      <c r="BD495" s="429"/>
      <c r="BE495" s="429"/>
      <c r="BF495" s="429"/>
      <c r="BG495" s="429"/>
      <c r="BH495" s="429"/>
      <c r="BI495" s="429"/>
      <c r="BJ495" s="429"/>
      <c r="BK495" s="429"/>
      <c r="BL495" s="429"/>
      <c r="BM495" s="429"/>
      <c r="BN495" s="429"/>
      <c r="BO495" s="429"/>
      <c r="BP495" s="102"/>
      <c r="BQ495" s="102">
        <v>2.994</v>
      </c>
      <c r="BR495" s="451">
        <f t="shared" si="47"/>
        <v>239.52</v>
      </c>
      <c r="BS495" s="451">
        <f t="shared" si="48"/>
        <v>1856.28</v>
      </c>
      <c r="BT495" s="429" t="str">
        <f>IFERROR(VLOOKUP(E495,名称!A:D,4,FALSE),"")</f>
        <v>KIK</v>
      </c>
    </row>
    <row r="496" s="427" customFormat="1" hidden="1" customHeight="1" spans="1:72">
      <c r="A496" s="93">
        <v>46115</v>
      </c>
      <c r="B496" s="95" t="s">
        <v>237</v>
      </c>
      <c r="C496" s="96">
        <v>10124147</v>
      </c>
      <c r="D496" s="96">
        <v>671988978</v>
      </c>
      <c r="E496" s="97" t="s">
        <v>107</v>
      </c>
      <c r="F496" s="99">
        <v>80</v>
      </c>
      <c r="G496" s="93">
        <v>46176</v>
      </c>
      <c r="H496" s="429"/>
      <c r="I496" s="429"/>
      <c r="J496" s="429"/>
      <c r="K496" s="429"/>
      <c r="L496" s="429"/>
      <c r="M496" s="429"/>
      <c r="N496" s="429"/>
      <c r="O496" s="429"/>
      <c r="P496" s="429"/>
      <c r="Q496" s="429"/>
      <c r="R496" s="429"/>
      <c r="S496" s="429"/>
      <c r="T496" s="429"/>
      <c r="U496" s="429"/>
      <c r="V496" s="429"/>
      <c r="W496" s="429"/>
      <c r="X496" s="429"/>
      <c r="Y496" s="429"/>
      <c r="Z496" s="429"/>
      <c r="AA496" s="429"/>
      <c r="AB496" s="429"/>
      <c r="AC496" s="429"/>
      <c r="AD496" s="429"/>
      <c r="AE496" s="429"/>
      <c r="AF496" s="429"/>
      <c r="AG496" s="429"/>
      <c r="AH496" s="429"/>
      <c r="AI496" s="429"/>
      <c r="AJ496" s="429"/>
      <c r="AK496" s="429">
        <f>F496</f>
        <v>80</v>
      </c>
      <c r="AL496" s="429"/>
      <c r="AM496" s="429"/>
      <c r="AN496" s="429"/>
      <c r="AO496" s="429"/>
      <c r="AP496" s="429"/>
      <c r="AQ496" s="429"/>
      <c r="AR496" s="429"/>
      <c r="AS496" s="429"/>
      <c r="AT496" s="429"/>
      <c r="AU496" s="429"/>
      <c r="AV496" s="429"/>
      <c r="AW496" s="429"/>
      <c r="AX496" s="429"/>
      <c r="AY496" s="429"/>
      <c r="AZ496" s="429"/>
      <c r="BA496" s="429"/>
      <c r="BB496" s="429"/>
      <c r="BC496" s="429"/>
      <c r="BD496" s="429"/>
      <c r="BE496" s="429"/>
      <c r="BF496" s="429"/>
      <c r="BG496" s="429"/>
      <c r="BH496" s="429"/>
      <c r="BI496" s="429"/>
      <c r="BJ496" s="429"/>
      <c r="BK496" s="429"/>
      <c r="BL496" s="429"/>
      <c r="BM496" s="429"/>
      <c r="BN496" s="429"/>
      <c r="BO496" s="429"/>
      <c r="BP496" s="102"/>
      <c r="BQ496" s="102">
        <v>4.956</v>
      </c>
      <c r="BR496" s="451">
        <f t="shared" si="47"/>
        <v>396.48</v>
      </c>
      <c r="BS496" s="451">
        <f t="shared" si="48"/>
        <v>3072.72</v>
      </c>
      <c r="BT496" s="429" t="str">
        <f>IFERROR(VLOOKUP(E496,名称!A:D,4,FALSE),"")</f>
        <v>KIK</v>
      </c>
    </row>
    <row r="497" s="427" customFormat="1" hidden="1" customHeight="1" spans="1:72">
      <c r="A497" s="93">
        <v>46115</v>
      </c>
      <c r="B497" s="95" t="s">
        <v>237</v>
      </c>
      <c r="C497" s="96">
        <v>10124147</v>
      </c>
      <c r="D497" s="96">
        <v>671988978</v>
      </c>
      <c r="E497" s="97" t="s">
        <v>29</v>
      </c>
      <c r="F497" s="99">
        <v>64</v>
      </c>
      <c r="G497" s="93">
        <v>46176</v>
      </c>
      <c r="H497" s="429"/>
      <c r="I497" s="429"/>
      <c r="J497" s="429">
        <f>F497</f>
        <v>64</v>
      </c>
      <c r="K497" s="429"/>
      <c r="L497" s="429"/>
      <c r="M497" s="429"/>
      <c r="N497" s="429"/>
      <c r="O497" s="429"/>
      <c r="P497" s="429"/>
      <c r="Q497" s="429"/>
      <c r="R497" s="429"/>
      <c r="S497" s="429"/>
      <c r="T497" s="429"/>
      <c r="U497" s="429"/>
      <c r="V497" s="429"/>
      <c r="W497" s="429"/>
      <c r="X497" s="429"/>
      <c r="Y497" s="429"/>
      <c r="Z497" s="429"/>
      <c r="AA497" s="429"/>
      <c r="AB497" s="429"/>
      <c r="AC497" s="429"/>
      <c r="AD497" s="429"/>
      <c r="AE497" s="429"/>
      <c r="AF497" s="429"/>
      <c r="AG497" s="429"/>
      <c r="AH497" s="429"/>
      <c r="AI497" s="429"/>
      <c r="AJ497" s="429"/>
      <c r="AK497" s="429"/>
      <c r="AL497" s="429"/>
      <c r="AM497" s="429"/>
      <c r="AN497" s="429"/>
      <c r="AO497" s="429"/>
      <c r="AP497" s="429"/>
      <c r="AQ497" s="429"/>
      <c r="AR497" s="429"/>
      <c r="AS497" s="429"/>
      <c r="AT497" s="429"/>
      <c r="AU497" s="429"/>
      <c r="AV497" s="429"/>
      <c r="AW497" s="429"/>
      <c r="AX497" s="429"/>
      <c r="AY497" s="429"/>
      <c r="AZ497" s="429"/>
      <c r="BA497" s="429"/>
      <c r="BB497" s="429"/>
      <c r="BC497" s="429"/>
      <c r="BD497" s="429"/>
      <c r="BE497" s="429"/>
      <c r="BF497" s="429"/>
      <c r="BG497" s="429"/>
      <c r="BH497" s="429"/>
      <c r="BI497" s="429"/>
      <c r="BJ497" s="429"/>
      <c r="BK497" s="429"/>
      <c r="BL497" s="429"/>
      <c r="BM497" s="429"/>
      <c r="BN497" s="429"/>
      <c r="BO497" s="429"/>
      <c r="BP497" s="102"/>
      <c r="BQ497" s="102">
        <v>21.801</v>
      </c>
      <c r="BR497" s="451">
        <f t="shared" si="47"/>
        <v>1395.26</v>
      </c>
      <c r="BS497" s="451">
        <f t="shared" si="48"/>
        <v>10813.27</v>
      </c>
      <c r="BT497" s="429" t="str">
        <f>IFERROR(VLOOKUP(E497,名称!A:D,4,FALSE),"")</f>
        <v>KIK</v>
      </c>
    </row>
    <row r="498" s="427" customFormat="1" hidden="1" customHeight="1" spans="1:72">
      <c r="A498" s="93">
        <v>46115</v>
      </c>
      <c r="B498" s="95" t="s">
        <v>237</v>
      </c>
      <c r="C498" s="96">
        <v>10124150</v>
      </c>
      <c r="D498" s="96">
        <v>671988980</v>
      </c>
      <c r="E498" s="97" t="s">
        <v>31</v>
      </c>
      <c r="F498" s="99">
        <v>70</v>
      </c>
      <c r="G498" s="93">
        <v>46176</v>
      </c>
      <c r="H498" s="429"/>
      <c r="I498" s="429"/>
      <c r="J498" s="429"/>
      <c r="K498" s="429"/>
      <c r="L498" s="429"/>
      <c r="M498" s="429"/>
      <c r="N498" s="429"/>
      <c r="O498" s="429"/>
      <c r="P498" s="429"/>
      <c r="Q498" s="429"/>
      <c r="R498" s="429"/>
      <c r="S498" s="429"/>
      <c r="T498" s="429"/>
      <c r="U498" s="429"/>
      <c r="V498" s="429"/>
      <c r="W498" s="429"/>
      <c r="X498" s="429"/>
      <c r="Y498" s="429"/>
      <c r="Z498" s="429">
        <f>F498</f>
        <v>70</v>
      </c>
      <c r="AA498" s="429"/>
      <c r="AB498" s="429"/>
      <c r="AC498" s="429"/>
      <c r="AD498" s="429"/>
      <c r="AE498" s="429"/>
      <c r="AF498" s="429"/>
      <c r="AG498" s="429"/>
      <c r="AH498" s="429"/>
      <c r="AI498" s="429"/>
      <c r="AJ498" s="429"/>
      <c r="AK498" s="429"/>
      <c r="AL498" s="429"/>
      <c r="AM498" s="429"/>
      <c r="AN498" s="429"/>
      <c r="AO498" s="429"/>
      <c r="AP498" s="429"/>
      <c r="AQ498" s="429"/>
      <c r="AR498" s="429"/>
      <c r="AS498" s="429"/>
      <c r="AT498" s="429"/>
      <c r="AU498" s="429"/>
      <c r="AV498" s="429"/>
      <c r="AW498" s="429"/>
      <c r="AX498" s="429"/>
      <c r="AY498" s="429"/>
      <c r="AZ498" s="429"/>
      <c r="BA498" s="429"/>
      <c r="BB498" s="429"/>
      <c r="BC498" s="429"/>
      <c r="BD498" s="429"/>
      <c r="BE498" s="429"/>
      <c r="BF498" s="429"/>
      <c r="BG498" s="429"/>
      <c r="BH498" s="429"/>
      <c r="BI498" s="429"/>
      <c r="BJ498" s="429"/>
      <c r="BK498" s="429"/>
      <c r="BL498" s="429"/>
      <c r="BM498" s="429"/>
      <c r="BN498" s="429"/>
      <c r="BO498" s="429"/>
      <c r="BP498" s="102"/>
      <c r="BQ498" s="102">
        <v>29.652</v>
      </c>
      <c r="BR498" s="451">
        <f t="shared" si="47"/>
        <v>2075.64</v>
      </c>
      <c r="BS498" s="451">
        <f t="shared" si="48"/>
        <v>16086.21</v>
      </c>
      <c r="BT498" s="429" t="str">
        <f>IFERROR(VLOOKUP(E498,名称!A:D,4,FALSE),"")</f>
        <v>KIK</v>
      </c>
    </row>
    <row r="499" s="427" customFormat="1" hidden="1" customHeight="1" spans="1:72">
      <c r="A499" s="93">
        <v>46115</v>
      </c>
      <c r="B499" s="95" t="s">
        <v>237</v>
      </c>
      <c r="C499" s="96">
        <v>10124150</v>
      </c>
      <c r="D499" s="96">
        <v>671988980</v>
      </c>
      <c r="E499" s="97" t="s">
        <v>120</v>
      </c>
      <c r="F499" s="99">
        <v>70</v>
      </c>
      <c r="G499" s="93">
        <v>46176</v>
      </c>
      <c r="H499" s="429"/>
      <c r="I499" s="429"/>
      <c r="J499" s="429"/>
      <c r="K499" s="429"/>
      <c r="L499" s="429"/>
      <c r="M499" s="429"/>
      <c r="N499" s="429"/>
      <c r="O499" s="429"/>
      <c r="P499" s="429"/>
      <c r="Q499" s="429"/>
      <c r="R499" s="429"/>
      <c r="S499" s="429"/>
      <c r="T499" s="429"/>
      <c r="U499" s="429"/>
      <c r="V499" s="429"/>
      <c r="W499" s="429"/>
      <c r="X499" s="429"/>
      <c r="Y499" s="429"/>
      <c r="Z499" s="429"/>
      <c r="AA499" s="429"/>
      <c r="AB499" s="429"/>
      <c r="AC499" s="429"/>
      <c r="AD499" s="429"/>
      <c r="AE499" s="429"/>
      <c r="AF499" s="429"/>
      <c r="AG499" s="429"/>
      <c r="AH499" s="429"/>
      <c r="AI499" s="429"/>
      <c r="AJ499" s="429"/>
      <c r="AK499" s="429"/>
      <c r="AL499" s="429"/>
      <c r="AM499" s="429"/>
      <c r="AN499" s="429"/>
      <c r="AO499" s="429"/>
      <c r="AP499" s="429"/>
      <c r="AQ499" s="429"/>
      <c r="AR499" s="429">
        <f>F499</f>
        <v>70</v>
      </c>
      <c r="AS499" s="429"/>
      <c r="AT499" s="429"/>
      <c r="AU499" s="429"/>
      <c r="AV499" s="429"/>
      <c r="AW499" s="429"/>
      <c r="AX499" s="429"/>
      <c r="AY499" s="429"/>
      <c r="AZ499" s="429"/>
      <c r="BA499" s="429"/>
      <c r="BB499" s="429"/>
      <c r="BC499" s="429"/>
      <c r="BD499" s="429"/>
      <c r="BE499" s="429"/>
      <c r="BF499" s="429"/>
      <c r="BG499" s="429"/>
      <c r="BH499" s="429"/>
      <c r="BI499" s="429"/>
      <c r="BJ499" s="429"/>
      <c r="BK499" s="429"/>
      <c r="BL499" s="429"/>
      <c r="BM499" s="429"/>
      <c r="BN499" s="429"/>
      <c r="BO499" s="429"/>
      <c r="BP499" s="102"/>
      <c r="BQ499" s="102">
        <v>21.246</v>
      </c>
      <c r="BR499" s="451">
        <f t="shared" si="47"/>
        <v>1487.22</v>
      </c>
      <c r="BS499" s="451">
        <f t="shared" si="48"/>
        <v>11525.96</v>
      </c>
      <c r="BT499" s="429" t="str">
        <f>IFERROR(VLOOKUP(E499,名称!A:D,4,FALSE),"")</f>
        <v>KIK</v>
      </c>
    </row>
    <row r="500" s="427" customFormat="1" hidden="1" customHeight="1" spans="1:72">
      <c r="A500" s="93">
        <v>46115</v>
      </c>
      <c r="B500" s="95" t="s">
        <v>237</v>
      </c>
      <c r="C500" s="96">
        <v>10124150</v>
      </c>
      <c r="D500" s="96">
        <v>671988980</v>
      </c>
      <c r="E500" s="97" t="s">
        <v>35</v>
      </c>
      <c r="F500" s="99">
        <v>56</v>
      </c>
      <c r="G500" s="93">
        <v>46176</v>
      </c>
      <c r="H500" s="429"/>
      <c r="I500" s="429"/>
      <c r="J500" s="429"/>
      <c r="K500" s="429"/>
      <c r="L500" s="429"/>
      <c r="M500" s="429"/>
      <c r="N500" s="429"/>
      <c r="O500" s="429"/>
      <c r="P500" s="429"/>
      <c r="Q500" s="429"/>
      <c r="R500" s="429"/>
      <c r="S500" s="429"/>
      <c r="T500" s="429"/>
      <c r="U500" s="429"/>
      <c r="V500" s="429"/>
      <c r="W500" s="429"/>
      <c r="X500" s="429"/>
      <c r="Y500" s="429">
        <f>F500</f>
        <v>56</v>
      </c>
      <c r="Z500" s="429"/>
      <c r="AA500" s="429"/>
      <c r="AB500" s="429"/>
      <c r="AC500" s="429"/>
      <c r="AD500" s="429"/>
      <c r="AE500" s="429"/>
      <c r="AF500" s="429"/>
      <c r="AG500" s="429"/>
      <c r="AH500" s="429"/>
      <c r="AI500" s="429"/>
      <c r="AJ500" s="429"/>
      <c r="AK500" s="429"/>
      <c r="AL500" s="429"/>
      <c r="AM500" s="429"/>
      <c r="AN500" s="429"/>
      <c r="AO500" s="429"/>
      <c r="AP500" s="429"/>
      <c r="AQ500" s="429"/>
      <c r="AR500" s="429"/>
      <c r="AS500" s="429"/>
      <c r="AT500" s="429"/>
      <c r="AU500" s="429"/>
      <c r="AV500" s="429"/>
      <c r="AW500" s="429"/>
      <c r="AX500" s="429"/>
      <c r="AY500" s="429"/>
      <c r="AZ500" s="429"/>
      <c r="BA500" s="429"/>
      <c r="BB500" s="429"/>
      <c r="BC500" s="429"/>
      <c r="BD500" s="429"/>
      <c r="BE500" s="429"/>
      <c r="BF500" s="429"/>
      <c r="BG500" s="429"/>
      <c r="BH500" s="429"/>
      <c r="BI500" s="429"/>
      <c r="BJ500" s="429"/>
      <c r="BK500" s="429"/>
      <c r="BL500" s="429"/>
      <c r="BM500" s="429"/>
      <c r="BN500" s="429"/>
      <c r="BO500" s="429"/>
      <c r="BP500" s="102"/>
      <c r="BQ500" s="102">
        <v>22.9</v>
      </c>
      <c r="BR500" s="451">
        <f t="shared" si="47"/>
        <v>1282.4</v>
      </c>
      <c r="BS500" s="451">
        <f t="shared" si="48"/>
        <v>9938.6</v>
      </c>
      <c r="BT500" s="429" t="str">
        <f>IFERROR(VLOOKUP(E500,名称!A:D,4,FALSE),"")</f>
        <v>KIK</v>
      </c>
    </row>
    <row r="501" s="427" customFormat="1" hidden="1" customHeight="1" spans="1:72">
      <c r="A501" s="93">
        <v>46115</v>
      </c>
      <c r="B501" s="95" t="s">
        <v>237</v>
      </c>
      <c r="C501" s="96">
        <v>10124150</v>
      </c>
      <c r="D501" s="96">
        <v>671988980</v>
      </c>
      <c r="E501" s="97" t="s">
        <v>39</v>
      </c>
      <c r="F501" s="99">
        <v>36</v>
      </c>
      <c r="G501" s="93">
        <v>46176</v>
      </c>
      <c r="H501" s="429"/>
      <c r="I501" s="429"/>
      <c r="J501" s="429"/>
      <c r="K501" s="429"/>
      <c r="L501" s="429"/>
      <c r="M501" s="429"/>
      <c r="N501" s="429"/>
      <c r="O501" s="429"/>
      <c r="P501" s="429"/>
      <c r="Q501" s="429"/>
      <c r="R501" s="429"/>
      <c r="S501" s="429"/>
      <c r="T501" s="429"/>
      <c r="U501" s="429"/>
      <c r="V501" s="429"/>
      <c r="W501" s="429">
        <f>F501</f>
        <v>36</v>
      </c>
      <c r="X501" s="429"/>
      <c r="Y501" s="429"/>
      <c r="Z501" s="429"/>
      <c r="AA501" s="429"/>
      <c r="AB501" s="429"/>
      <c r="AC501" s="429"/>
      <c r="AD501" s="429"/>
      <c r="AE501" s="429"/>
      <c r="AF501" s="429"/>
      <c r="AG501" s="429"/>
      <c r="AH501" s="429"/>
      <c r="AI501" s="429"/>
      <c r="AJ501" s="429"/>
      <c r="AK501" s="429"/>
      <c r="AL501" s="429"/>
      <c r="AM501" s="429"/>
      <c r="AN501" s="429"/>
      <c r="AO501" s="429"/>
      <c r="AP501" s="429"/>
      <c r="AQ501" s="429"/>
      <c r="AR501" s="429"/>
      <c r="AS501" s="429"/>
      <c r="AT501" s="429"/>
      <c r="AU501" s="429"/>
      <c r="AV501" s="429"/>
      <c r="AW501" s="429"/>
      <c r="AX501" s="429"/>
      <c r="AY501" s="429"/>
      <c r="AZ501" s="429"/>
      <c r="BA501" s="429"/>
      <c r="BB501" s="429"/>
      <c r="BC501" s="429"/>
      <c r="BD501" s="429"/>
      <c r="BE501" s="429"/>
      <c r="BF501" s="429"/>
      <c r="BG501" s="429"/>
      <c r="BH501" s="429"/>
      <c r="BI501" s="429"/>
      <c r="BJ501" s="429"/>
      <c r="BK501" s="429"/>
      <c r="BL501" s="429"/>
      <c r="BM501" s="429"/>
      <c r="BN501" s="429"/>
      <c r="BO501" s="429"/>
      <c r="BP501" s="102"/>
      <c r="BQ501" s="102">
        <v>30.536</v>
      </c>
      <c r="BR501" s="451">
        <f t="shared" si="47"/>
        <v>1099.3</v>
      </c>
      <c r="BS501" s="451">
        <f t="shared" si="48"/>
        <v>8519.58</v>
      </c>
      <c r="BT501" s="429" t="str">
        <f>IFERROR(VLOOKUP(E501,名称!A:D,4,FALSE),"")</f>
        <v>KIK</v>
      </c>
    </row>
    <row r="502" s="427" customFormat="1" hidden="1" customHeight="1" spans="1:72">
      <c r="A502" s="93">
        <v>46115</v>
      </c>
      <c r="B502" s="95" t="s">
        <v>237</v>
      </c>
      <c r="C502" s="96">
        <v>10124150</v>
      </c>
      <c r="D502" s="96">
        <v>671988980</v>
      </c>
      <c r="E502" s="97">
        <v>47669</v>
      </c>
      <c r="F502" s="99">
        <v>36</v>
      </c>
      <c r="G502" s="93">
        <v>46176</v>
      </c>
      <c r="H502" s="429"/>
      <c r="I502" s="429"/>
      <c r="J502" s="429"/>
      <c r="K502" s="429"/>
      <c r="L502" s="429"/>
      <c r="M502" s="429"/>
      <c r="N502" s="429"/>
      <c r="O502" s="429"/>
      <c r="P502" s="429"/>
      <c r="Q502" s="429"/>
      <c r="R502" s="429">
        <f>F502</f>
        <v>36</v>
      </c>
      <c r="S502" s="429"/>
      <c r="T502" s="429"/>
      <c r="U502" s="429"/>
      <c r="V502" s="429"/>
      <c r="W502" s="429"/>
      <c r="X502" s="429"/>
      <c r="Y502" s="429"/>
      <c r="Z502" s="429"/>
      <c r="AA502" s="429"/>
      <c r="AB502" s="429"/>
      <c r="AC502" s="429"/>
      <c r="AD502" s="429"/>
      <c r="AE502" s="429"/>
      <c r="AF502" s="429"/>
      <c r="AG502" s="429"/>
      <c r="AH502" s="429"/>
      <c r="AI502" s="429"/>
      <c r="AJ502" s="429"/>
      <c r="AK502" s="429"/>
      <c r="AL502" s="429"/>
      <c r="AM502" s="429"/>
      <c r="AN502" s="429"/>
      <c r="AO502" s="429"/>
      <c r="AP502" s="429"/>
      <c r="AQ502" s="429"/>
      <c r="AR502" s="429"/>
      <c r="AS502" s="429"/>
      <c r="AT502" s="429"/>
      <c r="AU502" s="429"/>
      <c r="AV502" s="429"/>
      <c r="AW502" s="429"/>
      <c r="AX502" s="429"/>
      <c r="AY502" s="429"/>
      <c r="AZ502" s="429"/>
      <c r="BA502" s="429"/>
      <c r="BB502" s="429"/>
      <c r="BC502" s="429"/>
      <c r="BD502" s="429"/>
      <c r="BE502" s="429"/>
      <c r="BF502" s="429"/>
      <c r="BG502" s="429"/>
      <c r="BH502" s="429"/>
      <c r="BI502" s="429"/>
      <c r="BJ502" s="429"/>
      <c r="BK502" s="429"/>
      <c r="BL502" s="429"/>
      <c r="BM502" s="429"/>
      <c r="BN502" s="429"/>
      <c r="BO502" s="429"/>
      <c r="BP502" s="102"/>
      <c r="BQ502" s="102">
        <v>4.808</v>
      </c>
      <c r="BR502" s="451">
        <f t="shared" si="47"/>
        <v>173.09</v>
      </c>
      <c r="BS502" s="451">
        <f t="shared" si="48"/>
        <v>1341.45</v>
      </c>
      <c r="BT502" s="429" t="str">
        <f>IFERROR(VLOOKUP(E502,名称!A:D,4,FALSE),"")</f>
        <v>KIK</v>
      </c>
    </row>
    <row r="503" s="427" customFormat="1" hidden="1" customHeight="1" spans="1:72">
      <c r="A503" s="93">
        <v>46115</v>
      </c>
      <c r="B503" s="95" t="s">
        <v>237</v>
      </c>
      <c r="C503" s="96">
        <v>10124150</v>
      </c>
      <c r="D503" s="96">
        <v>671988980</v>
      </c>
      <c r="E503" s="97" t="s">
        <v>113</v>
      </c>
      <c r="F503" s="99">
        <v>148</v>
      </c>
      <c r="G503" s="93">
        <v>46176</v>
      </c>
      <c r="H503" s="429"/>
      <c r="I503" s="429"/>
      <c r="J503" s="429"/>
      <c r="K503" s="429"/>
      <c r="L503" s="429"/>
      <c r="M503" s="429"/>
      <c r="N503" s="429"/>
      <c r="O503" s="429"/>
      <c r="P503" s="429"/>
      <c r="Q503" s="429"/>
      <c r="R503" s="429"/>
      <c r="S503" s="429"/>
      <c r="T503" s="429"/>
      <c r="U503" s="429"/>
      <c r="V503" s="429"/>
      <c r="W503" s="429"/>
      <c r="X503" s="429"/>
      <c r="Y503" s="429"/>
      <c r="Z503" s="429"/>
      <c r="AA503" s="429"/>
      <c r="AB503" s="429"/>
      <c r="AC503" s="429"/>
      <c r="AD503" s="429"/>
      <c r="AE503" s="429"/>
      <c r="AF503" s="429"/>
      <c r="AG503" s="429"/>
      <c r="AH503" s="429"/>
      <c r="AI503" s="429"/>
      <c r="AJ503" s="429"/>
      <c r="AK503" s="429"/>
      <c r="AL503" s="429"/>
      <c r="AM503" s="429"/>
      <c r="AN503" s="429">
        <f>F503</f>
        <v>148</v>
      </c>
      <c r="AO503" s="429"/>
      <c r="AP503" s="429"/>
      <c r="AQ503" s="429"/>
      <c r="AR503" s="429"/>
      <c r="AS503" s="429"/>
      <c r="AT503" s="429"/>
      <c r="AU503" s="429"/>
      <c r="AV503" s="429"/>
      <c r="AW503" s="429"/>
      <c r="AX503" s="429"/>
      <c r="AY503" s="429"/>
      <c r="AZ503" s="429"/>
      <c r="BA503" s="429"/>
      <c r="BB503" s="429"/>
      <c r="BC503" s="429"/>
      <c r="BD503" s="429"/>
      <c r="BE503" s="429"/>
      <c r="BF503" s="429"/>
      <c r="BG503" s="429"/>
      <c r="BH503" s="429"/>
      <c r="BI503" s="429"/>
      <c r="BJ503" s="429"/>
      <c r="BK503" s="429"/>
      <c r="BL503" s="429"/>
      <c r="BM503" s="429"/>
      <c r="BN503" s="429"/>
      <c r="BO503" s="429"/>
      <c r="BP503" s="102"/>
      <c r="BQ503" s="102">
        <v>5.97</v>
      </c>
      <c r="BR503" s="451">
        <f t="shared" si="47"/>
        <v>883.56</v>
      </c>
      <c r="BS503" s="451">
        <f t="shared" si="48"/>
        <v>6847.59</v>
      </c>
      <c r="BT503" s="429" t="str">
        <f>IFERROR(VLOOKUP(E503,名称!A:D,4,FALSE),"")</f>
        <v>KIK</v>
      </c>
    </row>
    <row r="504" s="427" customFormat="1" hidden="1" customHeight="1" spans="1:72">
      <c r="A504" s="93">
        <v>46115</v>
      </c>
      <c r="B504" s="95" t="s">
        <v>237</v>
      </c>
      <c r="C504" s="96">
        <v>10124150</v>
      </c>
      <c r="D504" s="96">
        <v>671988980</v>
      </c>
      <c r="E504" s="97" t="s">
        <v>118</v>
      </c>
      <c r="F504" s="99">
        <v>36</v>
      </c>
      <c r="G504" s="93">
        <v>46176</v>
      </c>
      <c r="H504" s="429"/>
      <c r="I504" s="429"/>
      <c r="J504" s="429"/>
      <c r="K504" s="429"/>
      <c r="L504" s="429"/>
      <c r="M504" s="429"/>
      <c r="N504" s="429"/>
      <c r="O504" s="429"/>
      <c r="P504" s="429"/>
      <c r="Q504" s="429"/>
      <c r="R504" s="429"/>
      <c r="S504" s="429"/>
      <c r="T504" s="429"/>
      <c r="U504" s="429"/>
      <c r="V504" s="429"/>
      <c r="W504" s="429"/>
      <c r="X504" s="429"/>
      <c r="Y504" s="429"/>
      <c r="Z504" s="429"/>
      <c r="AA504" s="429"/>
      <c r="AB504" s="429"/>
      <c r="AC504" s="429"/>
      <c r="AD504" s="429"/>
      <c r="AE504" s="429"/>
      <c r="AF504" s="429"/>
      <c r="AG504" s="429"/>
      <c r="AH504" s="429"/>
      <c r="AI504" s="429"/>
      <c r="AJ504" s="429"/>
      <c r="AK504" s="429"/>
      <c r="AL504" s="429"/>
      <c r="AM504" s="429"/>
      <c r="AN504" s="429"/>
      <c r="AO504" s="429"/>
      <c r="AP504" s="429"/>
      <c r="AQ504" s="429">
        <f>F504</f>
        <v>36</v>
      </c>
      <c r="AR504" s="429"/>
      <c r="AS504" s="429"/>
      <c r="AT504" s="429"/>
      <c r="AU504" s="429"/>
      <c r="AV504" s="429"/>
      <c r="AW504" s="429"/>
      <c r="AX504" s="429"/>
      <c r="AY504" s="429"/>
      <c r="AZ504" s="429"/>
      <c r="BA504" s="429"/>
      <c r="BB504" s="429"/>
      <c r="BC504" s="429"/>
      <c r="BD504" s="429"/>
      <c r="BE504" s="429"/>
      <c r="BF504" s="429"/>
      <c r="BG504" s="429"/>
      <c r="BH504" s="429"/>
      <c r="BI504" s="429"/>
      <c r="BJ504" s="429"/>
      <c r="BK504" s="429"/>
      <c r="BL504" s="429"/>
      <c r="BM504" s="429"/>
      <c r="BN504" s="429"/>
      <c r="BO504" s="429"/>
      <c r="BP504" s="102"/>
      <c r="BQ504" s="102">
        <v>16.71</v>
      </c>
      <c r="BR504" s="451">
        <f t="shared" si="47"/>
        <v>601.56</v>
      </c>
      <c r="BS504" s="451">
        <f t="shared" si="48"/>
        <v>4662.09</v>
      </c>
      <c r="BT504" s="429" t="str">
        <f>IFERROR(VLOOKUP(E504,名称!A:D,4,FALSE),"")</f>
        <v>KIK</v>
      </c>
    </row>
    <row r="505" s="427" customFormat="1" hidden="1" customHeight="1" spans="1:72">
      <c r="A505" s="93">
        <v>46115</v>
      </c>
      <c r="B505" s="95" t="s">
        <v>237</v>
      </c>
      <c r="C505" s="96">
        <v>10124150</v>
      </c>
      <c r="D505" s="96">
        <v>671988980</v>
      </c>
      <c r="E505" s="97" t="s">
        <v>111</v>
      </c>
      <c r="F505" s="99">
        <v>148</v>
      </c>
      <c r="G505" s="93">
        <v>46176</v>
      </c>
      <c r="H505" s="429"/>
      <c r="I505" s="429"/>
      <c r="J505" s="429"/>
      <c r="K505" s="429"/>
      <c r="L505" s="429"/>
      <c r="M505" s="429"/>
      <c r="N505" s="429"/>
      <c r="O505" s="429"/>
      <c r="P505" s="429"/>
      <c r="Q505" s="429"/>
      <c r="R505" s="429"/>
      <c r="S505" s="429"/>
      <c r="T505" s="429"/>
      <c r="U505" s="429"/>
      <c r="V505" s="429"/>
      <c r="W505" s="429"/>
      <c r="X505" s="429"/>
      <c r="Y505" s="429"/>
      <c r="Z505" s="429"/>
      <c r="AA505" s="429"/>
      <c r="AB505" s="429"/>
      <c r="AC505" s="429"/>
      <c r="AD505" s="429"/>
      <c r="AE505" s="429"/>
      <c r="AF505" s="429"/>
      <c r="AG505" s="429"/>
      <c r="AH505" s="429"/>
      <c r="AI505" s="429"/>
      <c r="AJ505" s="429"/>
      <c r="AK505" s="429"/>
      <c r="AL505" s="429"/>
      <c r="AM505" s="429">
        <f>F505</f>
        <v>148</v>
      </c>
      <c r="AN505" s="429"/>
      <c r="AO505" s="429"/>
      <c r="AP505" s="429"/>
      <c r="AQ505" s="429"/>
      <c r="AR505" s="429"/>
      <c r="AS505" s="429"/>
      <c r="AT505" s="429"/>
      <c r="AU505" s="429"/>
      <c r="AV505" s="429"/>
      <c r="AW505" s="429"/>
      <c r="AX505" s="429"/>
      <c r="AY505" s="429"/>
      <c r="AZ505" s="429"/>
      <c r="BA505" s="429"/>
      <c r="BB505" s="429"/>
      <c r="BC505" s="429"/>
      <c r="BD505" s="429"/>
      <c r="BE505" s="429"/>
      <c r="BF505" s="429"/>
      <c r="BG505" s="429"/>
      <c r="BH505" s="429"/>
      <c r="BI505" s="429"/>
      <c r="BJ505" s="429"/>
      <c r="BK505" s="429"/>
      <c r="BL505" s="429"/>
      <c r="BM505" s="429"/>
      <c r="BN505" s="429"/>
      <c r="BO505" s="429"/>
      <c r="BP505" s="102"/>
      <c r="BQ505" s="102">
        <v>3.816</v>
      </c>
      <c r="BR505" s="451">
        <f t="shared" si="47"/>
        <v>564.77</v>
      </c>
      <c r="BS505" s="451">
        <f t="shared" si="48"/>
        <v>4376.97</v>
      </c>
      <c r="BT505" s="429" t="str">
        <f>IFERROR(VLOOKUP(E505,名称!A:D,4,FALSE),"")</f>
        <v>KIK</v>
      </c>
    </row>
    <row r="506" s="427" customFormat="1" hidden="1" customHeight="1" spans="1:72">
      <c r="A506" s="93">
        <v>46115</v>
      </c>
      <c r="B506" s="95" t="s">
        <v>237</v>
      </c>
      <c r="C506" s="96">
        <v>10124150</v>
      </c>
      <c r="D506" s="96">
        <v>671988980</v>
      </c>
      <c r="E506" s="97" t="s">
        <v>105</v>
      </c>
      <c r="F506" s="99">
        <v>36</v>
      </c>
      <c r="G506" s="93">
        <v>46176</v>
      </c>
      <c r="H506" s="429"/>
      <c r="I506" s="429"/>
      <c r="J506" s="429"/>
      <c r="K506" s="429"/>
      <c r="L506" s="429"/>
      <c r="M506" s="429"/>
      <c r="N506" s="429"/>
      <c r="O506" s="429"/>
      <c r="P506" s="429"/>
      <c r="Q506" s="429"/>
      <c r="R506" s="429"/>
      <c r="S506" s="429"/>
      <c r="T506" s="429"/>
      <c r="U506" s="429"/>
      <c r="V506" s="429"/>
      <c r="W506" s="429"/>
      <c r="X506" s="429"/>
      <c r="Y506" s="429"/>
      <c r="Z506" s="429"/>
      <c r="AA506" s="429"/>
      <c r="AB506" s="429"/>
      <c r="AC506" s="429"/>
      <c r="AD506" s="429"/>
      <c r="AE506" s="429"/>
      <c r="AF506" s="429"/>
      <c r="AG506" s="429"/>
      <c r="AH506" s="429"/>
      <c r="AI506" s="429"/>
      <c r="AJ506" s="429">
        <f>F506</f>
        <v>36</v>
      </c>
      <c r="AK506" s="429"/>
      <c r="AL506" s="429"/>
      <c r="AM506" s="429"/>
      <c r="AN506" s="429"/>
      <c r="AO506" s="429"/>
      <c r="AP506" s="429"/>
      <c r="AQ506" s="429"/>
      <c r="AR506" s="429"/>
      <c r="AS506" s="429"/>
      <c r="AT506" s="429"/>
      <c r="AU506" s="429"/>
      <c r="AV506" s="429"/>
      <c r="AW506" s="429"/>
      <c r="AX506" s="429"/>
      <c r="AY506" s="429"/>
      <c r="AZ506" s="429"/>
      <c r="BA506" s="429"/>
      <c r="BB506" s="429"/>
      <c r="BC506" s="429"/>
      <c r="BD506" s="429"/>
      <c r="BE506" s="429"/>
      <c r="BF506" s="429"/>
      <c r="BG506" s="429"/>
      <c r="BH506" s="429"/>
      <c r="BI506" s="429"/>
      <c r="BJ506" s="429"/>
      <c r="BK506" s="429"/>
      <c r="BL506" s="429"/>
      <c r="BM506" s="429"/>
      <c r="BN506" s="429"/>
      <c r="BO506" s="429"/>
      <c r="BP506" s="102"/>
      <c r="BQ506" s="102">
        <v>2.994</v>
      </c>
      <c r="BR506" s="451">
        <f t="shared" si="47"/>
        <v>107.78</v>
      </c>
      <c r="BS506" s="451">
        <f t="shared" si="48"/>
        <v>835.3</v>
      </c>
      <c r="BT506" s="429" t="str">
        <f>IFERROR(VLOOKUP(E506,名称!A:D,4,FALSE),"")</f>
        <v>KIK</v>
      </c>
    </row>
    <row r="507" s="427" customFormat="1" hidden="1" customHeight="1" spans="1:72">
      <c r="A507" s="93">
        <v>46115</v>
      </c>
      <c r="B507" s="95" t="s">
        <v>237</v>
      </c>
      <c r="C507" s="96">
        <v>10124150</v>
      </c>
      <c r="D507" s="96">
        <v>671988980</v>
      </c>
      <c r="E507" s="97" t="s">
        <v>107</v>
      </c>
      <c r="F507" s="99">
        <v>36</v>
      </c>
      <c r="G507" s="93">
        <v>46176</v>
      </c>
      <c r="H507" s="429"/>
      <c r="I507" s="429"/>
      <c r="J507" s="429"/>
      <c r="K507" s="429"/>
      <c r="L507" s="429"/>
      <c r="M507" s="429"/>
      <c r="N507" s="429"/>
      <c r="O507" s="429"/>
      <c r="P507" s="429"/>
      <c r="Q507" s="429"/>
      <c r="R507" s="429"/>
      <c r="S507" s="429"/>
      <c r="T507" s="429"/>
      <c r="U507" s="429"/>
      <c r="V507" s="429"/>
      <c r="W507" s="429"/>
      <c r="X507" s="429"/>
      <c r="Y507" s="429"/>
      <c r="Z507" s="429"/>
      <c r="AA507" s="429"/>
      <c r="AB507" s="429"/>
      <c r="AC507" s="429"/>
      <c r="AD507" s="429"/>
      <c r="AE507" s="429"/>
      <c r="AF507" s="429"/>
      <c r="AG507" s="429"/>
      <c r="AH507" s="429"/>
      <c r="AI507" s="429"/>
      <c r="AJ507" s="429"/>
      <c r="AK507" s="429">
        <f>F507</f>
        <v>36</v>
      </c>
      <c r="AL507" s="429"/>
      <c r="AM507" s="429"/>
      <c r="AN507" s="429"/>
      <c r="AO507" s="429"/>
      <c r="AP507" s="429"/>
      <c r="AQ507" s="429"/>
      <c r="AR507" s="429"/>
      <c r="AS507" s="429"/>
      <c r="AT507" s="429"/>
      <c r="AU507" s="429"/>
      <c r="AV507" s="429"/>
      <c r="AW507" s="429"/>
      <c r="AX507" s="429"/>
      <c r="AY507" s="429"/>
      <c r="AZ507" s="429"/>
      <c r="BA507" s="429"/>
      <c r="BB507" s="429"/>
      <c r="BC507" s="429"/>
      <c r="BD507" s="429"/>
      <c r="BE507" s="429"/>
      <c r="BF507" s="429"/>
      <c r="BG507" s="429"/>
      <c r="BH507" s="429"/>
      <c r="BI507" s="429"/>
      <c r="BJ507" s="429"/>
      <c r="BK507" s="429"/>
      <c r="BL507" s="429"/>
      <c r="BM507" s="429"/>
      <c r="BN507" s="429"/>
      <c r="BO507" s="429"/>
      <c r="BP507" s="102"/>
      <c r="BQ507" s="102">
        <v>4.956</v>
      </c>
      <c r="BR507" s="451">
        <f t="shared" si="47"/>
        <v>178.42</v>
      </c>
      <c r="BS507" s="451">
        <f t="shared" si="48"/>
        <v>1382.76</v>
      </c>
      <c r="BT507" s="429" t="str">
        <f>IFERROR(VLOOKUP(E507,名称!A:D,4,FALSE),"")</f>
        <v>KIK</v>
      </c>
    </row>
    <row r="508" s="427" customFormat="1" hidden="1" customHeight="1" spans="1:72">
      <c r="A508" s="93">
        <v>46115</v>
      </c>
      <c r="B508" s="95" t="s">
        <v>237</v>
      </c>
      <c r="C508" s="96">
        <v>10124150</v>
      </c>
      <c r="D508" s="96">
        <v>671988980</v>
      </c>
      <c r="E508" s="97" t="s">
        <v>29</v>
      </c>
      <c r="F508" s="99">
        <v>36</v>
      </c>
      <c r="G508" s="93">
        <v>46176</v>
      </c>
      <c r="H508" s="429"/>
      <c r="I508" s="429"/>
      <c r="J508" s="429">
        <f>F508</f>
        <v>36</v>
      </c>
      <c r="K508" s="429"/>
      <c r="L508" s="429"/>
      <c r="M508" s="429"/>
      <c r="N508" s="429"/>
      <c r="O508" s="429"/>
      <c r="P508" s="429"/>
      <c r="Q508" s="429"/>
      <c r="R508" s="429"/>
      <c r="S508" s="429"/>
      <c r="T508" s="429"/>
      <c r="U508" s="429"/>
      <c r="V508" s="429"/>
      <c r="W508" s="429"/>
      <c r="X508" s="429"/>
      <c r="Y508" s="429"/>
      <c r="Z508" s="429"/>
      <c r="AA508" s="429"/>
      <c r="AB508" s="429"/>
      <c r="AC508" s="429"/>
      <c r="AD508" s="429"/>
      <c r="AE508" s="429"/>
      <c r="AF508" s="429"/>
      <c r="AG508" s="429"/>
      <c r="AH508" s="429"/>
      <c r="AI508" s="429"/>
      <c r="AJ508" s="429"/>
      <c r="AK508" s="429"/>
      <c r="AL508" s="429"/>
      <c r="AM508" s="429"/>
      <c r="AN508" s="429"/>
      <c r="AO508" s="429"/>
      <c r="AP508" s="429"/>
      <c r="AQ508" s="429"/>
      <c r="AR508" s="429"/>
      <c r="AS508" s="429"/>
      <c r="AT508" s="429"/>
      <c r="AU508" s="429"/>
      <c r="AV508" s="429"/>
      <c r="AW508" s="429"/>
      <c r="AX508" s="429"/>
      <c r="AY508" s="429"/>
      <c r="AZ508" s="429"/>
      <c r="BA508" s="429"/>
      <c r="BB508" s="429"/>
      <c r="BC508" s="429"/>
      <c r="BD508" s="429"/>
      <c r="BE508" s="429"/>
      <c r="BF508" s="429"/>
      <c r="BG508" s="429"/>
      <c r="BH508" s="429"/>
      <c r="BI508" s="429"/>
      <c r="BJ508" s="429"/>
      <c r="BK508" s="429"/>
      <c r="BL508" s="429"/>
      <c r="BM508" s="429"/>
      <c r="BN508" s="429"/>
      <c r="BO508" s="429"/>
      <c r="BP508" s="102"/>
      <c r="BQ508" s="102">
        <v>21.801</v>
      </c>
      <c r="BR508" s="451">
        <f t="shared" si="47"/>
        <v>784.84</v>
      </c>
      <c r="BS508" s="451">
        <f t="shared" si="48"/>
        <v>6082.51</v>
      </c>
      <c r="BT508" s="429" t="str">
        <f>IFERROR(VLOOKUP(E508,名称!A:D,4,FALSE),"")</f>
        <v>KIK</v>
      </c>
    </row>
    <row r="509" s="427" customFormat="1" hidden="1" customHeight="1" spans="1:72">
      <c r="A509" s="93">
        <v>46120</v>
      </c>
      <c r="B509" s="95" t="s">
        <v>237</v>
      </c>
      <c r="C509" s="96">
        <v>10124241</v>
      </c>
      <c r="D509" s="96" t="s">
        <v>280</v>
      </c>
      <c r="E509" s="97" t="s">
        <v>35</v>
      </c>
      <c r="F509" s="99">
        <v>160</v>
      </c>
      <c r="G509" s="93">
        <v>46176</v>
      </c>
      <c r="H509" s="429"/>
      <c r="I509" s="429"/>
      <c r="J509" s="429"/>
      <c r="K509" s="429"/>
      <c r="L509" s="429"/>
      <c r="M509" s="429"/>
      <c r="N509" s="429"/>
      <c r="O509" s="429"/>
      <c r="P509" s="429"/>
      <c r="Q509" s="429"/>
      <c r="R509" s="429"/>
      <c r="S509" s="429"/>
      <c r="T509" s="429"/>
      <c r="U509" s="429"/>
      <c r="V509" s="429"/>
      <c r="W509" s="429"/>
      <c r="X509" s="429"/>
      <c r="Y509" s="429">
        <f>F509</f>
        <v>160</v>
      </c>
      <c r="Z509" s="429"/>
      <c r="AA509" s="429"/>
      <c r="AB509" s="429"/>
      <c r="AC509" s="429"/>
      <c r="AD509" s="429"/>
      <c r="AE509" s="429"/>
      <c r="AF509" s="429"/>
      <c r="AG509" s="429"/>
      <c r="AH509" s="429"/>
      <c r="AI509" s="429"/>
      <c r="AJ509" s="429"/>
      <c r="AK509" s="429"/>
      <c r="AL509" s="429"/>
      <c r="AM509" s="429"/>
      <c r="AN509" s="429"/>
      <c r="AO509" s="429"/>
      <c r="AP509" s="429"/>
      <c r="AQ509" s="429"/>
      <c r="AR509" s="429"/>
      <c r="AS509" s="429"/>
      <c r="AT509" s="429"/>
      <c r="AU509" s="429"/>
      <c r="AV509" s="429"/>
      <c r="AW509" s="429"/>
      <c r="AX509" s="429"/>
      <c r="AY509" s="429"/>
      <c r="AZ509" s="429"/>
      <c r="BA509" s="429"/>
      <c r="BB509" s="429"/>
      <c r="BC509" s="429"/>
      <c r="BD509" s="429"/>
      <c r="BE509" s="429"/>
      <c r="BF509" s="429"/>
      <c r="BG509" s="429"/>
      <c r="BH509" s="429"/>
      <c r="BI509" s="429"/>
      <c r="BJ509" s="429"/>
      <c r="BK509" s="429"/>
      <c r="BL509" s="429"/>
      <c r="BM509" s="429"/>
      <c r="BN509" s="429"/>
      <c r="BO509" s="429"/>
      <c r="BP509" s="102"/>
      <c r="BQ509" s="102">
        <v>22.9</v>
      </c>
      <c r="BR509" s="451">
        <f t="shared" si="47"/>
        <v>3664</v>
      </c>
      <c r="BS509" s="451">
        <f t="shared" si="48"/>
        <v>28396</v>
      </c>
      <c r="BT509" s="429" t="str">
        <f>IFERROR(VLOOKUP(E509,名称!A:D,4,FALSE),"")</f>
        <v>KIK</v>
      </c>
    </row>
    <row r="510" s="427" customFormat="1" hidden="1" customHeight="1" spans="1:72">
      <c r="A510" s="93">
        <v>46120</v>
      </c>
      <c r="B510" s="95" t="s">
        <v>237</v>
      </c>
      <c r="C510" s="96">
        <v>10124241</v>
      </c>
      <c r="D510" s="96" t="s">
        <v>280</v>
      </c>
      <c r="E510" s="97" t="s">
        <v>39</v>
      </c>
      <c r="F510" s="99">
        <v>180</v>
      </c>
      <c r="G510" s="93">
        <v>46176</v>
      </c>
      <c r="H510" s="429"/>
      <c r="I510" s="429"/>
      <c r="J510" s="429"/>
      <c r="K510" s="429"/>
      <c r="L510" s="429"/>
      <c r="M510" s="429"/>
      <c r="N510" s="429"/>
      <c r="O510" s="429"/>
      <c r="P510" s="429"/>
      <c r="Q510" s="429"/>
      <c r="R510" s="429"/>
      <c r="S510" s="429"/>
      <c r="T510" s="429"/>
      <c r="U510" s="429"/>
      <c r="V510" s="429"/>
      <c r="W510" s="429">
        <f>F510</f>
        <v>180</v>
      </c>
      <c r="X510" s="429"/>
      <c r="Y510" s="429"/>
      <c r="Z510" s="429"/>
      <c r="AA510" s="429"/>
      <c r="AB510" s="429"/>
      <c r="AC510" s="429"/>
      <c r="AD510" s="429"/>
      <c r="AE510" s="429"/>
      <c r="AF510" s="429"/>
      <c r="AG510" s="429"/>
      <c r="AH510" s="429"/>
      <c r="AI510" s="429"/>
      <c r="AJ510" s="429"/>
      <c r="AK510" s="429"/>
      <c r="AL510" s="429"/>
      <c r="AM510" s="429"/>
      <c r="AN510" s="429"/>
      <c r="AO510" s="429"/>
      <c r="AP510" s="429"/>
      <c r="AQ510" s="429"/>
      <c r="AR510" s="429"/>
      <c r="AS510" s="429"/>
      <c r="AT510" s="429"/>
      <c r="AU510" s="429"/>
      <c r="AV510" s="429"/>
      <c r="AW510" s="429"/>
      <c r="AX510" s="429"/>
      <c r="AY510" s="429"/>
      <c r="AZ510" s="429"/>
      <c r="BA510" s="429"/>
      <c r="BB510" s="429"/>
      <c r="BC510" s="429"/>
      <c r="BD510" s="429"/>
      <c r="BE510" s="429"/>
      <c r="BF510" s="429"/>
      <c r="BG510" s="429"/>
      <c r="BH510" s="429"/>
      <c r="BI510" s="429"/>
      <c r="BJ510" s="429"/>
      <c r="BK510" s="429"/>
      <c r="BL510" s="429"/>
      <c r="BM510" s="429"/>
      <c r="BN510" s="429"/>
      <c r="BO510" s="429"/>
      <c r="BP510" s="102"/>
      <c r="BQ510" s="102">
        <v>30.536</v>
      </c>
      <c r="BR510" s="451">
        <f t="shared" si="47"/>
        <v>5496.48</v>
      </c>
      <c r="BS510" s="451">
        <f t="shared" si="48"/>
        <v>42597.72</v>
      </c>
      <c r="BT510" s="429" t="str">
        <f>IFERROR(VLOOKUP(E510,名称!A:D,4,FALSE),"")</f>
        <v>KIK</v>
      </c>
    </row>
    <row r="511" s="427" customFormat="1" hidden="1" customHeight="1" spans="1:72">
      <c r="A511" s="93">
        <v>46120</v>
      </c>
      <c r="B511" s="95" t="s">
        <v>237</v>
      </c>
      <c r="C511" s="96">
        <v>10124243</v>
      </c>
      <c r="D511" s="96" t="s">
        <v>281</v>
      </c>
      <c r="E511" s="97" t="s">
        <v>29</v>
      </c>
      <c r="F511" s="99">
        <v>132</v>
      </c>
      <c r="G511" s="93">
        <v>46176</v>
      </c>
      <c r="H511" s="429"/>
      <c r="I511" s="429"/>
      <c r="J511" s="429">
        <f>F511</f>
        <v>132</v>
      </c>
      <c r="K511" s="429"/>
      <c r="L511" s="429"/>
      <c r="M511" s="429"/>
      <c r="N511" s="429"/>
      <c r="O511" s="429"/>
      <c r="P511" s="429"/>
      <c r="Q511" s="429"/>
      <c r="R511" s="429"/>
      <c r="S511" s="429"/>
      <c r="T511" s="429"/>
      <c r="U511" s="429"/>
      <c r="V511" s="429"/>
      <c r="W511" s="429"/>
      <c r="X511" s="429"/>
      <c r="Y511" s="429"/>
      <c r="Z511" s="429"/>
      <c r="AA511" s="429"/>
      <c r="AB511" s="429"/>
      <c r="AC511" s="429"/>
      <c r="AD511" s="429"/>
      <c r="AE511" s="429"/>
      <c r="AF511" s="429"/>
      <c r="AG511" s="429"/>
      <c r="AH511" s="429"/>
      <c r="AI511" s="429"/>
      <c r="AJ511" s="429"/>
      <c r="AK511" s="429"/>
      <c r="AL511" s="429"/>
      <c r="AM511" s="429"/>
      <c r="AN511" s="429"/>
      <c r="AO511" s="429"/>
      <c r="AP511" s="429"/>
      <c r="AQ511" s="429"/>
      <c r="AR511" s="429"/>
      <c r="AS511" s="429"/>
      <c r="AT511" s="429"/>
      <c r="AU511" s="429"/>
      <c r="AV511" s="429"/>
      <c r="AW511" s="429"/>
      <c r="AX511" s="429"/>
      <c r="AY511" s="429"/>
      <c r="AZ511" s="429"/>
      <c r="BA511" s="429"/>
      <c r="BB511" s="429"/>
      <c r="BC511" s="429"/>
      <c r="BD511" s="429"/>
      <c r="BE511" s="429"/>
      <c r="BF511" s="429"/>
      <c r="BG511" s="429"/>
      <c r="BH511" s="429"/>
      <c r="BI511" s="429"/>
      <c r="BJ511" s="429"/>
      <c r="BK511" s="429"/>
      <c r="BL511" s="429"/>
      <c r="BM511" s="429"/>
      <c r="BN511" s="429"/>
      <c r="BO511" s="429"/>
      <c r="BP511" s="102"/>
      <c r="BQ511" s="102">
        <v>21.801</v>
      </c>
      <c r="BR511" s="451">
        <f t="shared" si="47"/>
        <v>2877.73</v>
      </c>
      <c r="BS511" s="451">
        <f t="shared" si="48"/>
        <v>22302.41</v>
      </c>
      <c r="BT511" s="429" t="str">
        <f>IFERROR(VLOOKUP(E511,名称!A:D,4,FALSE),"")</f>
        <v>KIK</v>
      </c>
    </row>
    <row r="512" s="427" customFormat="1" hidden="1" customHeight="1" spans="1:72">
      <c r="A512" s="93">
        <v>46120</v>
      </c>
      <c r="B512" s="95" t="s">
        <v>237</v>
      </c>
      <c r="C512" s="96">
        <v>10124243</v>
      </c>
      <c r="D512" s="96" t="s">
        <v>281</v>
      </c>
      <c r="E512" s="97" t="s">
        <v>35</v>
      </c>
      <c r="F512" s="99">
        <v>70</v>
      </c>
      <c r="G512" s="93">
        <v>46176</v>
      </c>
      <c r="H512" s="429"/>
      <c r="I512" s="429"/>
      <c r="J512" s="429"/>
      <c r="K512" s="429"/>
      <c r="L512" s="429"/>
      <c r="M512" s="429"/>
      <c r="N512" s="429"/>
      <c r="O512" s="429"/>
      <c r="P512" s="429"/>
      <c r="Q512" s="429"/>
      <c r="R512" s="429"/>
      <c r="S512" s="429"/>
      <c r="T512" s="429"/>
      <c r="U512" s="429"/>
      <c r="V512" s="429"/>
      <c r="W512" s="429"/>
      <c r="X512" s="429"/>
      <c r="Y512" s="429">
        <f>F512</f>
        <v>70</v>
      </c>
      <c r="Z512" s="429"/>
      <c r="AA512" s="429"/>
      <c r="AB512" s="429"/>
      <c r="AC512" s="429"/>
      <c r="AD512" s="429"/>
      <c r="AE512" s="429"/>
      <c r="AF512" s="429"/>
      <c r="AG512" s="429"/>
      <c r="AH512" s="429"/>
      <c r="AI512" s="429"/>
      <c r="AJ512" s="429"/>
      <c r="AK512" s="429"/>
      <c r="AL512" s="429"/>
      <c r="AM512" s="429"/>
      <c r="AN512" s="429"/>
      <c r="AO512" s="429"/>
      <c r="AP512" s="429"/>
      <c r="AQ512" s="429"/>
      <c r="AR512" s="429"/>
      <c r="AS512" s="429"/>
      <c r="AT512" s="429"/>
      <c r="AU512" s="429"/>
      <c r="AV512" s="429"/>
      <c r="AW512" s="429"/>
      <c r="AX512" s="429"/>
      <c r="AY512" s="429"/>
      <c r="AZ512" s="429"/>
      <c r="BA512" s="429"/>
      <c r="BB512" s="429"/>
      <c r="BC512" s="429"/>
      <c r="BD512" s="429"/>
      <c r="BE512" s="429"/>
      <c r="BF512" s="429"/>
      <c r="BG512" s="429"/>
      <c r="BH512" s="429"/>
      <c r="BI512" s="429"/>
      <c r="BJ512" s="429"/>
      <c r="BK512" s="429"/>
      <c r="BL512" s="429"/>
      <c r="BM512" s="429"/>
      <c r="BN512" s="429"/>
      <c r="BO512" s="429"/>
      <c r="BP512" s="102"/>
      <c r="BQ512" s="102">
        <v>22.9</v>
      </c>
      <c r="BR512" s="451">
        <f t="shared" si="47"/>
        <v>1603</v>
      </c>
      <c r="BS512" s="451">
        <f t="shared" si="48"/>
        <v>12423.25</v>
      </c>
      <c r="BT512" s="429" t="str">
        <f>IFERROR(VLOOKUP(E512,名称!A:D,4,FALSE),"")</f>
        <v>KIK</v>
      </c>
    </row>
    <row r="513" s="427" customFormat="1" hidden="1" customHeight="1" spans="1:72">
      <c r="A513" s="93">
        <v>46120</v>
      </c>
      <c r="B513" s="95" t="s">
        <v>237</v>
      </c>
      <c r="C513" s="96">
        <v>10124243</v>
      </c>
      <c r="D513" s="96" t="s">
        <v>281</v>
      </c>
      <c r="E513" s="97" t="s">
        <v>158</v>
      </c>
      <c r="F513" s="99">
        <v>244</v>
      </c>
      <c r="G513" s="93">
        <v>46176</v>
      </c>
      <c r="H513" s="429"/>
      <c r="I513" s="429"/>
      <c r="J513" s="429"/>
      <c r="K513" s="429"/>
      <c r="L513" s="429"/>
      <c r="M513" s="429"/>
      <c r="N513" s="429"/>
      <c r="O513" s="429"/>
      <c r="P513" s="429"/>
      <c r="Q513" s="429"/>
      <c r="R513" s="429"/>
      <c r="S513" s="429">
        <f>F513</f>
        <v>244</v>
      </c>
      <c r="T513" s="429"/>
      <c r="U513" s="429"/>
      <c r="V513" s="429"/>
      <c r="W513" s="429"/>
      <c r="X513" s="429"/>
      <c r="Y513" s="429"/>
      <c r="Z513" s="429"/>
      <c r="AA513" s="429"/>
      <c r="AB513" s="429"/>
      <c r="AC513" s="429"/>
      <c r="AD513" s="429"/>
      <c r="AE513" s="429"/>
      <c r="AF513" s="429"/>
      <c r="AG513" s="429"/>
      <c r="AH513" s="429"/>
      <c r="AI513" s="429"/>
      <c r="AJ513" s="429"/>
      <c r="AK513" s="429"/>
      <c r="AL513" s="429"/>
      <c r="AM513" s="429"/>
      <c r="AN513" s="429"/>
      <c r="AO513" s="429"/>
      <c r="AP513" s="429"/>
      <c r="AQ513" s="429"/>
      <c r="AR513" s="429"/>
      <c r="AS513" s="429"/>
      <c r="AT513" s="429"/>
      <c r="AU513" s="429"/>
      <c r="AV513" s="429"/>
      <c r="AW513" s="429"/>
      <c r="AX513" s="429"/>
      <c r="AY513" s="429"/>
      <c r="AZ513" s="429"/>
      <c r="BA513" s="429"/>
      <c r="BB513" s="429"/>
      <c r="BC513" s="429"/>
      <c r="BD513" s="429"/>
      <c r="BE513" s="429"/>
      <c r="BF513" s="429"/>
      <c r="BG513" s="429"/>
      <c r="BH513" s="429"/>
      <c r="BI513" s="429"/>
      <c r="BJ513" s="429"/>
      <c r="BK513" s="429"/>
      <c r="BL513" s="429"/>
      <c r="BM513" s="429"/>
      <c r="BN513" s="429"/>
      <c r="BO513" s="429"/>
      <c r="BP513" s="102"/>
      <c r="BQ513" s="102">
        <v>5.225</v>
      </c>
      <c r="BR513" s="451">
        <f t="shared" si="47"/>
        <v>1274.9</v>
      </c>
      <c r="BS513" s="451">
        <f t="shared" si="48"/>
        <v>9880.48</v>
      </c>
      <c r="BT513" s="429" t="str">
        <f>IFERROR(VLOOKUP(E513,名称!A:D,4,FALSE),"")</f>
        <v>KIK</v>
      </c>
    </row>
    <row r="514" s="427" customFormat="1" hidden="1" customHeight="1" spans="1:72">
      <c r="A514" s="93">
        <v>46120</v>
      </c>
      <c r="B514" s="95" t="s">
        <v>237</v>
      </c>
      <c r="C514" s="96">
        <v>10124243</v>
      </c>
      <c r="D514" s="96" t="s">
        <v>281</v>
      </c>
      <c r="E514" s="97" t="s">
        <v>39</v>
      </c>
      <c r="F514" s="99">
        <v>44</v>
      </c>
      <c r="G514" s="93">
        <v>46176</v>
      </c>
      <c r="H514" s="429"/>
      <c r="I514" s="429"/>
      <c r="J514" s="429"/>
      <c r="K514" s="429"/>
      <c r="L514" s="429"/>
      <c r="M514" s="429"/>
      <c r="N514" s="429"/>
      <c r="O514" s="429"/>
      <c r="P514" s="429"/>
      <c r="Q514" s="429"/>
      <c r="R514" s="429"/>
      <c r="S514" s="429"/>
      <c r="T514" s="429"/>
      <c r="U514" s="429"/>
      <c r="V514" s="429"/>
      <c r="W514" s="429">
        <f>F514</f>
        <v>44</v>
      </c>
      <c r="X514" s="429"/>
      <c r="Y514" s="429"/>
      <c r="Z514" s="429"/>
      <c r="AA514" s="429"/>
      <c r="AB514" s="429"/>
      <c r="AC514" s="429"/>
      <c r="AD514" s="429"/>
      <c r="AE514" s="429"/>
      <c r="AF514" s="429"/>
      <c r="AG514" s="429"/>
      <c r="AH514" s="429"/>
      <c r="AI514" s="429"/>
      <c r="AJ514" s="429"/>
      <c r="AK514" s="429"/>
      <c r="AL514" s="429"/>
      <c r="AM514" s="429"/>
      <c r="AN514" s="429"/>
      <c r="AO514" s="429"/>
      <c r="AP514" s="429"/>
      <c r="AQ514" s="429"/>
      <c r="AR514" s="429"/>
      <c r="AS514" s="429"/>
      <c r="AT514" s="429"/>
      <c r="AU514" s="429"/>
      <c r="AV514" s="429"/>
      <c r="AW514" s="429"/>
      <c r="AX514" s="429"/>
      <c r="AY514" s="429"/>
      <c r="AZ514" s="429"/>
      <c r="BA514" s="429"/>
      <c r="BB514" s="429"/>
      <c r="BC514" s="429"/>
      <c r="BD514" s="429"/>
      <c r="BE514" s="429"/>
      <c r="BF514" s="429"/>
      <c r="BG514" s="429"/>
      <c r="BH514" s="429"/>
      <c r="BI514" s="429"/>
      <c r="BJ514" s="429"/>
      <c r="BK514" s="429"/>
      <c r="BL514" s="429"/>
      <c r="BM514" s="429"/>
      <c r="BN514" s="429"/>
      <c r="BO514" s="429"/>
      <c r="BP514" s="102"/>
      <c r="BQ514" s="102">
        <v>30.536</v>
      </c>
      <c r="BR514" s="451">
        <f t="shared" si="47"/>
        <v>1343.58</v>
      </c>
      <c r="BS514" s="451">
        <f t="shared" si="48"/>
        <v>10412.75</v>
      </c>
      <c r="BT514" s="429" t="str">
        <f>IFERROR(VLOOKUP(E514,名称!A:D,4,FALSE),"")</f>
        <v>KIK</v>
      </c>
    </row>
    <row r="515" s="427" customFormat="1" hidden="1" customHeight="1" spans="1:72">
      <c r="A515" s="93">
        <v>46120</v>
      </c>
      <c r="B515" s="95" t="s">
        <v>237</v>
      </c>
      <c r="C515" s="96">
        <v>10124243</v>
      </c>
      <c r="D515" s="96" t="s">
        <v>281</v>
      </c>
      <c r="E515" s="97" t="s">
        <v>118</v>
      </c>
      <c r="F515" s="99">
        <v>112</v>
      </c>
      <c r="G515" s="93">
        <v>46176</v>
      </c>
      <c r="H515" s="429"/>
      <c r="I515" s="429"/>
      <c r="J515" s="429"/>
      <c r="K515" s="429"/>
      <c r="L515" s="429"/>
      <c r="M515" s="429"/>
      <c r="N515" s="429"/>
      <c r="O515" s="429"/>
      <c r="P515" s="429"/>
      <c r="Q515" s="429"/>
      <c r="R515" s="429"/>
      <c r="S515" s="429"/>
      <c r="T515" s="429"/>
      <c r="U515" s="429"/>
      <c r="V515" s="429"/>
      <c r="W515" s="429"/>
      <c r="X515" s="429"/>
      <c r="Y515" s="429"/>
      <c r="Z515" s="429"/>
      <c r="AA515" s="429"/>
      <c r="AB515" s="429"/>
      <c r="AC515" s="429"/>
      <c r="AD515" s="429"/>
      <c r="AE515" s="429"/>
      <c r="AF515" s="429"/>
      <c r="AG515" s="429"/>
      <c r="AH515" s="429"/>
      <c r="AI515" s="429"/>
      <c r="AJ515" s="429"/>
      <c r="AK515" s="429"/>
      <c r="AL515" s="429"/>
      <c r="AM515" s="429"/>
      <c r="AN515" s="429"/>
      <c r="AO515" s="429"/>
      <c r="AP515" s="429"/>
      <c r="AQ515" s="429">
        <f>F515</f>
        <v>112</v>
      </c>
      <c r="AR515" s="429"/>
      <c r="AS515" s="429"/>
      <c r="AT515" s="429"/>
      <c r="AU515" s="429"/>
      <c r="AV515" s="429"/>
      <c r="AW515" s="429"/>
      <c r="AX515" s="429"/>
      <c r="AY515" s="429"/>
      <c r="AZ515" s="429"/>
      <c r="BA515" s="429"/>
      <c r="BB515" s="429"/>
      <c r="BC515" s="429"/>
      <c r="BD515" s="429"/>
      <c r="BE515" s="429"/>
      <c r="BF515" s="429"/>
      <c r="BG515" s="429"/>
      <c r="BH515" s="429"/>
      <c r="BI515" s="429"/>
      <c r="BJ515" s="429"/>
      <c r="BK515" s="429"/>
      <c r="BL515" s="429"/>
      <c r="BM515" s="429"/>
      <c r="BN515" s="429"/>
      <c r="BO515" s="429"/>
      <c r="BP515" s="102"/>
      <c r="BQ515" s="102">
        <v>16.71</v>
      </c>
      <c r="BR515" s="451">
        <f t="shared" si="47"/>
        <v>1871.52</v>
      </c>
      <c r="BS515" s="451">
        <f t="shared" si="48"/>
        <v>14504.28</v>
      </c>
      <c r="BT515" s="429" t="str">
        <f>IFERROR(VLOOKUP(E515,名称!A:D,4,FALSE),"")</f>
        <v>KIK</v>
      </c>
    </row>
    <row r="516" s="427" customFormat="1" hidden="1" customHeight="1" spans="1:72">
      <c r="A516" s="93">
        <v>46120</v>
      </c>
      <c r="B516" s="95" t="s">
        <v>237</v>
      </c>
      <c r="C516" s="96">
        <v>10124243</v>
      </c>
      <c r="D516" s="96" t="s">
        <v>281</v>
      </c>
      <c r="E516" s="97" t="s">
        <v>109</v>
      </c>
      <c r="F516" s="99">
        <v>104</v>
      </c>
      <c r="G516" s="93">
        <v>46176</v>
      </c>
      <c r="H516" s="429"/>
      <c r="I516" s="429"/>
      <c r="J516" s="429"/>
      <c r="K516" s="429"/>
      <c r="L516" s="429"/>
      <c r="M516" s="429"/>
      <c r="N516" s="429"/>
      <c r="O516" s="429"/>
      <c r="P516" s="429"/>
      <c r="Q516" s="429"/>
      <c r="R516" s="429"/>
      <c r="S516" s="429"/>
      <c r="T516" s="429"/>
      <c r="U516" s="429"/>
      <c r="V516" s="429"/>
      <c r="W516" s="429"/>
      <c r="X516" s="429"/>
      <c r="Y516" s="429"/>
      <c r="Z516" s="429"/>
      <c r="AA516" s="429"/>
      <c r="AB516" s="429"/>
      <c r="AC516" s="429"/>
      <c r="AD516" s="429"/>
      <c r="AE516" s="429"/>
      <c r="AF516" s="429"/>
      <c r="AG516" s="429"/>
      <c r="AH516" s="429"/>
      <c r="AI516" s="429"/>
      <c r="AJ516" s="429"/>
      <c r="AK516" s="429"/>
      <c r="AL516" s="429">
        <f>F516</f>
        <v>104</v>
      </c>
      <c r="AM516" s="429"/>
      <c r="AN516" s="429"/>
      <c r="AO516" s="429"/>
      <c r="AP516" s="429"/>
      <c r="AQ516" s="429"/>
      <c r="AR516" s="429"/>
      <c r="AS516" s="429"/>
      <c r="AT516" s="429"/>
      <c r="AU516" s="429"/>
      <c r="AV516" s="429"/>
      <c r="AW516" s="429"/>
      <c r="AX516" s="429"/>
      <c r="AY516" s="429"/>
      <c r="AZ516" s="429"/>
      <c r="BA516" s="429"/>
      <c r="BB516" s="429"/>
      <c r="BC516" s="429"/>
      <c r="BD516" s="429"/>
      <c r="BE516" s="429"/>
      <c r="BF516" s="429"/>
      <c r="BG516" s="429"/>
      <c r="BH516" s="429"/>
      <c r="BI516" s="429"/>
      <c r="BJ516" s="429"/>
      <c r="BK516" s="429"/>
      <c r="BL516" s="429"/>
      <c r="BM516" s="429"/>
      <c r="BN516" s="429"/>
      <c r="BO516" s="429"/>
      <c r="BP516" s="102"/>
      <c r="BQ516" s="102">
        <v>3.886</v>
      </c>
      <c r="BR516" s="451">
        <f t="shared" si="47"/>
        <v>404.14</v>
      </c>
      <c r="BS516" s="451">
        <f t="shared" si="48"/>
        <v>3132.09</v>
      </c>
      <c r="BT516" s="429" t="str">
        <f>IFERROR(VLOOKUP(E516,名称!A:D,4,FALSE),"")</f>
        <v>KIK</v>
      </c>
    </row>
    <row r="517" s="427" customFormat="1" hidden="1" customHeight="1" spans="1:72">
      <c r="A517" s="93">
        <v>46120</v>
      </c>
      <c r="B517" s="95" t="s">
        <v>237</v>
      </c>
      <c r="C517" s="96">
        <v>10124243</v>
      </c>
      <c r="D517" s="96" t="s">
        <v>281</v>
      </c>
      <c r="E517" s="97" t="s">
        <v>111</v>
      </c>
      <c r="F517" s="99">
        <v>328</v>
      </c>
      <c r="G517" s="93">
        <v>46176</v>
      </c>
      <c r="H517" s="429"/>
      <c r="I517" s="429"/>
      <c r="J517" s="429"/>
      <c r="K517" s="429"/>
      <c r="L517" s="429"/>
      <c r="M517" s="429"/>
      <c r="N517" s="429"/>
      <c r="O517" s="429"/>
      <c r="P517" s="429"/>
      <c r="Q517" s="429"/>
      <c r="R517" s="429"/>
      <c r="S517" s="429"/>
      <c r="T517" s="429"/>
      <c r="U517" s="429"/>
      <c r="V517" s="429"/>
      <c r="W517" s="429"/>
      <c r="X517" s="429"/>
      <c r="Y517" s="429"/>
      <c r="Z517" s="429"/>
      <c r="AA517" s="429"/>
      <c r="AB517" s="429"/>
      <c r="AC517" s="429"/>
      <c r="AD517" s="429"/>
      <c r="AE517" s="429"/>
      <c r="AF517" s="429"/>
      <c r="AG517" s="429"/>
      <c r="AH517" s="429"/>
      <c r="AI517" s="429"/>
      <c r="AJ517" s="429"/>
      <c r="AK517" s="429"/>
      <c r="AL517" s="429"/>
      <c r="AM517" s="429">
        <f>F517</f>
        <v>328</v>
      </c>
      <c r="AN517" s="429"/>
      <c r="AO517" s="429"/>
      <c r="AP517" s="429"/>
      <c r="AQ517" s="429"/>
      <c r="AR517" s="429"/>
      <c r="AS517" s="429"/>
      <c r="AT517" s="429"/>
      <c r="AU517" s="429"/>
      <c r="AV517" s="429"/>
      <c r="AW517" s="429"/>
      <c r="AX517" s="429"/>
      <c r="AY517" s="429"/>
      <c r="AZ517" s="429"/>
      <c r="BA517" s="429"/>
      <c r="BB517" s="429"/>
      <c r="BC517" s="429"/>
      <c r="BD517" s="429"/>
      <c r="BE517" s="429"/>
      <c r="BF517" s="429"/>
      <c r="BG517" s="429"/>
      <c r="BH517" s="429"/>
      <c r="BI517" s="429"/>
      <c r="BJ517" s="429"/>
      <c r="BK517" s="429"/>
      <c r="BL517" s="429"/>
      <c r="BM517" s="429"/>
      <c r="BN517" s="429"/>
      <c r="BO517" s="429"/>
      <c r="BP517" s="102"/>
      <c r="BQ517" s="102">
        <v>3.816</v>
      </c>
      <c r="BR517" s="451">
        <f t="shared" si="47"/>
        <v>1251.65</v>
      </c>
      <c r="BS517" s="451">
        <f t="shared" si="48"/>
        <v>9700.29</v>
      </c>
      <c r="BT517" s="429" t="str">
        <f>IFERROR(VLOOKUP(E517,名称!A:D,4,FALSE),"")</f>
        <v>KIK</v>
      </c>
    </row>
    <row r="518" s="427" customFormat="1" hidden="1" customHeight="1" spans="1:72">
      <c r="A518" s="93">
        <v>46120</v>
      </c>
      <c r="B518" s="95" t="s">
        <v>237</v>
      </c>
      <c r="C518" s="96">
        <v>10124248</v>
      </c>
      <c r="D518" s="96" t="s">
        <v>282</v>
      </c>
      <c r="E518" s="97" t="s">
        <v>29</v>
      </c>
      <c r="F518" s="99">
        <v>68</v>
      </c>
      <c r="G518" s="93">
        <v>46176</v>
      </c>
      <c r="H518" s="429"/>
      <c r="I518" s="429"/>
      <c r="J518" s="429">
        <f>F518</f>
        <v>68</v>
      </c>
      <c r="K518" s="429"/>
      <c r="L518" s="429"/>
      <c r="M518" s="429"/>
      <c r="N518" s="429"/>
      <c r="O518" s="429"/>
      <c r="P518" s="429"/>
      <c r="Q518" s="429"/>
      <c r="R518" s="429"/>
      <c r="S518" s="429"/>
      <c r="T518" s="429"/>
      <c r="U518" s="429"/>
      <c r="V518" s="429"/>
      <c r="W518" s="429"/>
      <c r="X518" s="429"/>
      <c r="Y518" s="429"/>
      <c r="Z518" s="429"/>
      <c r="AA518" s="429"/>
      <c r="AB518" s="429"/>
      <c r="AC518" s="429"/>
      <c r="AD518" s="429"/>
      <c r="AE518" s="429"/>
      <c r="AF518" s="429"/>
      <c r="AG518" s="429"/>
      <c r="AH518" s="429"/>
      <c r="AI518" s="429"/>
      <c r="AJ518" s="429"/>
      <c r="AK518" s="429"/>
      <c r="AL518" s="429"/>
      <c r="AM518" s="429"/>
      <c r="AN518" s="429"/>
      <c r="AO518" s="429"/>
      <c r="AP518" s="429"/>
      <c r="AQ518" s="429"/>
      <c r="AR518" s="429"/>
      <c r="AS518" s="429"/>
      <c r="AT518" s="429"/>
      <c r="AU518" s="429"/>
      <c r="AV518" s="429"/>
      <c r="AW518" s="429"/>
      <c r="AX518" s="429"/>
      <c r="AY518" s="429"/>
      <c r="AZ518" s="429"/>
      <c r="BA518" s="429"/>
      <c r="BB518" s="429"/>
      <c r="BC518" s="429"/>
      <c r="BD518" s="429"/>
      <c r="BE518" s="429"/>
      <c r="BF518" s="429"/>
      <c r="BG518" s="429"/>
      <c r="BH518" s="429"/>
      <c r="BI518" s="429"/>
      <c r="BJ518" s="429"/>
      <c r="BK518" s="429"/>
      <c r="BL518" s="429"/>
      <c r="BM518" s="429"/>
      <c r="BN518" s="429"/>
      <c r="BO518" s="429"/>
      <c r="BP518" s="102"/>
      <c r="BQ518" s="102">
        <v>21.801</v>
      </c>
      <c r="BR518" s="451">
        <f t="shared" si="47"/>
        <v>1482.47</v>
      </c>
      <c r="BS518" s="451">
        <f t="shared" si="48"/>
        <v>11489.14</v>
      </c>
      <c r="BT518" s="429" t="str">
        <f>IFERROR(VLOOKUP(E518,名称!A:D,4,FALSE),"")</f>
        <v>KIK</v>
      </c>
    </row>
    <row r="519" s="427" customFormat="1" hidden="1" customHeight="1" spans="1:72">
      <c r="A519" s="93">
        <v>46120</v>
      </c>
      <c r="B519" s="95" t="s">
        <v>237</v>
      </c>
      <c r="C519" s="96">
        <v>10124248</v>
      </c>
      <c r="D519" s="96" t="s">
        <v>282</v>
      </c>
      <c r="E519" s="97" t="s">
        <v>35</v>
      </c>
      <c r="F519" s="99">
        <v>108</v>
      </c>
      <c r="G519" s="93">
        <v>46176</v>
      </c>
      <c r="H519" s="429"/>
      <c r="I519" s="429"/>
      <c r="J519" s="429"/>
      <c r="K519" s="429"/>
      <c r="L519" s="429"/>
      <c r="M519" s="429"/>
      <c r="N519" s="429"/>
      <c r="O519" s="429"/>
      <c r="P519" s="429"/>
      <c r="Q519" s="429"/>
      <c r="R519" s="429"/>
      <c r="S519" s="429"/>
      <c r="T519" s="429"/>
      <c r="U519" s="429"/>
      <c r="V519" s="429"/>
      <c r="W519" s="429"/>
      <c r="X519" s="429"/>
      <c r="Y519" s="429">
        <f>F519</f>
        <v>108</v>
      </c>
      <c r="Z519" s="429"/>
      <c r="AA519" s="429"/>
      <c r="AB519" s="429"/>
      <c r="AC519" s="429"/>
      <c r="AD519" s="429"/>
      <c r="AE519" s="429"/>
      <c r="AF519" s="429"/>
      <c r="AG519" s="429"/>
      <c r="AH519" s="429"/>
      <c r="AI519" s="429"/>
      <c r="AJ519" s="429"/>
      <c r="AK519" s="429"/>
      <c r="AL519" s="429"/>
      <c r="AM519" s="429"/>
      <c r="AN519" s="429"/>
      <c r="AO519" s="429"/>
      <c r="AP519" s="429"/>
      <c r="AQ519" s="429"/>
      <c r="AR519" s="429"/>
      <c r="AS519" s="429"/>
      <c r="AT519" s="429"/>
      <c r="AU519" s="429"/>
      <c r="AV519" s="429"/>
      <c r="AW519" s="429"/>
      <c r="AX519" s="429"/>
      <c r="AY519" s="429"/>
      <c r="AZ519" s="429"/>
      <c r="BA519" s="429"/>
      <c r="BB519" s="429"/>
      <c r="BC519" s="429"/>
      <c r="BD519" s="429"/>
      <c r="BE519" s="429"/>
      <c r="BF519" s="429"/>
      <c r="BG519" s="429"/>
      <c r="BH519" s="429"/>
      <c r="BI519" s="429"/>
      <c r="BJ519" s="429"/>
      <c r="BK519" s="429"/>
      <c r="BL519" s="429"/>
      <c r="BM519" s="429"/>
      <c r="BN519" s="429"/>
      <c r="BO519" s="429"/>
      <c r="BP519" s="102"/>
      <c r="BQ519" s="102">
        <v>22.9</v>
      </c>
      <c r="BR519" s="451">
        <f t="shared" si="47"/>
        <v>2473.2</v>
      </c>
      <c r="BS519" s="451">
        <f t="shared" si="48"/>
        <v>19167.3</v>
      </c>
      <c r="BT519" s="429" t="str">
        <f>IFERROR(VLOOKUP(E519,名称!A:D,4,FALSE),"")</f>
        <v>KIK</v>
      </c>
    </row>
    <row r="520" s="427" customFormat="1" hidden="1" customHeight="1" spans="1:72">
      <c r="A520" s="93">
        <v>46120</v>
      </c>
      <c r="B520" s="95" t="s">
        <v>237</v>
      </c>
      <c r="C520" s="96">
        <v>10124248</v>
      </c>
      <c r="D520" s="96" t="s">
        <v>282</v>
      </c>
      <c r="E520" s="97" t="s">
        <v>158</v>
      </c>
      <c r="F520" s="99">
        <v>354</v>
      </c>
      <c r="G520" s="93">
        <v>46176</v>
      </c>
      <c r="H520" s="429"/>
      <c r="I520" s="429"/>
      <c r="J520" s="429"/>
      <c r="K520" s="429"/>
      <c r="L520" s="429"/>
      <c r="M520" s="429"/>
      <c r="N520" s="429"/>
      <c r="O520" s="429"/>
      <c r="P520" s="429"/>
      <c r="Q520" s="429"/>
      <c r="R520" s="429"/>
      <c r="S520" s="429">
        <f>F520</f>
        <v>354</v>
      </c>
      <c r="T520" s="429"/>
      <c r="U520" s="429"/>
      <c r="V520" s="429"/>
      <c r="W520" s="429"/>
      <c r="X520" s="429"/>
      <c r="Y520" s="429"/>
      <c r="Z520" s="429"/>
      <c r="AA520" s="429"/>
      <c r="AB520" s="429"/>
      <c r="AC520" s="429"/>
      <c r="AD520" s="429"/>
      <c r="AE520" s="429"/>
      <c r="AF520" s="429"/>
      <c r="AG520" s="429"/>
      <c r="AH520" s="429"/>
      <c r="AI520" s="429"/>
      <c r="AJ520" s="429"/>
      <c r="AK520" s="429"/>
      <c r="AL520" s="429"/>
      <c r="AM520" s="429"/>
      <c r="AN520" s="429"/>
      <c r="AO520" s="429"/>
      <c r="AP520" s="429"/>
      <c r="AQ520" s="429"/>
      <c r="AR520" s="429"/>
      <c r="AS520" s="429"/>
      <c r="AT520" s="429"/>
      <c r="AU520" s="429"/>
      <c r="AV520" s="429"/>
      <c r="AW520" s="429"/>
      <c r="AX520" s="429"/>
      <c r="AY520" s="429"/>
      <c r="AZ520" s="429"/>
      <c r="BA520" s="429"/>
      <c r="BB520" s="429"/>
      <c r="BC520" s="429"/>
      <c r="BD520" s="429"/>
      <c r="BE520" s="429"/>
      <c r="BF520" s="429"/>
      <c r="BG520" s="429"/>
      <c r="BH520" s="429"/>
      <c r="BI520" s="429"/>
      <c r="BJ520" s="429"/>
      <c r="BK520" s="429"/>
      <c r="BL520" s="429"/>
      <c r="BM520" s="429"/>
      <c r="BN520" s="429"/>
      <c r="BO520" s="429"/>
      <c r="BP520" s="102"/>
      <c r="BQ520" s="102">
        <v>4.792</v>
      </c>
      <c r="BR520" s="451">
        <f t="shared" si="47"/>
        <v>1696.37</v>
      </c>
      <c r="BS520" s="451">
        <f t="shared" si="48"/>
        <v>13146.87</v>
      </c>
      <c r="BT520" s="429" t="str">
        <f>IFERROR(VLOOKUP(E520,名称!A:D,4,FALSE),"")</f>
        <v>KIK</v>
      </c>
    </row>
    <row r="521" s="427" customFormat="1" hidden="1" customHeight="1" spans="1:72">
      <c r="A521" s="93">
        <v>46120</v>
      </c>
      <c r="B521" s="95" t="s">
        <v>237</v>
      </c>
      <c r="C521" s="96">
        <v>10124248</v>
      </c>
      <c r="D521" s="96" t="s">
        <v>282</v>
      </c>
      <c r="E521" s="97" t="s">
        <v>39</v>
      </c>
      <c r="F521" s="99">
        <v>94</v>
      </c>
      <c r="G521" s="93">
        <v>46176</v>
      </c>
      <c r="H521" s="429"/>
      <c r="I521" s="429"/>
      <c r="J521" s="429"/>
      <c r="K521" s="429"/>
      <c r="L521" s="429"/>
      <c r="M521" s="429"/>
      <c r="N521" s="429"/>
      <c r="O521" s="429"/>
      <c r="P521" s="429"/>
      <c r="Q521" s="429"/>
      <c r="R521" s="429"/>
      <c r="S521" s="429"/>
      <c r="T521" s="429"/>
      <c r="U521" s="429"/>
      <c r="V521" s="429"/>
      <c r="W521" s="429">
        <f>F521</f>
        <v>94</v>
      </c>
      <c r="X521" s="429"/>
      <c r="Y521" s="429"/>
      <c r="Z521" s="429"/>
      <c r="AA521" s="429"/>
      <c r="AB521" s="429"/>
      <c r="AC521" s="429"/>
      <c r="AD521" s="429"/>
      <c r="AE521" s="429"/>
      <c r="AF521" s="429"/>
      <c r="AG521" s="429"/>
      <c r="AH521" s="429"/>
      <c r="AI521" s="429"/>
      <c r="AJ521" s="429"/>
      <c r="AK521" s="429"/>
      <c r="AL521" s="429"/>
      <c r="AM521" s="429"/>
      <c r="AN521" s="429"/>
      <c r="AO521" s="429"/>
      <c r="AP521" s="429"/>
      <c r="AQ521" s="429"/>
      <c r="AR521" s="429"/>
      <c r="AS521" s="429"/>
      <c r="AT521" s="429"/>
      <c r="AU521" s="429"/>
      <c r="AV521" s="429"/>
      <c r="AW521" s="429"/>
      <c r="AX521" s="429"/>
      <c r="AY521" s="429"/>
      <c r="AZ521" s="429"/>
      <c r="BA521" s="429"/>
      <c r="BB521" s="429"/>
      <c r="BC521" s="429"/>
      <c r="BD521" s="429"/>
      <c r="BE521" s="429"/>
      <c r="BF521" s="429"/>
      <c r="BG521" s="429"/>
      <c r="BH521" s="429"/>
      <c r="BI521" s="429"/>
      <c r="BJ521" s="429"/>
      <c r="BK521" s="429"/>
      <c r="BL521" s="429"/>
      <c r="BM521" s="429"/>
      <c r="BN521" s="429"/>
      <c r="BO521" s="429"/>
      <c r="BP521" s="102"/>
      <c r="BQ521" s="102">
        <v>30.536</v>
      </c>
      <c r="BR521" s="451">
        <f t="shared" ref="BR521:BR584" si="49">SUM(H521:BP521)*BQ521</f>
        <v>2870.38</v>
      </c>
      <c r="BS521" s="451">
        <f t="shared" si="48"/>
        <v>22245.45</v>
      </c>
      <c r="BT521" s="429" t="str">
        <f>IFERROR(VLOOKUP(E521,名称!A:D,4,FALSE),"")</f>
        <v>KIK</v>
      </c>
    </row>
    <row r="522" s="427" customFormat="1" hidden="1" customHeight="1" spans="1:72">
      <c r="A522" s="93">
        <v>46120</v>
      </c>
      <c r="B522" s="95" t="s">
        <v>237</v>
      </c>
      <c r="C522" s="96">
        <v>10124248</v>
      </c>
      <c r="D522" s="96" t="s">
        <v>282</v>
      </c>
      <c r="E522" s="97" t="s">
        <v>118</v>
      </c>
      <c r="F522" s="99">
        <v>224</v>
      </c>
      <c r="G522" s="93">
        <v>46176</v>
      </c>
      <c r="H522" s="429"/>
      <c r="I522" s="429"/>
      <c r="J522" s="429"/>
      <c r="K522" s="429"/>
      <c r="L522" s="429"/>
      <c r="M522" s="429"/>
      <c r="N522" s="429"/>
      <c r="O522" s="429"/>
      <c r="P522" s="429"/>
      <c r="Q522" s="429"/>
      <c r="R522" s="429"/>
      <c r="S522" s="429"/>
      <c r="T522" s="429"/>
      <c r="U522" s="429"/>
      <c r="V522" s="429"/>
      <c r="W522" s="429"/>
      <c r="X522" s="429"/>
      <c r="Y522" s="429"/>
      <c r="Z522" s="429"/>
      <c r="AA522" s="429"/>
      <c r="AB522" s="429"/>
      <c r="AC522" s="429"/>
      <c r="AD522" s="429"/>
      <c r="AE522" s="429"/>
      <c r="AF522" s="429"/>
      <c r="AG522" s="429"/>
      <c r="AH522" s="429"/>
      <c r="AI522" s="429"/>
      <c r="AJ522" s="429"/>
      <c r="AK522" s="429"/>
      <c r="AL522" s="429"/>
      <c r="AM522" s="429"/>
      <c r="AN522" s="429"/>
      <c r="AO522" s="429"/>
      <c r="AP522" s="429"/>
      <c r="AQ522" s="429">
        <f>F522</f>
        <v>224</v>
      </c>
      <c r="AR522" s="429"/>
      <c r="AS522" s="429"/>
      <c r="AT522" s="429"/>
      <c r="AU522" s="429"/>
      <c r="AV522" s="429"/>
      <c r="AW522" s="429"/>
      <c r="AX522" s="429"/>
      <c r="AY522" s="429"/>
      <c r="AZ522" s="429"/>
      <c r="BA522" s="429"/>
      <c r="BB522" s="429"/>
      <c r="BC522" s="429"/>
      <c r="BD522" s="429"/>
      <c r="BE522" s="429"/>
      <c r="BF522" s="429"/>
      <c r="BG522" s="429"/>
      <c r="BH522" s="429"/>
      <c r="BI522" s="429"/>
      <c r="BJ522" s="429"/>
      <c r="BK522" s="429"/>
      <c r="BL522" s="429"/>
      <c r="BM522" s="429"/>
      <c r="BN522" s="429"/>
      <c r="BO522" s="429"/>
      <c r="BP522" s="102"/>
      <c r="BQ522" s="102">
        <v>16.71</v>
      </c>
      <c r="BR522" s="451">
        <f t="shared" si="49"/>
        <v>3743.04</v>
      </c>
      <c r="BS522" s="451">
        <f t="shared" si="48"/>
        <v>29008.56</v>
      </c>
      <c r="BT522" s="429" t="str">
        <f>IFERROR(VLOOKUP(E522,名称!A:D,4,FALSE),"")</f>
        <v>KIK</v>
      </c>
    </row>
    <row r="523" s="427" customFormat="1" hidden="1" customHeight="1" spans="1:72">
      <c r="A523" s="93">
        <v>46120</v>
      </c>
      <c r="B523" s="95" t="s">
        <v>237</v>
      </c>
      <c r="C523" s="96">
        <v>10124248</v>
      </c>
      <c r="D523" s="96" t="s">
        <v>282</v>
      </c>
      <c r="E523" s="97" t="s">
        <v>109</v>
      </c>
      <c r="F523" s="99">
        <v>188</v>
      </c>
      <c r="G523" s="93">
        <v>46176</v>
      </c>
      <c r="H523" s="429"/>
      <c r="I523" s="429"/>
      <c r="J523" s="429"/>
      <c r="K523" s="429"/>
      <c r="L523" s="429"/>
      <c r="M523" s="429"/>
      <c r="N523" s="429"/>
      <c r="O523" s="429"/>
      <c r="P523" s="429"/>
      <c r="Q523" s="429"/>
      <c r="R523" s="429"/>
      <c r="S523" s="429"/>
      <c r="T523" s="429"/>
      <c r="U523" s="429"/>
      <c r="V523" s="429"/>
      <c r="W523" s="429"/>
      <c r="X523" s="429"/>
      <c r="Y523" s="429"/>
      <c r="Z523" s="429"/>
      <c r="AA523" s="429"/>
      <c r="AB523" s="429"/>
      <c r="AC523" s="429"/>
      <c r="AD523" s="429"/>
      <c r="AE523" s="429"/>
      <c r="AF523" s="429"/>
      <c r="AG523" s="429"/>
      <c r="AH523" s="429"/>
      <c r="AI523" s="429"/>
      <c r="AJ523" s="429"/>
      <c r="AK523" s="429"/>
      <c r="AL523" s="429">
        <f>F523</f>
        <v>188</v>
      </c>
      <c r="AM523" s="429"/>
      <c r="AN523" s="429"/>
      <c r="AO523" s="429"/>
      <c r="AP523" s="429"/>
      <c r="AQ523" s="429"/>
      <c r="AR523" s="429"/>
      <c r="AS523" s="429"/>
      <c r="AT523" s="429"/>
      <c r="AU523" s="429"/>
      <c r="AV523" s="429"/>
      <c r="AW523" s="429"/>
      <c r="AX523" s="429"/>
      <c r="AY523" s="429"/>
      <c r="AZ523" s="429"/>
      <c r="BA523" s="429"/>
      <c r="BB523" s="429"/>
      <c r="BC523" s="429"/>
      <c r="BD523" s="429"/>
      <c r="BE523" s="429"/>
      <c r="BF523" s="429"/>
      <c r="BG523" s="429"/>
      <c r="BH523" s="429"/>
      <c r="BI523" s="429"/>
      <c r="BJ523" s="429"/>
      <c r="BK523" s="429"/>
      <c r="BL523" s="429"/>
      <c r="BM523" s="429"/>
      <c r="BN523" s="429"/>
      <c r="BO523" s="429"/>
      <c r="BP523" s="102"/>
      <c r="BQ523" s="102">
        <v>3.886</v>
      </c>
      <c r="BR523" s="451">
        <f t="shared" si="49"/>
        <v>730.57</v>
      </c>
      <c r="BS523" s="451">
        <f t="shared" si="48"/>
        <v>5661.92</v>
      </c>
      <c r="BT523" s="429" t="str">
        <f>IFERROR(VLOOKUP(E523,名称!A:D,4,FALSE),"")</f>
        <v>KIK</v>
      </c>
    </row>
    <row r="524" s="427" customFormat="1" hidden="1" customHeight="1" spans="1:72">
      <c r="A524" s="93">
        <v>46120</v>
      </c>
      <c r="B524" s="95" t="s">
        <v>237</v>
      </c>
      <c r="C524" s="96">
        <v>10124248</v>
      </c>
      <c r="D524" s="96" t="s">
        <v>282</v>
      </c>
      <c r="E524" s="97" t="s">
        <v>111</v>
      </c>
      <c r="F524" s="99">
        <v>600</v>
      </c>
      <c r="G524" s="93">
        <v>46176</v>
      </c>
      <c r="H524" s="429"/>
      <c r="I524" s="429"/>
      <c r="J524" s="429"/>
      <c r="K524" s="429"/>
      <c r="L524" s="429"/>
      <c r="M524" s="429"/>
      <c r="N524" s="429"/>
      <c r="O524" s="429"/>
      <c r="P524" s="429"/>
      <c r="Q524" s="429"/>
      <c r="R524" s="429"/>
      <c r="S524" s="429"/>
      <c r="T524" s="429"/>
      <c r="U524" s="429"/>
      <c r="V524" s="429"/>
      <c r="W524" s="429"/>
      <c r="X524" s="429"/>
      <c r="Y524" s="429"/>
      <c r="Z524" s="429"/>
      <c r="AA524" s="429"/>
      <c r="AB524" s="429"/>
      <c r="AC524" s="429"/>
      <c r="AD524" s="429"/>
      <c r="AE524" s="429"/>
      <c r="AF524" s="429"/>
      <c r="AG524" s="429"/>
      <c r="AH524" s="429"/>
      <c r="AI524" s="429"/>
      <c r="AJ524" s="429"/>
      <c r="AK524" s="429"/>
      <c r="AL524" s="429"/>
      <c r="AM524" s="429">
        <f>F524</f>
        <v>600</v>
      </c>
      <c r="AN524" s="429"/>
      <c r="AO524" s="429"/>
      <c r="AP524" s="429"/>
      <c r="AQ524" s="429"/>
      <c r="AR524" s="429"/>
      <c r="AS524" s="429"/>
      <c r="AT524" s="429"/>
      <c r="AU524" s="429"/>
      <c r="AV524" s="429"/>
      <c r="AW524" s="429"/>
      <c r="AX524" s="429"/>
      <c r="AY524" s="429"/>
      <c r="AZ524" s="429"/>
      <c r="BA524" s="429"/>
      <c r="BB524" s="429"/>
      <c r="BC524" s="429"/>
      <c r="BD524" s="429"/>
      <c r="BE524" s="429"/>
      <c r="BF524" s="429"/>
      <c r="BG524" s="429"/>
      <c r="BH524" s="429"/>
      <c r="BI524" s="429"/>
      <c r="BJ524" s="429"/>
      <c r="BK524" s="429"/>
      <c r="BL524" s="429"/>
      <c r="BM524" s="429"/>
      <c r="BN524" s="429"/>
      <c r="BO524" s="429"/>
      <c r="BP524" s="102"/>
      <c r="BQ524" s="102">
        <v>3.816</v>
      </c>
      <c r="BR524" s="451">
        <f t="shared" si="49"/>
        <v>2289.6</v>
      </c>
      <c r="BS524" s="451">
        <f t="shared" si="48"/>
        <v>17744.4</v>
      </c>
      <c r="BT524" s="429" t="str">
        <f>IFERROR(VLOOKUP(E524,名称!A:D,4,FALSE),"")</f>
        <v>KIK</v>
      </c>
    </row>
    <row r="525" s="427" customFormat="1" hidden="1" customHeight="1" spans="1:72">
      <c r="A525" s="93">
        <v>46120</v>
      </c>
      <c r="B525" s="95" t="s">
        <v>237</v>
      </c>
      <c r="C525" s="96">
        <v>10124250</v>
      </c>
      <c r="D525" s="96" t="s">
        <v>283</v>
      </c>
      <c r="E525" s="97" t="s">
        <v>29</v>
      </c>
      <c r="F525" s="99">
        <v>40</v>
      </c>
      <c r="G525" s="93">
        <v>46176</v>
      </c>
      <c r="H525" s="429"/>
      <c r="I525" s="429"/>
      <c r="J525" s="429">
        <f>F525</f>
        <v>40</v>
      </c>
      <c r="K525" s="429"/>
      <c r="L525" s="429"/>
      <c r="M525" s="429"/>
      <c r="N525" s="429"/>
      <c r="O525" s="429"/>
      <c r="P525" s="429"/>
      <c r="Q525" s="429"/>
      <c r="R525" s="429"/>
      <c r="S525" s="429"/>
      <c r="T525" s="429"/>
      <c r="U525" s="429"/>
      <c r="V525" s="429"/>
      <c r="W525" s="429"/>
      <c r="X525" s="429"/>
      <c r="Y525" s="429"/>
      <c r="Z525" s="429"/>
      <c r="AA525" s="429"/>
      <c r="AB525" s="429"/>
      <c r="AC525" s="429"/>
      <c r="AD525" s="429"/>
      <c r="AE525" s="429"/>
      <c r="AF525" s="429"/>
      <c r="AG525" s="429"/>
      <c r="AH525" s="429"/>
      <c r="AI525" s="429"/>
      <c r="AJ525" s="429"/>
      <c r="AK525" s="429"/>
      <c r="AL525" s="429"/>
      <c r="AM525" s="429"/>
      <c r="AN525" s="429"/>
      <c r="AO525" s="429"/>
      <c r="AP525" s="429"/>
      <c r="AQ525" s="429"/>
      <c r="AR525" s="429"/>
      <c r="AS525" s="429"/>
      <c r="AT525" s="429"/>
      <c r="AU525" s="429"/>
      <c r="AV525" s="429"/>
      <c r="AW525" s="429"/>
      <c r="AX525" s="429"/>
      <c r="AY525" s="429"/>
      <c r="AZ525" s="429"/>
      <c r="BA525" s="429"/>
      <c r="BB525" s="429"/>
      <c r="BC525" s="429"/>
      <c r="BD525" s="429"/>
      <c r="BE525" s="429"/>
      <c r="BF525" s="429"/>
      <c r="BG525" s="429"/>
      <c r="BH525" s="429"/>
      <c r="BI525" s="429"/>
      <c r="BJ525" s="429"/>
      <c r="BK525" s="429"/>
      <c r="BL525" s="429"/>
      <c r="BM525" s="429"/>
      <c r="BN525" s="429"/>
      <c r="BO525" s="429"/>
      <c r="BP525" s="102"/>
      <c r="BQ525" s="102">
        <v>21.801</v>
      </c>
      <c r="BR525" s="451">
        <f t="shared" si="49"/>
        <v>872.04</v>
      </c>
      <c r="BS525" s="451">
        <f t="shared" si="48"/>
        <v>6758.31</v>
      </c>
      <c r="BT525" s="429" t="str">
        <f>IFERROR(VLOOKUP(E525,名称!A:D,4,FALSE),"")</f>
        <v>KIK</v>
      </c>
    </row>
    <row r="526" s="427" customFormat="1" hidden="1" customHeight="1" spans="1:72">
      <c r="A526" s="93">
        <v>46120</v>
      </c>
      <c r="B526" s="95" t="s">
        <v>237</v>
      </c>
      <c r="C526" s="96">
        <v>10124250</v>
      </c>
      <c r="D526" s="96" t="s">
        <v>283</v>
      </c>
      <c r="E526" s="97" t="s">
        <v>31</v>
      </c>
      <c r="F526" s="99">
        <v>75</v>
      </c>
      <c r="G526" s="93">
        <v>46176</v>
      </c>
      <c r="H526" s="429"/>
      <c r="I526" s="429"/>
      <c r="J526" s="429"/>
      <c r="K526" s="429"/>
      <c r="L526" s="429"/>
      <c r="M526" s="429"/>
      <c r="N526" s="429"/>
      <c r="O526" s="429"/>
      <c r="P526" s="429"/>
      <c r="Q526" s="429"/>
      <c r="R526" s="429"/>
      <c r="S526" s="429"/>
      <c r="T526" s="429"/>
      <c r="U526" s="429"/>
      <c r="V526" s="429"/>
      <c r="W526" s="429"/>
      <c r="X526" s="429"/>
      <c r="Y526" s="429"/>
      <c r="Z526" s="429">
        <f>F526</f>
        <v>75</v>
      </c>
      <c r="AA526" s="429"/>
      <c r="AB526" s="429"/>
      <c r="AC526" s="429"/>
      <c r="AD526" s="429"/>
      <c r="AE526" s="429"/>
      <c r="AF526" s="429"/>
      <c r="AG526" s="429"/>
      <c r="AH526" s="429"/>
      <c r="AI526" s="429"/>
      <c r="AJ526" s="429"/>
      <c r="AK526" s="429"/>
      <c r="AL526" s="429"/>
      <c r="AM526" s="429"/>
      <c r="AN526" s="429"/>
      <c r="AO526" s="429"/>
      <c r="AP526" s="429"/>
      <c r="AQ526" s="429"/>
      <c r="AR526" s="429"/>
      <c r="AS526" s="429"/>
      <c r="AT526" s="429"/>
      <c r="AU526" s="429"/>
      <c r="AV526" s="429"/>
      <c r="AW526" s="429"/>
      <c r="AX526" s="429"/>
      <c r="AY526" s="429"/>
      <c r="AZ526" s="429"/>
      <c r="BA526" s="429"/>
      <c r="BB526" s="429"/>
      <c r="BC526" s="429"/>
      <c r="BD526" s="429"/>
      <c r="BE526" s="429"/>
      <c r="BF526" s="429"/>
      <c r="BG526" s="429"/>
      <c r="BH526" s="429"/>
      <c r="BI526" s="429"/>
      <c r="BJ526" s="429"/>
      <c r="BK526" s="429"/>
      <c r="BL526" s="429"/>
      <c r="BM526" s="429"/>
      <c r="BN526" s="429"/>
      <c r="BO526" s="429"/>
      <c r="BP526" s="102"/>
      <c r="BQ526" s="102">
        <v>29.652</v>
      </c>
      <c r="BR526" s="451">
        <f t="shared" si="49"/>
        <v>2223.9</v>
      </c>
      <c r="BS526" s="451">
        <f t="shared" si="48"/>
        <v>17235.23</v>
      </c>
      <c r="BT526" s="429" t="str">
        <f>IFERROR(VLOOKUP(E526,名称!A:D,4,FALSE),"")</f>
        <v>KIK</v>
      </c>
    </row>
    <row r="527" s="427" customFormat="1" hidden="1" customHeight="1" spans="1:72">
      <c r="A527" s="93">
        <v>46120</v>
      </c>
      <c r="B527" s="95" t="s">
        <v>237</v>
      </c>
      <c r="C527" s="96">
        <v>10124250</v>
      </c>
      <c r="D527" s="96" t="s">
        <v>283</v>
      </c>
      <c r="E527" s="97" t="s">
        <v>35</v>
      </c>
      <c r="F527" s="99">
        <v>36</v>
      </c>
      <c r="G527" s="93">
        <v>46176</v>
      </c>
      <c r="H527" s="429"/>
      <c r="I527" s="429"/>
      <c r="J527" s="429"/>
      <c r="K527" s="429"/>
      <c r="L527" s="429"/>
      <c r="M527" s="429"/>
      <c r="N527" s="429"/>
      <c r="O527" s="429"/>
      <c r="P527" s="429"/>
      <c r="Q527" s="429"/>
      <c r="R527" s="429"/>
      <c r="S527" s="429"/>
      <c r="T527" s="429"/>
      <c r="U527" s="429"/>
      <c r="V527" s="429"/>
      <c r="W527" s="429"/>
      <c r="X527" s="429"/>
      <c r="Y527" s="429">
        <f>F527</f>
        <v>36</v>
      </c>
      <c r="Z527" s="429"/>
      <c r="AA527" s="429"/>
      <c r="AB527" s="429"/>
      <c r="AC527" s="429"/>
      <c r="AD527" s="429"/>
      <c r="AE527" s="429"/>
      <c r="AF527" s="429"/>
      <c r="AG527" s="429"/>
      <c r="AH527" s="429"/>
      <c r="AI527" s="429"/>
      <c r="AJ527" s="429"/>
      <c r="AK527" s="429"/>
      <c r="AL527" s="429"/>
      <c r="AM527" s="429"/>
      <c r="AN527" s="429"/>
      <c r="AO527" s="429"/>
      <c r="AP527" s="429"/>
      <c r="AQ527" s="429"/>
      <c r="AR527" s="429"/>
      <c r="AS527" s="429"/>
      <c r="AT527" s="429"/>
      <c r="AU527" s="429"/>
      <c r="AV527" s="429"/>
      <c r="AW527" s="429"/>
      <c r="AX527" s="429"/>
      <c r="AY527" s="429"/>
      <c r="AZ527" s="429"/>
      <c r="BA527" s="429"/>
      <c r="BB527" s="429"/>
      <c r="BC527" s="429"/>
      <c r="BD527" s="429"/>
      <c r="BE527" s="429"/>
      <c r="BF527" s="429"/>
      <c r="BG527" s="429"/>
      <c r="BH527" s="429"/>
      <c r="BI527" s="429"/>
      <c r="BJ527" s="429"/>
      <c r="BK527" s="429"/>
      <c r="BL527" s="429"/>
      <c r="BM527" s="429"/>
      <c r="BN527" s="429"/>
      <c r="BO527" s="429"/>
      <c r="BP527" s="102"/>
      <c r="BQ527" s="102">
        <v>22.9</v>
      </c>
      <c r="BR527" s="451">
        <f t="shared" si="49"/>
        <v>824.4</v>
      </c>
      <c r="BS527" s="451">
        <f t="shared" si="48"/>
        <v>6389.1</v>
      </c>
      <c r="BT527" s="429" t="str">
        <f>IFERROR(VLOOKUP(E527,名称!A:D,4,FALSE),"")</f>
        <v>KIK</v>
      </c>
    </row>
    <row r="528" s="427" customFormat="1" hidden="1" customHeight="1" spans="1:72">
      <c r="A528" s="93">
        <v>46120</v>
      </c>
      <c r="B528" s="95" t="s">
        <v>237</v>
      </c>
      <c r="C528" s="96">
        <v>10124250</v>
      </c>
      <c r="D528" s="96" t="s">
        <v>283</v>
      </c>
      <c r="E528" s="97" t="s">
        <v>87</v>
      </c>
      <c r="F528" s="99">
        <v>24</v>
      </c>
      <c r="G528" s="93">
        <v>46176</v>
      </c>
      <c r="H528" s="429"/>
      <c r="I528" s="429"/>
      <c r="J528" s="429"/>
      <c r="K528" s="429"/>
      <c r="L528" s="429"/>
      <c r="M528" s="429"/>
      <c r="N528" s="429"/>
      <c r="O528" s="429"/>
      <c r="P528" s="429"/>
      <c r="Q528" s="429"/>
      <c r="R528" s="429"/>
      <c r="S528" s="429"/>
      <c r="T528" s="429"/>
      <c r="U528" s="429"/>
      <c r="V528" s="429"/>
      <c r="W528" s="429"/>
      <c r="X528" s="429"/>
      <c r="Y528" s="429"/>
      <c r="Z528" s="429"/>
      <c r="AA528" s="429"/>
      <c r="AB528" s="429"/>
      <c r="AC528" s="429"/>
      <c r="AD528" s="429">
        <f>F528</f>
        <v>24</v>
      </c>
      <c r="AE528" s="429"/>
      <c r="AF528" s="429"/>
      <c r="AG528" s="429"/>
      <c r="AH528" s="429"/>
      <c r="AI528" s="429"/>
      <c r="AJ528" s="429"/>
      <c r="AK528" s="429"/>
      <c r="AL528" s="429"/>
      <c r="AM528" s="429"/>
      <c r="AN528" s="429"/>
      <c r="AO528" s="429"/>
      <c r="AP528" s="429"/>
      <c r="AQ528" s="429"/>
      <c r="AR528" s="429"/>
      <c r="AS528" s="429"/>
      <c r="AT528" s="429"/>
      <c r="AU528" s="429"/>
      <c r="AV528" s="429"/>
      <c r="AW528" s="429"/>
      <c r="AX528" s="429"/>
      <c r="AY528" s="429"/>
      <c r="AZ528" s="429"/>
      <c r="BA528" s="429"/>
      <c r="BB528" s="429"/>
      <c r="BC528" s="429"/>
      <c r="BD528" s="429"/>
      <c r="BE528" s="429"/>
      <c r="BF528" s="429"/>
      <c r="BG528" s="429"/>
      <c r="BH528" s="429"/>
      <c r="BI528" s="429"/>
      <c r="BJ528" s="429"/>
      <c r="BK528" s="429"/>
      <c r="BL528" s="429"/>
      <c r="BM528" s="429"/>
      <c r="BN528" s="429"/>
      <c r="BO528" s="429"/>
      <c r="BP528" s="102"/>
      <c r="BQ528" s="102">
        <v>31.4</v>
      </c>
      <c r="BR528" s="451">
        <f t="shared" si="49"/>
        <v>753.6</v>
      </c>
      <c r="BS528" s="451">
        <f t="shared" si="48"/>
        <v>5840.4</v>
      </c>
      <c r="BT528" s="429" t="str">
        <f>IFERROR(VLOOKUP(E528,名称!A:D,4,FALSE),"")</f>
        <v>KIK</v>
      </c>
    </row>
    <row r="529" s="427" customFormat="1" hidden="1" customHeight="1" spans="1:72">
      <c r="A529" s="93">
        <v>46120</v>
      </c>
      <c r="B529" s="95" t="s">
        <v>237</v>
      </c>
      <c r="C529" s="96">
        <v>10124250</v>
      </c>
      <c r="D529" s="96" t="s">
        <v>283</v>
      </c>
      <c r="E529" s="97" t="s">
        <v>39</v>
      </c>
      <c r="F529" s="99">
        <v>26</v>
      </c>
      <c r="G529" s="93">
        <v>46176</v>
      </c>
      <c r="H529" s="429"/>
      <c r="I529" s="429"/>
      <c r="J529" s="429"/>
      <c r="K529" s="429"/>
      <c r="L529" s="429"/>
      <c r="M529" s="429"/>
      <c r="N529" s="429"/>
      <c r="O529" s="429"/>
      <c r="P529" s="429"/>
      <c r="Q529" s="429"/>
      <c r="R529" s="429"/>
      <c r="S529" s="429"/>
      <c r="T529" s="429"/>
      <c r="U529" s="429"/>
      <c r="V529" s="429"/>
      <c r="W529" s="429">
        <f>F529</f>
        <v>26</v>
      </c>
      <c r="X529" s="429"/>
      <c r="Y529" s="429"/>
      <c r="Z529" s="429"/>
      <c r="AA529" s="429"/>
      <c r="AB529" s="429"/>
      <c r="AC529" s="429"/>
      <c r="AD529" s="429"/>
      <c r="AE529" s="429"/>
      <c r="AF529" s="429"/>
      <c r="AG529" s="429"/>
      <c r="AH529" s="429"/>
      <c r="AI529" s="429"/>
      <c r="AJ529" s="429"/>
      <c r="AK529" s="429"/>
      <c r="AL529" s="429"/>
      <c r="AM529" s="429"/>
      <c r="AN529" s="429"/>
      <c r="AO529" s="429"/>
      <c r="AP529" s="429"/>
      <c r="AQ529" s="429"/>
      <c r="AR529" s="429"/>
      <c r="AS529" s="429"/>
      <c r="AT529" s="429"/>
      <c r="AU529" s="429"/>
      <c r="AV529" s="429"/>
      <c r="AW529" s="429"/>
      <c r="AX529" s="429"/>
      <c r="AY529" s="429"/>
      <c r="AZ529" s="429"/>
      <c r="BA529" s="429"/>
      <c r="BB529" s="429"/>
      <c r="BC529" s="429"/>
      <c r="BD529" s="429"/>
      <c r="BE529" s="429"/>
      <c r="BF529" s="429"/>
      <c r="BG529" s="429"/>
      <c r="BH529" s="429"/>
      <c r="BI529" s="429"/>
      <c r="BJ529" s="429"/>
      <c r="BK529" s="429"/>
      <c r="BL529" s="429"/>
      <c r="BM529" s="429"/>
      <c r="BN529" s="429"/>
      <c r="BO529" s="429"/>
      <c r="BP529" s="102"/>
      <c r="BQ529" s="102">
        <v>30.536</v>
      </c>
      <c r="BR529" s="451">
        <f t="shared" si="49"/>
        <v>793.94</v>
      </c>
      <c r="BS529" s="451">
        <f t="shared" si="48"/>
        <v>6153.04</v>
      </c>
      <c r="BT529" s="429" t="str">
        <f>IFERROR(VLOOKUP(E529,名称!A:D,4,FALSE),"")</f>
        <v>KIK</v>
      </c>
    </row>
    <row r="530" s="427" customFormat="1" hidden="1" customHeight="1" spans="1:72">
      <c r="A530" s="93">
        <v>46120</v>
      </c>
      <c r="B530" s="95" t="s">
        <v>237</v>
      </c>
      <c r="C530" s="96">
        <v>10124250</v>
      </c>
      <c r="D530" s="96" t="s">
        <v>283</v>
      </c>
      <c r="E530" s="97">
        <v>47669</v>
      </c>
      <c r="F530" s="99">
        <v>64</v>
      </c>
      <c r="G530" s="93">
        <v>46176</v>
      </c>
      <c r="H530" s="429"/>
      <c r="I530" s="429"/>
      <c r="J530" s="429"/>
      <c r="K530" s="429"/>
      <c r="L530" s="429"/>
      <c r="M530" s="429"/>
      <c r="N530" s="429"/>
      <c r="O530" s="429"/>
      <c r="P530" s="429"/>
      <c r="Q530" s="429"/>
      <c r="R530" s="429">
        <f>F530</f>
        <v>64</v>
      </c>
      <c r="S530" s="429"/>
      <c r="T530" s="429"/>
      <c r="U530" s="429"/>
      <c r="V530" s="429"/>
      <c r="W530" s="429"/>
      <c r="X530" s="429"/>
      <c r="Y530" s="429"/>
      <c r="Z530" s="429"/>
      <c r="AA530" s="429"/>
      <c r="AB530" s="429"/>
      <c r="AC530" s="429"/>
      <c r="AD530" s="429"/>
      <c r="AE530" s="429"/>
      <c r="AF530" s="429"/>
      <c r="AG530" s="429"/>
      <c r="AH530" s="429"/>
      <c r="AI530" s="429"/>
      <c r="AJ530" s="429"/>
      <c r="AK530" s="429"/>
      <c r="AL530" s="429"/>
      <c r="AM530" s="429"/>
      <c r="AN530" s="429"/>
      <c r="AO530" s="429"/>
      <c r="AP530" s="429"/>
      <c r="AQ530" s="429"/>
      <c r="AR530" s="429"/>
      <c r="AS530" s="429"/>
      <c r="AT530" s="429"/>
      <c r="AU530" s="429"/>
      <c r="AV530" s="429"/>
      <c r="AW530" s="429"/>
      <c r="AX530" s="429"/>
      <c r="AY530" s="429"/>
      <c r="AZ530" s="429"/>
      <c r="BA530" s="429"/>
      <c r="BB530" s="429"/>
      <c r="BC530" s="429"/>
      <c r="BD530" s="429"/>
      <c r="BE530" s="429"/>
      <c r="BF530" s="429"/>
      <c r="BG530" s="429"/>
      <c r="BH530" s="429"/>
      <c r="BI530" s="429"/>
      <c r="BJ530" s="429"/>
      <c r="BK530" s="429"/>
      <c r="BL530" s="429"/>
      <c r="BM530" s="429"/>
      <c r="BN530" s="429"/>
      <c r="BO530" s="429"/>
      <c r="BP530" s="102"/>
      <c r="BQ530" s="102">
        <v>4.808</v>
      </c>
      <c r="BR530" s="451">
        <f t="shared" si="49"/>
        <v>307.71</v>
      </c>
      <c r="BS530" s="451">
        <f t="shared" si="48"/>
        <v>2384.75</v>
      </c>
      <c r="BT530" s="429" t="str">
        <f>IFERROR(VLOOKUP(E530,名称!A:D,4,FALSE),"")</f>
        <v>KIK</v>
      </c>
    </row>
    <row r="531" s="427" customFormat="1" hidden="1" customHeight="1" spans="1:72">
      <c r="A531" s="93">
        <v>46120</v>
      </c>
      <c r="B531" s="95" t="s">
        <v>237</v>
      </c>
      <c r="C531" s="96">
        <v>10124250</v>
      </c>
      <c r="D531" s="96" t="s">
        <v>283</v>
      </c>
      <c r="E531" s="97" t="s">
        <v>109</v>
      </c>
      <c r="F531" s="99">
        <v>64</v>
      </c>
      <c r="G531" s="93">
        <v>46176</v>
      </c>
      <c r="H531" s="429"/>
      <c r="I531" s="429"/>
      <c r="J531" s="429"/>
      <c r="K531" s="429"/>
      <c r="L531" s="429"/>
      <c r="M531" s="429"/>
      <c r="N531" s="429"/>
      <c r="O531" s="429"/>
      <c r="P531" s="429"/>
      <c r="Q531" s="429"/>
      <c r="R531" s="429"/>
      <c r="S531" s="429"/>
      <c r="T531" s="429"/>
      <c r="U531" s="429"/>
      <c r="V531" s="429"/>
      <c r="W531" s="429"/>
      <c r="X531" s="429"/>
      <c r="Y531" s="429"/>
      <c r="Z531" s="429"/>
      <c r="AA531" s="429"/>
      <c r="AB531" s="429"/>
      <c r="AC531" s="429"/>
      <c r="AD531" s="429"/>
      <c r="AE531" s="429"/>
      <c r="AF531" s="429"/>
      <c r="AG531" s="429"/>
      <c r="AH531" s="429"/>
      <c r="AI531" s="429"/>
      <c r="AJ531" s="429"/>
      <c r="AK531" s="429"/>
      <c r="AL531" s="429">
        <f>F531</f>
        <v>64</v>
      </c>
      <c r="AM531" s="429"/>
      <c r="AN531" s="429"/>
      <c r="AO531" s="429"/>
      <c r="AP531" s="429"/>
      <c r="AQ531" s="429"/>
      <c r="AR531" s="429"/>
      <c r="AS531" s="429"/>
      <c r="AT531" s="429"/>
      <c r="AU531" s="429"/>
      <c r="AV531" s="429"/>
      <c r="AW531" s="429"/>
      <c r="AX531" s="429"/>
      <c r="AY531" s="429"/>
      <c r="AZ531" s="429"/>
      <c r="BA531" s="429"/>
      <c r="BB531" s="429"/>
      <c r="BC531" s="429"/>
      <c r="BD531" s="429"/>
      <c r="BE531" s="429"/>
      <c r="BF531" s="429"/>
      <c r="BG531" s="429"/>
      <c r="BH531" s="429"/>
      <c r="BI531" s="429"/>
      <c r="BJ531" s="429"/>
      <c r="BK531" s="429"/>
      <c r="BL531" s="429"/>
      <c r="BM531" s="429"/>
      <c r="BN531" s="429"/>
      <c r="BO531" s="429"/>
      <c r="BP531" s="102"/>
      <c r="BQ531" s="102">
        <v>3.886</v>
      </c>
      <c r="BR531" s="451">
        <f t="shared" si="49"/>
        <v>248.7</v>
      </c>
      <c r="BS531" s="451">
        <f t="shared" si="48"/>
        <v>1927.43</v>
      </c>
      <c r="BT531" s="429" t="str">
        <f>IFERROR(VLOOKUP(E531,名称!A:D,4,FALSE),"")</f>
        <v>KIK</v>
      </c>
    </row>
    <row r="532" s="427" customFormat="1" hidden="1" customHeight="1" spans="1:72">
      <c r="A532" s="93">
        <v>46120</v>
      </c>
      <c r="B532" s="95" t="s">
        <v>237</v>
      </c>
      <c r="C532" s="96">
        <v>10124250</v>
      </c>
      <c r="D532" s="96" t="s">
        <v>283</v>
      </c>
      <c r="E532" s="97" t="s">
        <v>120</v>
      </c>
      <c r="F532" s="99">
        <v>80</v>
      </c>
      <c r="G532" s="93">
        <v>46176</v>
      </c>
      <c r="H532" s="429"/>
      <c r="I532" s="429"/>
      <c r="J532" s="429"/>
      <c r="K532" s="429"/>
      <c r="L532" s="429"/>
      <c r="M532" s="429"/>
      <c r="N532" s="429"/>
      <c r="O532" s="429"/>
      <c r="P532" s="429"/>
      <c r="Q532" s="429"/>
      <c r="R532" s="429"/>
      <c r="S532" s="429"/>
      <c r="T532" s="429"/>
      <c r="U532" s="429"/>
      <c r="V532" s="429"/>
      <c r="W532" s="429"/>
      <c r="X532" s="429"/>
      <c r="Y532" s="429"/>
      <c r="Z532" s="429"/>
      <c r="AA532" s="429"/>
      <c r="AB532" s="429"/>
      <c r="AC532" s="429"/>
      <c r="AD532" s="429"/>
      <c r="AE532" s="429"/>
      <c r="AF532" s="429"/>
      <c r="AG532" s="429"/>
      <c r="AH532" s="429"/>
      <c r="AI532" s="429"/>
      <c r="AJ532" s="429"/>
      <c r="AK532" s="429"/>
      <c r="AL532" s="429"/>
      <c r="AM532" s="429"/>
      <c r="AN532" s="429"/>
      <c r="AO532" s="429"/>
      <c r="AP532" s="429"/>
      <c r="AQ532" s="429"/>
      <c r="AR532" s="429">
        <f>F532</f>
        <v>80</v>
      </c>
      <c r="AS532" s="429"/>
      <c r="AT532" s="429"/>
      <c r="AU532" s="429"/>
      <c r="AV532" s="429"/>
      <c r="AW532" s="429"/>
      <c r="AX532" s="429"/>
      <c r="AY532" s="429"/>
      <c r="AZ532" s="429"/>
      <c r="BA532" s="429"/>
      <c r="BB532" s="429"/>
      <c r="BC532" s="429"/>
      <c r="BD532" s="429"/>
      <c r="BE532" s="429"/>
      <c r="BF532" s="429"/>
      <c r="BG532" s="429"/>
      <c r="BH532" s="429"/>
      <c r="BI532" s="429"/>
      <c r="BJ532" s="429"/>
      <c r="BK532" s="429"/>
      <c r="BL532" s="429"/>
      <c r="BM532" s="429"/>
      <c r="BN532" s="429"/>
      <c r="BO532" s="429"/>
      <c r="BP532" s="102"/>
      <c r="BQ532" s="102">
        <v>21.246</v>
      </c>
      <c r="BR532" s="451">
        <f t="shared" si="49"/>
        <v>1699.68</v>
      </c>
      <c r="BS532" s="451">
        <f t="shared" si="48"/>
        <v>13172.52</v>
      </c>
      <c r="BT532" s="429" t="str">
        <f>IFERROR(VLOOKUP(E532,名称!A:D,4,FALSE),"")</f>
        <v>KIK</v>
      </c>
    </row>
    <row r="533" s="427" customFormat="1" hidden="1" customHeight="1" spans="1:72">
      <c r="A533" s="93">
        <v>46120</v>
      </c>
      <c r="B533" s="95" t="s">
        <v>237</v>
      </c>
      <c r="C533" s="96">
        <v>10124250</v>
      </c>
      <c r="D533" s="96" t="s">
        <v>283</v>
      </c>
      <c r="E533" s="97" t="s">
        <v>111</v>
      </c>
      <c r="F533" s="99">
        <v>64</v>
      </c>
      <c r="G533" s="93">
        <v>46176</v>
      </c>
      <c r="H533" s="429"/>
      <c r="I533" s="429"/>
      <c r="J533" s="429"/>
      <c r="K533" s="429"/>
      <c r="L533" s="429"/>
      <c r="M533" s="429"/>
      <c r="N533" s="429"/>
      <c r="O533" s="429"/>
      <c r="P533" s="429"/>
      <c r="Q533" s="429"/>
      <c r="R533" s="429"/>
      <c r="S533" s="429"/>
      <c r="T533" s="429"/>
      <c r="U533" s="429"/>
      <c r="V533" s="429"/>
      <c r="W533" s="429"/>
      <c r="X533" s="429"/>
      <c r="Y533" s="429"/>
      <c r="Z533" s="429"/>
      <c r="AA533" s="429"/>
      <c r="AB533" s="429"/>
      <c r="AC533" s="429"/>
      <c r="AD533" s="429"/>
      <c r="AE533" s="429"/>
      <c r="AF533" s="429"/>
      <c r="AG533" s="429"/>
      <c r="AH533" s="429"/>
      <c r="AI533" s="429"/>
      <c r="AJ533" s="429"/>
      <c r="AK533" s="429"/>
      <c r="AL533" s="429"/>
      <c r="AM533" s="429">
        <f>F533</f>
        <v>64</v>
      </c>
      <c r="AN533" s="429"/>
      <c r="AO533" s="429"/>
      <c r="AP533" s="429"/>
      <c r="AQ533" s="429"/>
      <c r="AR533" s="429"/>
      <c r="AS533" s="429"/>
      <c r="AT533" s="429"/>
      <c r="AU533" s="429"/>
      <c r="AV533" s="429"/>
      <c r="AW533" s="429"/>
      <c r="AX533" s="429"/>
      <c r="AY533" s="429"/>
      <c r="AZ533" s="429"/>
      <c r="BA533" s="429"/>
      <c r="BB533" s="429"/>
      <c r="BC533" s="429"/>
      <c r="BD533" s="429"/>
      <c r="BE533" s="429"/>
      <c r="BF533" s="429"/>
      <c r="BG533" s="429"/>
      <c r="BH533" s="429"/>
      <c r="BI533" s="429"/>
      <c r="BJ533" s="429"/>
      <c r="BK533" s="429"/>
      <c r="BL533" s="429"/>
      <c r="BM533" s="429"/>
      <c r="BN533" s="429"/>
      <c r="BO533" s="429"/>
      <c r="BP533" s="102"/>
      <c r="BQ533" s="102">
        <v>3.816</v>
      </c>
      <c r="BR533" s="451">
        <f t="shared" si="49"/>
        <v>244.22</v>
      </c>
      <c r="BS533" s="451">
        <f t="shared" si="48"/>
        <v>1892.71</v>
      </c>
      <c r="BT533" s="429" t="str">
        <f>IFERROR(VLOOKUP(E533,名称!A:D,4,FALSE),"")</f>
        <v>KIK</v>
      </c>
    </row>
    <row r="534" s="427" customFormat="1" hidden="1" customHeight="1" spans="1:72">
      <c r="A534" s="93">
        <v>46120</v>
      </c>
      <c r="B534" s="95" t="s">
        <v>237</v>
      </c>
      <c r="C534" s="96">
        <v>10124250</v>
      </c>
      <c r="D534" s="96" t="s">
        <v>283</v>
      </c>
      <c r="E534" s="97" t="s">
        <v>113</v>
      </c>
      <c r="F534" s="99">
        <v>144</v>
      </c>
      <c r="G534" s="93">
        <v>46176</v>
      </c>
      <c r="H534" s="429"/>
      <c r="I534" s="429"/>
      <c r="J534" s="429"/>
      <c r="K534" s="429"/>
      <c r="L534" s="429"/>
      <c r="M534" s="429"/>
      <c r="N534" s="429"/>
      <c r="O534" s="429"/>
      <c r="P534" s="429"/>
      <c r="Q534" s="429"/>
      <c r="R534" s="429"/>
      <c r="S534" s="429"/>
      <c r="T534" s="429"/>
      <c r="U534" s="429"/>
      <c r="V534" s="429"/>
      <c r="W534" s="429"/>
      <c r="X534" s="429"/>
      <c r="Y534" s="429"/>
      <c r="Z534" s="429"/>
      <c r="AA534" s="429"/>
      <c r="AB534" s="429"/>
      <c r="AC534" s="429"/>
      <c r="AD534" s="429"/>
      <c r="AE534" s="429"/>
      <c r="AF534" s="429"/>
      <c r="AG534" s="429"/>
      <c r="AH534" s="429"/>
      <c r="AI534" s="429"/>
      <c r="AJ534" s="429"/>
      <c r="AK534" s="429"/>
      <c r="AL534" s="429"/>
      <c r="AM534" s="429"/>
      <c r="AN534" s="429">
        <f>F534</f>
        <v>144</v>
      </c>
      <c r="AO534" s="429"/>
      <c r="AP534" s="429"/>
      <c r="AQ534" s="429"/>
      <c r="AR534" s="429"/>
      <c r="AS534" s="429"/>
      <c r="AT534" s="429"/>
      <c r="AU534" s="429"/>
      <c r="AV534" s="429"/>
      <c r="AW534" s="429"/>
      <c r="AX534" s="429"/>
      <c r="AY534" s="429"/>
      <c r="AZ534" s="429"/>
      <c r="BA534" s="429"/>
      <c r="BB534" s="429"/>
      <c r="BC534" s="429"/>
      <c r="BD534" s="429"/>
      <c r="BE534" s="429"/>
      <c r="BF534" s="429"/>
      <c r="BG534" s="429"/>
      <c r="BH534" s="429"/>
      <c r="BI534" s="429"/>
      <c r="BJ534" s="429"/>
      <c r="BK534" s="429"/>
      <c r="BL534" s="429"/>
      <c r="BM534" s="429"/>
      <c r="BN534" s="429"/>
      <c r="BO534" s="429"/>
      <c r="BP534" s="102"/>
      <c r="BQ534" s="102">
        <v>5.97</v>
      </c>
      <c r="BR534" s="451">
        <f t="shared" si="49"/>
        <v>859.68</v>
      </c>
      <c r="BS534" s="451">
        <f t="shared" si="48"/>
        <v>6662.52</v>
      </c>
      <c r="BT534" s="429" t="str">
        <f>IFERROR(VLOOKUP(E534,名称!A:D,4,FALSE),"")</f>
        <v>KIK</v>
      </c>
    </row>
    <row r="535" s="427" customFormat="1" hidden="1" customHeight="1" spans="1:72">
      <c r="A535" s="93">
        <v>46120</v>
      </c>
      <c r="B535" s="95" t="s">
        <v>237</v>
      </c>
      <c r="C535" s="96">
        <v>10124250</v>
      </c>
      <c r="D535" s="96" t="s">
        <v>283</v>
      </c>
      <c r="E535" s="97" t="s">
        <v>118</v>
      </c>
      <c r="F535" s="99">
        <v>36</v>
      </c>
      <c r="G535" s="93">
        <v>46176</v>
      </c>
      <c r="H535" s="429"/>
      <c r="I535" s="429"/>
      <c r="J535" s="429"/>
      <c r="K535" s="429"/>
      <c r="L535" s="429"/>
      <c r="M535" s="429"/>
      <c r="N535" s="429"/>
      <c r="O535" s="429"/>
      <c r="P535" s="429"/>
      <c r="Q535" s="429"/>
      <c r="R535" s="429"/>
      <c r="S535" s="429"/>
      <c r="T535" s="429"/>
      <c r="U535" s="429"/>
      <c r="V535" s="429"/>
      <c r="W535" s="429"/>
      <c r="X535" s="429"/>
      <c r="Y535" s="429"/>
      <c r="Z535" s="429"/>
      <c r="AA535" s="429"/>
      <c r="AB535" s="429"/>
      <c r="AC535" s="429"/>
      <c r="AD535" s="429"/>
      <c r="AE535" s="429"/>
      <c r="AF535" s="429"/>
      <c r="AG535" s="429"/>
      <c r="AH535" s="429"/>
      <c r="AI535" s="429"/>
      <c r="AJ535" s="429"/>
      <c r="AK535" s="429"/>
      <c r="AL535" s="429"/>
      <c r="AM535" s="429"/>
      <c r="AN535" s="429"/>
      <c r="AO535" s="429"/>
      <c r="AP535" s="429"/>
      <c r="AQ535" s="429">
        <f>F535</f>
        <v>36</v>
      </c>
      <c r="AR535" s="429"/>
      <c r="AS535" s="429"/>
      <c r="AT535" s="429"/>
      <c r="AU535" s="429"/>
      <c r="AV535" s="429"/>
      <c r="AW535" s="429"/>
      <c r="AX535" s="429"/>
      <c r="AY535" s="429"/>
      <c r="AZ535" s="429"/>
      <c r="BA535" s="429"/>
      <c r="BB535" s="429"/>
      <c r="BC535" s="429"/>
      <c r="BD535" s="429"/>
      <c r="BE535" s="429"/>
      <c r="BF535" s="429"/>
      <c r="BG535" s="429"/>
      <c r="BH535" s="429"/>
      <c r="BI535" s="429"/>
      <c r="BJ535" s="429"/>
      <c r="BK535" s="429"/>
      <c r="BL535" s="429"/>
      <c r="BM535" s="429"/>
      <c r="BN535" s="429"/>
      <c r="BO535" s="429"/>
      <c r="BP535" s="102"/>
      <c r="BQ535" s="102">
        <v>16.71</v>
      </c>
      <c r="BR535" s="451">
        <f t="shared" si="49"/>
        <v>601.56</v>
      </c>
      <c r="BS535" s="451">
        <f t="shared" si="48"/>
        <v>4662.09</v>
      </c>
      <c r="BT535" s="429" t="str">
        <f>IFERROR(VLOOKUP(E535,名称!A:D,4,FALSE),"")</f>
        <v>KIK</v>
      </c>
    </row>
    <row r="536" s="427" customFormat="1" hidden="1" customHeight="1" spans="1:72">
      <c r="A536" s="93">
        <v>46120</v>
      </c>
      <c r="B536" s="95" t="s">
        <v>237</v>
      </c>
      <c r="C536" s="96">
        <v>10124250</v>
      </c>
      <c r="D536" s="96" t="s">
        <v>283</v>
      </c>
      <c r="E536" s="97" t="s">
        <v>105</v>
      </c>
      <c r="F536" s="99">
        <v>44</v>
      </c>
      <c r="G536" s="93">
        <v>46176</v>
      </c>
      <c r="H536" s="429"/>
      <c r="I536" s="429"/>
      <c r="J536" s="429"/>
      <c r="K536" s="429"/>
      <c r="L536" s="429"/>
      <c r="M536" s="429"/>
      <c r="N536" s="429"/>
      <c r="O536" s="429"/>
      <c r="P536" s="429"/>
      <c r="Q536" s="429"/>
      <c r="R536" s="429"/>
      <c r="S536" s="429"/>
      <c r="T536" s="429"/>
      <c r="U536" s="429"/>
      <c r="V536" s="429"/>
      <c r="W536" s="429"/>
      <c r="X536" s="429"/>
      <c r="Y536" s="429"/>
      <c r="Z536" s="429"/>
      <c r="AA536" s="429"/>
      <c r="AB536" s="429"/>
      <c r="AC536" s="429"/>
      <c r="AD536" s="429"/>
      <c r="AE536" s="429"/>
      <c r="AF536" s="429"/>
      <c r="AG536" s="429"/>
      <c r="AH536" s="429"/>
      <c r="AI536" s="429"/>
      <c r="AJ536" s="429">
        <f>F536</f>
        <v>44</v>
      </c>
      <c r="AK536" s="429"/>
      <c r="AL536" s="429"/>
      <c r="AM536" s="429"/>
      <c r="AN536" s="429"/>
      <c r="AO536" s="429"/>
      <c r="AP536" s="429"/>
      <c r="AQ536" s="429"/>
      <c r="AR536" s="429"/>
      <c r="AS536" s="429"/>
      <c r="AT536" s="429"/>
      <c r="AU536" s="429"/>
      <c r="AV536" s="429"/>
      <c r="AW536" s="429"/>
      <c r="AX536" s="429"/>
      <c r="AY536" s="429"/>
      <c r="AZ536" s="429"/>
      <c r="BA536" s="429"/>
      <c r="BB536" s="429"/>
      <c r="BC536" s="429"/>
      <c r="BD536" s="429"/>
      <c r="BE536" s="429"/>
      <c r="BF536" s="429"/>
      <c r="BG536" s="429"/>
      <c r="BH536" s="429"/>
      <c r="BI536" s="429"/>
      <c r="BJ536" s="429"/>
      <c r="BK536" s="429"/>
      <c r="BL536" s="429"/>
      <c r="BM536" s="429"/>
      <c r="BN536" s="429"/>
      <c r="BO536" s="429"/>
      <c r="BP536" s="102"/>
      <c r="BQ536" s="102">
        <v>2.994</v>
      </c>
      <c r="BR536" s="451">
        <f t="shared" si="49"/>
        <v>131.74</v>
      </c>
      <c r="BS536" s="451">
        <f t="shared" si="48"/>
        <v>1020.99</v>
      </c>
      <c r="BT536" s="429" t="str">
        <f>IFERROR(VLOOKUP(E536,名称!A:D,4,FALSE),"")</f>
        <v>KIK</v>
      </c>
    </row>
    <row r="537" s="427" customFormat="1" hidden="1" customHeight="1" spans="1:72">
      <c r="A537" s="93">
        <v>46120</v>
      </c>
      <c r="B537" s="95" t="s">
        <v>237</v>
      </c>
      <c r="C537" s="96">
        <v>10124240</v>
      </c>
      <c r="D537" s="96" t="s">
        <v>284</v>
      </c>
      <c r="E537" s="97" t="s">
        <v>120</v>
      </c>
      <c r="F537" s="99">
        <v>480</v>
      </c>
      <c r="G537" s="93">
        <v>46176</v>
      </c>
      <c r="H537" s="429"/>
      <c r="I537" s="429"/>
      <c r="J537" s="429"/>
      <c r="K537" s="429"/>
      <c r="L537" s="429"/>
      <c r="M537" s="429"/>
      <c r="N537" s="429"/>
      <c r="O537" s="429"/>
      <c r="P537" s="429"/>
      <c r="Q537" s="429"/>
      <c r="R537" s="429"/>
      <c r="S537" s="429"/>
      <c r="T537" s="429"/>
      <c r="U537" s="429"/>
      <c r="V537" s="429"/>
      <c r="W537" s="429"/>
      <c r="X537" s="429"/>
      <c r="Y537" s="429"/>
      <c r="Z537" s="429"/>
      <c r="AA537" s="429"/>
      <c r="AB537" s="429"/>
      <c r="AC537" s="429"/>
      <c r="AD537" s="429"/>
      <c r="AE537" s="429"/>
      <c r="AF537" s="429"/>
      <c r="AG537" s="429"/>
      <c r="AH537" s="429"/>
      <c r="AI537" s="429"/>
      <c r="AJ537" s="429"/>
      <c r="AK537" s="429"/>
      <c r="AL537" s="429"/>
      <c r="AM537" s="429"/>
      <c r="AN537" s="429"/>
      <c r="AO537" s="429"/>
      <c r="AP537" s="429"/>
      <c r="AQ537" s="429"/>
      <c r="AR537" s="429">
        <f>F537</f>
        <v>480</v>
      </c>
      <c r="AS537" s="429"/>
      <c r="AT537" s="429"/>
      <c r="AU537" s="429"/>
      <c r="AV537" s="429"/>
      <c r="AW537" s="429"/>
      <c r="AX537" s="429"/>
      <c r="AY537" s="429"/>
      <c r="AZ537" s="429"/>
      <c r="BA537" s="429"/>
      <c r="BB537" s="429"/>
      <c r="BC537" s="429"/>
      <c r="BD537" s="429"/>
      <c r="BE537" s="429"/>
      <c r="BF537" s="429"/>
      <c r="BG537" s="429"/>
      <c r="BH537" s="429"/>
      <c r="BI537" s="429"/>
      <c r="BJ537" s="429"/>
      <c r="BK537" s="429"/>
      <c r="BL537" s="429"/>
      <c r="BM537" s="429"/>
      <c r="BN537" s="429"/>
      <c r="BO537" s="429"/>
      <c r="BP537" s="102"/>
      <c r="BQ537" s="102">
        <v>21.246</v>
      </c>
      <c r="BR537" s="451">
        <f t="shared" si="49"/>
        <v>10198.08</v>
      </c>
      <c r="BS537" s="451">
        <f t="shared" si="48"/>
        <v>79035.12</v>
      </c>
      <c r="BT537" s="429" t="str">
        <f>IFERROR(VLOOKUP(E537,名称!A:D,4,FALSE),"")</f>
        <v>KIK</v>
      </c>
    </row>
    <row r="538" s="427" customFormat="1" hidden="1" customHeight="1" spans="1:72">
      <c r="A538" s="93">
        <v>46120</v>
      </c>
      <c r="B538" s="95" t="s">
        <v>237</v>
      </c>
      <c r="C538" s="96">
        <v>10124240</v>
      </c>
      <c r="D538" s="96" t="s">
        <v>284</v>
      </c>
      <c r="E538" s="97" t="s">
        <v>113</v>
      </c>
      <c r="F538" s="99">
        <v>576</v>
      </c>
      <c r="G538" s="93">
        <v>46176</v>
      </c>
      <c r="H538" s="429"/>
      <c r="I538" s="429"/>
      <c r="J538" s="429"/>
      <c r="K538" s="429"/>
      <c r="L538" s="429"/>
      <c r="M538" s="429"/>
      <c r="N538" s="429"/>
      <c r="O538" s="429"/>
      <c r="P538" s="429"/>
      <c r="Q538" s="429"/>
      <c r="R538" s="429"/>
      <c r="S538" s="429"/>
      <c r="T538" s="429"/>
      <c r="U538" s="429"/>
      <c r="V538" s="429"/>
      <c r="W538" s="429"/>
      <c r="X538" s="429"/>
      <c r="Y538" s="429"/>
      <c r="Z538" s="429"/>
      <c r="AA538" s="429"/>
      <c r="AB538" s="429"/>
      <c r="AC538" s="429"/>
      <c r="AD538" s="429"/>
      <c r="AE538" s="429"/>
      <c r="AF538" s="429"/>
      <c r="AG538" s="429"/>
      <c r="AH538" s="429"/>
      <c r="AI538" s="429"/>
      <c r="AJ538" s="429"/>
      <c r="AK538" s="429"/>
      <c r="AL538" s="429"/>
      <c r="AM538" s="429"/>
      <c r="AN538" s="429">
        <f>F538</f>
        <v>576</v>
      </c>
      <c r="AO538" s="429"/>
      <c r="AP538" s="429"/>
      <c r="AQ538" s="429"/>
      <c r="AR538" s="429"/>
      <c r="AS538" s="429"/>
      <c r="AT538" s="429"/>
      <c r="AU538" s="429"/>
      <c r="AV538" s="429"/>
      <c r="AW538" s="429"/>
      <c r="AX538" s="429"/>
      <c r="AY538" s="429"/>
      <c r="AZ538" s="429"/>
      <c r="BA538" s="429"/>
      <c r="BB538" s="429"/>
      <c r="BC538" s="429"/>
      <c r="BD538" s="429"/>
      <c r="BE538" s="429"/>
      <c r="BF538" s="429"/>
      <c r="BG538" s="429"/>
      <c r="BH538" s="429"/>
      <c r="BI538" s="429"/>
      <c r="BJ538" s="429"/>
      <c r="BK538" s="429"/>
      <c r="BL538" s="429"/>
      <c r="BM538" s="429"/>
      <c r="BN538" s="429"/>
      <c r="BO538" s="429"/>
      <c r="BP538" s="102"/>
      <c r="BQ538" s="102">
        <v>5.97</v>
      </c>
      <c r="BR538" s="451">
        <f t="shared" si="49"/>
        <v>3438.72</v>
      </c>
      <c r="BS538" s="451">
        <f t="shared" si="48"/>
        <v>26650.08</v>
      </c>
      <c r="BT538" s="429" t="str">
        <f>IFERROR(VLOOKUP(E538,名称!A:D,4,FALSE),"")</f>
        <v>KIK</v>
      </c>
    </row>
    <row r="539" s="427" customFormat="1" hidden="1" customHeight="1" spans="1:72">
      <c r="A539" s="93">
        <v>46120</v>
      </c>
      <c r="B539" s="95" t="s">
        <v>237</v>
      </c>
      <c r="C539" s="96">
        <v>10124242</v>
      </c>
      <c r="D539" s="96" t="s">
        <v>285</v>
      </c>
      <c r="E539" s="97" t="s">
        <v>29</v>
      </c>
      <c r="F539" s="99">
        <v>44</v>
      </c>
      <c r="G539" s="93">
        <v>46176</v>
      </c>
      <c r="H539" s="429"/>
      <c r="I539" s="429"/>
      <c r="J539" s="429">
        <f>F539</f>
        <v>44</v>
      </c>
      <c r="K539" s="429"/>
      <c r="L539" s="429"/>
      <c r="M539" s="429"/>
      <c r="N539" s="429"/>
      <c r="O539" s="429"/>
      <c r="P539" s="429"/>
      <c r="Q539" s="429"/>
      <c r="R539" s="429"/>
      <c r="S539" s="429"/>
      <c r="T539" s="429"/>
      <c r="U539" s="429"/>
      <c r="V539" s="429"/>
      <c r="W539" s="429"/>
      <c r="X539" s="429"/>
      <c r="Y539" s="429"/>
      <c r="Z539" s="429"/>
      <c r="AA539" s="429"/>
      <c r="AB539" s="429"/>
      <c r="AC539" s="429"/>
      <c r="AD539" s="429"/>
      <c r="AE539" s="429"/>
      <c r="AF539" s="429"/>
      <c r="AG539" s="429"/>
      <c r="AH539" s="429"/>
      <c r="AI539" s="429"/>
      <c r="AJ539" s="429"/>
      <c r="AK539" s="429"/>
      <c r="AL539" s="429"/>
      <c r="AM539" s="429"/>
      <c r="AN539" s="429"/>
      <c r="AO539" s="429"/>
      <c r="AP539" s="429"/>
      <c r="AQ539" s="429"/>
      <c r="AR539" s="429"/>
      <c r="AS539" s="429"/>
      <c r="AT539" s="429"/>
      <c r="AU539" s="429"/>
      <c r="AV539" s="429"/>
      <c r="AW539" s="429"/>
      <c r="AX539" s="429"/>
      <c r="AY539" s="429"/>
      <c r="AZ539" s="429"/>
      <c r="BA539" s="429"/>
      <c r="BB539" s="429"/>
      <c r="BC539" s="429"/>
      <c r="BD539" s="429"/>
      <c r="BE539" s="429"/>
      <c r="BF539" s="429"/>
      <c r="BG539" s="429"/>
      <c r="BH539" s="429"/>
      <c r="BI539" s="429"/>
      <c r="BJ539" s="429"/>
      <c r="BK539" s="429"/>
      <c r="BL539" s="429"/>
      <c r="BM539" s="429"/>
      <c r="BN539" s="429"/>
      <c r="BO539" s="429"/>
      <c r="BP539" s="102"/>
      <c r="BQ539" s="102">
        <v>21.801</v>
      </c>
      <c r="BR539" s="451">
        <f t="shared" si="49"/>
        <v>959.24</v>
      </c>
      <c r="BS539" s="451">
        <f t="shared" si="48"/>
        <v>7434.11</v>
      </c>
      <c r="BT539" s="429" t="str">
        <f>IFERROR(VLOOKUP(E539,名称!A:D,4,FALSE),"")</f>
        <v>KIK</v>
      </c>
    </row>
    <row r="540" s="427" customFormat="1" hidden="1" customHeight="1" spans="1:72">
      <c r="A540" s="93">
        <v>46120</v>
      </c>
      <c r="B540" s="95" t="s">
        <v>237</v>
      </c>
      <c r="C540" s="96">
        <v>10124242</v>
      </c>
      <c r="D540" s="96" t="s">
        <v>285</v>
      </c>
      <c r="E540" s="97" t="s">
        <v>35</v>
      </c>
      <c r="F540" s="99">
        <v>64</v>
      </c>
      <c r="G540" s="93">
        <v>46176</v>
      </c>
      <c r="H540" s="429"/>
      <c r="I540" s="429"/>
      <c r="J540" s="429"/>
      <c r="K540" s="429"/>
      <c r="L540" s="429"/>
      <c r="M540" s="429"/>
      <c r="N540" s="429"/>
      <c r="O540" s="429"/>
      <c r="P540" s="429"/>
      <c r="Q540" s="429"/>
      <c r="R540" s="429"/>
      <c r="S540" s="429"/>
      <c r="T540" s="429"/>
      <c r="U540" s="429"/>
      <c r="V540" s="429"/>
      <c r="W540" s="429"/>
      <c r="X540" s="429"/>
      <c r="Y540" s="429">
        <f>F540</f>
        <v>64</v>
      </c>
      <c r="Z540" s="429"/>
      <c r="AA540" s="429"/>
      <c r="AB540" s="429"/>
      <c r="AC540" s="429"/>
      <c r="AD540" s="429"/>
      <c r="AE540" s="429"/>
      <c r="AF540" s="429"/>
      <c r="AG540" s="429"/>
      <c r="AH540" s="429"/>
      <c r="AI540" s="429"/>
      <c r="AJ540" s="429"/>
      <c r="AK540" s="429"/>
      <c r="AL540" s="429"/>
      <c r="AM540" s="429"/>
      <c r="AN540" s="429"/>
      <c r="AO540" s="429"/>
      <c r="AP540" s="429"/>
      <c r="AQ540" s="429"/>
      <c r="AR540" s="429"/>
      <c r="AS540" s="429"/>
      <c r="AT540" s="429"/>
      <c r="AU540" s="429"/>
      <c r="AV540" s="429"/>
      <c r="AW540" s="429"/>
      <c r="AX540" s="429"/>
      <c r="AY540" s="429"/>
      <c r="AZ540" s="429"/>
      <c r="BA540" s="429"/>
      <c r="BB540" s="429"/>
      <c r="BC540" s="429"/>
      <c r="BD540" s="429"/>
      <c r="BE540" s="429"/>
      <c r="BF540" s="429"/>
      <c r="BG540" s="429"/>
      <c r="BH540" s="429"/>
      <c r="BI540" s="429"/>
      <c r="BJ540" s="429"/>
      <c r="BK540" s="429"/>
      <c r="BL540" s="429"/>
      <c r="BM540" s="429"/>
      <c r="BN540" s="429"/>
      <c r="BO540" s="429"/>
      <c r="BP540" s="102"/>
      <c r="BQ540" s="102">
        <v>22.9</v>
      </c>
      <c r="BR540" s="451">
        <f t="shared" si="49"/>
        <v>1465.6</v>
      </c>
      <c r="BS540" s="451">
        <f t="shared" si="48"/>
        <v>11358.4</v>
      </c>
      <c r="BT540" s="429" t="str">
        <f>IFERROR(VLOOKUP(E540,名称!A:D,4,FALSE),"")</f>
        <v>KIK</v>
      </c>
    </row>
    <row r="541" s="427" customFormat="1" hidden="1" customHeight="1" spans="1:72">
      <c r="A541" s="93">
        <v>46120</v>
      </c>
      <c r="B541" s="95" t="s">
        <v>237</v>
      </c>
      <c r="C541" s="96">
        <v>10124242</v>
      </c>
      <c r="D541" s="96" t="s">
        <v>285</v>
      </c>
      <c r="E541" s="97" t="s">
        <v>158</v>
      </c>
      <c r="F541" s="99">
        <v>50</v>
      </c>
      <c r="G541" s="93">
        <v>46176</v>
      </c>
      <c r="H541" s="429"/>
      <c r="I541" s="429"/>
      <c r="J541" s="429"/>
      <c r="K541" s="429"/>
      <c r="L541" s="429"/>
      <c r="M541" s="429"/>
      <c r="N541" s="429"/>
      <c r="O541" s="429"/>
      <c r="P541" s="429"/>
      <c r="Q541" s="429"/>
      <c r="R541" s="429"/>
      <c r="S541" s="429">
        <f>F541</f>
        <v>50</v>
      </c>
      <c r="T541" s="429"/>
      <c r="U541" s="429"/>
      <c r="V541" s="429"/>
      <c r="W541" s="429"/>
      <c r="X541" s="429"/>
      <c r="Y541" s="429"/>
      <c r="Z541" s="429"/>
      <c r="AA541" s="429"/>
      <c r="AB541" s="429"/>
      <c r="AC541" s="429"/>
      <c r="AD541" s="429"/>
      <c r="AE541" s="429"/>
      <c r="AF541" s="429"/>
      <c r="AG541" s="429"/>
      <c r="AH541" s="429"/>
      <c r="AI541" s="429"/>
      <c r="AJ541" s="429"/>
      <c r="AK541" s="429"/>
      <c r="AL541" s="429"/>
      <c r="AM541" s="429"/>
      <c r="AN541" s="429"/>
      <c r="AO541" s="429"/>
      <c r="AP541" s="429"/>
      <c r="AQ541" s="429"/>
      <c r="AR541" s="429"/>
      <c r="AS541" s="429"/>
      <c r="AT541" s="429"/>
      <c r="AU541" s="429"/>
      <c r="AV541" s="429"/>
      <c r="AW541" s="429"/>
      <c r="AX541" s="429"/>
      <c r="AY541" s="429"/>
      <c r="AZ541" s="429"/>
      <c r="BA541" s="429"/>
      <c r="BB541" s="429"/>
      <c r="BC541" s="429"/>
      <c r="BD541" s="429"/>
      <c r="BE541" s="429"/>
      <c r="BF541" s="429"/>
      <c r="BG541" s="429"/>
      <c r="BH541" s="429"/>
      <c r="BI541" s="429"/>
      <c r="BJ541" s="429"/>
      <c r="BK541" s="429"/>
      <c r="BL541" s="429"/>
      <c r="BM541" s="429"/>
      <c r="BN541" s="429"/>
      <c r="BO541" s="429"/>
      <c r="BP541" s="102"/>
      <c r="BQ541" s="102">
        <v>4.792</v>
      </c>
      <c r="BR541" s="451">
        <f t="shared" si="49"/>
        <v>239.6</v>
      </c>
      <c r="BS541" s="451">
        <f t="shared" ref="BS541:BS590" si="50">BR541*7.75</f>
        <v>1856.9</v>
      </c>
      <c r="BT541" s="429" t="str">
        <f>IFERROR(VLOOKUP(E541,名称!A:D,4,FALSE),"")</f>
        <v>KIK</v>
      </c>
    </row>
    <row r="542" s="427" customFormat="1" hidden="1" customHeight="1" spans="1:72">
      <c r="A542" s="93">
        <v>46120</v>
      </c>
      <c r="B542" s="95" t="s">
        <v>237</v>
      </c>
      <c r="C542" s="96">
        <v>10124242</v>
      </c>
      <c r="D542" s="96" t="s">
        <v>285</v>
      </c>
      <c r="E542" s="97" t="s">
        <v>39</v>
      </c>
      <c r="F542" s="99">
        <v>32</v>
      </c>
      <c r="G542" s="93">
        <v>46176</v>
      </c>
      <c r="H542" s="429"/>
      <c r="I542" s="429"/>
      <c r="J542" s="429"/>
      <c r="K542" s="429"/>
      <c r="L542" s="429"/>
      <c r="M542" s="429"/>
      <c r="N542" s="429"/>
      <c r="O542" s="429"/>
      <c r="P542" s="429"/>
      <c r="Q542" s="429"/>
      <c r="R542" s="429"/>
      <c r="S542" s="429"/>
      <c r="T542" s="429"/>
      <c r="U542" s="429"/>
      <c r="V542" s="429"/>
      <c r="W542" s="429">
        <f>F542</f>
        <v>32</v>
      </c>
      <c r="X542" s="429"/>
      <c r="Y542" s="429"/>
      <c r="Z542" s="429"/>
      <c r="AA542" s="429"/>
      <c r="AB542" s="429"/>
      <c r="AC542" s="429"/>
      <c r="AD542" s="429"/>
      <c r="AE542" s="429"/>
      <c r="AF542" s="429"/>
      <c r="AG542" s="429"/>
      <c r="AH542" s="429"/>
      <c r="AI542" s="429"/>
      <c r="AJ542" s="429"/>
      <c r="AK542" s="429"/>
      <c r="AL542" s="429"/>
      <c r="AM542" s="429"/>
      <c r="AN542" s="429"/>
      <c r="AO542" s="429"/>
      <c r="AP542" s="429"/>
      <c r="AQ542" s="429"/>
      <c r="AR542" s="429"/>
      <c r="AS542" s="429"/>
      <c r="AT542" s="429"/>
      <c r="AU542" s="429"/>
      <c r="AV542" s="429"/>
      <c r="AW542" s="429"/>
      <c r="AX542" s="429"/>
      <c r="AY542" s="429"/>
      <c r="AZ542" s="429"/>
      <c r="BA542" s="429"/>
      <c r="BB542" s="429"/>
      <c r="BC542" s="429"/>
      <c r="BD542" s="429"/>
      <c r="BE542" s="429"/>
      <c r="BF542" s="429"/>
      <c r="BG542" s="429"/>
      <c r="BH542" s="429"/>
      <c r="BI542" s="429"/>
      <c r="BJ542" s="429"/>
      <c r="BK542" s="429"/>
      <c r="BL542" s="429"/>
      <c r="BM542" s="429"/>
      <c r="BN542" s="429"/>
      <c r="BO542" s="429"/>
      <c r="BP542" s="102"/>
      <c r="BQ542" s="102">
        <v>30.536</v>
      </c>
      <c r="BR542" s="451">
        <f t="shared" si="49"/>
        <v>977.15</v>
      </c>
      <c r="BS542" s="451">
        <f t="shared" si="50"/>
        <v>7572.91</v>
      </c>
      <c r="BT542" s="429" t="str">
        <f>IFERROR(VLOOKUP(E542,名称!A:D,4,FALSE),"")</f>
        <v>KIK</v>
      </c>
    </row>
    <row r="543" s="427" customFormat="1" hidden="1" customHeight="1" spans="1:72">
      <c r="A543" s="93">
        <v>46120</v>
      </c>
      <c r="B543" s="95" t="s">
        <v>237</v>
      </c>
      <c r="C543" s="96">
        <v>10124242</v>
      </c>
      <c r="D543" s="96" t="s">
        <v>285</v>
      </c>
      <c r="E543" s="97" t="s">
        <v>118</v>
      </c>
      <c r="F543" s="99">
        <v>156</v>
      </c>
      <c r="G543" s="93">
        <v>46176</v>
      </c>
      <c r="H543" s="429"/>
      <c r="I543" s="429"/>
      <c r="J543" s="429"/>
      <c r="K543" s="429"/>
      <c r="L543" s="429"/>
      <c r="M543" s="429"/>
      <c r="N543" s="429"/>
      <c r="O543" s="429"/>
      <c r="P543" s="429"/>
      <c r="Q543" s="429"/>
      <c r="R543" s="429"/>
      <c r="S543" s="429"/>
      <c r="T543" s="429"/>
      <c r="U543" s="429"/>
      <c r="V543" s="429"/>
      <c r="W543" s="429"/>
      <c r="X543" s="429"/>
      <c r="Y543" s="429"/>
      <c r="Z543" s="429"/>
      <c r="AA543" s="429"/>
      <c r="AB543" s="429"/>
      <c r="AC543" s="429"/>
      <c r="AD543" s="429"/>
      <c r="AE543" s="429"/>
      <c r="AF543" s="429"/>
      <c r="AG543" s="429"/>
      <c r="AH543" s="429"/>
      <c r="AI543" s="429"/>
      <c r="AJ543" s="429"/>
      <c r="AK543" s="429"/>
      <c r="AL543" s="429"/>
      <c r="AM543" s="429"/>
      <c r="AN543" s="429"/>
      <c r="AO543" s="429"/>
      <c r="AP543" s="429"/>
      <c r="AQ543" s="429">
        <f>F543</f>
        <v>156</v>
      </c>
      <c r="AR543" s="429"/>
      <c r="AS543" s="429"/>
      <c r="AT543" s="429"/>
      <c r="AU543" s="429"/>
      <c r="AV543" s="429"/>
      <c r="AW543" s="429"/>
      <c r="AX543" s="429"/>
      <c r="AY543" s="429"/>
      <c r="AZ543" s="429"/>
      <c r="BA543" s="429"/>
      <c r="BB543" s="429"/>
      <c r="BC543" s="429"/>
      <c r="BD543" s="429"/>
      <c r="BE543" s="429"/>
      <c r="BF543" s="429"/>
      <c r="BG543" s="429"/>
      <c r="BH543" s="429"/>
      <c r="BI543" s="429"/>
      <c r="BJ543" s="429"/>
      <c r="BK543" s="429"/>
      <c r="BL543" s="429"/>
      <c r="BM543" s="429"/>
      <c r="BN543" s="429"/>
      <c r="BO543" s="429"/>
      <c r="BP543" s="102"/>
      <c r="BQ543" s="102">
        <v>16.71</v>
      </c>
      <c r="BR543" s="451">
        <f t="shared" si="49"/>
        <v>2606.76</v>
      </c>
      <c r="BS543" s="451">
        <f t="shared" si="50"/>
        <v>20202.39</v>
      </c>
      <c r="BT543" s="429" t="str">
        <f>IFERROR(VLOOKUP(E543,名称!A:D,4,FALSE),"")</f>
        <v>KIK</v>
      </c>
    </row>
    <row r="544" s="427" customFormat="1" hidden="1" customHeight="1" spans="1:72">
      <c r="A544" s="93">
        <v>46120</v>
      </c>
      <c r="B544" s="95" t="s">
        <v>237</v>
      </c>
      <c r="C544" s="96">
        <v>10124242</v>
      </c>
      <c r="D544" s="96" t="s">
        <v>285</v>
      </c>
      <c r="E544" s="97" t="s">
        <v>109</v>
      </c>
      <c r="F544" s="99">
        <v>104</v>
      </c>
      <c r="G544" s="93">
        <v>46176</v>
      </c>
      <c r="H544" s="429"/>
      <c r="I544" s="429"/>
      <c r="J544" s="429"/>
      <c r="K544" s="429"/>
      <c r="L544" s="429"/>
      <c r="M544" s="429"/>
      <c r="N544" s="429"/>
      <c r="O544" s="429"/>
      <c r="P544" s="429"/>
      <c r="Q544" s="429"/>
      <c r="R544" s="429"/>
      <c r="S544" s="429"/>
      <c r="T544" s="429"/>
      <c r="U544" s="429"/>
      <c r="V544" s="429"/>
      <c r="W544" s="429"/>
      <c r="X544" s="429"/>
      <c r="Y544" s="429"/>
      <c r="Z544" s="429"/>
      <c r="AA544" s="429"/>
      <c r="AB544" s="429"/>
      <c r="AC544" s="429"/>
      <c r="AD544" s="429"/>
      <c r="AE544" s="429"/>
      <c r="AF544" s="429"/>
      <c r="AG544" s="429"/>
      <c r="AH544" s="429"/>
      <c r="AI544" s="429"/>
      <c r="AJ544" s="429"/>
      <c r="AK544" s="429"/>
      <c r="AL544" s="429">
        <f>F544</f>
        <v>104</v>
      </c>
      <c r="AM544" s="429"/>
      <c r="AN544" s="429"/>
      <c r="AO544" s="429"/>
      <c r="AP544" s="429"/>
      <c r="AQ544" s="429"/>
      <c r="AR544" s="429"/>
      <c r="AS544" s="429"/>
      <c r="AT544" s="429"/>
      <c r="AU544" s="429"/>
      <c r="AV544" s="429"/>
      <c r="AW544" s="429"/>
      <c r="AX544" s="429"/>
      <c r="AY544" s="429"/>
      <c r="AZ544" s="429"/>
      <c r="BA544" s="429"/>
      <c r="BB544" s="429"/>
      <c r="BC544" s="429"/>
      <c r="BD544" s="429"/>
      <c r="BE544" s="429"/>
      <c r="BF544" s="429"/>
      <c r="BG544" s="429"/>
      <c r="BH544" s="429"/>
      <c r="BI544" s="429"/>
      <c r="BJ544" s="429"/>
      <c r="BK544" s="429"/>
      <c r="BL544" s="429"/>
      <c r="BM544" s="429"/>
      <c r="BN544" s="429"/>
      <c r="BO544" s="429"/>
      <c r="BP544" s="102"/>
      <c r="BQ544" s="102">
        <v>3.886</v>
      </c>
      <c r="BR544" s="451">
        <f t="shared" si="49"/>
        <v>404.14</v>
      </c>
      <c r="BS544" s="451">
        <f t="shared" si="50"/>
        <v>3132.09</v>
      </c>
      <c r="BT544" s="429" t="str">
        <f>IFERROR(VLOOKUP(E544,名称!A:D,4,FALSE),"")</f>
        <v>KIK</v>
      </c>
    </row>
    <row r="545" s="427" customFormat="1" hidden="1" customHeight="1" spans="1:72">
      <c r="A545" s="93">
        <v>46120</v>
      </c>
      <c r="B545" s="95" t="s">
        <v>237</v>
      </c>
      <c r="C545" s="96">
        <v>10124242</v>
      </c>
      <c r="D545" s="96" t="s">
        <v>285</v>
      </c>
      <c r="E545" s="97" t="s">
        <v>111</v>
      </c>
      <c r="F545" s="99">
        <v>260</v>
      </c>
      <c r="G545" s="93">
        <v>46176</v>
      </c>
      <c r="H545" s="429"/>
      <c r="I545" s="429"/>
      <c r="J545" s="429"/>
      <c r="K545" s="429"/>
      <c r="L545" s="429"/>
      <c r="M545" s="429"/>
      <c r="N545" s="429"/>
      <c r="O545" s="429"/>
      <c r="P545" s="429"/>
      <c r="Q545" s="429"/>
      <c r="R545" s="429"/>
      <c r="S545" s="429"/>
      <c r="T545" s="429"/>
      <c r="U545" s="429"/>
      <c r="V545" s="429"/>
      <c r="W545" s="429"/>
      <c r="X545" s="429"/>
      <c r="Y545" s="429"/>
      <c r="Z545" s="429"/>
      <c r="AA545" s="429"/>
      <c r="AB545" s="429"/>
      <c r="AC545" s="429"/>
      <c r="AD545" s="429"/>
      <c r="AE545" s="429"/>
      <c r="AF545" s="429"/>
      <c r="AG545" s="429"/>
      <c r="AH545" s="429"/>
      <c r="AI545" s="429"/>
      <c r="AJ545" s="429"/>
      <c r="AK545" s="429"/>
      <c r="AL545" s="429"/>
      <c r="AM545" s="429">
        <f>F545</f>
        <v>260</v>
      </c>
      <c r="AN545" s="429"/>
      <c r="AO545" s="429"/>
      <c r="AP545" s="429"/>
      <c r="AQ545" s="429"/>
      <c r="AR545" s="429"/>
      <c r="AS545" s="429"/>
      <c r="AT545" s="429"/>
      <c r="AU545" s="429"/>
      <c r="AV545" s="429"/>
      <c r="AW545" s="429"/>
      <c r="AX545" s="429"/>
      <c r="AY545" s="429"/>
      <c r="AZ545" s="429"/>
      <c r="BA545" s="429"/>
      <c r="BB545" s="429"/>
      <c r="BC545" s="429"/>
      <c r="BD545" s="429"/>
      <c r="BE545" s="429"/>
      <c r="BF545" s="429"/>
      <c r="BG545" s="429"/>
      <c r="BH545" s="429"/>
      <c r="BI545" s="429"/>
      <c r="BJ545" s="429"/>
      <c r="BK545" s="429"/>
      <c r="BL545" s="429"/>
      <c r="BM545" s="429"/>
      <c r="BN545" s="429"/>
      <c r="BO545" s="429"/>
      <c r="BP545" s="102"/>
      <c r="BQ545" s="102">
        <v>3.816</v>
      </c>
      <c r="BR545" s="451">
        <f t="shared" si="49"/>
        <v>992.16</v>
      </c>
      <c r="BS545" s="451">
        <f t="shared" si="50"/>
        <v>7689.24</v>
      </c>
      <c r="BT545" s="429" t="str">
        <f>IFERROR(VLOOKUP(E545,名称!A:D,4,FALSE),"")</f>
        <v>KIK</v>
      </c>
    </row>
    <row r="546" s="427" customFormat="1" hidden="1" customHeight="1" spans="1:72">
      <c r="A546" s="93">
        <v>46120</v>
      </c>
      <c r="B546" s="95" t="s">
        <v>237</v>
      </c>
      <c r="C546" s="96">
        <v>10124245</v>
      </c>
      <c r="D546" s="96" t="s">
        <v>286</v>
      </c>
      <c r="E546" s="97" t="s">
        <v>29</v>
      </c>
      <c r="F546" s="99">
        <v>24</v>
      </c>
      <c r="G546" s="93">
        <v>46176</v>
      </c>
      <c r="H546" s="429"/>
      <c r="I546" s="429"/>
      <c r="J546" s="429">
        <f>F546</f>
        <v>24</v>
      </c>
      <c r="K546" s="429"/>
      <c r="L546" s="429"/>
      <c r="M546" s="429"/>
      <c r="N546" s="429"/>
      <c r="O546" s="429"/>
      <c r="P546" s="429"/>
      <c r="Q546" s="429"/>
      <c r="R546" s="429"/>
      <c r="S546" s="429"/>
      <c r="T546" s="429"/>
      <c r="U546" s="429"/>
      <c r="V546" s="429"/>
      <c r="W546" s="429"/>
      <c r="X546" s="429"/>
      <c r="Y546" s="429"/>
      <c r="Z546" s="429"/>
      <c r="AA546" s="429"/>
      <c r="AB546" s="429"/>
      <c r="AC546" s="429"/>
      <c r="AD546" s="429"/>
      <c r="AE546" s="429"/>
      <c r="AF546" s="429"/>
      <c r="AG546" s="429"/>
      <c r="AH546" s="429"/>
      <c r="AI546" s="429"/>
      <c r="AJ546" s="429"/>
      <c r="AK546" s="429"/>
      <c r="AL546" s="429"/>
      <c r="AM546" s="429"/>
      <c r="AN546" s="429"/>
      <c r="AO546" s="429"/>
      <c r="AP546" s="429"/>
      <c r="AQ546" s="429"/>
      <c r="AR546" s="429"/>
      <c r="AS546" s="429"/>
      <c r="AT546" s="429"/>
      <c r="AU546" s="429"/>
      <c r="AV546" s="429"/>
      <c r="AW546" s="429"/>
      <c r="AX546" s="429"/>
      <c r="AY546" s="429"/>
      <c r="AZ546" s="429"/>
      <c r="BA546" s="429"/>
      <c r="BB546" s="429"/>
      <c r="BC546" s="429"/>
      <c r="BD546" s="429"/>
      <c r="BE546" s="429"/>
      <c r="BF546" s="429"/>
      <c r="BG546" s="429"/>
      <c r="BH546" s="429"/>
      <c r="BI546" s="429"/>
      <c r="BJ546" s="429"/>
      <c r="BK546" s="429"/>
      <c r="BL546" s="429"/>
      <c r="BM546" s="429"/>
      <c r="BN546" s="429"/>
      <c r="BO546" s="429"/>
      <c r="BP546" s="102"/>
      <c r="BQ546" s="102">
        <v>21.801</v>
      </c>
      <c r="BR546" s="451">
        <f t="shared" si="49"/>
        <v>523.22</v>
      </c>
      <c r="BS546" s="451">
        <f t="shared" si="50"/>
        <v>4054.96</v>
      </c>
      <c r="BT546" s="429" t="str">
        <f>IFERROR(VLOOKUP(E546,名称!A:D,4,FALSE),"")</f>
        <v>KIK</v>
      </c>
    </row>
    <row r="547" s="427" customFormat="1" hidden="1" customHeight="1" spans="1:72">
      <c r="A547" s="93">
        <v>46120</v>
      </c>
      <c r="B547" s="95" t="s">
        <v>237</v>
      </c>
      <c r="C547" s="96">
        <v>10124245</v>
      </c>
      <c r="D547" s="96" t="s">
        <v>286</v>
      </c>
      <c r="E547" s="97" t="s">
        <v>35</v>
      </c>
      <c r="F547" s="99">
        <v>74</v>
      </c>
      <c r="G547" s="93">
        <v>46176</v>
      </c>
      <c r="H547" s="429"/>
      <c r="I547" s="429"/>
      <c r="J547" s="429"/>
      <c r="K547" s="429"/>
      <c r="L547" s="429"/>
      <c r="M547" s="429"/>
      <c r="N547" s="429"/>
      <c r="O547" s="429"/>
      <c r="P547" s="429"/>
      <c r="Q547" s="429"/>
      <c r="R547" s="429"/>
      <c r="S547" s="429"/>
      <c r="T547" s="429"/>
      <c r="U547" s="429"/>
      <c r="V547" s="429"/>
      <c r="W547" s="429"/>
      <c r="X547" s="429"/>
      <c r="Y547" s="429">
        <f>F547</f>
        <v>74</v>
      </c>
      <c r="Z547" s="429"/>
      <c r="AA547" s="429"/>
      <c r="AB547" s="429"/>
      <c r="AC547" s="429"/>
      <c r="AD547" s="429"/>
      <c r="AE547" s="429"/>
      <c r="AF547" s="429"/>
      <c r="AG547" s="429"/>
      <c r="AH547" s="429"/>
      <c r="AI547" s="429"/>
      <c r="AJ547" s="429"/>
      <c r="AK547" s="429"/>
      <c r="AL547" s="429"/>
      <c r="AM547" s="429"/>
      <c r="AN547" s="429"/>
      <c r="AO547" s="429"/>
      <c r="AP547" s="429"/>
      <c r="AQ547" s="429"/>
      <c r="AR547" s="429"/>
      <c r="AS547" s="429"/>
      <c r="AT547" s="429"/>
      <c r="AU547" s="429"/>
      <c r="AV547" s="429"/>
      <c r="AW547" s="429"/>
      <c r="AX547" s="429"/>
      <c r="AY547" s="429"/>
      <c r="AZ547" s="429"/>
      <c r="BA547" s="429"/>
      <c r="BB547" s="429"/>
      <c r="BC547" s="429"/>
      <c r="BD547" s="429"/>
      <c r="BE547" s="429"/>
      <c r="BF547" s="429"/>
      <c r="BG547" s="429"/>
      <c r="BH547" s="429"/>
      <c r="BI547" s="429"/>
      <c r="BJ547" s="429"/>
      <c r="BK547" s="429"/>
      <c r="BL547" s="429"/>
      <c r="BM547" s="429"/>
      <c r="BN547" s="429"/>
      <c r="BO547" s="429"/>
      <c r="BP547" s="102"/>
      <c r="BQ547" s="102">
        <v>22.9</v>
      </c>
      <c r="BR547" s="451">
        <f t="shared" si="49"/>
        <v>1694.6</v>
      </c>
      <c r="BS547" s="451">
        <f t="shared" si="50"/>
        <v>13133.15</v>
      </c>
      <c r="BT547" s="429" t="str">
        <f>IFERROR(VLOOKUP(E547,名称!A:D,4,FALSE),"")</f>
        <v>KIK</v>
      </c>
    </row>
    <row r="548" s="427" customFormat="1" hidden="1" customHeight="1" spans="1:72">
      <c r="A548" s="93">
        <v>46120</v>
      </c>
      <c r="B548" s="95" t="s">
        <v>237</v>
      </c>
      <c r="C548" s="96">
        <v>10124245</v>
      </c>
      <c r="D548" s="96" t="s">
        <v>286</v>
      </c>
      <c r="E548" s="97" t="s">
        <v>158</v>
      </c>
      <c r="F548" s="99">
        <v>66</v>
      </c>
      <c r="G548" s="93">
        <v>46176</v>
      </c>
      <c r="H548" s="429"/>
      <c r="I548" s="429"/>
      <c r="J548" s="429"/>
      <c r="K548" s="429"/>
      <c r="L548" s="429"/>
      <c r="M548" s="429"/>
      <c r="N548" s="429"/>
      <c r="O548" s="429"/>
      <c r="P548" s="429"/>
      <c r="Q548" s="429"/>
      <c r="R548" s="429"/>
      <c r="S548" s="429">
        <f>F548</f>
        <v>66</v>
      </c>
      <c r="T548" s="429"/>
      <c r="U548" s="429"/>
      <c r="V548" s="429"/>
      <c r="W548" s="429"/>
      <c r="X548" s="429"/>
      <c r="Y548" s="429"/>
      <c r="Z548" s="429"/>
      <c r="AA548" s="429"/>
      <c r="AB548" s="429"/>
      <c r="AC548" s="429"/>
      <c r="AD548" s="429"/>
      <c r="AE548" s="429"/>
      <c r="AF548" s="429"/>
      <c r="AG548" s="429"/>
      <c r="AH548" s="429"/>
      <c r="AI548" s="429"/>
      <c r="AJ548" s="429"/>
      <c r="AK548" s="429"/>
      <c r="AL548" s="429"/>
      <c r="AM548" s="429"/>
      <c r="AN548" s="429"/>
      <c r="AO548" s="429"/>
      <c r="AP548" s="429"/>
      <c r="AQ548" s="429"/>
      <c r="AR548" s="429"/>
      <c r="AS548" s="429"/>
      <c r="AT548" s="429"/>
      <c r="AU548" s="429"/>
      <c r="AV548" s="429"/>
      <c r="AW548" s="429"/>
      <c r="AX548" s="429"/>
      <c r="AY548" s="429"/>
      <c r="AZ548" s="429"/>
      <c r="BA548" s="429"/>
      <c r="BB548" s="429"/>
      <c r="BC548" s="429"/>
      <c r="BD548" s="429"/>
      <c r="BE548" s="429"/>
      <c r="BF548" s="429"/>
      <c r="BG548" s="429"/>
      <c r="BH548" s="429"/>
      <c r="BI548" s="429"/>
      <c r="BJ548" s="429"/>
      <c r="BK548" s="429"/>
      <c r="BL548" s="429"/>
      <c r="BM548" s="429"/>
      <c r="BN548" s="429"/>
      <c r="BO548" s="429"/>
      <c r="BP548" s="102"/>
      <c r="BQ548" s="102">
        <v>4.792</v>
      </c>
      <c r="BR548" s="451">
        <f t="shared" si="49"/>
        <v>316.27</v>
      </c>
      <c r="BS548" s="451">
        <f t="shared" si="50"/>
        <v>2451.09</v>
      </c>
      <c r="BT548" s="429" t="str">
        <f>IFERROR(VLOOKUP(E548,名称!A:D,4,FALSE),"")</f>
        <v>KIK</v>
      </c>
    </row>
    <row r="549" s="427" customFormat="1" hidden="1" customHeight="1" spans="1:72">
      <c r="A549" s="93">
        <v>46120</v>
      </c>
      <c r="B549" s="95" t="s">
        <v>237</v>
      </c>
      <c r="C549" s="96">
        <v>10124245</v>
      </c>
      <c r="D549" s="96" t="s">
        <v>286</v>
      </c>
      <c r="E549" s="97" t="s">
        <v>39</v>
      </c>
      <c r="F549" s="99">
        <v>48</v>
      </c>
      <c r="G549" s="93">
        <v>46176</v>
      </c>
      <c r="H549" s="429"/>
      <c r="I549" s="429"/>
      <c r="J549" s="429"/>
      <c r="K549" s="429"/>
      <c r="L549" s="429"/>
      <c r="M549" s="429"/>
      <c r="N549" s="429"/>
      <c r="O549" s="429"/>
      <c r="P549" s="429"/>
      <c r="Q549" s="429"/>
      <c r="R549" s="429"/>
      <c r="S549" s="429"/>
      <c r="T549" s="429"/>
      <c r="U549" s="429"/>
      <c r="V549" s="429"/>
      <c r="W549" s="429">
        <f>F549</f>
        <v>48</v>
      </c>
      <c r="X549" s="429"/>
      <c r="Y549" s="429"/>
      <c r="Z549" s="429"/>
      <c r="AA549" s="429"/>
      <c r="AB549" s="429"/>
      <c r="AC549" s="429"/>
      <c r="AD549" s="429"/>
      <c r="AE549" s="429"/>
      <c r="AF549" s="429"/>
      <c r="AG549" s="429"/>
      <c r="AH549" s="429"/>
      <c r="AI549" s="429"/>
      <c r="AJ549" s="429"/>
      <c r="AK549" s="429"/>
      <c r="AL549" s="429"/>
      <c r="AM549" s="429"/>
      <c r="AN549" s="429"/>
      <c r="AO549" s="429"/>
      <c r="AP549" s="429"/>
      <c r="AQ549" s="429"/>
      <c r="AR549" s="429"/>
      <c r="AS549" s="429"/>
      <c r="AT549" s="429"/>
      <c r="AU549" s="429"/>
      <c r="AV549" s="429"/>
      <c r="AW549" s="429"/>
      <c r="AX549" s="429"/>
      <c r="AY549" s="429"/>
      <c r="AZ549" s="429"/>
      <c r="BA549" s="429"/>
      <c r="BB549" s="429"/>
      <c r="BC549" s="429"/>
      <c r="BD549" s="429"/>
      <c r="BE549" s="429"/>
      <c r="BF549" s="429"/>
      <c r="BG549" s="429"/>
      <c r="BH549" s="429"/>
      <c r="BI549" s="429"/>
      <c r="BJ549" s="429"/>
      <c r="BK549" s="429"/>
      <c r="BL549" s="429"/>
      <c r="BM549" s="429"/>
      <c r="BN549" s="429"/>
      <c r="BO549" s="429"/>
      <c r="BP549" s="102"/>
      <c r="BQ549" s="102">
        <v>30.536</v>
      </c>
      <c r="BR549" s="451">
        <f t="shared" si="49"/>
        <v>1465.73</v>
      </c>
      <c r="BS549" s="451">
        <f t="shared" si="50"/>
        <v>11359.41</v>
      </c>
      <c r="BT549" s="429" t="str">
        <f>IFERROR(VLOOKUP(E549,名称!A:D,4,FALSE),"")</f>
        <v>KIK</v>
      </c>
    </row>
    <row r="550" s="427" customFormat="1" hidden="1" customHeight="1" spans="1:72">
      <c r="A550" s="93">
        <v>46120</v>
      </c>
      <c r="B550" s="95" t="s">
        <v>237</v>
      </c>
      <c r="C550" s="96">
        <v>10124245</v>
      </c>
      <c r="D550" s="96" t="s">
        <v>286</v>
      </c>
      <c r="E550" s="97" t="s">
        <v>118</v>
      </c>
      <c r="F550" s="99">
        <v>116</v>
      </c>
      <c r="G550" s="93">
        <v>46176</v>
      </c>
      <c r="H550" s="429"/>
      <c r="I550" s="429"/>
      <c r="J550" s="429"/>
      <c r="K550" s="429"/>
      <c r="L550" s="429"/>
      <c r="M550" s="429"/>
      <c r="N550" s="429"/>
      <c r="O550" s="429"/>
      <c r="P550" s="429"/>
      <c r="Q550" s="429"/>
      <c r="R550" s="429"/>
      <c r="S550" s="429"/>
      <c r="T550" s="429"/>
      <c r="U550" s="429"/>
      <c r="V550" s="429"/>
      <c r="W550" s="429"/>
      <c r="X550" s="429"/>
      <c r="Y550" s="429"/>
      <c r="Z550" s="429"/>
      <c r="AA550" s="429"/>
      <c r="AB550" s="429"/>
      <c r="AC550" s="429"/>
      <c r="AD550" s="429"/>
      <c r="AE550" s="429"/>
      <c r="AF550" s="429"/>
      <c r="AG550" s="429"/>
      <c r="AH550" s="429"/>
      <c r="AI550" s="429"/>
      <c r="AJ550" s="429"/>
      <c r="AK550" s="429"/>
      <c r="AL550" s="429"/>
      <c r="AM550" s="429"/>
      <c r="AN550" s="429"/>
      <c r="AO550" s="429"/>
      <c r="AP550" s="429"/>
      <c r="AQ550" s="429">
        <f>F550</f>
        <v>116</v>
      </c>
      <c r="AR550" s="429"/>
      <c r="AS550" s="429"/>
      <c r="AT550" s="429"/>
      <c r="AU550" s="429"/>
      <c r="AV550" s="429"/>
      <c r="AW550" s="429"/>
      <c r="AX550" s="429"/>
      <c r="AY550" s="429"/>
      <c r="AZ550" s="429"/>
      <c r="BA550" s="429"/>
      <c r="BB550" s="429"/>
      <c r="BC550" s="429"/>
      <c r="BD550" s="429"/>
      <c r="BE550" s="429"/>
      <c r="BF550" s="429"/>
      <c r="BG550" s="429"/>
      <c r="BH550" s="429"/>
      <c r="BI550" s="429"/>
      <c r="BJ550" s="429"/>
      <c r="BK550" s="429"/>
      <c r="BL550" s="429"/>
      <c r="BM550" s="429"/>
      <c r="BN550" s="429"/>
      <c r="BO550" s="429"/>
      <c r="BP550" s="102"/>
      <c r="BQ550" s="102">
        <v>16.71</v>
      </c>
      <c r="BR550" s="451">
        <f t="shared" si="49"/>
        <v>1938.36</v>
      </c>
      <c r="BS550" s="451">
        <f t="shared" si="50"/>
        <v>15022.29</v>
      </c>
      <c r="BT550" s="429" t="str">
        <f>IFERROR(VLOOKUP(E550,名称!A:D,4,FALSE),"")</f>
        <v>KIK</v>
      </c>
    </row>
    <row r="551" s="427" customFormat="1" hidden="1" customHeight="1" spans="1:72">
      <c r="A551" s="93">
        <v>46120</v>
      </c>
      <c r="B551" s="95" t="s">
        <v>237</v>
      </c>
      <c r="C551" s="96">
        <v>10124245</v>
      </c>
      <c r="D551" s="96" t="s">
        <v>286</v>
      </c>
      <c r="E551" s="97" t="s">
        <v>109</v>
      </c>
      <c r="F551" s="99">
        <v>80</v>
      </c>
      <c r="G551" s="93">
        <v>46176</v>
      </c>
      <c r="H551" s="429"/>
      <c r="I551" s="429"/>
      <c r="J551" s="429"/>
      <c r="K551" s="429"/>
      <c r="L551" s="429"/>
      <c r="M551" s="429"/>
      <c r="N551" s="429"/>
      <c r="O551" s="429"/>
      <c r="P551" s="429"/>
      <c r="Q551" s="429"/>
      <c r="R551" s="429"/>
      <c r="S551" s="429"/>
      <c r="T551" s="429"/>
      <c r="U551" s="429"/>
      <c r="V551" s="429"/>
      <c r="W551" s="429"/>
      <c r="X551" s="429"/>
      <c r="Y551" s="429"/>
      <c r="Z551" s="429"/>
      <c r="AA551" s="429"/>
      <c r="AB551" s="429"/>
      <c r="AC551" s="429"/>
      <c r="AD551" s="429"/>
      <c r="AE551" s="429"/>
      <c r="AF551" s="429"/>
      <c r="AG551" s="429"/>
      <c r="AH551" s="429"/>
      <c r="AI551" s="429"/>
      <c r="AJ551" s="429"/>
      <c r="AK551" s="429"/>
      <c r="AL551" s="429">
        <f>F551</f>
        <v>80</v>
      </c>
      <c r="AM551" s="429"/>
      <c r="AN551" s="429"/>
      <c r="AO551" s="429"/>
      <c r="AP551" s="429"/>
      <c r="AQ551" s="429"/>
      <c r="AR551" s="429"/>
      <c r="AS551" s="429"/>
      <c r="AT551" s="429"/>
      <c r="AU551" s="429"/>
      <c r="AV551" s="429"/>
      <c r="AW551" s="429"/>
      <c r="AX551" s="429"/>
      <c r="AY551" s="429"/>
      <c r="AZ551" s="429"/>
      <c r="BA551" s="429"/>
      <c r="BB551" s="429"/>
      <c r="BC551" s="429"/>
      <c r="BD551" s="429"/>
      <c r="BE551" s="429"/>
      <c r="BF551" s="429"/>
      <c r="BG551" s="429"/>
      <c r="BH551" s="429"/>
      <c r="BI551" s="429"/>
      <c r="BJ551" s="429"/>
      <c r="BK551" s="429"/>
      <c r="BL551" s="429"/>
      <c r="BM551" s="429"/>
      <c r="BN551" s="429"/>
      <c r="BO551" s="429"/>
      <c r="BP551" s="102"/>
      <c r="BQ551" s="102">
        <v>3.886</v>
      </c>
      <c r="BR551" s="451">
        <f t="shared" si="49"/>
        <v>310.88</v>
      </c>
      <c r="BS551" s="451">
        <f t="shared" si="50"/>
        <v>2409.32</v>
      </c>
      <c r="BT551" s="429" t="str">
        <f>IFERROR(VLOOKUP(E551,名称!A:D,4,FALSE),"")</f>
        <v>KIK</v>
      </c>
    </row>
    <row r="552" s="427" customFormat="1" hidden="1" customHeight="1" spans="1:72">
      <c r="A552" s="93">
        <v>46120</v>
      </c>
      <c r="B552" s="95" t="s">
        <v>237</v>
      </c>
      <c r="C552" s="96">
        <v>10124245</v>
      </c>
      <c r="D552" s="96" t="s">
        <v>286</v>
      </c>
      <c r="E552" s="97" t="s">
        <v>111</v>
      </c>
      <c r="F552" s="99">
        <v>200</v>
      </c>
      <c r="G552" s="93">
        <v>46176</v>
      </c>
      <c r="H552" s="429"/>
      <c r="I552" s="429"/>
      <c r="J552" s="429"/>
      <c r="K552" s="429"/>
      <c r="L552" s="429"/>
      <c r="M552" s="429"/>
      <c r="N552" s="429"/>
      <c r="O552" s="429"/>
      <c r="P552" s="429"/>
      <c r="Q552" s="429"/>
      <c r="R552" s="429"/>
      <c r="S552" s="429"/>
      <c r="T552" s="429"/>
      <c r="U552" s="429"/>
      <c r="V552" s="429"/>
      <c r="W552" s="429"/>
      <c r="X552" s="429"/>
      <c r="Y552" s="429"/>
      <c r="Z552" s="429"/>
      <c r="AA552" s="429"/>
      <c r="AB552" s="429"/>
      <c r="AC552" s="429"/>
      <c r="AD552" s="429"/>
      <c r="AE552" s="429"/>
      <c r="AF552" s="429"/>
      <c r="AG552" s="429"/>
      <c r="AH552" s="429"/>
      <c r="AI552" s="429"/>
      <c r="AJ552" s="429"/>
      <c r="AK552" s="429"/>
      <c r="AL552" s="429"/>
      <c r="AM552" s="429">
        <f>F552</f>
        <v>200</v>
      </c>
      <c r="AN552" s="429"/>
      <c r="AO552" s="429"/>
      <c r="AP552" s="429"/>
      <c r="AQ552" s="429"/>
      <c r="AR552" s="429"/>
      <c r="AS552" s="429"/>
      <c r="AT552" s="429"/>
      <c r="AU552" s="429"/>
      <c r="AV552" s="429"/>
      <c r="AW552" s="429"/>
      <c r="AX552" s="429"/>
      <c r="AY552" s="429"/>
      <c r="AZ552" s="429"/>
      <c r="BA552" s="429"/>
      <c r="BB552" s="429"/>
      <c r="BC552" s="429"/>
      <c r="BD552" s="429"/>
      <c r="BE552" s="429"/>
      <c r="BF552" s="429"/>
      <c r="BG552" s="429"/>
      <c r="BH552" s="429"/>
      <c r="BI552" s="429"/>
      <c r="BJ552" s="429"/>
      <c r="BK552" s="429"/>
      <c r="BL552" s="429"/>
      <c r="BM552" s="429"/>
      <c r="BN552" s="429"/>
      <c r="BO552" s="429"/>
      <c r="BP552" s="102"/>
      <c r="BQ552" s="102">
        <v>3.816</v>
      </c>
      <c r="BR552" s="451">
        <f t="shared" si="49"/>
        <v>763.2</v>
      </c>
      <c r="BS552" s="451">
        <f t="shared" si="50"/>
        <v>5914.8</v>
      </c>
      <c r="BT552" s="429" t="str">
        <f>IFERROR(VLOOKUP(E552,名称!A:D,4,FALSE),"")</f>
        <v>KIK</v>
      </c>
    </row>
    <row r="553" s="427" customFormat="1" hidden="1" customHeight="1" spans="1:72">
      <c r="A553" s="93">
        <v>46120</v>
      </c>
      <c r="B553" s="95" t="s">
        <v>237</v>
      </c>
      <c r="C553" s="96">
        <v>10124239</v>
      </c>
      <c r="D553" s="96" t="s">
        <v>287</v>
      </c>
      <c r="E553" s="97" t="s">
        <v>120</v>
      </c>
      <c r="F553" s="99">
        <v>40</v>
      </c>
      <c r="G553" s="93">
        <v>46176</v>
      </c>
      <c r="H553" s="429"/>
      <c r="I553" s="429"/>
      <c r="J553" s="429"/>
      <c r="K553" s="429"/>
      <c r="L553" s="429"/>
      <c r="M553" s="429"/>
      <c r="N553" s="429"/>
      <c r="O553" s="429"/>
      <c r="P553" s="429"/>
      <c r="Q553" s="429"/>
      <c r="R553" s="429"/>
      <c r="S553" s="429"/>
      <c r="T553" s="429"/>
      <c r="U553" s="429"/>
      <c r="V553" s="429"/>
      <c r="W553" s="429"/>
      <c r="X553" s="429"/>
      <c r="Y553" s="429"/>
      <c r="Z553" s="429"/>
      <c r="AA553" s="429"/>
      <c r="AB553" s="429"/>
      <c r="AC553" s="429"/>
      <c r="AD553" s="429"/>
      <c r="AE553" s="429"/>
      <c r="AF553" s="429"/>
      <c r="AG553" s="429"/>
      <c r="AH553" s="429"/>
      <c r="AI553" s="429"/>
      <c r="AJ553" s="429"/>
      <c r="AK553" s="429"/>
      <c r="AL553" s="429"/>
      <c r="AM553" s="429"/>
      <c r="AN553" s="429"/>
      <c r="AO553" s="429"/>
      <c r="AP553" s="429"/>
      <c r="AQ553" s="429"/>
      <c r="AR553" s="429">
        <f>F553</f>
        <v>40</v>
      </c>
      <c r="AS553" s="429"/>
      <c r="AT553" s="429"/>
      <c r="AU553" s="429"/>
      <c r="AV553" s="429"/>
      <c r="AW553" s="429"/>
      <c r="AX553" s="429"/>
      <c r="AY553" s="429"/>
      <c r="AZ553" s="429"/>
      <c r="BA553" s="429"/>
      <c r="BB553" s="429"/>
      <c r="BC553" s="429"/>
      <c r="BD553" s="429"/>
      <c r="BE553" s="429"/>
      <c r="BF553" s="429"/>
      <c r="BG553" s="429"/>
      <c r="BH553" s="429"/>
      <c r="BI553" s="429"/>
      <c r="BJ553" s="429"/>
      <c r="BK553" s="429"/>
      <c r="BL553" s="429"/>
      <c r="BM553" s="429"/>
      <c r="BN553" s="429"/>
      <c r="BO553" s="429"/>
      <c r="BP553" s="102"/>
      <c r="BQ553" s="102">
        <v>21.246</v>
      </c>
      <c r="BR553" s="451">
        <f t="shared" si="49"/>
        <v>849.84</v>
      </c>
      <c r="BS553" s="451">
        <f t="shared" si="50"/>
        <v>6586.26</v>
      </c>
      <c r="BT553" s="429" t="str">
        <f>IFERROR(VLOOKUP(E553,名称!A:D,4,FALSE),"")</f>
        <v>KIK</v>
      </c>
    </row>
    <row r="554" s="427" customFormat="1" hidden="1" customHeight="1" spans="1:72">
      <c r="A554" s="93">
        <v>46120</v>
      </c>
      <c r="B554" s="95" t="s">
        <v>237</v>
      </c>
      <c r="C554" s="96">
        <v>10124239</v>
      </c>
      <c r="D554" s="96" t="s">
        <v>287</v>
      </c>
      <c r="E554" s="97" t="s">
        <v>31</v>
      </c>
      <c r="F554" s="99">
        <v>4</v>
      </c>
      <c r="G554" s="93">
        <v>46176</v>
      </c>
      <c r="H554" s="429"/>
      <c r="I554" s="429"/>
      <c r="J554" s="429"/>
      <c r="K554" s="429"/>
      <c r="L554" s="429"/>
      <c r="M554" s="429"/>
      <c r="N554" s="429"/>
      <c r="O554" s="429"/>
      <c r="P554" s="429"/>
      <c r="Q554" s="429"/>
      <c r="R554" s="429"/>
      <c r="S554" s="429"/>
      <c r="T554" s="429"/>
      <c r="U554" s="429"/>
      <c r="V554" s="429"/>
      <c r="W554" s="429"/>
      <c r="X554" s="429"/>
      <c r="Y554" s="429"/>
      <c r="Z554" s="429">
        <f>F554</f>
        <v>4</v>
      </c>
      <c r="AA554" s="429"/>
      <c r="AB554" s="429"/>
      <c r="AC554" s="429"/>
      <c r="AD554" s="429"/>
      <c r="AE554" s="429"/>
      <c r="AF554" s="429"/>
      <c r="AG554" s="429"/>
      <c r="AH554" s="429"/>
      <c r="AI554" s="429"/>
      <c r="AJ554" s="429"/>
      <c r="AK554" s="429"/>
      <c r="AL554" s="429"/>
      <c r="AM554" s="429"/>
      <c r="AN554" s="429"/>
      <c r="AO554" s="429"/>
      <c r="AP554" s="429"/>
      <c r="AQ554" s="429"/>
      <c r="AR554" s="429"/>
      <c r="AS554" s="429"/>
      <c r="AT554" s="429"/>
      <c r="AU554" s="429"/>
      <c r="AV554" s="429"/>
      <c r="AW554" s="429"/>
      <c r="AX554" s="429"/>
      <c r="AY554" s="429"/>
      <c r="AZ554" s="429"/>
      <c r="BA554" s="429"/>
      <c r="BB554" s="429"/>
      <c r="BC554" s="429"/>
      <c r="BD554" s="429"/>
      <c r="BE554" s="429"/>
      <c r="BF554" s="429"/>
      <c r="BG554" s="429"/>
      <c r="BH554" s="429"/>
      <c r="BI554" s="429"/>
      <c r="BJ554" s="429"/>
      <c r="BK554" s="429"/>
      <c r="BL554" s="429"/>
      <c r="BM554" s="429"/>
      <c r="BN554" s="429"/>
      <c r="BO554" s="429"/>
      <c r="BP554" s="102"/>
      <c r="BQ554" s="102">
        <v>29.652</v>
      </c>
      <c r="BR554" s="451">
        <f t="shared" si="49"/>
        <v>118.61</v>
      </c>
      <c r="BS554" s="451">
        <f t="shared" si="50"/>
        <v>919.23</v>
      </c>
      <c r="BT554" s="429" t="str">
        <f>IFERROR(VLOOKUP(E554,名称!A:D,4,FALSE),"")</f>
        <v>KIK</v>
      </c>
    </row>
    <row r="555" s="427" customFormat="1" hidden="1" customHeight="1" spans="1:72">
      <c r="A555" s="93">
        <v>46120</v>
      </c>
      <c r="B555" s="95" t="s">
        <v>237</v>
      </c>
      <c r="C555" s="96">
        <v>10124239</v>
      </c>
      <c r="D555" s="96" t="s">
        <v>287</v>
      </c>
      <c r="E555" s="97" t="s">
        <v>105</v>
      </c>
      <c r="F555" s="99">
        <v>16</v>
      </c>
      <c r="G555" s="93">
        <v>46176</v>
      </c>
      <c r="H555" s="429"/>
      <c r="I555" s="429"/>
      <c r="J555" s="429"/>
      <c r="K555" s="429"/>
      <c r="L555" s="429"/>
      <c r="M555" s="429"/>
      <c r="N555" s="429"/>
      <c r="O555" s="429"/>
      <c r="P555" s="429"/>
      <c r="Q555" s="429"/>
      <c r="R555" s="429"/>
      <c r="S555" s="429"/>
      <c r="T555" s="429"/>
      <c r="U555" s="429"/>
      <c r="V555" s="429"/>
      <c r="W555" s="429"/>
      <c r="X555" s="429"/>
      <c r="Y555" s="429"/>
      <c r="Z555" s="429"/>
      <c r="AA555" s="429"/>
      <c r="AB555" s="429"/>
      <c r="AC555" s="429"/>
      <c r="AD555" s="429"/>
      <c r="AE555" s="429"/>
      <c r="AF555" s="429"/>
      <c r="AG555" s="429"/>
      <c r="AH555" s="429"/>
      <c r="AI555" s="429"/>
      <c r="AJ555" s="429">
        <f>F555</f>
        <v>16</v>
      </c>
      <c r="AK555" s="429"/>
      <c r="AL555" s="429"/>
      <c r="AM555" s="429"/>
      <c r="AN555" s="429"/>
      <c r="AO555" s="429"/>
      <c r="AP555" s="429"/>
      <c r="AQ555" s="429"/>
      <c r="AR555" s="429"/>
      <c r="AS555" s="429"/>
      <c r="AT555" s="429"/>
      <c r="AU555" s="429"/>
      <c r="AV555" s="429"/>
      <c r="AW555" s="429"/>
      <c r="AX555" s="429"/>
      <c r="AY555" s="429"/>
      <c r="AZ555" s="429"/>
      <c r="BA555" s="429"/>
      <c r="BB555" s="429"/>
      <c r="BC555" s="429"/>
      <c r="BD555" s="429"/>
      <c r="BE555" s="429"/>
      <c r="BF555" s="429"/>
      <c r="BG555" s="429"/>
      <c r="BH555" s="429"/>
      <c r="BI555" s="429"/>
      <c r="BJ555" s="429"/>
      <c r="BK555" s="429"/>
      <c r="BL555" s="429"/>
      <c r="BM555" s="429"/>
      <c r="BN555" s="429"/>
      <c r="BO555" s="429"/>
      <c r="BP555" s="102"/>
      <c r="BQ555" s="102">
        <v>2.994</v>
      </c>
      <c r="BR555" s="451">
        <f t="shared" si="49"/>
        <v>47.9</v>
      </c>
      <c r="BS555" s="451">
        <f t="shared" si="50"/>
        <v>371.23</v>
      </c>
      <c r="BT555" s="429" t="str">
        <f>IFERROR(VLOOKUP(E555,名称!A:D,4,FALSE),"")</f>
        <v>KIK</v>
      </c>
    </row>
    <row r="556" s="427" customFormat="1" hidden="1" customHeight="1" spans="1:72">
      <c r="A556" s="93">
        <v>46120</v>
      </c>
      <c r="B556" s="95" t="s">
        <v>237</v>
      </c>
      <c r="C556" s="96">
        <v>10124239</v>
      </c>
      <c r="D556" s="96" t="s">
        <v>287</v>
      </c>
      <c r="E556" s="97" t="s">
        <v>107</v>
      </c>
      <c r="F556" s="99">
        <v>16</v>
      </c>
      <c r="G556" s="93">
        <v>46176</v>
      </c>
      <c r="H556" s="429"/>
      <c r="I556" s="429"/>
      <c r="J556" s="429"/>
      <c r="K556" s="429"/>
      <c r="L556" s="429"/>
      <c r="M556" s="429"/>
      <c r="N556" s="429"/>
      <c r="O556" s="429"/>
      <c r="P556" s="429"/>
      <c r="Q556" s="429"/>
      <c r="R556" s="429"/>
      <c r="S556" s="429"/>
      <c r="T556" s="429"/>
      <c r="U556" s="429"/>
      <c r="V556" s="429"/>
      <c r="W556" s="429"/>
      <c r="X556" s="429"/>
      <c r="Y556" s="429"/>
      <c r="Z556" s="429"/>
      <c r="AA556" s="429"/>
      <c r="AB556" s="429"/>
      <c r="AC556" s="429"/>
      <c r="AD556" s="429"/>
      <c r="AE556" s="429"/>
      <c r="AF556" s="429"/>
      <c r="AG556" s="429"/>
      <c r="AH556" s="429"/>
      <c r="AI556" s="429"/>
      <c r="AJ556" s="429"/>
      <c r="AK556" s="429">
        <f>F556</f>
        <v>16</v>
      </c>
      <c r="AL556" s="429"/>
      <c r="AM556" s="429"/>
      <c r="AN556" s="429"/>
      <c r="AO556" s="429"/>
      <c r="AP556" s="429"/>
      <c r="AQ556" s="429"/>
      <c r="AR556" s="429"/>
      <c r="AS556" s="429"/>
      <c r="AT556" s="429"/>
      <c r="AU556" s="429"/>
      <c r="AV556" s="429"/>
      <c r="AW556" s="429"/>
      <c r="AX556" s="429"/>
      <c r="AY556" s="429"/>
      <c r="AZ556" s="429"/>
      <c r="BA556" s="429"/>
      <c r="BB556" s="429"/>
      <c r="BC556" s="429"/>
      <c r="BD556" s="429"/>
      <c r="BE556" s="429"/>
      <c r="BF556" s="429"/>
      <c r="BG556" s="429"/>
      <c r="BH556" s="429"/>
      <c r="BI556" s="429"/>
      <c r="BJ556" s="429"/>
      <c r="BK556" s="429"/>
      <c r="BL556" s="429"/>
      <c r="BM556" s="429"/>
      <c r="BN556" s="429"/>
      <c r="BO556" s="429"/>
      <c r="BP556" s="102"/>
      <c r="BQ556" s="102">
        <v>4.956</v>
      </c>
      <c r="BR556" s="451">
        <f t="shared" si="49"/>
        <v>79.3</v>
      </c>
      <c r="BS556" s="451">
        <f t="shared" si="50"/>
        <v>614.58</v>
      </c>
      <c r="BT556" s="429" t="str">
        <f>IFERROR(VLOOKUP(E556,名称!A:D,4,FALSE),"")</f>
        <v>KIK</v>
      </c>
    </row>
    <row r="557" s="427" customFormat="1" hidden="1" customHeight="1" spans="1:72">
      <c r="A557" s="93">
        <v>46120</v>
      </c>
      <c r="B557" s="95" t="s">
        <v>237</v>
      </c>
      <c r="C557" s="96">
        <v>10124236</v>
      </c>
      <c r="D557" s="96" t="s">
        <v>288</v>
      </c>
      <c r="E557" s="97" t="s">
        <v>29</v>
      </c>
      <c r="F557" s="99">
        <v>28</v>
      </c>
      <c r="G557" s="93">
        <v>46176</v>
      </c>
      <c r="H557" s="429"/>
      <c r="I557" s="429"/>
      <c r="J557" s="429">
        <f>F557</f>
        <v>28</v>
      </c>
      <c r="K557" s="429"/>
      <c r="L557" s="429"/>
      <c r="M557" s="429"/>
      <c r="N557" s="429"/>
      <c r="O557" s="429"/>
      <c r="P557" s="429"/>
      <c r="Q557" s="429"/>
      <c r="R557" s="429"/>
      <c r="S557" s="429"/>
      <c r="T557" s="429"/>
      <c r="U557" s="429"/>
      <c r="V557" s="429"/>
      <c r="W557" s="429"/>
      <c r="X557" s="429"/>
      <c r="Y557" s="429"/>
      <c r="Z557" s="429"/>
      <c r="AA557" s="429"/>
      <c r="AB557" s="429"/>
      <c r="AC557" s="429"/>
      <c r="AD557" s="429"/>
      <c r="AE557" s="429"/>
      <c r="AF557" s="429"/>
      <c r="AG557" s="429"/>
      <c r="AH557" s="429"/>
      <c r="AI557" s="429"/>
      <c r="AJ557" s="429"/>
      <c r="AK557" s="429"/>
      <c r="AL557" s="429"/>
      <c r="AM557" s="429"/>
      <c r="AN557" s="429"/>
      <c r="AO557" s="429"/>
      <c r="AP557" s="429"/>
      <c r="AQ557" s="429"/>
      <c r="AR557" s="429"/>
      <c r="AS557" s="429"/>
      <c r="AT557" s="429"/>
      <c r="AU557" s="429"/>
      <c r="AV557" s="429"/>
      <c r="AW557" s="429"/>
      <c r="AX557" s="429"/>
      <c r="AY557" s="429"/>
      <c r="AZ557" s="429"/>
      <c r="BA557" s="429"/>
      <c r="BB557" s="429"/>
      <c r="BC557" s="429"/>
      <c r="BD557" s="429"/>
      <c r="BE557" s="429"/>
      <c r="BF557" s="429"/>
      <c r="BG557" s="429"/>
      <c r="BH557" s="429"/>
      <c r="BI557" s="429"/>
      <c r="BJ557" s="429"/>
      <c r="BK557" s="429"/>
      <c r="BL557" s="429"/>
      <c r="BM557" s="429"/>
      <c r="BN557" s="429"/>
      <c r="BO557" s="429"/>
      <c r="BP557" s="102"/>
      <c r="BQ557" s="102">
        <v>21.801</v>
      </c>
      <c r="BR557" s="451">
        <f t="shared" si="49"/>
        <v>610.43</v>
      </c>
      <c r="BS557" s="451">
        <f t="shared" si="50"/>
        <v>4730.83</v>
      </c>
      <c r="BT557" s="429" t="str">
        <f>IFERROR(VLOOKUP(E557,名称!A:D,4,FALSE),"")</f>
        <v>KIK</v>
      </c>
    </row>
    <row r="558" s="427" customFormat="1" hidden="1" customHeight="1" spans="1:72">
      <c r="A558" s="93">
        <v>46120</v>
      </c>
      <c r="B558" s="95" t="s">
        <v>237</v>
      </c>
      <c r="C558" s="96">
        <v>10124236</v>
      </c>
      <c r="D558" s="96" t="s">
        <v>288</v>
      </c>
      <c r="E558" s="97" t="s">
        <v>31</v>
      </c>
      <c r="F558" s="99">
        <v>100</v>
      </c>
      <c r="G558" s="93">
        <v>46176</v>
      </c>
      <c r="H558" s="429"/>
      <c r="I558" s="429"/>
      <c r="J558" s="429"/>
      <c r="K558" s="429"/>
      <c r="L558" s="429"/>
      <c r="M558" s="429"/>
      <c r="N558" s="429"/>
      <c r="O558" s="429"/>
      <c r="P558" s="429"/>
      <c r="Q558" s="429"/>
      <c r="R558" s="429"/>
      <c r="S558" s="429"/>
      <c r="T558" s="429"/>
      <c r="U558" s="429"/>
      <c r="V558" s="429"/>
      <c r="W558" s="429"/>
      <c r="X558" s="429"/>
      <c r="Y558" s="429"/>
      <c r="Z558" s="429">
        <f>F558</f>
        <v>100</v>
      </c>
      <c r="AA558" s="429"/>
      <c r="AB558" s="429"/>
      <c r="AC558" s="429"/>
      <c r="AD558" s="429"/>
      <c r="AE558" s="429"/>
      <c r="AF558" s="429"/>
      <c r="AG558" s="429"/>
      <c r="AH558" s="429"/>
      <c r="AI558" s="429"/>
      <c r="AJ558" s="429"/>
      <c r="AK558" s="429"/>
      <c r="AL558" s="429"/>
      <c r="AM558" s="429"/>
      <c r="AN558" s="429"/>
      <c r="AO558" s="429"/>
      <c r="AP558" s="429"/>
      <c r="AQ558" s="429"/>
      <c r="AR558" s="429"/>
      <c r="AS558" s="429"/>
      <c r="AT558" s="429"/>
      <c r="AU558" s="429"/>
      <c r="AV558" s="429"/>
      <c r="AW558" s="429"/>
      <c r="AX558" s="429"/>
      <c r="AY558" s="429"/>
      <c r="AZ558" s="429"/>
      <c r="BA558" s="429"/>
      <c r="BB558" s="429"/>
      <c r="BC558" s="429"/>
      <c r="BD558" s="429"/>
      <c r="BE558" s="429"/>
      <c r="BF558" s="429"/>
      <c r="BG558" s="429"/>
      <c r="BH558" s="429"/>
      <c r="BI558" s="429"/>
      <c r="BJ558" s="429"/>
      <c r="BK558" s="429"/>
      <c r="BL558" s="429"/>
      <c r="BM558" s="429"/>
      <c r="BN558" s="429"/>
      <c r="BO558" s="429"/>
      <c r="BP558" s="102"/>
      <c r="BQ558" s="102">
        <v>29.652</v>
      </c>
      <c r="BR558" s="451">
        <f t="shared" si="49"/>
        <v>2965.2</v>
      </c>
      <c r="BS558" s="451">
        <f t="shared" si="50"/>
        <v>22980.3</v>
      </c>
      <c r="BT558" s="429" t="str">
        <f>IFERROR(VLOOKUP(E558,名称!A:D,4,FALSE),"")</f>
        <v>KIK</v>
      </c>
    </row>
    <row r="559" s="427" customFormat="1" hidden="1" customHeight="1" spans="1:72">
      <c r="A559" s="93">
        <v>46120</v>
      </c>
      <c r="B559" s="95" t="s">
        <v>237</v>
      </c>
      <c r="C559" s="96">
        <v>10124236</v>
      </c>
      <c r="D559" s="96" t="s">
        <v>288</v>
      </c>
      <c r="E559" s="97" t="s">
        <v>35</v>
      </c>
      <c r="F559" s="99">
        <v>116</v>
      </c>
      <c r="G559" s="93">
        <v>46176</v>
      </c>
      <c r="H559" s="429"/>
      <c r="I559" s="429"/>
      <c r="J559" s="429"/>
      <c r="K559" s="429"/>
      <c r="L559" s="429"/>
      <c r="M559" s="429"/>
      <c r="N559" s="429"/>
      <c r="O559" s="429"/>
      <c r="P559" s="429"/>
      <c r="Q559" s="429"/>
      <c r="R559" s="429"/>
      <c r="S559" s="429"/>
      <c r="T559" s="429"/>
      <c r="U559" s="429"/>
      <c r="V559" s="429"/>
      <c r="W559" s="429"/>
      <c r="X559" s="429"/>
      <c r="Y559" s="429">
        <f>F559</f>
        <v>116</v>
      </c>
      <c r="Z559" s="429"/>
      <c r="AA559" s="429"/>
      <c r="AB559" s="429"/>
      <c r="AC559" s="429"/>
      <c r="AD559" s="429"/>
      <c r="AE559" s="429"/>
      <c r="AF559" s="429"/>
      <c r="AG559" s="429"/>
      <c r="AH559" s="429"/>
      <c r="AI559" s="429"/>
      <c r="AJ559" s="429"/>
      <c r="AK559" s="429"/>
      <c r="AL559" s="429"/>
      <c r="AM559" s="429"/>
      <c r="AN559" s="429"/>
      <c r="AO559" s="429"/>
      <c r="AP559" s="429"/>
      <c r="AQ559" s="429"/>
      <c r="AR559" s="429"/>
      <c r="AS559" s="429"/>
      <c r="AT559" s="429"/>
      <c r="AU559" s="429"/>
      <c r="AV559" s="429"/>
      <c r="AW559" s="429"/>
      <c r="AX559" s="429"/>
      <c r="AY559" s="429"/>
      <c r="AZ559" s="429"/>
      <c r="BA559" s="429"/>
      <c r="BB559" s="429"/>
      <c r="BC559" s="429"/>
      <c r="BD559" s="429"/>
      <c r="BE559" s="429"/>
      <c r="BF559" s="429"/>
      <c r="BG559" s="429"/>
      <c r="BH559" s="429"/>
      <c r="BI559" s="429"/>
      <c r="BJ559" s="429"/>
      <c r="BK559" s="429"/>
      <c r="BL559" s="429"/>
      <c r="BM559" s="429"/>
      <c r="BN559" s="429"/>
      <c r="BO559" s="429"/>
      <c r="BP559" s="102"/>
      <c r="BQ559" s="102">
        <v>22.9</v>
      </c>
      <c r="BR559" s="451">
        <f t="shared" si="49"/>
        <v>2656.4</v>
      </c>
      <c r="BS559" s="451">
        <f t="shared" si="50"/>
        <v>20587.1</v>
      </c>
      <c r="BT559" s="429" t="str">
        <f>IFERROR(VLOOKUP(E559,名称!A:D,4,FALSE),"")</f>
        <v>KIK</v>
      </c>
    </row>
    <row r="560" s="427" customFormat="1" hidden="1" customHeight="1" spans="1:72">
      <c r="A560" s="93">
        <v>46120</v>
      </c>
      <c r="B560" s="95" t="s">
        <v>237</v>
      </c>
      <c r="C560" s="96">
        <v>10124236</v>
      </c>
      <c r="D560" s="96" t="s">
        <v>288</v>
      </c>
      <c r="E560" s="97" t="s">
        <v>39</v>
      </c>
      <c r="F560" s="99">
        <v>78</v>
      </c>
      <c r="G560" s="93">
        <v>46176</v>
      </c>
      <c r="H560" s="429"/>
      <c r="I560" s="429"/>
      <c r="J560" s="429"/>
      <c r="K560" s="429"/>
      <c r="L560" s="429"/>
      <c r="M560" s="429"/>
      <c r="N560" s="429"/>
      <c r="O560" s="429"/>
      <c r="P560" s="429"/>
      <c r="Q560" s="429"/>
      <c r="R560" s="429"/>
      <c r="S560" s="429"/>
      <c r="T560" s="429"/>
      <c r="U560" s="429"/>
      <c r="V560" s="429"/>
      <c r="W560" s="429">
        <f>F560</f>
        <v>78</v>
      </c>
      <c r="X560" s="429"/>
      <c r="Y560" s="429"/>
      <c r="Z560" s="429"/>
      <c r="AA560" s="429"/>
      <c r="AB560" s="429"/>
      <c r="AC560" s="429"/>
      <c r="AD560" s="429"/>
      <c r="AE560" s="429"/>
      <c r="AF560" s="429"/>
      <c r="AG560" s="429"/>
      <c r="AH560" s="429"/>
      <c r="AI560" s="429"/>
      <c r="AJ560" s="429"/>
      <c r="AK560" s="429"/>
      <c r="AL560" s="429"/>
      <c r="AM560" s="429"/>
      <c r="AN560" s="429"/>
      <c r="AO560" s="429"/>
      <c r="AP560" s="429"/>
      <c r="AQ560" s="429"/>
      <c r="AR560" s="429"/>
      <c r="AS560" s="429"/>
      <c r="AT560" s="429"/>
      <c r="AU560" s="429"/>
      <c r="AV560" s="429"/>
      <c r="AW560" s="429"/>
      <c r="AX560" s="429"/>
      <c r="AY560" s="429"/>
      <c r="AZ560" s="429"/>
      <c r="BA560" s="429"/>
      <c r="BB560" s="429"/>
      <c r="BC560" s="429"/>
      <c r="BD560" s="429"/>
      <c r="BE560" s="429"/>
      <c r="BF560" s="429"/>
      <c r="BG560" s="429"/>
      <c r="BH560" s="429"/>
      <c r="BI560" s="429"/>
      <c r="BJ560" s="429"/>
      <c r="BK560" s="429"/>
      <c r="BL560" s="429"/>
      <c r="BM560" s="429"/>
      <c r="BN560" s="429"/>
      <c r="BO560" s="429"/>
      <c r="BP560" s="102"/>
      <c r="BQ560" s="102">
        <v>30.536</v>
      </c>
      <c r="BR560" s="451">
        <f t="shared" si="49"/>
        <v>2381.81</v>
      </c>
      <c r="BS560" s="451">
        <f t="shared" si="50"/>
        <v>18459.03</v>
      </c>
      <c r="BT560" s="429" t="str">
        <f>IFERROR(VLOOKUP(E560,名称!A:D,4,FALSE),"")</f>
        <v>KIK</v>
      </c>
    </row>
    <row r="561" s="427" customFormat="1" hidden="1" customHeight="1" spans="1:72">
      <c r="A561" s="93">
        <v>46120</v>
      </c>
      <c r="B561" s="95" t="s">
        <v>237</v>
      </c>
      <c r="C561" s="96">
        <v>10124236</v>
      </c>
      <c r="D561" s="96" t="s">
        <v>288</v>
      </c>
      <c r="E561" s="97">
        <v>47669</v>
      </c>
      <c r="F561" s="99">
        <v>124</v>
      </c>
      <c r="G561" s="93">
        <v>46176</v>
      </c>
      <c r="H561" s="429"/>
      <c r="I561" s="429"/>
      <c r="J561" s="429"/>
      <c r="K561" s="429"/>
      <c r="L561" s="429"/>
      <c r="M561" s="429"/>
      <c r="N561" s="429"/>
      <c r="O561" s="429"/>
      <c r="P561" s="429"/>
      <c r="Q561" s="429"/>
      <c r="R561" s="429">
        <f>F561</f>
        <v>124</v>
      </c>
      <c r="S561" s="429"/>
      <c r="T561" s="429"/>
      <c r="U561" s="429"/>
      <c r="V561" s="429"/>
      <c r="W561" s="429"/>
      <c r="X561" s="429"/>
      <c r="Y561" s="429"/>
      <c r="Z561" s="429"/>
      <c r="AA561" s="429"/>
      <c r="AB561" s="429"/>
      <c r="AC561" s="429"/>
      <c r="AD561" s="429"/>
      <c r="AE561" s="429"/>
      <c r="AF561" s="429"/>
      <c r="AG561" s="429"/>
      <c r="AH561" s="429"/>
      <c r="AI561" s="429"/>
      <c r="AJ561" s="429"/>
      <c r="AK561" s="429"/>
      <c r="AL561" s="429"/>
      <c r="AM561" s="429"/>
      <c r="AN561" s="429"/>
      <c r="AO561" s="429"/>
      <c r="AP561" s="429"/>
      <c r="AQ561" s="429"/>
      <c r="AR561" s="429"/>
      <c r="AS561" s="429"/>
      <c r="AT561" s="429"/>
      <c r="AU561" s="429"/>
      <c r="AV561" s="429"/>
      <c r="AW561" s="429"/>
      <c r="AX561" s="429"/>
      <c r="AY561" s="429"/>
      <c r="AZ561" s="429"/>
      <c r="BA561" s="429"/>
      <c r="BB561" s="429"/>
      <c r="BC561" s="429"/>
      <c r="BD561" s="429"/>
      <c r="BE561" s="429"/>
      <c r="BF561" s="429"/>
      <c r="BG561" s="429"/>
      <c r="BH561" s="429"/>
      <c r="BI561" s="429"/>
      <c r="BJ561" s="429"/>
      <c r="BK561" s="429"/>
      <c r="BL561" s="429"/>
      <c r="BM561" s="429"/>
      <c r="BN561" s="429"/>
      <c r="BO561" s="429"/>
      <c r="BP561" s="102"/>
      <c r="BQ561" s="102">
        <v>4.808</v>
      </c>
      <c r="BR561" s="451">
        <f t="shared" si="49"/>
        <v>596.19</v>
      </c>
      <c r="BS561" s="451">
        <f t="shared" si="50"/>
        <v>4620.47</v>
      </c>
      <c r="BT561" s="429" t="str">
        <f>IFERROR(VLOOKUP(E561,名称!A:D,4,FALSE),"")</f>
        <v>KIK</v>
      </c>
    </row>
    <row r="562" s="427" customFormat="1" hidden="1" customHeight="1" spans="1:72">
      <c r="A562" s="93">
        <v>46120</v>
      </c>
      <c r="B562" s="95" t="s">
        <v>237</v>
      </c>
      <c r="C562" s="96">
        <v>10124236</v>
      </c>
      <c r="D562" s="96" t="s">
        <v>288</v>
      </c>
      <c r="E562" s="97" t="s">
        <v>109</v>
      </c>
      <c r="F562" s="99">
        <v>80</v>
      </c>
      <c r="G562" s="93">
        <v>46176</v>
      </c>
      <c r="H562" s="429"/>
      <c r="I562" s="429"/>
      <c r="J562" s="429"/>
      <c r="K562" s="429"/>
      <c r="L562" s="429"/>
      <c r="M562" s="429"/>
      <c r="N562" s="429"/>
      <c r="O562" s="429"/>
      <c r="P562" s="429"/>
      <c r="Q562" s="429"/>
      <c r="R562" s="429"/>
      <c r="S562" s="429"/>
      <c r="T562" s="429"/>
      <c r="U562" s="429"/>
      <c r="V562" s="429"/>
      <c r="W562" s="429"/>
      <c r="X562" s="429"/>
      <c r="Y562" s="429"/>
      <c r="Z562" s="429"/>
      <c r="AA562" s="429"/>
      <c r="AB562" s="429"/>
      <c r="AC562" s="429"/>
      <c r="AD562" s="429"/>
      <c r="AE562" s="429"/>
      <c r="AF562" s="429"/>
      <c r="AG562" s="429"/>
      <c r="AH562" s="429"/>
      <c r="AI562" s="429"/>
      <c r="AJ562" s="429"/>
      <c r="AK562" s="429"/>
      <c r="AL562" s="429">
        <f>F562</f>
        <v>80</v>
      </c>
      <c r="AM562" s="429"/>
      <c r="AN562" s="429"/>
      <c r="AO562" s="429"/>
      <c r="AP562" s="429"/>
      <c r="AQ562" s="429"/>
      <c r="AR562" s="429"/>
      <c r="AS562" s="429"/>
      <c r="AT562" s="429"/>
      <c r="AU562" s="429"/>
      <c r="AV562" s="429"/>
      <c r="AW562" s="429"/>
      <c r="AX562" s="429"/>
      <c r="AY562" s="429"/>
      <c r="AZ562" s="429"/>
      <c r="BA562" s="429"/>
      <c r="BB562" s="429"/>
      <c r="BC562" s="429"/>
      <c r="BD562" s="429"/>
      <c r="BE562" s="429"/>
      <c r="BF562" s="429"/>
      <c r="BG562" s="429"/>
      <c r="BH562" s="429"/>
      <c r="BI562" s="429"/>
      <c r="BJ562" s="429"/>
      <c r="BK562" s="429"/>
      <c r="BL562" s="429"/>
      <c r="BM562" s="429"/>
      <c r="BN562" s="429"/>
      <c r="BO562" s="429"/>
      <c r="BP562" s="102"/>
      <c r="BQ562" s="102">
        <v>3.886</v>
      </c>
      <c r="BR562" s="451">
        <f t="shared" si="49"/>
        <v>310.88</v>
      </c>
      <c r="BS562" s="451">
        <f t="shared" si="50"/>
        <v>2409.32</v>
      </c>
      <c r="BT562" s="429" t="str">
        <f>IFERROR(VLOOKUP(E562,名称!A:D,4,FALSE),"")</f>
        <v>KIK</v>
      </c>
    </row>
    <row r="563" s="427" customFormat="1" hidden="1" customHeight="1" spans="1:72">
      <c r="A563" s="93">
        <v>46120</v>
      </c>
      <c r="B563" s="95" t="s">
        <v>237</v>
      </c>
      <c r="C563" s="96">
        <v>10124236</v>
      </c>
      <c r="D563" s="96" t="s">
        <v>288</v>
      </c>
      <c r="E563" s="97" t="s">
        <v>120</v>
      </c>
      <c r="F563" s="99">
        <v>150</v>
      </c>
      <c r="G563" s="93">
        <v>46176</v>
      </c>
      <c r="H563" s="429"/>
      <c r="I563" s="429"/>
      <c r="J563" s="429"/>
      <c r="K563" s="429"/>
      <c r="L563" s="429"/>
      <c r="M563" s="429"/>
      <c r="N563" s="429"/>
      <c r="O563" s="429"/>
      <c r="P563" s="429"/>
      <c r="Q563" s="429"/>
      <c r="R563" s="429"/>
      <c r="S563" s="429"/>
      <c r="T563" s="429"/>
      <c r="U563" s="429"/>
      <c r="V563" s="429"/>
      <c r="W563" s="429"/>
      <c r="X563" s="429"/>
      <c r="Y563" s="429"/>
      <c r="Z563" s="429"/>
      <c r="AA563" s="429"/>
      <c r="AB563" s="429"/>
      <c r="AC563" s="429"/>
      <c r="AD563" s="429"/>
      <c r="AE563" s="429"/>
      <c r="AF563" s="429"/>
      <c r="AG563" s="429"/>
      <c r="AH563" s="429"/>
      <c r="AI563" s="429"/>
      <c r="AJ563" s="429"/>
      <c r="AK563" s="429"/>
      <c r="AL563" s="429"/>
      <c r="AM563" s="429"/>
      <c r="AN563" s="429"/>
      <c r="AO563" s="429"/>
      <c r="AP563" s="429"/>
      <c r="AQ563" s="429"/>
      <c r="AR563" s="429">
        <f>F563</f>
        <v>150</v>
      </c>
      <c r="AS563" s="429"/>
      <c r="AT563" s="429"/>
      <c r="AU563" s="429"/>
      <c r="AV563" s="429"/>
      <c r="AW563" s="429"/>
      <c r="AX563" s="429"/>
      <c r="AY563" s="429"/>
      <c r="AZ563" s="429"/>
      <c r="BA563" s="429"/>
      <c r="BB563" s="429"/>
      <c r="BC563" s="429"/>
      <c r="BD563" s="429"/>
      <c r="BE563" s="429"/>
      <c r="BF563" s="429"/>
      <c r="BG563" s="429"/>
      <c r="BH563" s="429"/>
      <c r="BI563" s="429"/>
      <c r="BJ563" s="429"/>
      <c r="BK563" s="429"/>
      <c r="BL563" s="429"/>
      <c r="BM563" s="429"/>
      <c r="BN563" s="429"/>
      <c r="BO563" s="429"/>
      <c r="BP563" s="102"/>
      <c r="BQ563" s="102">
        <v>21.246</v>
      </c>
      <c r="BR563" s="451">
        <f t="shared" si="49"/>
        <v>3186.9</v>
      </c>
      <c r="BS563" s="451">
        <f t="shared" si="50"/>
        <v>24698.48</v>
      </c>
      <c r="BT563" s="429" t="str">
        <f>IFERROR(VLOOKUP(E563,名称!A:D,4,FALSE),"")</f>
        <v>KIK</v>
      </c>
    </row>
    <row r="564" s="427" customFormat="1" hidden="1" customHeight="1" spans="1:72">
      <c r="A564" s="93">
        <v>46120</v>
      </c>
      <c r="B564" s="95" t="s">
        <v>237</v>
      </c>
      <c r="C564" s="96">
        <v>10124236</v>
      </c>
      <c r="D564" s="96" t="s">
        <v>288</v>
      </c>
      <c r="E564" s="97" t="s">
        <v>111</v>
      </c>
      <c r="F564" s="99">
        <v>80</v>
      </c>
      <c r="G564" s="93">
        <v>46176</v>
      </c>
      <c r="H564" s="429"/>
      <c r="I564" s="429"/>
      <c r="J564" s="429"/>
      <c r="K564" s="429"/>
      <c r="L564" s="429"/>
      <c r="M564" s="429"/>
      <c r="N564" s="429"/>
      <c r="O564" s="429"/>
      <c r="P564" s="429"/>
      <c r="Q564" s="429"/>
      <c r="R564" s="429"/>
      <c r="S564" s="429"/>
      <c r="T564" s="429"/>
      <c r="U564" s="429"/>
      <c r="V564" s="429"/>
      <c r="W564" s="429"/>
      <c r="X564" s="429"/>
      <c r="Y564" s="429"/>
      <c r="Z564" s="429"/>
      <c r="AA564" s="429"/>
      <c r="AB564" s="429"/>
      <c r="AC564" s="429"/>
      <c r="AD564" s="429"/>
      <c r="AE564" s="429"/>
      <c r="AF564" s="429"/>
      <c r="AG564" s="429"/>
      <c r="AH564" s="429"/>
      <c r="AI564" s="429"/>
      <c r="AJ564" s="429"/>
      <c r="AK564" s="429"/>
      <c r="AL564" s="429"/>
      <c r="AM564" s="429">
        <f>F564</f>
        <v>80</v>
      </c>
      <c r="AN564" s="429"/>
      <c r="AO564" s="429"/>
      <c r="AP564" s="429"/>
      <c r="AQ564" s="429"/>
      <c r="AR564" s="429"/>
      <c r="AS564" s="429"/>
      <c r="AT564" s="429"/>
      <c r="AU564" s="429"/>
      <c r="AV564" s="429"/>
      <c r="AW564" s="429"/>
      <c r="AX564" s="429"/>
      <c r="AY564" s="429"/>
      <c r="AZ564" s="429"/>
      <c r="BA564" s="429"/>
      <c r="BB564" s="429"/>
      <c r="BC564" s="429"/>
      <c r="BD564" s="429"/>
      <c r="BE564" s="429"/>
      <c r="BF564" s="429"/>
      <c r="BG564" s="429"/>
      <c r="BH564" s="429"/>
      <c r="BI564" s="429"/>
      <c r="BJ564" s="429"/>
      <c r="BK564" s="429"/>
      <c r="BL564" s="429"/>
      <c r="BM564" s="429"/>
      <c r="BN564" s="429"/>
      <c r="BO564" s="429"/>
      <c r="BP564" s="102"/>
      <c r="BQ564" s="102">
        <v>3.816</v>
      </c>
      <c r="BR564" s="451">
        <f t="shared" si="49"/>
        <v>305.28</v>
      </c>
      <c r="BS564" s="451">
        <f t="shared" si="50"/>
        <v>2365.92</v>
      </c>
      <c r="BT564" s="429" t="str">
        <f>IFERROR(VLOOKUP(E564,名称!A:D,4,FALSE),"")</f>
        <v>KIK</v>
      </c>
    </row>
    <row r="565" s="427" customFormat="1" hidden="1" customHeight="1" spans="1:72">
      <c r="A565" s="93">
        <v>46120</v>
      </c>
      <c r="B565" s="95" t="s">
        <v>237</v>
      </c>
      <c r="C565" s="96">
        <v>10124236</v>
      </c>
      <c r="D565" s="96" t="s">
        <v>288</v>
      </c>
      <c r="E565" s="97" t="s">
        <v>105</v>
      </c>
      <c r="F565" s="99">
        <v>112</v>
      </c>
      <c r="G565" s="93">
        <v>46176</v>
      </c>
      <c r="H565" s="429"/>
      <c r="I565" s="429"/>
      <c r="J565" s="429"/>
      <c r="K565" s="429"/>
      <c r="L565" s="429"/>
      <c r="M565" s="429"/>
      <c r="N565" s="429"/>
      <c r="O565" s="429"/>
      <c r="P565" s="429"/>
      <c r="Q565" s="429"/>
      <c r="R565" s="429"/>
      <c r="S565" s="429"/>
      <c r="T565" s="429"/>
      <c r="U565" s="429"/>
      <c r="V565" s="429"/>
      <c r="W565" s="429"/>
      <c r="X565" s="429"/>
      <c r="Y565" s="429"/>
      <c r="Z565" s="429"/>
      <c r="AA565" s="429"/>
      <c r="AB565" s="429"/>
      <c r="AC565" s="429"/>
      <c r="AD565" s="429"/>
      <c r="AE565" s="429"/>
      <c r="AF565" s="429"/>
      <c r="AG565" s="429"/>
      <c r="AH565" s="429"/>
      <c r="AI565" s="429"/>
      <c r="AJ565" s="429">
        <f>F565</f>
        <v>112</v>
      </c>
      <c r="AK565" s="429"/>
      <c r="AL565" s="429"/>
      <c r="AM565" s="429"/>
      <c r="AN565" s="429"/>
      <c r="AO565" s="429"/>
      <c r="AP565" s="429"/>
      <c r="AQ565" s="429"/>
      <c r="AR565" s="429"/>
      <c r="AS565" s="429"/>
      <c r="AT565" s="429"/>
      <c r="AU565" s="429"/>
      <c r="AV565" s="429"/>
      <c r="AW565" s="429"/>
      <c r="AX565" s="429"/>
      <c r="AY565" s="429"/>
      <c r="AZ565" s="429"/>
      <c r="BA565" s="429"/>
      <c r="BB565" s="429"/>
      <c r="BC565" s="429"/>
      <c r="BD565" s="429"/>
      <c r="BE565" s="429"/>
      <c r="BF565" s="429"/>
      <c r="BG565" s="429"/>
      <c r="BH565" s="429"/>
      <c r="BI565" s="429"/>
      <c r="BJ565" s="429"/>
      <c r="BK565" s="429"/>
      <c r="BL565" s="429"/>
      <c r="BM565" s="429"/>
      <c r="BN565" s="429"/>
      <c r="BO565" s="429"/>
      <c r="BP565" s="102"/>
      <c r="BQ565" s="102">
        <v>2.994</v>
      </c>
      <c r="BR565" s="451">
        <f t="shared" si="49"/>
        <v>335.33</v>
      </c>
      <c r="BS565" s="451">
        <f t="shared" si="50"/>
        <v>2598.81</v>
      </c>
      <c r="BT565" s="429" t="str">
        <f>IFERROR(VLOOKUP(E565,名称!A:D,4,FALSE),"")</f>
        <v>KIK</v>
      </c>
    </row>
    <row r="566" s="427" customFormat="1" hidden="1" customHeight="1" spans="1:72">
      <c r="A566" s="93">
        <v>46120</v>
      </c>
      <c r="B566" s="95" t="s">
        <v>237</v>
      </c>
      <c r="C566" s="96">
        <v>10124231</v>
      </c>
      <c r="D566" s="96">
        <v>5000050403</v>
      </c>
      <c r="E566" s="97" t="s">
        <v>120</v>
      </c>
      <c r="F566" s="99">
        <v>40</v>
      </c>
      <c r="G566" s="93">
        <v>46176</v>
      </c>
      <c r="H566" s="429"/>
      <c r="I566" s="429"/>
      <c r="J566" s="429"/>
      <c r="K566" s="429"/>
      <c r="L566" s="429"/>
      <c r="M566" s="429"/>
      <c r="N566" s="429"/>
      <c r="O566" s="429"/>
      <c r="P566" s="429"/>
      <c r="Q566" s="429"/>
      <c r="R566" s="429"/>
      <c r="S566" s="429"/>
      <c r="T566" s="429"/>
      <c r="U566" s="429"/>
      <c r="V566" s="429"/>
      <c r="W566" s="429"/>
      <c r="X566" s="429"/>
      <c r="Y566" s="429"/>
      <c r="Z566" s="429"/>
      <c r="AA566" s="429"/>
      <c r="AB566" s="429"/>
      <c r="AC566" s="429"/>
      <c r="AD566" s="429"/>
      <c r="AE566" s="429"/>
      <c r="AF566" s="429"/>
      <c r="AG566" s="429"/>
      <c r="AH566" s="429"/>
      <c r="AI566" s="429"/>
      <c r="AJ566" s="429"/>
      <c r="AK566" s="429"/>
      <c r="AL566" s="429"/>
      <c r="AM566" s="429"/>
      <c r="AN566" s="429"/>
      <c r="AO566" s="429"/>
      <c r="AP566" s="429"/>
      <c r="AQ566" s="429"/>
      <c r="AR566" s="429">
        <f>F566</f>
        <v>40</v>
      </c>
      <c r="AS566" s="429"/>
      <c r="AT566" s="429"/>
      <c r="AU566" s="429"/>
      <c r="AV566" s="429"/>
      <c r="AW566" s="429"/>
      <c r="AX566" s="429"/>
      <c r="AY566" s="429"/>
      <c r="AZ566" s="429"/>
      <c r="BA566" s="429"/>
      <c r="BB566" s="429"/>
      <c r="BC566" s="429"/>
      <c r="BD566" s="429"/>
      <c r="BE566" s="429"/>
      <c r="BF566" s="429"/>
      <c r="BG566" s="429"/>
      <c r="BH566" s="429"/>
      <c r="BI566" s="429"/>
      <c r="BJ566" s="429"/>
      <c r="BK566" s="429"/>
      <c r="BL566" s="429"/>
      <c r="BM566" s="429"/>
      <c r="BN566" s="429"/>
      <c r="BO566" s="429"/>
      <c r="BP566" s="102"/>
      <c r="BQ566" s="102">
        <v>21.246</v>
      </c>
      <c r="BR566" s="451">
        <f t="shared" si="49"/>
        <v>849.84</v>
      </c>
      <c r="BS566" s="451">
        <f t="shared" si="50"/>
        <v>6586.26</v>
      </c>
      <c r="BT566" s="429" t="str">
        <f>IFERROR(VLOOKUP(E566,名称!A:D,4,FALSE),"")</f>
        <v>KIK</v>
      </c>
    </row>
    <row r="567" s="427" customFormat="1" hidden="1" customHeight="1" spans="1:72">
      <c r="A567" s="93">
        <v>46120</v>
      </c>
      <c r="B567" s="95" t="s">
        <v>237</v>
      </c>
      <c r="C567" s="96">
        <v>10124231</v>
      </c>
      <c r="D567" s="96">
        <v>5000050403</v>
      </c>
      <c r="E567" s="97" t="s">
        <v>113</v>
      </c>
      <c r="F567" s="99">
        <v>72</v>
      </c>
      <c r="G567" s="93">
        <v>46176</v>
      </c>
      <c r="H567" s="429"/>
      <c r="I567" s="429"/>
      <c r="J567" s="429"/>
      <c r="K567" s="429"/>
      <c r="L567" s="429"/>
      <c r="M567" s="429"/>
      <c r="N567" s="429"/>
      <c r="O567" s="429"/>
      <c r="P567" s="429"/>
      <c r="Q567" s="429"/>
      <c r="R567" s="429"/>
      <c r="S567" s="429"/>
      <c r="T567" s="429"/>
      <c r="U567" s="429"/>
      <c r="V567" s="429"/>
      <c r="W567" s="429"/>
      <c r="X567" s="429"/>
      <c r="Y567" s="429"/>
      <c r="Z567" s="429"/>
      <c r="AA567" s="429"/>
      <c r="AB567" s="429"/>
      <c r="AC567" s="429"/>
      <c r="AD567" s="429"/>
      <c r="AE567" s="429"/>
      <c r="AF567" s="429"/>
      <c r="AG567" s="429"/>
      <c r="AH567" s="429"/>
      <c r="AI567" s="429"/>
      <c r="AJ567" s="429"/>
      <c r="AK567" s="429"/>
      <c r="AL567" s="429"/>
      <c r="AM567" s="429"/>
      <c r="AN567" s="429">
        <f>F567</f>
        <v>72</v>
      </c>
      <c r="AO567" s="429"/>
      <c r="AP567" s="429"/>
      <c r="AQ567" s="429"/>
      <c r="AR567" s="429"/>
      <c r="AS567" s="429"/>
      <c r="AT567" s="429"/>
      <c r="AU567" s="429"/>
      <c r="AV567" s="429"/>
      <c r="AW567" s="429"/>
      <c r="AX567" s="429"/>
      <c r="AY567" s="429"/>
      <c r="AZ567" s="429"/>
      <c r="BA567" s="429"/>
      <c r="BB567" s="429"/>
      <c r="BC567" s="429"/>
      <c r="BD567" s="429"/>
      <c r="BE567" s="429"/>
      <c r="BF567" s="429"/>
      <c r="BG567" s="429"/>
      <c r="BH567" s="429"/>
      <c r="BI567" s="429"/>
      <c r="BJ567" s="429"/>
      <c r="BK567" s="429"/>
      <c r="BL567" s="429"/>
      <c r="BM567" s="429"/>
      <c r="BN567" s="429"/>
      <c r="BO567" s="429"/>
      <c r="BP567" s="102"/>
      <c r="BQ567" s="102">
        <v>5.97</v>
      </c>
      <c r="BR567" s="451">
        <f t="shared" si="49"/>
        <v>429.84</v>
      </c>
      <c r="BS567" s="451">
        <f t="shared" si="50"/>
        <v>3331.26</v>
      </c>
      <c r="BT567" s="429" t="str">
        <f>IFERROR(VLOOKUP(E567,名称!A:D,4,FALSE),"")</f>
        <v>KIK</v>
      </c>
    </row>
    <row r="568" s="427" customFormat="1" hidden="1" customHeight="1" spans="1:72">
      <c r="A568" s="93">
        <v>46120</v>
      </c>
      <c r="B568" s="95" t="s">
        <v>248</v>
      </c>
      <c r="C568" s="96">
        <v>10124235</v>
      </c>
      <c r="D568" s="96" t="s">
        <v>289</v>
      </c>
      <c r="E568" s="97" t="s">
        <v>113</v>
      </c>
      <c r="F568" s="99">
        <v>3</v>
      </c>
      <c r="G568" s="93">
        <v>46122</v>
      </c>
      <c r="H568" s="429"/>
      <c r="I568" s="429"/>
      <c r="J568" s="429"/>
      <c r="K568" s="429"/>
      <c r="L568" s="429"/>
      <c r="M568" s="429"/>
      <c r="N568" s="429"/>
      <c r="O568" s="429"/>
      <c r="P568" s="429"/>
      <c r="Q568" s="429"/>
      <c r="R568" s="429"/>
      <c r="S568" s="429"/>
      <c r="T568" s="429"/>
      <c r="U568" s="429"/>
      <c r="V568" s="429"/>
      <c r="W568" s="429"/>
      <c r="X568" s="429"/>
      <c r="Y568" s="429"/>
      <c r="Z568" s="429"/>
      <c r="AA568" s="429"/>
      <c r="AB568" s="429"/>
      <c r="AC568" s="429"/>
      <c r="AD568" s="429"/>
      <c r="AE568" s="429"/>
      <c r="AF568" s="429"/>
      <c r="AG568" s="429"/>
      <c r="AH568" s="429"/>
      <c r="AI568" s="429"/>
      <c r="AJ568" s="429"/>
      <c r="AK568" s="429"/>
      <c r="AL568" s="429"/>
      <c r="AM568" s="429"/>
      <c r="AN568" s="429">
        <f>F568</f>
        <v>3</v>
      </c>
      <c r="AO568" s="429"/>
      <c r="AP568" s="429"/>
      <c r="AQ568" s="429"/>
      <c r="AR568" s="429"/>
      <c r="AS568" s="429"/>
      <c r="AT568" s="429"/>
      <c r="AU568" s="429"/>
      <c r="AV568" s="429"/>
      <c r="AW568" s="429"/>
      <c r="AX568" s="429"/>
      <c r="AY568" s="429"/>
      <c r="AZ568" s="429"/>
      <c r="BA568" s="429"/>
      <c r="BB568" s="429"/>
      <c r="BC568" s="429"/>
      <c r="BD568" s="429"/>
      <c r="BE568" s="429"/>
      <c r="BF568" s="429"/>
      <c r="BG568" s="429"/>
      <c r="BH568" s="429"/>
      <c r="BI568" s="429"/>
      <c r="BJ568" s="429"/>
      <c r="BK568" s="429"/>
      <c r="BL568" s="429"/>
      <c r="BM568" s="429"/>
      <c r="BN568" s="429"/>
      <c r="BO568" s="429"/>
      <c r="BP568" s="102"/>
      <c r="BQ568" s="102">
        <v>5.9</v>
      </c>
      <c r="BR568" s="451">
        <f t="shared" si="49"/>
        <v>17.7</v>
      </c>
      <c r="BS568" s="451">
        <f t="shared" si="50"/>
        <v>137.18</v>
      </c>
      <c r="BT568" s="429" t="str">
        <f>IFERROR(VLOOKUP(E568,名称!A:D,4,FALSE),"")</f>
        <v>KIK</v>
      </c>
    </row>
    <row r="569" s="427" customFormat="1" hidden="1" customHeight="1" spans="1:72">
      <c r="A569" s="93">
        <v>46120</v>
      </c>
      <c r="B569" s="95" t="s">
        <v>248</v>
      </c>
      <c r="C569" s="97">
        <v>10124233</v>
      </c>
      <c r="D569" s="96">
        <v>4500032599</v>
      </c>
      <c r="E569" s="97" t="s">
        <v>142</v>
      </c>
      <c r="F569" s="99">
        <v>5001</v>
      </c>
      <c r="G569" s="93">
        <v>46218</v>
      </c>
      <c r="H569" s="429"/>
      <c r="I569" s="429"/>
      <c r="J569" s="429"/>
      <c r="K569" s="429"/>
      <c r="L569" s="429"/>
      <c r="M569" s="429"/>
      <c r="N569" s="429"/>
      <c r="O569" s="429"/>
      <c r="P569" s="429"/>
      <c r="Q569" s="429"/>
      <c r="R569" s="429"/>
      <c r="S569" s="429"/>
      <c r="T569" s="429"/>
      <c r="U569" s="429"/>
      <c r="V569" s="429"/>
      <c r="W569" s="429"/>
      <c r="X569" s="429"/>
      <c r="Y569" s="429"/>
      <c r="Z569" s="429"/>
      <c r="AA569" s="429"/>
      <c r="AB569" s="429"/>
      <c r="AC569" s="429"/>
      <c r="AD569" s="429"/>
      <c r="AE569" s="429"/>
      <c r="AF569" s="429"/>
      <c r="AG569" s="429"/>
      <c r="AH569" s="429"/>
      <c r="AI569" s="429"/>
      <c r="AJ569" s="429"/>
      <c r="AK569" s="429"/>
      <c r="AL569" s="429"/>
      <c r="AM569" s="429"/>
      <c r="AN569" s="429"/>
      <c r="AO569" s="429"/>
      <c r="AP569" s="429"/>
      <c r="AQ569" s="429"/>
      <c r="AR569" s="429"/>
      <c r="AS569" s="429"/>
      <c r="AT569" s="429"/>
      <c r="AU569" s="429"/>
      <c r="AV569" s="429">
        <f>F569</f>
        <v>5001</v>
      </c>
      <c r="AW569" s="429"/>
      <c r="AX569" s="429"/>
      <c r="AY569" s="429"/>
      <c r="AZ569" s="429"/>
      <c r="BA569" s="429"/>
      <c r="BB569" s="429"/>
      <c r="BC569" s="429"/>
      <c r="BD569" s="429"/>
      <c r="BE569" s="429"/>
      <c r="BF569" s="429"/>
      <c r="BG569" s="429"/>
      <c r="BH569" s="429"/>
      <c r="BI569" s="429"/>
      <c r="BJ569" s="429"/>
      <c r="BK569" s="429"/>
      <c r="BL569" s="429"/>
      <c r="BM569" s="429"/>
      <c r="BN569" s="429"/>
      <c r="BO569" s="429"/>
      <c r="BP569" s="102"/>
      <c r="BQ569" s="102">
        <v>3.182</v>
      </c>
      <c r="BR569" s="451">
        <f t="shared" si="49"/>
        <v>15913.18</v>
      </c>
      <c r="BS569" s="451">
        <f t="shared" si="50"/>
        <v>123327.15</v>
      </c>
      <c r="BT569" s="429" t="str">
        <f>IFERROR(VLOOKUP(E569,名称!A:D,4,FALSE),"")</f>
        <v>KIK</v>
      </c>
    </row>
    <row r="570" s="427" customFormat="1" hidden="1" customHeight="1" spans="1:72">
      <c r="A570" s="93">
        <v>46122</v>
      </c>
      <c r="B570" s="95"/>
      <c r="C570" s="96" t="s">
        <v>290</v>
      </c>
      <c r="D570" s="96"/>
      <c r="E570" s="97" t="s">
        <v>142</v>
      </c>
      <c r="F570" s="99">
        <v>53</v>
      </c>
      <c r="G570" s="93">
        <v>46190</v>
      </c>
      <c r="H570" s="429"/>
      <c r="I570" s="429"/>
      <c r="J570" s="429"/>
      <c r="K570" s="429"/>
      <c r="L570" s="429"/>
      <c r="M570" s="429"/>
      <c r="N570" s="429"/>
      <c r="O570" s="429"/>
      <c r="P570" s="429"/>
      <c r="Q570" s="429"/>
      <c r="R570" s="429"/>
      <c r="S570" s="429"/>
      <c r="T570" s="429"/>
      <c r="U570" s="429"/>
      <c r="V570" s="429"/>
      <c r="W570" s="429"/>
      <c r="X570" s="429"/>
      <c r="Y570" s="429"/>
      <c r="Z570" s="429"/>
      <c r="AA570" s="429"/>
      <c r="AB570" s="429"/>
      <c r="AC570" s="429"/>
      <c r="AD570" s="429"/>
      <c r="AE570" s="429"/>
      <c r="AF570" s="429"/>
      <c r="AG570" s="429"/>
      <c r="AH570" s="429"/>
      <c r="AI570" s="429"/>
      <c r="AJ570" s="429"/>
      <c r="AK570" s="429"/>
      <c r="AL570" s="429"/>
      <c r="AM570" s="429"/>
      <c r="AN570" s="429"/>
      <c r="AO570" s="429"/>
      <c r="AP570" s="429"/>
      <c r="AQ570" s="429"/>
      <c r="AR570" s="429"/>
      <c r="AS570" s="429"/>
      <c r="AT570" s="429"/>
      <c r="AU570" s="429"/>
      <c r="AV570" s="429">
        <f>F570</f>
        <v>53</v>
      </c>
      <c r="AW570" s="429"/>
      <c r="AX570" s="429"/>
      <c r="AY570" s="429"/>
      <c r="AZ570" s="429"/>
      <c r="BA570" s="429"/>
      <c r="BB570" s="429"/>
      <c r="BC570" s="429"/>
      <c r="BD570" s="429"/>
      <c r="BE570" s="429"/>
      <c r="BF570" s="429"/>
      <c r="BG570" s="429"/>
      <c r="BH570" s="429"/>
      <c r="BI570" s="429"/>
      <c r="BJ570" s="429"/>
      <c r="BK570" s="429"/>
      <c r="BL570" s="429"/>
      <c r="BM570" s="429"/>
      <c r="BN570" s="429"/>
      <c r="BO570" s="429"/>
      <c r="BP570" s="102"/>
      <c r="BQ570" s="102">
        <v>0</v>
      </c>
      <c r="BR570" s="451">
        <f t="shared" si="49"/>
        <v>0</v>
      </c>
      <c r="BS570" s="451">
        <f t="shared" si="50"/>
        <v>0</v>
      </c>
      <c r="BT570" s="429" t="str">
        <f>IFERROR(VLOOKUP(E570,名称!A:D,4,FALSE),"")</f>
        <v>KIK</v>
      </c>
    </row>
    <row r="571" s="425" customFormat="1" hidden="1" customHeight="1" spans="1:72">
      <c r="A571" s="108">
        <v>46123</v>
      </c>
      <c r="B571" s="109" t="s">
        <v>236</v>
      </c>
      <c r="C571" s="30">
        <v>10125013</v>
      </c>
      <c r="D571" s="110">
        <v>20219061</v>
      </c>
      <c r="E571" s="30" t="s">
        <v>137</v>
      </c>
      <c r="F571" s="31">
        <v>2000</v>
      </c>
      <c r="G571" s="108">
        <v>46267</v>
      </c>
      <c r="H571" s="443"/>
      <c r="I571" s="443"/>
      <c r="J571" s="443"/>
      <c r="K571" s="443"/>
      <c r="L571" s="443"/>
      <c r="M571" s="443"/>
      <c r="N571" s="443"/>
      <c r="O571" s="443"/>
      <c r="P571" s="443"/>
      <c r="Q571" s="443"/>
      <c r="R571" s="443"/>
      <c r="S571" s="443"/>
      <c r="T571" s="443"/>
      <c r="U571" s="443"/>
      <c r="V571" s="443"/>
      <c r="W571" s="443"/>
      <c r="X571" s="443"/>
      <c r="Y571" s="443"/>
      <c r="Z571" s="443"/>
      <c r="AA571" s="443"/>
      <c r="AB571" s="443"/>
      <c r="AC571" s="443"/>
      <c r="AD571" s="443"/>
      <c r="AE571" s="443"/>
      <c r="AF571" s="443"/>
      <c r="AG571" s="443"/>
      <c r="AH571" s="443"/>
      <c r="AI571" s="443"/>
      <c r="AJ571" s="443"/>
      <c r="AK571" s="443"/>
      <c r="AL571" s="443"/>
      <c r="AM571" s="443"/>
      <c r="AN571" s="443"/>
      <c r="AO571" s="443"/>
      <c r="AP571" s="443"/>
      <c r="AQ571" s="443"/>
      <c r="AR571" s="443"/>
      <c r="AS571" s="443"/>
      <c r="AT571" s="443">
        <f>F571</f>
        <v>2000</v>
      </c>
      <c r="AU571" s="443"/>
      <c r="AV571" s="443"/>
      <c r="AW571" s="443"/>
      <c r="AX571" s="443"/>
      <c r="AY571" s="443"/>
      <c r="AZ571" s="443"/>
      <c r="BA571" s="443"/>
      <c r="BB571" s="443"/>
      <c r="BC571" s="443"/>
      <c r="BD571" s="443"/>
      <c r="BE571" s="443"/>
      <c r="BF571" s="443"/>
      <c r="BG571" s="443"/>
      <c r="BH571" s="443"/>
      <c r="BI571" s="443"/>
      <c r="BJ571" s="443"/>
      <c r="BK571" s="443"/>
      <c r="BL571" s="443"/>
      <c r="BM571" s="443"/>
      <c r="BN571" s="443"/>
      <c r="BO571" s="443"/>
      <c r="BP571" s="92"/>
      <c r="BQ571" s="92">
        <v>4.081</v>
      </c>
      <c r="BR571" s="462">
        <f t="shared" si="49"/>
        <v>8162</v>
      </c>
      <c r="BS571" s="447">
        <f t="shared" si="50"/>
        <v>63255.5</v>
      </c>
      <c r="BT571" s="443" t="str">
        <f>IFERROR(VLOOKUP(E571,名称!A:D,4,FALSE),"")</f>
        <v>RRM</v>
      </c>
    </row>
    <row r="572" s="425" customFormat="1" hidden="1" customHeight="1" spans="1:72">
      <c r="A572" s="108">
        <v>46123</v>
      </c>
      <c r="B572" s="109" t="s">
        <v>236</v>
      </c>
      <c r="C572" s="110">
        <v>10125011</v>
      </c>
      <c r="D572" s="110">
        <v>20219058</v>
      </c>
      <c r="E572" s="30" t="s">
        <v>126</v>
      </c>
      <c r="F572" s="31">
        <v>3000</v>
      </c>
      <c r="G572" s="108">
        <v>46232</v>
      </c>
      <c r="H572" s="443"/>
      <c r="I572" s="443"/>
      <c r="J572" s="443"/>
      <c r="K572" s="443"/>
      <c r="L572" s="443"/>
      <c r="M572" s="443"/>
      <c r="N572" s="443"/>
      <c r="O572" s="443"/>
      <c r="P572" s="443"/>
      <c r="Q572" s="443"/>
      <c r="R572" s="443"/>
      <c r="S572" s="443"/>
      <c r="T572" s="443"/>
      <c r="U572" s="443"/>
      <c r="V572" s="443"/>
      <c r="W572" s="443"/>
      <c r="X572" s="443"/>
      <c r="Y572" s="443"/>
      <c r="Z572" s="443"/>
      <c r="AA572" s="443"/>
      <c r="AB572" s="443"/>
      <c r="AC572" s="443"/>
      <c r="AD572" s="443"/>
      <c r="AE572" s="443"/>
      <c r="AF572" s="443"/>
      <c r="AG572" s="443"/>
      <c r="AH572" s="443"/>
      <c r="AI572" s="443"/>
      <c r="AJ572" s="443"/>
      <c r="AK572" s="443"/>
      <c r="AL572" s="443"/>
      <c r="AM572" s="443"/>
      <c r="AN572" s="443"/>
      <c r="AO572" s="443"/>
      <c r="AP572" s="443"/>
      <c r="AQ572" s="443"/>
      <c r="AR572" s="443"/>
      <c r="AS572" s="443">
        <f>F572</f>
        <v>3000</v>
      </c>
      <c r="AT572" s="443"/>
      <c r="AU572" s="443"/>
      <c r="AV572" s="443"/>
      <c r="AW572" s="443"/>
      <c r="AX572" s="443"/>
      <c r="AY572" s="443"/>
      <c r="AZ572" s="443"/>
      <c r="BA572" s="443"/>
      <c r="BB572" s="443"/>
      <c r="BC572" s="443"/>
      <c r="BD572" s="443"/>
      <c r="BE572" s="443"/>
      <c r="BF572" s="443"/>
      <c r="BG572" s="443"/>
      <c r="BH572" s="443"/>
      <c r="BI572" s="443"/>
      <c r="BJ572" s="443"/>
      <c r="BK572" s="443"/>
      <c r="BL572" s="443"/>
      <c r="BM572" s="443"/>
      <c r="BN572" s="443"/>
      <c r="BO572" s="443"/>
      <c r="BP572" s="92"/>
      <c r="BQ572" s="92">
        <v>1.746</v>
      </c>
      <c r="BR572" s="462">
        <f t="shared" si="49"/>
        <v>5238</v>
      </c>
      <c r="BS572" s="447">
        <f t="shared" si="50"/>
        <v>40594.5</v>
      </c>
      <c r="BT572" s="443" t="str">
        <f>IFERROR(VLOOKUP(E572,名称!A:D,4,FALSE),"")</f>
        <v>RRM</v>
      </c>
    </row>
    <row r="573" s="427" customFormat="1" hidden="1" customHeight="1" spans="1:72">
      <c r="A573" s="93">
        <v>46129</v>
      </c>
      <c r="B573" s="95" t="s">
        <v>248</v>
      </c>
      <c r="C573" s="96">
        <v>10125104</v>
      </c>
      <c r="D573" s="96" t="s">
        <v>291</v>
      </c>
      <c r="E573" s="97" t="s">
        <v>113</v>
      </c>
      <c r="F573" s="99">
        <v>11</v>
      </c>
      <c r="G573" s="93">
        <v>46140</v>
      </c>
      <c r="H573" s="429"/>
      <c r="I573" s="429"/>
      <c r="J573" s="429"/>
      <c r="K573" s="429"/>
      <c r="L573" s="429"/>
      <c r="M573" s="429"/>
      <c r="N573" s="429"/>
      <c r="O573" s="429"/>
      <c r="P573" s="429"/>
      <c r="Q573" s="429"/>
      <c r="R573" s="429"/>
      <c r="S573" s="429"/>
      <c r="T573" s="429"/>
      <c r="U573" s="429"/>
      <c r="V573" s="429"/>
      <c r="W573" s="429"/>
      <c r="X573" s="429"/>
      <c r="Y573" s="429"/>
      <c r="Z573" s="429"/>
      <c r="AA573" s="429"/>
      <c r="AB573" s="429"/>
      <c r="AC573" s="429"/>
      <c r="AD573" s="429"/>
      <c r="AE573" s="429"/>
      <c r="AF573" s="429"/>
      <c r="AG573" s="429"/>
      <c r="AH573" s="429"/>
      <c r="AI573" s="429"/>
      <c r="AJ573" s="429"/>
      <c r="AK573" s="429"/>
      <c r="AL573" s="429"/>
      <c r="AM573" s="429"/>
      <c r="AN573" s="429">
        <f>F573</f>
        <v>11</v>
      </c>
      <c r="AO573" s="429"/>
      <c r="AP573" s="429"/>
      <c r="AQ573" s="429"/>
      <c r="AR573" s="429"/>
      <c r="AS573" s="429"/>
      <c r="AT573" s="429"/>
      <c r="AU573" s="429"/>
      <c r="AV573" s="429"/>
      <c r="AW573" s="429"/>
      <c r="AX573" s="429"/>
      <c r="AY573" s="429"/>
      <c r="AZ573" s="429"/>
      <c r="BA573" s="429"/>
      <c r="BB573" s="429"/>
      <c r="BC573" s="429"/>
      <c r="BD573" s="429"/>
      <c r="BE573" s="429"/>
      <c r="BF573" s="429"/>
      <c r="BG573" s="429"/>
      <c r="BH573" s="429"/>
      <c r="BI573" s="429"/>
      <c r="BJ573" s="429"/>
      <c r="BK573" s="429"/>
      <c r="BL573" s="429"/>
      <c r="BM573" s="429"/>
      <c r="BN573" s="429"/>
      <c r="BO573" s="429"/>
      <c r="BP573" s="102"/>
      <c r="BQ573" s="102">
        <v>5.9</v>
      </c>
      <c r="BR573" s="451">
        <f t="shared" si="49"/>
        <v>64.9</v>
      </c>
      <c r="BS573" s="451">
        <f t="shared" si="50"/>
        <v>502.98</v>
      </c>
      <c r="BT573" s="429" t="str">
        <f>IFERROR(VLOOKUP(E573,名称!A:D,4,FALSE),"")</f>
        <v>KIK</v>
      </c>
    </row>
    <row r="574" s="427" customFormat="1" hidden="1" customHeight="1" spans="1:72">
      <c r="A574" s="93">
        <v>46129</v>
      </c>
      <c r="B574" s="95" t="s">
        <v>237</v>
      </c>
      <c r="C574" s="96">
        <v>10125318</v>
      </c>
      <c r="D574" s="96" t="s">
        <v>292</v>
      </c>
      <c r="E574" s="97" t="s">
        <v>142</v>
      </c>
      <c r="F574" s="99">
        <v>1002</v>
      </c>
      <c r="G574" s="93">
        <v>46218</v>
      </c>
      <c r="H574" s="429"/>
      <c r="I574" s="429"/>
      <c r="J574" s="429"/>
      <c r="K574" s="429"/>
      <c r="L574" s="429"/>
      <c r="M574" s="429"/>
      <c r="N574" s="429"/>
      <c r="O574" s="429"/>
      <c r="P574" s="429"/>
      <c r="Q574" s="429"/>
      <c r="R574" s="429"/>
      <c r="S574" s="429"/>
      <c r="T574" s="429"/>
      <c r="U574" s="429"/>
      <c r="V574" s="429"/>
      <c r="W574" s="429"/>
      <c r="X574" s="429"/>
      <c r="Y574" s="429"/>
      <c r="Z574" s="429"/>
      <c r="AA574" s="429"/>
      <c r="AB574" s="429"/>
      <c r="AC574" s="429"/>
      <c r="AD574" s="429"/>
      <c r="AE574" s="429"/>
      <c r="AF574" s="429"/>
      <c r="AG574" s="429"/>
      <c r="AH574" s="429"/>
      <c r="AI574" s="429"/>
      <c r="AJ574" s="429"/>
      <c r="AK574" s="429"/>
      <c r="AL574" s="429"/>
      <c r="AM574" s="429"/>
      <c r="AN574" s="429"/>
      <c r="AO574" s="429"/>
      <c r="AP574" s="429"/>
      <c r="AQ574" s="429"/>
      <c r="AR574" s="429"/>
      <c r="AS574" s="429"/>
      <c r="AT574" s="429"/>
      <c r="AU574" s="429"/>
      <c r="AV574" s="429">
        <f>F574</f>
        <v>1002</v>
      </c>
      <c r="AW574" s="429"/>
      <c r="AX574" s="429"/>
      <c r="AY574" s="429"/>
      <c r="AZ574" s="429"/>
      <c r="BA574" s="429"/>
      <c r="BB574" s="429"/>
      <c r="BC574" s="429"/>
      <c r="BD574" s="429"/>
      <c r="BE574" s="429"/>
      <c r="BF574" s="429"/>
      <c r="BG574" s="429"/>
      <c r="BH574" s="429"/>
      <c r="BI574" s="429"/>
      <c r="BJ574" s="429"/>
      <c r="BK574" s="429"/>
      <c r="BL574" s="429"/>
      <c r="BM574" s="429"/>
      <c r="BN574" s="429"/>
      <c r="BO574" s="429"/>
      <c r="BP574" s="102"/>
      <c r="BQ574" s="102">
        <v>3.182</v>
      </c>
      <c r="BR574" s="451">
        <f t="shared" si="49"/>
        <v>3188.36</v>
      </c>
      <c r="BS574" s="451">
        <f t="shared" si="50"/>
        <v>24709.79</v>
      </c>
      <c r="BT574" s="429" t="str">
        <f>IFERROR(VLOOKUP(E574,名称!A:D,4,FALSE),"")</f>
        <v>KIK</v>
      </c>
    </row>
    <row r="575" s="427" customFormat="1" hidden="1" customHeight="1" spans="1:72">
      <c r="A575" s="93">
        <v>46129</v>
      </c>
      <c r="B575" s="95" t="s">
        <v>237</v>
      </c>
      <c r="C575" s="97">
        <v>10125329</v>
      </c>
      <c r="D575" s="96" t="s">
        <v>293</v>
      </c>
      <c r="E575" s="97" t="s">
        <v>115</v>
      </c>
      <c r="F575" s="99">
        <v>1700</v>
      </c>
      <c r="G575" s="93">
        <v>46225</v>
      </c>
      <c r="H575" s="429"/>
      <c r="I575" s="429"/>
      <c r="J575" s="429"/>
      <c r="K575" s="429"/>
      <c r="L575" s="429"/>
      <c r="M575" s="429"/>
      <c r="N575" s="429"/>
      <c r="O575" s="429"/>
      <c r="P575" s="429"/>
      <c r="Q575" s="429"/>
      <c r="R575" s="429"/>
      <c r="S575" s="429"/>
      <c r="T575" s="429"/>
      <c r="U575" s="429"/>
      <c r="V575" s="429"/>
      <c r="W575" s="429"/>
      <c r="X575" s="429"/>
      <c r="Y575" s="429"/>
      <c r="Z575" s="429"/>
      <c r="AA575" s="429"/>
      <c r="AB575" s="429"/>
      <c r="AC575" s="429"/>
      <c r="AD575" s="429"/>
      <c r="AE575" s="429"/>
      <c r="AF575" s="429"/>
      <c r="AG575" s="429"/>
      <c r="AH575" s="429"/>
      <c r="AI575" s="429"/>
      <c r="AJ575" s="429"/>
      <c r="AK575" s="429"/>
      <c r="AL575" s="429"/>
      <c r="AM575" s="429"/>
      <c r="AN575" s="429"/>
      <c r="AO575" s="429">
        <f>F575</f>
        <v>1700</v>
      </c>
      <c r="AP575" s="429"/>
      <c r="AQ575" s="429"/>
      <c r="AR575" s="429"/>
      <c r="AS575" s="429"/>
      <c r="AT575" s="429"/>
      <c r="AU575" s="429"/>
      <c r="AV575" s="429"/>
      <c r="AW575" s="429"/>
      <c r="AX575" s="429"/>
      <c r="AY575" s="429"/>
      <c r="AZ575" s="429"/>
      <c r="BA575" s="429"/>
      <c r="BB575" s="429"/>
      <c r="BC575" s="429"/>
      <c r="BD575" s="429"/>
      <c r="BE575" s="429"/>
      <c r="BF575" s="429"/>
      <c r="BG575" s="429"/>
      <c r="BH575" s="429"/>
      <c r="BI575" s="429"/>
      <c r="BJ575" s="429"/>
      <c r="BK575" s="429"/>
      <c r="BL575" s="429"/>
      <c r="BM575" s="429"/>
      <c r="BN575" s="429"/>
      <c r="BO575" s="429"/>
      <c r="BP575" s="102"/>
      <c r="BQ575" s="102">
        <v>2.115</v>
      </c>
      <c r="BR575" s="451">
        <f t="shared" si="49"/>
        <v>3595.5</v>
      </c>
      <c r="BS575" s="451">
        <f t="shared" si="50"/>
        <v>27865.13</v>
      </c>
      <c r="BT575" s="429" t="str">
        <f>IFERROR(VLOOKUP(E575,名称!A:D,4,FALSE),"")</f>
        <v>KIK</v>
      </c>
    </row>
    <row r="576" s="427" customFormat="1" hidden="1" customHeight="1" spans="1:72">
      <c r="A576" s="93">
        <v>46129</v>
      </c>
      <c r="B576" s="95" t="s">
        <v>237</v>
      </c>
      <c r="C576" s="97">
        <v>10125329</v>
      </c>
      <c r="D576" s="96" t="s">
        <v>293</v>
      </c>
      <c r="E576" s="97" t="s">
        <v>115</v>
      </c>
      <c r="F576" s="99">
        <f>5000-1600-1700</f>
        <v>1700</v>
      </c>
      <c r="G576" s="93">
        <v>46225</v>
      </c>
      <c r="H576" s="429"/>
      <c r="I576" s="429"/>
      <c r="J576" s="429"/>
      <c r="K576" s="429"/>
      <c r="L576" s="429"/>
      <c r="M576" s="429"/>
      <c r="N576" s="429"/>
      <c r="O576" s="429"/>
      <c r="P576" s="429"/>
      <c r="Q576" s="429"/>
      <c r="R576" s="429"/>
      <c r="S576" s="429"/>
      <c r="T576" s="429"/>
      <c r="U576" s="429"/>
      <c r="V576" s="429"/>
      <c r="W576" s="429"/>
      <c r="X576" s="429"/>
      <c r="Y576" s="429"/>
      <c r="Z576" s="429"/>
      <c r="AA576" s="429"/>
      <c r="AB576" s="429"/>
      <c r="AC576" s="429"/>
      <c r="AD576" s="429"/>
      <c r="AE576" s="429"/>
      <c r="AF576" s="429"/>
      <c r="AG576" s="429"/>
      <c r="AH576" s="429"/>
      <c r="AI576" s="429"/>
      <c r="AJ576" s="429"/>
      <c r="AK576" s="429"/>
      <c r="AL576" s="429"/>
      <c r="AM576" s="429"/>
      <c r="AN576" s="429"/>
      <c r="AO576" s="429">
        <f>F576</f>
        <v>1700</v>
      </c>
      <c r="AP576" s="429"/>
      <c r="AQ576" s="429"/>
      <c r="AR576" s="429"/>
      <c r="AS576" s="429"/>
      <c r="AT576" s="429"/>
      <c r="AU576" s="429"/>
      <c r="AV576" s="429"/>
      <c r="AW576" s="429"/>
      <c r="AX576" s="429"/>
      <c r="AY576" s="429"/>
      <c r="AZ576" s="429"/>
      <c r="BA576" s="429"/>
      <c r="BB576" s="429"/>
      <c r="BC576" s="429"/>
      <c r="BD576" s="429"/>
      <c r="BE576" s="429"/>
      <c r="BF576" s="429"/>
      <c r="BG576" s="429"/>
      <c r="BH576" s="429"/>
      <c r="BI576" s="429"/>
      <c r="BJ576" s="429"/>
      <c r="BK576" s="429"/>
      <c r="BL576" s="429"/>
      <c r="BM576" s="429"/>
      <c r="BN576" s="429"/>
      <c r="BO576" s="429"/>
      <c r="BP576" s="102"/>
      <c r="BQ576" s="102">
        <v>2.115</v>
      </c>
      <c r="BR576" s="451">
        <f t="shared" si="49"/>
        <v>3595.5</v>
      </c>
      <c r="BS576" s="451">
        <f t="shared" si="50"/>
        <v>27865.13</v>
      </c>
      <c r="BT576" s="429" t="str">
        <f>IFERROR(VLOOKUP(E576,名称!A:D,4,FALSE),"")</f>
        <v>KIK</v>
      </c>
    </row>
    <row r="577" s="427" customFormat="1" hidden="1" customHeight="1" spans="1:72">
      <c r="A577" s="93">
        <v>46129</v>
      </c>
      <c r="B577" s="95" t="s">
        <v>237</v>
      </c>
      <c r="C577" s="97">
        <v>10125329</v>
      </c>
      <c r="D577" s="96" t="s">
        <v>293</v>
      </c>
      <c r="E577" s="97" t="s">
        <v>115</v>
      </c>
      <c r="F577" s="99">
        <v>1600</v>
      </c>
      <c r="G577" s="93">
        <v>46225</v>
      </c>
      <c r="H577" s="429"/>
      <c r="I577" s="429"/>
      <c r="J577" s="429"/>
      <c r="K577" s="429"/>
      <c r="L577" s="429"/>
      <c r="M577" s="429"/>
      <c r="N577" s="429"/>
      <c r="O577" s="429"/>
      <c r="P577" s="429"/>
      <c r="Q577" s="429"/>
      <c r="R577" s="429"/>
      <c r="S577" s="429"/>
      <c r="T577" s="429"/>
      <c r="U577" s="429"/>
      <c r="V577" s="429"/>
      <c r="W577" s="429"/>
      <c r="X577" s="429"/>
      <c r="Y577" s="429"/>
      <c r="Z577" s="429"/>
      <c r="AA577" s="429"/>
      <c r="AB577" s="429"/>
      <c r="AC577" s="429"/>
      <c r="AD577" s="429"/>
      <c r="AE577" s="429"/>
      <c r="AF577" s="429"/>
      <c r="AG577" s="429"/>
      <c r="AH577" s="429"/>
      <c r="AI577" s="429"/>
      <c r="AJ577" s="429"/>
      <c r="AK577" s="429"/>
      <c r="AL577" s="429"/>
      <c r="AM577" s="429"/>
      <c r="AN577" s="429"/>
      <c r="AO577" s="429">
        <f>F577</f>
        <v>1600</v>
      </c>
      <c r="AP577" s="429"/>
      <c r="AQ577" s="429"/>
      <c r="AR577" s="429"/>
      <c r="AS577" s="429"/>
      <c r="AT577" s="429"/>
      <c r="AU577" s="429"/>
      <c r="AV577" s="429"/>
      <c r="AW577" s="429"/>
      <c r="AX577" s="429"/>
      <c r="AY577" s="429"/>
      <c r="AZ577" s="429"/>
      <c r="BA577" s="429"/>
      <c r="BB577" s="429"/>
      <c r="BC577" s="429"/>
      <c r="BD577" s="429"/>
      <c r="BE577" s="429"/>
      <c r="BF577" s="429"/>
      <c r="BG577" s="429"/>
      <c r="BH577" s="429"/>
      <c r="BI577" s="429"/>
      <c r="BJ577" s="429"/>
      <c r="BK577" s="429"/>
      <c r="BL577" s="429"/>
      <c r="BM577" s="429"/>
      <c r="BN577" s="429"/>
      <c r="BO577" s="429"/>
      <c r="BP577" s="102"/>
      <c r="BQ577" s="102">
        <v>2.115</v>
      </c>
      <c r="BR577" s="451">
        <f t="shared" si="49"/>
        <v>3384</v>
      </c>
      <c r="BS577" s="451">
        <f t="shared" si="50"/>
        <v>26226</v>
      </c>
      <c r="BT577" s="429" t="str">
        <f>IFERROR(VLOOKUP(E577,名称!A:D,4,FALSE),"")</f>
        <v>KIK</v>
      </c>
    </row>
    <row r="578" s="425" customFormat="1" hidden="1" customHeight="1" spans="1:72">
      <c r="A578" s="108">
        <v>46129</v>
      </c>
      <c r="B578" s="109" t="s">
        <v>237</v>
      </c>
      <c r="C578" s="110">
        <v>10125389</v>
      </c>
      <c r="D578" s="110" t="s">
        <v>294</v>
      </c>
      <c r="E578" s="30" t="s">
        <v>187</v>
      </c>
      <c r="F578" s="31">
        <v>5000</v>
      </c>
      <c r="G578" s="108">
        <v>46274</v>
      </c>
      <c r="H578" s="443"/>
      <c r="I578" s="443"/>
      <c r="J578" s="443"/>
      <c r="K578" s="443"/>
      <c r="L578" s="443"/>
      <c r="M578" s="443"/>
      <c r="N578" s="443"/>
      <c r="O578" s="443"/>
      <c r="P578" s="443"/>
      <c r="Q578" s="443"/>
      <c r="R578" s="443"/>
      <c r="S578" s="443"/>
      <c r="T578" s="443"/>
      <c r="U578" s="443"/>
      <c r="V578" s="443"/>
      <c r="W578" s="443"/>
      <c r="X578" s="443"/>
      <c r="Y578" s="443"/>
      <c r="Z578" s="443"/>
      <c r="AA578" s="443"/>
      <c r="AB578" s="443"/>
      <c r="AC578" s="443"/>
      <c r="AD578" s="443"/>
      <c r="AE578" s="443"/>
      <c r="AF578" s="443"/>
      <c r="AG578" s="443"/>
      <c r="AH578" s="443"/>
      <c r="AI578" s="443"/>
      <c r="AJ578" s="443"/>
      <c r="AK578" s="443"/>
      <c r="AL578" s="443"/>
      <c r="AM578" s="443"/>
      <c r="AN578" s="443"/>
      <c r="AO578" s="443"/>
      <c r="AP578" s="443">
        <f>F578</f>
        <v>5000</v>
      </c>
      <c r="AQ578" s="443"/>
      <c r="AR578" s="443"/>
      <c r="AS578" s="443"/>
      <c r="AT578" s="443"/>
      <c r="AU578" s="443"/>
      <c r="AV578" s="443"/>
      <c r="AW578" s="443"/>
      <c r="AX578" s="443"/>
      <c r="AY578" s="443"/>
      <c r="AZ578" s="443"/>
      <c r="BA578" s="443"/>
      <c r="BB578" s="443"/>
      <c r="BC578" s="443"/>
      <c r="BD578" s="443"/>
      <c r="BE578" s="443"/>
      <c r="BF578" s="443"/>
      <c r="BG578" s="443"/>
      <c r="BH578" s="443"/>
      <c r="BI578" s="443"/>
      <c r="BJ578" s="443"/>
      <c r="BK578" s="443"/>
      <c r="BL578" s="443"/>
      <c r="BM578" s="443"/>
      <c r="BN578" s="443"/>
      <c r="BO578" s="443"/>
      <c r="BP578" s="92"/>
      <c r="BQ578" s="92">
        <v>4.419</v>
      </c>
      <c r="BR578" s="462">
        <f t="shared" si="49"/>
        <v>22095</v>
      </c>
      <c r="BS578" s="447">
        <f t="shared" si="50"/>
        <v>171236.25</v>
      </c>
      <c r="BT578" s="443" t="str">
        <f>IFERROR(VLOOKUP(E578,名称!A:D,4,FALSE),"")</f>
        <v>RRM</v>
      </c>
    </row>
    <row r="579" s="427" customFormat="1" hidden="1" customHeight="1" spans="1:72">
      <c r="A579" s="93">
        <v>46129</v>
      </c>
      <c r="B579" s="95" t="s">
        <v>237</v>
      </c>
      <c r="C579" s="96">
        <v>10125186</v>
      </c>
      <c r="D579" s="96" t="s">
        <v>295</v>
      </c>
      <c r="E579" s="97" t="s">
        <v>144</v>
      </c>
      <c r="F579" s="99">
        <v>48</v>
      </c>
      <c r="G579" s="93">
        <v>46176</v>
      </c>
      <c r="H579" s="429"/>
      <c r="I579" s="429"/>
      <c r="J579" s="429"/>
      <c r="K579" s="429"/>
      <c r="L579" s="429"/>
      <c r="M579" s="429"/>
      <c r="N579" s="429"/>
      <c r="O579" s="429"/>
      <c r="P579" s="429"/>
      <c r="Q579" s="429"/>
      <c r="R579" s="429"/>
      <c r="S579" s="429"/>
      <c r="T579" s="429"/>
      <c r="U579" s="429"/>
      <c r="V579" s="429"/>
      <c r="W579" s="429"/>
      <c r="X579" s="429"/>
      <c r="Y579" s="429"/>
      <c r="Z579" s="429"/>
      <c r="AA579" s="429"/>
      <c r="AB579" s="429"/>
      <c r="AC579" s="429"/>
      <c r="AD579" s="429"/>
      <c r="AE579" s="429"/>
      <c r="AF579" s="429"/>
      <c r="AG579" s="429"/>
      <c r="AH579" s="429"/>
      <c r="AI579" s="429"/>
      <c r="AJ579" s="429"/>
      <c r="AK579" s="429"/>
      <c r="AL579" s="429"/>
      <c r="AM579" s="429"/>
      <c r="AN579" s="429"/>
      <c r="AO579" s="429"/>
      <c r="AP579" s="429"/>
      <c r="AQ579" s="429"/>
      <c r="AR579" s="429"/>
      <c r="AS579" s="429"/>
      <c r="AT579" s="429"/>
      <c r="AU579" s="429"/>
      <c r="AV579" s="429"/>
      <c r="AW579" s="429">
        <f>F579</f>
        <v>48</v>
      </c>
      <c r="AX579" s="429"/>
      <c r="AY579" s="429"/>
      <c r="AZ579" s="429"/>
      <c r="BA579" s="429"/>
      <c r="BB579" s="429"/>
      <c r="BC579" s="429"/>
      <c r="BD579" s="429"/>
      <c r="BE579" s="429"/>
      <c r="BF579" s="429"/>
      <c r="BG579" s="429"/>
      <c r="BH579" s="429"/>
      <c r="BI579" s="429"/>
      <c r="BJ579" s="429"/>
      <c r="BK579" s="429"/>
      <c r="BL579" s="429"/>
      <c r="BM579" s="429"/>
      <c r="BN579" s="429"/>
      <c r="BO579" s="429"/>
      <c r="BP579" s="102"/>
      <c r="BQ579" s="102">
        <v>3.926</v>
      </c>
      <c r="BR579" s="451">
        <f t="shared" si="49"/>
        <v>188.45</v>
      </c>
      <c r="BS579" s="451">
        <f t="shared" si="50"/>
        <v>1460.49</v>
      </c>
      <c r="BT579" s="429" t="str">
        <f>IFERROR(VLOOKUP(E579,名称!A:D,4,FALSE),"")</f>
        <v>河源</v>
      </c>
    </row>
    <row r="580" s="427" customFormat="1" hidden="1" customHeight="1" spans="1:72">
      <c r="A580" s="93">
        <v>46129</v>
      </c>
      <c r="B580" s="95" t="s">
        <v>237</v>
      </c>
      <c r="C580" s="96">
        <v>10125186</v>
      </c>
      <c r="D580" s="96" t="s">
        <v>295</v>
      </c>
      <c r="E580" s="97" t="s">
        <v>189</v>
      </c>
      <c r="F580" s="99">
        <v>8</v>
      </c>
      <c r="G580" s="93">
        <v>46176</v>
      </c>
      <c r="H580" s="429"/>
      <c r="I580" s="429"/>
      <c r="J580" s="429"/>
      <c r="K580" s="429"/>
      <c r="L580" s="429"/>
      <c r="M580" s="429"/>
      <c r="N580" s="429"/>
      <c r="O580" s="429"/>
      <c r="P580" s="429"/>
      <c r="Q580" s="429"/>
      <c r="R580" s="429"/>
      <c r="S580" s="429"/>
      <c r="T580" s="429"/>
      <c r="U580" s="429"/>
      <c r="V580" s="429"/>
      <c r="W580" s="429"/>
      <c r="X580" s="429"/>
      <c r="Y580" s="429"/>
      <c r="Z580" s="429"/>
      <c r="AA580" s="429"/>
      <c r="AB580" s="429"/>
      <c r="AC580" s="429"/>
      <c r="AD580" s="429"/>
      <c r="AE580" s="429"/>
      <c r="AF580" s="429"/>
      <c r="AG580" s="429"/>
      <c r="AH580" s="429"/>
      <c r="AI580" s="429"/>
      <c r="AJ580" s="429"/>
      <c r="AK580" s="429"/>
      <c r="AL580" s="429"/>
      <c r="AM580" s="429"/>
      <c r="AN580" s="429"/>
      <c r="AO580" s="429"/>
      <c r="AP580" s="429"/>
      <c r="AQ580" s="429"/>
      <c r="AR580" s="429"/>
      <c r="AS580" s="429"/>
      <c r="AT580" s="429"/>
      <c r="AU580" s="429"/>
      <c r="AV580" s="429"/>
      <c r="AW580" s="429"/>
      <c r="AX580" s="429"/>
      <c r="AY580" s="429"/>
      <c r="AZ580" s="429"/>
      <c r="BA580" s="429"/>
      <c r="BB580" s="429"/>
      <c r="BC580" s="429"/>
      <c r="BD580" s="429">
        <f>F580</f>
        <v>8</v>
      </c>
      <c r="BE580" s="429"/>
      <c r="BF580" s="429"/>
      <c r="BG580" s="429"/>
      <c r="BH580" s="429"/>
      <c r="BI580" s="429"/>
      <c r="BJ580" s="429"/>
      <c r="BK580" s="429"/>
      <c r="BL580" s="429"/>
      <c r="BM580" s="429"/>
      <c r="BN580" s="429"/>
      <c r="BO580" s="429"/>
      <c r="BP580" s="102"/>
      <c r="BQ580" s="102">
        <v>3.926</v>
      </c>
      <c r="BR580" s="451">
        <f t="shared" si="49"/>
        <v>31.41</v>
      </c>
      <c r="BS580" s="451">
        <f t="shared" si="50"/>
        <v>243.43</v>
      </c>
      <c r="BT580" s="429" t="str">
        <f>IFERROR(VLOOKUP(E580,名称!A:D,4,FALSE),"")</f>
        <v>KIK</v>
      </c>
    </row>
    <row r="581" s="427" customFormat="1" hidden="1" customHeight="1" spans="1:72">
      <c r="A581" s="93">
        <v>46129</v>
      </c>
      <c r="B581" s="95" t="s">
        <v>237</v>
      </c>
      <c r="C581" s="96">
        <v>10125186</v>
      </c>
      <c r="D581" s="96" t="s">
        <v>295</v>
      </c>
      <c r="E581" s="97" t="s">
        <v>148</v>
      </c>
      <c r="F581" s="99">
        <v>11</v>
      </c>
      <c r="G581" s="93">
        <v>46176</v>
      </c>
      <c r="H581" s="429"/>
      <c r="I581" s="429"/>
      <c r="J581" s="429"/>
      <c r="K581" s="429"/>
      <c r="L581" s="429"/>
      <c r="M581" s="429"/>
      <c r="N581" s="429"/>
      <c r="O581" s="429"/>
      <c r="P581" s="429"/>
      <c r="Q581" s="429"/>
      <c r="R581" s="429"/>
      <c r="S581" s="429"/>
      <c r="T581" s="429"/>
      <c r="U581" s="429"/>
      <c r="V581" s="429"/>
      <c r="W581" s="429"/>
      <c r="X581" s="429"/>
      <c r="Y581" s="429"/>
      <c r="Z581" s="429"/>
      <c r="AA581" s="429"/>
      <c r="AB581" s="429"/>
      <c r="AC581" s="429"/>
      <c r="AD581" s="429"/>
      <c r="AE581" s="429"/>
      <c r="AF581" s="429"/>
      <c r="AG581" s="429"/>
      <c r="AH581" s="429"/>
      <c r="AI581" s="429"/>
      <c r="AJ581" s="429"/>
      <c r="AK581" s="429"/>
      <c r="AL581" s="429"/>
      <c r="AM581" s="429"/>
      <c r="AN581" s="429"/>
      <c r="AO581" s="429"/>
      <c r="AP581" s="429"/>
      <c r="AQ581" s="429"/>
      <c r="AR581" s="429"/>
      <c r="AS581" s="429"/>
      <c r="AT581" s="429"/>
      <c r="AU581" s="429"/>
      <c r="AV581" s="429"/>
      <c r="AW581" s="429"/>
      <c r="AX581" s="429">
        <f>F581</f>
        <v>11</v>
      </c>
      <c r="AY581" s="429"/>
      <c r="AZ581" s="429"/>
      <c r="BA581" s="429"/>
      <c r="BB581" s="429"/>
      <c r="BC581" s="429"/>
      <c r="BD581" s="429"/>
      <c r="BE581" s="429"/>
      <c r="BF581" s="429"/>
      <c r="BG581" s="429"/>
      <c r="BH581" s="429"/>
      <c r="BI581" s="429"/>
      <c r="BJ581" s="429"/>
      <c r="BK581" s="429"/>
      <c r="BL581" s="429"/>
      <c r="BM581" s="429"/>
      <c r="BN581" s="429"/>
      <c r="BO581" s="429"/>
      <c r="BP581" s="102"/>
      <c r="BQ581" s="102">
        <v>8.111</v>
      </c>
      <c r="BR581" s="451">
        <f t="shared" si="49"/>
        <v>89.22</v>
      </c>
      <c r="BS581" s="451">
        <f t="shared" si="50"/>
        <v>691.46</v>
      </c>
      <c r="BT581" s="429" t="str">
        <f>IFERROR(VLOOKUP(E581,名称!A:D,4,FALSE),"")</f>
        <v>河源</v>
      </c>
    </row>
    <row r="582" s="425" customFormat="1" hidden="1" customHeight="1" spans="1:72">
      <c r="A582" s="108">
        <v>46129</v>
      </c>
      <c r="B582" s="109" t="s">
        <v>236</v>
      </c>
      <c r="C582" s="30">
        <v>10125362</v>
      </c>
      <c r="D582" s="110">
        <v>20219091</v>
      </c>
      <c r="E582" s="30" t="s">
        <v>191</v>
      </c>
      <c r="F582" s="31">
        <v>3000</v>
      </c>
      <c r="G582" s="108">
        <v>46288</v>
      </c>
      <c r="H582" s="443"/>
      <c r="I582" s="443"/>
      <c r="J582" s="443"/>
      <c r="K582" s="443"/>
      <c r="L582" s="443"/>
      <c r="M582" s="443"/>
      <c r="N582" s="443"/>
      <c r="O582" s="443"/>
      <c r="P582" s="443"/>
      <c r="Q582" s="443"/>
      <c r="R582" s="443"/>
      <c r="S582" s="443"/>
      <c r="T582" s="443"/>
      <c r="U582" s="443"/>
      <c r="V582" s="443"/>
      <c r="W582" s="443"/>
      <c r="X582" s="443"/>
      <c r="Y582" s="443"/>
      <c r="Z582" s="443"/>
      <c r="AA582" s="443"/>
      <c r="AB582" s="443"/>
      <c r="AC582" s="443"/>
      <c r="AD582" s="443"/>
      <c r="AE582" s="443"/>
      <c r="AF582" s="443"/>
      <c r="AG582" s="443"/>
      <c r="AH582" s="443"/>
      <c r="AI582" s="443"/>
      <c r="AJ582" s="443"/>
      <c r="AK582" s="443"/>
      <c r="AL582" s="443"/>
      <c r="AM582" s="443"/>
      <c r="AN582" s="443"/>
      <c r="AO582" s="443"/>
      <c r="AP582" s="443"/>
      <c r="AQ582" s="443"/>
      <c r="AR582" s="443"/>
      <c r="AS582" s="443"/>
      <c r="AT582" s="443"/>
      <c r="AU582" s="443"/>
      <c r="AV582" s="443"/>
      <c r="AW582" s="443"/>
      <c r="AX582" s="443"/>
      <c r="AY582" s="443"/>
      <c r="AZ582" s="443"/>
      <c r="BA582" s="443"/>
      <c r="BB582" s="443"/>
      <c r="BC582" s="443"/>
      <c r="BD582" s="443"/>
      <c r="BE582" s="443">
        <f>F582</f>
        <v>3000</v>
      </c>
      <c r="BF582" s="443"/>
      <c r="BG582" s="443"/>
      <c r="BH582" s="443"/>
      <c r="BI582" s="443"/>
      <c r="BJ582" s="443"/>
      <c r="BK582" s="443"/>
      <c r="BL582" s="443"/>
      <c r="BM582" s="443"/>
      <c r="BN582" s="443"/>
      <c r="BO582" s="443"/>
      <c r="BP582" s="92"/>
      <c r="BQ582" s="92">
        <v>2.215</v>
      </c>
      <c r="BR582" s="462">
        <f t="shared" si="49"/>
        <v>6645</v>
      </c>
      <c r="BS582" s="447">
        <f t="shared" si="50"/>
        <v>51498.75</v>
      </c>
      <c r="BT582" s="443" t="str">
        <f>IFERROR(VLOOKUP(E582,名称!A:D,4,FALSE),"")</f>
        <v>RRM</v>
      </c>
    </row>
    <row r="583" s="427" customFormat="1" hidden="1" customHeight="1" spans="1:72">
      <c r="A583" s="93">
        <v>46129</v>
      </c>
      <c r="B583" s="95" t="s">
        <v>248</v>
      </c>
      <c r="C583" s="96">
        <v>10125309</v>
      </c>
      <c r="D583" s="96">
        <v>56810</v>
      </c>
      <c r="E583" s="97" t="s">
        <v>115</v>
      </c>
      <c r="F583" s="99">
        <v>7500</v>
      </c>
      <c r="G583" s="93">
        <v>46197</v>
      </c>
      <c r="H583" s="429"/>
      <c r="I583" s="429"/>
      <c r="J583" s="429"/>
      <c r="K583" s="429"/>
      <c r="L583" s="429"/>
      <c r="M583" s="429"/>
      <c r="N583" s="429"/>
      <c r="O583" s="429"/>
      <c r="P583" s="429"/>
      <c r="Q583" s="429"/>
      <c r="R583" s="429"/>
      <c r="S583" s="429"/>
      <c r="T583" s="429"/>
      <c r="U583" s="429"/>
      <c r="V583" s="429"/>
      <c r="W583" s="429"/>
      <c r="X583" s="429"/>
      <c r="Y583" s="429"/>
      <c r="Z583" s="429"/>
      <c r="AA583" s="429"/>
      <c r="AB583" s="429"/>
      <c r="AC583" s="429"/>
      <c r="AD583" s="429"/>
      <c r="AE583" s="429"/>
      <c r="AF583" s="429"/>
      <c r="AG583" s="429"/>
      <c r="AH583" s="429"/>
      <c r="AI583" s="429"/>
      <c r="AJ583" s="429"/>
      <c r="AK583" s="429"/>
      <c r="AL583" s="429"/>
      <c r="AM583" s="429"/>
      <c r="AN583" s="429"/>
      <c r="AO583" s="429">
        <f>F583</f>
        <v>7500</v>
      </c>
      <c r="AP583" s="429"/>
      <c r="AQ583" s="429"/>
      <c r="AR583" s="429"/>
      <c r="AS583" s="429"/>
      <c r="AT583" s="429"/>
      <c r="AU583" s="429"/>
      <c r="AV583" s="429"/>
      <c r="AW583" s="429"/>
      <c r="AX583" s="429"/>
      <c r="AY583" s="429"/>
      <c r="AZ583" s="429"/>
      <c r="BA583" s="429"/>
      <c r="BB583" s="429"/>
      <c r="BC583" s="429"/>
      <c r="BD583" s="429"/>
      <c r="BE583" s="429"/>
      <c r="BF583" s="429"/>
      <c r="BG583" s="429"/>
      <c r="BH583" s="429"/>
      <c r="BI583" s="429"/>
      <c r="BJ583" s="429"/>
      <c r="BK583" s="429"/>
      <c r="BL583" s="429"/>
      <c r="BM583" s="429"/>
      <c r="BN583" s="429"/>
      <c r="BO583" s="429"/>
      <c r="BP583" s="102"/>
      <c r="BQ583" s="102">
        <v>2.115</v>
      </c>
      <c r="BR583" s="451">
        <f t="shared" si="49"/>
        <v>15862.5</v>
      </c>
      <c r="BS583" s="451">
        <f t="shared" si="50"/>
        <v>122934.38</v>
      </c>
      <c r="BT583" s="429" t="str">
        <f>IFERROR(VLOOKUP(E583,名称!A:D,4,FALSE),"")</f>
        <v>KIK</v>
      </c>
    </row>
    <row r="584" s="425" customFormat="1" hidden="1" customHeight="1" spans="1:72">
      <c r="A584" s="108">
        <v>46129</v>
      </c>
      <c r="B584" s="109" t="s">
        <v>237</v>
      </c>
      <c r="C584" s="110">
        <v>10125372</v>
      </c>
      <c r="D584" s="110" t="s">
        <v>296</v>
      </c>
      <c r="E584" s="30" t="s">
        <v>193</v>
      </c>
      <c r="F584" s="31">
        <v>5004</v>
      </c>
      <c r="G584" s="108">
        <v>46260</v>
      </c>
      <c r="H584" s="443"/>
      <c r="I584" s="443"/>
      <c r="J584" s="443"/>
      <c r="K584" s="443"/>
      <c r="L584" s="443"/>
      <c r="M584" s="443"/>
      <c r="N584" s="443"/>
      <c r="O584" s="443"/>
      <c r="P584" s="443"/>
      <c r="Q584" s="443"/>
      <c r="R584" s="443"/>
      <c r="S584" s="443"/>
      <c r="T584" s="443"/>
      <c r="U584" s="443"/>
      <c r="V584" s="443"/>
      <c r="W584" s="443"/>
      <c r="X584" s="443"/>
      <c r="Y584" s="443"/>
      <c r="Z584" s="443"/>
      <c r="AA584" s="443"/>
      <c r="AB584" s="443"/>
      <c r="AC584" s="443"/>
      <c r="AD584" s="443"/>
      <c r="AE584" s="443"/>
      <c r="AF584" s="443"/>
      <c r="AG584" s="443"/>
      <c r="AH584" s="443"/>
      <c r="AI584" s="443"/>
      <c r="AJ584" s="443"/>
      <c r="AK584" s="443"/>
      <c r="AL584" s="443"/>
      <c r="AM584" s="443"/>
      <c r="AN584" s="443"/>
      <c r="AO584" s="443"/>
      <c r="AP584" s="443"/>
      <c r="AQ584" s="443"/>
      <c r="AR584" s="443"/>
      <c r="AS584" s="443"/>
      <c r="AT584" s="443"/>
      <c r="AU584" s="443"/>
      <c r="AV584" s="443"/>
      <c r="AW584" s="443"/>
      <c r="AX584" s="443"/>
      <c r="AY584" s="443"/>
      <c r="AZ584" s="443"/>
      <c r="BA584" s="443"/>
      <c r="BB584" s="443"/>
      <c r="BC584" s="443"/>
      <c r="BD584" s="443"/>
      <c r="BE584" s="443"/>
      <c r="BF584" s="443"/>
      <c r="BG584" s="443"/>
      <c r="BH584" s="443"/>
      <c r="BI584" s="443"/>
      <c r="BJ584" s="443"/>
      <c r="BK584" s="443"/>
      <c r="BL584" s="443"/>
      <c r="BM584" s="443"/>
      <c r="BN584" s="443"/>
      <c r="BO584" s="443">
        <f>F584</f>
        <v>5004</v>
      </c>
      <c r="BP584" s="92"/>
      <c r="BQ584" s="92">
        <v>2.215</v>
      </c>
      <c r="BR584" s="462">
        <f t="shared" si="49"/>
        <v>11083.86</v>
      </c>
      <c r="BS584" s="447">
        <f t="shared" si="50"/>
        <v>85899.92</v>
      </c>
      <c r="BT584" s="443" t="str">
        <f>IFERROR(VLOOKUP(E584,名称!A:D,4,FALSE),"")</f>
        <v>RRM</v>
      </c>
    </row>
    <row r="585" s="425" customFormat="1" hidden="1" customHeight="1" spans="1:72">
      <c r="A585" s="108">
        <v>46129</v>
      </c>
      <c r="B585" s="109" t="s">
        <v>237</v>
      </c>
      <c r="C585" s="110">
        <v>10125372</v>
      </c>
      <c r="D585" s="110" t="s">
        <v>296</v>
      </c>
      <c r="E585" s="30" t="s">
        <v>193</v>
      </c>
      <c r="F585" s="31">
        <v>5004</v>
      </c>
      <c r="G585" s="108">
        <v>46260</v>
      </c>
      <c r="H585" s="443"/>
      <c r="I585" s="443"/>
      <c r="J585" s="443"/>
      <c r="K585" s="443"/>
      <c r="L585" s="443"/>
      <c r="M585" s="443"/>
      <c r="N585" s="443"/>
      <c r="O585" s="443"/>
      <c r="P585" s="443"/>
      <c r="Q585" s="443"/>
      <c r="R585" s="443"/>
      <c r="S585" s="443"/>
      <c r="T585" s="443"/>
      <c r="U585" s="443"/>
      <c r="V585" s="443"/>
      <c r="W585" s="443"/>
      <c r="X585" s="443"/>
      <c r="Y585" s="443"/>
      <c r="Z585" s="443"/>
      <c r="AA585" s="443"/>
      <c r="AB585" s="443"/>
      <c r="AC585" s="443"/>
      <c r="AD585" s="443"/>
      <c r="AE585" s="443"/>
      <c r="AF585" s="443"/>
      <c r="AG585" s="443"/>
      <c r="AH585" s="443"/>
      <c r="AI585" s="443"/>
      <c r="AJ585" s="443"/>
      <c r="AK585" s="443"/>
      <c r="AL585" s="443"/>
      <c r="AM585" s="443"/>
      <c r="AN585" s="443"/>
      <c r="AO585" s="443"/>
      <c r="AP585" s="443"/>
      <c r="AQ585" s="443"/>
      <c r="AR585" s="443"/>
      <c r="AS585" s="443"/>
      <c r="AT585" s="443"/>
      <c r="AU585" s="443"/>
      <c r="AV585" s="443"/>
      <c r="AW585" s="443"/>
      <c r="AX585" s="443"/>
      <c r="AY585" s="443"/>
      <c r="AZ585" s="443"/>
      <c r="BA585" s="443"/>
      <c r="BB585" s="443"/>
      <c r="BC585" s="443"/>
      <c r="BD585" s="443"/>
      <c r="BE585" s="443"/>
      <c r="BF585" s="443"/>
      <c r="BG585" s="443"/>
      <c r="BH585" s="443"/>
      <c r="BI585" s="443"/>
      <c r="BJ585" s="443"/>
      <c r="BK585" s="443"/>
      <c r="BL585" s="443"/>
      <c r="BM585" s="443"/>
      <c r="BN585" s="443"/>
      <c r="BO585" s="443">
        <f>F585</f>
        <v>5004</v>
      </c>
      <c r="BP585" s="92"/>
      <c r="BQ585" s="92">
        <v>2.215</v>
      </c>
      <c r="BR585" s="462">
        <f t="shared" ref="BR585:BR590" si="51">SUM(H585:BP585)*BQ585</f>
        <v>11083.86</v>
      </c>
      <c r="BS585" s="447">
        <f t="shared" si="50"/>
        <v>85899.92</v>
      </c>
      <c r="BT585" s="443" t="str">
        <f>IFERROR(VLOOKUP(E585,名称!A:D,4,FALSE),"")</f>
        <v>RRM</v>
      </c>
    </row>
    <row r="586" s="425" customFormat="1" hidden="1" customHeight="1" spans="1:72">
      <c r="A586" s="108">
        <v>46129</v>
      </c>
      <c r="B586" s="109" t="s">
        <v>237</v>
      </c>
      <c r="C586" s="110">
        <v>10125372</v>
      </c>
      <c r="D586" s="110" t="s">
        <v>296</v>
      </c>
      <c r="E586" s="30" t="s">
        <v>193</v>
      </c>
      <c r="F586" s="31">
        <v>4992</v>
      </c>
      <c r="G586" s="108">
        <v>46274</v>
      </c>
      <c r="H586" s="443"/>
      <c r="I586" s="443"/>
      <c r="J586" s="443"/>
      <c r="K586" s="443"/>
      <c r="L586" s="443"/>
      <c r="M586" s="443"/>
      <c r="N586" s="443"/>
      <c r="O586" s="443"/>
      <c r="P586" s="443"/>
      <c r="Q586" s="443"/>
      <c r="R586" s="443"/>
      <c r="S586" s="443"/>
      <c r="T586" s="443"/>
      <c r="U586" s="443"/>
      <c r="V586" s="443"/>
      <c r="W586" s="443"/>
      <c r="X586" s="443"/>
      <c r="Y586" s="443"/>
      <c r="Z586" s="443"/>
      <c r="AA586" s="443"/>
      <c r="AB586" s="443"/>
      <c r="AC586" s="443"/>
      <c r="AD586" s="443"/>
      <c r="AE586" s="443"/>
      <c r="AF586" s="443"/>
      <c r="AG586" s="443"/>
      <c r="AH586" s="443"/>
      <c r="AI586" s="443"/>
      <c r="AJ586" s="443"/>
      <c r="AK586" s="443"/>
      <c r="AL586" s="443"/>
      <c r="AM586" s="443"/>
      <c r="AN586" s="443"/>
      <c r="AO586" s="443"/>
      <c r="AP586" s="443"/>
      <c r="AQ586" s="443"/>
      <c r="AR586" s="443"/>
      <c r="AS586" s="443"/>
      <c r="AT586" s="443"/>
      <c r="AU586" s="443"/>
      <c r="AV586" s="443"/>
      <c r="AW586" s="443"/>
      <c r="AX586" s="443"/>
      <c r="AY586" s="443"/>
      <c r="AZ586" s="443"/>
      <c r="BA586" s="443"/>
      <c r="BB586" s="443"/>
      <c r="BC586" s="443"/>
      <c r="BD586" s="443"/>
      <c r="BE586" s="443"/>
      <c r="BF586" s="443"/>
      <c r="BG586" s="443"/>
      <c r="BH586" s="443"/>
      <c r="BI586" s="443"/>
      <c r="BJ586" s="443"/>
      <c r="BK586" s="443"/>
      <c r="BL586" s="443"/>
      <c r="BM586" s="443"/>
      <c r="BN586" s="443"/>
      <c r="BO586" s="443">
        <f>F586</f>
        <v>4992</v>
      </c>
      <c r="BP586" s="92"/>
      <c r="BQ586" s="92">
        <v>2.215</v>
      </c>
      <c r="BR586" s="462">
        <f t="shared" si="51"/>
        <v>11057.28</v>
      </c>
      <c r="BS586" s="447">
        <f t="shared" si="50"/>
        <v>85693.92</v>
      </c>
      <c r="BT586" s="443" t="str">
        <f>IFERROR(VLOOKUP(E586,名称!A:D,4,FALSE),"")</f>
        <v>RRM</v>
      </c>
    </row>
    <row r="587" s="425" customFormat="1" hidden="1" customHeight="1" spans="1:72">
      <c r="A587" s="108">
        <v>46129</v>
      </c>
      <c r="B587" s="109" t="s">
        <v>248</v>
      </c>
      <c r="C587" s="110">
        <v>10125316</v>
      </c>
      <c r="D587" s="110">
        <v>56811</v>
      </c>
      <c r="E587" s="30" t="s">
        <v>115</v>
      </c>
      <c r="F587" s="31">
        <v>7500</v>
      </c>
      <c r="G587" s="108">
        <v>46239</v>
      </c>
      <c r="H587" s="443"/>
      <c r="I587" s="443"/>
      <c r="J587" s="443"/>
      <c r="K587" s="443"/>
      <c r="L587" s="443"/>
      <c r="M587" s="443"/>
      <c r="N587" s="443"/>
      <c r="O587" s="443"/>
      <c r="P587" s="443"/>
      <c r="Q587" s="443"/>
      <c r="R587" s="443"/>
      <c r="S587" s="443"/>
      <c r="T587" s="443"/>
      <c r="U587" s="443"/>
      <c r="V587" s="443"/>
      <c r="W587" s="443"/>
      <c r="X587" s="443"/>
      <c r="Y587" s="443"/>
      <c r="Z587" s="443"/>
      <c r="AA587" s="443"/>
      <c r="AB587" s="443"/>
      <c r="AC587" s="443"/>
      <c r="AD587" s="443"/>
      <c r="AE587" s="443"/>
      <c r="AF587" s="443"/>
      <c r="AG587" s="443"/>
      <c r="AH587" s="443"/>
      <c r="AI587" s="443"/>
      <c r="AJ587" s="443"/>
      <c r="AK587" s="443"/>
      <c r="AL587" s="443"/>
      <c r="AM587" s="443"/>
      <c r="AN587" s="443"/>
      <c r="AO587" s="443">
        <f>F587</f>
        <v>7500</v>
      </c>
      <c r="AP587" s="443"/>
      <c r="AQ587" s="443"/>
      <c r="AR587" s="443"/>
      <c r="AS587" s="443"/>
      <c r="AT587" s="443"/>
      <c r="AU587" s="443"/>
      <c r="AV587" s="443"/>
      <c r="AW587" s="443"/>
      <c r="AX587" s="443"/>
      <c r="AY587" s="443"/>
      <c r="AZ587" s="443"/>
      <c r="BA587" s="443"/>
      <c r="BB587" s="443"/>
      <c r="BC587" s="443"/>
      <c r="BD587" s="443"/>
      <c r="BE587" s="443"/>
      <c r="BF587" s="443"/>
      <c r="BG587" s="443"/>
      <c r="BH587" s="443"/>
      <c r="BI587" s="443"/>
      <c r="BJ587" s="443"/>
      <c r="BK587" s="443"/>
      <c r="BL587" s="443"/>
      <c r="BM587" s="443"/>
      <c r="BN587" s="443"/>
      <c r="BO587" s="443"/>
      <c r="BP587" s="92"/>
      <c r="BQ587" s="92">
        <v>2.115</v>
      </c>
      <c r="BR587" s="462">
        <f t="shared" si="51"/>
        <v>15862.5</v>
      </c>
      <c r="BS587" s="447">
        <f t="shared" si="50"/>
        <v>122934.38</v>
      </c>
      <c r="BT587" s="443" t="str">
        <f>IFERROR(VLOOKUP(E587,名称!A:D,4,FALSE),"")</f>
        <v>KIK</v>
      </c>
    </row>
    <row r="588" s="427" customFormat="1" hidden="1" customHeight="1" spans="1:72">
      <c r="A588" s="93">
        <v>46129</v>
      </c>
      <c r="B588" s="95" t="s">
        <v>237</v>
      </c>
      <c r="C588" s="96">
        <v>10125380</v>
      </c>
      <c r="D588" s="96">
        <v>10125380</v>
      </c>
      <c r="E588" s="97" t="s">
        <v>158</v>
      </c>
      <c r="F588" s="99">
        <v>5000</v>
      </c>
      <c r="G588" s="93">
        <v>46232</v>
      </c>
      <c r="H588" s="429"/>
      <c r="I588" s="429"/>
      <c r="J588" s="429"/>
      <c r="K588" s="429"/>
      <c r="L588" s="429"/>
      <c r="M588" s="429"/>
      <c r="N588" s="429"/>
      <c r="O588" s="429"/>
      <c r="P588" s="429"/>
      <c r="Q588" s="429"/>
      <c r="R588" s="429"/>
      <c r="S588" s="429">
        <f>F588</f>
        <v>5000</v>
      </c>
      <c r="T588" s="429"/>
      <c r="U588" s="429"/>
      <c r="V588" s="429"/>
      <c r="W588" s="429"/>
      <c r="X588" s="429"/>
      <c r="Y588" s="429"/>
      <c r="Z588" s="429"/>
      <c r="AA588" s="429"/>
      <c r="AB588" s="429"/>
      <c r="AC588" s="429"/>
      <c r="AD588" s="429"/>
      <c r="AE588" s="429"/>
      <c r="AF588" s="429"/>
      <c r="AG588" s="429"/>
      <c r="AH588" s="429"/>
      <c r="AI588" s="429"/>
      <c r="AJ588" s="429"/>
      <c r="AK588" s="429"/>
      <c r="AL588" s="429"/>
      <c r="AM588" s="429"/>
      <c r="AN588" s="429"/>
      <c r="AO588" s="429"/>
      <c r="AP588" s="429"/>
      <c r="AQ588" s="429"/>
      <c r="AR588" s="429"/>
      <c r="AS588" s="429"/>
      <c r="AT588" s="429"/>
      <c r="AU588" s="429"/>
      <c r="AV588" s="429"/>
      <c r="AW588" s="429"/>
      <c r="AX588" s="429"/>
      <c r="AY588" s="429"/>
      <c r="AZ588" s="429"/>
      <c r="BA588" s="429"/>
      <c r="BB588" s="429"/>
      <c r="BC588" s="429"/>
      <c r="BD588" s="429"/>
      <c r="BE588" s="429"/>
      <c r="BF588" s="429"/>
      <c r="BG588" s="429"/>
      <c r="BH588" s="429"/>
      <c r="BI588" s="429"/>
      <c r="BJ588" s="429"/>
      <c r="BK588" s="429"/>
      <c r="BL588" s="429"/>
      <c r="BM588" s="429"/>
      <c r="BN588" s="429"/>
      <c r="BO588" s="429"/>
      <c r="BP588" s="102"/>
      <c r="BQ588" s="102">
        <v>4.792</v>
      </c>
      <c r="BR588" s="451">
        <f t="shared" si="51"/>
        <v>23960</v>
      </c>
      <c r="BS588" s="451">
        <f t="shared" si="50"/>
        <v>185690</v>
      </c>
      <c r="BT588" s="429" t="str">
        <f>IFERROR(VLOOKUP(E588,名称!A:D,4,FALSE),"")</f>
        <v>KIK</v>
      </c>
    </row>
    <row r="589" s="425" customFormat="1" hidden="1" customHeight="1" spans="1:72">
      <c r="A589" s="108">
        <v>46129</v>
      </c>
      <c r="B589" s="109" t="s">
        <v>236</v>
      </c>
      <c r="C589" s="30">
        <v>10125013</v>
      </c>
      <c r="D589" s="110">
        <v>20219061</v>
      </c>
      <c r="E589" s="30" t="s">
        <v>139</v>
      </c>
      <c r="F589" s="31">
        <v>3000</v>
      </c>
      <c r="G589" s="108">
        <v>46267</v>
      </c>
      <c r="H589" s="443"/>
      <c r="I589" s="443"/>
      <c r="J589" s="443"/>
      <c r="K589" s="443"/>
      <c r="L589" s="443"/>
      <c r="M589" s="443"/>
      <c r="N589" s="443"/>
      <c r="O589" s="443"/>
      <c r="P589" s="443"/>
      <c r="Q589" s="443"/>
      <c r="R589" s="443"/>
      <c r="S589" s="443"/>
      <c r="T589" s="443"/>
      <c r="U589" s="443"/>
      <c r="V589" s="443"/>
      <c r="W589" s="443"/>
      <c r="X589" s="443"/>
      <c r="Y589" s="443"/>
      <c r="Z589" s="443"/>
      <c r="AA589" s="443"/>
      <c r="AB589" s="443"/>
      <c r="AC589" s="443"/>
      <c r="AD589" s="443"/>
      <c r="AE589" s="443"/>
      <c r="AF589" s="443"/>
      <c r="AG589" s="443"/>
      <c r="AH589" s="443"/>
      <c r="AI589" s="443"/>
      <c r="AJ589" s="443"/>
      <c r="AK589" s="443"/>
      <c r="AL589" s="443"/>
      <c r="AM589" s="443"/>
      <c r="AN589" s="443"/>
      <c r="AO589" s="443"/>
      <c r="AP589" s="443"/>
      <c r="AQ589" s="443"/>
      <c r="AR589" s="443"/>
      <c r="AS589" s="443"/>
      <c r="AT589" s="443"/>
      <c r="AU589" s="443">
        <f>F589</f>
        <v>3000</v>
      </c>
      <c r="AV589" s="443"/>
      <c r="AW589" s="443"/>
      <c r="AX589" s="443"/>
      <c r="AY589" s="443"/>
      <c r="AZ589" s="443"/>
      <c r="BA589" s="443"/>
      <c r="BB589" s="443"/>
      <c r="BC589" s="443"/>
      <c r="BD589" s="443"/>
      <c r="BE589" s="443"/>
      <c r="BF589" s="443"/>
      <c r="BG589" s="443"/>
      <c r="BH589" s="443"/>
      <c r="BI589" s="443"/>
      <c r="BJ589" s="443"/>
      <c r="BK589" s="443"/>
      <c r="BL589" s="443"/>
      <c r="BM589" s="443"/>
      <c r="BN589" s="443"/>
      <c r="BO589" s="443"/>
      <c r="BP589" s="111"/>
      <c r="BQ589" s="111">
        <v>4.131</v>
      </c>
      <c r="BR589" s="462">
        <f t="shared" si="51"/>
        <v>12393</v>
      </c>
      <c r="BS589" s="447">
        <f t="shared" si="50"/>
        <v>96045.75</v>
      </c>
      <c r="BT589" s="443" t="str">
        <f>IFERROR(VLOOKUP(E589,名称!A:D,4,FALSE),"")</f>
        <v>RRM</v>
      </c>
    </row>
    <row r="590" s="427" customFormat="1" hidden="1" customHeight="1" spans="1:72">
      <c r="A590" s="93">
        <v>46130</v>
      </c>
      <c r="B590" s="95" t="s">
        <v>237</v>
      </c>
      <c r="C590" s="96">
        <v>10125739</v>
      </c>
      <c r="D590" s="96" t="s">
        <v>297</v>
      </c>
      <c r="E590" s="97" t="s">
        <v>50</v>
      </c>
      <c r="F590" s="99">
        <v>5000</v>
      </c>
      <c r="G590" s="93">
        <v>46218</v>
      </c>
      <c r="H590" s="429"/>
      <c r="I590" s="429"/>
      <c r="J590" s="429"/>
      <c r="K590" s="429"/>
      <c r="L590" s="429">
        <f>F590</f>
        <v>5000</v>
      </c>
      <c r="M590" s="429"/>
      <c r="N590" s="429"/>
      <c r="O590" s="429"/>
      <c r="P590" s="429"/>
      <c r="Q590" s="429"/>
      <c r="R590" s="429"/>
      <c r="S590" s="429"/>
      <c r="T590" s="429"/>
      <c r="U590" s="429"/>
      <c r="V590" s="429"/>
      <c r="W590" s="429"/>
      <c r="X590" s="429"/>
      <c r="Y590" s="429"/>
      <c r="Z590" s="429"/>
      <c r="AA590" s="429"/>
      <c r="AB590" s="429"/>
      <c r="AC590" s="429"/>
      <c r="AD590" s="429"/>
      <c r="AE590" s="429"/>
      <c r="AF590" s="429"/>
      <c r="AG590" s="429"/>
      <c r="AH590" s="429"/>
      <c r="AI590" s="429"/>
      <c r="AJ590" s="429"/>
      <c r="AK590" s="429"/>
      <c r="AL590" s="429"/>
      <c r="AM590" s="429"/>
      <c r="AN590" s="429"/>
      <c r="AO590" s="429"/>
      <c r="AP590" s="429"/>
      <c r="AQ590" s="429"/>
      <c r="AR590" s="429"/>
      <c r="AS590" s="429"/>
      <c r="AT590" s="429"/>
      <c r="AU590" s="429"/>
      <c r="AV590" s="429"/>
      <c r="AW590" s="429"/>
      <c r="AX590" s="429"/>
      <c r="AY590" s="429"/>
      <c r="AZ590" s="429"/>
      <c r="BA590" s="429"/>
      <c r="BB590" s="429"/>
      <c r="BC590" s="429"/>
      <c r="BD590" s="429"/>
      <c r="BE590" s="429"/>
      <c r="BF590" s="429"/>
      <c r="BG590" s="429"/>
      <c r="BH590" s="429"/>
      <c r="BI590" s="429"/>
      <c r="BJ590" s="429"/>
      <c r="BK590" s="429"/>
      <c r="BL590" s="429"/>
      <c r="BM590" s="429"/>
      <c r="BN590" s="429"/>
      <c r="BO590" s="429"/>
      <c r="BP590" s="102"/>
      <c r="BQ590" s="102">
        <v>2.218</v>
      </c>
      <c r="BR590" s="451">
        <f t="shared" si="51"/>
        <v>11090</v>
      </c>
      <c r="BS590" s="451">
        <f t="shared" si="50"/>
        <v>85947.5</v>
      </c>
      <c r="BT590" s="429" t="str">
        <f>IFERROR(VLOOKUP(E590,名称!A:D,4,FALSE),"")</f>
        <v>KIK</v>
      </c>
    </row>
    <row r="591" s="425" customFormat="1" hidden="1" customHeight="1" spans="1:72">
      <c r="A591" s="108">
        <v>46130</v>
      </c>
      <c r="B591" s="109" t="s">
        <v>237</v>
      </c>
      <c r="C591" s="110">
        <v>10125700</v>
      </c>
      <c r="D591" s="110" t="s">
        <v>298</v>
      </c>
      <c r="E591" s="30" t="s">
        <v>195</v>
      </c>
      <c r="F591" s="31">
        <v>4400</v>
      </c>
      <c r="G591" s="108">
        <v>46281</v>
      </c>
      <c r="H591" s="443"/>
      <c r="I591" s="443"/>
      <c r="J591" s="443"/>
      <c r="K591" s="443"/>
      <c r="L591" s="443"/>
      <c r="M591" s="443"/>
      <c r="N591" s="443"/>
      <c r="O591" s="443"/>
      <c r="P591" s="443"/>
      <c r="Q591" s="443"/>
      <c r="R591" s="443"/>
      <c r="S591" s="443"/>
      <c r="T591" s="443"/>
      <c r="U591" s="443"/>
      <c r="V591" s="443"/>
      <c r="W591" s="443"/>
      <c r="X591" s="443"/>
      <c r="Y591" s="443"/>
      <c r="Z591" s="443"/>
      <c r="AA591" s="443"/>
      <c r="AB591" s="443"/>
      <c r="AC591" s="443"/>
      <c r="AD591" s="443"/>
      <c r="AE591" s="443"/>
      <c r="AF591" s="443"/>
      <c r="AG591" s="443"/>
      <c r="AH591" s="443"/>
      <c r="AI591" s="443"/>
      <c r="AJ591" s="443"/>
      <c r="AK591" s="443"/>
      <c r="AL591" s="443"/>
      <c r="AM591" s="443"/>
      <c r="AN591" s="443"/>
      <c r="AO591" s="443"/>
      <c r="AP591" s="443"/>
      <c r="AQ591" s="443"/>
      <c r="AR591" s="443"/>
      <c r="AS591" s="443"/>
      <c r="AT591" s="443"/>
      <c r="AU591" s="443"/>
      <c r="AV591" s="443"/>
      <c r="AW591" s="443"/>
      <c r="AX591" s="443"/>
      <c r="AY591" s="443"/>
      <c r="AZ591" s="443"/>
      <c r="BA591" s="443"/>
      <c r="BB591" s="443"/>
      <c r="BC591" s="443">
        <f>F591</f>
        <v>4400</v>
      </c>
      <c r="BD591" s="443"/>
      <c r="BE591" s="443"/>
      <c r="BF591" s="443"/>
      <c r="BG591" s="443"/>
      <c r="BH591" s="443"/>
      <c r="BI591" s="443"/>
      <c r="BJ591" s="443"/>
      <c r="BK591" s="443"/>
      <c r="BL591" s="443"/>
      <c r="BM591" s="443"/>
      <c r="BN591" s="443"/>
      <c r="BO591" s="443"/>
      <c r="BP591" s="92"/>
      <c r="BQ591" s="92">
        <v>2.881</v>
      </c>
      <c r="BR591" s="462">
        <f t="shared" ref="BR591:BR596" si="52">SUM(H591:BP591)*BQ591</f>
        <v>12676.4</v>
      </c>
      <c r="BS591" s="447">
        <f t="shared" ref="BS591:BS596" si="53">BR591*7.75</f>
        <v>98242.1</v>
      </c>
      <c r="BT591" s="443" t="str">
        <f>IFERROR(VLOOKUP(E591,名称!A:D,4,FALSE),"")</f>
        <v>RRM</v>
      </c>
    </row>
    <row r="592" s="425" customFormat="1" hidden="1" customHeight="1" spans="1:72">
      <c r="A592" s="108">
        <v>46135</v>
      </c>
      <c r="B592" s="109" t="s">
        <v>236</v>
      </c>
      <c r="C592" s="110">
        <v>10125945</v>
      </c>
      <c r="D592" s="110">
        <v>20219070</v>
      </c>
      <c r="E592" s="30" t="s">
        <v>53</v>
      </c>
      <c r="F592" s="31">
        <v>3000</v>
      </c>
      <c r="G592" s="108">
        <v>46239</v>
      </c>
      <c r="H592" s="443"/>
      <c r="I592" s="443"/>
      <c r="J592" s="443"/>
      <c r="K592" s="443"/>
      <c r="L592" s="443"/>
      <c r="M592" s="443"/>
      <c r="N592" s="443"/>
      <c r="O592" s="443"/>
      <c r="P592" s="443">
        <f>F592</f>
        <v>3000</v>
      </c>
      <c r="Q592" s="443"/>
      <c r="R592" s="443"/>
      <c r="S592" s="443"/>
      <c r="T592" s="443"/>
      <c r="U592" s="443"/>
      <c r="V592" s="443"/>
      <c r="W592" s="443"/>
      <c r="X592" s="443"/>
      <c r="Y592" s="443"/>
      <c r="Z592" s="443"/>
      <c r="AA592" s="443"/>
      <c r="AB592" s="443"/>
      <c r="AC592" s="443"/>
      <c r="AD592" s="443"/>
      <c r="AE592" s="443"/>
      <c r="AF592" s="443"/>
      <c r="AG592" s="443"/>
      <c r="AH592" s="443"/>
      <c r="AI592" s="443"/>
      <c r="AJ592" s="443"/>
      <c r="AK592" s="443"/>
      <c r="AL592" s="443"/>
      <c r="AM592" s="443"/>
      <c r="AN592" s="443"/>
      <c r="AO592" s="443"/>
      <c r="AP592" s="443"/>
      <c r="AQ592" s="443"/>
      <c r="AR592" s="443"/>
      <c r="AS592" s="443"/>
      <c r="AT592" s="443"/>
      <c r="AU592" s="443"/>
      <c r="AV592" s="443"/>
      <c r="AW592" s="443"/>
      <c r="AX592" s="443"/>
      <c r="AY592" s="443"/>
      <c r="AZ592" s="443"/>
      <c r="BA592" s="443"/>
      <c r="BB592" s="443"/>
      <c r="BC592" s="443"/>
      <c r="BD592" s="443"/>
      <c r="BE592" s="443"/>
      <c r="BF592" s="443"/>
      <c r="BG592" s="443"/>
      <c r="BH592" s="443"/>
      <c r="BI592" s="443"/>
      <c r="BJ592" s="443"/>
      <c r="BK592" s="443"/>
      <c r="BL592" s="443"/>
      <c r="BM592" s="443"/>
      <c r="BN592" s="443"/>
      <c r="BO592" s="443"/>
      <c r="BP592" s="111"/>
      <c r="BQ592" s="111">
        <v>1.398</v>
      </c>
      <c r="BR592" s="462">
        <f t="shared" si="52"/>
        <v>4194</v>
      </c>
      <c r="BS592" s="447">
        <f t="shared" si="53"/>
        <v>32503.5</v>
      </c>
      <c r="BT592" s="443" t="str">
        <f>IFERROR(VLOOKUP(E592,[1]名称!A:D,4,FALSE),"")</f>
        <v>KIK</v>
      </c>
    </row>
    <row r="593" s="427" customFormat="1" hidden="1" customHeight="1" spans="1:72">
      <c r="A593" s="93">
        <v>46135</v>
      </c>
      <c r="B593" s="95" t="s">
        <v>236</v>
      </c>
      <c r="C593" s="96">
        <v>10125943</v>
      </c>
      <c r="D593" s="96">
        <v>20219067</v>
      </c>
      <c r="E593" s="97" t="s">
        <v>62</v>
      </c>
      <c r="F593" s="99">
        <v>3000</v>
      </c>
      <c r="G593" s="93">
        <v>46232</v>
      </c>
      <c r="H593" s="429"/>
      <c r="I593" s="429"/>
      <c r="J593" s="429"/>
      <c r="K593" s="429"/>
      <c r="L593" s="429"/>
      <c r="M593" s="429"/>
      <c r="N593" s="429"/>
      <c r="O593" s="429"/>
      <c r="P593" s="429"/>
      <c r="Q593" s="429"/>
      <c r="R593" s="429"/>
      <c r="S593" s="429"/>
      <c r="T593" s="429"/>
      <c r="U593" s="429"/>
      <c r="V593" s="429">
        <f>F593</f>
        <v>3000</v>
      </c>
      <c r="W593" s="429"/>
      <c r="X593" s="429"/>
      <c r="Y593" s="429"/>
      <c r="Z593" s="429"/>
      <c r="AA593" s="429"/>
      <c r="AB593" s="429"/>
      <c r="AC593" s="429"/>
      <c r="AD593" s="429"/>
      <c r="AE593" s="429"/>
      <c r="AF593" s="429"/>
      <c r="AG593" s="429"/>
      <c r="AH593" s="429"/>
      <c r="AI593" s="429"/>
      <c r="AJ593" s="429"/>
      <c r="AK593" s="429"/>
      <c r="AL593" s="429"/>
      <c r="AM593" s="429"/>
      <c r="AN593" s="429"/>
      <c r="AO593" s="429"/>
      <c r="AP593" s="429"/>
      <c r="AQ593" s="429"/>
      <c r="AR593" s="429"/>
      <c r="AS593" s="429"/>
      <c r="AT593" s="429"/>
      <c r="AU593" s="429"/>
      <c r="AV593" s="429"/>
      <c r="AW593" s="429"/>
      <c r="AX593" s="429"/>
      <c r="AY593" s="429"/>
      <c r="AZ593" s="429"/>
      <c r="BA593" s="429"/>
      <c r="BB593" s="429"/>
      <c r="BC593" s="429"/>
      <c r="BD593" s="429"/>
      <c r="BE593" s="429"/>
      <c r="BF593" s="429"/>
      <c r="BG593" s="429"/>
      <c r="BH593" s="429"/>
      <c r="BI593" s="429"/>
      <c r="BJ593" s="429"/>
      <c r="BK593" s="429"/>
      <c r="BL593" s="429"/>
      <c r="BM593" s="429"/>
      <c r="BN593" s="429"/>
      <c r="BO593" s="429"/>
      <c r="BP593" s="120"/>
      <c r="BQ593" s="120">
        <v>3.243</v>
      </c>
      <c r="BR593" s="451">
        <f t="shared" si="52"/>
        <v>9729</v>
      </c>
      <c r="BS593" s="451">
        <f t="shared" si="53"/>
        <v>75399.75</v>
      </c>
      <c r="BT593" s="429" t="str">
        <f>IFERROR(VLOOKUP(E593,[1]名称!A:D,4,FALSE),"")</f>
        <v>KIK</v>
      </c>
    </row>
    <row r="594" s="425" customFormat="1" hidden="1" customHeight="1" spans="1:72">
      <c r="A594" s="108">
        <v>46135</v>
      </c>
      <c r="B594" s="109" t="s">
        <v>299</v>
      </c>
      <c r="C594" s="110">
        <v>10125938</v>
      </c>
      <c r="D594" s="110">
        <v>4500032691</v>
      </c>
      <c r="E594" s="30" t="s">
        <v>53</v>
      </c>
      <c r="F594" s="31">
        <v>504</v>
      </c>
      <c r="G594" s="108">
        <v>46253</v>
      </c>
      <c r="H594" s="443"/>
      <c r="I594" s="443"/>
      <c r="J594" s="443"/>
      <c r="K594" s="443"/>
      <c r="L594" s="443"/>
      <c r="M594" s="443"/>
      <c r="N594" s="443"/>
      <c r="O594" s="443"/>
      <c r="P594" s="443">
        <f>F594</f>
        <v>504</v>
      </c>
      <c r="Q594" s="443"/>
      <c r="R594" s="443"/>
      <c r="S594" s="443"/>
      <c r="T594" s="443"/>
      <c r="U594" s="443"/>
      <c r="V594" s="443"/>
      <c r="W594" s="443"/>
      <c r="X594" s="443"/>
      <c r="Y594" s="443"/>
      <c r="Z594" s="443"/>
      <c r="AA594" s="443"/>
      <c r="AB594" s="443"/>
      <c r="AC594" s="443"/>
      <c r="AD594" s="443"/>
      <c r="AE594" s="443"/>
      <c r="AF594" s="443"/>
      <c r="AG594" s="443"/>
      <c r="AH594" s="443"/>
      <c r="AI594" s="443"/>
      <c r="AJ594" s="443"/>
      <c r="AK594" s="443"/>
      <c r="AL594" s="443"/>
      <c r="AM594" s="443"/>
      <c r="AN594" s="443"/>
      <c r="AO594" s="443"/>
      <c r="AP594" s="443"/>
      <c r="AQ594" s="443"/>
      <c r="AR594" s="443"/>
      <c r="AS594" s="443"/>
      <c r="AT594" s="443"/>
      <c r="AU594" s="443"/>
      <c r="AV594" s="443"/>
      <c r="AW594" s="443"/>
      <c r="AX594" s="443"/>
      <c r="AY594" s="443"/>
      <c r="AZ594" s="443"/>
      <c r="BA594" s="443"/>
      <c r="BB594" s="443"/>
      <c r="BC594" s="443"/>
      <c r="BD594" s="443"/>
      <c r="BE594" s="443"/>
      <c r="BF594" s="443"/>
      <c r="BG594" s="443"/>
      <c r="BH594" s="443"/>
      <c r="BI594" s="443"/>
      <c r="BJ594" s="443"/>
      <c r="BK594" s="443"/>
      <c r="BL594" s="443"/>
      <c r="BM594" s="443"/>
      <c r="BN594" s="443"/>
      <c r="BO594" s="443"/>
      <c r="BP594" s="111"/>
      <c r="BQ594" s="111">
        <v>1.398</v>
      </c>
      <c r="BR594" s="462">
        <f t="shared" si="52"/>
        <v>704.59</v>
      </c>
      <c r="BS594" s="447">
        <f t="shared" si="53"/>
        <v>5460.57</v>
      </c>
      <c r="BT594" s="443" t="str">
        <f>IFERROR(VLOOKUP(E594,[1]名称!A:D,4,FALSE),"")</f>
        <v>KIK</v>
      </c>
    </row>
    <row r="595" s="425" customFormat="1" hidden="1" customHeight="1" spans="1:72">
      <c r="A595" s="108">
        <v>46135</v>
      </c>
      <c r="B595" s="109" t="s">
        <v>235</v>
      </c>
      <c r="C595" s="110">
        <v>10125936</v>
      </c>
      <c r="D595" s="110">
        <v>4500032690</v>
      </c>
      <c r="E595" s="30" t="s">
        <v>53</v>
      </c>
      <c r="F595" s="31">
        <v>1500</v>
      </c>
      <c r="G595" s="108">
        <v>46246</v>
      </c>
      <c r="H595" s="443"/>
      <c r="I595" s="443"/>
      <c r="J595" s="443"/>
      <c r="K595" s="443"/>
      <c r="L595" s="443"/>
      <c r="M595" s="443"/>
      <c r="N595" s="443"/>
      <c r="O595" s="443"/>
      <c r="P595" s="443">
        <f>F595</f>
        <v>1500</v>
      </c>
      <c r="Q595" s="443"/>
      <c r="R595" s="443"/>
      <c r="S595" s="443"/>
      <c r="T595" s="443"/>
      <c r="U595" s="443"/>
      <c r="V595" s="443"/>
      <c r="W595" s="443"/>
      <c r="X595" s="443"/>
      <c r="Y595" s="443"/>
      <c r="Z595" s="443"/>
      <c r="AA595" s="443"/>
      <c r="AB595" s="443"/>
      <c r="AC595" s="443"/>
      <c r="AD595" s="443"/>
      <c r="AE595" s="443"/>
      <c r="AF595" s="443"/>
      <c r="AG595" s="443"/>
      <c r="AH595" s="443"/>
      <c r="AI595" s="443"/>
      <c r="AJ595" s="443"/>
      <c r="AK595" s="443"/>
      <c r="AL595" s="443"/>
      <c r="AM595" s="443"/>
      <c r="AN595" s="443"/>
      <c r="AO595" s="443"/>
      <c r="AP595" s="443"/>
      <c r="AQ595" s="443"/>
      <c r="AR595" s="443"/>
      <c r="AS595" s="443"/>
      <c r="AT595" s="443"/>
      <c r="AU595" s="443"/>
      <c r="AV595" s="443"/>
      <c r="AW595" s="443"/>
      <c r="AX595" s="443"/>
      <c r="AY595" s="443"/>
      <c r="AZ595" s="443"/>
      <c r="BA595" s="443"/>
      <c r="BB595" s="443"/>
      <c r="BC595" s="443"/>
      <c r="BD595" s="443"/>
      <c r="BE595" s="443"/>
      <c r="BF595" s="443"/>
      <c r="BG595" s="443"/>
      <c r="BH595" s="443"/>
      <c r="BI595" s="443"/>
      <c r="BJ595" s="443"/>
      <c r="BK595" s="443"/>
      <c r="BL595" s="443"/>
      <c r="BM595" s="443"/>
      <c r="BN595" s="443"/>
      <c r="BO595" s="443"/>
      <c r="BP595" s="111"/>
      <c r="BQ595" s="111">
        <v>1.398</v>
      </c>
      <c r="BR595" s="462">
        <f t="shared" si="52"/>
        <v>2097</v>
      </c>
      <c r="BS595" s="447">
        <f t="shared" si="53"/>
        <v>16251.75</v>
      </c>
      <c r="BT595" s="443" t="str">
        <f>IFERROR(VLOOKUP(E595,[1]名称!A:D,4,FALSE),"")</f>
        <v>KIK</v>
      </c>
    </row>
    <row r="596" s="427" customFormat="1" hidden="1" customHeight="1" spans="1:72">
      <c r="A596" s="93">
        <v>46135</v>
      </c>
      <c r="B596" s="95" t="s">
        <v>235</v>
      </c>
      <c r="C596" s="96">
        <v>10125936</v>
      </c>
      <c r="D596" s="96">
        <v>4500032690</v>
      </c>
      <c r="E596" s="97" t="s">
        <v>62</v>
      </c>
      <c r="F596" s="99">
        <v>1320</v>
      </c>
      <c r="G596" s="93">
        <v>46225</v>
      </c>
      <c r="H596" s="429"/>
      <c r="I596" s="429"/>
      <c r="J596" s="429"/>
      <c r="K596" s="429"/>
      <c r="L596" s="429"/>
      <c r="M596" s="429"/>
      <c r="N596" s="429"/>
      <c r="O596" s="429"/>
      <c r="P596" s="429"/>
      <c r="Q596" s="429"/>
      <c r="R596" s="429"/>
      <c r="S596" s="429"/>
      <c r="T596" s="429"/>
      <c r="U596" s="429"/>
      <c r="V596" s="429">
        <f>F596</f>
        <v>1320</v>
      </c>
      <c r="W596" s="429"/>
      <c r="X596" s="429"/>
      <c r="Y596" s="429"/>
      <c r="Z596" s="429"/>
      <c r="AA596" s="429"/>
      <c r="AB596" s="429"/>
      <c r="AC596" s="429"/>
      <c r="AD596" s="429"/>
      <c r="AE596" s="429"/>
      <c r="AF596" s="429"/>
      <c r="AG596" s="429"/>
      <c r="AH596" s="429"/>
      <c r="AI596" s="429"/>
      <c r="AJ596" s="429"/>
      <c r="AK596" s="429"/>
      <c r="AL596" s="429"/>
      <c r="AM596" s="429"/>
      <c r="AN596" s="429"/>
      <c r="AO596" s="429"/>
      <c r="AP596" s="429"/>
      <c r="AQ596" s="429"/>
      <c r="AR596" s="429"/>
      <c r="AS596" s="429"/>
      <c r="AT596" s="429"/>
      <c r="AU596" s="429"/>
      <c r="AV596" s="429"/>
      <c r="AW596" s="429"/>
      <c r="AX596" s="429"/>
      <c r="AY596" s="429"/>
      <c r="AZ596" s="429"/>
      <c r="BA596" s="429"/>
      <c r="BB596" s="429"/>
      <c r="BC596" s="429"/>
      <c r="BD596" s="429"/>
      <c r="BE596" s="429"/>
      <c r="BF596" s="429"/>
      <c r="BG596" s="429"/>
      <c r="BH596" s="429"/>
      <c r="BI596" s="429"/>
      <c r="BJ596" s="429"/>
      <c r="BK596" s="429"/>
      <c r="BL596" s="429"/>
      <c r="BM596" s="429"/>
      <c r="BN596" s="429"/>
      <c r="BO596" s="429"/>
      <c r="BP596" s="120"/>
      <c r="BQ596" s="120">
        <v>3.243</v>
      </c>
      <c r="BR596" s="451">
        <f t="shared" si="52"/>
        <v>4280.76</v>
      </c>
      <c r="BS596" s="451">
        <f t="shared" si="53"/>
        <v>33175.89</v>
      </c>
      <c r="BT596" s="429" t="str">
        <f>IFERROR(VLOOKUP(E596,[1]名称!A:D,4,FALSE),"")</f>
        <v>KIK</v>
      </c>
    </row>
    <row r="597" s="427" customFormat="1" hidden="1" customHeight="1" spans="1:72">
      <c r="A597" s="93">
        <v>46135</v>
      </c>
      <c r="B597" s="95" t="s">
        <v>235</v>
      </c>
      <c r="C597" s="96">
        <v>10125936</v>
      </c>
      <c r="D597" s="96">
        <v>4500032690</v>
      </c>
      <c r="E597" s="97" t="s">
        <v>62</v>
      </c>
      <c r="F597" s="99">
        <v>680</v>
      </c>
      <c r="G597" s="93">
        <v>46218</v>
      </c>
      <c r="H597" s="429"/>
      <c r="I597" s="429"/>
      <c r="J597" s="429"/>
      <c r="K597" s="429"/>
      <c r="L597" s="429"/>
      <c r="M597" s="429"/>
      <c r="N597" s="429"/>
      <c r="O597" s="429"/>
      <c r="P597" s="429"/>
      <c r="Q597" s="429"/>
      <c r="R597" s="429"/>
      <c r="S597" s="429"/>
      <c r="T597" s="429"/>
      <c r="U597" s="429"/>
      <c r="V597" s="429">
        <f>F597</f>
        <v>680</v>
      </c>
      <c r="W597" s="429"/>
      <c r="X597" s="429"/>
      <c r="Y597" s="429"/>
      <c r="Z597" s="429"/>
      <c r="AA597" s="429"/>
      <c r="AB597" s="429"/>
      <c r="AC597" s="429"/>
      <c r="AD597" s="429"/>
      <c r="AE597" s="429"/>
      <c r="AF597" s="429"/>
      <c r="AG597" s="429"/>
      <c r="AH597" s="429"/>
      <c r="AI597" s="429"/>
      <c r="AJ597" s="429"/>
      <c r="AK597" s="429"/>
      <c r="AL597" s="429"/>
      <c r="AM597" s="429"/>
      <c r="AN597" s="429"/>
      <c r="AO597" s="429"/>
      <c r="AP597" s="429"/>
      <c r="AQ597" s="429"/>
      <c r="AR597" s="429"/>
      <c r="AS597" s="429"/>
      <c r="AT597" s="429"/>
      <c r="AU597" s="429"/>
      <c r="AV597" s="429"/>
      <c r="AW597" s="429"/>
      <c r="AX597" s="429"/>
      <c r="AY597" s="429"/>
      <c r="AZ597" s="429"/>
      <c r="BA597" s="429"/>
      <c r="BB597" s="429"/>
      <c r="BC597" s="429"/>
      <c r="BD597" s="429"/>
      <c r="BE597" s="429"/>
      <c r="BF597" s="429"/>
      <c r="BG597" s="429"/>
      <c r="BH597" s="429"/>
      <c r="BI597" s="429"/>
      <c r="BJ597" s="429"/>
      <c r="BK597" s="429"/>
      <c r="BL597" s="429"/>
      <c r="BM597" s="429"/>
      <c r="BN597" s="429"/>
      <c r="BO597" s="429"/>
      <c r="BP597" s="120"/>
      <c r="BQ597" s="120">
        <v>3.243</v>
      </c>
      <c r="BR597" s="451">
        <f t="shared" ref="BR597:BR610" si="54">SUM(H597:BP597)*BQ597</f>
        <v>2205.24</v>
      </c>
      <c r="BS597" s="451">
        <f t="shared" ref="BS597:BS610" si="55">BR597*7.75</f>
        <v>17090.61</v>
      </c>
      <c r="BT597" s="429" t="str">
        <f>IFERROR(VLOOKUP(E597,[1]名称!A:D,4,FALSE),"")</f>
        <v>KIK</v>
      </c>
    </row>
    <row r="598" s="427" customFormat="1" hidden="1" customHeight="1" spans="1:72">
      <c r="A598" s="93">
        <v>46136</v>
      </c>
      <c r="B598" s="95" t="s">
        <v>235</v>
      </c>
      <c r="C598" s="97">
        <v>10126040</v>
      </c>
      <c r="D598" s="96">
        <v>4500032689</v>
      </c>
      <c r="E598" s="97" t="s">
        <v>97</v>
      </c>
      <c r="F598" s="99">
        <v>3000</v>
      </c>
      <c r="G598" s="464">
        <v>46225</v>
      </c>
      <c r="H598" s="429"/>
      <c r="I598" s="429"/>
      <c r="J598" s="429"/>
      <c r="K598" s="429"/>
      <c r="L598" s="429"/>
      <c r="M598" s="429"/>
      <c r="N598" s="429"/>
      <c r="O598" s="429"/>
      <c r="P598" s="429"/>
      <c r="Q598" s="429"/>
      <c r="R598" s="429"/>
      <c r="S598" s="429"/>
      <c r="T598" s="429"/>
      <c r="U598" s="429"/>
      <c r="V598" s="429"/>
      <c r="W598" s="429"/>
      <c r="X598" s="429"/>
      <c r="Y598" s="429"/>
      <c r="Z598" s="429"/>
      <c r="AA598" s="429"/>
      <c r="AB598" s="429"/>
      <c r="AC598" s="429"/>
      <c r="AD598" s="429"/>
      <c r="AE598" s="429"/>
      <c r="AF598" s="429"/>
      <c r="AG598" s="429"/>
      <c r="AH598" s="429"/>
      <c r="AI598" s="429">
        <f>F598</f>
        <v>3000</v>
      </c>
      <c r="AJ598" s="429"/>
      <c r="AK598" s="429"/>
      <c r="AL598" s="429"/>
      <c r="AM598" s="429"/>
      <c r="AN598" s="429"/>
      <c r="AO598" s="429"/>
      <c r="AP598" s="429"/>
      <c r="AQ598" s="429"/>
      <c r="AR598" s="429"/>
      <c r="AS598" s="429"/>
      <c r="AT598" s="429"/>
      <c r="AU598" s="429"/>
      <c r="AV598" s="429"/>
      <c r="AW598" s="429"/>
      <c r="AX598" s="429"/>
      <c r="AY598" s="429"/>
      <c r="AZ598" s="429"/>
      <c r="BA598" s="429"/>
      <c r="BB598" s="429"/>
      <c r="BC598" s="429"/>
      <c r="BD598" s="429"/>
      <c r="BE598" s="429"/>
      <c r="BF598" s="429"/>
      <c r="BG598" s="429"/>
      <c r="BH598" s="429"/>
      <c r="BI598" s="429"/>
      <c r="BJ598" s="429"/>
      <c r="BK598" s="429"/>
      <c r="BL598" s="429"/>
      <c r="BM598" s="429"/>
      <c r="BN598" s="429"/>
      <c r="BO598" s="429"/>
      <c r="BP598" s="120"/>
      <c r="BQ598" s="120">
        <v>3.43</v>
      </c>
      <c r="BR598" s="451">
        <f t="shared" si="54"/>
        <v>10290</v>
      </c>
      <c r="BS598" s="451">
        <f t="shared" si="55"/>
        <v>79747.5</v>
      </c>
      <c r="BT598" s="429" t="str">
        <f>IFERROR(VLOOKUP(E598,名称!A:D,4,FALSE),"")</f>
        <v>KIK</v>
      </c>
    </row>
    <row r="599" s="425" customFormat="1" hidden="1" customHeight="1" spans="1:72">
      <c r="A599" s="108">
        <v>46136</v>
      </c>
      <c r="B599" s="109" t="s">
        <v>236</v>
      </c>
      <c r="C599" s="30">
        <v>10125937</v>
      </c>
      <c r="D599" s="110">
        <v>20219073</v>
      </c>
      <c r="E599" s="30" t="s">
        <v>182</v>
      </c>
      <c r="F599" s="31">
        <v>3000</v>
      </c>
      <c r="G599" s="286">
        <v>46267</v>
      </c>
      <c r="H599" s="443"/>
      <c r="I599" s="443"/>
      <c r="J599" s="443"/>
      <c r="K599" s="443"/>
      <c r="L599" s="443"/>
      <c r="M599" s="443"/>
      <c r="N599" s="443"/>
      <c r="O599" s="443"/>
      <c r="P599" s="443"/>
      <c r="Q599" s="443"/>
      <c r="R599" s="443"/>
      <c r="S599" s="443"/>
      <c r="T599" s="443"/>
      <c r="U599" s="443"/>
      <c r="V599" s="443"/>
      <c r="W599" s="443"/>
      <c r="X599" s="443"/>
      <c r="Y599" s="443"/>
      <c r="Z599" s="443"/>
      <c r="AA599" s="443"/>
      <c r="AB599" s="443"/>
      <c r="AC599" s="443"/>
      <c r="AD599" s="443"/>
      <c r="AE599" s="443"/>
      <c r="AF599" s="443">
        <f>F599/6*4</f>
        <v>2000</v>
      </c>
      <c r="AG599" s="443">
        <f>F599/6*2</f>
        <v>1000</v>
      </c>
      <c r="AH599" s="443"/>
      <c r="AI599" s="443"/>
      <c r="AJ599" s="443"/>
      <c r="AK599" s="443"/>
      <c r="AL599" s="443"/>
      <c r="AM599" s="443"/>
      <c r="AN599" s="443"/>
      <c r="AO599" s="443"/>
      <c r="AP599" s="443"/>
      <c r="AQ599" s="443"/>
      <c r="AR599" s="443"/>
      <c r="AS599" s="443"/>
      <c r="AT599" s="443"/>
      <c r="AU599" s="443"/>
      <c r="AV599" s="443"/>
      <c r="AW599" s="443"/>
      <c r="AX599" s="443"/>
      <c r="AY599" s="443"/>
      <c r="AZ599" s="443"/>
      <c r="BA599" s="443"/>
      <c r="BB599" s="443"/>
      <c r="BC599" s="443"/>
      <c r="BD599" s="443"/>
      <c r="BE599" s="443"/>
      <c r="BF599" s="443"/>
      <c r="BG599" s="443"/>
      <c r="BH599" s="443"/>
      <c r="BI599" s="443"/>
      <c r="BJ599" s="443"/>
      <c r="BK599" s="443"/>
      <c r="BL599" s="443"/>
      <c r="BM599" s="443"/>
      <c r="BN599" s="443"/>
      <c r="BO599" s="443"/>
      <c r="BP599" s="92"/>
      <c r="BQ599" s="92">
        <v>1.405</v>
      </c>
      <c r="BR599" s="462">
        <f t="shared" si="54"/>
        <v>4215</v>
      </c>
      <c r="BS599" s="447">
        <f t="shared" si="55"/>
        <v>32666.25</v>
      </c>
      <c r="BT599" s="443" t="str">
        <f>IFERROR(VLOOKUP(E599,名称!A:D,4,FALSE),"")</f>
        <v>KIK</v>
      </c>
    </row>
    <row r="600" s="425" customFormat="1" hidden="1" customHeight="1" spans="1:72">
      <c r="A600" s="108">
        <v>46136</v>
      </c>
      <c r="B600" s="109" t="s">
        <v>236</v>
      </c>
      <c r="C600" s="30">
        <v>10125937</v>
      </c>
      <c r="D600" s="110">
        <v>20219073</v>
      </c>
      <c r="E600" s="30" t="s">
        <v>95</v>
      </c>
      <c r="F600" s="31">
        <v>1500</v>
      </c>
      <c r="G600" s="286">
        <v>46267</v>
      </c>
      <c r="H600" s="443"/>
      <c r="I600" s="443"/>
      <c r="J600" s="443"/>
      <c r="K600" s="443"/>
      <c r="L600" s="443"/>
      <c r="M600" s="443"/>
      <c r="N600" s="443"/>
      <c r="O600" s="443"/>
      <c r="P600" s="443"/>
      <c r="Q600" s="443"/>
      <c r="R600" s="443"/>
      <c r="S600" s="443"/>
      <c r="T600" s="443"/>
      <c r="U600" s="443"/>
      <c r="V600" s="443"/>
      <c r="W600" s="443"/>
      <c r="X600" s="443"/>
      <c r="Y600" s="443"/>
      <c r="Z600" s="443"/>
      <c r="AA600" s="443"/>
      <c r="AB600" s="443"/>
      <c r="AC600" s="443"/>
      <c r="AD600" s="443"/>
      <c r="AE600" s="443"/>
      <c r="AF600" s="443"/>
      <c r="AG600" s="443"/>
      <c r="AH600" s="443">
        <f>F600</f>
        <v>1500</v>
      </c>
      <c r="AI600" s="443"/>
      <c r="AJ600" s="443"/>
      <c r="AK600" s="443"/>
      <c r="AL600" s="443"/>
      <c r="AM600" s="443"/>
      <c r="AN600" s="443"/>
      <c r="AO600" s="443"/>
      <c r="AP600" s="443"/>
      <c r="AQ600" s="443"/>
      <c r="AR600" s="443"/>
      <c r="AS600" s="443"/>
      <c r="AT600" s="443"/>
      <c r="AU600" s="443"/>
      <c r="AV600" s="443"/>
      <c r="AW600" s="443"/>
      <c r="AX600" s="443"/>
      <c r="AY600" s="443"/>
      <c r="AZ600" s="443"/>
      <c r="BA600" s="443"/>
      <c r="BB600" s="443"/>
      <c r="BC600" s="443"/>
      <c r="BD600" s="443"/>
      <c r="BE600" s="443"/>
      <c r="BF600" s="443"/>
      <c r="BG600" s="443"/>
      <c r="BH600" s="443"/>
      <c r="BI600" s="443"/>
      <c r="BJ600" s="443"/>
      <c r="BK600" s="443"/>
      <c r="BL600" s="443"/>
      <c r="BM600" s="443"/>
      <c r="BN600" s="443"/>
      <c r="BO600" s="443"/>
      <c r="BP600" s="111"/>
      <c r="BQ600" s="111">
        <v>2.25</v>
      </c>
      <c r="BR600" s="462">
        <f t="shared" si="54"/>
        <v>3375</v>
      </c>
      <c r="BS600" s="447">
        <f t="shared" si="55"/>
        <v>26156.25</v>
      </c>
      <c r="BT600" s="443" t="str">
        <f>IFERROR(VLOOKUP(E600,名称!A:D,4,FALSE),"")</f>
        <v>KIK</v>
      </c>
    </row>
    <row r="601" s="425" customFormat="1" hidden="1" customHeight="1" spans="1:72">
      <c r="A601" s="108">
        <v>46136</v>
      </c>
      <c r="B601" s="109" t="s">
        <v>236</v>
      </c>
      <c r="C601" s="30">
        <v>10125937</v>
      </c>
      <c r="D601" s="110">
        <v>20219073</v>
      </c>
      <c r="E601" s="30" t="s">
        <v>97</v>
      </c>
      <c r="F601" s="31">
        <v>3000</v>
      </c>
      <c r="G601" s="286">
        <v>46267</v>
      </c>
      <c r="H601" s="443"/>
      <c r="I601" s="443"/>
      <c r="J601" s="443"/>
      <c r="K601" s="443"/>
      <c r="L601" s="443"/>
      <c r="M601" s="443"/>
      <c r="N601" s="443"/>
      <c r="O601" s="443"/>
      <c r="P601" s="443"/>
      <c r="Q601" s="443"/>
      <c r="R601" s="443"/>
      <c r="S601" s="443"/>
      <c r="T601" s="443"/>
      <c r="U601" s="443"/>
      <c r="V601" s="443"/>
      <c r="W601" s="443"/>
      <c r="X601" s="443"/>
      <c r="Y601" s="443"/>
      <c r="Z601" s="443"/>
      <c r="AA601" s="443"/>
      <c r="AB601" s="443"/>
      <c r="AC601" s="443"/>
      <c r="AD601" s="443"/>
      <c r="AE601" s="443"/>
      <c r="AF601" s="443"/>
      <c r="AG601" s="443"/>
      <c r="AH601" s="443"/>
      <c r="AI601" s="443">
        <f>F601</f>
        <v>3000</v>
      </c>
      <c r="AJ601" s="443"/>
      <c r="AK601" s="443"/>
      <c r="AL601" s="443"/>
      <c r="AM601" s="443"/>
      <c r="AN601" s="443"/>
      <c r="AO601" s="443"/>
      <c r="AP601" s="443"/>
      <c r="AQ601" s="443"/>
      <c r="AR601" s="443"/>
      <c r="AS601" s="443"/>
      <c r="AT601" s="443"/>
      <c r="AU601" s="443"/>
      <c r="AV601" s="443"/>
      <c r="AW601" s="443"/>
      <c r="AX601" s="443"/>
      <c r="AY601" s="443"/>
      <c r="AZ601" s="443"/>
      <c r="BA601" s="443"/>
      <c r="BB601" s="443"/>
      <c r="BC601" s="443"/>
      <c r="BD601" s="443"/>
      <c r="BE601" s="443"/>
      <c r="BF601" s="443"/>
      <c r="BG601" s="443"/>
      <c r="BH601" s="443"/>
      <c r="BI601" s="443"/>
      <c r="BJ601" s="443"/>
      <c r="BK601" s="443"/>
      <c r="BL601" s="443"/>
      <c r="BM601" s="443"/>
      <c r="BN601" s="443"/>
      <c r="BO601" s="443"/>
      <c r="BP601" s="111"/>
      <c r="BQ601" s="111">
        <v>3.43</v>
      </c>
      <c r="BR601" s="462">
        <f t="shared" si="54"/>
        <v>10290</v>
      </c>
      <c r="BS601" s="447">
        <f t="shared" si="55"/>
        <v>79747.5</v>
      </c>
      <c r="BT601" s="443" t="str">
        <f>IFERROR(VLOOKUP(E601,名称!A:D,4,FALSE),"")</f>
        <v>KIK</v>
      </c>
    </row>
    <row r="602" s="425" customFormat="1" hidden="1" customHeight="1" spans="1:72">
      <c r="A602" s="108">
        <v>46137</v>
      </c>
      <c r="B602" s="109" t="s">
        <v>299</v>
      </c>
      <c r="C602" s="30">
        <v>10126125</v>
      </c>
      <c r="D602" s="110">
        <v>4500032727</v>
      </c>
      <c r="E602" s="30" t="s">
        <v>158</v>
      </c>
      <c r="F602" s="31">
        <v>400</v>
      </c>
      <c r="G602" s="286">
        <v>46253</v>
      </c>
      <c r="H602" s="443"/>
      <c r="I602" s="443"/>
      <c r="J602" s="443"/>
      <c r="K602" s="443"/>
      <c r="L602" s="443"/>
      <c r="M602" s="443"/>
      <c r="N602" s="443"/>
      <c r="O602" s="443"/>
      <c r="P602" s="443"/>
      <c r="Q602" s="443"/>
      <c r="R602" s="443"/>
      <c r="S602" s="443">
        <f>F602</f>
        <v>400</v>
      </c>
      <c r="T602" s="443"/>
      <c r="U602" s="443"/>
      <c r="V602" s="443"/>
      <c r="W602" s="443"/>
      <c r="X602" s="443"/>
      <c r="Y602" s="443"/>
      <c r="Z602" s="443"/>
      <c r="AA602" s="443"/>
      <c r="AB602" s="443"/>
      <c r="AC602" s="443"/>
      <c r="AD602" s="443"/>
      <c r="AE602" s="443"/>
      <c r="AF602" s="443"/>
      <c r="AG602" s="443"/>
      <c r="AH602" s="443"/>
      <c r="AI602" s="443"/>
      <c r="AJ602" s="443"/>
      <c r="AK602" s="443"/>
      <c r="AL602" s="443"/>
      <c r="AM602" s="443"/>
      <c r="AN602" s="443"/>
      <c r="AO602" s="443"/>
      <c r="AP602" s="443"/>
      <c r="AQ602" s="443"/>
      <c r="AR602" s="443"/>
      <c r="AS602" s="443"/>
      <c r="AT602" s="443"/>
      <c r="AU602" s="443"/>
      <c r="AV602" s="443"/>
      <c r="AW602" s="443"/>
      <c r="AX602" s="443"/>
      <c r="AY602" s="443"/>
      <c r="AZ602" s="443"/>
      <c r="BA602" s="443"/>
      <c r="BB602" s="443"/>
      <c r="BC602" s="443"/>
      <c r="BD602" s="443"/>
      <c r="BE602" s="443"/>
      <c r="BF602" s="443"/>
      <c r="BG602" s="443"/>
      <c r="BH602" s="443"/>
      <c r="BI602" s="443"/>
      <c r="BJ602" s="443"/>
      <c r="BK602" s="443"/>
      <c r="BL602" s="443"/>
      <c r="BM602" s="443"/>
      <c r="BN602" s="443"/>
      <c r="BO602" s="443"/>
      <c r="BP602" s="111"/>
      <c r="BQ602" s="111">
        <v>4.792</v>
      </c>
      <c r="BR602" s="462">
        <f t="shared" si="54"/>
        <v>1916.8</v>
      </c>
      <c r="BS602" s="447">
        <f t="shared" si="55"/>
        <v>14855.2</v>
      </c>
      <c r="BT602" s="443" t="str">
        <f>IFERROR(VLOOKUP(E602,名称!A:D,4,FALSE),"")</f>
        <v>KIK</v>
      </c>
    </row>
    <row r="603" s="425" customFormat="1" hidden="1" customHeight="1" spans="1:72">
      <c r="A603" s="108">
        <v>46141</v>
      </c>
      <c r="B603" s="109" t="s">
        <v>235</v>
      </c>
      <c r="C603" s="30"/>
      <c r="D603" s="110">
        <v>4500032736</v>
      </c>
      <c r="E603" s="30" t="s">
        <v>185</v>
      </c>
      <c r="F603" s="31">
        <v>2130</v>
      </c>
      <c r="G603" s="286"/>
      <c r="H603" s="443"/>
      <c r="I603" s="443"/>
      <c r="J603" s="443"/>
      <c r="K603" s="443"/>
      <c r="L603" s="443"/>
      <c r="M603" s="443"/>
      <c r="N603" s="443"/>
      <c r="O603" s="443"/>
      <c r="P603" s="443"/>
      <c r="Q603" s="443"/>
      <c r="R603" s="443"/>
      <c r="S603" s="443"/>
      <c r="T603" s="443"/>
      <c r="U603" s="443"/>
      <c r="V603" s="443"/>
      <c r="W603" s="443"/>
      <c r="X603" s="443"/>
      <c r="Y603" s="443"/>
      <c r="Z603" s="443"/>
      <c r="AA603" s="443"/>
      <c r="AB603" s="443"/>
      <c r="AC603" s="443"/>
      <c r="AD603" s="443"/>
      <c r="AE603" s="443"/>
      <c r="AF603" s="443"/>
      <c r="AG603" s="443"/>
      <c r="AH603" s="443"/>
      <c r="AI603" s="443"/>
      <c r="AJ603" s="443"/>
      <c r="AK603" s="443"/>
      <c r="AL603" s="443"/>
      <c r="AM603" s="443"/>
      <c r="AN603" s="443"/>
      <c r="AO603" s="443"/>
      <c r="AP603" s="443"/>
      <c r="AQ603" s="443"/>
      <c r="AR603" s="443"/>
      <c r="AS603" s="443"/>
      <c r="AT603" s="443"/>
      <c r="AU603" s="443"/>
      <c r="AV603" s="443"/>
      <c r="AW603" s="443"/>
      <c r="AX603" s="443"/>
      <c r="AY603" s="443"/>
      <c r="AZ603" s="443"/>
      <c r="BA603" s="443"/>
      <c r="BB603" s="443">
        <f>F603</f>
        <v>2130</v>
      </c>
      <c r="BC603" s="443"/>
      <c r="BD603" s="443"/>
      <c r="BE603" s="443"/>
      <c r="BF603" s="443"/>
      <c r="BG603" s="443"/>
      <c r="BH603" s="443"/>
      <c r="BI603" s="443"/>
      <c r="BJ603" s="443"/>
      <c r="BK603" s="443"/>
      <c r="BL603" s="443"/>
      <c r="BM603" s="443"/>
      <c r="BN603" s="443"/>
      <c r="BO603" s="443"/>
      <c r="BP603" s="92"/>
      <c r="BQ603" s="92">
        <v>25.96</v>
      </c>
      <c r="BR603" s="462">
        <f t="shared" si="54"/>
        <v>55294.8</v>
      </c>
      <c r="BS603" s="447">
        <f t="shared" si="55"/>
        <v>428534.7</v>
      </c>
      <c r="BT603" s="443" t="str">
        <f>IFERROR(VLOOKUP(E603,名称!A:D,4,FALSE),"")</f>
        <v>RRM</v>
      </c>
    </row>
    <row r="604" s="427" customFormat="1" hidden="1" customHeight="1" spans="1:72">
      <c r="A604" s="93">
        <v>46142</v>
      </c>
      <c r="B604" s="95" t="s">
        <v>237</v>
      </c>
      <c r="C604" s="97">
        <v>10126626</v>
      </c>
      <c r="D604" s="96">
        <v>288859078</v>
      </c>
      <c r="E604" s="97" t="s">
        <v>158</v>
      </c>
      <c r="F604" s="99">
        <v>6660</v>
      </c>
      <c r="G604" s="464">
        <v>46211</v>
      </c>
      <c r="H604" s="429"/>
      <c r="I604" s="429"/>
      <c r="J604" s="429"/>
      <c r="K604" s="429"/>
      <c r="L604" s="429"/>
      <c r="M604" s="429"/>
      <c r="N604" s="429"/>
      <c r="O604" s="429"/>
      <c r="P604" s="429"/>
      <c r="Q604" s="429"/>
      <c r="R604" s="429"/>
      <c r="S604" s="429">
        <f>F604</f>
        <v>6660</v>
      </c>
      <c r="T604" s="429"/>
      <c r="U604" s="429"/>
      <c r="V604" s="429"/>
      <c r="W604" s="429"/>
      <c r="X604" s="429"/>
      <c r="Y604" s="429"/>
      <c r="Z604" s="429"/>
      <c r="AA604" s="429"/>
      <c r="AB604" s="429"/>
      <c r="AC604" s="429"/>
      <c r="AD604" s="429"/>
      <c r="AE604" s="429"/>
      <c r="AF604" s="429"/>
      <c r="AG604" s="429"/>
      <c r="AH604" s="429"/>
      <c r="AI604" s="429"/>
      <c r="AJ604" s="429"/>
      <c r="AK604" s="429"/>
      <c r="AL604" s="429"/>
      <c r="AM604" s="429"/>
      <c r="AN604" s="429"/>
      <c r="AO604" s="429"/>
      <c r="AP604" s="429"/>
      <c r="AQ604" s="429"/>
      <c r="AR604" s="429"/>
      <c r="AS604" s="429"/>
      <c r="AT604" s="429"/>
      <c r="AU604" s="429"/>
      <c r="AV604" s="429"/>
      <c r="AW604" s="429"/>
      <c r="AX604" s="429"/>
      <c r="AY604" s="429"/>
      <c r="AZ604" s="429"/>
      <c r="BA604" s="429"/>
      <c r="BB604" s="429"/>
      <c r="BC604" s="429"/>
      <c r="BD604" s="429"/>
      <c r="BE604" s="429"/>
      <c r="BF604" s="429"/>
      <c r="BG604" s="429"/>
      <c r="BH604" s="429"/>
      <c r="BI604" s="429"/>
      <c r="BJ604" s="429"/>
      <c r="BK604" s="429"/>
      <c r="BL604" s="429"/>
      <c r="BM604" s="429"/>
      <c r="BN604" s="429"/>
      <c r="BO604" s="429"/>
      <c r="BP604" s="120"/>
      <c r="BQ604" s="120">
        <v>4.792</v>
      </c>
      <c r="BR604" s="451">
        <f t="shared" si="54"/>
        <v>31914.72</v>
      </c>
      <c r="BS604" s="451">
        <f t="shared" si="55"/>
        <v>247339.08</v>
      </c>
      <c r="BT604" s="429" t="str">
        <f>IFERROR(VLOOKUP(E604,名称!A:D,4,FALSE),"")</f>
        <v>KIK</v>
      </c>
    </row>
    <row r="605" s="427" customFormat="1" hidden="1" customHeight="1" spans="1:72">
      <c r="A605" s="93">
        <v>46142</v>
      </c>
      <c r="B605" s="95" t="s">
        <v>237</v>
      </c>
      <c r="C605" s="97">
        <v>10126609</v>
      </c>
      <c r="D605" s="96">
        <v>288858681</v>
      </c>
      <c r="E605" s="97" t="s">
        <v>31</v>
      </c>
      <c r="F605" s="99">
        <v>547</v>
      </c>
      <c r="G605" s="464">
        <v>46190</v>
      </c>
      <c r="H605" s="429"/>
      <c r="I605" s="429"/>
      <c r="J605" s="429"/>
      <c r="K605" s="429"/>
      <c r="L605" s="429"/>
      <c r="M605" s="429"/>
      <c r="N605" s="429"/>
      <c r="O605" s="429"/>
      <c r="P605" s="429"/>
      <c r="Q605" s="429"/>
      <c r="R605" s="429"/>
      <c r="S605" s="429"/>
      <c r="T605" s="429"/>
      <c r="U605" s="429"/>
      <c r="V605" s="429"/>
      <c r="W605" s="429"/>
      <c r="X605" s="429"/>
      <c r="Y605" s="429"/>
      <c r="Z605" s="429">
        <f>F605</f>
        <v>547</v>
      </c>
      <c r="AA605" s="429"/>
      <c r="AB605" s="429"/>
      <c r="AC605" s="429"/>
      <c r="AD605" s="429"/>
      <c r="AE605" s="429"/>
      <c r="AF605" s="429"/>
      <c r="AG605" s="429"/>
      <c r="AH605" s="429"/>
      <c r="AI605" s="429"/>
      <c r="AJ605" s="429"/>
      <c r="AK605" s="429"/>
      <c r="AL605" s="429"/>
      <c r="AM605" s="429"/>
      <c r="AN605" s="429"/>
      <c r="AO605" s="429"/>
      <c r="AP605" s="429"/>
      <c r="AQ605" s="429"/>
      <c r="AR605" s="429"/>
      <c r="AS605" s="429"/>
      <c r="AT605" s="429"/>
      <c r="AU605" s="429"/>
      <c r="AV605" s="429"/>
      <c r="AW605" s="429"/>
      <c r="AX605" s="429"/>
      <c r="AY605" s="429"/>
      <c r="AZ605" s="429"/>
      <c r="BA605" s="429"/>
      <c r="BB605" s="429"/>
      <c r="BC605" s="429"/>
      <c r="BD605" s="429"/>
      <c r="BE605" s="429"/>
      <c r="BF605" s="429"/>
      <c r="BG605" s="429"/>
      <c r="BH605" s="429"/>
      <c r="BI605" s="429"/>
      <c r="BJ605" s="429"/>
      <c r="BK605" s="429"/>
      <c r="BL605" s="429"/>
      <c r="BM605" s="429"/>
      <c r="BN605" s="429"/>
      <c r="BO605" s="429"/>
      <c r="BP605" s="120"/>
      <c r="BQ605" s="120">
        <v>29.652</v>
      </c>
      <c r="BR605" s="451">
        <f t="shared" si="54"/>
        <v>16219.64</v>
      </c>
      <c r="BS605" s="451">
        <f t="shared" si="55"/>
        <v>125702.21</v>
      </c>
      <c r="BT605" s="429" t="str">
        <f>IFERROR(VLOOKUP(E605,名称!A:D,4,FALSE),"")</f>
        <v>KIK</v>
      </c>
    </row>
    <row r="606" s="427" customFormat="1" hidden="1" customHeight="1" spans="1:72">
      <c r="A606" s="93">
        <v>46142</v>
      </c>
      <c r="B606" s="95" t="s">
        <v>237</v>
      </c>
      <c r="C606" s="97">
        <v>10126612</v>
      </c>
      <c r="D606" s="96">
        <v>288858680</v>
      </c>
      <c r="E606" s="97" t="s">
        <v>31</v>
      </c>
      <c r="F606" s="99">
        <v>547</v>
      </c>
      <c r="G606" s="464">
        <v>46190</v>
      </c>
      <c r="H606" s="429"/>
      <c r="I606" s="429"/>
      <c r="J606" s="429"/>
      <c r="K606" s="429"/>
      <c r="L606" s="429"/>
      <c r="M606" s="429"/>
      <c r="N606" s="429"/>
      <c r="O606" s="429"/>
      <c r="P606" s="429"/>
      <c r="Q606" s="429"/>
      <c r="R606" s="429"/>
      <c r="S606" s="429"/>
      <c r="T606" s="429"/>
      <c r="U606" s="429"/>
      <c r="V606" s="429"/>
      <c r="W606" s="429"/>
      <c r="X606" s="429"/>
      <c r="Y606" s="429"/>
      <c r="Z606" s="429">
        <f>F606</f>
        <v>547</v>
      </c>
      <c r="AA606" s="429"/>
      <c r="AB606" s="429"/>
      <c r="AC606" s="429"/>
      <c r="AD606" s="429"/>
      <c r="AE606" s="429"/>
      <c r="AF606" s="429"/>
      <c r="AG606" s="429"/>
      <c r="AH606" s="429"/>
      <c r="AI606" s="429"/>
      <c r="AJ606" s="429"/>
      <c r="AK606" s="429"/>
      <c r="AL606" s="429"/>
      <c r="AM606" s="429"/>
      <c r="AN606" s="429"/>
      <c r="AO606" s="429"/>
      <c r="AP606" s="429"/>
      <c r="AQ606" s="429"/>
      <c r="AR606" s="429"/>
      <c r="AS606" s="429"/>
      <c r="AT606" s="429"/>
      <c r="AU606" s="429"/>
      <c r="AV606" s="429"/>
      <c r="AW606" s="429"/>
      <c r="AX606" s="429"/>
      <c r="AY606" s="429"/>
      <c r="AZ606" s="429"/>
      <c r="BA606" s="429"/>
      <c r="BB606" s="429"/>
      <c r="BC606" s="429"/>
      <c r="BD606" s="429"/>
      <c r="BE606" s="429"/>
      <c r="BF606" s="429"/>
      <c r="BG606" s="429"/>
      <c r="BH606" s="429"/>
      <c r="BI606" s="429"/>
      <c r="BJ606" s="429"/>
      <c r="BK606" s="429"/>
      <c r="BL606" s="429"/>
      <c r="BM606" s="429"/>
      <c r="BN606" s="429"/>
      <c r="BO606" s="429"/>
      <c r="BP606" s="120"/>
      <c r="BQ606" s="120">
        <v>29.652</v>
      </c>
      <c r="BR606" s="451">
        <f t="shared" si="54"/>
        <v>16219.64</v>
      </c>
      <c r="BS606" s="451">
        <f t="shared" si="55"/>
        <v>125702.21</v>
      </c>
      <c r="BT606" s="429" t="str">
        <f>IFERROR(VLOOKUP(E606,名称!A:D,4,FALSE),"")</f>
        <v>KIK</v>
      </c>
    </row>
    <row r="607" s="427" customFormat="1" hidden="1" customHeight="1" spans="1:72">
      <c r="A607" s="93">
        <v>46142</v>
      </c>
      <c r="B607" s="95" t="s">
        <v>237</v>
      </c>
      <c r="C607" s="97">
        <v>10126614</v>
      </c>
      <c r="D607" s="96">
        <v>288858684</v>
      </c>
      <c r="E607" s="97" t="s">
        <v>39</v>
      </c>
      <c r="F607" s="99">
        <v>804</v>
      </c>
      <c r="G607" s="464">
        <v>46190</v>
      </c>
      <c r="H607" s="429"/>
      <c r="I607" s="429"/>
      <c r="J607" s="429"/>
      <c r="K607" s="429"/>
      <c r="L607" s="429"/>
      <c r="M607" s="429"/>
      <c r="N607" s="429"/>
      <c r="O607" s="429"/>
      <c r="P607" s="429"/>
      <c r="Q607" s="429"/>
      <c r="R607" s="429"/>
      <c r="S607" s="429"/>
      <c r="T607" s="429"/>
      <c r="U607" s="429"/>
      <c r="V607" s="429"/>
      <c r="W607" s="429">
        <f>F607</f>
        <v>804</v>
      </c>
      <c r="X607" s="429"/>
      <c r="Y607" s="429"/>
      <c r="Z607" s="429"/>
      <c r="AA607" s="429"/>
      <c r="AB607" s="429"/>
      <c r="AC607" s="429"/>
      <c r="AD607" s="429"/>
      <c r="AE607" s="429"/>
      <c r="AF607" s="429"/>
      <c r="AG607" s="429"/>
      <c r="AH607" s="429"/>
      <c r="AI607" s="429"/>
      <c r="AJ607" s="429"/>
      <c r="AK607" s="429"/>
      <c r="AL607" s="429"/>
      <c r="AM607" s="429"/>
      <c r="AN607" s="429"/>
      <c r="AO607" s="429"/>
      <c r="AP607" s="429"/>
      <c r="AQ607" s="429"/>
      <c r="AR607" s="429"/>
      <c r="AS607" s="429"/>
      <c r="AT607" s="429"/>
      <c r="AU607" s="429"/>
      <c r="AV607" s="429"/>
      <c r="AW607" s="429"/>
      <c r="AX607" s="429"/>
      <c r="AY607" s="429"/>
      <c r="AZ607" s="429"/>
      <c r="BA607" s="429"/>
      <c r="BB607" s="429"/>
      <c r="BC607" s="429"/>
      <c r="BD607" s="429"/>
      <c r="BE607" s="429"/>
      <c r="BF607" s="429"/>
      <c r="BG607" s="429"/>
      <c r="BH607" s="429"/>
      <c r="BI607" s="429"/>
      <c r="BJ607" s="429"/>
      <c r="BK607" s="429"/>
      <c r="BL607" s="429"/>
      <c r="BM607" s="429"/>
      <c r="BN607" s="429"/>
      <c r="BO607" s="429"/>
      <c r="BP607" s="120"/>
      <c r="BQ607" s="120">
        <v>30.536</v>
      </c>
      <c r="BR607" s="451">
        <f t="shared" si="54"/>
        <v>24550.94</v>
      </c>
      <c r="BS607" s="451">
        <f t="shared" si="55"/>
        <v>190269.79</v>
      </c>
      <c r="BT607" s="429" t="str">
        <f>IFERROR(VLOOKUP(E607,名称!A:D,4,FALSE),"")</f>
        <v>KIK</v>
      </c>
    </row>
    <row r="608" s="427" customFormat="1" hidden="1" customHeight="1" spans="1:72">
      <c r="A608" s="93">
        <v>46142</v>
      </c>
      <c r="B608" s="95" t="s">
        <v>237</v>
      </c>
      <c r="C608" s="97">
        <v>10126614</v>
      </c>
      <c r="D608" s="96">
        <v>288858684</v>
      </c>
      <c r="E608" s="97">
        <v>47669</v>
      </c>
      <c r="F608" s="99">
        <v>576</v>
      </c>
      <c r="G608" s="464">
        <v>46190</v>
      </c>
      <c r="H608" s="429"/>
      <c r="I608" s="429"/>
      <c r="J608" s="429"/>
      <c r="K608" s="429"/>
      <c r="L608" s="429"/>
      <c r="M608" s="429"/>
      <c r="N608" s="429"/>
      <c r="O608" s="429"/>
      <c r="P608" s="429"/>
      <c r="Q608" s="429"/>
      <c r="R608" s="429">
        <f>F608</f>
        <v>576</v>
      </c>
      <c r="S608" s="429"/>
      <c r="T608" s="429"/>
      <c r="U608" s="429"/>
      <c r="V608" s="429"/>
      <c r="W608" s="429"/>
      <c r="X608" s="429"/>
      <c r="Y608" s="429"/>
      <c r="Z608" s="429"/>
      <c r="AA608" s="429"/>
      <c r="AB608" s="429"/>
      <c r="AC608" s="429"/>
      <c r="AD608" s="429"/>
      <c r="AE608" s="429"/>
      <c r="AF608" s="429"/>
      <c r="AG608" s="429"/>
      <c r="AH608" s="429"/>
      <c r="AI608" s="429"/>
      <c r="AJ608" s="429"/>
      <c r="AK608" s="429"/>
      <c r="AL608" s="429"/>
      <c r="AM608" s="429"/>
      <c r="AN608" s="429"/>
      <c r="AO608" s="429"/>
      <c r="AP608" s="429"/>
      <c r="AQ608" s="429"/>
      <c r="AR608" s="429"/>
      <c r="AS608" s="429"/>
      <c r="AT608" s="429"/>
      <c r="AU608" s="429"/>
      <c r="AV608" s="429"/>
      <c r="AW608" s="429"/>
      <c r="AX608" s="429"/>
      <c r="AY608" s="429"/>
      <c r="AZ608" s="429"/>
      <c r="BA608" s="429"/>
      <c r="BB608" s="429"/>
      <c r="BC608" s="429"/>
      <c r="BD608" s="429"/>
      <c r="BE608" s="429"/>
      <c r="BF608" s="429"/>
      <c r="BG608" s="429"/>
      <c r="BH608" s="429"/>
      <c r="BI608" s="429"/>
      <c r="BJ608" s="429"/>
      <c r="BK608" s="429"/>
      <c r="BL608" s="429"/>
      <c r="BM608" s="429"/>
      <c r="BN608" s="429"/>
      <c r="BO608" s="429"/>
      <c r="BP608" s="120"/>
      <c r="BQ608" s="120">
        <v>4.808</v>
      </c>
      <c r="BR608" s="451">
        <f t="shared" si="54"/>
        <v>2769.41</v>
      </c>
      <c r="BS608" s="451">
        <f t="shared" si="55"/>
        <v>21462.93</v>
      </c>
      <c r="BT608" s="429" t="str">
        <f>IFERROR(VLOOKUP(E608,名称!A:D,4,FALSE),"")</f>
        <v>KIK</v>
      </c>
    </row>
    <row r="609" s="427" customFormat="1" customHeight="1" spans="1:72">
      <c r="A609" s="93">
        <v>46142</v>
      </c>
      <c r="B609" s="95" t="s">
        <v>237</v>
      </c>
      <c r="C609" s="96">
        <v>10126615</v>
      </c>
      <c r="D609" s="96">
        <v>288859064</v>
      </c>
      <c r="E609" s="97" t="s">
        <v>113</v>
      </c>
      <c r="F609" s="99">
        <v>2132</v>
      </c>
      <c r="G609" s="93">
        <v>46190</v>
      </c>
      <c r="H609" s="429"/>
      <c r="I609" s="429"/>
      <c r="J609" s="429"/>
      <c r="K609" s="429"/>
      <c r="L609" s="429"/>
      <c r="M609" s="429"/>
      <c r="N609" s="429"/>
      <c r="O609" s="429"/>
      <c r="P609" s="429"/>
      <c r="Q609" s="429"/>
      <c r="R609" s="429"/>
      <c r="S609" s="429"/>
      <c r="T609" s="429"/>
      <c r="U609" s="429"/>
      <c r="V609" s="429"/>
      <c r="W609" s="429"/>
      <c r="X609" s="429"/>
      <c r="Y609" s="429"/>
      <c r="Z609" s="429"/>
      <c r="AA609" s="429"/>
      <c r="AB609" s="429"/>
      <c r="AC609" s="429"/>
      <c r="AD609" s="429"/>
      <c r="AE609" s="429"/>
      <c r="AF609" s="429"/>
      <c r="AG609" s="429"/>
      <c r="AH609" s="429"/>
      <c r="AI609" s="429"/>
      <c r="AJ609" s="429"/>
      <c r="AK609" s="429"/>
      <c r="AL609" s="429"/>
      <c r="AM609" s="429"/>
      <c r="AN609" s="429">
        <f>F609</f>
        <v>2132</v>
      </c>
      <c r="AO609" s="429"/>
      <c r="AP609" s="429"/>
      <c r="AQ609" s="429"/>
      <c r="AR609" s="429"/>
      <c r="AS609" s="429"/>
      <c r="AT609" s="429"/>
      <c r="AU609" s="429"/>
      <c r="AV609" s="429"/>
      <c r="AW609" s="429"/>
      <c r="AX609" s="429"/>
      <c r="AY609" s="429"/>
      <c r="AZ609" s="429"/>
      <c r="BA609" s="429"/>
      <c r="BB609" s="429"/>
      <c r="BC609" s="429"/>
      <c r="BD609" s="429"/>
      <c r="BE609" s="429"/>
      <c r="BF609" s="429"/>
      <c r="BG609" s="429"/>
      <c r="BH609" s="429"/>
      <c r="BI609" s="429"/>
      <c r="BJ609" s="429"/>
      <c r="BK609" s="429"/>
      <c r="BL609" s="429"/>
      <c r="BM609" s="429"/>
      <c r="BN609" s="429"/>
      <c r="BO609" s="429"/>
      <c r="BP609" s="102"/>
      <c r="BQ609" s="102">
        <v>5.97</v>
      </c>
      <c r="BR609" s="451">
        <f t="shared" si="54"/>
        <v>12728.04</v>
      </c>
      <c r="BS609" s="451">
        <f t="shared" si="55"/>
        <v>98642.31</v>
      </c>
      <c r="BT609" s="429" t="str">
        <f>IFERROR(VLOOKUP(E609,名称!A:D,4,FALSE),"")</f>
        <v>KIK</v>
      </c>
    </row>
    <row r="610" s="427" customFormat="1" customHeight="1" spans="1:72">
      <c r="A610" s="93">
        <v>46142</v>
      </c>
      <c r="B610" s="95" t="s">
        <v>237</v>
      </c>
      <c r="C610" s="96">
        <v>10126615</v>
      </c>
      <c r="D610" s="96">
        <v>288859064</v>
      </c>
      <c r="E610" s="97" t="s">
        <v>120</v>
      </c>
      <c r="F610" s="99">
        <v>710</v>
      </c>
      <c r="G610" s="93">
        <v>46190</v>
      </c>
      <c r="H610" s="429"/>
      <c r="I610" s="429"/>
      <c r="J610" s="429"/>
      <c r="K610" s="429"/>
      <c r="L610" s="429"/>
      <c r="M610" s="429"/>
      <c r="N610" s="429"/>
      <c r="O610" s="429"/>
      <c r="P610" s="429"/>
      <c r="Q610" s="429"/>
      <c r="R610" s="429"/>
      <c r="S610" s="429"/>
      <c r="T610" s="429"/>
      <c r="U610" s="429"/>
      <c r="V610" s="429"/>
      <c r="W610" s="429"/>
      <c r="X610" s="429"/>
      <c r="Y610" s="429"/>
      <c r="Z610" s="429"/>
      <c r="AA610" s="429"/>
      <c r="AB610" s="429"/>
      <c r="AC610" s="429"/>
      <c r="AD610" s="429"/>
      <c r="AE610" s="429"/>
      <c r="AF610" s="429"/>
      <c r="AG610" s="429"/>
      <c r="AH610" s="429"/>
      <c r="AI610" s="429"/>
      <c r="AJ610" s="429"/>
      <c r="AK610" s="429"/>
      <c r="AL610" s="429"/>
      <c r="AM610" s="429"/>
      <c r="AN610" s="429"/>
      <c r="AO610" s="429"/>
      <c r="AP610" s="429"/>
      <c r="AQ610" s="429"/>
      <c r="AR610" s="429">
        <f>F610</f>
        <v>710</v>
      </c>
      <c r="AS610" s="429"/>
      <c r="AT610" s="429"/>
      <c r="AU610" s="429"/>
      <c r="AV610" s="429"/>
      <c r="AW610" s="429"/>
      <c r="AX610" s="429"/>
      <c r="AY610" s="429"/>
      <c r="AZ610" s="429"/>
      <c r="BA610" s="429"/>
      <c r="BB610" s="429"/>
      <c r="BC610" s="429"/>
      <c r="BD610" s="429"/>
      <c r="BE610" s="429"/>
      <c r="BF610" s="429"/>
      <c r="BG610" s="429"/>
      <c r="BH610" s="429"/>
      <c r="BI610" s="429"/>
      <c r="BJ610" s="429"/>
      <c r="BK610" s="429"/>
      <c r="BL610" s="429"/>
      <c r="BM610" s="429"/>
      <c r="BN610" s="429"/>
      <c r="BO610" s="429"/>
      <c r="BP610" s="102"/>
      <c r="BQ610" s="102">
        <v>21.246</v>
      </c>
      <c r="BR610" s="451">
        <f t="shared" si="54"/>
        <v>15084.66</v>
      </c>
      <c r="BS610" s="451">
        <f t="shared" si="55"/>
        <v>116906.12</v>
      </c>
      <c r="BT610" s="429" t="str">
        <f>IFERROR(VLOOKUP(E610,名称!A:D,4,FALSE),"")</f>
        <v>KIK</v>
      </c>
    </row>
    <row r="611" s="427" customFormat="1" hidden="1" customHeight="1" spans="1:72">
      <c r="A611" s="93">
        <v>46142</v>
      </c>
      <c r="B611" s="95" t="s">
        <v>237</v>
      </c>
      <c r="C611" s="96">
        <v>10126616</v>
      </c>
      <c r="D611" s="96">
        <v>288862503</v>
      </c>
      <c r="E611" s="97" t="s">
        <v>158</v>
      </c>
      <c r="F611" s="99">
        <v>6660</v>
      </c>
      <c r="G611" s="93">
        <v>46197</v>
      </c>
      <c r="H611" s="429"/>
      <c r="I611" s="429"/>
      <c r="J611" s="429"/>
      <c r="K611" s="429"/>
      <c r="L611" s="429"/>
      <c r="M611" s="429"/>
      <c r="N611" s="429"/>
      <c r="O611" s="429"/>
      <c r="P611" s="429"/>
      <c r="Q611" s="429"/>
      <c r="R611" s="429"/>
      <c r="S611" s="429">
        <f t="shared" ref="S611:S616" si="56">F611</f>
        <v>6660</v>
      </c>
      <c r="T611" s="429"/>
      <c r="U611" s="429"/>
      <c r="V611" s="429"/>
      <c r="W611" s="429"/>
      <c r="X611" s="429"/>
      <c r="Y611" s="429"/>
      <c r="Z611" s="429"/>
      <c r="AA611" s="429"/>
      <c r="AB611" s="429"/>
      <c r="AC611" s="429"/>
      <c r="AD611" s="429"/>
      <c r="AE611" s="429"/>
      <c r="AF611" s="429"/>
      <c r="AG611" s="429"/>
      <c r="AH611" s="429"/>
      <c r="AI611" s="429"/>
      <c r="AJ611" s="429"/>
      <c r="AK611" s="429"/>
      <c r="AL611" s="429"/>
      <c r="AM611" s="429"/>
      <c r="AN611" s="429"/>
      <c r="AO611" s="429"/>
      <c r="AP611" s="429"/>
      <c r="AQ611" s="429"/>
      <c r="AR611" s="429"/>
      <c r="AS611" s="429"/>
      <c r="AT611" s="429"/>
      <c r="AU611" s="429"/>
      <c r="AV611" s="429"/>
      <c r="AW611" s="429"/>
      <c r="AX611" s="429"/>
      <c r="AY611" s="429"/>
      <c r="AZ611" s="429"/>
      <c r="BA611" s="429"/>
      <c r="BB611" s="429"/>
      <c r="BC611" s="429"/>
      <c r="BD611" s="429"/>
      <c r="BE611" s="429"/>
      <c r="BF611" s="429"/>
      <c r="BG611" s="429"/>
      <c r="BH611" s="429"/>
      <c r="BI611" s="429"/>
      <c r="BJ611" s="429"/>
      <c r="BK611" s="429"/>
      <c r="BL611" s="429"/>
      <c r="BM611" s="429"/>
      <c r="BN611" s="429"/>
      <c r="BO611" s="429"/>
      <c r="BP611" s="102"/>
      <c r="BQ611" s="102">
        <v>4.792</v>
      </c>
      <c r="BR611" s="451">
        <f t="shared" ref="BR597:BR651" si="57">SUM(H611:BP611)*BQ611</f>
        <v>31914.72</v>
      </c>
      <c r="BS611" s="451">
        <f t="shared" ref="BS597:BS618" si="58">BR611*7.75</f>
        <v>247339.08</v>
      </c>
      <c r="BT611" s="429" t="str">
        <f>IFERROR(VLOOKUP(E611,名称!A:D,4,FALSE),"")</f>
        <v>KIK</v>
      </c>
    </row>
    <row r="612" s="427" customFormat="1" hidden="1" customHeight="1" spans="1:72">
      <c r="A612" s="93">
        <v>46142</v>
      </c>
      <c r="B612" s="95" t="s">
        <v>237</v>
      </c>
      <c r="C612" s="96">
        <v>10126618</v>
      </c>
      <c r="D612" s="96">
        <v>288862504</v>
      </c>
      <c r="E612" s="97" t="s">
        <v>158</v>
      </c>
      <c r="F612" s="99">
        <v>6660</v>
      </c>
      <c r="G612" s="93">
        <v>46197</v>
      </c>
      <c r="H612" s="429"/>
      <c r="I612" s="429"/>
      <c r="J612" s="429"/>
      <c r="K612" s="429"/>
      <c r="L612" s="429"/>
      <c r="M612" s="429"/>
      <c r="N612" s="429"/>
      <c r="O612" s="429"/>
      <c r="P612" s="429"/>
      <c r="Q612" s="429"/>
      <c r="R612" s="429"/>
      <c r="S612" s="429">
        <f t="shared" si="56"/>
        <v>6660</v>
      </c>
      <c r="T612" s="429"/>
      <c r="U612" s="429"/>
      <c r="V612" s="429"/>
      <c r="W612" s="429"/>
      <c r="X612" s="429"/>
      <c r="Y612" s="429"/>
      <c r="Z612" s="429"/>
      <c r="AA612" s="429"/>
      <c r="AB612" s="429"/>
      <c r="AC612" s="429"/>
      <c r="AD612" s="429"/>
      <c r="AE612" s="429"/>
      <c r="AF612" s="429"/>
      <c r="AG612" s="429"/>
      <c r="AH612" s="429"/>
      <c r="AI612" s="429"/>
      <c r="AJ612" s="429"/>
      <c r="AK612" s="429"/>
      <c r="AL612" s="429"/>
      <c r="AM612" s="429"/>
      <c r="AN612" s="429"/>
      <c r="AO612" s="429"/>
      <c r="AP612" s="429"/>
      <c r="AQ612" s="429"/>
      <c r="AR612" s="429"/>
      <c r="AS612" s="429"/>
      <c r="AT612" s="429"/>
      <c r="AU612" s="429"/>
      <c r="AV612" s="429"/>
      <c r="AW612" s="429"/>
      <c r="AX612" s="429"/>
      <c r="AY612" s="429"/>
      <c r="AZ612" s="429"/>
      <c r="BA612" s="429"/>
      <c r="BB612" s="429"/>
      <c r="BC612" s="429"/>
      <c r="BD612" s="429"/>
      <c r="BE612" s="429"/>
      <c r="BF612" s="429"/>
      <c r="BG612" s="429"/>
      <c r="BH612" s="429"/>
      <c r="BI612" s="429"/>
      <c r="BJ612" s="429"/>
      <c r="BK612" s="429"/>
      <c r="BL612" s="429"/>
      <c r="BM612" s="429"/>
      <c r="BN612" s="429"/>
      <c r="BO612" s="429"/>
      <c r="BP612" s="102"/>
      <c r="BQ612" s="102">
        <v>4.792</v>
      </c>
      <c r="BR612" s="451">
        <f t="shared" si="57"/>
        <v>31914.72</v>
      </c>
      <c r="BS612" s="451">
        <f t="shared" si="58"/>
        <v>247339.08</v>
      </c>
      <c r="BT612" s="429" t="str">
        <f>IFERROR(VLOOKUP(E612,名称!A:D,4,FALSE),"")</f>
        <v>KIK</v>
      </c>
    </row>
    <row r="613" s="427" customFormat="1" hidden="1" customHeight="1" spans="1:72">
      <c r="A613" s="93">
        <v>46142</v>
      </c>
      <c r="B613" s="95" t="s">
        <v>237</v>
      </c>
      <c r="C613" s="97">
        <v>10126620</v>
      </c>
      <c r="D613" s="96">
        <v>288862505</v>
      </c>
      <c r="E613" s="97" t="s">
        <v>158</v>
      </c>
      <c r="F613" s="99">
        <v>6660</v>
      </c>
      <c r="G613" s="464">
        <v>46204</v>
      </c>
      <c r="H613" s="429"/>
      <c r="I613" s="429"/>
      <c r="J613" s="429"/>
      <c r="K613" s="429"/>
      <c r="L613" s="429"/>
      <c r="M613" s="429"/>
      <c r="N613" s="429"/>
      <c r="O613" s="429"/>
      <c r="P613" s="429"/>
      <c r="Q613" s="429"/>
      <c r="R613" s="429"/>
      <c r="S613" s="429">
        <f t="shared" si="56"/>
        <v>6660</v>
      </c>
      <c r="T613" s="429"/>
      <c r="U613" s="429"/>
      <c r="V613" s="429"/>
      <c r="W613" s="429"/>
      <c r="X613" s="429"/>
      <c r="Y613" s="429"/>
      <c r="Z613" s="429"/>
      <c r="AA613" s="429"/>
      <c r="AB613" s="429"/>
      <c r="AC613" s="429"/>
      <c r="AD613" s="429"/>
      <c r="AE613" s="429"/>
      <c r="AF613" s="429"/>
      <c r="AG613" s="429"/>
      <c r="AH613" s="429"/>
      <c r="AI613" s="429"/>
      <c r="AJ613" s="429"/>
      <c r="AK613" s="429"/>
      <c r="AL613" s="429"/>
      <c r="AM613" s="429"/>
      <c r="AN613" s="429"/>
      <c r="AO613" s="429"/>
      <c r="AP613" s="429"/>
      <c r="AQ613" s="429"/>
      <c r="AR613" s="429"/>
      <c r="AS613" s="429"/>
      <c r="AT613" s="429"/>
      <c r="AU613" s="429"/>
      <c r="AV613" s="429"/>
      <c r="AW613" s="429"/>
      <c r="AX613" s="429"/>
      <c r="AY613" s="429"/>
      <c r="AZ613" s="429"/>
      <c r="BA613" s="429"/>
      <c r="BB613" s="429"/>
      <c r="BC613" s="429"/>
      <c r="BD613" s="429"/>
      <c r="BE613" s="429"/>
      <c r="BF613" s="429"/>
      <c r="BG613" s="429"/>
      <c r="BH613" s="429"/>
      <c r="BI613" s="429"/>
      <c r="BJ613" s="429"/>
      <c r="BK613" s="429"/>
      <c r="BL613" s="429"/>
      <c r="BM613" s="429"/>
      <c r="BN613" s="429"/>
      <c r="BO613" s="429"/>
      <c r="BP613" s="102"/>
      <c r="BQ613" s="102">
        <v>4.792</v>
      </c>
      <c r="BR613" s="451">
        <f t="shared" si="57"/>
        <v>31914.72</v>
      </c>
      <c r="BS613" s="451">
        <f t="shared" si="58"/>
        <v>247339.08</v>
      </c>
      <c r="BT613" s="429" t="str">
        <f>IFERROR(VLOOKUP(E613,名称!A:D,4,FALSE),"")</f>
        <v>KIK</v>
      </c>
    </row>
    <row r="614" s="427" customFormat="1" hidden="1" customHeight="1" spans="1:72">
      <c r="A614" s="93">
        <v>46142</v>
      </c>
      <c r="B614" s="95" t="s">
        <v>237</v>
      </c>
      <c r="C614" s="97">
        <v>10126622</v>
      </c>
      <c r="D614" s="96">
        <v>288859075</v>
      </c>
      <c r="E614" s="97" t="s">
        <v>158</v>
      </c>
      <c r="F614" s="99">
        <v>6660</v>
      </c>
      <c r="G614" s="464">
        <v>46204</v>
      </c>
      <c r="H614" s="429"/>
      <c r="I614" s="429"/>
      <c r="J614" s="429"/>
      <c r="K614" s="429"/>
      <c r="L614" s="429"/>
      <c r="M614" s="429"/>
      <c r="N614" s="429"/>
      <c r="O614" s="429"/>
      <c r="P614" s="429"/>
      <c r="Q614" s="429"/>
      <c r="R614" s="429"/>
      <c r="S614" s="429">
        <f t="shared" si="56"/>
        <v>6660</v>
      </c>
      <c r="T614" s="429"/>
      <c r="U614" s="429"/>
      <c r="V614" s="429"/>
      <c r="W614" s="429"/>
      <c r="X614" s="429"/>
      <c r="Y614" s="429"/>
      <c r="Z614" s="429"/>
      <c r="AA614" s="429"/>
      <c r="AB614" s="429"/>
      <c r="AC614" s="429"/>
      <c r="AD614" s="429"/>
      <c r="AE614" s="429"/>
      <c r="AF614" s="429"/>
      <c r="AG614" s="429"/>
      <c r="AH614" s="429"/>
      <c r="AI614" s="429"/>
      <c r="AJ614" s="429"/>
      <c r="AK614" s="429"/>
      <c r="AL614" s="429"/>
      <c r="AM614" s="429"/>
      <c r="AN614" s="429"/>
      <c r="AO614" s="429"/>
      <c r="AP614" s="429"/>
      <c r="AQ614" s="429"/>
      <c r="AR614" s="429"/>
      <c r="AS614" s="429"/>
      <c r="AT614" s="429"/>
      <c r="AU614" s="429"/>
      <c r="AV614" s="429"/>
      <c r="AW614" s="429"/>
      <c r="AX614" s="429"/>
      <c r="AY614" s="429"/>
      <c r="AZ614" s="429"/>
      <c r="BA614" s="429"/>
      <c r="BB614" s="429"/>
      <c r="BC614" s="429"/>
      <c r="BD614" s="429"/>
      <c r="BE614" s="429"/>
      <c r="BF614" s="429"/>
      <c r="BG614" s="429"/>
      <c r="BH614" s="429"/>
      <c r="BI614" s="429"/>
      <c r="BJ614" s="429"/>
      <c r="BK614" s="429"/>
      <c r="BL614" s="429"/>
      <c r="BM614" s="429"/>
      <c r="BN614" s="429"/>
      <c r="BO614" s="429"/>
      <c r="BP614" s="102"/>
      <c r="BQ614" s="102">
        <v>4.792</v>
      </c>
      <c r="BR614" s="451">
        <f t="shared" si="57"/>
        <v>31914.72</v>
      </c>
      <c r="BS614" s="451">
        <f t="shared" si="58"/>
        <v>247339.08</v>
      </c>
      <c r="BT614" s="429" t="str">
        <f>IFERROR(VLOOKUP(E614,名称!A:D,4,FALSE),"")</f>
        <v>KIK</v>
      </c>
    </row>
    <row r="615" s="427" customFormat="1" hidden="1" customHeight="1" spans="1:72">
      <c r="A615" s="93">
        <v>46142</v>
      </c>
      <c r="B615" s="95" t="s">
        <v>237</v>
      </c>
      <c r="C615" s="97">
        <v>10126623</v>
      </c>
      <c r="D615" s="96">
        <v>288859076</v>
      </c>
      <c r="E615" s="97" t="s">
        <v>158</v>
      </c>
      <c r="F615" s="99">
        <v>6660</v>
      </c>
      <c r="G615" s="464">
        <v>46204</v>
      </c>
      <c r="H615" s="429"/>
      <c r="I615" s="429"/>
      <c r="J615" s="429"/>
      <c r="K615" s="429"/>
      <c r="L615" s="429"/>
      <c r="M615" s="429"/>
      <c r="N615" s="429"/>
      <c r="O615" s="429"/>
      <c r="P615" s="429"/>
      <c r="Q615" s="429"/>
      <c r="R615" s="429"/>
      <c r="S615" s="429">
        <f t="shared" si="56"/>
        <v>6660</v>
      </c>
      <c r="T615" s="429"/>
      <c r="U615" s="429"/>
      <c r="V615" s="429"/>
      <c r="W615" s="429"/>
      <c r="X615" s="429"/>
      <c r="Y615" s="429"/>
      <c r="Z615" s="429"/>
      <c r="AA615" s="429"/>
      <c r="AB615" s="429"/>
      <c r="AC615" s="429"/>
      <c r="AD615" s="429"/>
      <c r="AE615" s="429"/>
      <c r="AF615" s="429"/>
      <c r="AG615" s="429"/>
      <c r="AH615" s="429"/>
      <c r="AI615" s="429"/>
      <c r="AJ615" s="429"/>
      <c r="AK615" s="429"/>
      <c r="AL615" s="429"/>
      <c r="AM615" s="429"/>
      <c r="AN615" s="429"/>
      <c r="AO615" s="429"/>
      <c r="AP615" s="429"/>
      <c r="AQ615" s="429"/>
      <c r="AR615" s="429"/>
      <c r="AS615" s="429"/>
      <c r="AT615" s="429"/>
      <c r="AU615" s="429"/>
      <c r="AV615" s="429"/>
      <c r="AW615" s="429"/>
      <c r="AX615" s="429"/>
      <c r="AY615" s="429"/>
      <c r="AZ615" s="429"/>
      <c r="BA615" s="429"/>
      <c r="BB615" s="429"/>
      <c r="BC615" s="429"/>
      <c r="BD615" s="429"/>
      <c r="BE615" s="429"/>
      <c r="BF615" s="429"/>
      <c r="BG615" s="429"/>
      <c r="BH615" s="429"/>
      <c r="BI615" s="429"/>
      <c r="BJ615" s="429"/>
      <c r="BK615" s="429"/>
      <c r="BL615" s="429"/>
      <c r="BM615" s="429"/>
      <c r="BN615" s="429"/>
      <c r="BO615" s="429"/>
      <c r="BP615" s="102"/>
      <c r="BQ615" s="102">
        <v>4.792</v>
      </c>
      <c r="BR615" s="451">
        <f t="shared" si="57"/>
        <v>31914.72</v>
      </c>
      <c r="BS615" s="451">
        <f t="shared" si="58"/>
        <v>247339.08</v>
      </c>
      <c r="BT615" s="429" t="str">
        <f>IFERROR(VLOOKUP(E615,名称!A:D,4,FALSE),"")</f>
        <v>KIK</v>
      </c>
    </row>
    <row r="616" s="427" customFormat="1" hidden="1" customHeight="1" spans="1:72">
      <c r="A616" s="93">
        <v>46142</v>
      </c>
      <c r="B616" s="95" t="s">
        <v>237</v>
      </c>
      <c r="C616" s="97">
        <v>10126624</v>
      </c>
      <c r="D616" s="96">
        <v>288859077</v>
      </c>
      <c r="E616" s="97" t="s">
        <v>158</v>
      </c>
      <c r="F616" s="99">
        <v>6660</v>
      </c>
      <c r="G616" s="464">
        <v>46211</v>
      </c>
      <c r="H616" s="429"/>
      <c r="I616" s="429"/>
      <c r="J616" s="429"/>
      <c r="K616" s="429"/>
      <c r="L616" s="429"/>
      <c r="M616" s="429"/>
      <c r="N616" s="429"/>
      <c r="O616" s="429"/>
      <c r="P616" s="429"/>
      <c r="Q616" s="429"/>
      <c r="R616" s="429"/>
      <c r="S616" s="429">
        <f t="shared" si="56"/>
        <v>6660</v>
      </c>
      <c r="T616" s="429"/>
      <c r="U616" s="429"/>
      <c r="V616" s="429"/>
      <c r="W616" s="429"/>
      <c r="X616" s="429"/>
      <c r="Y616" s="429"/>
      <c r="Z616" s="429"/>
      <c r="AA616" s="429"/>
      <c r="AB616" s="429"/>
      <c r="AC616" s="429"/>
      <c r="AD616" s="429"/>
      <c r="AE616" s="429"/>
      <c r="AF616" s="429"/>
      <c r="AG616" s="429"/>
      <c r="AH616" s="429"/>
      <c r="AI616" s="429"/>
      <c r="AJ616" s="429"/>
      <c r="AK616" s="429"/>
      <c r="AL616" s="429"/>
      <c r="AM616" s="429"/>
      <c r="AN616" s="429"/>
      <c r="AO616" s="429"/>
      <c r="AP616" s="429"/>
      <c r="AQ616" s="429"/>
      <c r="AR616" s="429"/>
      <c r="AS616" s="429"/>
      <c r="AT616" s="429"/>
      <c r="AU616" s="429"/>
      <c r="AV616" s="429"/>
      <c r="AW616" s="429"/>
      <c r="AX616" s="429"/>
      <c r="AY616" s="429"/>
      <c r="AZ616" s="429"/>
      <c r="BA616" s="429"/>
      <c r="BB616" s="429"/>
      <c r="BC616" s="429"/>
      <c r="BD616" s="429"/>
      <c r="BE616" s="429"/>
      <c r="BF616" s="429"/>
      <c r="BG616" s="429"/>
      <c r="BH616" s="429"/>
      <c r="BI616" s="429"/>
      <c r="BJ616" s="429"/>
      <c r="BK616" s="429"/>
      <c r="BL616" s="429"/>
      <c r="BM616" s="429"/>
      <c r="BN616" s="429"/>
      <c r="BO616" s="429"/>
      <c r="BP616" s="102"/>
      <c r="BQ616" s="102">
        <v>4.792</v>
      </c>
      <c r="BR616" s="451">
        <f t="shared" si="57"/>
        <v>31914.72</v>
      </c>
      <c r="BS616" s="451">
        <f t="shared" si="58"/>
        <v>247339.08</v>
      </c>
      <c r="BT616" s="429" t="str">
        <f>IFERROR(VLOOKUP(E616,名称!A:D,4,FALSE),"")</f>
        <v>KIK</v>
      </c>
    </row>
    <row r="617" s="425" customFormat="1" hidden="1" customHeight="1" spans="1:72">
      <c r="A617" s="108">
        <v>46142</v>
      </c>
      <c r="B617" s="109" t="s">
        <v>236</v>
      </c>
      <c r="C617" s="30">
        <v>10125362</v>
      </c>
      <c r="D617" s="110">
        <v>20219091</v>
      </c>
      <c r="E617" s="30" t="s">
        <v>195</v>
      </c>
      <c r="F617" s="31">
        <v>600</v>
      </c>
      <c r="G617" s="286">
        <v>46281</v>
      </c>
      <c r="H617" s="443"/>
      <c r="I617" s="443"/>
      <c r="J617" s="443"/>
      <c r="K617" s="443"/>
      <c r="L617" s="443"/>
      <c r="M617" s="443"/>
      <c r="N617" s="443"/>
      <c r="O617" s="443"/>
      <c r="P617" s="443"/>
      <c r="Q617" s="443"/>
      <c r="R617" s="443"/>
      <c r="S617" s="443"/>
      <c r="T617" s="443"/>
      <c r="U617" s="443"/>
      <c r="V617" s="443"/>
      <c r="W617" s="443"/>
      <c r="X617" s="443"/>
      <c r="Y617" s="443"/>
      <c r="Z617" s="443"/>
      <c r="AA617" s="443"/>
      <c r="AB617" s="443"/>
      <c r="AC617" s="443"/>
      <c r="AD617" s="443"/>
      <c r="AE617" s="443"/>
      <c r="AF617" s="443"/>
      <c r="AG617" s="443"/>
      <c r="AH617" s="443"/>
      <c r="AI617" s="443"/>
      <c r="AJ617" s="443"/>
      <c r="AK617" s="443"/>
      <c r="AL617" s="443"/>
      <c r="AM617" s="443"/>
      <c r="AN617" s="443"/>
      <c r="AO617" s="443"/>
      <c r="AP617" s="443"/>
      <c r="AQ617" s="443"/>
      <c r="AR617" s="443"/>
      <c r="AS617" s="443"/>
      <c r="AT617" s="443"/>
      <c r="AU617" s="443"/>
      <c r="AV617" s="443"/>
      <c r="AW617" s="443"/>
      <c r="AX617" s="443"/>
      <c r="AY617" s="443"/>
      <c r="AZ617" s="443"/>
      <c r="BA617" s="443"/>
      <c r="BB617" s="443"/>
      <c r="BC617" s="443">
        <f>F617</f>
        <v>600</v>
      </c>
      <c r="BD617" s="443"/>
      <c r="BE617" s="443"/>
      <c r="BF617" s="443"/>
      <c r="BG617" s="443"/>
      <c r="BH617" s="443"/>
      <c r="BI617" s="443"/>
      <c r="BJ617" s="443"/>
      <c r="BK617" s="443"/>
      <c r="BL617" s="443"/>
      <c r="BM617" s="443"/>
      <c r="BN617" s="443"/>
      <c r="BO617" s="443"/>
      <c r="BP617" s="92"/>
      <c r="BQ617" s="92">
        <v>2.881</v>
      </c>
      <c r="BR617" s="462">
        <f t="shared" si="57"/>
        <v>1728.6</v>
      </c>
      <c r="BS617" s="447">
        <f t="shared" si="58"/>
        <v>13396.65</v>
      </c>
      <c r="BT617" s="443" t="str">
        <f>IFERROR(VLOOKUP(E617,名称!A:D,4,FALSE),"")</f>
        <v>RRM</v>
      </c>
    </row>
    <row r="618" s="425" customFormat="1" hidden="1" customHeight="1" spans="1:72">
      <c r="A618" s="284">
        <v>46149</v>
      </c>
      <c r="B618" s="294" t="s">
        <v>235</v>
      </c>
      <c r="C618" s="291">
        <v>10126801</v>
      </c>
      <c r="D618" s="465">
        <v>4500032770</v>
      </c>
      <c r="E618" s="291" t="s">
        <v>115</v>
      </c>
      <c r="F618" s="466">
        <v>2360</v>
      </c>
      <c r="G618" s="284">
        <v>46246</v>
      </c>
      <c r="H618" s="467"/>
      <c r="I618" s="467"/>
      <c r="J618" s="467"/>
      <c r="K618" s="467"/>
      <c r="L618" s="467"/>
      <c r="M618" s="467"/>
      <c r="N618" s="467"/>
      <c r="O618" s="467"/>
      <c r="P618" s="467"/>
      <c r="Q618" s="467"/>
      <c r="R618" s="467"/>
      <c r="S618" s="467"/>
      <c r="T618" s="467"/>
      <c r="U618" s="467"/>
      <c r="V618" s="467"/>
      <c r="W618" s="467"/>
      <c r="X618" s="467"/>
      <c r="Y618" s="467"/>
      <c r="Z618" s="467"/>
      <c r="AA618" s="467"/>
      <c r="AB618" s="467"/>
      <c r="AC618" s="467"/>
      <c r="AD618" s="467"/>
      <c r="AE618" s="467"/>
      <c r="AF618" s="467"/>
      <c r="AG618" s="467"/>
      <c r="AH618" s="467"/>
      <c r="AI618" s="467"/>
      <c r="AJ618" s="467"/>
      <c r="AK618" s="467"/>
      <c r="AL618" s="467"/>
      <c r="AM618" s="467"/>
      <c r="AN618" s="467"/>
      <c r="AO618" s="468">
        <f>F618</f>
        <v>2360</v>
      </c>
      <c r="AP618" s="467"/>
      <c r="AQ618" s="467"/>
      <c r="AR618" s="467"/>
      <c r="AS618" s="467"/>
      <c r="AT618" s="467"/>
      <c r="AU618" s="467"/>
      <c r="AV618" s="467"/>
      <c r="AW618" s="467"/>
      <c r="AX618" s="467"/>
      <c r="AY618" s="467"/>
      <c r="AZ618" s="467"/>
      <c r="BA618" s="467"/>
      <c r="BB618" s="467"/>
      <c r="BC618" s="467"/>
      <c r="BD618" s="467"/>
      <c r="BE618" s="467"/>
      <c r="BF618" s="467"/>
      <c r="BG618" s="467"/>
      <c r="BH618" s="467"/>
      <c r="BI618" s="467"/>
      <c r="BJ618" s="467"/>
      <c r="BK618" s="467"/>
      <c r="BL618" s="467"/>
      <c r="BM618" s="467"/>
      <c r="BN618" s="467"/>
      <c r="BO618" s="467"/>
      <c r="BP618" s="298"/>
      <c r="BQ618" s="298">
        <v>2.204</v>
      </c>
      <c r="BR618" s="462">
        <f t="shared" si="57"/>
        <v>5201.44</v>
      </c>
      <c r="BS618" s="447">
        <f t="shared" si="58"/>
        <v>40311.16</v>
      </c>
      <c r="BT618" s="467" t="str">
        <f>IFERROR(VLOOKUP(E618,名称!A:D,4,FALSE),"")</f>
        <v>KIK</v>
      </c>
    </row>
    <row r="619" s="427" customFormat="1" hidden="1" customHeight="1" spans="1:72">
      <c r="A619" s="155">
        <v>46149</v>
      </c>
      <c r="B619" s="156" t="s">
        <v>235</v>
      </c>
      <c r="C619" s="157">
        <v>10126801</v>
      </c>
      <c r="D619" s="158">
        <v>4500032770</v>
      </c>
      <c r="E619" s="157" t="s">
        <v>115</v>
      </c>
      <c r="F619" s="159">
        <v>2160</v>
      </c>
      <c r="G619" s="155">
        <v>46190</v>
      </c>
      <c r="H619" s="469"/>
      <c r="I619" s="469"/>
      <c r="J619" s="469"/>
      <c r="K619" s="469"/>
      <c r="L619" s="469"/>
      <c r="M619" s="469"/>
      <c r="N619" s="469"/>
      <c r="O619" s="469"/>
      <c r="P619" s="469"/>
      <c r="Q619" s="469"/>
      <c r="R619" s="469"/>
      <c r="S619" s="469"/>
      <c r="T619" s="469"/>
      <c r="U619" s="469"/>
      <c r="V619" s="469"/>
      <c r="W619" s="469"/>
      <c r="X619" s="469"/>
      <c r="Y619" s="469"/>
      <c r="Z619" s="469"/>
      <c r="AA619" s="469"/>
      <c r="AB619" s="469"/>
      <c r="AC619" s="469"/>
      <c r="AD619" s="469"/>
      <c r="AE619" s="469"/>
      <c r="AF619" s="469"/>
      <c r="AG619" s="469"/>
      <c r="AH619" s="469"/>
      <c r="AI619" s="469"/>
      <c r="AJ619" s="469"/>
      <c r="AK619" s="469"/>
      <c r="AL619" s="469"/>
      <c r="AM619" s="469"/>
      <c r="AN619" s="469"/>
      <c r="AO619" s="470">
        <f>F619</f>
        <v>2160</v>
      </c>
      <c r="AP619" s="469"/>
      <c r="AQ619" s="469"/>
      <c r="AR619" s="469"/>
      <c r="AS619" s="469"/>
      <c r="AT619" s="469"/>
      <c r="AU619" s="469"/>
      <c r="AV619" s="469"/>
      <c r="AW619" s="469"/>
      <c r="AX619" s="469"/>
      <c r="AY619" s="469"/>
      <c r="AZ619" s="469"/>
      <c r="BA619" s="469"/>
      <c r="BB619" s="469"/>
      <c r="BC619" s="469"/>
      <c r="BD619" s="469"/>
      <c r="BE619" s="469"/>
      <c r="BF619" s="469"/>
      <c r="BG619" s="469"/>
      <c r="BH619" s="469"/>
      <c r="BI619" s="469"/>
      <c r="BJ619" s="469"/>
      <c r="BK619" s="469"/>
      <c r="BL619" s="469"/>
      <c r="BM619" s="469"/>
      <c r="BN619" s="469"/>
      <c r="BO619" s="469"/>
      <c r="BP619" s="161"/>
      <c r="BQ619" s="161">
        <v>2.204</v>
      </c>
      <c r="BR619" s="451">
        <f t="shared" si="57"/>
        <v>4760.64</v>
      </c>
      <c r="BS619" s="471">
        <f t="shared" ref="BS619:BS645" si="59">BR619*7.75</f>
        <v>36894.96</v>
      </c>
      <c r="BT619" s="469" t="str">
        <f>IFERROR(VLOOKUP(E619,名称!A:D,4,FALSE),"")</f>
        <v>KIK</v>
      </c>
    </row>
    <row r="620" s="429" customFormat="1" hidden="1" customHeight="1" spans="1:72">
      <c r="A620" s="93">
        <v>46151</v>
      </c>
      <c r="B620" s="95" t="s">
        <v>236</v>
      </c>
      <c r="C620" s="96">
        <v>10127016</v>
      </c>
      <c r="D620" s="96">
        <v>20219123</v>
      </c>
      <c r="E620" s="97" t="s">
        <v>95</v>
      </c>
      <c r="F620" s="99">
        <v>2000</v>
      </c>
      <c r="G620" s="93">
        <v>46204</v>
      </c>
      <c r="AH620" s="216">
        <f>F620</f>
        <v>2000</v>
      </c>
      <c r="BP620" s="120"/>
      <c r="BQ620" s="120">
        <v>2.205</v>
      </c>
      <c r="BR620" s="451">
        <f t="shared" si="57"/>
        <v>4410</v>
      </c>
      <c r="BS620" s="451">
        <f t="shared" si="59"/>
        <v>34177.5</v>
      </c>
      <c r="BT620" s="429" t="str">
        <f>IFERROR(VLOOKUP(E620,名称!A:D,4,FALSE),"")</f>
        <v>KIK</v>
      </c>
    </row>
    <row r="621" s="427" customFormat="1" hidden="1" customHeight="1" spans="1:72">
      <c r="A621" s="472">
        <v>46151</v>
      </c>
      <c r="B621" s="473" t="s">
        <v>237</v>
      </c>
      <c r="C621" s="187">
        <v>10127013</v>
      </c>
      <c r="D621" s="186" t="s">
        <v>300</v>
      </c>
      <c r="E621" s="187" t="s">
        <v>52</v>
      </c>
      <c r="F621" s="190">
        <v>5004</v>
      </c>
      <c r="G621" s="184">
        <v>46218</v>
      </c>
      <c r="H621" s="474"/>
      <c r="I621" s="474"/>
      <c r="J621" s="474"/>
      <c r="K621" s="475">
        <f>F621</f>
        <v>5004</v>
      </c>
      <c r="L621" s="474"/>
      <c r="M621" s="474"/>
      <c r="N621" s="474"/>
      <c r="O621" s="474"/>
      <c r="P621" s="474"/>
      <c r="Q621" s="474"/>
      <c r="R621" s="474"/>
      <c r="S621" s="474"/>
      <c r="T621" s="474"/>
      <c r="U621" s="474"/>
      <c r="V621" s="474"/>
      <c r="W621" s="474"/>
      <c r="X621" s="474"/>
      <c r="Y621" s="474"/>
      <c r="Z621" s="474"/>
      <c r="AA621" s="474"/>
      <c r="AB621" s="474"/>
      <c r="AC621" s="474"/>
      <c r="AD621" s="474"/>
      <c r="AE621" s="474"/>
      <c r="AF621" s="474"/>
      <c r="AG621" s="474"/>
      <c r="AH621" s="474"/>
      <c r="AI621" s="474"/>
      <c r="AJ621" s="474"/>
      <c r="AK621" s="474"/>
      <c r="AL621" s="474"/>
      <c r="AM621" s="474"/>
      <c r="AN621" s="474"/>
      <c r="AO621" s="474"/>
      <c r="AP621" s="474"/>
      <c r="AQ621" s="474"/>
      <c r="AR621" s="474"/>
      <c r="AS621" s="474"/>
      <c r="AT621" s="474"/>
      <c r="AU621" s="474"/>
      <c r="AV621" s="474"/>
      <c r="AW621" s="474"/>
      <c r="AX621" s="474"/>
      <c r="AY621" s="474"/>
      <c r="AZ621" s="474"/>
      <c r="BA621" s="474"/>
      <c r="BB621" s="474"/>
      <c r="BC621" s="474"/>
      <c r="BD621" s="474"/>
      <c r="BE621" s="474"/>
      <c r="BF621" s="474"/>
      <c r="BG621" s="474"/>
      <c r="BH621" s="474"/>
      <c r="BI621" s="474"/>
      <c r="BJ621" s="474"/>
      <c r="BK621" s="474"/>
      <c r="BL621" s="474"/>
      <c r="BM621" s="474"/>
      <c r="BN621" s="474"/>
      <c r="BO621" s="474"/>
      <c r="BP621" s="193"/>
      <c r="BQ621" s="193">
        <v>2.001</v>
      </c>
      <c r="BR621" s="451">
        <f t="shared" ref="BR621:BR628" si="60">SUM(H621:BP621)*BQ621</f>
        <v>10013</v>
      </c>
      <c r="BS621" s="451">
        <f t="shared" ref="BS621:BS628" si="61">BR621*7.75</f>
        <v>77600.75</v>
      </c>
      <c r="BT621" s="474" t="str">
        <f>IFERROR(VLOOKUP(E621,名称!A:D,4,FALSE),"")</f>
        <v>KIK</v>
      </c>
    </row>
    <row r="622" s="427" customFormat="1" ht="26" hidden="1" customHeight="1" spans="1:72">
      <c r="A622" s="93">
        <v>46156</v>
      </c>
      <c r="B622" s="156" t="s">
        <v>237</v>
      </c>
      <c r="C622" s="97">
        <v>10127474</v>
      </c>
      <c r="D622" s="96">
        <v>288859073</v>
      </c>
      <c r="E622" s="97" t="s">
        <v>35</v>
      </c>
      <c r="F622" s="159">
        <v>420</v>
      </c>
      <c r="G622" s="464">
        <v>46190</v>
      </c>
      <c r="H622" s="429"/>
      <c r="I622" s="429"/>
      <c r="J622" s="429"/>
      <c r="K622" s="429"/>
      <c r="L622" s="429"/>
      <c r="M622" s="429"/>
      <c r="N622" s="429"/>
      <c r="O622" s="429"/>
      <c r="P622" s="429"/>
      <c r="Q622" s="429"/>
      <c r="R622" s="429"/>
      <c r="S622" s="429"/>
      <c r="T622" s="429"/>
      <c r="U622" s="429"/>
      <c r="V622" s="429"/>
      <c r="W622" s="429"/>
      <c r="X622" s="429"/>
      <c r="Y622" s="216">
        <f>F622</f>
        <v>420</v>
      </c>
      <c r="Z622" s="429"/>
      <c r="AA622" s="429"/>
      <c r="AB622" s="429"/>
      <c r="AC622" s="429"/>
      <c r="AD622" s="429"/>
      <c r="AE622" s="429"/>
      <c r="AF622" s="429"/>
      <c r="AG622" s="429"/>
      <c r="AH622" s="429"/>
      <c r="AI622" s="429"/>
      <c r="AJ622" s="429"/>
      <c r="AK622" s="429"/>
      <c r="AL622" s="429"/>
      <c r="AM622" s="429"/>
      <c r="AN622" s="429"/>
      <c r="AO622" s="429"/>
      <c r="AP622" s="429"/>
      <c r="AQ622" s="429"/>
      <c r="AR622" s="429"/>
      <c r="AS622" s="429"/>
      <c r="AT622" s="429"/>
      <c r="AU622" s="429"/>
      <c r="AV622" s="429"/>
      <c r="AW622" s="429"/>
      <c r="AX622" s="429"/>
      <c r="AY622" s="429"/>
      <c r="AZ622" s="429"/>
      <c r="BA622" s="429"/>
      <c r="BB622" s="429"/>
      <c r="BC622" s="429"/>
      <c r="BD622" s="429"/>
      <c r="BE622" s="429"/>
      <c r="BF622" s="429"/>
      <c r="BG622" s="429"/>
      <c r="BH622" s="429"/>
      <c r="BI622" s="429"/>
      <c r="BJ622" s="429"/>
      <c r="BK622" s="429"/>
      <c r="BL622" s="429"/>
      <c r="BM622" s="429"/>
      <c r="BN622" s="429"/>
      <c r="BO622" s="429"/>
      <c r="BP622" s="102"/>
      <c r="BQ622" s="102">
        <v>22.9</v>
      </c>
      <c r="BR622" s="451">
        <f t="shared" si="60"/>
        <v>9618</v>
      </c>
      <c r="BS622" s="451">
        <f t="shared" si="61"/>
        <v>74539.5</v>
      </c>
      <c r="BT622" s="429" t="str">
        <f>IFERROR(VLOOKUP(E622,名称!A:D,4,FALSE),"")</f>
        <v>KIK</v>
      </c>
    </row>
    <row r="623" s="427" customFormat="1" hidden="1" customHeight="1" spans="1:72">
      <c r="A623" s="93">
        <v>46156</v>
      </c>
      <c r="B623" s="156" t="s">
        <v>237</v>
      </c>
      <c r="C623" s="97">
        <v>10127474</v>
      </c>
      <c r="D623" s="96">
        <v>288859073</v>
      </c>
      <c r="E623" s="97" t="s">
        <v>158</v>
      </c>
      <c r="F623" s="159">
        <v>3380</v>
      </c>
      <c r="G623" s="464">
        <v>46190</v>
      </c>
      <c r="H623" s="429"/>
      <c r="I623" s="429"/>
      <c r="J623" s="429"/>
      <c r="K623" s="429"/>
      <c r="L623" s="429"/>
      <c r="M623" s="429"/>
      <c r="N623" s="429"/>
      <c r="O623" s="429"/>
      <c r="P623" s="429"/>
      <c r="Q623" s="429"/>
      <c r="R623" s="429"/>
      <c r="S623" s="216">
        <f>F623</f>
        <v>3380</v>
      </c>
      <c r="T623" s="429"/>
      <c r="U623" s="429"/>
      <c r="V623" s="429"/>
      <c r="W623" s="429"/>
      <c r="X623" s="429"/>
      <c r="Y623" s="429"/>
      <c r="Z623" s="429"/>
      <c r="AA623" s="429"/>
      <c r="AB623" s="429"/>
      <c r="AC623" s="429"/>
      <c r="AD623" s="429"/>
      <c r="AE623" s="429"/>
      <c r="AF623" s="429"/>
      <c r="AG623" s="429"/>
      <c r="AH623" s="429"/>
      <c r="AI623" s="429"/>
      <c r="AJ623" s="429"/>
      <c r="AK623" s="429"/>
      <c r="AL623" s="429"/>
      <c r="AM623" s="429"/>
      <c r="AN623" s="429"/>
      <c r="AO623" s="429"/>
      <c r="AP623" s="429"/>
      <c r="AQ623" s="429"/>
      <c r="AR623" s="429"/>
      <c r="AS623" s="429"/>
      <c r="AT623" s="429"/>
      <c r="AU623" s="429"/>
      <c r="AV623" s="429"/>
      <c r="AW623" s="429"/>
      <c r="AX623" s="429"/>
      <c r="AY623" s="429"/>
      <c r="AZ623" s="429"/>
      <c r="BA623" s="429"/>
      <c r="BB623" s="429"/>
      <c r="BC623" s="429"/>
      <c r="BD623" s="429"/>
      <c r="BE623" s="429"/>
      <c r="BF623" s="429"/>
      <c r="BG623" s="429"/>
      <c r="BH623" s="429"/>
      <c r="BI623" s="429"/>
      <c r="BJ623" s="429"/>
      <c r="BK623" s="429"/>
      <c r="BL623" s="429"/>
      <c r="BM623" s="429"/>
      <c r="BN623" s="429"/>
      <c r="BO623" s="429"/>
      <c r="BP623" s="102"/>
      <c r="BQ623" s="102">
        <v>4.792</v>
      </c>
      <c r="BR623" s="451">
        <f t="shared" si="60"/>
        <v>16196.96</v>
      </c>
      <c r="BS623" s="451">
        <f t="shared" si="61"/>
        <v>125526.44</v>
      </c>
      <c r="BT623" s="429" t="str">
        <f>IFERROR(VLOOKUP(E623,名称!A:D,4,FALSE),"")</f>
        <v>KIK</v>
      </c>
    </row>
    <row r="624" s="427" customFormat="1" hidden="1" customHeight="1" spans="1:72">
      <c r="A624" s="93">
        <v>46156</v>
      </c>
      <c r="B624" s="156" t="s">
        <v>237</v>
      </c>
      <c r="C624" s="97">
        <v>10127474</v>
      </c>
      <c r="D624" s="96">
        <v>288859073</v>
      </c>
      <c r="E624" s="97">
        <v>47669</v>
      </c>
      <c r="F624" s="99">
        <v>348</v>
      </c>
      <c r="G624" s="464">
        <v>46190</v>
      </c>
      <c r="H624" s="429"/>
      <c r="I624" s="429"/>
      <c r="J624" s="429"/>
      <c r="K624" s="429"/>
      <c r="L624" s="429"/>
      <c r="M624" s="429"/>
      <c r="N624" s="429"/>
      <c r="O624" s="429"/>
      <c r="P624" s="429"/>
      <c r="Q624" s="429"/>
      <c r="R624" s="216">
        <f>F624</f>
        <v>348</v>
      </c>
      <c r="S624" s="429"/>
      <c r="T624" s="429"/>
      <c r="U624" s="429"/>
      <c r="V624" s="429"/>
      <c r="W624" s="429"/>
      <c r="X624" s="429"/>
      <c r="Y624" s="429"/>
      <c r="Z624" s="429"/>
      <c r="AA624" s="429"/>
      <c r="AB624" s="429"/>
      <c r="AC624" s="429"/>
      <c r="AD624" s="429"/>
      <c r="AE624" s="429"/>
      <c r="AF624" s="429"/>
      <c r="AG624" s="429"/>
      <c r="AH624" s="429"/>
      <c r="AI624" s="429"/>
      <c r="AJ624" s="429"/>
      <c r="AK624" s="429"/>
      <c r="AL624" s="429"/>
      <c r="AM624" s="429"/>
      <c r="AN624" s="429"/>
      <c r="AO624" s="429"/>
      <c r="AP624" s="429"/>
      <c r="AQ624" s="429"/>
      <c r="AR624" s="429"/>
      <c r="AS624" s="429"/>
      <c r="AT624" s="429"/>
      <c r="AU624" s="429"/>
      <c r="AV624" s="429"/>
      <c r="AW624" s="429"/>
      <c r="AX624" s="429"/>
      <c r="AY624" s="429"/>
      <c r="AZ624" s="429"/>
      <c r="BA624" s="429"/>
      <c r="BB624" s="429"/>
      <c r="BC624" s="429"/>
      <c r="BD624" s="429"/>
      <c r="BE624" s="429"/>
      <c r="BF624" s="429"/>
      <c r="BG624" s="429"/>
      <c r="BH624" s="429"/>
      <c r="BI624" s="429"/>
      <c r="BJ624" s="429"/>
      <c r="BK624" s="429"/>
      <c r="BL624" s="429"/>
      <c r="BM624" s="429"/>
      <c r="BN624" s="429"/>
      <c r="BO624" s="429"/>
      <c r="BP624" s="102"/>
      <c r="BQ624" s="102">
        <v>4.808</v>
      </c>
      <c r="BR624" s="451">
        <f t="shared" si="60"/>
        <v>1673.18</v>
      </c>
      <c r="BS624" s="451">
        <f t="shared" si="61"/>
        <v>12967.15</v>
      </c>
      <c r="BT624" s="429" t="str">
        <f>IFERROR(VLOOKUP(E624,名称!A:D,4,FALSE),"")</f>
        <v>KIK</v>
      </c>
    </row>
    <row r="625" s="427" customFormat="1" hidden="1" customHeight="1" spans="1:72">
      <c r="A625" s="93">
        <v>46156</v>
      </c>
      <c r="B625" s="156" t="s">
        <v>236</v>
      </c>
      <c r="C625" s="97">
        <v>10127318</v>
      </c>
      <c r="D625" s="96">
        <v>20219135</v>
      </c>
      <c r="E625" s="97" t="s">
        <v>29</v>
      </c>
      <c r="F625" s="99">
        <v>120</v>
      </c>
      <c r="G625" s="464">
        <v>46232</v>
      </c>
      <c r="H625" s="429"/>
      <c r="I625" s="429"/>
      <c r="J625" s="429">
        <f>F625</f>
        <v>120</v>
      </c>
      <c r="K625" s="429"/>
      <c r="L625" s="429"/>
      <c r="M625" s="429"/>
      <c r="N625" s="429"/>
      <c r="O625" s="429"/>
      <c r="P625" s="429"/>
      <c r="Q625" s="429"/>
      <c r="R625" s="429"/>
      <c r="S625" s="429"/>
      <c r="T625" s="429"/>
      <c r="U625" s="429"/>
      <c r="V625" s="429"/>
      <c r="W625" s="429"/>
      <c r="X625" s="429"/>
      <c r="Y625" s="429"/>
      <c r="Z625" s="429"/>
      <c r="AA625" s="429"/>
      <c r="AB625" s="429"/>
      <c r="AC625" s="429"/>
      <c r="AD625" s="429"/>
      <c r="AE625" s="429"/>
      <c r="AF625" s="429"/>
      <c r="AG625" s="429"/>
      <c r="AH625" s="429"/>
      <c r="AI625" s="429"/>
      <c r="AJ625" s="429"/>
      <c r="AK625" s="429"/>
      <c r="AL625" s="429"/>
      <c r="AM625" s="429"/>
      <c r="AN625" s="429"/>
      <c r="AO625" s="429"/>
      <c r="AP625" s="429"/>
      <c r="AQ625" s="429"/>
      <c r="AR625" s="429"/>
      <c r="AS625" s="429"/>
      <c r="AT625" s="429"/>
      <c r="AU625" s="429"/>
      <c r="AV625" s="429"/>
      <c r="AW625" s="429"/>
      <c r="AX625" s="429"/>
      <c r="AY625" s="429"/>
      <c r="AZ625" s="429"/>
      <c r="BA625" s="429"/>
      <c r="BB625" s="429"/>
      <c r="BC625" s="429"/>
      <c r="BD625" s="429"/>
      <c r="BE625" s="429"/>
      <c r="BF625" s="429"/>
      <c r="BG625" s="429"/>
      <c r="BH625" s="429"/>
      <c r="BI625" s="429"/>
      <c r="BJ625" s="429"/>
      <c r="BK625" s="429"/>
      <c r="BL625" s="429"/>
      <c r="BM625" s="429"/>
      <c r="BN625" s="429"/>
      <c r="BO625" s="429"/>
      <c r="BP625" s="102"/>
      <c r="BQ625" s="102">
        <v>21.801</v>
      </c>
      <c r="BR625" s="451">
        <f t="shared" si="60"/>
        <v>2616.12</v>
      </c>
      <c r="BS625" s="451">
        <f t="shared" si="61"/>
        <v>20274.93</v>
      </c>
      <c r="BT625" s="429" t="str">
        <f>IFERROR(VLOOKUP(E625,名称!A:D,4,FALSE),"")</f>
        <v>KIK</v>
      </c>
    </row>
    <row r="626" s="427" customFormat="1" hidden="1" customHeight="1" spans="1:72">
      <c r="A626" s="93">
        <v>46156</v>
      </c>
      <c r="B626" s="156" t="s">
        <v>236</v>
      </c>
      <c r="C626" s="97">
        <v>10127318</v>
      </c>
      <c r="D626" s="96">
        <v>20219135</v>
      </c>
      <c r="E626" s="97" t="s">
        <v>118</v>
      </c>
      <c r="F626" s="99">
        <v>120</v>
      </c>
      <c r="G626" s="464">
        <v>46232</v>
      </c>
      <c r="H626" s="429"/>
      <c r="I626" s="429"/>
      <c r="J626" s="429"/>
      <c r="K626" s="429"/>
      <c r="L626" s="429"/>
      <c r="M626" s="429"/>
      <c r="N626" s="429"/>
      <c r="O626" s="429"/>
      <c r="P626" s="429"/>
      <c r="Q626" s="429"/>
      <c r="R626" s="429"/>
      <c r="S626" s="429"/>
      <c r="T626" s="429"/>
      <c r="U626" s="429"/>
      <c r="V626" s="429"/>
      <c r="W626" s="429"/>
      <c r="X626" s="429"/>
      <c r="Y626" s="429"/>
      <c r="Z626" s="429"/>
      <c r="AA626" s="429"/>
      <c r="AB626" s="429"/>
      <c r="AC626" s="429"/>
      <c r="AD626" s="429"/>
      <c r="AE626" s="429"/>
      <c r="AF626" s="429"/>
      <c r="AG626" s="429"/>
      <c r="AH626" s="429"/>
      <c r="AI626" s="429"/>
      <c r="AJ626" s="429"/>
      <c r="AK626" s="429"/>
      <c r="AL626" s="429"/>
      <c r="AM626" s="429"/>
      <c r="AN626" s="429"/>
      <c r="AO626" s="429"/>
      <c r="AP626" s="429"/>
      <c r="AQ626" s="429">
        <f>F626</f>
        <v>120</v>
      </c>
      <c r="AR626" s="429"/>
      <c r="AS626" s="429"/>
      <c r="AT626" s="429"/>
      <c r="AU626" s="429"/>
      <c r="AV626" s="429"/>
      <c r="AW626" s="429"/>
      <c r="AX626" s="429"/>
      <c r="AY626" s="429"/>
      <c r="AZ626" s="429"/>
      <c r="BA626" s="429"/>
      <c r="BB626" s="429"/>
      <c r="BC626" s="429"/>
      <c r="BD626" s="429"/>
      <c r="BE626" s="429"/>
      <c r="BF626" s="429"/>
      <c r="BG626" s="429"/>
      <c r="BH626" s="429"/>
      <c r="BI626" s="429"/>
      <c r="BJ626" s="429"/>
      <c r="BK626" s="429"/>
      <c r="BL626" s="429"/>
      <c r="BM626" s="429"/>
      <c r="BN626" s="429"/>
      <c r="BO626" s="429"/>
      <c r="BP626" s="102"/>
      <c r="BQ626" s="102">
        <v>16.71</v>
      </c>
      <c r="BR626" s="451">
        <f t="shared" si="60"/>
        <v>2005.2</v>
      </c>
      <c r="BS626" s="451">
        <f t="shared" si="61"/>
        <v>15540.3</v>
      </c>
      <c r="BT626" s="429" t="str">
        <f>IFERROR(VLOOKUP(E626,名称!A:D,4,FALSE),"")</f>
        <v>KIK</v>
      </c>
    </row>
    <row r="627" s="425" customFormat="1" hidden="1" customHeight="1" spans="1:72">
      <c r="A627" s="108">
        <v>46156</v>
      </c>
      <c r="B627" s="109" t="s">
        <v>299</v>
      </c>
      <c r="C627" s="30">
        <v>10127402</v>
      </c>
      <c r="D627" s="110">
        <v>4500032826</v>
      </c>
      <c r="E627" s="30" t="s">
        <v>158</v>
      </c>
      <c r="F627" s="31">
        <v>400</v>
      </c>
      <c r="G627" s="286">
        <v>46253</v>
      </c>
      <c r="H627" s="443"/>
      <c r="I627" s="443"/>
      <c r="J627" s="443"/>
      <c r="K627" s="443"/>
      <c r="L627" s="443"/>
      <c r="M627" s="443"/>
      <c r="N627" s="443"/>
      <c r="O627" s="443"/>
      <c r="P627" s="443"/>
      <c r="Q627" s="443"/>
      <c r="R627" s="443"/>
      <c r="S627" s="442">
        <f>F627</f>
        <v>400</v>
      </c>
      <c r="T627" s="443"/>
      <c r="U627" s="443"/>
      <c r="V627" s="443"/>
      <c r="W627" s="443"/>
      <c r="X627" s="443"/>
      <c r="Y627" s="443"/>
      <c r="Z627" s="443"/>
      <c r="AA627" s="443"/>
      <c r="AB627" s="443"/>
      <c r="AC627" s="443"/>
      <c r="AD627" s="443"/>
      <c r="AE627" s="443"/>
      <c r="AF627" s="443"/>
      <c r="AG627" s="443"/>
      <c r="AH627" s="443"/>
      <c r="AI627" s="443"/>
      <c r="AJ627" s="443"/>
      <c r="AK627" s="443"/>
      <c r="AL627" s="443"/>
      <c r="AM627" s="443"/>
      <c r="AN627" s="443"/>
      <c r="AO627" s="443"/>
      <c r="AP627" s="443"/>
      <c r="AQ627" s="443"/>
      <c r="AR627" s="443"/>
      <c r="AS627" s="443"/>
      <c r="AT627" s="443"/>
      <c r="AU627" s="443"/>
      <c r="AV627" s="443"/>
      <c r="AW627" s="443"/>
      <c r="AX627" s="443"/>
      <c r="AY627" s="443"/>
      <c r="AZ627" s="443"/>
      <c r="BA627" s="443"/>
      <c r="BB627" s="443"/>
      <c r="BC627" s="443"/>
      <c r="BD627" s="443"/>
      <c r="BE627" s="443"/>
      <c r="BF627" s="443"/>
      <c r="BG627" s="443"/>
      <c r="BH627" s="443"/>
      <c r="BI627" s="443"/>
      <c r="BJ627" s="443"/>
      <c r="BK627" s="443"/>
      <c r="BL627" s="443"/>
      <c r="BM627" s="443"/>
      <c r="BN627" s="443"/>
      <c r="BO627" s="443"/>
      <c r="BP627" s="92"/>
      <c r="BQ627" s="92">
        <v>4.792</v>
      </c>
      <c r="BR627" s="462">
        <f t="shared" si="60"/>
        <v>1916.8</v>
      </c>
      <c r="BS627" s="447">
        <f t="shared" si="61"/>
        <v>14855.2</v>
      </c>
      <c r="BT627" s="443" t="str">
        <f>IFERROR(VLOOKUP(E627,名称!A:D,4,FALSE),"")</f>
        <v>KIK</v>
      </c>
    </row>
    <row r="628" s="427" customFormat="1" hidden="1" customHeight="1" spans="1:72">
      <c r="A628" s="93">
        <v>46156</v>
      </c>
      <c r="B628" s="156" t="s">
        <v>237</v>
      </c>
      <c r="C628" s="97">
        <v>10127468</v>
      </c>
      <c r="D628" s="96">
        <v>288858876</v>
      </c>
      <c r="E628" s="97" t="s">
        <v>29</v>
      </c>
      <c r="F628" s="99">
        <v>1060</v>
      </c>
      <c r="G628" s="464">
        <v>46197</v>
      </c>
      <c r="H628" s="429"/>
      <c r="I628" s="429"/>
      <c r="J628" s="216">
        <f>F628</f>
        <v>1060</v>
      </c>
      <c r="K628" s="429"/>
      <c r="L628" s="429"/>
      <c r="M628" s="429"/>
      <c r="N628" s="429"/>
      <c r="O628" s="429"/>
      <c r="P628" s="429"/>
      <c r="Q628" s="429"/>
      <c r="R628" s="429"/>
      <c r="S628" s="429"/>
      <c r="T628" s="429"/>
      <c r="U628" s="429"/>
      <c r="V628" s="429"/>
      <c r="W628" s="429"/>
      <c r="X628" s="429"/>
      <c r="Y628" s="429"/>
      <c r="Z628" s="429"/>
      <c r="AA628" s="429"/>
      <c r="AB628" s="429"/>
      <c r="AC628" s="429"/>
      <c r="AD628" s="429"/>
      <c r="AE628" s="429"/>
      <c r="AF628" s="429"/>
      <c r="AG628" s="429"/>
      <c r="AH628" s="429"/>
      <c r="AI628" s="429"/>
      <c r="AJ628" s="429"/>
      <c r="AK628" s="429"/>
      <c r="AL628" s="429"/>
      <c r="AM628" s="429"/>
      <c r="AN628" s="429"/>
      <c r="AO628" s="429"/>
      <c r="AP628" s="429"/>
      <c r="AQ628" s="429"/>
      <c r="AR628" s="429"/>
      <c r="AS628" s="429"/>
      <c r="AT628" s="429"/>
      <c r="AU628" s="429"/>
      <c r="AV628" s="429"/>
      <c r="AW628" s="429"/>
      <c r="AX628" s="429"/>
      <c r="AY628" s="429"/>
      <c r="AZ628" s="429"/>
      <c r="BA628" s="429"/>
      <c r="BB628" s="429"/>
      <c r="BC628" s="429"/>
      <c r="BD628" s="429"/>
      <c r="BE628" s="429"/>
      <c r="BF628" s="429"/>
      <c r="BG628" s="429"/>
      <c r="BH628" s="429"/>
      <c r="BI628" s="429"/>
      <c r="BJ628" s="429"/>
      <c r="BK628" s="429"/>
      <c r="BL628" s="429"/>
      <c r="BM628" s="429"/>
      <c r="BN628" s="429"/>
      <c r="BO628" s="429"/>
      <c r="BP628" s="102"/>
      <c r="BQ628" s="102">
        <v>21.801</v>
      </c>
      <c r="BR628" s="451">
        <f t="shared" si="60"/>
        <v>23109.06</v>
      </c>
      <c r="BS628" s="451">
        <f t="shared" si="61"/>
        <v>179095.22</v>
      </c>
      <c r="BT628" s="429" t="str">
        <f>IFERROR(VLOOKUP(E628,名称!A:D,4,FALSE),"")</f>
        <v>KIK</v>
      </c>
    </row>
    <row r="629" s="427" customFormat="1" hidden="1" customHeight="1" spans="1:72">
      <c r="A629" s="93">
        <v>46156</v>
      </c>
      <c r="B629" s="156" t="s">
        <v>237</v>
      </c>
      <c r="C629" s="97">
        <v>10127469</v>
      </c>
      <c r="D629" s="96">
        <v>288858877</v>
      </c>
      <c r="E629" s="97" t="s">
        <v>29</v>
      </c>
      <c r="F629" s="99">
        <v>1060</v>
      </c>
      <c r="G629" s="464">
        <v>46197</v>
      </c>
      <c r="H629" s="429"/>
      <c r="I629" s="429"/>
      <c r="J629" s="216">
        <f>F629</f>
        <v>1060</v>
      </c>
      <c r="K629" s="429"/>
      <c r="L629" s="429"/>
      <c r="M629" s="429"/>
      <c r="N629" s="429"/>
      <c r="O629" s="429"/>
      <c r="P629" s="429"/>
      <c r="Q629" s="429"/>
      <c r="R629" s="429"/>
      <c r="S629" s="429"/>
      <c r="T629" s="429"/>
      <c r="U629" s="429"/>
      <c r="V629" s="429"/>
      <c r="W629" s="429"/>
      <c r="X629" s="429"/>
      <c r="Y629" s="429"/>
      <c r="Z629" s="429"/>
      <c r="AA629" s="429"/>
      <c r="AB629" s="429"/>
      <c r="AC629" s="429"/>
      <c r="AD629" s="429"/>
      <c r="AE629" s="429"/>
      <c r="AF629" s="429"/>
      <c r="AG629" s="429"/>
      <c r="AH629" s="429"/>
      <c r="AI629" s="429"/>
      <c r="AJ629" s="429"/>
      <c r="AK629" s="429"/>
      <c r="AL629" s="429"/>
      <c r="AM629" s="429"/>
      <c r="AN629" s="429"/>
      <c r="AO629" s="429"/>
      <c r="AP629" s="429"/>
      <c r="AQ629" s="429"/>
      <c r="AR629" s="429"/>
      <c r="AS629" s="429"/>
      <c r="AT629" s="429"/>
      <c r="AU629" s="429"/>
      <c r="AV629" s="429"/>
      <c r="AW629" s="429"/>
      <c r="AX629" s="429"/>
      <c r="AY629" s="429"/>
      <c r="AZ629" s="429"/>
      <c r="BA629" s="429"/>
      <c r="BB629" s="429"/>
      <c r="BC629" s="429"/>
      <c r="BD629" s="429"/>
      <c r="BE629" s="429"/>
      <c r="BF629" s="429"/>
      <c r="BG629" s="429"/>
      <c r="BH629" s="429"/>
      <c r="BI629" s="429"/>
      <c r="BJ629" s="429"/>
      <c r="BK629" s="429"/>
      <c r="BL629" s="429"/>
      <c r="BM629" s="429"/>
      <c r="BN629" s="429"/>
      <c r="BO629" s="429"/>
      <c r="BP629" s="102"/>
      <c r="BQ629" s="102">
        <v>21.801</v>
      </c>
      <c r="BR629" s="451">
        <f t="shared" ref="BR629:BR646" si="62">SUM(H629:BP629)*BQ629</f>
        <v>23109.06</v>
      </c>
      <c r="BS629" s="451">
        <f t="shared" ref="BS629:BS646" si="63">BR629*7.75</f>
        <v>179095.22</v>
      </c>
      <c r="BT629" s="429" t="str">
        <f>IFERROR(VLOOKUP(E629,名称!A:D,4,FALSE),"")</f>
        <v>KIK</v>
      </c>
    </row>
    <row r="630" s="427" customFormat="1" hidden="1" customHeight="1" spans="1:72">
      <c r="A630" s="93">
        <v>46156</v>
      </c>
      <c r="B630" s="156" t="s">
        <v>237</v>
      </c>
      <c r="C630" s="97">
        <v>10127470</v>
      </c>
      <c r="D630" s="96">
        <v>288858878</v>
      </c>
      <c r="E630" s="97" t="s">
        <v>29</v>
      </c>
      <c r="F630" s="99">
        <v>1060</v>
      </c>
      <c r="G630" s="464">
        <v>46204</v>
      </c>
      <c r="H630" s="429"/>
      <c r="I630" s="429"/>
      <c r="J630" s="216">
        <f>F630</f>
        <v>1060</v>
      </c>
      <c r="K630" s="429"/>
      <c r="L630" s="429"/>
      <c r="M630" s="429"/>
      <c r="N630" s="429"/>
      <c r="O630" s="429"/>
      <c r="P630" s="429"/>
      <c r="Q630" s="429"/>
      <c r="R630" s="429"/>
      <c r="S630" s="429"/>
      <c r="T630" s="429"/>
      <c r="U630" s="429"/>
      <c r="V630" s="429"/>
      <c r="W630" s="429"/>
      <c r="X630" s="429"/>
      <c r="Y630" s="429"/>
      <c r="Z630" s="429"/>
      <c r="AA630" s="429"/>
      <c r="AB630" s="429"/>
      <c r="AC630" s="429"/>
      <c r="AD630" s="429"/>
      <c r="AE630" s="429"/>
      <c r="AF630" s="429"/>
      <c r="AG630" s="429"/>
      <c r="AH630" s="429"/>
      <c r="AI630" s="429"/>
      <c r="AJ630" s="429"/>
      <c r="AK630" s="429"/>
      <c r="AL630" s="429"/>
      <c r="AM630" s="429"/>
      <c r="AN630" s="429"/>
      <c r="AO630" s="429"/>
      <c r="AP630" s="429"/>
      <c r="AQ630" s="429"/>
      <c r="AR630" s="429"/>
      <c r="AS630" s="429"/>
      <c r="AT630" s="429"/>
      <c r="AU630" s="429"/>
      <c r="AV630" s="429"/>
      <c r="AW630" s="429"/>
      <c r="AX630" s="429"/>
      <c r="AY630" s="429"/>
      <c r="AZ630" s="429"/>
      <c r="BA630" s="429"/>
      <c r="BB630" s="429"/>
      <c r="BC630" s="429"/>
      <c r="BD630" s="429"/>
      <c r="BE630" s="429"/>
      <c r="BF630" s="429"/>
      <c r="BG630" s="429"/>
      <c r="BH630" s="429"/>
      <c r="BI630" s="429"/>
      <c r="BJ630" s="429"/>
      <c r="BK630" s="429"/>
      <c r="BL630" s="429"/>
      <c r="BM630" s="429"/>
      <c r="BN630" s="429"/>
      <c r="BO630" s="429"/>
      <c r="BP630" s="102"/>
      <c r="BQ630" s="102">
        <v>21.801</v>
      </c>
      <c r="BR630" s="451">
        <f t="shared" si="62"/>
        <v>23109.06</v>
      </c>
      <c r="BS630" s="451">
        <f t="shared" si="63"/>
        <v>179095.22</v>
      </c>
      <c r="BT630" s="429" t="str">
        <f>IFERROR(VLOOKUP(E630,名称!A:D,4,FALSE),"")</f>
        <v>KIK</v>
      </c>
    </row>
    <row r="631" s="427" customFormat="1" hidden="1" customHeight="1" spans="1:72">
      <c r="A631" s="93">
        <v>46156</v>
      </c>
      <c r="B631" s="156" t="s">
        <v>237</v>
      </c>
      <c r="C631" s="97">
        <v>10127472</v>
      </c>
      <c r="D631" s="96">
        <v>288858880</v>
      </c>
      <c r="E631" s="97">
        <v>47669</v>
      </c>
      <c r="F631" s="99">
        <v>700</v>
      </c>
      <c r="G631" s="464">
        <v>46204</v>
      </c>
      <c r="H631" s="429"/>
      <c r="I631" s="429"/>
      <c r="J631" s="429"/>
      <c r="K631" s="429"/>
      <c r="L631" s="429"/>
      <c r="M631" s="429"/>
      <c r="N631" s="429"/>
      <c r="O631" s="429"/>
      <c r="P631" s="429"/>
      <c r="Q631" s="429"/>
      <c r="R631" s="216">
        <f>F631</f>
        <v>700</v>
      </c>
      <c r="S631" s="429"/>
      <c r="T631" s="429"/>
      <c r="U631" s="429"/>
      <c r="V631" s="429"/>
      <c r="W631" s="429"/>
      <c r="X631" s="429"/>
      <c r="Y631" s="429"/>
      <c r="Z631" s="429"/>
      <c r="AA631" s="429"/>
      <c r="AB631" s="429"/>
      <c r="AC631" s="429"/>
      <c r="AD631" s="429"/>
      <c r="AE631" s="429"/>
      <c r="AF631" s="429"/>
      <c r="AG631" s="429"/>
      <c r="AH631" s="429"/>
      <c r="AI631" s="429"/>
      <c r="AJ631" s="429"/>
      <c r="AK631" s="429"/>
      <c r="AL631" s="429"/>
      <c r="AM631" s="429"/>
      <c r="AN631" s="429"/>
      <c r="AO631" s="429"/>
      <c r="AP631" s="429"/>
      <c r="AQ631" s="429"/>
      <c r="AR631" s="429"/>
      <c r="AS631" s="429"/>
      <c r="AT631" s="429"/>
      <c r="AU631" s="429"/>
      <c r="AV631" s="429"/>
      <c r="AW631" s="429"/>
      <c r="AX631" s="429"/>
      <c r="AY631" s="429"/>
      <c r="AZ631" s="429"/>
      <c r="BA631" s="429"/>
      <c r="BB631" s="429"/>
      <c r="BC631" s="429"/>
      <c r="BD631" s="429"/>
      <c r="BE631" s="429"/>
      <c r="BF631" s="429"/>
      <c r="BG631" s="429"/>
      <c r="BH631" s="429"/>
      <c r="BI631" s="429"/>
      <c r="BJ631" s="429"/>
      <c r="BK631" s="429"/>
      <c r="BL631" s="429"/>
      <c r="BM631" s="429"/>
      <c r="BN631" s="429"/>
      <c r="BO631" s="429"/>
      <c r="BP631" s="120"/>
      <c r="BQ631" s="120">
        <v>4.808</v>
      </c>
      <c r="BR631" s="451">
        <f t="shared" si="62"/>
        <v>3365.6</v>
      </c>
      <c r="BS631" s="451">
        <f t="shared" si="63"/>
        <v>26083.4</v>
      </c>
      <c r="BT631" s="429" t="str">
        <f>IFERROR(VLOOKUP(E631,名称!A:D,4,FALSE),"")</f>
        <v>KIK</v>
      </c>
    </row>
    <row r="632" s="427" customFormat="1" hidden="1" customHeight="1" spans="1:72">
      <c r="A632" s="93">
        <v>46156</v>
      </c>
      <c r="B632" s="156" t="s">
        <v>237</v>
      </c>
      <c r="C632" s="97">
        <v>10127472</v>
      </c>
      <c r="D632" s="96">
        <v>288858880</v>
      </c>
      <c r="E632" s="97" t="s">
        <v>31</v>
      </c>
      <c r="F632" s="99">
        <v>16</v>
      </c>
      <c r="G632" s="464">
        <v>46204</v>
      </c>
      <c r="H632" s="429"/>
      <c r="I632" s="429"/>
      <c r="J632" s="429"/>
      <c r="K632" s="429"/>
      <c r="L632" s="429"/>
      <c r="M632" s="429"/>
      <c r="N632" s="429"/>
      <c r="O632" s="429"/>
      <c r="P632" s="429"/>
      <c r="Q632" s="429"/>
      <c r="R632" s="216"/>
      <c r="S632" s="429"/>
      <c r="T632" s="429"/>
      <c r="U632" s="429"/>
      <c r="V632" s="429"/>
      <c r="W632" s="429"/>
      <c r="X632" s="429"/>
      <c r="Y632" s="429"/>
      <c r="Z632" s="429">
        <f>F632</f>
        <v>16</v>
      </c>
      <c r="AA632" s="429"/>
      <c r="AB632" s="429"/>
      <c r="AC632" s="429"/>
      <c r="AD632" s="429"/>
      <c r="AE632" s="429"/>
      <c r="AF632" s="429"/>
      <c r="AG632" s="429"/>
      <c r="AH632" s="429"/>
      <c r="AI632" s="429"/>
      <c r="AJ632" s="429"/>
      <c r="AK632" s="429"/>
      <c r="AL632" s="429"/>
      <c r="AM632" s="429"/>
      <c r="AN632" s="429"/>
      <c r="AO632" s="429"/>
      <c r="AP632" s="429"/>
      <c r="AQ632" s="429"/>
      <c r="AR632" s="429"/>
      <c r="AS632" s="429"/>
      <c r="AT632" s="429"/>
      <c r="AU632" s="429"/>
      <c r="AV632" s="429"/>
      <c r="AW632" s="429"/>
      <c r="AX632" s="429"/>
      <c r="AY632" s="429"/>
      <c r="AZ632" s="429"/>
      <c r="BA632" s="429"/>
      <c r="BB632" s="429"/>
      <c r="BC632" s="429"/>
      <c r="BD632" s="429"/>
      <c r="BE632" s="429"/>
      <c r="BF632" s="429"/>
      <c r="BG632" s="429"/>
      <c r="BH632" s="429"/>
      <c r="BI632" s="429"/>
      <c r="BJ632" s="429"/>
      <c r="BK632" s="429"/>
      <c r="BL632" s="429"/>
      <c r="BM632" s="429"/>
      <c r="BN632" s="429"/>
      <c r="BO632" s="429"/>
      <c r="BP632" s="120"/>
      <c r="BQ632" s="120">
        <v>29.652</v>
      </c>
      <c r="BR632" s="451">
        <f t="shared" si="62"/>
        <v>474.43</v>
      </c>
      <c r="BS632" s="451">
        <f t="shared" si="63"/>
        <v>3676.83</v>
      </c>
      <c r="BT632" s="429" t="str">
        <f>IFERROR(VLOOKUP(E632,名称!A:D,4,FALSE),"")</f>
        <v>KIK</v>
      </c>
    </row>
    <row r="633" s="427" customFormat="1" hidden="1" customHeight="1" spans="1:72">
      <c r="A633" s="93">
        <v>46156</v>
      </c>
      <c r="B633" s="156" t="s">
        <v>237</v>
      </c>
      <c r="C633" s="97">
        <v>10127472</v>
      </c>
      <c r="D633" s="96">
        <v>288858880</v>
      </c>
      <c r="E633" s="97" t="s">
        <v>29</v>
      </c>
      <c r="F633" s="99">
        <v>940</v>
      </c>
      <c r="G633" s="464">
        <v>46204</v>
      </c>
      <c r="H633" s="429"/>
      <c r="I633" s="429"/>
      <c r="J633" s="429">
        <f>F633</f>
        <v>940</v>
      </c>
      <c r="K633" s="429"/>
      <c r="L633" s="429"/>
      <c r="M633" s="429"/>
      <c r="N633" s="429"/>
      <c r="O633" s="429"/>
      <c r="P633" s="429"/>
      <c r="Q633" s="429"/>
      <c r="R633" s="216"/>
      <c r="S633" s="429"/>
      <c r="T633" s="429"/>
      <c r="U633" s="429"/>
      <c r="V633" s="429"/>
      <c r="W633" s="429"/>
      <c r="X633" s="429"/>
      <c r="Y633" s="429"/>
      <c r="Z633" s="429"/>
      <c r="AA633" s="429"/>
      <c r="AB633" s="429"/>
      <c r="AC633" s="429"/>
      <c r="AD633" s="429"/>
      <c r="AE633" s="429"/>
      <c r="AF633" s="429"/>
      <c r="AG633" s="429"/>
      <c r="AH633" s="429"/>
      <c r="AI633" s="429"/>
      <c r="AJ633" s="429"/>
      <c r="AK633" s="429"/>
      <c r="AL633" s="429"/>
      <c r="AM633" s="429"/>
      <c r="AN633" s="429"/>
      <c r="AO633" s="429"/>
      <c r="AP633" s="429"/>
      <c r="AQ633" s="429"/>
      <c r="AR633" s="429"/>
      <c r="AS633" s="429"/>
      <c r="AT633" s="429"/>
      <c r="AU633" s="429"/>
      <c r="AV633" s="429"/>
      <c r="AW633" s="429"/>
      <c r="AX633" s="429"/>
      <c r="AY633" s="429"/>
      <c r="AZ633" s="429"/>
      <c r="BA633" s="429"/>
      <c r="BB633" s="429"/>
      <c r="BC633" s="429"/>
      <c r="BD633" s="429"/>
      <c r="BE633" s="429"/>
      <c r="BF633" s="429"/>
      <c r="BG633" s="429"/>
      <c r="BH633" s="429"/>
      <c r="BI633" s="429"/>
      <c r="BJ633" s="429"/>
      <c r="BK633" s="429"/>
      <c r="BL633" s="429"/>
      <c r="BM633" s="429"/>
      <c r="BN633" s="429"/>
      <c r="BO633" s="429"/>
      <c r="BP633" s="120"/>
      <c r="BQ633" s="120">
        <v>21.801</v>
      </c>
      <c r="BR633" s="451">
        <f t="shared" si="62"/>
        <v>20492.94</v>
      </c>
      <c r="BS633" s="451">
        <f t="shared" si="63"/>
        <v>158820.29</v>
      </c>
      <c r="BT633" s="429" t="str">
        <f>IFERROR(VLOOKUP(E633,名称!A:D,4,FALSE),"")</f>
        <v>KIK</v>
      </c>
    </row>
    <row r="634" s="427" customFormat="1" hidden="1" customHeight="1" spans="1:72">
      <c r="A634" s="93">
        <v>46156</v>
      </c>
      <c r="B634" s="156" t="s">
        <v>237</v>
      </c>
      <c r="C634" s="97">
        <v>10127473</v>
      </c>
      <c r="D634" s="96">
        <v>288858879</v>
      </c>
      <c r="E634" s="97" t="s">
        <v>29</v>
      </c>
      <c r="F634" s="159">
        <v>1060</v>
      </c>
      <c r="G634" s="464">
        <v>46204</v>
      </c>
      <c r="H634" s="429"/>
      <c r="I634" s="429"/>
      <c r="J634" s="216">
        <f>F634</f>
        <v>1060</v>
      </c>
      <c r="K634" s="429"/>
      <c r="L634" s="429"/>
      <c r="M634" s="429"/>
      <c r="N634" s="429"/>
      <c r="O634" s="429"/>
      <c r="P634" s="429"/>
      <c r="Q634" s="429"/>
      <c r="R634" s="429"/>
      <c r="S634" s="429"/>
      <c r="T634" s="429"/>
      <c r="U634" s="429"/>
      <c r="V634" s="429"/>
      <c r="W634" s="429"/>
      <c r="X634" s="429"/>
      <c r="Y634" s="429"/>
      <c r="Z634" s="429"/>
      <c r="AA634" s="429"/>
      <c r="AB634" s="429"/>
      <c r="AC634" s="429"/>
      <c r="AD634" s="429"/>
      <c r="AE634" s="429"/>
      <c r="AF634" s="429"/>
      <c r="AG634" s="429"/>
      <c r="AH634" s="429"/>
      <c r="AI634" s="429"/>
      <c r="AJ634" s="429"/>
      <c r="AK634" s="429"/>
      <c r="AL634" s="429"/>
      <c r="AM634" s="429"/>
      <c r="AN634" s="429"/>
      <c r="AO634" s="429"/>
      <c r="AP634" s="429"/>
      <c r="AQ634" s="429"/>
      <c r="AR634" s="429"/>
      <c r="AS634" s="429"/>
      <c r="AT634" s="429"/>
      <c r="AU634" s="429"/>
      <c r="AV634" s="429"/>
      <c r="AW634" s="429"/>
      <c r="AX634" s="429"/>
      <c r="AY634" s="429"/>
      <c r="AZ634" s="429"/>
      <c r="BA634" s="429"/>
      <c r="BB634" s="429"/>
      <c r="BC634" s="429"/>
      <c r="BD634" s="429"/>
      <c r="BE634" s="429"/>
      <c r="BF634" s="429"/>
      <c r="BG634" s="429"/>
      <c r="BH634" s="429"/>
      <c r="BI634" s="429"/>
      <c r="BJ634" s="429"/>
      <c r="BK634" s="429"/>
      <c r="BL634" s="429"/>
      <c r="BM634" s="429"/>
      <c r="BN634" s="429"/>
      <c r="BO634" s="429"/>
      <c r="BP634" s="102"/>
      <c r="BQ634" s="102">
        <v>21.801</v>
      </c>
      <c r="BR634" s="451">
        <f t="shared" si="62"/>
        <v>23109.06</v>
      </c>
      <c r="BS634" s="451">
        <f t="shared" si="63"/>
        <v>179095.22</v>
      </c>
      <c r="BT634" s="429" t="str">
        <f>IFERROR(VLOOKUP(E634,名称!A:D,4,FALSE),"")</f>
        <v>KIK</v>
      </c>
    </row>
    <row r="635" s="427" customFormat="1" hidden="1" customHeight="1" spans="1:72">
      <c r="A635" s="155">
        <v>46158</v>
      </c>
      <c r="B635" s="156" t="s">
        <v>237</v>
      </c>
      <c r="C635" s="157">
        <v>10127719</v>
      </c>
      <c r="D635" s="158">
        <v>289048015</v>
      </c>
      <c r="E635" s="157" t="s">
        <v>35</v>
      </c>
      <c r="F635" s="159">
        <v>936</v>
      </c>
      <c r="G635" s="476">
        <v>46183</v>
      </c>
      <c r="H635" s="469"/>
      <c r="I635" s="469"/>
      <c r="J635" s="469"/>
      <c r="K635" s="469"/>
      <c r="L635" s="469"/>
      <c r="M635" s="469"/>
      <c r="N635" s="469"/>
      <c r="O635" s="469"/>
      <c r="P635" s="469"/>
      <c r="Q635" s="469"/>
      <c r="R635" s="469"/>
      <c r="S635" s="469"/>
      <c r="T635" s="469"/>
      <c r="U635" s="469"/>
      <c r="V635" s="469"/>
      <c r="W635" s="469"/>
      <c r="X635" s="469"/>
      <c r="Y635" s="470">
        <f>F635</f>
        <v>936</v>
      </c>
      <c r="Z635" s="469"/>
      <c r="AA635" s="469"/>
      <c r="AB635" s="469"/>
      <c r="AC635" s="469"/>
      <c r="AD635" s="469"/>
      <c r="AE635" s="469"/>
      <c r="AF635" s="469"/>
      <c r="AG635" s="469"/>
      <c r="AH635" s="469"/>
      <c r="AI635" s="469"/>
      <c r="AJ635" s="469"/>
      <c r="AK635" s="469"/>
      <c r="AL635" s="469"/>
      <c r="AM635" s="469"/>
      <c r="AN635" s="469"/>
      <c r="AO635" s="469"/>
      <c r="AP635" s="469"/>
      <c r="AQ635" s="469"/>
      <c r="AR635" s="469"/>
      <c r="AS635" s="469"/>
      <c r="AT635" s="469"/>
      <c r="AU635" s="469"/>
      <c r="AV635" s="469"/>
      <c r="AW635" s="469"/>
      <c r="AX635" s="469"/>
      <c r="AY635" s="469"/>
      <c r="AZ635" s="469"/>
      <c r="BA635" s="469"/>
      <c r="BB635" s="469"/>
      <c r="BC635" s="469"/>
      <c r="BD635" s="469"/>
      <c r="BE635" s="469"/>
      <c r="BF635" s="469"/>
      <c r="BG635" s="469"/>
      <c r="BH635" s="469"/>
      <c r="BI635" s="469"/>
      <c r="BJ635" s="469"/>
      <c r="BK635" s="469"/>
      <c r="BL635" s="469"/>
      <c r="BM635" s="469"/>
      <c r="BN635" s="469"/>
      <c r="BO635" s="469"/>
      <c r="BP635" s="477"/>
      <c r="BQ635" s="477">
        <v>22.9</v>
      </c>
      <c r="BR635" s="451">
        <f t="shared" si="62"/>
        <v>21434.4</v>
      </c>
      <c r="BS635" s="451">
        <f t="shared" si="63"/>
        <v>166116.6</v>
      </c>
      <c r="BT635" s="469" t="str">
        <f>IFERROR(VLOOKUP(E635,名称!A:D,4,FALSE),"")</f>
        <v>KIK</v>
      </c>
    </row>
    <row r="636" s="430" customFormat="1" hidden="1" customHeight="1" spans="1:72">
      <c r="A636" s="284">
        <v>46150</v>
      </c>
      <c r="B636" s="286"/>
      <c r="C636" s="442" t="s">
        <v>238</v>
      </c>
      <c r="D636" s="440"/>
      <c r="E636" s="442" t="s">
        <v>185</v>
      </c>
      <c r="F636" s="478">
        <f>24994-300-4800-2130</f>
        <v>17764</v>
      </c>
      <c r="G636" s="108">
        <v>46309</v>
      </c>
      <c r="H636" s="443"/>
      <c r="I636" s="443"/>
      <c r="J636" s="479"/>
      <c r="K636" s="479"/>
      <c r="L636" s="479"/>
      <c r="M636" s="479"/>
      <c r="N636" s="479"/>
      <c r="O636" s="479"/>
      <c r="P636" s="479"/>
      <c r="Q636" s="479"/>
      <c r="R636" s="479"/>
      <c r="S636" s="479"/>
      <c r="T636" s="443"/>
      <c r="U636" s="479"/>
      <c r="V636" s="479"/>
      <c r="W636" s="479"/>
      <c r="X636" s="479"/>
      <c r="Y636" s="479"/>
      <c r="Z636" s="479"/>
      <c r="AA636" s="479"/>
      <c r="AB636" s="479"/>
      <c r="AC636" s="479"/>
      <c r="AD636" s="479"/>
      <c r="AE636" s="479"/>
      <c r="AF636" s="479"/>
      <c r="AG636" s="479"/>
      <c r="AH636" s="479"/>
      <c r="AI636" s="479"/>
      <c r="AJ636" s="479"/>
      <c r="AK636" s="479"/>
      <c r="AL636" s="479"/>
      <c r="AM636" s="479"/>
      <c r="AN636" s="479"/>
      <c r="AO636" s="479"/>
      <c r="AP636" s="479"/>
      <c r="AQ636" s="479"/>
      <c r="AR636" s="479"/>
      <c r="AS636" s="479"/>
      <c r="AT636" s="479"/>
      <c r="AU636" s="479"/>
      <c r="AV636" s="479"/>
      <c r="AW636" s="479"/>
      <c r="AX636" s="479"/>
      <c r="AY636" s="479"/>
      <c r="AZ636" s="479"/>
      <c r="BA636" s="479"/>
      <c r="BB636" s="479"/>
      <c r="BC636" s="479"/>
      <c r="BD636" s="479"/>
      <c r="BE636" s="479"/>
      <c r="BF636" s="479"/>
      <c r="BG636" s="479"/>
      <c r="BH636" s="479"/>
      <c r="BI636" s="479"/>
      <c r="BJ636" s="479"/>
      <c r="BK636" s="479"/>
      <c r="BL636" s="479"/>
      <c r="BM636" s="479"/>
      <c r="BN636" s="479"/>
      <c r="BO636" s="479"/>
      <c r="BP636" s="446"/>
      <c r="BQ636" s="446">
        <v>0</v>
      </c>
      <c r="BR636" s="462">
        <f t="shared" si="62"/>
        <v>0</v>
      </c>
      <c r="BS636" s="447">
        <f t="shared" si="63"/>
        <v>0</v>
      </c>
      <c r="BT636" s="467" t="str">
        <f>IFERROR(VLOOKUP(E636,名称!A:D,4,FALSE),"")</f>
        <v>RRM</v>
      </c>
    </row>
    <row r="637" s="425" customFormat="1" hidden="1" customHeight="1" spans="1:72">
      <c r="A637" s="108">
        <v>46161</v>
      </c>
      <c r="B637" s="294" t="s">
        <v>236</v>
      </c>
      <c r="C637" s="480">
        <v>10127748</v>
      </c>
      <c r="D637" s="481">
        <v>20219141</v>
      </c>
      <c r="E637" s="480" t="s">
        <v>102</v>
      </c>
      <c r="F637" s="482">
        <v>2502</v>
      </c>
      <c r="G637" s="483">
        <v>46302</v>
      </c>
      <c r="H637" s="484">
        <f>F637</f>
        <v>2502</v>
      </c>
      <c r="I637" s="485"/>
      <c r="J637" s="485"/>
      <c r="K637" s="485"/>
      <c r="L637" s="485"/>
      <c r="M637" s="485"/>
      <c r="N637" s="485"/>
      <c r="O637" s="485"/>
      <c r="P637" s="485"/>
      <c r="Q637" s="485"/>
      <c r="R637" s="485"/>
      <c r="S637" s="485"/>
      <c r="T637" s="485"/>
      <c r="U637" s="485"/>
      <c r="V637" s="485"/>
      <c r="W637" s="485"/>
      <c r="X637" s="485"/>
      <c r="Y637" s="485"/>
      <c r="Z637" s="485"/>
      <c r="AA637" s="485"/>
      <c r="AB637" s="485"/>
      <c r="AC637" s="485"/>
      <c r="AD637" s="485"/>
      <c r="AE637" s="485"/>
      <c r="AF637" s="485"/>
      <c r="AG637" s="485"/>
      <c r="AH637" s="485"/>
      <c r="AI637" s="485"/>
      <c r="AJ637" s="485"/>
      <c r="AK637" s="485"/>
      <c r="AL637" s="485"/>
      <c r="AM637" s="485"/>
      <c r="AN637" s="485"/>
      <c r="AO637" s="485"/>
      <c r="AP637" s="485"/>
      <c r="AQ637" s="485"/>
      <c r="AR637" s="485"/>
      <c r="AS637" s="485"/>
      <c r="AT637" s="485"/>
      <c r="AU637" s="485"/>
      <c r="AV637" s="485"/>
      <c r="AW637" s="485"/>
      <c r="AX637" s="485"/>
      <c r="AY637" s="485"/>
      <c r="AZ637" s="485"/>
      <c r="BA637" s="485"/>
      <c r="BB637" s="485"/>
      <c r="BC637" s="485"/>
      <c r="BD637" s="485"/>
      <c r="BE637" s="485"/>
      <c r="BF637" s="485"/>
      <c r="BG637" s="485"/>
      <c r="BH637" s="485"/>
      <c r="BI637" s="485"/>
      <c r="BJ637" s="485"/>
      <c r="BK637" s="485"/>
      <c r="BL637" s="485"/>
      <c r="BM637" s="485"/>
      <c r="BN637" s="485"/>
      <c r="BO637" s="485"/>
      <c r="BP637" s="486"/>
      <c r="BQ637" s="92">
        <v>1.133</v>
      </c>
      <c r="BR637" s="462">
        <f t="shared" si="62"/>
        <v>2834.77</v>
      </c>
      <c r="BS637" s="447">
        <f t="shared" si="63"/>
        <v>21969.47</v>
      </c>
      <c r="BT637" s="468" t="str">
        <f>IFERROR(VLOOKUP(E637,名称!A:D,4,FALSE),"")</f>
        <v>KIK</v>
      </c>
    </row>
    <row r="638" s="425" customFormat="1" hidden="1" customHeight="1" spans="1:72">
      <c r="A638" s="108">
        <v>46161</v>
      </c>
      <c r="B638" s="294" t="s">
        <v>236</v>
      </c>
      <c r="C638" s="30">
        <v>10127749</v>
      </c>
      <c r="D638" s="110">
        <v>20219168</v>
      </c>
      <c r="E638" s="30" t="s">
        <v>102</v>
      </c>
      <c r="F638" s="31">
        <v>2502</v>
      </c>
      <c r="G638" s="286">
        <v>46330</v>
      </c>
      <c r="H638" s="442">
        <f>F638</f>
        <v>2502</v>
      </c>
      <c r="I638" s="443"/>
      <c r="J638" s="443"/>
      <c r="K638" s="443"/>
      <c r="L638" s="443"/>
      <c r="M638" s="443"/>
      <c r="N638" s="443"/>
      <c r="O638" s="443"/>
      <c r="P638" s="443"/>
      <c r="Q638" s="443"/>
      <c r="R638" s="443"/>
      <c r="S638" s="443"/>
      <c r="T638" s="443"/>
      <c r="U638" s="443"/>
      <c r="V638" s="443"/>
      <c r="W638" s="443"/>
      <c r="X638" s="443"/>
      <c r="Y638" s="443"/>
      <c r="Z638" s="443"/>
      <c r="AA638" s="443"/>
      <c r="AB638" s="443"/>
      <c r="AC638" s="443"/>
      <c r="AD638" s="443"/>
      <c r="AE638" s="443"/>
      <c r="AF638" s="443"/>
      <c r="AG638" s="443"/>
      <c r="AH638" s="443"/>
      <c r="AI638" s="443"/>
      <c r="AJ638" s="443"/>
      <c r="AK638" s="443"/>
      <c r="AL638" s="443"/>
      <c r="AM638" s="443"/>
      <c r="AN638" s="443"/>
      <c r="AO638" s="443"/>
      <c r="AP638" s="443"/>
      <c r="AQ638" s="443"/>
      <c r="AR638" s="443"/>
      <c r="AS638" s="443"/>
      <c r="AT638" s="443"/>
      <c r="AU638" s="443"/>
      <c r="AV638" s="443"/>
      <c r="AW638" s="443"/>
      <c r="AX638" s="443"/>
      <c r="AY638" s="443"/>
      <c r="AZ638" s="443"/>
      <c r="BA638" s="443"/>
      <c r="BB638" s="443"/>
      <c r="BC638" s="443"/>
      <c r="BD638" s="443"/>
      <c r="BE638" s="443"/>
      <c r="BF638" s="443"/>
      <c r="BG638" s="443"/>
      <c r="BH638" s="443"/>
      <c r="BI638" s="443"/>
      <c r="BJ638" s="443"/>
      <c r="BK638" s="443"/>
      <c r="BL638" s="443"/>
      <c r="BM638" s="443"/>
      <c r="BN638" s="443"/>
      <c r="BO638" s="443"/>
      <c r="BP638" s="92"/>
      <c r="BQ638" s="92">
        <v>1.133</v>
      </c>
      <c r="BR638" s="462">
        <f t="shared" si="62"/>
        <v>2834.77</v>
      </c>
      <c r="BS638" s="447">
        <f t="shared" si="63"/>
        <v>21969.47</v>
      </c>
      <c r="BT638" s="468" t="str">
        <f>IFERROR(VLOOKUP(E638,名称!A:D,4,FALSE),"")</f>
        <v>KIK</v>
      </c>
    </row>
    <row r="639" s="425" customFormat="1" hidden="1" customHeight="1" spans="1:72">
      <c r="A639" s="108">
        <v>46162</v>
      </c>
      <c r="B639" s="109" t="s">
        <v>299</v>
      </c>
      <c r="C639" s="30">
        <v>10127804</v>
      </c>
      <c r="D639" s="110">
        <v>4500032849</v>
      </c>
      <c r="E639" s="30" t="s">
        <v>115</v>
      </c>
      <c r="F639" s="31">
        <v>480</v>
      </c>
      <c r="G639" s="487">
        <v>46253</v>
      </c>
      <c r="H639" s="443"/>
      <c r="I639" s="443"/>
      <c r="J639" s="443"/>
      <c r="K639" s="443"/>
      <c r="L639" s="443"/>
      <c r="M639" s="443"/>
      <c r="N639" s="443"/>
      <c r="O639" s="443"/>
      <c r="P639" s="443"/>
      <c r="Q639" s="443"/>
      <c r="R639" s="443"/>
      <c r="S639" s="443"/>
      <c r="T639" s="443"/>
      <c r="U639" s="443"/>
      <c r="V639" s="443"/>
      <c r="W639" s="443"/>
      <c r="X639" s="443"/>
      <c r="Y639" s="443"/>
      <c r="Z639" s="443"/>
      <c r="AA639" s="443"/>
      <c r="AB639" s="443"/>
      <c r="AC639" s="443"/>
      <c r="AD639" s="443"/>
      <c r="AE639" s="443"/>
      <c r="AF639" s="443"/>
      <c r="AG639" s="443"/>
      <c r="AH639" s="443"/>
      <c r="AI639" s="443"/>
      <c r="AJ639" s="443"/>
      <c r="AK639" s="443"/>
      <c r="AL639" s="443"/>
      <c r="AM639" s="443"/>
      <c r="AN639" s="443"/>
      <c r="AO639" s="443">
        <f>F639</f>
        <v>480</v>
      </c>
      <c r="AP639" s="443"/>
      <c r="AQ639" s="443"/>
      <c r="AR639" s="443"/>
      <c r="AS639" s="443"/>
      <c r="AT639" s="443"/>
      <c r="AU639" s="443"/>
      <c r="AV639" s="443"/>
      <c r="AW639" s="443"/>
      <c r="AX639" s="443"/>
      <c r="AY639" s="443"/>
      <c r="AZ639" s="443"/>
      <c r="BA639" s="443"/>
      <c r="BB639" s="443"/>
      <c r="BC639" s="443"/>
      <c r="BD639" s="443"/>
      <c r="BE639" s="443"/>
      <c r="BF639" s="443"/>
      <c r="BG639" s="443"/>
      <c r="BH639" s="443"/>
      <c r="BI639" s="443"/>
      <c r="BJ639" s="443"/>
      <c r="BK639" s="443"/>
      <c r="BL639" s="443"/>
      <c r="BM639" s="443"/>
      <c r="BN639" s="443"/>
      <c r="BO639" s="443"/>
      <c r="BP639" s="111"/>
      <c r="BQ639" s="111">
        <v>2.204</v>
      </c>
      <c r="BR639" s="462">
        <f t="shared" si="62"/>
        <v>1057.92</v>
      </c>
      <c r="BS639" s="447">
        <f t="shared" si="63"/>
        <v>8198.88</v>
      </c>
      <c r="BT639" s="468" t="str">
        <f>IFERROR(VLOOKUP(E639,名称!A:D,4,FALSE),"")</f>
        <v>KIK</v>
      </c>
    </row>
    <row r="640" s="425" customFormat="1" hidden="1" customHeight="1" spans="1:72">
      <c r="A640" s="108">
        <v>46163</v>
      </c>
      <c r="B640" s="294" t="s">
        <v>237</v>
      </c>
      <c r="C640" s="30">
        <v>10127831</v>
      </c>
      <c r="D640" s="110" t="s">
        <v>301</v>
      </c>
      <c r="E640" s="30" t="s">
        <v>129</v>
      </c>
      <c r="F640" s="31">
        <v>10008</v>
      </c>
      <c r="G640" s="286">
        <v>46246</v>
      </c>
      <c r="H640" s="443"/>
      <c r="I640" s="442">
        <f>F640</f>
        <v>10008</v>
      </c>
      <c r="J640" s="443"/>
      <c r="K640" s="443"/>
      <c r="L640" s="443"/>
      <c r="M640" s="443"/>
      <c r="N640" s="443"/>
      <c r="O640" s="443"/>
      <c r="P640" s="443"/>
      <c r="Q640" s="443"/>
      <c r="R640" s="443"/>
      <c r="S640" s="443"/>
      <c r="T640" s="443"/>
      <c r="U640" s="443"/>
      <c r="V640" s="443"/>
      <c r="W640" s="443"/>
      <c r="X640" s="443"/>
      <c r="Y640" s="443"/>
      <c r="Z640" s="443"/>
      <c r="AA640" s="443"/>
      <c r="AB640" s="443"/>
      <c r="AC640" s="443"/>
      <c r="AD640" s="443"/>
      <c r="AE640" s="443"/>
      <c r="AF640" s="443"/>
      <c r="AG640" s="443"/>
      <c r="AH640" s="443"/>
      <c r="AI640" s="443"/>
      <c r="AJ640" s="443"/>
      <c r="AK640" s="443"/>
      <c r="AL640" s="443"/>
      <c r="AM640" s="443"/>
      <c r="AN640" s="443"/>
      <c r="AO640" s="443"/>
      <c r="AP640" s="443"/>
      <c r="AQ640" s="443"/>
      <c r="AR640" s="443"/>
      <c r="AS640" s="443"/>
      <c r="AT640" s="443"/>
      <c r="AU640" s="443"/>
      <c r="AV640" s="443"/>
      <c r="AW640" s="443"/>
      <c r="AX640" s="443"/>
      <c r="AY640" s="443"/>
      <c r="AZ640" s="443"/>
      <c r="BA640" s="443"/>
      <c r="BB640" s="443"/>
      <c r="BC640" s="443"/>
      <c r="BD640" s="443"/>
      <c r="BE640" s="443"/>
      <c r="BF640" s="443"/>
      <c r="BG640" s="443"/>
      <c r="BH640" s="443"/>
      <c r="BI640" s="443"/>
      <c r="BJ640" s="443"/>
      <c r="BK640" s="443"/>
      <c r="BL640" s="443"/>
      <c r="BM640" s="443"/>
      <c r="BN640" s="443"/>
      <c r="BO640" s="443"/>
      <c r="BP640" s="111"/>
      <c r="BQ640" s="111">
        <v>0.324</v>
      </c>
      <c r="BR640" s="462">
        <f t="shared" si="62"/>
        <v>3242.59</v>
      </c>
      <c r="BS640" s="447">
        <f t="shared" si="63"/>
        <v>25130.07</v>
      </c>
      <c r="BT640" s="468" t="str">
        <f>IFERROR(VLOOKUP(E640,名称!A:D,4,FALSE),"")</f>
        <v>KIK</v>
      </c>
    </row>
    <row r="641" s="425" customFormat="1" hidden="1" customHeight="1" spans="1:72">
      <c r="A641" s="108">
        <v>46164</v>
      </c>
      <c r="B641" s="294" t="s">
        <v>237</v>
      </c>
      <c r="C641" s="30">
        <v>10127866</v>
      </c>
      <c r="D641" s="110" t="s">
        <v>302</v>
      </c>
      <c r="E641" s="30" t="s">
        <v>88</v>
      </c>
      <c r="F641" s="31">
        <f>10008+10008</f>
        <v>20016</v>
      </c>
      <c r="G641" s="286">
        <v>46246</v>
      </c>
      <c r="H641" s="443"/>
      <c r="I641" s="443"/>
      <c r="J641" s="443"/>
      <c r="K641" s="443"/>
      <c r="L641" s="443"/>
      <c r="M641" s="443"/>
      <c r="N641" s="443"/>
      <c r="O641" s="443"/>
      <c r="P641" s="443"/>
      <c r="Q641" s="443"/>
      <c r="R641" s="443"/>
      <c r="S641" s="443"/>
      <c r="T641" s="443"/>
      <c r="U641" s="443"/>
      <c r="V641" s="443"/>
      <c r="W641" s="443"/>
      <c r="X641" s="443"/>
      <c r="Y641" s="443"/>
      <c r="Z641" s="443"/>
      <c r="AA641" s="443"/>
      <c r="AB641" s="443"/>
      <c r="AC641" s="443"/>
      <c r="AD641" s="443"/>
      <c r="AE641" s="442">
        <f>F641</f>
        <v>20016</v>
      </c>
      <c r="AF641" s="443"/>
      <c r="AG641" s="443"/>
      <c r="AH641" s="443"/>
      <c r="AI641" s="443"/>
      <c r="AJ641" s="443"/>
      <c r="AK641" s="443"/>
      <c r="AL641" s="443"/>
      <c r="AM641" s="443"/>
      <c r="AN641" s="443"/>
      <c r="AO641" s="443"/>
      <c r="AP641" s="443"/>
      <c r="AQ641" s="443"/>
      <c r="AR641" s="443"/>
      <c r="AS641" s="443"/>
      <c r="AT641" s="443"/>
      <c r="AU641" s="443"/>
      <c r="AV641" s="443"/>
      <c r="AW641" s="443"/>
      <c r="AX641" s="443"/>
      <c r="AY641" s="443"/>
      <c r="AZ641" s="443"/>
      <c r="BA641" s="443"/>
      <c r="BB641" s="443"/>
      <c r="BC641" s="443"/>
      <c r="BD641" s="443"/>
      <c r="BE641" s="443"/>
      <c r="BF641" s="443"/>
      <c r="BG641" s="443"/>
      <c r="BH641" s="443"/>
      <c r="BI641" s="443"/>
      <c r="BJ641" s="443"/>
      <c r="BK641" s="443"/>
      <c r="BL641" s="443"/>
      <c r="BM641" s="443"/>
      <c r="BN641" s="443"/>
      <c r="BO641" s="443"/>
      <c r="BP641" s="111"/>
      <c r="BQ641" s="111">
        <v>0.963</v>
      </c>
      <c r="BR641" s="462">
        <f t="shared" si="62"/>
        <v>19275.41</v>
      </c>
      <c r="BS641" s="447">
        <f t="shared" si="63"/>
        <v>149384.43</v>
      </c>
      <c r="BT641" s="468" t="str">
        <f>IFERROR(VLOOKUP(E641,名称!A:D,4,FALSE),"")</f>
        <v>KIK</v>
      </c>
    </row>
    <row r="642" s="425" customFormat="1" hidden="1" customHeight="1" spans="1:72">
      <c r="A642" s="108">
        <v>46165</v>
      </c>
      <c r="B642" s="294" t="s">
        <v>236</v>
      </c>
      <c r="C642" s="30">
        <v>10128113</v>
      </c>
      <c r="D642" s="110">
        <v>20219163</v>
      </c>
      <c r="E642" s="30" t="s">
        <v>48</v>
      </c>
      <c r="F642" s="31">
        <v>3000</v>
      </c>
      <c r="G642" s="286">
        <v>46288</v>
      </c>
      <c r="H642" s="443"/>
      <c r="I642" s="443"/>
      <c r="J642" s="443"/>
      <c r="K642" s="442">
        <f>F642</f>
        <v>3000</v>
      </c>
      <c r="L642" s="443"/>
      <c r="M642" s="443"/>
      <c r="N642" s="443"/>
      <c r="O642" s="443"/>
      <c r="P642" s="443"/>
      <c r="Q642" s="443"/>
      <c r="R642" s="443"/>
      <c r="S642" s="443"/>
      <c r="T642" s="443"/>
      <c r="U642" s="443"/>
      <c r="V642" s="443"/>
      <c r="W642" s="443"/>
      <c r="X642" s="443"/>
      <c r="Y642" s="443"/>
      <c r="Z642" s="443"/>
      <c r="AA642" s="443"/>
      <c r="AB642" s="443"/>
      <c r="AC642" s="443"/>
      <c r="AD642" s="443"/>
      <c r="AE642" s="443"/>
      <c r="AF642" s="443"/>
      <c r="AG642" s="443"/>
      <c r="AH642" s="443"/>
      <c r="AI642" s="443"/>
      <c r="AJ642" s="443"/>
      <c r="AK642" s="443"/>
      <c r="AL642" s="443"/>
      <c r="AM642" s="443"/>
      <c r="AN642" s="443"/>
      <c r="AO642" s="443"/>
      <c r="AP642" s="443"/>
      <c r="AQ642" s="443"/>
      <c r="AR642" s="443"/>
      <c r="AS642" s="443"/>
      <c r="AT642" s="443"/>
      <c r="AU642" s="443"/>
      <c r="AV642" s="443"/>
      <c r="AW642" s="443"/>
      <c r="AX642" s="443"/>
      <c r="AY642" s="443"/>
      <c r="AZ642" s="443"/>
      <c r="BA642" s="443"/>
      <c r="BB642" s="443"/>
      <c r="BC642" s="443"/>
      <c r="BD642" s="443"/>
      <c r="BE642" s="443"/>
      <c r="BF642" s="443"/>
      <c r="BG642" s="443"/>
      <c r="BH642" s="443"/>
      <c r="BI642" s="443"/>
      <c r="BJ642" s="443"/>
      <c r="BK642" s="443"/>
      <c r="BL642" s="443"/>
      <c r="BM642" s="443"/>
      <c r="BN642" s="443"/>
      <c r="BO642" s="443"/>
      <c r="BP642" s="111"/>
      <c r="BQ642" s="111">
        <v>2.199</v>
      </c>
      <c r="BR642" s="462">
        <f t="shared" si="62"/>
        <v>6597</v>
      </c>
      <c r="BS642" s="447">
        <f t="shared" si="63"/>
        <v>51126.75</v>
      </c>
      <c r="BT642" s="468" t="str">
        <f>IFERROR(VLOOKUP(E642,名称!A:D,4,FALSE),"")</f>
        <v>KIK</v>
      </c>
    </row>
    <row r="643" s="425" customFormat="1" hidden="1" customHeight="1" spans="1:72">
      <c r="A643" s="108">
        <v>46170</v>
      </c>
      <c r="B643" s="294" t="s">
        <v>237</v>
      </c>
      <c r="C643" s="30">
        <v>10128336</v>
      </c>
      <c r="D643" s="110" t="s">
        <v>303</v>
      </c>
      <c r="E643" s="30" t="s">
        <v>183</v>
      </c>
      <c r="F643" s="31">
        <v>5000</v>
      </c>
      <c r="G643" s="286">
        <v>46267</v>
      </c>
      <c r="H643" s="443"/>
      <c r="I643" s="443"/>
      <c r="J643" s="443"/>
      <c r="K643" s="443"/>
      <c r="L643" s="443"/>
      <c r="M643" s="443"/>
      <c r="N643" s="443"/>
      <c r="O643" s="443"/>
      <c r="P643" s="443"/>
      <c r="Q643" s="443"/>
      <c r="R643" s="443"/>
      <c r="S643" s="443"/>
      <c r="T643" s="443"/>
      <c r="U643" s="443"/>
      <c r="V643" s="443"/>
      <c r="W643" s="443"/>
      <c r="X643" s="443"/>
      <c r="Y643" s="443"/>
      <c r="Z643" s="443"/>
      <c r="AA643" s="443"/>
      <c r="AB643" s="443"/>
      <c r="AC643" s="443"/>
      <c r="AD643" s="443"/>
      <c r="AE643" s="443"/>
      <c r="AF643" s="443"/>
      <c r="AG643" s="443"/>
      <c r="AH643" s="443">
        <f>F643</f>
        <v>5000</v>
      </c>
      <c r="AI643" s="443"/>
      <c r="AJ643" s="443"/>
      <c r="AK643" s="443"/>
      <c r="AL643" s="443"/>
      <c r="AM643" s="443"/>
      <c r="AN643" s="443"/>
      <c r="AO643" s="443"/>
      <c r="AP643" s="443"/>
      <c r="AQ643" s="443"/>
      <c r="AR643" s="443"/>
      <c r="AS643" s="443"/>
      <c r="AT643" s="443"/>
      <c r="AU643" s="443"/>
      <c r="AV643" s="443"/>
      <c r="AW643" s="443"/>
      <c r="AX643" s="443"/>
      <c r="AY643" s="443"/>
      <c r="AZ643" s="443"/>
      <c r="BA643" s="443"/>
      <c r="BB643" s="443"/>
      <c r="BC643" s="443"/>
      <c r="BD643" s="443"/>
      <c r="BE643" s="443"/>
      <c r="BF643" s="443"/>
      <c r="BG643" s="443"/>
      <c r="BH643" s="443"/>
      <c r="BI643" s="443"/>
      <c r="BJ643" s="443"/>
      <c r="BK643" s="443"/>
      <c r="BL643" s="443"/>
      <c r="BM643" s="443"/>
      <c r="BN643" s="443"/>
      <c r="BO643" s="443"/>
      <c r="BP643" s="92"/>
      <c r="BQ643" s="92">
        <v>2.15</v>
      </c>
      <c r="BR643" s="462">
        <f t="shared" si="62"/>
        <v>10750</v>
      </c>
      <c r="BS643" s="447">
        <f t="shared" si="63"/>
        <v>83312.5</v>
      </c>
      <c r="BT643" s="468" t="str">
        <f>IFERROR(VLOOKUP(E643,名称!A:D,4,FALSE),"")</f>
        <v>KIK</v>
      </c>
    </row>
    <row r="644" s="425" customFormat="1" hidden="1" customHeight="1" spans="1:72">
      <c r="A644" s="108">
        <v>46170</v>
      </c>
      <c r="B644" s="294" t="s">
        <v>237</v>
      </c>
      <c r="C644" s="30">
        <v>10128336</v>
      </c>
      <c r="D644" s="110" t="s">
        <v>303</v>
      </c>
      <c r="E644" s="30" t="s">
        <v>142</v>
      </c>
      <c r="F644" s="31">
        <v>5001</v>
      </c>
      <c r="G644" s="286">
        <v>46267</v>
      </c>
      <c r="H644" s="443"/>
      <c r="I644" s="443"/>
      <c r="J644" s="443"/>
      <c r="K644" s="443"/>
      <c r="L644" s="443"/>
      <c r="M644" s="443"/>
      <c r="N644" s="443"/>
      <c r="O644" s="443"/>
      <c r="P644" s="443"/>
      <c r="Q644" s="443"/>
      <c r="R644" s="443"/>
      <c r="S644" s="443"/>
      <c r="T644" s="443"/>
      <c r="U644" s="443"/>
      <c r="V644" s="443"/>
      <c r="W644" s="443"/>
      <c r="X644" s="443"/>
      <c r="Y644" s="443"/>
      <c r="Z644" s="443"/>
      <c r="AA644" s="443"/>
      <c r="AB644" s="443"/>
      <c r="AC644" s="443"/>
      <c r="AD644" s="443"/>
      <c r="AE644" s="443"/>
      <c r="AF644" s="443"/>
      <c r="AG644" s="443"/>
      <c r="AH644" s="443"/>
      <c r="AI644" s="443"/>
      <c r="AJ644" s="443"/>
      <c r="AK644" s="443"/>
      <c r="AL644" s="443"/>
      <c r="AM644" s="443"/>
      <c r="AN644" s="443"/>
      <c r="AO644" s="443"/>
      <c r="AP644" s="443"/>
      <c r="AQ644" s="443"/>
      <c r="AR644" s="443"/>
      <c r="AS644" s="443"/>
      <c r="AT644" s="443"/>
      <c r="AU644" s="443"/>
      <c r="AV644" s="443">
        <f>F644</f>
        <v>5001</v>
      </c>
      <c r="AW644" s="443"/>
      <c r="AX644" s="443"/>
      <c r="AY644" s="443"/>
      <c r="AZ644" s="443"/>
      <c r="BA644" s="443"/>
      <c r="BB644" s="443"/>
      <c r="BC644" s="443"/>
      <c r="BD644" s="443"/>
      <c r="BE644" s="443"/>
      <c r="BF644" s="443"/>
      <c r="BG644" s="443"/>
      <c r="BH644" s="443"/>
      <c r="BI644" s="443"/>
      <c r="BJ644" s="443"/>
      <c r="BK644" s="443"/>
      <c r="BL644" s="443"/>
      <c r="BM644" s="443"/>
      <c r="BN644" s="443"/>
      <c r="BO644" s="443"/>
      <c r="BP644" s="111"/>
      <c r="BQ644" s="111">
        <v>3.182</v>
      </c>
      <c r="BR644" s="462">
        <f t="shared" si="62"/>
        <v>15913.18</v>
      </c>
      <c r="BS644" s="447">
        <f t="shared" si="63"/>
        <v>123327.15</v>
      </c>
      <c r="BT644" s="468" t="str">
        <f>IFERROR(VLOOKUP(E644,名称!A:D,4,FALSE),"")</f>
        <v>KIK</v>
      </c>
    </row>
    <row r="645" s="425" customFormat="1" hidden="1" customHeight="1" spans="1:72">
      <c r="A645" s="108">
        <v>46170</v>
      </c>
      <c r="B645" s="109" t="s">
        <v>237</v>
      </c>
      <c r="C645" s="30">
        <v>10128336</v>
      </c>
      <c r="D645" s="110" t="s">
        <v>303</v>
      </c>
      <c r="E645" s="30" t="s">
        <v>159</v>
      </c>
      <c r="F645" s="31">
        <v>2502</v>
      </c>
      <c r="G645" s="286">
        <v>46267</v>
      </c>
      <c r="H645" s="443"/>
      <c r="I645" s="443"/>
      <c r="J645" s="443"/>
      <c r="K645" s="443"/>
      <c r="L645" s="443"/>
      <c r="M645" s="443"/>
      <c r="N645" s="443"/>
      <c r="O645" s="443"/>
      <c r="P645" s="443"/>
      <c r="Q645" s="443"/>
      <c r="R645" s="443"/>
      <c r="S645" s="443"/>
      <c r="T645" s="443"/>
      <c r="U645" s="443"/>
      <c r="V645" s="443"/>
      <c r="W645" s="443"/>
      <c r="X645" s="443"/>
      <c r="Y645" s="443"/>
      <c r="Z645" s="443"/>
      <c r="AA645" s="443"/>
      <c r="AB645" s="443"/>
      <c r="AC645" s="443"/>
      <c r="AD645" s="443"/>
      <c r="AE645" s="443"/>
      <c r="AF645" s="443"/>
      <c r="AG645" s="443"/>
      <c r="AH645" s="443"/>
      <c r="AI645" s="443"/>
      <c r="AJ645" s="443"/>
      <c r="AK645" s="443"/>
      <c r="AL645" s="443"/>
      <c r="AM645" s="443"/>
      <c r="AN645" s="443"/>
      <c r="AO645" s="443"/>
      <c r="AP645" s="443"/>
      <c r="AQ645" s="443"/>
      <c r="AR645" s="443"/>
      <c r="AS645" s="443"/>
      <c r="AT645" s="443"/>
      <c r="AU645" s="443"/>
      <c r="AV645" s="443">
        <f>F645</f>
        <v>2502</v>
      </c>
      <c r="AW645" s="443"/>
      <c r="AX645" s="443"/>
      <c r="AY645" s="443"/>
      <c r="AZ645" s="443"/>
      <c r="BA645" s="443"/>
      <c r="BB645" s="443"/>
      <c r="BC645" s="443"/>
      <c r="BD645" s="443"/>
      <c r="BE645" s="443"/>
      <c r="BF645" s="443"/>
      <c r="BG645" s="443"/>
      <c r="BH645" s="443"/>
      <c r="BI645" s="443"/>
      <c r="BJ645" s="443"/>
      <c r="BK645" s="443"/>
      <c r="BL645" s="443"/>
      <c r="BM645" s="443"/>
      <c r="BN645" s="443"/>
      <c r="BO645" s="443"/>
      <c r="BP645" s="92"/>
      <c r="BQ645" s="92">
        <v>2.925</v>
      </c>
      <c r="BR645" s="462">
        <f t="shared" si="62"/>
        <v>7318.35</v>
      </c>
      <c r="BS645" s="447">
        <f t="shared" si="63"/>
        <v>56717.21</v>
      </c>
      <c r="BT645" s="442" t="str">
        <f>IFERROR(VLOOKUP(E645,名称!A:D,4,FALSE),"")</f>
        <v>KIK</v>
      </c>
    </row>
    <row r="646" s="425" customFormat="1" hidden="1" customHeight="1" spans="1:72">
      <c r="A646" s="108">
        <v>46172</v>
      </c>
      <c r="B646" s="109" t="s">
        <v>235</v>
      </c>
      <c r="C646" s="30">
        <v>10128554</v>
      </c>
      <c r="D646" s="110">
        <v>4500032885</v>
      </c>
      <c r="E646" s="30" t="s">
        <v>55</v>
      </c>
      <c r="F646" s="31">
        <v>1500</v>
      </c>
      <c r="G646" s="286">
        <v>46295</v>
      </c>
      <c r="H646" s="443"/>
      <c r="I646" s="443"/>
      <c r="J646" s="443"/>
      <c r="K646" s="443"/>
      <c r="L646" s="443"/>
      <c r="M646" s="443">
        <f>F646</f>
        <v>1500</v>
      </c>
      <c r="N646" s="443"/>
      <c r="O646" s="443"/>
      <c r="P646" s="443"/>
      <c r="Q646" s="443"/>
      <c r="R646" s="443"/>
      <c r="S646" s="443"/>
      <c r="T646" s="443"/>
      <c r="U646" s="443"/>
      <c r="V646" s="443"/>
      <c r="W646" s="443"/>
      <c r="X646" s="443"/>
      <c r="Y646" s="443"/>
      <c r="Z646" s="443"/>
      <c r="AA646" s="443"/>
      <c r="AB646" s="443"/>
      <c r="AC646" s="443"/>
      <c r="AD646" s="443"/>
      <c r="AE646" s="443"/>
      <c r="AF646" s="443"/>
      <c r="AG646" s="443"/>
      <c r="AH646" s="443"/>
      <c r="AI646" s="443"/>
      <c r="AJ646" s="443"/>
      <c r="AK646" s="443"/>
      <c r="AL646" s="443"/>
      <c r="AM646" s="443"/>
      <c r="AN646" s="443"/>
      <c r="AO646" s="443"/>
      <c r="AP646" s="443"/>
      <c r="AQ646" s="443"/>
      <c r="AR646" s="443"/>
      <c r="AS646" s="443"/>
      <c r="AT646" s="443"/>
      <c r="AU646" s="443"/>
      <c r="AV646" s="443"/>
      <c r="AW646" s="443"/>
      <c r="AX646" s="443"/>
      <c r="AY646" s="443"/>
      <c r="AZ646" s="443"/>
      <c r="BA646" s="443"/>
      <c r="BB646" s="443"/>
      <c r="BC646" s="443"/>
      <c r="BD646" s="443"/>
      <c r="BE646" s="443"/>
      <c r="BF646" s="443"/>
      <c r="BG646" s="443"/>
      <c r="BH646" s="443"/>
      <c r="BI646" s="443"/>
      <c r="BJ646" s="443"/>
      <c r="BK646" s="443"/>
      <c r="BL646" s="443"/>
      <c r="BM646" s="443"/>
      <c r="BN646" s="443"/>
      <c r="BO646" s="443"/>
      <c r="BP646" s="111"/>
      <c r="BQ646" s="111">
        <v>1.413</v>
      </c>
      <c r="BR646" s="462">
        <f t="shared" si="62"/>
        <v>2119.5</v>
      </c>
      <c r="BS646" s="447">
        <f t="shared" si="63"/>
        <v>16426.13</v>
      </c>
      <c r="BT646" s="468" t="str">
        <f>IFERROR(VLOOKUP(E646,名称!A:D,4,FALSE),"")</f>
        <v>KIK</v>
      </c>
    </row>
    <row r="647" s="425" customFormat="1" hidden="1" customHeight="1" spans="1:72">
      <c r="A647" s="108">
        <v>46172</v>
      </c>
      <c r="B647" s="109" t="s">
        <v>235</v>
      </c>
      <c r="C647" s="30">
        <v>10128554</v>
      </c>
      <c r="D647" s="110">
        <v>4500032885</v>
      </c>
      <c r="E647" s="30" t="s">
        <v>57</v>
      </c>
      <c r="F647" s="31">
        <v>1500</v>
      </c>
      <c r="G647" s="286">
        <v>46295</v>
      </c>
      <c r="H647" s="443"/>
      <c r="I647" s="443"/>
      <c r="J647" s="443"/>
      <c r="K647" s="443"/>
      <c r="L647" s="443"/>
      <c r="M647" s="443"/>
      <c r="N647" s="443"/>
      <c r="O647" s="443"/>
      <c r="P647" s="443"/>
      <c r="Q647" s="443">
        <f>F647</f>
        <v>1500</v>
      </c>
      <c r="R647" s="443"/>
      <c r="S647" s="443"/>
      <c r="T647" s="443"/>
      <c r="U647" s="443"/>
      <c r="V647" s="443"/>
      <c r="W647" s="443"/>
      <c r="X647" s="443"/>
      <c r="Y647" s="443"/>
      <c r="Z647" s="443"/>
      <c r="AA647" s="443"/>
      <c r="AB647" s="443"/>
      <c r="AC647" s="443"/>
      <c r="AD647" s="443"/>
      <c r="AE647" s="443"/>
      <c r="AF647" s="443"/>
      <c r="AG647" s="443"/>
      <c r="AH647" s="443"/>
      <c r="AI647" s="443"/>
      <c r="AJ647" s="443"/>
      <c r="AK647" s="443"/>
      <c r="AL647" s="443"/>
      <c r="AM647" s="443"/>
      <c r="AN647" s="443"/>
      <c r="AO647" s="443"/>
      <c r="AP647" s="443"/>
      <c r="AQ647" s="443"/>
      <c r="AR647" s="443"/>
      <c r="AS647" s="443"/>
      <c r="AT647" s="443"/>
      <c r="AU647" s="443"/>
      <c r="AV647" s="443"/>
      <c r="AW647" s="443"/>
      <c r="AX647" s="443"/>
      <c r="AY647" s="443"/>
      <c r="AZ647" s="443"/>
      <c r="BA647" s="443"/>
      <c r="BB647" s="443"/>
      <c r="BC647" s="443"/>
      <c r="BD647" s="443"/>
      <c r="BE647" s="443"/>
      <c r="BF647" s="443"/>
      <c r="BG647" s="443"/>
      <c r="BH647" s="443"/>
      <c r="BI647" s="443"/>
      <c r="BJ647" s="443"/>
      <c r="BK647" s="443"/>
      <c r="BL647" s="443"/>
      <c r="BM647" s="443"/>
      <c r="BN647" s="443"/>
      <c r="BO647" s="443"/>
      <c r="BP647" s="111"/>
      <c r="BQ647" s="111">
        <v>1.368</v>
      </c>
      <c r="BR647" s="462">
        <f t="shared" si="57"/>
        <v>2052</v>
      </c>
      <c r="BS647" s="447">
        <f t="shared" ref="BS646:BS709" si="64">BR647*7.75</f>
        <v>15903</v>
      </c>
      <c r="BT647" s="468" t="str">
        <f>IFERROR(VLOOKUP(E647,名称!A:D,4,FALSE),"")</f>
        <v>KIK</v>
      </c>
    </row>
    <row r="648" s="425" customFormat="1" hidden="1" customHeight="1" spans="1:72">
      <c r="A648" s="108">
        <v>46172</v>
      </c>
      <c r="B648" s="109" t="s">
        <v>235</v>
      </c>
      <c r="C648" s="30">
        <v>10128553</v>
      </c>
      <c r="D648" s="110">
        <v>4500032884</v>
      </c>
      <c r="E648" s="30" t="s">
        <v>53</v>
      </c>
      <c r="F648" s="31">
        <v>4800</v>
      </c>
      <c r="G648" s="286">
        <v>46295</v>
      </c>
      <c r="H648" s="443"/>
      <c r="I648" s="443"/>
      <c r="J648" s="443"/>
      <c r="K648" s="443"/>
      <c r="L648" s="443"/>
      <c r="M648" s="443"/>
      <c r="N648" s="443"/>
      <c r="O648" s="443"/>
      <c r="P648" s="443">
        <f>F648</f>
        <v>4800</v>
      </c>
      <c r="Q648" s="443"/>
      <c r="R648" s="443"/>
      <c r="S648" s="443"/>
      <c r="T648" s="443"/>
      <c r="U648" s="443"/>
      <c r="V648" s="443"/>
      <c r="W648" s="443"/>
      <c r="X648" s="443"/>
      <c r="Y648" s="443"/>
      <c r="Z648" s="443"/>
      <c r="AA648" s="443"/>
      <c r="AB648" s="443"/>
      <c r="AC648" s="443"/>
      <c r="AD648" s="443"/>
      <c r="AE648" s="443"/>
      <c r="AF648" s="443"/>
      <c r="AG648" s="443"/>
      <c r="AH648" s="443"/>
      <c r="AI648" s="443"/>
      <c r="AJ648" s="443"/>
      <c r="AK648" s="443"/>
      <c r="AL648" s="443"/>
      <c r="AM648" s="443"/>
      <c r="AN648" s="443"/>
      <c r="AO648" s="443"/>
      <c r="AP648" s="443"/>
      <c r="AQ648" s="443"/>
      <c r="AR648" s="443"/>
      <c r="AS648" s="443"/>
      <c r="AT648" s="443"/>
      <c r="AU648" s="443"/>
      <c r="AV648" s="443"/>
      <c r="AW648" s="443"/>
      <c r="AX648" s="443"/>
      <c r="AY648" s="443"/>
      <c r="AZ648" s="443"/>
      <c r="BA648" s="443"/>
      <c r="BB648" s="443"/>
      <c r="BC648" s="443"/>
      <c r="BD648" s="443"/>
      <c r="BE648" s="443"/>
      <c r="BF648" s="443"/>
      <c r="BG648" s="443"/>
      <c r="BH648" s="443"/>
      <c r="BI648" s="443"/>
      <c r="BJ648" s="443"/>
      <c r="BK648" s="443"/>
      <c r="BL648" s="443"/>
      <c r="BM648" s="443"/>
      <c r="BN648" s="443"/>
      <c r="BO648" s="443"/>
      <c r="BP648" s="111"/>
      <c r="BQ648" s="111">
        <v>1.398</v>
      </c>
      <c r="BR648" s="462">
        <f t="shared" ref="BR648:BR694" si="65">SUM(H648:BP648)*BQ648</f>
        <v>6710.4</v>
      </c>
      <c r="BS648" s="447">
        <f t="shared" ref="BS648:BS691" si="66">BR648*7.75</f>
        <v>52005.6</v>
      </c>
      <c r="BT648" s="468" t="str">
        <f>IFERROR(VLOOKUP(E648,名称!A:D,4,FALSE),"")</f>
        <v>KIK</v>
      </c>
    </row>
    <row r="649" s="425" customFormat="1" hidden="1" customHeight="1" spans="1:72">
      <c r="A649" s="108">
        <v>46172</v>
      </c>
      <c r="B649" s="109" t="s">
        <v>237</v>
      </c>
      <c r="C649" s="30">
        <v>10128490</v>
      </c>
      <c r="D649" s="110" t="s">
        <v>304</v>
      </c>
      <c r="E649" s="30" t="s">
        <v>221</v>
      </c>
      <c r="F649" s="31">
        <v>5000</v>
      </c>
      <c r="G649" s="286">
        <v>46295</v>
      </c>
      <c r="H649" s="443"/>
      <c r="I649" s="443"/>
      <c r="J649" s="443"/>
      <c r="K649" s="443"/>
      <c r="L649" s="443"/>
      <c r="M649" s="443"/>
      <c r="N649" s="443"/>
      <c r="O649" s="443"/>
      <c r="P649" s="443"/>
      <c r="Q649" s="443"/>
      <c r="R649" s="443"/>
      <c r="S649" s="443"/>
      <c r="T649" s="443"/>
      <c r="U649" s="443"/>
      <c r="V649" s="443"/>
      <c r="W649" s="443"/>
      <c r="X649" s="443"/>
      <c r="Y649" s="443"/>
      <c r="Z649" s="443"/>
      <c r="AA649" s="443"/>
      <c r="AB649" s="443"/>
      <c r="AC649" s="443"/>
      <c r="AD649" s="443"/>
      <c r="AE649" s="443"/>
      <c r="AF649" s="443"/>
      <c r="AG649" s="443"/>
      <c r="AH649" s="443"/>
      <c r="AI649" s="443"/>
      <c r="AJ649" s="443"/>
      <c r="AK649" s="443"/>
      <c r="AL649" s="443"/>
      <c r="AM649" s="443"/>
      <c r="AN649" s="443"/>
      <c r="AO649" s="443"/>
      <c r="AP649" s="443"/>
      <c r="AQ649" s="443"/>
      <c r="AR649" s="443"/>
      <c r="AS649" s="443"/>
      <c r="AT649" s="443"/>
      <c r="AU649" s="443"/>
      <c r="AV649" s="443"/>
      <c r="AW649" s="443"/>
      <c r="AX649" s="443"/>
      <c r="AY649" s="443"/>
      <c r="AZ649" s="443"/>
      <c r="BA649" s="443"/>
      <c r="BB649" s="443"/>
      <c r="BC649" s="443"/>
      <c r="BD649" s="443"/>
      <c r="BE649" s="443"/>
      <c r="BF649" s="443">
        <f>F649</f>
        <v>5000</v>
      </c>
      <c r="BG649" s="443"/>
      <c r="BH649" s="443"/>
      <c r="BI649" s="443"/>
      <c r="BJ649" s="443"/>
      <c r="BK649" s="443"/>
      <c r="BL649" s="443"/>
      <c r="BM649" s="443"/>
      <c r="BN649" s="443"/>
      <c r="BO649" s="443"/>
      <c r="BP649" s="111"/>
      <c r="BQ649" s="111">
        <v>0</v>
      </c>
      <c r="BR649" s="462">
        <f t="shared" si="65"/>
        <v>0</v>
      </c>
      <c r="BS649" s="447">
        <f t="shared" si="66"/>
        <v>0</v>
      </c>
      <c r="BT649" s="468" t="s">
        <v>128</v>
      </c>
    </row>
    <row r="650" s="425" customFormat="1" hidden="1" customHeight="1" spans="1:72">
      <c r="A650" s="108">
        <v>46172</v>
      </c>
      <c r="B650" s="294" t="s">
        <v>236</v>
      </c>
      <c r="C650" s="30">
        <v>10128547</v>
      </c>
      <c r="D650" s="110">
        <v>20219183</v>
      </c>
      <c r="E650" s="30" t="s">
        <v>221</v>
      </c>
      <c r="F650" s="31">
        <v>1000</v>
      </c>
      <c r="G650" s="286">
        <v>46302</v>
      </c>
      <c r="H650" s="443"/>
      <c r="I650" s="443"/>
      <c r="J650" s="443"/>
      <c r="K650" s="443"/>
      <c r="L650" s="443"/>
      <c r="M650" s="443"/>
      <c r="N650" s="443"/>
      <c r="O650" s="443"/>
      <c r="P650" s="443"/>
      <c r="Q650" s="443"/>
      <c r="R650" s="443"/>
      <c r="S650" s="443"/>
      <c r="T650" s="443"/>
      <c r="U650" s="443"/>
      <c r="V650" s="443"/>
      <c r="W650" s="443"/>
      <c r="X650" s="443"/>
      <c r="Y650" s="443"/>
      <c r="Z650" s="443"/>
      <c r="AA650" s="443"/>
      <c r="AB650" s="443"/>
      <c r="AC650" s="443"/>
      <c r="AD650" s="443"/>
      <c r="AE650" s="443"/>
      <c r="AF650" s="443"/>
      <c r="AG650" s="443"/>
      <c r="AH650" s="443"/>
      <c r="AI650" s="443"/>
      <c r="AJ650" s="443"/>
      <c r="AK650" s="443"/>
      <c r="AL650" s="443"/>
      <c r="AM650" s="443"/>
      <c r="AN650" s="443"/>
      <c r="AO650" s="443"/>
      <c r="AP650" s="443"/>
      <c r="AQ650" s="443"/>
      <c r="AR650" s="443"/>
      <c r="AS650" s="443"/>
      <c r="AT650" s="443"/>
      <c r="AU650" s="443"/>
      <c r="AV650" s="443"/>
      <c r="AW650" s="443"/>
      <c r="AX650" s="443"/>
      <c r="AY650" s="443"/>
      <c r="AZ650" s="443"/>
      <c r="BA650" s="443"/>
      <c r="BB650" s="443"/>
      <c r="BC650" s="443"/>
      <c r="BD650" s="443"/>
      <c r="BE650" s="443"/>
      <c r="BF650" s="442">
        <f>F650</f>
        <v>1000</v>
      </c>
      <c r="BG650" s="442"/>
      <c r="BH650" s="442"/>
      <c r="BI650" s="442"/>
      <c r="BJ650" s="442"/>
      <c r="BK650" s="442"/>
      <c r="BL650" s="442"/>
      <c r="BM650" s="442"/>
      <c r="BN650" s="442"/>
      <c r="BO650" s="443"/>
      <c r="BP650" s="111"/>
      <c r="BQ650" s="111">
        <v>0</v>
      </c>
      <c r="BR650" s="462">
        <f t="shared" si="65"/>
        <v>0</v>
      </c>
      <c r="BS650" s="447">
        <f t="shared" si="66"/>
        <v>0</v>
      </c>
      <c r="BT650" s="468" t="s">
        <v>128</v>
      </c>
    </row>
    <row r="651" s="425" customFormat="1" hidden="1" customHeight="1" spans="1:72">
      <c r="A651" s="108">
        <v>46172</v>
      </c>
      <c r="B651" s="109" t="s">
        <v>237</v>
      </c>
      <c r="C651" s="30">
        <v>10128492</v>
      </c>
      <c r="D651" s="110" t="s">
        <v>305</v>
      </c>
      <c r="E651" s="30" t="s">
        <v>158</v>
      </c>
      <c r="F651" s="31">
        <v>5000</v>
      </c>
      <c r="G651" s="286">
        <v>46274</v>
      </c>
      <c r="H651" s="443"/>
      <c r="I651" s="443"/>
      <c r="J651" s="443"/>
      <c r="K651" s="443"/>
      <c r="L651" s="443"/>
      <c r="M651" s="443"/>
      <c r="N651" s="443"/>
      <c r="O651" s="443"/>
      <c r="P651" s="443"/>
      <c r="Q651" s="443"/>
      <c r="R651" s="443"/>
      <c r="S651" s="442">
        <f>F651</f>
        <v>5000</v>
      </c>
      <c r="T651" s="443"/>
      <c r="U651" s="443"/>
      <c r="V651" s="443"/>
      <c r="W651" s="443"/>
      <c r="X651" s="443"/>
      <c r="Y651" s="443"/>
      <c r="Z651" s="443"/>
      <c r="AA651" s="443"/>
      <c r="AB651" s="443"/>
      <c r="AC651" s="443"/>
      <c r="AD651" s="443"/>
      <c r="AE651" s="443"/>
      <c r="AF651" s="443"/>
      <c r="AG651" s="443"/>
      <c r="AH651" s="443"/>
      <c r="AI651" s="443"/>
      <c r="AJ651" s="443"/>
      <c r="AK651" s="443"/>
      <c r="AL651" s="443"/>
      <c r="AM651" s="443"/>
      <c r="AN651" s="443"/>
      <c r="AO651" s="443"/>
      <c r="AP651" s="443"/>
      <c r="AQ651" s="443"/>
      <c r="AR651" s="443"/>
      <c r="AS651" s="443"/>
      <c r="AT651" s="443"/>
      <c r="AU651" s="443"/>
      <c r="AV651" s="443"/>
      <c r="AW651" s="443"/>
      <c r="AX651" s="443"/>
      <c r="AY651" s="443"/>
      <c r="AZ651" s="443"/>
      <c r="BA651" s="443"/>
      <c r="BB651" s="443"/>
      <c r="BC651" s="443"/>
      <c r="BD651" s="443"/>
      <c r="BE651" s="443"/>
      <c r="BF651" s="443"/>
      <c r="BG651" s="443"/>
      <c r="BH651" s="443"/>
      <c r="BI651" s="443"/>
      <c r="BJ651" s="443"/>
      <c r="BK651" s="443"/>
      <c r="BL651" s="443"/>
      <c r="BM651" s="443"/>
      <c r="BN651" s="443"/>
      <c r="BO651" s="443"/>
      <c r="BP651" s="111"/>
      <c r="BQ651" s="111">
        <v>5.225</v>
      </c>
      <c r="BR651" s="462">
        <f t="shared" si="65"/>
        <v>26125</v>
      </c>
      <c r="BS651" s="447">
        <f t="shared" si="66"/>
        <v>202468.75</v>
      </c>
      <c r="BT651" s="468" t="str">
        <f>IFERROR(VLOOKUP(E651,名称!A:D,4,FALSE),"")</f>
        <v>KIK</v>
      </c>
    </row>
    <row r="652" s="425" customFormat="1" hidden="1" customHeight="1" spans="1:72">
      <c r="A652" s="108">
        <v>46176</v>
      </c>
      <c r="B652" s="109" t="s">
        <v>242</v>
      </c>
      <c r="C652" s="30">
        <v>10128185</v>
      </c>
      <c r="D652" s="110">
        <v>2.02605220049902e+19</v>
      </c>
      <c r="E652" s="30" t="s">
        <v>130</v>
      </c>
      <c r="F652" s="31">
        <v>1500</v>
      </c>
      <c r="G652" s="286">
        <v>46265</v>
      </c>
      <c r="H652" s="443"/>
      <c r="I652" s="443"/>
      <c r="J652" s="443"/>
      <c r="K652" s="443"/>
      <c r="L652" s="443"/>
      <c r="M652" s="443"/>
      <c r="N652" s="443"/>
      <c r="O652" s="443"/>
      <c r="P652" s="443"/>
      <c r="Q652" s="443"/>
      <c r="R652" s="443"/>
      <c r="S652" s="443"/>
      <c r="T652" s="443"/>
      <c r="U652" s="443"/>
      <c r="V652" s="443"/>
      <c r="W652" s="443"/>
      <c r="X652" s="443"/>
      <c r="Y652" s="443"/>
      <c r="Z652" s="443"/>
      <c r="AA652" s="443"/>
      <c r="AB652" s="443"/>
      <c r="AC652" s="443"/>
      <c r="AD652" s="443"/>
      <c r="AE652" s="443"/>
      <c r="AF652" s="443"/>
      <c r="AG652" s="443"/>
      <c r="AH652" s="443"/>
      <c r="AI652" s="442">
        <f>F652</f>
        <v>1500</v>
      </c>
      <c r="AJ652" s="443"/>
      <c r="AK652" s="443"/>
      <c r="AL652" s="443"/>
      <c r="AM652" s="443"/>
      <c r="AN652" s="443"/>
      <c r="AO652" s="443"/>
      <c r="AP652" s="443"/>
      <c r="AQ652" s="443"/>
      <c r="AR652" s="443"/>
      <c r="AS652" s="443"/>
      <c r="AT652" s="443"/>
      <c r="AU652" s="443"/>
      <c r="AV652" s="443"/>
      <c r="AW652" s="443"/>
      <c r="AX652" s="443"/>
      <c r="AY652" s="443"/>
      <c r="AZ652" s="443"/>
      <c r="BA652" s="443"/>
      <c r="BB652" s="443"/>
      <c r="BC652" s="443"/>
      <c r="BD652" s="443"/>
      <c r="BE652" s="443"/>
      <c r="BF652" s="443"/>
      <c r="BG652" s="443"/>
      <c r="BH652" s="443"/>
      <c r="BI652" s="443"/>
      <c r="BJ652" s="443"/>
      <c r="BK652" s="443"/>
      <c r="BL652" s="443"/>
      <c r="BM652" s="443"/>
      <c r="BN652" s="443"/>
      <c r="BO652" s="443"/>
      <c r="BP652" s="111"/>
      <c r="BQ652" s="111">
        <v>3.703</v>
      </c>
      <c r="BR652" s="462">
        <f t="shared" si="65"/>
        <v>5554.5</v>
      </c>
      <c r="BS652" s="447">
        <f t="shared" si="66"/>
        <v>43047.38</v>
      </c>
      <c r="BT652" s="468" t="str">
        <f>IFERROR(VLOOKUP(E652,名称!A:D,4,FALSE),"")</f>
        <v>KIK</v>
      </c>
    </row>
    <row r="653" s="425" customFormat="1" hidden="1" customHeight="1" spans="1:72">
      <c r="A653" s="108">
        <v>46176</v>
      </c>
      <c r="B653" s="109" t="s">
        <v>242</v>
      </c>
      <c r="C653" s="30">
        <v>10128185</v>
      </c>
      <c r="D653" s="110">
        <v>2.02605220049902e+19</v>
      </c>
      <c r="E653" s="30" t="s">
        <v>130</v>
      </c>
      <c r="F653" s="31">
        <v>4500</v>
      </c>
      <c r="G653" s="286">
        <v>46265</v>
      </c>
      <c r="H653" s="443"/>
      <c r="I653" s="443"/>
      <c r="J653" s="443"/>
      <c r="K653" s="443"/>
      <c r="L653" s="443"/>
      <c r="M653" s="443"/>
      <c r="N653" s="443"/>
      <c r="O653" s="443"/>
      <c r="P653" s="443"/>
      <c r="Q653" s="443"/>
      <c r="R653" s="443"/>
      <c r="S653" s="443"/>
      <c r="T653" s="443"/>
      <c r="U653" s="443"/>
      <c r="V653" s="443"/>
      <c r="W653" s="443"/>
      <c r="X653" s="443"/>
      <c r="Y653" s="443"/>
      <c r="Z653" s="443"/>
      <c r="AA653" s="443"/>
      <c r="AB653" s="443"/>
      <c r="AC653" s="443"/>
      <c r="AD653" s="443"/>
      <c r="AE653" s="443"/>
      <c r="AF653" s="443"/>
      <c r="AG653" s="443"/>
      <c r="AH653" s="443"/>
      <c r="AI653" s="442">
        <f>F653</f>
        <v>4500</v>
      </c>
      <c r="AJ653" s="443"/>
      <c r="AK653" s="443"/>
      <c r="AL653" s="443"/>
      <c r="AM653" s="443"/>
      <c r="AN653" s="443"/>
      <c r="AO653" s="443"/>
      <c r="AP653" s="443"/>
      <c r="AQ653" s="443"/>
      <c r="AR653" s="443"/>
      <c r="AS653" s="443"/>
      <c r="AT653" s="443"/>
      <c r="AU653" s="443"/>
      <c r="AV653" s="443"/>
      <c r="AW653" s="443"/>
      <c r="AX653" s="443"/>
      <c r="AY653" s="443"/>
      <c r="AZ653" s="443"/>
      <c r="BA653" s="443"/>
      <c r="BB653" s="443"/>
      <c r="BC653" s="443"/>
      <c r="BD653" s="443"/>
      <c r="BE653" s="443"/>
      <c r="BF653" s="443"/>
      <c r="BG653" s="443"/>
      <c r="BH653" s="443"/>
      <c r="BI653" s="443"/>
      <c r="BJ653" s="443"/>
      <c r="BK653" s="443"/>
      <c r="BL653" s="443"/>
      <c r="BM653" s="443"/>
      <c r="BN653" s="443"/>
      <c r="BO653" s="443"/>
      <c r="BP653" s="111"/>
      <c r="BQ653" s="111">
        <v>3.703</v>
      </c>
      <c r="BR653" s="462">
        <f t="shared" si="65"/>
        <v>16663.5</v>
      </c>
      <c r="BS653" s="447">
        <f t="shared" si="66"/>
        <v>129142.13</v>
      </c>
      <c r="BT653" s="468" t="str">
        <f>IFERROR(VLOOKUP(E653,名称!A:D,4,FALSE),"")</f>
        <v>KIK</v>
      </c>
    </row>
    <row r="654" s="425" customFormat="1" hidden="1" customHeight="1" spans="1:72">
      <c r="A654" s="108">
        <v>46179</v>
      </c>
      <c r="B654" s="109" t="s">
        <v>237</v>
      </c>
      <c r="C654" s="30">
        <v>10129074</v>
      </c>
      <c r="D654" s="110" t="s">
        <v>306</v>
      </c>
      <c r="E654" s="30" t="s">
        <v>88</v>
      </c>
      <c r="F654" s="31">
        <v>10008</v>
      </c>
      <c r="G654" s="286">
        <v>46260</v>
      </c>
      <c r="H654" s="443"/>
      <c r="I654" s="443"/>
      <c r="J654" s="443"/>
      <c r="K654" s="443"/>
      <c r="L654" s="443"/>
      <c r="M654" s="443"/>
      <c r="N654" s="443"/>
      <c r="O654" s="443"/>
      <c r="P654" s="443"/>
      <c r="Q654" s="443"/>
      <c r="R654" s="443"/>
      <c r="S654" s="443"/>
      <c r="T654" s="443"/>
      <c r="U654" s="443"/>
      <c r="V654" s="443"/>
      <c r="W654" s="443"/>
      <c r="X654" s="443"/>
      <c r="Y654" s="443"/>
      <c r="Z654" s="443"/>
      <c r="AA654" s="443"/>
      <c r="AB654" s="443"/>
      <c r="AC654" s="443"/>
      <c r="AD654" s="443"/>
      <c r="AE654" s="443">
        <f>F654</f>
        <v>10008</v>
      </c>
      <c r="AF654" s="443"/>
      <c r="AG654" s="443"/>
      <c r="AH654" s="443"/>
      <c r="AI654" s="443"/>
      <c r="AJ654" s="443"/>
      <c r="AK654" s="443"/>
      <c r="AL654" s="443"/>
      <c r="AM654" s="443"/>
      <c r="AN654" s="443"/>
      <c r="AO654" s="443"/>
      <c r="AP654" s="443"/>
      <c r="AQ654" s="443"/>
      <c r="AR654" s="443"/>
      <c r="AS654" s="443"/>
      <c r="AT654" s="443"/>
      <c r="AU654" s="443"/>
      <c r="AV654" s="443"/>
      <c r="AW654" s="443"/>
      <c r="AX654" s="443"/>
      <c r="AY654" s="443"/>
      <c r="AZ654" s="443"/>
      <c r="BA654" s="443"/>
      <c r="BB654" s="443"/>
      <c r="BC654" s="443"/>
      <c r="BD654" s="443"/>
      <c r="BE654" s="443"/>
      <c r="BF654" s="443"/>
      <c r="BG654" s="443"/>
      <c r="BH654" s="443"/>
      <c r="BI654" s="443"/>
      <c r="BJ654" s="443"/>
      <c r="BK654" s="443"/>
      <c r="BL654" s="443"/>
      <c r="BM654" s="443"/>
      <c r="BN654" s="443"/>
      <c r="BO654" s="443"/>
      <c r="BP654" s="111"/>
      <c r="BQ654" s="111">
        <v>0.963</v>
      </c>
      <c r="BR654" s="462">
        <f t="shared" si="65"/>
        <v>9637.7</v>
      </c>
      <c r="BS654" s="447">
        <f t="shared" si="66"/>
        <v>74692.18</v>
      </c>
      <c r="BT654" s="468" t="str">
        <f>IFERROR(VLOOKUP(E654,名称!A:D,4,FALSE),"")</f>
        <v>KIK</v>
      </c>
    </row>
    <row r="655" s="425" customFormat="1" hidden="1" customHeight="1" spans="1:72">
      <c r="A655" s="108">
        <v>46179</v>
      </c>
      <c r="B655" s="109" t="s">
        <v>237</v>
      </c>
      <c r="C655" s="30">
        <v>10129047</v>
      </c>
      <c r="D655" s="110" t="s">
        <v>307</v>
      </c>
      <c r="E655" s="30" t="s">
        <v>50</v>
      </c>
      <c r="F655" s="31">
        <v>5000</v>
      </c>
      <c r="G655" s="286">
        <v>46274</v>
      </c>
      <c r="H655" s="443"/>
      <c r="I655" s="443"/>
      <c r="J655" s="443"/>
      <c r="K655" s="443"/>
      <c r="L655" s="442">
        <f>F655</f>
        <v>5000</v>
      </c>
      <c r="M655" s="443"/>
      <c r="N655" s="443"/>
      <c r="O655" s="443"/>
      <c r="P655" s="443"/>
      <c r="Q655" s="443"/>
      <c r="R655" s="443"/>
      <c r="S655" s="443"/>
      <c r="T655" s="443"/>
      <c r="U655" s="443"/>
      <c r="V655" s="443"/>
      <c r="W655" s="443"/>
      <c r="X655" s="443"/>
      <c r="Y655" s="443"/>
      <c r="Z655" s="443"/>
      <c r="AA655" s="443"/>
      <c r="AB655" s="443"/>
      <c r="AC655" s="443"/>
      <c r="AD655" s="443"/>
      <c r="AE655" s="443"/>
      <c r="AF655" s="443"/>
      <c r="AG655" s="443"/>
      <c r="AH655" s="443"/>
      <c r="AI655" s="443"/>
      <c r="AJ655" s="443"/>
      <c r="AK655" s="443"/>
      <c r="AL655" s="443"/>
      <c r="AM655" s="443"/>
      <c r="AN655" s="443"/>
      <c r="AO655" s="443"/>
      <c r="AP655" s="443"/>
      <c r="AQ655" s="443"/>
      <c r="AR655" s="443"/>
      <c r="AS655" s="443"/>
      <c r="AT655" s="443"/>
      <c r="AU655" s="443"/>
      <c r="AV655" s="443"/>
      <c r="AW655" s="443"/>
      <c r="AX655" s="443"/>
      <c r="AY655" s="443"/>
      <c r="AZ655" s="443"/>
      <c r="BA655" s="443"/>
      <c r="BB655" s="443"/>
      <c r="BC655" s="443"/>
      <c r="BD655" s="443"/>
      <c r="BE655" s="443"/>
      <c r="BF655" s="443"/>
      <c r="BG655" s="443"/>
      <c r="BH655" s="443"/>
      <c r="BI655" s="443"/>
      <c r="BJ655" s="443"/>
      <c r="BK655" s="443"/>
      <c r="BL655" s="443"/>
      <c r="BM655" s="443"/>
      <c r="BN655" s="443"/>
      <c r="BO655" s="443"/>
      <c r="BP655" s="111"/>
      <c r="BQ655" s="111">
        <v>2.218</v>
      </c>
      <c r="BR655" s="462">
        <f t="shared" si="65"/>
        <v>11090</v>
      </c>
      <c r="BS655" s="447">
        <f t="shared" si="66"/>
        <v>85947.5</v>
      </c>
      <c r="BT655" s="468" t="str">
        <f>IFERROR(VLOOKUP(E655,名称!A:D,4,FALSE),"")</f>
        <v>KIK</v>
      </c>
    </row>
    <row r="656" s="425" customFormat="1" hidden="1" customHeight="1" spans="1:72">
      <c r="A656" s="108">
        <v>46179</v>
      </c>
      <c r="B656" s="109" t="s">
        <v>237</v>
      </c>
      <c r="C656" s="30">
        <v>10129047</v>
      </c>
      <c r="D656" s="110" t="s">
        <v>307</v>
      </c>
      <c r="E656" s="30" t="s">
        <v>52</v>
      </c>
      <c r="F656" s="31">
        <v>5004</v>
      </c>
      <c r="G656" s="286">
        <v>46253</v>
      </c>
      <c r="H656" s="443"/>
      <c r="I656" s="443"/>
      <c r="J656" s="443"/>
      <c r="K656" s="443">
        <f>F656</f>
        <v>5004</v>
      </c>
      <c r="L656" s="443"/>
      <c r="M656" s="443"/>
      <c r="N656" s="443"/>
      <c r="O656" s="443"/>
      <c r="P656" s="443"/>
      <c r="Q656" s="443"/>
      <c r="R656" s="443"/>
      <c r="S656" s="443"/>
      <c r="T656" s="443"/>
      <c r="U656" s="443"/>
      <c r="V656" s="443"/>
      <c r="W656" s="443"/>
      <c r="X656" s="443"/>
      <c r="Y656" s="443"/>
      <c r="Z656" s="443"/>
      <c r="AA656" s="443"/>
      <c r="AB656" s="443"/>
      <c r="AC656" s="443"/>
      <c r="AD656" s="443"/>
      <c r="AE656" s="443"/>
      <c r="AF656" s="443"/>
      <c r="AG656" s="443"/>
      <c r="AH656" s="443"/>
      <c r="AI656" s="443"/>
      <c r="AJ656" s="443"/>
      <c r="AK656" s="443"/>
      <c r="AL656" s="443"/>
      <c r="AM656" s="443"/>
      <c r="AN656" s="443"/>
      <c r="AO656" s="443"/>
      <c r="AP656" s="443"/>
      <c r="AQ656" s="443"/>
      <c r="AR656" s="443"/>
      <c r="AS656" s="443"/>
      <c r="AT656" s="443"/>
      <c r="AU656" s="443"/>
      <c r="AV656" s="443"/>
      <c r="AW656" s="443"/>
      <c r="AX656" s="443"/>
      <c r="AY656" s="443"/>
      <c r="AZ656" s="443"/>
      <c r="BA656" s="443"/>
      <c r="BB656" s="443"/>
      <c r="BC656" s="443"/>
      <c r="BD656" s="443"/>
      <c r="BE656" s="443"/>
      <c r="BF656" s="443"/>
      <c r="BG656" s="443"/>
      <c r="BH656" s="443"/>
      <c r="BI656" s="443"/>
      <c r="BJ656" s="443"/>
      <c r="BK656" s="443"/>
      <c r="BL656" s="443"/>
      <c r="BM656" s="443"/>
      <c r="BN656" s="443"/>
      <c r="BO656" s="443"/>
      <c r="BP656" s="111"/>
      <c r="BQ656" s="111">
        <v>2.001</v>
      </c>
      <c r="BR656" s="462">
        <f t="shared" si="65"/>
        <v>10013</v>
      </c>
      <c r="BS656" s="447">
        <f t="shared" si="66"/>
        <v>77600.75</v>
      </c>
      <c r="BT656" s="468" t="str">
        <f>IFERROR(VLOOKUP(E656,名称!A:D,4,FALSE),"")</f>
        <v>KIK</v>
      </c>
    </row>
    <row r="657" s="425" customFormat="1" hidden="1" customHeight="1" spans="1:72">
      <c r="A657" s="108">
        <v>46179</v>
      </c>
      <c r="B657" s="109" t="s">
        <v>237</v>
      </c>
      <c r="C657" s="30">
        <v>10129047</v>
      </c>
      <c r="D657" s="110" t="s">
        <v>307</v>
      </c>
      <c r="E657" s="30" t="s">
        <v>115</v>
      </c>
      <c r="F657" s="31">
        <v>5000</v>
      </c>
      <c r="G657" s="286">
        <v>46260</v>
      </c>
      <c r="H657" s="443"/>
      <c r="I657" s="443"/>
      <c r="J657" s="443"/>
      <c r="K657" s="443"/>
      <c r="L657" s="443"/>
      <c r="M657" s="443"/>
      <c r="N657" s="443"/>
      <c r="O657" s="443"/>
      <c r="P657" s="443"/>
      <c r="Q657" s="443"/>
      <c r="R657" s="443"/>
      <c r="S657" s="443"/>
      <c r="T657" s="443"/>
      <c r="U657" s="443"/>
      <c r="V657" s="443"/>
      <c r="W657" s="443"/>
      <c r="X657" s="443"/>
      <c r="Y657" s="443"/>
      <c r="Z657" s="443"/>
      <c r="AA657" s="443"/>
      <c r="AB657" s="443"/>
      <c r="AC657" s="443"/>
      <c r="AD657" s="443"/>
      <c r="AE657" s="443"/>
      <c r="AF657" s="443"/>
      <c r="AG657" s="443"/>
      <c r="AH657" s="443"/>
      <c r="AI657" s="443"/>
      <c r="AJ657" s="443"/>
      <c r="AK657" s="443"/>
      <c r="AL657" s="443"/>
      <c r="AM657" s="443"/>
      <c r="AN657" s="443"/>
      <c r="AO657" s="442">
        <f>F657</f>
        <v>5000</v>
      </c>
      <c r="AP657" s="443"/>
      <c r="AQ657" s="443"/>
      <c r="AR657" s="443"/>
      <c r="AS657" s="443"/>
      <c r="AT657" s="443"/>
      <c r="AU657" s="443"/>
      <c r="AV657" s="443"/>
      <c r="AW657" s="443"/>
      <c r="AX657" s="443"/>
      <c r="AY657" s="443"/>
      <c r="AZ657" s="443"/>
      <c r="BA657" s="443"/>
      <c r="BB657" s="443"/>
      <c r="BC657" s="443"/>
      <c r="BD657" s="443"/>
      <c r="BE657" s="443"/>
      <c r="BF657" s="443"/>
      <c r="BG657" s="443"/>
      <c r="BH657" s="443"/>
      <c r="BI657" s="443"/>
      <c r="BJ657" s="443"/>
      <c r="BK657" s="443"/>
      <c r="BL657" s="443"/>
      <c r="BM657" s="443"/>
      <c r="BN657" s="443"/>
      <c r="BO657" s="443"/>
      <c r="BP657" s="111"/>
      <c r="BQ657" s="111">
        <v>2.204</v>
      </c>
      <c r="BR657" s="462">
        <f t="shared" si="65"/>
        <v>11020</v>
      </c>
      <c r="BS657" s="447">
        <f t="shared" si="66"/>
        <v>85405</v>
      </c>
      <c r="BT657" s="468" t="str">
        <f>IFERROR(VLOOKUP(E657,名称!A:D,4,FALSE),"")</f>
        <v>KIK</v>
      </c>
    </row>
    <row r="658" s="425" customFormat="1" hidden="1" customHeight="1" spans="1:72">
      <c r="A658" s="108">
        <v>46179</v>
      </c>
      <c r="B658" s="109" t="s">
        <v>237</v>
      </c>
      <c r="C658" s="30">
        <v>10129036</v>
      </c>
      <c r="D658" s="110">
        <v>20219196</v>
      </c>
      <c r="E658" s="30" t="s">
        <v>137</v>
      </c>
      <c r="F658" s="31">
        <v>4000</v>
      </c>
      <c r="G658" s="286">
        <v>46281</v>
      </c>
      <c r="H658" s="443"/>
      <c r="I658" s="443"/>
      <c r="J658" s="443"/>
      <c r="K658" s="443"/>
      <c r="L658" s="443"/>
      <c r="M658" s="443"/>
      <c r="N658" s="443"/>
      <c r="O658" s="443"/>
      <c r="P658" s="443"/>
      <c r="Q658" s="443"/>
      <c r="R658" s="443"/>
      <c r="S658" s="443"/>
      <c r="T658" s="443"/>
      <c r="U658" s="443"/>
      <c r="V658" s="443"/>
      <c r="W658" s="443"/>
      <c r="X658" s="443"/>
      <c r="Y658" s="443"/>
      <c r="Z658" s="443"/>
      <c r="AA658" s="443"/>
      <c r="AB658" s="443"/>
      <c r="AC658" s="443"/>
      <c r="AD658" s="443"/>
      <c r="AE658" s="443"/>
      <c r="AF658" s="443"/>
      <c r="AG658" s="443"/>
      <c r="AH658" s="443"/>
      <c r="AI658" s="443"/>
      <c r="AJ658" s="443"/>
      <c r="AK658" s="443"/>
      <c r="AL658" s="443"/>
      <c r="AM658" s="443"/>
      <c r="AN658" s="443"/>
      <c r="AO658" s="443"/>
      <c r="AP658" s="443"/>
      <c r="AQ658" s="443"/>
      <c r="AR658" s="443"/>
      <c r="AS658" s="443"/>
      <c r="AT658" s="442">
        <f>F658</f>
        <v>4000</v>
      </c>
      <c r="AU658" s="443"/>
      <c r="AV658" s="443"/>
      <c r="AW658" s="443"/>
      <c r="AX658" s="443"/>
      <c r="AY658" s="443"/>
      <c r="AZ658" s="443"/>
      <c r="BA658" s="443"/>
      <c r="BB658" s="443"/>
      <c r="BC658" s="443"/>
      <c r="BD658" s="443"/>
      <c r="BE658" s="443"/>
      <c r="BF658" s="443"/>
      <c r="BG658" s="443"/>
      <c r="BH658" s="443"/>
      <c r="BI658" s="443"/>
      <c r="BJ658" s="443"/>
      <c r="BK658" s="443"/>
      <c r="BL658" s="443"/>
      <c r="BM658" s="443"/>
      <c r="BN658" s="443"/>
      <c r="BO658" s="443"/>
      <c r="BP658" s="92"/>
      <c r="BQ658" s="92">
        <v>4.081</v>
      </c>
      <c r="BR658" s="462">
        <f t="shared" si="65"/>
        <v>16324</v>
      </c>
      <c r="BS658" s="447">
        <f t="shared" si="66"/>
        <v>126511</v>
      </c>
      <c r="BT658" s="443" t="str">
        <f>IFERROR(VLOOKUP(E658,名称!A:D,4,FALSE),"")</f>
        <v>RRM</v>
      </c>
    </row>
    <row r="659" s="425" customFormat="1" hidden="1" customHeight="1" spans="1:72">
      <c r="A659" s="108">
        <v>46179</v>
      </c>
      <c r="B659" s="109" t="s">
        <v>237</v>
      </c>
      <c r="C659" s="30">
        <v>10129036</v>
      </c>
      <c r="D659" s="110">
        <v>20219196</v>
      </c>
      <c r="E659" s="30" t="s">
        <v>139</v>
      </c>
      <c r="F659" s="31">
        <v>4000</v>
      </c>
      <c r="G659" s="286">
        <v>46281</v>
      </c>
      <c r="H659" s="443"/>
      <c r="I659" s="443"/>
      <c r="J659" s="443"/>
      <c r="K659" s="443"/>
      <c r="L659" s="443"/>
      <c r="M659" s="443"/>
      <c r="N659" s="443"/>
      <c r="O659" s="443"/>
      <c r="P659" s="443"/>
      <c r="Q659" s="443"/>
      <c r="R659" s="443"/>
      <c r="S659" s="443"/>
      <c r="T659" s="443"/>
      <c r="U659" s="443"/>
      <c r="V659" s="443"/>
      <c r="W659" s="443"/>
      <c r="X659" s="443"/>
      <c r="Y659" s="443"/>
      <c r="Z659" s="443"/>
      <c r="AA659" s="443"/>
      <c r="AB659" s="443"/>
      <c r="AC659" s="443"/>
      <c r="AD659" s="443"/>
      <c r="AE659" s="443"/>
      <c r="AF659" s="443"/>
      <c r="AG659" s="443"/>
      <c r="AH659" s="443"/>
      <c r="AI659" s="443"/>
      <c r="AJ659" s="443"/>
      <c r="AK659" s="443"/>
      <c r="AL659" s="443"/>
      <c r="AM659" s="443"/>
      <c r="AN659" s="443"/>
      <c r="AO659" s="443"/>
      <c r="AP659" s="443"/>
      <c r="AQ659" s="443"/>
      <c r="AR659" s="443"/>
      <c r="AS659" s="443"/>
      <c r="AT659" s="443"/>
      <c r="AU659" s="442">
        <f>F659</f>
        <v>4000</v>
      </c>
      <c r="AV659" s="443"/>
      <c r="AW659" s="443"/>
      <c r="AX659" s="443"/>
      <c r="AY659" s="443"/>
      <c r="AZ659" s="443"/>
      <c r="BA659" s="443"/>
      <c r="BB659" s="443"/>
      <c r="BC659" s="443"/>
      <c r="BD659" s="443"/>
      <c r="BE659" s="443"/>
      <c r="BF659" s="443"/>
      <c r="BG659" s="443"/>
      <c r="BH659" s="443"/>
      <c r="BI659" s="443"/>
      <c r="BJ659" s="443"/>
      <c r="BK659" s="443"/>
      <c r="BL659" s="443"/>
      <c r="BM659" s="443"/>
      <c r="BN659" s="443"/>
      <c r="BO659" s="443"/>
      <c r="BP659" s="111"/>
      <c r="BQ659" s="111">
        <v>4.131</v>
      </c>
      <c r="BR659" s="462">
        <f t="shared" si="65"/>
        <v>16524</v>
      </c>
      <c r="BS659" s="447">
        <f t="shared" si="66"/>
        <v>128061</v>
      </c>
      <c r="BT659" s="468" t="str">
        <f>IFERROR(VLOOKUP(E659,名称!A:D,4,FALSE),"")</f>
        <v>RRM</v>
      </c>
    </row>
    <row r="660" s="425" customFormat="1" hidden="1" customHeight="1" spans="1:72">
      <c r="A660" s="108">
        <v>46179</v>
      </c>
      <c r="B660" s="109" t="s">
        <v>237</v>
      </c>
      <c r="C660" s="30">
        <v>10129036</v>
      </c>
      <c r="D660" s="110">
        <v>20219196</v>
      </c>
      <c r="E660" s="30" t="s">
        <v>126</v>
      </c>
      <c r="F660" s="31">
        <v>3000</v>
      </c>
      <c r="G660" s="286">
        <v>46281</v>
      </c>
      <c r="H660" s="443"/>
      <c r="I660" s="443"/>
      <c r="J660" s="443"/>
      <c r="K660" s="443"/>
      <c r="L660" s="443"/>
      <c r="M660" s="443"/>
      <c r="N660" s="443"/>
      <c r="O660" s="443"/>
      <c r="P660" s="443"/>
      <c r="Q660" s="443"/>
      <c r="R660" s="443"/>
      <c r="S660" s="443"/>
      <c r="T660" s="443"/>
      <c r="U660" s="443"/>
      <c r="V660" s="443"/>
      <c r="W660" s="443"/>
      <c r="X660" s="443"/>
      <c r="Y660" s="443"/>
      <c r="Z660" s="443"/>
      <c r="AA660" s="443"/>
      <c r="AB660" s="443"/>
      <c r="AC660" s="443"/>
      <c r="AD660" s="443"/>
      <c r="AE660" s="443"/>
      <c r="AF660" s="443"/>
      <c r="AG660" s="443"/>
      <c r="AH660" s="443"/>
      <c r="AI660" s="443"/>
      <c r="AJ660" s="443"/>
      <c r="AK660" s="443"/>
      <c r="AL660" s="443"/>
      <c r="AM660" s="443"/>
      <c r="AN660" s="443"/>
      <c r="AO660" s="443"/>
      <c r="AP660" s="443"/>
      <c r="AQ660" s="443"/>
      <c r="AR660" s="443"/>
      <c r="AS660" s="442">
        <f>F660</f>
        <v>3000</v>
      </c>
      <c r="AT660" s="443"/>
      <c r="AU660" s="443"/>
      <c r="AV660" s="443"/>
      <c r="AW660" s="443"/>
      <c r="AX660" s="443"/>
      <c r="AY660" s="443"/>
      <c r="AZ660" s="443"/>
      <c r="BA660" s="443"/>
      <c r="BB660" s="443"/>
      <c r="BC660" s="443"/>
      <c r="BD660" s="443"/>
      <c r="BE660" s="443"/>
      <c r="BF660" s="443"/>
      <c r="BG660" s="443"/>
      <c r="BH660" s="443"/>
      <c r="BI660" s="443"/>
      <c r="BJ660" s="443"/>
      <c r="BK660" s="443"/>
      <c r="BL660" s="443"/>
      <c r="BM660" s="443"/>
      <c r="BN660" s="443"/>
      <c r="BO660" s="443"/>
      <c r="BP660" s="92"/>
      <c r="BQ660" s="92">
        <v>1.746</v>
      </c>
      <c r="BR660" s="462">
        <f t="shared" si="65"/>
        <v>5238</v>
      </c>
      <c r="BS660" s="447">
        <f t="shared" si="66"/>
        <v>40594.5</v>
      </c>
      <c r="BT660" s="468" t="str">
        <f>IFERROR(VLOOKUP(E660,名称!A:D,4,FALSE),"")</f>
        <v>RRM</v>
      </c>
    </row>
    <row r="661" s="425" customFormat="1" hidden="1" customHeight="1" spans="1:72">
      <c r="A661" s="108">
        <v>46179</v>
      </c>
      <c r="B661" s="109" t="s">
        <v>237</v>
      </c>
      <c r="C661" s="30">
        <v>10129036</v>
      </c>
      <c r="D661" s="110">
        <v>20219196</v>
      </c>
      <c r="E661" s="30" t="s">
        <v>222</v>
      </c>
      <c r="F661" s="31">
        <v>1000</v>
      </c>
      <c r="G661" s="286">
        <v>46302</v>
      </c>
      <c r="H661" s="443"/>
      <c r="I661" s="443"/>
      <c r="J661" s="443"/>
      <c r="K661" s="443"/>
      <c r="L661" s="443"/>
      <c r="M661" s="443"/>
      <c r="N661" s="443"/>
      <c r="O661" s="443"/>
      <c r="P661" s="443"/>
      <c r="Q661" s="443"/>
      <c r="R661" s="443"/>
      <c r="S661" s="443"/>
      <c r="T661" s="443"/>
      <c r="U661" s="443"/>
      <c r="V661" s="443"/>
      <c r="W661" s="443"/>
      <c r="X661" s="443"/>
      <c r="Y661" s="443"/>
      <c r="Z661" s="443"/>
      <c r="AA661" s="443"/>
      <c r="AB661" s="443"/>
      <c r="AC661" s="443"/>
      <c r="AD661" s="443"/>
      <c r="AE661" s="443"/>
      <c r="AF661" s="443"/>
      <c r="AG661" s="443"/>
      <c r="AH661" s="443"/>
      <c r="AI661" s="443"/>
      <c r="AJ661" s="443"/>
      <c r="AK661" s="443"/>
      <c r="AL661" s="443"/>
      <c r="AM661" s="443"/>
      <c r="AN661" s="443"/>
      <c r="AO661" s="443"/>
      <c r="AP661" s="443"/>
      <c r="AQ661" s="443"/>
      <c r="AR661" s="443"/>
      <c r="AS661" s="443"/>
      <c r="AT661" s="443"/>
      <c r="AU661" s="443"/>
      <c r="AV661" s="443"/>
      <c r="AW661" s="443"/>
      <c r="AX661" s="443"/>
      <c r="AY661" s="443"/>
      <c r="AZ661" s="443"/>
      <c r="BA661" s="443"/>
      <c r="BB661" s="443"/>
      <c r="BC661" s="443"/>
      <c r="BD661" s="443"/>
      <c r="BE661" s="443"/>
      <c r="BF661" s="443"/>
      <c r="BG661" s="442">
        <f>F661</f>
        <v>1000</v>
      </c>
      <c r="BH661" s="442"/>
      <c r="BI661" s="442"/>
      <c r="BJ661" s="442"/>
      <c r="BK661" s="442"/>
      <c r="BL661" s="442"/>
      <c r="BM661" s="442"/>
      <c r="BN661" s="442"/>
      <c r="BO661" s="443"/>
      <c r="BP661" s="111"/>
      <c r="BQ661" s="111">
        <v>4.944</v>
      </c>
      <c r="BR661" s="462">
        <f t="shared" si="65"/>
        <v>4944</v>
      </c>
      <c r="BS661" s="447">
        <f t="shared" si="66"/>
        <v>38316</v>
      </c>
      <c r="BT661" s="468" t="s">
        <v>128</v>
      </c>
    </row>
    <row r="662" s="425" customFormat="1" hidden="1" customHeight="1" spans="1:72">
      <c r="A662" s="108">
        <v>46179</v>
      </c>
      <c r="B662" s="109" t="s">
        <v>237</v>
      </c>
      <c r="C662" s="30">
        <v>10129036</v>
      </c>
      <c r="D662" s="110">
        <v>20219196</v>
      </c>
      <c r="E662" s="291" t="s">
        <v>225</v>
      </c>
      <c r="F662" s="466">
        <v>600</v>
      </c>
      <c r="G662" s="286">
        <v>46316</v>
      </c>
      <c r="H662" s="467"/>
      <c r="I662" s="467"/>
      <c r="J662" s="467"/>
      <c r="K662" s="467"/>
      <c r="L662" s="467"/>
      <c r="M662" s="467"/>
      <c r="N662" s="467"/>
      <c r="O662" s="467"/>
      <c r="P662" s="467"/>
      <c r="Q662" s="467"/>
      <c r="R662" s="467"/>
      <c r="S662" s="467"/>
      <c r="T662" s="467"/>
      <c r="U662" s="467"/>
      <c r="V662" s="467"/>
      <c r="W662" s="467"/>
      <c r="X662" s="467"/>
      <c r="Y662" s="467"/>
      <c r="Z662" s="467"/>
      <c r="AA662" s="467"/>
      <c r="AB662" s="467"/>
      <c r="AC662" s="467"/>
      <c r="AD662" s="467"/>
      <c r="AE662" s="467"/>
      <c r="AF662" s="467"/>
      <c r="AG662" s="467"/>
      <c r="AH662" s="467"/>
      <c r="AI662" s="467"/>
      <c r="AJ662" s="467"/>
      <c r="AK662" s="467"/>
      <c r="AL662" s="467"/>
      <c r="AM662" s="467"/>
      <c r="AN662" s="467"/>
      <c r="AO662" s="467"/>
      <c r="AP662" s="467"/>
      <c r="AQ662" s="467"/>
      <c r="AR662" s="467"/>
      <c r="AS662" s="467"/>
      <c r="AT662" s="467"/>
      <c r="AU662" s="467"/>
      <c r="AV662" s="467"/>
      <c r="AW662" s="467"/>
      <c r="AX662" s="467"/>
      <c r="AY662" s="467"/>
      <c r="AZ662" s="467"/>
      <c r="BA662" s="467"/>
      <c r="BB662" s="467"/>
      <c r="BC662" s="467"/>
      <c r="BD662" s="467"/>
      <c r="BE662" s="467"/>
      <c r="BF662" s="467"/>
      <c r="BG662" s="467"/>
      <c r="BH662" s="467"/>
      <c r="BI662" s="467"/>
      <c r="BJ662" s="468">
        <f>F662</f>
        <v>600</v>
      </c>
      <c r="BK662" s="468"/>
      <c r="BL662" s="468"/>
      <c r="BM662" s="468"/>
      <c r="BN662" s="468"/>
      <c r="BO662" s="467"/>
      <c r="BP662" s="293"/>
      <c r="BQ662" s="293">
        <v>5.774</v>
      </c>
      <c r="BR662" s="462">
        <f t="shared" si="65"/>
        <v>3464.4</v>
      </c>
      <c r="BS662" s="447">
        <f t="shared" si="66"/>
        <v>26849.1</v>
      </c>
      <c r="BT662" s="468" t="s">
        <v>128</v>
      </c>
    </row>
    <row r="663" s="425" customFormat="1" hidden="1" customHeight="1" spans="1:72">
      <c r="A663" s="108">
        <v>46179</v>
      </c>
      <c r="B663" s="109"/>
      <c r="C663" s="30">
        <v>4500032587</v>
      </c>
      <c r="D663" s="110"/>
      <c r="E663" s="291" t="s">
        <v>185</v>
      </c>
      <c r="F663" s="466">
        <v>7002</v>
      </c>
      <c r="G663" s="286"/>
      <c r="H663" s="467"/>
      <c r="I663" s="467"/>
      <c r="J663" s="467"/>
      <c r="K663" s="467"/>
      <c r="L663" s="467"/>
      <c r="M663" s="467"/>
      <c r="N663" s="467"/>
      <c r="O663" s="467"/>
      <c r="P663" s="467"/>
      <c r="Q663" s="467"/>
      <c r="R663" s="467"/>
      <c r="S663" s="467"/>
      <c r="T663" s="467"/>
      <c r="U663" s="467"/>
      <c r="V663" s="467"/>
      <c r="W663" s="467"/>
      <c r="X663" s="467"/>
      <c r="Y663" s="467"/>
      <c r="Z663" s="467"/>
      <c r="AA663" s="467"/>
      <c r="AB663" s="467"/>
      <c r="AC663" s="467"/>
      <c r="AD663" s="467"/>
      <c r="AE663" s="467"/>
      <c r="AF663" s="467"/>
      <c r="AG663" s="467"/>
      <c r="AH663" s="467"/>
      <c r="AI663" s="467"/>
      <c r="AJ663" s="467"/>
      <c r="AK663" s="467"/>
      <c r="AL663" s="467"/>
      <c r="AM663" s="467"/>
      <c r="AN663" s="467"/>
      <c r="AO663" s="467"/>
      <c r="AP663" s="467"/>
      <c r="AQ663" s="467"/>
      <c r="AR663" s="467"/>
      <c r="AS663" s="467"/>
      <c r="AT663" s="467"/>
      <c r="AU663" s="467"/>
      <c r="AV663" s="467"/>
      <c r="AW663" s="467"/>
      <c r="AX663" s="467"/>
      <c r="AY663" s="467"/>
      <c r="AZ663" s="467"/>
      <c r="BA663" s="467"/>
      <c r="BB663" s="467">
        <f>F663</f>
        <v>7002</v>
      </c>
      <c r="BC663" s="467"/>
      <c r="BD663" s="467"/>
      <c r="BE663" s="467"/>
      <c r="BF663" s="467"/>
      <c r="BG663" s="467"/>
      <c r="BH663" s="467"/>
      <c r="BI663" s="467"/>
      <c r="BJ663" s="468"/>
      <c r="BK663" s="468"/>
      <c r="BL663" s="468"/>
      <c r="BM663" s="468"/>
      <c r="BN663" s="468"/>
      <c r="BO663" s="467"/>
      <c r="BP663" s="293"/>
      <c r="BQ663" s="293">
        <v>25.96</v>
      </c>
      <c r="BR663" s="462">
        <f t="shared" si="65"/>
        <v>181771.92</v>
      </c>
      <c r="BS663" s="447">
        <f t="shared" si="66"/>
        <v>1408732.38</v>
      </c>
      <c r="BT663" s="468" t="str">
        <f>IFERROR(VLOOKUP(E663,名称!A:D,4,FALSE),"")</f>
        <v>RRM</v>
      </c>
    </row>
    <row r="664" s="425" customFormat="1" hidden="1" customHeight="1" spans="1:72">
      <c r="A664" s="108">
        <v>46182</v>
      </c>
      <c r="B664" s="109" t="s">
        <v>237</v>
      </c>
      <c r="C664" s="30">
        <v>10129125</v>
      </c>
      <c r="D664" s="110" t="s">
        <v>308</v>
      </c>
      <c r="E664" s="30" t="s">
        <v>228</v>
      </c>
      <c r="F664" s="31">
        <v>5000</v>
      </c>
      <c r="G664" s="286">
        <v>46302</v>
      </c>
      <c r="H664" s="443"/>
      <c r="I664" s="443"/>
      <c r="J664" s="443"/>
      <c r="K664" s="443"/>
      <c r="L664" s="443"/>
      <c r="M664" s="443"/>
      <c r="N664" s="443"/>
      <c r="O664" s="443"/>
      <c r="P664" s="443"/>
      <c r="Q664" s="443"/>
      <c r="R664" s="443"/>
      <c r="S664" s="443"/>
      <c r="T664" s="443"/>
      <c r="U664" s="443"/>
      <c r="V664" s="443"/>
      <c r="W664" s="443"/>
      <c r="X664" s="443"/>
      <c r="Y664" s="443"/>
      <c r="Z664" s="443"/>
      <c r="AA664" s="443"/>
      <c r="AB664" s="443"/>
      <c r="AC664" s="443"/>
      <c r="AD664" s="443"/>
      <c r="AE664" s="443"/>
      <c r="AF664" s="443"/>
      <c r="AG664" s="443"/>
      <c r="AH664" s="443"/>
      <c r="AI664" s="443"/>
      <c r="AJ664" s="443"/>
      <c r="AK664" s="443"/>
      <c r="AL664" s="443"/>
      <c r="AM664" s="443"/>
      <c r="AN664" s="443"/>
      <c r="AO664" s="443"/>
      <c r="AP664" s="443"/>
      <c r="AQ664" s="443"/>
      <c r="AR664" s="443"/>
      <c r="AS664" s="443"/>
      <c r="AT664" s="443"/>
      <c r="AU664" s="443"/>
      <c r="AV664" s="443"/>
      <c r="AW664" s="443"/>
      <c r="AX664" s="443"/>
      <c r="AY664" s="443"/>
      <c r="AZ664" s="443"/>
      <c r="BA664" s="443"/>
      <c r="BB664" s="443"/>
      <c r="BC664" s="443"/>
      <c r="BD664" s="443"/>
      <c r="BE664" s="443"/>
      <c r="BF664" s="443"/>
      <c r="BG664" s="443"/>
      <c r="BH664" s="443"/>
      <c r="BI664" s="443"/>
      <c r="BJ664" s="443"/>
      <c r="BK664" s="443"/>
      <c r="BL664" s="443"/>
      <c r="BM664" s="443">
        <f>F664</f>
        <v>5000</v>
      </c>
      <c r="BN664" s="443"/>
      <c r="BO664" s="443"/>
      <c r="BP664" s="111"/>
      <c r="BQ664" s="111">
        <v>4.944</v>
      </c>
      <c r="BR664" s="462">
        <f t="shared" si="65"/>
        <v>24720</v>
      </c>
      <c r="BS664" s="447">
        <f t="shared" si="66"/>
        <v>191580</v>
      </c>
      <c r="BT664" s="468" t="s">
        <v>128</v>
      </c>
    </row>
    <row r="665" s="425" customFormat="1" hidden="1" customHeight="1" spans="1:72">
      <c r="A665" s="108">
        <v>46182</v>
      </c>
      <c r="B665" s="109" t="s">
        <v>237</v>
      </c>
      <c r="C665" s="30">
        <v>10129127</v>
      </c>
      <c r="D665" s="110" t="s">
        <v>309</v>
      </c>
      <c r="E665" s="30" t="s">
        <v>31</v>
      </c>
      <c r="F665" s="31">
        <v>2500</v>
      </c>
      <c r="G665" s="286">
        <v>46309</v>
      </c>
      <c r="H665" s="443"/>
      <c r="I665" s="443"/>
      <c r="J665" s="443"/>
      <c r="K665" s="443"/>
      <c r="L665" s="443"/>
      <c r="M665" s="443"/>
      <c r="N665" s="443"/>
      <c r="O665" s="443"/>
      <c r="P665" s="443"/>
      <c r="Q665" s="443"/>
      <c r="R665" s="443"/>
      <c r="S665" s="443"/>
      <c r="T665" s="443"/>
      <c r="U665" s="443"/>
      <c r="V665" s="443"/>
      <c r="W665" s="443"/>
      <c r="X665" s="443"/>
      <c r="Y665" s="443"/>
      <c r="Z665" s="442">
        <f>F665</f>
        <v>2500</v>
      </c>
      <c r="AA665" s="443"/>
      <c r="AB665" s="443"/>
      <c r="AC665" s="443"/>
      <c r="AD665" s="443"/>
      <c r="AE665" s="443"/>
      <c r="AF665" s="443"/>
      <c r="AG665" s="443"/>
      <c r="AH665" s="443"/>
      <c r="AI665" s="443"/>
      <c r="AJ665" s="443"/>
      <c r="AK665" s="443"/>
      <c r="AL665" s="443"/>
      <c r="AM665" s="443"/>
      <c r="AN665" s="443"/>
      <c r="AO665" s="443"/>
      <c r="AP665" s="443"/>
      <c r="AQ665" s="443"/>
      <c r="AR665" s="443"/>
      <c r="AS665" s="443"/>
      <c r="AT665" s="443"/>
      <c r="AU665" s="443"/>
      <c r="AV665" s="443"/>
      <c r="AW665" s="443"/>
      <c r="AX665" s="443"/>
      <c r="AY665" s="443"/>
      <c r="AZ665" s="443"/>
      <c r="BA665" s="443"/>
      <c r="BB665" s="443"/>
      <c r="BC665" s="443"/>
      <c r="BD665" s="443"/>
      <c r="BE665" s="443"/>
      <c r="BF665" s="443"/>
      <c r="BG665" s="443"/>
      <c r="BH665" s="443"/>
      <c r="BI665" s="443"/>
      <c r="BJ665" s="443"/>
      <c r="BK665" s="443"/>
      <c r="BL665" s="443"/>
      <c r="BM665" s="443"/>
      <c r="BN665" s="443"/>
      <c r="BO665" s="443"/>
      <c r="BP665" s="111"/>
      <c r="BQ665" s="111">
        <v>29.801</v>
      </c>
      <c r="BR665" s="462">
        <f t="shared" si="65"/>
        <v>74502.5</v>
      </c>
      <c r="BS665" s="447">
        <f t="shared" si="66"/>
        <v>577394.38</v>
      </c>
      <c r="BT665" s="468" t="str">
        <f>IFERROR(VLOOKUP(E665,名称!A:D,4,FALSE),"")</f>
        <v>KIK</v>
      </c>
    </row>
    <row r="666" s="425" customFormat="1" hidden="1" customHeight="1" spans="1:72">
      <c r="A666" s="108">
        <v>46182</v>
      </c>
      <c r="B666" s="109" t="s">
        <v>237</v>
      </c>
      <c r="C666" s="30">
        <v>10129130</v>
      </c>
      <c r="D666" s="110" t="s">
        <v>310</v>
      </c>
      <c r="E666" s="30" t="s">
        <v>222</v>
      </c>
      <c r="F666" s="31">
        <v>4000</v>
      </c>
      <c r="G666" s="286">
        <v>46302</v>
      </c>
      <c r="H666" s="443"/>
      <c r="I666" s="443"/>
      <c r="J666" s="443"/>
      <c r="K666" s="443"/>
      <c r="L666" s="443"/>
      <c r="M666" s="443"/>
      <c r="N666" s="443"/>
      <c r="O666" s="443"/>
      <c r="P666" s="443"/>
      <c r="Q666" s="443"/>
      <c r="R666" s="443"/>
      <c r="S666" s="443"/>
      <c r="T666" s="443"/>
      <c r="U666" s="443"/>
      <c r="V666" s="443"/>
      <c r="W666" s="443"/>
      <c r="X666" s="443"/>
      <c r="Y666" s="443"/>
      <c r="Z666" s="443"/>
      <c r="AA666" s="443"/>
      <c r="AB666" s="443"/>
      <c r="AC666" s="443"/>
      <c r="AD666" s="443"/>
      <c r="AE666" s="443"/>
      <c r="AF666" s="443"/>
      <c r="AG666" s="443"/>
      <c r="AH666" s="443"/>
      <c r="AI666" s="443"/>
      <c r="AJ666" s="443"/>
      <c r="AK666" s="443"/>
      <c r="AL666" s="443"/>
      <c r="AM666" s="443"/>
      <c r="AN666" s="443"/>
      <c r="AO666" s="443"/>
      <c r="AP666" s="443"/>
      <c r="AQ666" s="443"/>
      <c r="AR666" s="443"/>
      <c r="AS666" s="443"/>
      <c r="AT666" s="443"/>
      <c r="AU666" s="443"/>
      <c r="AV666" s="443"/>
      <c r="AW666" s="443"/>
      <c r="AX666" s="443"/>
      <c r="AY666" s="443"/>
      <c r="AZ666" s="443"/>
      <c r="BA666" s="443"/>
      <c r="BB666" s="443"/>
      <c r="BC666" s="443"/>
      <c r="BD666" s="443"/>
      <c r="BE666" s="443"/>
      <c r="BF666" s="443"/>
      <c r="BG666" s="443">
        <f>F666</f>
        <v>4000</v>
      </c>
      <c r="BH666" s="443"/>
      <c r="BI666" s="443"/>
      <c r="BJ666" s="443"/>
      <c r="BK666" s="443"/>
      <c r="BL666" s="443"/>
      <c r="BM666" s="443"/>
      <c r="BN666" s="443"/>
      <c r="BO666" s="443"/>
      <c r="BP666" s="111"/>
      <c r="BQ666" s="111">
        <v>4.944</v>
      </c>
      <c r="BR666" s="462">
        <f t="shared" si="65"/>
        <v>19776</v>
      </c>
      <c r="BS666" s="447">
        <f t="shared" si="66"/>
        <v>153264</v>
      </c>
      <c r="BT666" s="442" t="s">
        <v>128</v>
      </c>
    </row>
    <row r="667" s="425" customFormat="1" hidden="1" customHeight="1" spans="1:72">
      <c r="A667" s="108">
        <v>46182</v>
      </c>
      <c r="B667" s="109" t="s">
        <v>237</v>
      </c>
      <c r="C667" s="30">
        <v>10129130</v>
      </c>
      <c r="D667" s="110" t="s">
        <v>310</v>
      </c>
      <c r="E667" s="30" t="s">
        <v>225</v>
      </c>
      <c r="F667" s="31">
        <v>4400</v>
      </c>
      <c r="G667" s="286">
        <v>46316</v>
      </c>
      <c r="H667" s="443"/>
      <c r="I667" s="443"/>
      <c r="J667" s="443"/>
      <c r="K667" s="443"/>
      <c r="L667" s="443"/>
      <c r="M667" s="443"/>
      <c r="N667" s="443"/>
      <c r="O667" s="443"/>
      <c r="P667" s="443"/>
      <c r="Q667" s="443"/>
      <c r="R667" s="443"/>
      <c r="S667" s="443"/>
      <c r="T667" s="443"/>
      <c r="U667" s="443"/>
      <c r="V667" s="443"/>
      <c r="W667" s="443"/>
      <c r="X667" s="443"/>
      <c r="Y667" s="443"/>
      <c r="Z667" s="443"/>
      <c r="AA667" s="443"/>
      <c r="AB667" s="443"/>
      <c r="AC667" s="443"/>
      <c r="AD667" s="443"/>
      <c r="AE667" s="443"/>
      <c r="AF667" s="443"/>
      <c r="AG667" s="443"/>
      <c r="AH667" s="443"/>
      <c r="AI667" s="443"/>
      <c r="AJ667" s="443"/>
      <c r="AK667" s="443"/>
      <c r="AL667" s="443"/>
      <c r="AM667" s="443"/>
      <c r="AN667" s="443"/>
      <c r="AO667" s="443"/>
      <c r="AP667" s="443"/>
      <c r="AQ667" s="443"/>
      <c r="AR667" s="443"/>
      <c r="AS667" s="443"/>
      <c r="AT667" s="443"/>
      <c r="AU667" s="443"/>
      <c r="AV667" s="443"/>
      <c r="AW667" s="443"/>
      <c r="AX667" s="443"/>
      <c r="AY667" s="443"/>
      <c r="AZ667" s="443"/>
      <c r="BA667" s="443"/>
      <c r="BB667" s="443"/>
      <c r="BC667" s="443"/>
      <c r="BD667" s="443"/>
      <c r="BE667" s="443"/>
      <c r="BF667" s="443"/>
      <c r="BG667" s="443"/>
      <c r="BH667" s="443"/>
      <c r="BI667" s="443"/>
      <c r="BJ667" s="443">
        <f>F667</f>
        <v>4400</v>
      </c>
      <c r="BK667" s="443"/>
      <c r="BL667" s="443"/>
      <c r="BM667" s="443"/>
      <c r="BN667" s="443"/>
      <c r="BO667" s="443"/>
      <c r="BP667" s="111"/>
      <c r="BQ667" s="111">
        <v>5.774</v>
      </c>
      <c r="BR667" s="462">
        <f t="shared" si="65"/>
        <v>25405.6</v>
      </c>
      <c r="BS667" s="447">
        <f t="shared" si="66"/>
        <v>196893.4</v>
      </c>
      <c r="BT667" s="442" t="s">
        <v>128</v>
      </c>
    </row>
    <row r="668" s="425" customFormat="1" hidden="1" customHeight="1" spans="1:72">
      <c r="A668" s="108">
        <v>46185</v>
      </c>
      <c r="B668" s="109" t="s">
        <v>235</v>
      </c>
      <c r="C668" s="30">
        <v>10129303</v>
      </c>
      <c r="D668" s="110">
        <v>4500032948</v>
      </c>
      <c r="E668" s="30" t="s">
        <v>137</v>
      </c>
      <c r="F668" s="31">
        <v>1800</v>
      </c>
      <c r="G668" s="286">
        <v>46281</v>
      </c>
      <c r="H668" s="443"/>
      <c r="I668" s="443"/>
      <c r="J668" s="443"/>
      <c r="K668" s="443"/>
      <c r="L668" s="443"/>
      <c r="M668" s="443"/>
      <c r="N668" s="443"/>
      <c r="O668" s="443"/>
      <c r="P668" s="443"/>
      <c r="Q668" s="443"/>
      <c r="R668" s="443"/>
      <c r="S668" s="443"/>
      <c r="T668" s="443"/>
      <c r="U668" s="443"/>
      <c r="V668" s="443"/>
      <c r="W668" s="443"/>
      <c r="X668" s="443"/>
      <c r="Y668" s="443"/>
      <c r="Z668" s="443"/>
      <c r="AA668" s="443"/>
      <c r="AB668" s="443"/>
      <c r="AC668" s="443"/>
      <c r="AD668" s="443"/>
      <c r="AE668" s="443"/>
      <c r="AF668" s="443"/>
      <c r="AG668" s="443"/>
      <c r="AH668" s="443"/>
      <c r="AI668" s="443"/>
      <c r="AJ668" s="443"/>
      <c r="AK668" s="443"/>
      <c r="AL668" s="443"/>
      <c r="AM668" s="443"/>
      <c r="AN668" s="443"/>
      <c r="AO668" s="443"/>
      <c r="AP668" s="443"/>
      <c r="AQ668" s="443"/>
      <c r="AR668" s="443"/>
      <c r="AS668" s="443"/>
      <c r="AT668" s="443">
        <f>F668</f>
        <v>1800</v>
      </c>
      <c r="AU668" s="443"/>
      <c r="AV668" s="443"/>
      <c r="AW668" s="443"/>
      <c r="AX668" s="443"/>
      <c r="AY668" s="443"/>
      <c r="AZ668" s="443"/>
      <c r="BA668" s="443"/>
      <c r="BB668" s="443"/>
      <c r="BC668" s="443"/>
      <c r="BD668" s="443"/>
      <c r="BE668" s="443"/>
      <c r="BF668" s="443"/>
      <c r="BG668" s="443"/>
      <c r="BH668" s="443"/>
      <c r="BI668" s="443"/>
      <c r="BJ668" s="443"/>
      <c r="BK668" s="443"/>
      <c r="BL668" s="443"/>
      <c r="BM668" s="443"/>
      <c r="BN668" s="443"/>
      <c r="BO668" s="443"/>
      <c r="BP668" s="92"/>
      <c r="BQ668" s="92">
        <v>4.081</v>
      </c>
      <c r="BR668" s="462">
        <f t="shared" si="65"/>
        <v>7345.8</v>
      </c>
      <c r="BS668" s="447">
        <f t="shared" si="66"/>
        <v>56929.95</v>
      </c>
      <c r="BT668" s="468" t="str">
        <f>IFERROR(VLOOKUP(E668,名称!A:D,4,FALSE),"")</f>
        <v>RRM</v>
      </c>
    </row>
    <row r="669" s="425" customFormat="1" hidden="1" customHeight="1" spans="1:72">
      <c r="A669" s="108">
        <v>46186</v>
      </c>
      <c r="B669" s="109" t="s">
        <v>235</v>
      </c>
      <c r="C669" s="30">
        <v>10129356</v>
      </c>
      <c r="D669" s="110">
        <v>4500032955</v>
      </c>
      <c r="E669" s="30" t="s">
        <v>225</v>
      </c>
      <c r="F669" s="31">
        <v>2500</v>
      </c>
      <c r="G669" s="286">
        <v>46323</v>
      </c>
      <c r="H669" s="443"/>
      <c r="I669" s="443"/>
      <c r="J669" s="443"/>
      <c r="K669" s="443"/>
      <c r="L669" s="443"/>
      <c r="M669" s="443"/>
      <c r="N669" s="443"/>
      <c r="O669" s="443"/>
      <c r="P669" s="443"/>
      <c r="Q669" s="443"/>
      <c r="R669" s="443"/>
      <c r="S669" s="443"/>
      <c r="T669" s="443"/>
      <c r="U669" s="443"/>
      <c r="V669" s="443"/>
      <c r="W669" s="443"/>
      <c r="X669" s="443"/>
      <c r="Y669" s="443"/>
      <c r="Z669" s="443"/>
      <c r="AA669" s="443"/>
      <c r="AB669" s="443"/>
      <c r="AC669" s="443"/>
      <c r="AD669" s="443"/>
      <c r="AE669" s="443"/>
      <c r="AF669" s="443"/>
      <c r="AG669" s="443"/>
      <c r="AH669" s="443"/>
      <c r="AI669" s="443"/>
      <c r="AJ669" s="443"/>
      <c r="AK669" s="443"/>
      <c r="AL669" s="443"/>
      <c r="AM669" s="443"/>
      <c r="AN669" s="443"/>
      <c r="AO669" s="443"/>
      <c r="AP669" s="443"/>
      <c r="AQ669" s="443"/>
      <c r="AR669" s="443"/>
      <c r="AS669" s="443"/>
      <c r="AT669" s="443"/>
      <c r="AU669" s="443"/>
      <c r="AV669" s="443"/>
      <c r="AW669" s="443"/>
      <c r="AX669" s="443"/>
      <c r="AY669" s="443"/>
      <c r="AZ669" s="443"/>
      <c r="BA669" s="443"/>
      <c r="BB669" s="443"/>
      <c r="BC669" s="443"/>
      <c r="BD669" s="443"/>
      <c r="BE669" s="443"/>
      <c r="BF669" s="443"/>
      <c r="BG669" s="443"/>
      <c r="BH669" s="443"/>
      <c r="BI669" s="443"/>
      <c r="BJ669" s="443">
        <f>F669</f>
        <v>2500</v>
      </c>
      <c r="BK669" s="443"/>
      <c r="BL669" s="443"/>
      <c r="BM669" s="443"/>
      <c r="BN669" s="443"/>
      <c r="BO669" s="443"/>
      <c r="BP669" s="111"/>
      <c r="BQ669" s="111">
        <v>5.774</v>
      </c>
      <c r="BR669" s="462">
        <f t="shared" si="65"/>
        <v>14435</v>
      </c>
      <c r="BS669" s="447">
        <f t="shared" si="66"/>
        <v>111871.25</v>
      </c>
      <c r="BT669" s="442" t="s">
        <v>128</v>
      </c>
    </row>
    <row r="670" s="425" customFormat="1" hidden="1" customHeight="1" spans="1:72">
      <c r="A670" s="108">
        <v>46186</v>
      </c>
      <c r="B670" s="109" t="s">
        <v>235</v>
      </c>
      <c r="C670" s="30">
        <v>10129356</v>
      </c>
      <c r="D670" s="110">
        <v>4500032955</v>
      </c>
      <c r="E670" s="30" t="s">
        <v>225</v>
      </c>
      <c r="F670" s="31">
        <v>2500</v>
      </c>
      <c r="G670" s="286">
        <v>46323</v>
      </c>
      <c r="H670" s="443"/>
      <c r="I670" s="443"/>
      <c r="J670" s="443"/>
      <c r="K670" s="443"/>
      <c r="L670" s="443"/>
      <c r="M670" s="443"/>
      <c r="N670" s="443"/>
      <c r="O670" s="443"/>
      <c r="P670" s="443"/>
      <c r="Q670" s="443"/>
      <c r="R670" s="443"/>
      <c r="S670" s="443"/>
      <c r="T670" s="443"/>
      <c r="U670" s="443"/>
      <c r="V670" s="443"/>
      <c r="W670" s="443"/>
      <c r="X670" s="443"/>
      <c r="Y670" s="443"/>
      <c r="Z670" s="443"/>
      <c r="AA670" s="443"/>
      <c r="AB670" s="443"/>
      <c r="AC670" s="443"/>
      <c r="AD670" s="443"/>
      <c r="AE670" s="443"/>
      <c r="AF670" s="443"/>
      <c r="AG670" s="443"/>
      <c r="AH670" s="443"/>
      <c r="AI670" s="443"/>
      <c r="AJ670" s="443"/>
      <c r="AK670" s="443"/>
      <c r="AL670" s="443"/>
      <c r="AM670" s="443"/>
      <c r="AN670" s="443"/>
      <c r="AO670" s="443"/>
      <c r="AP670" s="443"/>
      <c r="AQ670" s="443"/>
      <c r="AR670" s="443"/>
      <c r="AS670" s="443"/>
      <c r="AT670" s="443"/>
      <c r="AU670" s="443"/>
      <c r="AV670" s="443"/>
      <c r="AW670" s="443"/>
      <c r="AX670" s="443"/>
      <c r="AY670" s="443"/>
      <c r="AZ670" s="443"/>
      <c r="BA670" s="443"/>
      <c r="BB670" s="443"/>
      <c r="BC670" s="443"/>
      <c r="BD670" s="443"/>
      <c r="BE670" s="443"/>
      <c r="BF670" s="443"/>
      <c r="BG670" s="443"/>
      <c r="BH670" s="443"/>
      <c r="BI670" s="443"/>
      <c r="BJ670" s="443">
        <f>F670</f>
        <v>2500</v>
      </c>
      <c r="BK670" s="443"/>
      <c r="BL670" s="443"/>
      <c r="BM670" s="443"/>
      <c r="BN670" s="443"/>
      <c r="BO670" s="443"/>
      <c r="BP670" s="111"/>
      <c r="BQ670" s="111">
        <v>5.774</v>
      </c>
      <c r="BR670" s="462">
        <f t="shared" si="65"/>
        <v>14435</v>
      </c>
      <c r="BS670" s="447">
        <f t="shared" si="66"/>
        <v>111871.25</v>
      </c>
      <c r="BT670" s="442" t="s">
        <v>128</v>
      </c>
    </row>
    <row r="671" s="425" customFormat="1" hidden="1" customHeight="1" spans="1:72">
      <c r="A671" s="108">
        <v>46186</v>
      </c>
      <c r="B671" s="109" t="s">
        <v>237</v>
      </c>
      <c r="C671" s="30">
        <v>10129448</v>
      </c>
      <c r="D671" s="110" t="s">
        <v>311</v>
      </c>
      <c r="E671" s="30" t="s">
        <v>184</v>
      </c>
      <c r="F671" s="31">
        <v>5000</v>
      </c>
      <c r="G671" s="286">
        <v>46281</v>
      </c>
      <c r="H671" s="443"/>
      <c r="I671" s="443"/>
      <c r="J671" s="443"/>
      <c r="K671" s="443"/>
      <c r="L671" s="443"/>
      <c r="M671" s="443"/>
      <c r="N671" s="443"/>
      <c r="O671" s="443"/>
      <c r="P671" s="443"/>
      <c r="Q671" s="443"/>
      <c r="R671" s="443"/>
      <c r="S671" s="443"/>
      <c r="T671" s="443"/>
      <c r="U671" s="443"/>
      <c r="V671" s="443"/>
      <c r="W671" s="443"/>
      <c r="X671" s="443"/>
      <c r="Y671" s="443"/>
      <c r="Z671" s="443"/>
      <c r="AA671" s="443"/>
      <c r="AB671" s="443"/>
      <c r="AC671" s="443"/>
      <c r="AD671" s="443"/>
      <c r="AE671" s="443"/>
      <c r="AF671" s="443"/>
      <c r="AG671" s="443"/>
      <c r="AH671" s="443"/>
      <c r="AI671" s="442">
        <f>F671</f>
        <v>5000</v>
      </c>
      <c r="AJ671" s="443"/>
      <c r="AK671" s="443"/>
      <c r="AL671" s="443"/>
      <c r="AM671" s="443"/>
      <c r="AN671" s="443"/>
      <c r="AO671" s="443"/>
      <c r="AP671" s="443"/>
      <c r="AQ671" s="443"/>
      <c r="AR671" s="443"/>
      <c r="AS671" s="443"/>
      <c r="AT671" s="443"/>
      <c r="AU671" s="443"/>
      <c r="AV671" s="443"/>
      <c r="AW671" s="443"/>
      <c r="AX671" s="443"/>
      <c r="AY671" s="443"/>
      <c r="AZ671" s="443"/>
      <c r="BA671" s="443"/>
      <c r="BB671" s="443"/>
      <c r="BC671" s="443"/>
      <c r="BD671" s="443"/>
      <c r="BE671" s="443"/>
      <c r="BF671" s="443"/>
      <c r="BG671" s="443"/>
      <c r="BH671" s="443"/>
      <c r="BI671" s="443"/>
      <c r="BJ671" s="443"/>
      <c r="BK671" s="443"/>
      <c r="BL671" s="443"/>
      <c r="BM671" s="443"/>
      <c r="BN671" s="443"/>
      <c r="BO671" s="443"/>
      <c r="BP671" s="92"/>
      <c r="BQ671" s="92">
        <v>3.354</v>
      </c>
      <c r="BR671" s="462">
        <f t="shared" si="65"/>
        <v>16770</v>
      </c>
      <c r="BS671" s="447">
        <f t="shared" si="66"/>
        <v>129967.5</v>
      </c>
      <c r="BT671" s="443" t="str">
        <f>IFERROR(VLOOKUP(E671,名称!A:D,4,FALSE),"")</f>
        <v>KIK</v>
      </c>
    </row>
    <row r="672" s="425" customFormat="1" hidden="1" customHeight="1" spans="1:72">
      <c r="A672" s="108">
        <v>46190</v>
      </c>
      <c r="B672" s="285" t="s">
        <v>236</v>
      </c>
      <c r="C672" s="30">
        <v>10129719</v>
      </c>
      <c r="D672" s="110">
        <v>20219208</v>
      </c>
      <c r="E672" s="253" t="s">
        <v>31</v>
      </c>
      <c r="F672" s="31">
        <v>120</v>
      </c>
      <c r="G672" s="286">
        <v>46309</v>
      </c>
      <c r="H672" s="443"/>
      <c r="I672" s="443"/>
      <c r="J672" s="443"/>
      <c r="K672" s="443"/>
      <c r="L672" s="443"/>
      <c r="M672" s="443"/>
      <c r="N672" s="443"/>
      <c r="O672" s="443"/>
      <c r="P672" s="443"/>
      <c r="Q672" s="443"/>
      <c r="R672" s="443"/>
      <c r="S672" s="443"/>
      <c r="T672" s="443"/>
      <c r="U672" s="443"/>
      <c r="V672" s="443"/>
      <c r="W672" s="443"/>
      <c r="X672" s="443"/>
      <c r="Y672" s="443"/>
      <c r="Z672" s="443">
        <f>F672</f>
        <v>120</v>
      </c>
      <c r="AA672" s="443"/>
      <c r="AB672" s="443"/>
      <c r="AC672" s="443"/>
      <c r="AD672" s="443"/>
      <c r="AE672" s="443"/>
      <c r="AF672" s="443"/>
      <c r="AG672" s="443"/>
      <c r="AH672" s="443"/>
      <c r="AI672" s="443"/>
      <c r="AJ672" s="443"/>
      <c r="AK672" s="443"/>
      <c r="AL672" s="443"/>
      <c r="AM672" s="443"/>
      <c r="AN672" s="443"/>
      <c r="AO672" s="443"/>
      <c r="AP672" s="443"/>
      <c r="AQ672" s="443"/>
      <c r="AR672" s="443"/>
      <c r="AS672" s="443"/>
      <c r="AT672" s="443"/>
      <c r="AU672" s="443"/>
      <c r="AV672" s="443"/>
      <c r="AW672" s="443"/>
      <c r="AX672" s="443"/>
      <c r="AY672" s="443"/>
      <c r="AZ672" s="443"/>
      <c r="BA672" s="443"/>
      <c r="BB672" s="443"/>
      <c r="BC672" s="443"/>
      <c r="BD672" s="443"/>
      <c r="BE672" s="443"/>
      <c r="BF672" s="443"/>
      <c r="BG672" s="443"/>
      <c r="BH672" s="443"/>
      <c r="BI672" s="443"/>
      <c r="BJ672" s="443"/>
      <c r="BK672" s="443"/>
      <c r="BL672" s="443"/>
      <c r="BM672" s="443"/>
      <c r="BN672" s="443"/>
      <c r="BO672" s="443"/>
      <c r="BP672" s="111"/>
      <c r="BQ672" s="111">
        <v>29.801</v>
      </c>
      <c r="BR672" s="462">
        <f t="shared" si="65"/>
        <v>3576.12</v>
      </c>
      <c r="BS672" s="447">
        <f t="shared" si="66"/>
        <v>27714.93</v>
      </c>
      <c r="BT672" s="443" t="str">
        <f>IFERROR(VLOOKUP(E672,名称!A:D,4,FALSE),"")</f>
        <v>KIK</v>
      </c>
    </row>
    <row r="673" s="425" customFormat="1" hidden="1" customHeight="1" spans="1:72">
      <c r="A673" s="108">
        <v>46191</v>
      </c>
      <c r="B673" s="109" t="s">
        <v>237</v>
      </c>
      <c r="C673" s="30">
        <v>10129450</v>
      </c>
      <c r="D673" s="297" t="s">
        <v>312</v>
      </c>
      <c r="E673" s="253" t="s">
        <v>115</v>
      </c>
      <c r="F673" s="31">
        <v>5000</v>
      </c>
      <c r="G673" s="286">
        <v>46267</v>
      </c>
      <c r="H673" s="443"/>
      <c r="I673" s="443"/>
      <c r="J673" s="443"/>
      <c r="K673" s="443"/>
      <c r="L673" s="443"/>
      <c r="M673" s="443"/>
      <c r="N673" s="443"/>
      <c r="O673" s="443"/>
      <c r="P673" s="443"/>
      <c r="Q673" s="443"/>
      <c r="R673" s="443"/>
      <c r="S673" s="443"/>
      <c r="T673" s="443"/>
      <c r="U673" s="443"/>
      <c r="V673" s="443"/>
      <c r="W673" s="443"/>
      <c r="X673" s="443"/>
      <c r="Y673" s="443"/>
      <c r="Z673" s="443"/>
      <c r="AA673" s="443"/>
      <c r="AB673" s="443"/>
      <c r="AC673" s="443"/>
      <c r="AD673" s="443"/>
      <c r="AE673" s="443"/>
      <c r="AF673" s="443"/>
      <c r="AG673" s="443"/>
      <c r="AH673" s="443"/>
      <c r="AI673" s="443"/>
      <c r="AJ673" s="443"/>
      <c r="AK673" s="443"/>
      <c r="AL673" s="443"/>
      <c r="AM673" s="443"/>
      <c r="AN673" s="443"/>
      <c r="AO673" s="443">
        <f>F673</f>
        <v>5000</v>
      </c>
      <c r="AP673" s="443"/>
      <c r="AQ673" s="443"/>
      <c r="AR673" s="443"/>
      <c r="AS673" s="443"/>
      <c r="AT673" s="443"/>
      <c r="AU673" s="443"/>
      <c r="AV673" s="443"/>
      <c r="AW673" s="443"/>
      <c r="AX673" s="443"/>
      <c r="AY673" s="443"/>
      <c r="AZ673" s="443"/>
      <c r="BA673" s="443"/>
      <c r="BB673" s="443"/>
      <c r="BC673" s="443"/>
      <c r="BD673" s="443"/>
      <c r="BE673" s="443"/>
      <c r="BF673" s="443"/>
      <c r="BG673" s="443"/>
      <c r="BH673" s="443"/>
      <c r="BI673" s="443"/>
      <c r="BJ673" s="443"/>
      <c r="BK673" s="443"/>
      <c r="BL673" s="443"/>
      <c r="BM673" s="443"/>
      <c r="BN673" s="443"/>
      <c r="BO673" s="443"/>
      <c r="BP673" s="111"/>
      <c r="BQ673" s="111">
        <v>2.204</v>
      </c>
      <c r="BR673" s="462">
        <f t="shared" si="65"/>
        <v>11020</v>
      </c>
      <c r="BS673" s="447">
        <f t="shared" si="66"/>
        <v>85405</v>
      </c>
      <c r="BT673" s="443" t="str">
        <f>IFERROR(VLOOKUP(E673,名称!A:D,4,FALSE),"")</f>
        <v>KIK</v>
      </c>
    </row>
    <row r="674" s="425" customFormat="1" hidden="1" customHeight="1" spans="1:72">
      <c r="A674" s="108">
        <v>46191</v>
      </c>
      <c r="B674" s="109" t="s">
        <v>237</v>
      </c>
      <c r="C674" s="30">
        <v>10129993</v>
      </c>
      <c r="D674" s="297" t="s">
        <v>313</v>
      </c>
      <c r="E674" s="253" t="s">
        <v>88</v>
      </c>
      <c r="F674" s="31">
        <v>25002</v>
      </c>
      <c r="G674" s="286">
        <v>46267</v>
      </c>
      <c r="H674" s="443"/>
      <c r="I674" s="443"/>
      <c r="J674" s="443"/>
      <c r="K674" s="443"/>
      <c r="L674" s="443"/>
      <c r="M674" s="443"/>
      <c r="N674" s="443"/>
      <c r="O674" s="443"/>
      <c r="P674" s="443"/>
      <c r="Q674" s="443"/>
      <c r="R674" s="443"/>
      <c r="S674" s="443"/>
      <c r="T674" s="443"/>
      <c r="U674" s="443"/>
      <c r="V674" s="443"/>
      <c r="W674" s="443"/>
      <c r="X674" s="443"/>
      <c r="Y674" s="443"/>
      <c r="Z674" s="443"/>
      <c r="AA674" s="443"/>
      <c r="AB674" s="443"/>
      <c r="AC674" s="443"/>
      <c r="AD674" s="443"/>
      <c r="AE674" s="443">
        <f>F674</f>
        <v>25002</v>
      </c>
      <c r="AF674" s="443"/>
      <c r="AG674" s="443"/>
      <c r="AH674" s="443"/>
      <c r="AI674" s="443"/>
      <c r="AJ674" s="443"/>
      <c r="AK674" s="443"/>
      <c r="AL674" s="443"/>
      <c r="AM674" s="443"/>
      <c r="AN674" s="443"/>
      <c r="AO674" s="443"/>
      <c r="AP674" s="443"/>
      <c r="AQ674" s="443"/>
      <c r="AR674" s="443"/>
      <c r="AS674" s="443"/>
      <c r="AT674" s="443"/>
      <c r="AU674" s="443"/>
      <c r="AV674" s="443"/>
      <c r="AW674" s="443"/>
      <c r="AX674" s="443"/>
      <c r="AY674" s="443"/>
      <c r="AZ674" s="443"/>
      <c r="BA674" s="443"/>
      <c r="BB674" s="443"/>
      <c r="BC674" s="443"/>
      <c r="BD674" s="443"/>
      <c r="BE674" s="443"/>
      <c r="BF674" s="443"/>
      <c r="BG674" s="443"/>
      <c r="BH674" s="443"/>
      <c r="BI674" s="443"/>
      <c r="BJ674" s="443"/>
      <c r="BK674" s="443"/>
      <c r="BL674" s="443"/>
      <c r="BM674" s="443"/>
      <c r="BN674" s="443"/>
      <c r="BO674" s="443"/>
      <c r="BP674" s="111"/>
      <c r="BQ674" s="111">
        <v>0.963</v>
      </c>
      <c r="BR674" s="462">
        <f t="shared" si="65"/>
        <v>24076.93</v>
      </c>
      <c r="BS674" s="447">
        <f t="shared" si="66"/>
        <v>186596.21</v>
      </c>
      <c r="BT674" s="468" t="str">
        <f>IFERROR(VLOOKUP(E674,名称!A:D,4,FALSE),"")</f>
        <v>KIK</v>
      </c>
    </row>
    <row r="675" s="425" customFormat="1" hidden="1" customHeight="1" spans="1:72">
      <c r="A675" s="108">
        <v>46195</v>
      </c>
      <c r="B675" s="285" t="s">
        <v>242</v>
      </c>
      <c r="C675" s="30">
        <v>10130036</v>
      </c>
      <c r="D675" s="110">
        <v>2.02606160050053e+19</v>
      </c>
      <c r="E675" s="253" t="s">
        <v>131</v>
      </c>
      <c r="F675" s="31">
        <v>1500</v>
      </c>
      <c r="G675" s="286">
        <v>46286</v>
      </c>
      <c r="H675" s="443"/>
      <c r="I675" s="443"/>
      <c r="J675" s="443"/>
      <c r="K675" s="443"/>
      <c r="L675" s="443"/>
      <c r="M675" s="443"/>
      <c r="N675" s="443"/>
      <c r="O675" s="443"/>
      <c r="P675" s="443"/>
      <c r="Q675" s="443"/>
      <c r="R675" s="443"/>
      <c r="S675" s="443"/>
      <c r="T675" s="443"/>
      <c r="U675" s="443"/>
      <c r="V675" s="443"/>
      <c r="W675" s="443"/>
      <c r="X675" s="443"/>
      <c r="Y675" s="443"/>
      <c r="Z675" s="443"/>
      <c r="AA675" s="443"/>
      <c r="AB675" s="443"/>
      <c r="AC675" s="443"/>
      <c r="AD675" s="443"/>
      <c r="AE675" s="443"/>
      <c r="AF675" s="443"/>
      <c r="AG675" s="443"/>
      <c r="AH675" s="443">
        <f>F675</f>
        <v>1500</v>
      </c>
      <c r="AI675" s="443"/>
      <c r="AJ675" s="443"/>
      <c r="AK675" s="443"/>
      <c r="AL675" s="443"/>
      <c r="AM675" s="443"/>
      <c r="AN675" s="443"/>
      <c r="AO675" s="443"/>
      <c r="AP675" s="443"/>
      <c r="AQ675" s="443"/>
      <c r="AR675" s="443"/>
      <c r="AS675" s="443"/>
      <c r="AT675" s="443"/>
      <c r="AU675" s="443"/>
      <c r="AV675" s="443"/>
      <c r="AW675" s="443"/>
      <c r="AX675" s="443"/>
      <c r="AY675" s="443"/>
      <c r="AZ675" s="443"/>
      <c r="BA675" s="443"/>
      <c r="BB675" s="443"/>
      <c r="BC675" s="443"/>
      <c r="BD675" s="443"/>
      <c r="BE675" s="443"/>
      <c r="BF675" s="443"/>
      <c r="BG675" s="443"/>
      <c r="BH675" s="443"/>
      <c r="BI675" s="443"/>
      <c r="BJ675" s="443"/>
      <c r="BK675" s="443"/>
      <c r="BL675" s="443"/>
      <c r="BM675" s="443"/>
      <c r="BN675" s="443"/>
      <c r="BO675" s="443"/>
      <c r="BP675" s="277"/>
      <c r="BQ675" s="277">
        <v>2.418</v>
      </c>
      <c r="BR675" s="462">
        <f t="shared" si="65"/>
        <v>3627</v>
      </c>
      <c r="BS675" s="447">
        <f t="shared" si="66"/>
        <v>28109.25</v>
      </c>
      <c r="BT675" s="488" t="str">
        <f>IFERROR(VLOOKUP(E675,名称!A:D,4,FALSE),"")</f>
        <v>KIK</v>
      </c>
    </row>
    <row r="676" s="425" customFormat="1" hidden="1" customHeight="1" spans="1:72">
      <c r="A676" s="108">
        <v>46195</v>
      </c>
      <c r="B676" s="285" t="s">
        <v>242</v>
      </c>
      <c r="C676" s="30">
        <v>10130036</v>
      </c>
      <c r="D676" s="110">
        <v>2.02606160050053e+19</v>
      </c>
      <c r="E676" s="253" t="s">
        <v>131</v>
      </c>
      <c r="F676" s="31">
        <v>1500</v>
      </c>
      <c r="G676" s="286">
        <v>46300</v>
      </c>
      <c r="H676" s="443"/>
      <c r="I676" s="443"/>
      <c r="J676" s="443"/>
      <c r="K676" s="443"/>
      <c r="L676" s="443"/>
      <c r="M676" s="443"/>
      <c r="N676" s="443"/>
      <c r="O676" s="443"/>
      <c r="P676" s="443"/>
      <c r="Q676" s="443"/>
      <c r="R676" s="443"/>
      <c r="S676" s="443"/>
      <c r="T676" s="443"/>
      <c r="U676" s="443"/>
      <c r="V676" s="443"/>
      <c r="W676" s="443"/>
      <c r="X676" s="443"/>
      <c r="Y676" s="443"/>
      <c r="Z676" s="443"/>
      <c r="AA676" s="443"/>
      <c r="AB676" s="443"/>
      <c r="AC676" s="443"/>
      <c r="AD676" s="443"/>
      <c r="AE676" s="443"/>
      <c r="AF676" s="443"/>
      <c r="AG676" s="443"/>
      <c r="AH676" s="443">
        <f>F676</f>
        <v>1500</v>
      </c>
      <c r="AI676" s="443"/>
      <c r="AJ676" s="443"/>
      <c r="AK676" s="443"/>
      <c r="AL676" s="443"/>
      <c r="AM676" s="443"/>
      <c r="AN676" s="443"/>
      <c r="AO676" s="443"/>
      <c r="AP676" s="443"/>
      <c r="AQ676" s="443"/>
      <c r="AR676" s="443"/>
      <c r="AS676" s="443"/>
      <c r="AT676" s="443"/>
      <c r="AU676" s="443"/>
      <c r="AV676" s="443"/>
      <c r="AW676" s="443"/>
      <c r="AX676" s="443"/>
      <c r="AY676" s="443"/>
      <c r="AZ676" s="443"/>
      <c r="BA676" s="443"/>
      <c r="BB676" s="443"/>
      <c r="BC676" s="443"/>
      <c r="BD676" s="443"/>
      <c r="BE676" s="443"/>
      <c r="BF676" s="443"/>
      <c r="BG676" s="443"/>
      <c r="BH676" s="443"/>
      <c r="BI676" s="443"/>
      <c r="BJ676" s="443"/>
      <c r="BK676" s="443"/>
      <c r="BL676" s="443"/>
      <c r="BM676" s="443"/>
      <c r="BN676" s="443"/>
      <c r="BO676" s="443"/>
      <c r="BP676" s="277"/>
      <c r="BQ676" s="277">
        <v>2.418</v>
      </c>
      <c r="BR676" s="462">
        <f t="shared" si="65"/>
        <v>3627</v>
      </c>
      <c r="BS676" s="447">
        <f t="shared" si="66"/>
        <v>28109.25</v>
      </c>
      <c r="BT676" s="488" t="str">
        <f>IFERROR(VLOOKUP(E676,名称!A:D,4,FALSE),"")</f>
        <v>KIK</v>
      </c>
    </row>
    <row r="677" s="425" customFormat="1" hidden="1" customHeight="1" spans="1:72">
      <c r="A677" s="108">
        <v>46199</v>
      </c>
      <c r="B677" s="285" t="s">
        <v>236</v>
      </c>
      <c r="C677" s="30">
        <v>20219232</v>
      </c>
      <c r="D677" s="110"/>
      <c r="E677" s="253" t="s">
        <v>314</v>
      </c>
      <c r="F677" s="31">
        <v>4110</v>
      </c>
      <c r="G677" s="286">
        <v>46293</v>
      </c>
      <c r="H677" s="443"/>
      <c r="I677" s="443"/>
      <c r="J677" s="443"/>
      <c r="K677" s="443"/>
      <c r="L677" s="443"/>
      <c r="M677" s="443"/>
      <c r="N677" s="443"/>
      <c r="O677" s="443"/>
      <c r="P677" s="443"/>
      <c r="Q677" s="443"/>
      <c r="R677" s="443"/>
      <c r="S677" s="443"/>
      <c r="T677" s="443"/>
      <c r="U677" s="443"/>
      <c r="V677" s="443"/>
      <c r="W677" s="443"/>
      <c r="X677" s="443"/>
      <c r="Y677" s="443"/>
      <c r="Z677" s="443"/>
      <c r="AA677" s="443"/>
      <c r="AB677" s="443"/>
      <c r="AC677" s="443"/>
      <c r="AD677" s="443"/>
      <c r="AE677" s="443"/>
      <c r="AF677" s="443"/>
      <c r="AG677" s="443"/>
      <c r="AH677" s="443"/>
      <c r="AI677" s="443"/>
      <c r="AJ677" s="443"/>
      <c r="AK677" s="443"/>
      <c r="AL677" s="443"/>
      <c r="AM677" s="443"/>
      <c r="AN677" s="443"/>
      <c r="AO677" s="443"/>
      <c r="AP677" s="443"/>
      <c r="AQ677" s="443"/>
      <c r="AR677" s="443"/>
      <c r="AS677" s="443"/>
      <c r="AT677" s="443"/>
      <c r="AU677" s="443"/>
      <c r="AV677" s="443"/>
      <c r="AW677" s="443"/>
      <c r="AX677" s="443"/>
      <c r="AY677" s="443"/>
      <c r="AZ677" s="443"/>
      <c r="BA677" s="443"/>
      <c r="BB677" s="443">
        <f>F677</f>
        <v>4110</v>
      </c>
      <c r="BC677" s="443"/>
      <c r="BD677" s="443"/>
      <c r="BE677" s="443"/>
      <c r="BF677" s="443"/>
      <c r="BG677" s="443"/>
      <c r="BH677" s="443"/>
      <c r="BI677" s="443"/>
      <c r="BJ677" s="443"/>
      <c r="BK677" s="443"/>
      <c r="BL677" s="443"/>
      <c r="BM677" s="443"/>
      <c r="BN677" s="443"/>
      <c r="BO677" s="443"/>
      <c r="BP677" s="111"/>
      <c r="BQ677" s="111">
        <v>25.96</v>
      </c>
      <c r="BR677" s="462">
        <f t="shared" si="65"/>
        <v>106695.6</v>
      </c>
      <c r="BS677" s="447">
        <f t="shared" si="66"/>
        <v>826890.9</v>
      </c>
      <c r="BT677" s="442" t="s">
        <v>128</v>
      </c>
    </row>
    <row r="678" s="425" customFormat="1" hidden="1" customHeight="1" spans="1:72">
      <c r="A678" s="108">
        <v>46199</v>
      </c>
      <c r="B678" s="109" t="s">
        <v>237</v>
      </c>
      <c r="C678" s="30">
        <v>10130420</v>
      </c>
      <c r="D678" s="297" t="s">
        <v>315</v>
      </c>
      <c r="E678" s="253" t="s">
        <v>29</v>
      </c>
      <c r="F678" s="31">
        <v>2500</v>
      </c>
      <c r="G678" s="286">
        <v>46302</v>
      </c>
      <c r="H678" s="443"/>
      <c r="I678" s="443"/>
      <c r="J678" s="443">
        <f>F678</f>
        <v>2500</v>
      </c>
      <c r="K678" s="443"/>
      <c r="L678" s="443"/>
      <c r="M678" s="443"/>
      <c r="N678" s="443"/>
      <c r="O678" s="443"/>
      <c r="P678" s="443"/>
      <c r="Q678" s="443"/>
      <c r="R678" s="443"/>
      <c r="S678" s="443"/>
      <c r="T678" s="443"/>
      <c r="U678" s="443"/>
      <c r="V678" s="443"/>
      <c r="W678" s="443"/>
      <c r="X678" s="443"/>
      <c r="Y678" s="443"/>
      <c r="Z678" s="443"/>
      <c r="AA678" s="443"/>
      <c r="AB678" s="443"/>
      <c r="AC678" s="443"/>
      <c r="AD678" s="443"/>
      <c r="AE678" s="443"/>
      <c r="AF678" s="443"/>
      <c r="AG678" s="443"/>
      <c r="AH678" s="443"/>
      <c r="AI678" s="443"/>
      <c r="AJ678" s="443"/>
      <c r="AK678" s="443"/>
      <c r="AL678" s="443"/>
      <c r="AM678" s="443"/>
      <c r="AN678" s="443"/>
      <c r="AO678" s="443"/>
      <c r="AP678" s="443"/>
      <c r="AQ678" s="443"/>
      <c r="AR678" s="443"/>
      <c r="AS678" s="443"/>
      <c r="AT678" s="443"/>
      <c r="AU678" s="443"/>
      <c r="AV678" s="443"/>
      <c r="AW678" s="443"/>
      <c r="AX678" s="443"/>
      <c r="AY678" s="443"/>
      <c r="AZ678" s="443"/>
      <c r="BA678" s="443"/>
      <c r="BB678" s="443"/>
      <c r="BC678" s="443"/>
      <c r="BD678" s="443"/>
      <c r="BE678" s="443"/>
      <c r="BF678" s="443"/>
      <c r="BG678" s="443"/>
      <c r="BH678" s="443"/>
      <c r="BI678" s="443"/>
      <c r="BJ678" s="443"/>
      <c r="BK678" s="443"/>
      <c r="BL678" s="443"/>
      <c r="BM678" s="443"/>
      <c r="BN678" s="443"/>
      <c r="BO678" s="443"/>
      <c r="BP678" s="92"/>
      <c r="BQ678" s="92">
        <v>21.801</v>
      </c>
      <c r="BR678" s="462">
        <f t="shared" si="65"/>
        <v>54502.5</v>
      </c>
      <c r="BS678" s="447">
        <f t="shared" si="66"/>
        <v>422394.38</v>
      </c>
      <c r="BT678" s="443" t="str">
        <f>IFERROR(VLOOKUP(E678,名称!A:D,4,FALSE),"")</f>
        <v>KIK</v>
      </c>
    </row>
    <row r="679" s="425" customFormat="1" hidden="1" customHeight="1" spans="1:72">
      <c r="A679" s="108">
        <v>46200</v>
      </c>
      <c r="B679" s="285" t="s">
        <v>242</v>
      </c>
      <c r="C679" s="30">
        <v>10130909</v>
      </c>
      <c r="D679" s="551" t="s">
        <v>316</v>
      </c>
      <c r="E679" s="548" t="s">
        <v>230</v>
      </c>
      <c r="F679" s="31">
        <v>3000</v>
      </c>
      <c r="G679" s="305">
        <v>46272</v>
      </c>
      <c r="H679" s="443"/>
      <c r="I679" s="443"/>
      <c r="J679" s="443"/>
      <c r="K679" s="443"/>
      <c r="L679" s="443"/>
      <c r="M679" s="443"/>
      <c r="N679" s="443"/>
      <c r="O679" s="443"/>
      <c r="P679" s="443"/>
      <c r="Q679" s="443"/>
      <c r="R679" s="443"/>
      <c r="S679" s="443"/>
      <c r="T679" s="443"/>
      <c r="U679" s="443"/>
      <c r="V679" s="443"/>
      <c r="W679" s="443"/>
      <c r="X679" s="443"/>
      <c r="Y679" s="443"/>
      <c r="Z679" s="443"/>
      <c r="AA679" s="443"/>
      <c r="AB679" s="443"/>
      <c r="AC679" s="443"/>
      <c r="AD679" s="443"/>
      <c r="AE679" s="443"/>
      <c r="AF679" s="443"/>
      <c r="AG679" s="443"/>
      <c r="AH679" s="443"/>
      <c r="AI679" s="443"/>
      <c r="AJ679" s="443"/>
      <c r="AK679" s="443"/>
      <c r="AL679" s="443"/>
      <c r="AM679" s="443"/>
      <c r="AN679" s="443"/>
      <c r="AO679" s="443"/>
      <c r="AP679" s="443"/>
      <c r="AQ679" s="443"/>
      <c r="AR679" s="443"/>
      <c r="AS679" s="443"/>
      <c r="AT679" s="443"/>
      <c r="AU679" s="443"/>
      <c r="AV679" s="443"/>
      <c r="AW679" s="443"/>
      <c r="AX679" s="443"/>
      <c r="AY679" s="443"/>
      <c r="AZ679" s="443"/>
      <c r="BA679" s="443"/>
      <c r="BB679" s="443"/>
      <c r="BC679" s="443"/>
      <c r="BD679" s="443"/>
      <c r="BE679" s="443"/>
      <c r="BF679" s="443"/>
      <c r="BG679" s="443"/>
      <c r="BH679" s="443"/>
      <c r="BI679" s="443"/>
      <c r="BJ679" s="443"/>
      <c r="BK679" s="443"/>
      <c r="BL679" s="443"/>
      <c r="BM679" s="443"/>
      <c r="BN679" s="443"/>
      <c r="BO679" s="443"/>
      <c r="BP679" s="443">
        <f>F679</f>
        <v>3000</v>
      </c>
      <c r="BQ679" s="92">
        <v>3.243</v>
      </c>
      <c r="BR679" s="462">
        <f t="shared" si="65"/>
        <v>9729</v>
      </c>
      <c r="BS679" s="447">
        <f t="shared" si="66"/>
        <v>75399.75</v>
      </c>
      <c r="BT679" s="488" t="s">
        <v>12</v>
      </c>
    </row>
    <row r="680" s="425" customFormat="1" hidden="1" customHeight="1" spans="1:72">
      <c r="A680" s="108">
        <v>46200</v>
      </c>
      <c r="B680" s="285" t="s">
        <v>242</v>
      </c>
      <c r="C680" s="30">
        <v>10130909</v>
      </c>
      <c r="D680" s="551" t="s">
        <v>316</v>
      </c>
      <c r="E680" s="548" t="s">
        <v>230</v>
      </c>
      <c r="F680" s="31">
        <v>1960</v>
      </c>
      <c r="G680" s="305">
        <v>46293</v>
      </c>
      <c r="H680" s="443"/>
      <c r="I680" s="443"/>
      <c r="J680" s="443"/>
      <c r="K680" s="443"/>
      <c r="L680" s="443"/>
      <c r="M680" s="443"/>
      <c r="N680" s="443"/>
      <c r="O680" s="443"/>
      <c r="P680" s="443"/>
      <c r="Q680" s="443"/>
      <c r="R680" s="443"/>
      <c r="S680" s="443"/>
      <c r="T680" s="443"/>
      <c r="U680" s="443"/>
      <c r="V680" s="443"/>
      <c r="W680" s="443"/>
      <c r="X680" s="443"/>
      <c r="Y680" s="443"/>
      <c r="Z680" s="443"/>
      <c r="AA680" s="443"/>
      <c r="AB680" s="443"/>
      <c r="AC680" s="443"/>
      <c r="AD680" s="443"/>
      <c r="AE680" s="443"/>
      <c r="AF680" s="443"/>
      <c r="AG680" s="443"/>
      <c r="AH680" s="443"/>
      <c r="AI680" s="443"/>
      <c r="AJ680" s="443"/>
      <c r="AK680" s="443"/>
      <c r="AL680" s="443"/>
      <c r="AM680" s="443"/>
      <c r="AN680" s="443"/>
      <c r="AO680" s="443"/>
      <c r="AP680" s="443"/>
      <c r="AQ680" s="443"/>
      <c r="AR680" s="443"/>
      <c r="AS680" s="443"/>
      <c r="AT680" s="443"/>
      <c r="AU680" s="443"/>
      <c r="AV680" s="443"/>
      <c r="AW680" s="443"/>
      <c r="AX680" s="443"/>
      <c r="AY680" s="443"/>
      <c r="AZ680" s="443"/>
      <c r="BA680" s="443"/>
      <c r="BB680" s="443"/>
      <c r="BC680" s="443"/>
      <c r="BD680" s="443"/>
      <c r="BE680" s="443"/>
      <c r="BF680" s="443"/>
      <c r="BG680" s="443"/>
      <c r="BH680" s="443"/>
      <c r="BI680" s="443"/>
      <c r="BJ680" s="443"/>
      <c r="BK680" s="443"/>
      <c r="BL680" s="443"/>
      <c r="BM680" s="443"/>
      <c r="BN680" s="443"/>
      <c r="BO680" s="443"/>
      <c r="BP680" s="443">
        <f>F680</f>
        <v>1960</v>
      </c>
      <c r="BQ680" s="92">
        <v>3.243</v>
      </c>
      <c r="BR680" s="462">
        <f t="shared" si="65"/>
        <v>6356.28</v>
      </c>
      <c r="BS680" s="447">
        <f t="shared" si="66"/>
        <v>49261.17</v>
      </c>
      <c r="BT680" s="488" t="s">
        <v>12</v>
      </c>
    </row>
    <row r="681" s="425" customFormat="1" hidden="1" customHeight="1" spans="1:72">
      <c r="A681" s="108">
        <v>46200</v>
      </c>
      <c r="B681" s="285" t="s">
        <v>242</v>
      </c>
      <c r="C681" s="30">
        <v>10130909</v>
      </c>
      <c r="D681" s="551" t="s">
        <v>316</v>
      </c>
      <c r="E681" s="548" t="s">
        <v>230</v>
      </c>
      <c r="F681" s="31">
        <v>40</v>
      </c>
      <c r="G681" s="305">
        <v>46272</v>
      </c>
      <c r="H681" s="443"/>
      <c r="I681" s="443"/>
      <c r="J681" s="443"/>
      <c r="K681" s="443"/>
      <c r="L681" s="443"/>
      <c r="M681" s="443"/>
      <c r="N681" s="443"/>
      <c r="O681" s="443"/>
      <c r="P681" s="443"/>
      <c r="Q681" s="443"/>
      <c r="R681" s="443"/>
      <c r="S681" s="443"/>
      <c r="T681" s="443"/>
      <c r="U681" s="443"/>
      <c r="V681" s="443"/>
      <c r="W681" s="443"/>
      <c r="X681" s="443"/>
      <c r="Y681" s="443"/>
      <c r="Z681" s="443"/>
      <c r="AA681" s="443"/>
      <c r="AB681" s="443"/>
      <c r="AC681" s="443"/>
      <c r="AD681" s="443"/>
      <c r="AE681" s="443"/>
      <c r="AF681" s="443"/>
      <c r="AG681" s="443"/>
      <c r="AH681" s="443"/>
      <c r="AI681" s="443"/>
      <c r="AJ681" s="443"/>
      <c r="AK681" s="443"/>
      <c r="AL681" s="443"/>
      <c r="AM681" s="443"/>
      <c r="AN681" s="443"/>
      <c r="AO681" s="443"/>
      <c r="AP681" s="443"/>
      <c r="AQ681" s="443"/>
      <c r="AR681" s="443"/>
      <c r="AS681" s="443"/>
      <c r="AT681" s="443"/>
      <c r="AU681" s="443"/>
      <c r="AV681" s="443"/>
      <c r="AW681" s="443"/>
      <c r="AX681" s="443"/>
      <c r="AY681" s="443"/>
      <c r="AZ681" s="443"/>
      <c r="BA681" s="443"/>
      <c r="BB681" s="443"/>
      <c r="BC681" s="443"/>
      <c r="BD681" s="443"/>
      <c r="BE681" s="443"/>
      <c r="BF681" s="443"/>
      <c r="BG681" s="443"/>
      <c r="BH681" s="443"/>
      <c r="BI681" s="443"/>
      <c r="BJ681" s="443"/>
      <c r="BK681" s="443"/>
      <c r="BL681" s="443"/>
      <c r="BM681" s="443"/>
      <c r="BN681" s="443"/>
      <c r="BO681" s="443"/>
      <c r="BP681" s="443">
        <f>F681</f>
        <v>40</v>
      </c>
      <c r="BQ681" s="92">
        <v>3.243</v>
      </c>
      <c r="BR681" s="462">
        <f t="shared" si="65"/>
        <v>129.72</v>
      </c>
      <c r="BS681" s="447">
        <f t="shared" si="66"/>
        <v>1005.33</v>
      </c>
      <c r="BT681" s="488" t="s">
        <v>12</v>
      </c>
    </row>
    <row r="682" s="425" customFormat="1" hidden="1" customHeight="1" spans="1:72">
      <c r="A682" s="108">
        <v>46200</v>
      </c>
      <c r="B682" s="285" t="s">
        <v>317</v>
      </c>
      <c r="C682" s="30">
        <v>10130830</v>
      </c>
      <c r="D682" s="110">
        <v>56863</v>
      </c>
      <c r="E682" s="253" t="s">
        <v>213</v>
      </c>
      <c r="F682" s="31">
        <v>2760</v>
      </c>
      <c r="G682" s="286">
        <v>46295</v>
      </c>
      <c r="H682" s="443"/>
      <c r="I682" s="443"/>
      <c r="J682" s="443"/>
      <c r="K682" s="443"/>
      <c r="L682" s="443"/>
      <c r="M682" s="443"/>
      <c r="N682" s="443"/>
      <c r="O682" s="443"/>
      <c r="P682" s="443"/>
      <c r="Q682" s="443"/>
      <c r="R682" s="443"/>
      <c r="S682" s="443"/>
      <c r="T682" s="443"/>
      <c r="U682" s="443"/>
      <c r="V682" s="443">
        <f>F682</f>
        <v>2760</v>
      </c>
      <c r="W682" s="443"/>
      <c r="X682" s="443"/>
      <c r="Y682" s="443"/>
      <c r="Z682" s="443"/>
      <c r="AA682" s="443"/>
      <c r="AB682" s="443"/>
      <c r="AC682" s="443"/>
      <c r="AD682" s="443"/>
      <c r="AE682" s="443"/>
      <c r="AF682" s="443"/>
      <c r="AG682" s="443"/>
      <c r="AH682" s="443"/>
      <c r="AI682" s="443"/>
      <c r="AJ682" s="443"/>
      <c r="AK682" s="443"/>
      <c r="AL682" s="443"/>
      <c r="AM682" s="443"/>
      <c r="AN682" s="443"/>
      <c r="AO682" s="443"/>
      <c r="AP682" s="443"/>
      <c r="AQ682" s="443"/>
      <c r="AR682" s="443"/>
      <c r="AS682" s="443"/>
      <c r="AT682" s="443"/>
      <c r="AU682" s="443"/>
      <c r="AV682" s="443"/>
      <c r="AW682" s="443"/>
      <c r="AX682" s="443"/>
      <c r="AY682" s="443"/>
      <c r="AZ682" s="443"/>
      <c r="BA682" s="443"/>
      <c r="BB682" s="443"/>
      <c r="BC682" s="443"/>
      <c r="BD682" s="443"/>
      <c r="BE682" s="443"/>
      <c r="BF682" s="443"/>
      <c r="BG682" s="443"/>
      <c r="BH682" s="443"/>
      <c r="BI682" s="443"/>
      <c r="BJ682" s="443"/>
      <c r="BK682" s="443"/>
      <c r="BL682" s="443"/>
      <c r="BM682" s="443"/>
      <c r="BN682" s="443"/>
      <c r="BO682" s="443"/>
      <c r="BP682" s="443"/>
      <c r="BQ682" s="111">
        <v>3.243</v>
      </c>
      <c r="BR682" s="462">
        <f t="shared" si="65"/>
        <v>8950.68</v>
      </c>
      <c r="BS682" s="447">
        <f t="shared" si="66"/>
        <v>69367.77</v>
      </c>
      <c r="BT682" s="443" t="str">
        <f>IFERROR(VLOOKUP(E682,名称!A:D,4,FALSE),"")</f>
        <v/>
      </c>
    </row>
    <row r="683" s="425" customFormat="1" hidden="1" customHeight="1" spans="1:72">
      <c r="A683" s="108">
        <v>46200</v>
      </c>
      <c r="B683" s="285" t="s">
        <v>248</v>
      </c>
      <c r="C683" s="30">
        <v>10130837</v>
      </c>
      <c r="D683" s="110">
        <v>56867</v>
      </c>
      <c r="E683" s="253" t="s">
        <v>213</v>
      </c>
      <c r="F683" s="31">
        <v>6640</v>
      </c>
      <c r="G683" s="286">
        <v>46295</v>
      </c>
      <c r="H683" s="443"/>
      <c r="I683" s="443"/>
      <c r="J683" s="443"/>
      <c r="K683" s="443"/>
      <c r="L683" s="443"/>
      <c r="M683" s="443"/>
      <c r="N683" s="443"/>
      <c r="O683" s="443"/>
      <c r="P683" s="443"/>
      <c r="Q683" s="443"/>
      <c r="R683" s="443"/>
      <c r="S683" s="443"/>
      <c r="T683" s="443"/>
      <c r="U683" s="443"/>
      <c r="V683" s="443">
        <f>F683</f>
        <v>6640</v>
      </c>
      <c r="W683" s="443"/>
      <c r="X683" s="443"/>
      <c r="Y683" s="443"/>
      <c r="Z683" s="443"/>
      <c r="AA683" s="443"/>
      <c r="AB683" s="443"/>
      <c r="AC683" s="443"/>
      <c r="AD683" s="443"/>
      <c r="AE683" s="443"/>
      <c r="AF683" s="443"/>
      <c r="AG683" s="443"/>
      <c r="AH683" s="443"/>
      <c r="AI683" s="443"/>
      <c r="AJ683" s="443"/>
      <c r="AK683" s="443"/>
      <c r="AL683" s="443"/>
      <c r="AM683" s="443"/>
      <c r="AN683" s="443"/>
      <c r="AO683" s="443"/>
      <c r="AP683" s="443"/>
      <c r="AQ683" s="443"/>
      <c r="AR683" s="443"/>
      <c r="AS683" s="443"/>
      <c r="AT683" s="443"/>
      <c r="AU683" s="443"/>
      <c r="AV683" s="443"/>
      <c r="AW683" s="443"/>
      <c r="AX683" s="443"/>
      <c r="AY683" s="443"/>
      <c r="AZ683" s="443"/>
      <c r="BA683" s="443"/>
      <c r="BB683" s="443"/>
      <c r="BC683" s="443"/>
      <c r="BD683" s="443"/>
      <c r="BE683" s="443"/>
      <c r="BF683" s="443"/>
      <c r="BG683" s="443"/>
      <c r="BH683" s="443"/>
      <c r="BI683" s="443"/>
      <c r="BJ683" s="443"/>
      <c r="BK683" s="443"/>
      <c r="BL683" s="443"/>
      <c r="BM683" s="443"/>
      <c r="BN683" s="443"/>
      <c r="BO683" s="443"/>
      <c r="BP683" s="443"/>
      <c r="BQ683" s="111">
        <v>3.243</v>
      </c>
      <c r="BR683" s="462">
        <f t="shared" si="65"/>
        <v>21533.52</v>
      </c>
      <c r="BS683" s="447">
        <f t="shared" si="66"/>
        <v>166884.78</v>
      </c>
      <c r="BT683" s="443" t="str">
        <f>IFERROR(VLOOKUP(E683,名称!A:D,4,FALSE),"")</f>
        <v/>
      </c>
    </row>
    <row r="684" s="425" customFormat="1" hidden="1" customHeight="1" spans="1:72">
      <c r="A684" s="108">
        <v>46203</v>
      </c>
      <c r="B684" s="109" t="s">
        <v>237</v>
      </c>
      <c r="C684" s="30">
        <v>10130965</v>
      </c>
      <c r="D684" s="297" t="s">
        <v>318</v>
      </c>
      <c r="E684" s="253" t="s">
        <v>111</v>
      </c>
      <c r="F684" s="31">
        <v>5000</v>
      </c>
      <c r="G684" s="286">
        <v>46302</v>
      </c>
      <c r="H684" s="443"/>
      <c r="I684" s="443"/>
      <c r="J684" s="443"/>
      <c r="K684" s="443"/>
      <c r="L684" s="443"/>
      <c r="M684" s="443"/>
      <c r="N684" s="443"/>
      <c r="O684" s="443"/>
      <c r="P684" s="443"/>
      <c r="Q684" s="443"/>
      <c r="R684" s="443"/>
      <c r="S684" s="443"/>
      <c r="T684" s="443"/>
      <c r="U684" s="443"/>
      <c r="V684" s="443"/>
      <c r="W684" s="443"/>
      <c r="X684" s="443"/>
      <c r="Y684" s="443"/>
      <c r="Z684" s="443"/>
      <c r="AA684" s="443"/>
      <c r="AB684" s="443"/>
      <c r="AC684" s="443"/>
      <c r="AD684" s="443"/>
      <c r="AE684" s="443"/>
      <c r="AF684" s="443"/>
      <c r="AG684" s="443"/>
      <c r="AH684" s="443"/>
      <c r="AI684" s="443"/>
      <c r="AJ684" s="443"/>
      <c r="AK684" s="443"/>
      <c r="AL684" s="443"/>
      <c r="AM684" s="443">
        <f>F684</f>
        <v>5000</v>
      </c>
      <c r="AN684" s="443"/>
      <c r="AO684" s="443"/>
      <c r="AP684" s="443"/>
      <c r="AQ684" s="443"/>
      <c r="AR684" s="443"/>
      <c r="AS684" s="443"/>
      <c r="AT684" s="443"/>
      <c r="AU684" s="443"/>
      <c r="AV684" s="443"/>
      <c r="AW684" s="443"/>
      <c r="AX684" s="443"/>
      <c r="AY684" s="443"/>
      <c r="AZ684" s="443"/>
      <c r="BA684" s="443"/>
      <c r="BB684" s="443"/>
      <c r="BC684" s="443"/>
      <c r="BD684" s="443"/>
      <c r="BE684" s="443"/>
      <c r="BF684" s="443"/>
      <c r="BG684" s="443"/>
      <c r="BH684" s="443"/>
      <c r="BI684" s="443"/>
      <c r="BJ684" s="443"/>
      <c r="BK684" s="443"/>
      <c r="BL684" s="443"/>
      <c r="BM684" s="443"/>
      <c r="BN684" s="443"/>
      <c r="BO684" s="443"/>
      <c r="BP684" s="443"/>
      <c r="BQ684" s="111">
        <v>3.816</v>
      </c>
      <c r="BR684" s="462">
        <f t="shared" si="65"/>
        <v>19080</v>
      </c>
      <c r="BS684" s="447">
        <f t="shared" si="66"/>
        <v>147870</v>
      </c>
      <c r="BT684" s="443" t="str">
        <f>IFERROR(VLOOKUP(E684,名称!A:D,4,FALSE),"")</f>
        <v>KIK</v>
      </c>
    </row>
    <row r="685" s="425" customFormat="1" hidden="1" customHeight="1" spans="1:72">
      <c r="A685" s="108">
        <v>46203</v>
      </c>
      <c r="B685" s="109" t="s">
        <v>237</v>
      </c>
      <c r="C685" s="30">
        <v>10130965</v>
      </c>
      <c r="D685" s="297" t="s">
        <v>318</v>
      </c>
      <c r="E685" s="253" t="s">
        <v>113</v>
      </c>
      <c r="F685" s="31">
        <v>5000</v>
      </c>
      <c r="G685" s="286">
        <v>46302</v>
      </c>
      <c r="H685" s="443"/>
      <c r="I685" s="443"/>
      <c r="J685" s="443"/>
      <c r="K685" s="443"/>
      <c r="L685" s="443"/>
      <c r="M685" s="443"/>
      <c r="N685" s="443"/>
      <c r="O685" s="443"/>
      <c r="P685" s="443"/>
      <c r="Q685" s="443"/>
      <c r="R685" s="443"/>
      <c r="S685" s="443"/>
      <c r="T685" s="443"/>
      <c r="U685" s="443"/>
      <c r="V685" s="443"/>
      <c r="W685" s="443"/>
      <c r="X685" s="443"/>
      <c r="Y685" s="443"/>
      <c r="Z685" s="443"/>
      <c r="AA685" s="443"/>
      <c r="AB685" s="443"/>
      <c r="AC685" s="443"/>
      <c r="AD685" s="443"/>
      <c r="AE685" s="443"/>
      <c r="AF685" s="443"/>
      <c r="AG685" s="443"/>
      <c r="AH685" s="443"/>
      <c r="AI685" s="443"/>
      <c r="AJ685" s="443"/>
      <c r="AK685" s="443"/>
      <c r="AL685" s="443"/>
      <c r="AM685" s="443">
        <f>F685</f>
        <v>5000</v>
      </c>
      <c r="AN685" s="443"/>
      <c r="AO685" s="443"/>
      <c r="AP685" s="443"/>
      <c r="AQ685" s="443"/>
      <c r="AR685" s="443"/>
      <c r="AS685" s="443"/>
      <c r="AT685" s="443"/>
      <c r="AU685" s="443"/>
      <c r="AV685" s="443"/>
      <c r="AW685" s="443"/>
      <c r="AX685" s="443"/>
      <c r="AY685" s="443"/>
      <c r="AZ685" s="443"/>
      <c r="BA685" s="443"/>
      <c r="BB685" s="443"/>
      <c r="BC685" s="443"/>
      <c r="BD685" s="443"/>
      <c r="BE685" s="443"/>
      <c r="BF685" s="443"/>
      <c r="BG685" s="443"/>
      <c r="BH685" s="443"/>
      <c r="BI685" s="443"/>
      <c r="BJ685" s="443"/>
      <c r="BK685" s="443"/>
      <c r="BL685" s="443"/>
      <c r="BM685" s="443"/>
      <c r="BN685" s="443"/>
      <c r="BO685" s="443"/>
      <c r="BP685" s="443"/>
      <c r="BQ685" s="111">
        <v>6.154</v>
      </c>
      <c r="BR685" s="462">
        <f t="shared" si="65"/>
        <v>30770</v>
      </c>
      <c r="BS685" s="447">
        <f t="shared" si="66"/>
        <v>238467.5</v>
      </c>
      <c r="BT685" s="443" t="str">
        <f>IFERROR(VLOOKUP(E685,名称!A:D,4,FALSE),"")</f>
        <v>KIK</v>
      </c>
    </row>
    <row r="686" s="425" customFormat="1" hidden="1" customHeight="1" spans="1:72">
      <c r="A686" s="108">
        <v>46205</v>
      </c>
      <c r="B686" s="109" t="s">
        <v>237</v>
      </c>
      <c r="C686" s="30">
        <v>10131181</v>
      </c>
      <c r="D686" s="297" t="s">
        <v>319</v>
      </c>
      <c r="E686" s="253" t="s">
        <v>55</v>
      </c>
      <c r="F686" s="31">
        <v>906</v>
      </c>
      <c r="G686" s="286">
        <v>46267</v>
      </c>
      <c r="H686" s="443"/>
      <c r="I686" s="443"/>
      <c r="J686" s="443"/>
      <c r="K686" s="443"/>
      <c r="L686" s="443"/>
      <c r="M686" s="443">
        <f t="shared" ref="M686:M691" si="67">F686</f>
        <v>906</v>
      </c>
      <c r="N686" s="443"/>
      <c r="O686" s="443"/>
      <c r="P686" s="443"/>
      <c r="Q686" s="443"/>
      <c r="R686" s="443"/>
      <c r="S686" s="443"/>
      <c r="T686" s="443"/>
      <c r="U686" s="443"/>
      <c r="V686" s="443"/>
      <c r="W686" s="443"/>
      <c r="X686" s="443"/>
      <c r="Y686" s="443"/>
      <c r="Z686" s="443"/>
      <c r="AA686" s="443"/>
      <c r="AB686" s="443"/>
      <c r="AC686" s="443"/>
      <c r="AD686" s="443"/>
      <c r="AE686" s="443"/>
      <c r="AF686" s="443"/>
      <c r="AG686" s="443"/>
      <c r="AH686" s="443"/>
      <c r="AI686" s="443"/>
      <c r="AJ686" s="443"/>
      <c r="AK686" s="443"/>
      <c r="AL686" s="443"/>
      <c r="AM686" s="443"/>
      <c r="AN686" s="443"/>
      <c r="AO686" s="443"/>
      <c r="AP686" s="443"/>
      <c r="AQ686" s="443"/>
      <c r="AR686" s="443"/>
      <c r="AS686" s="443"/>
      <c r="AT686" s="443"/>
      <c r="AU686" s="443"/>
      <c r="AV686" s="443"/>
      <c r="AW686" s="443"/>
      <c r="AX686" s="443"/>
      <c r="AY686" s="443"/>
      <c r="AZ686" s="443"/>
      <c r="BA686" s="443"/>
      <c r="BB686" s="443"/>
      <c r="BC686" s="443"/>
      <c r="BD686" s="443"/>
      <c r="BE686" s="443"/>
      <c r="BF686" s="443"/>
      <c r="BG686" s="443"/>
      <c r="BH686" s="443"/>
      <c r="BI686" s="443"/>
      <c r="BJ686" s="443"/>
      <c r="BK686" s="443"/>
      <c r="BL686" s="443"/>
      <c r="BM686" s="443"/>
      <c r="BN686" s="443"/>
      <c r="BO686" s="443"/>
      <c r="BP686" s="443"/>
      <c r="BQ686" s="111">
        <v>1.413</v>
      </c>
      <c r="BR686" s="462">
        <f t="shared" si="65"/>
        <v>1280.18</v>
      </c>
      <c r="BS686" s="447">
        <f t="shared" si="66"/>
        <v>9921.4</v>
      </c>
      <c r="BT686" s="443" t="str">
        <f>IFERROR(VLOOKUP(E686,名称!A:D,4,FALSE),"")</f>
        <v>KIK</v>
      </c>
    </row>
    <row r="687" s="425" customFormat="1" hidden="1" customHeight="1" spans="1:72">
      <c r="A687" s="108">
        <v>46205</v>
      </c>
      <c r="B687" s="109" t="s">
        <v>237</v>
      </c>
      <c r="C687" s="30">
        <v>10131182</v>
      </c>
      <c r="D687" s="297" t="s">
        <v>320</v>
      </c>
      <c r="E687" s="253" t="s">
        <v>55</v>
      </c>
      <c r="F687" s="31">
        <v>180</v>
      </c>
      <c r="G687" s="286">
        <v>46267</v>
      </c>
      <c r="H687" s="443"/>
      <c r="I687" s="443"/>
      <c r="J687" s="443"/>
      <c r="K687" s="443"/>
      <c r="L687" s="443"/>
      <c r="M687" s="443">
        <f t="shared" si="67"/>
        <v>180</v>
      </c>
      <c r="N687" s="443"/>
      <c r="O687" s="443"/>
      <c r="P687" s="443"/>
      <c r="Q687" s="443"/>
      <c r="R687" s="443"/>
      <c r="S687" s="443"/>
      <c r="T687" s="443"/>
      <c r="U687" s="443"/>
      <c r="V687" s="443"/>
      <c r="W687" s="443"/>
      <c r="X687" s="443"/>
      <c r="Y687" s="443"/>
      <c r="Z687" s="443"/>
      <c r="AA687" s="443"/>
      <c r="AB687" s="443"/>
      <c r="AC687" s="443"/>
      <c r="AD687" s="443"/>
      <c r="AE687" s="443"/>
      <c r="AF687" s="443"/>
      <c r="AG687" s="443"/>
      <c r="AH687" s="443"/>
      <c r="AI687" s="443"/>
      <c r="AJ687" s="443"/>
      <c r="AK687" s="443"/>
      <c r="AL687" s="443"/>
      <c r="AM687" s="443"/>
      <c r="AN687" s="443"/>
      <c r="AO687" s="443"/>
      <c r="AP687" s="443"/>
      <c r="AQ687" s="443"/>
      <c r="AR687" s="443"/>
      <c r="AS687" s="443"/>
      <c r="AT687" s="443"/>
      <c r="AU687" s="443"/>
      <c r="AV687" s="443"/>
      <c r="AW687" s="443"/>
      <c r="AX687" s="443"/>
      <c r="AY687" s="443"/>
      <c r="AZ687" s="443"/>
      <c r="BA687" s="443"/>
      <c r="BB687" s="443"/>
      <c r="BC687" s="443"/>
      <c r="BD687" s="443"/>
      <c r="BE687" s="443"/>
      <c r="BF687" s="443"/>
      <c r="BG687" s="443"/>
      <c r="BH687" s="443"/>
      <c r="BI687" s="443"/>
      <c r="BJ687" s="443"/>
      <c r="BK687" s="443"/>
      <c r="BL687" s="443"/>
      <c r="BM687" s="443"/>
      <c r="BN687" s="443"/>
      <c r="BO687" s="443"/>
      <c r="BP687" s="443"/>
      <c r="BQ687" s="111">
        <v>1.413</v>
      </c>
      <c r="BR687" s="462">
        <f t="shared" si="65"/>
        <v>254.34</v>
      </c>
      <c r="BS687" s="447">
        <f t="shared" si="66"/>
        <v>1971.14</v>
      </c>
      <c r="BT687" s="443" t="str">
        <f>IFERROR(VLOOKUP(E687,名称!A:D,4,FALSE),"")</f>
        <v>KIK</v>
      </c>
    </row>
    <row r="688" s="425" customFormat="1" hidden="1" customHeight="1" spans="1:72">
      <c r="A688" s="108">
        <v>46205</v>
      </c>
      <c r="B688" s="109" t="s">
        <v>237</v>
      </c>
      <c r="C688" s="30">
        <v>10131186</v>
      </c>
      <c r="D688" s="297" t="s">
        <v>321</v>
      </c>
      <c r="E688" s="253" t="s">
        <v>55</v>
      </c>
      <c r="F688" s="31">
        <v>780</v>
      </c>
      <c r="G688" s="286">
        <v>46267</v>
      </c>
      <c r="H688" s="443"/>
      <c r="I688" s="443"/>
      <c r="J688" s="443"/>
      <c r="K688" s="443"/>
      <c r="L688" s="443"/>
      <c r="M688" s="443">
        <f t="shared" si="67"/>
        <v>780</v>
      </c>
      <c r="N688" s="443"/>
      <c r="O688" s="443"/>
      <c r="P688" s="443"/>
      <c r="Q688" s="443"/>
      <c r="R688" s="443"/>
      <c r="S688" s="443"/>
      <c r="T688" s="443"/>
      <c r="U688" s="443"/>
      <c r="V688" s="443"/>
      <c r="W688" s="443"/>
      <c r="X688" s="443"/>
      <c r="Y688" s="443"/>
      <c r="Z688" s="443"/>
      <c r="AA688" s="443"/>
      <c r="AB688" s="443"/>
      <c r="AC688" s="443"/>
      <c r="AD688" s="443"/>
      <c r="AE688" s="443"/>
      <c r="AF688" s="443"/>
      <c r="AG688" s="443"/>
      <c r="AH688" s="443"/>
      <c r="AI688" s="443"/>
      <c r="AJ688" s="443"/>
      <c r="AK688" s="443"/>
      <c r="AL688" s="443"/>
      <c r="AM688" s="443"/>
      <c r="AN688" s="443"/>
      <c r="AO688" s="443"/>
      <c r="AP688" s="443"/>
      <c r="AQ688" s="443"/>
      <c r="AR688" s="443"/>
      <c r="AS688" s="443"/>
      <c r="AT688" s="443"/>
      <c r="AU688" s="443"/>
      <c r="AV688" s="443"/>
      <c r="AW688" s="443"/>
      <c r="AX688" s="443"/>
      <c r="AY688" s="443"/>
      <c r="AZ688" s="443"/>
      <c r="BA688" s="443"/>
      <c r="BB688" s="443"/>
      <c r="BC688" s="443"/>
      <c r="BD688" s="443"/>
      <c r="BE688" s="443"/>
      <c r="BF688" s="443"/>
      <c r="BG688" s="443"/>
      <c r="BH688" s="443"/>
      <c r="BI688" s="443"/>
      <c r="BJ688" s="443"/>
      <c r="BK688" s="443"/>
      <c r="BL688" s="443"/>
      <c r="BM688" s="443"/>
      <c r="BN688" s="443"/>
      <c r="BO688" s="443"/>
      <c r="BP688" s="443"/>
      <c r="BQ688" s="111">
        <v>1.413</v>
      </c>
      <c r="BR688" s="462">
        <f t="shared" si="65"/>
        <v>1102.14</v>
      </c>
      <c r="BS688" s="447">
        <f t="shared" si="66"/>
        <v>8541.59</v>
      </c>
      <c r="BT688" s="443" t="str">
        <f>IFERROR(VLOOKUP(E688,名称!A:D,4,FALSE),"")</f>
        <v>KIK</v>
      </c>
    </row>
    <row r="689" s="425" customFormat="1" hidden="1" customHeight="1" spans="1:72">
      <c r="A689" s="108">
        <v>46205</v>
      </c>
      <c r="B689" s="109" t="s">
        <v>237</v>
      </c>
      <c r="C689" s="30">
        <v>10131185</v>
      </c>
      <c r="D689" s="297" t="s">
        <v>322</v>
      </c>
      <c r="E689" s="253" t="s">
        <v>55</v>
      </c>
      <c r="F689" s="31">
        <v>420</v>
      </c>
      <c r="G689" s="286">
        <v>46267</v>
      </c>
      <c r="H689" s="443"/>
      <c r="I689" s="443"/>
      <c r="J689" s="443"/>
      <c r="K689" s="443"/>
      <c r="L689" s="443"/>
      <c r="M689" s="443">
        <f t="shared" si="67"/>
        <v>420</v>
      </c>
      <c r="N689" s="443"/>
      <c r="O689" s="443"/>
      <c r="P689" s="443"/>
      <c r="Q689" s="443"/>
      <c r="R689" s="443"/>
      <c r="S689" s="443"/>
      <c r="T689" s="443"/>
      <c r="U689" s="443"/>
      <c r="V689" s="443"/>
      <c r="W689" s="443"/>
      <c r="X689" s="443"/>
      <c r="Y689" s="443"/>
      <c r="Z689" s="443"/>
      <c r="AA689" s="443"/>
      <c r="AB689" s="443"/>
      <c r="AC689" s="443"/>
      <c r="AD689" s="443"/>
      <c r="AE689" s="443"/>
      <c r="AF689" s="443"/>
      <c r="AG689" s="443"/>
      <c r="AH689" s="443"/>
      <c r="AI689" s="443"/>
      <c r="AJ689" s="443"/>
      <c r="AK689" s="443"/>
      <c r="AL689" s="443"/>
      <c r="AM689" s="443"/>
      <c r="AN689" s="443"/>
      <c r="AO689" s="443"/>
      <c r="AP689" s="443"/>
      <c r="AQ689" s="443"/>
      <c r="AR689" s="443"/>
      <c r="AS689" s="443"/>
      <c r="AT689" s="443"/>
      <c r="AU689" s="443"/>
      <c r="AV689" s="443"/>
      <c r="AW689" s="443"/>
      <c r="AX689" s="443"/>
      <c r="AY689" s="443"/>
      <c r="AZ689" s="443"/>
      <c r="BA689" s="443"/>
      <c r="BB689" s="443"/>
      <c r="BC689" s="443"/>
      <c r="BD689" s="443"/>
      <c r="BE689" s="443"/>
      <c r="BF689" s="443"/>
      <c r="BG689" s="443"/>
      <c r="BH689" s="443"/>
      <c r="BI689" s="443"/>
      <c r="BJ689" s="443"/>
      <c r="BK689" s="443"/>
      <c r="BL689" s="443"/>
      <c r="BM689" s="443"/>
      <c r="BN689" s="443"/>
      <c r="BO689" s="443"/>
      <c r="BP689" s="443"/>
      <c r="BQ689" s="111">
        <v>1.413</v>
      </c>
      <c r="BR689" s="462">
        <f t="shared" si="65"/>
        <v>593.46</v>
      </c>
      <c r="BS689" s="447">
        <f t="shared" si="66"/>
        <v>4599.32</v>
      </c>
      <c r="BT689" s="443" t="str">
        <f>IFERROR(VLOOKUP(E689,名称!A:D,4,FALSE),"")</f>
        <v>KIK</v>
      </c>
    </row>
    <row r="690" s="425" customFormat="1" hidden="1" customHeight="1" spans="1:72">
      <c r="A690" s="108">
        <v>46205</v>
      </c>
      <c r="B690" s="109" t="s">
        <v>237</v>
      </c>
      <c r="C690" s="30">
        <v>10131187</v>
      </c>
      <c r="D690" s="297" t="s">
        <v>323</v>
      </c>
      <c r="E690" s="253" t="s">
        <v>55</v>
      </c>
      <c r="F690" s="31">
        <v>720</v>
      </c>
      <c r="G690" s="286">
        <v>46267</v>
      </c>
      <c r="H690" s="443"/>
      <c r="I690" s="443"/>
      <c r="J690" s="443"/>
      <c r="K690" s="443"/>
      <c r="L690" s="443"/>
      <c r="M690" s="443">
        <f t="shared" si="67"/>
        <v>720</v>
      </c>
      <c r="N690" s="443"/>
      <c r="O690" s="443"/>
      <c r="P690" s="443"/>
      <c r="Q690" s="443"/>
      <c r="R690" s="443"/>
      <c r="S690" s="443"/>
      <c r="T690" s="443"/>
      <c r="U690" s="443"/>
      <c r="V690" s="443"/>
      <c r="W690" s="443"/>
      <c r="X690" s="443"/>
      <c r="Y690" s="443"/>
      <c r="Z690" s="443"/>
      <c r="AA690" s="443"/>
      <c r="AB690" s="443"/>
      <c r="AC690" s="443"/>
      <c r="AD690" s="443"/>
      <c r="AE690" s="443"/>
      <c r="AF690" s="443"/>
      <c r="AG690" s="443"/>
      <c r="AH690" s="443"/>
      <c r="AI690" s="443"/>
      <c r="AJ690" s="443"/>
      <c r="AK690" s="443"/>
      <c r="AL690" s="443"/>
      <c r="AM690" s="443"/>
      <c r="AN690" s="443"/>
      <c r="AO690" s="443"/>
      <c r="AP690" s="443"/>
      <c r="AQ690" s="443"/>
      <c r="AR690" s="443"/>
      <c r="AS690" s="443"/>
      <c r="AT690" s="443"/>
      <c r="AU690" s="443"/>
      <c r="AV690" s="443"/>
      <c r="AW690" s="443"/>
      <c r="AX690" s="443"/>
      <c r="AY690" s="443"/>
      <c r="AZ690" s="443"/>
      <c r="BA690" s="443"/>
      <c r="BB690" s="443"/>
      <c r="BC690" s="443"/>
      <c r="BD690" s="443"/>
      <c r="BE690" s="443"/>
      <c r="BF690" s="443"/>
      <c r="BG690" s="443"/>
      <c r="BH690" s="443"/>
      <c r="BI690" s="443"/>
      <c r="BJ690" s="443"/>
      <c r="BK690" s="443"/>
      <c r="BL690" s="443"/>
      <c r="BM690" s="443"/>
      <c r="BN690" s="443"/>
      <c r="BO690" s="443"/>
      <c r="BP690" s="443"/>
      <c r="BQ690" s="111">
        <v>1.413</v>
      </c>
      <c r="BR690" s="462">
        <f t="shared" si="65"/>
        <v>1017.36</v>
      </c>
      <c r="BS690" s="447">
        <f t="shared" si="66"/>
        <v>7884.54</v>
      </c>
      <c r="BT690" s="443" t="str">
        <f>IFERROR(VLOOKUP(E690,名称!A:D,4,FALSE),"")</f>
        <v>KIK</v>
      </c>
    </row>
    <row r="691" s="425" customFormat="1" hidden="1" customHeight="1" spans="1:72">
      <c r="A691" s="108">
        <v>46205</v>
      </c>
      <c r="B691" s="109" t="s">
        <v>237</v>
      </c>
      <c r="C691" s="30">
        <v>10131189</v>
      </c>
      <c r="D691" s="297" t="s">
        <v>324</v>
      </c>
      <c r="E691" s="253" t="s">
        <v>55</v>
      </c>
      <c r="F691" s="31">
        <v>600</v>
      </c>
      <c r="G691" s="286">
        <v>46267</v>
      </c>
      <c r="H691" s="443"/>
      <c r="I691" s="443"/>
      <c r="J691" s="443"/>
      <c r="K691" s="443"/>
      <c r="L691" s="443"/>
      <c r="M691" s="443">
        <f t="shared" si="67"/>
        <v>600</v>
      </c>
      <c r="N691" s="443"/>
      <c r="O691" s="443"/>
      <c r="P691" s="443"/>
      <c r="Q691" s="443"/>
      <c r="R691" s="443"/>
      <c r="S691" s="443"/>
      <c r="T691" s="443"/>
      <c r="U691" s="443"/>
      <c r="V691" s="443"/>
      <c r="W691" s="443"/>
      <c r="X691" s="443"/>
      <c r="Y691" s="443"/>
      <c r="Z691" s="443"/>
      <c r="AA691" s="443"/>
      <c r="AB691" s="443"/>
      <c r="AC691" s="443"/>
      <c r="AD691" s="443"/>
      <c r="AE691" s="443"/>
      <c r="AF691" s="443"/>
      <c r="AG691" s="443"/>
      <c r="AH691" s="443"/>
      <c r="AI691" s="443"/>
      <c r="AJ691" s="443"/>
      <c r="AK691" s="443"/>
      <c r="AL691" s="443"/>
      <c r="AM691" s="443"/>
      <c r="AN691" s="443"/>
      <c r="AO691" s="443"/>
      <c r="AP691" s="443"/>
      <c r="AQ691" s="443"/>
      <c r="AR691" s="443"/>
      <c r="AS691" s="443"/>
      <c r="AT691" s="443"/>
      <c r="AU691" s="443"/>
      <c r="AV691" s="443"/>
      <c r="AW691" s="443"/>
      <c r="AX691" s="443"/>
      <c r="AY691" s="443"/>
      <c r="AZ691" s="443"/>
      <c r="BA691" s="443"/>
      <c r="BB691" s="443"/>
      <c r="BC691" s="443"/>
      <c r="BD691" s="443"/>
      <c r="BE691" s="443"/>
      <c r="BF691" s="443"/>
      <c r="BG691" s="443"/>
      <c r="BH691" s="443"/>
      <c r="BI691" s="443"/>
      <c r="BJ691" s="443"/>
      <c r="BK691" s="443"/>
      <c r="BL691" s="443"/>
      <c r="BM691" s="443"/>
      <c r="BN691" s="443"/>
      <c r="BO691" s="443"/>
      <c r="BP691" s="443"/>
      <c r="BQ691" s="111">
        <v>1.413</v>
      </c>
      <c r="BR691" s="462">
        <f t="shared" si="65"/>
        <v>847.8</v>
      </c>
      <c r="BS691" s="447">
        <f t="shared" si="66"/>
        <v>6570.45</v>
      </c>
      <c r="BT691" s="443" t="str">
        <f>IFERROR(VLOOKUP(E691,名称!A:D,4,FALSE),"")</f>
        <v>KIK</v>
      </c>
    </row>
    <row r="692" s="425" customFormat="1" hidden="1" customHeight="1" spans="1:72">
      <c r="A692" s="108">
        <v>46205</v>
      </c>
      <c r="B692" s="109" t="s">
        <v>237</v>
      </c>
      <c r="C692" s="30">
        <v>10130900</v>
      </c>
      <c r="D692" s="297" t="s">
        <v>325</v>
      </c>
      <c r="E692" s="253" t="s">
        <v>50</v>
      </c>
      <c r="F692" s="31">
        <v>5000</v>
      </c>
      <c r="G692" s="286">
        <v>46288</v>
      </c>
      <c r="H692" s="443"/>
      <c r="I692" s="443"/>
      <c r="J692" s="443"/>
      <c r="K692" s="443"/>
      <c r="L692" s="443">
        <f>F692</f>
        <v>5000</v>
      </c>
      <c r="M692" s="443"/>
      <c r="N692" s="443"/>
      <c r="O692" s="443"/>
      <c r="P692" s="443"/>
      <c r="Q692" s="443"/>
      <c r="R692" s="443"/>
      <c r="S692" s="443"/>
      <c r="T692" s="443"/>
      <c r="U692" s="443"/>
      <c r="V692" s="443"/>
      <c r="W692" s="443"/>
      <c r="X692" s="443"/>
      <c r="Y692" s="443"/>
      <c r="Z692" s="443"/>
      <c r="AA692" s="443"/>
      <c r="AB692" s="443"/>
      <c r="AC692" s="443"/>
      <c r="AD692" s="443"/>
      <c r="AE692" s="443"/>
      <c r="AF692" s="443"/>
      <c r="AG692" s="443"/>
      <c r="AH692" s="443"/>
      <c r="AI692" s="443"/>
      <c r="AJ692" s="443"/>
      <c r="AK692" s="443"/>
      <c r="AL692" s="443"/>
      <c r="AM692" s="443"/>
      <c r="AN692" s="443"/>
      <c r="AO692" s="443"/>
      <c r="AP692" s="443"/>
      <c r="AQ692" s="443"/>
      <c r="AR692" s="443"/>
      <c r="AS692" s="443"/>
      <c r="AT692" s="443"/>
      <c r="AU692" s="443"/>
      <c r="AV692" s="443"/>
      <c r="AW692" s="443"/>
      <c r="AX692" s="443"/>
      <c r="AY692" s="443"/>
      <c r="AZ692" s="443"/>
      <c r="BA692" s="443"/>
      <c r="BB692" s="443"/>
      <c r="BC692" s="443"/>
      <c r="BD692" s="443"/>
      <c r="BE692" s="443"/>
      <c r="BF692" s="443"/>
      <c r="BG692" s="443"/>
      <c r="BH692" s="443"/>
      <c r="BI692" s="443"/>
      <c r="BJ692" s="443"/>
      <c r="BK692" s="443"/>
      <c r="BL692" s="443"/>
      <c r="BM692" s="443"/>
      <c r="BN692" s="443"/>
      <c r="BO692" s="443"/>
      <c r="BP692" s="443"/>
      <c r="BQ692" s="111">
        <v>2.185</v>
      </c>
      <c r="BR692" s="462">
        <f t="shared" si="65"/>
        <v>10925</v>
      </c>
      <c r="BS692" s="447">
        <f t="shared" si="64"/>
        <v>84668.75</v>
      </c>
      <c r="BT692" s="443" t="str">
        <f>IFERROR(VLOOKUP(E692,名称!A:D,4,FALSE),"")</f>
        <v>KIK</v>
      </c>
    </row>
    <row r="693" s="425" customFormat="1" hidden="1" customHeight="1" spans="1:72">
      <c r="A693" s="108">
        <v>46205</v>
      </c>
      <c r="B693" s="109" t="s">
        <v>237</v>
      </c>
      <c r="C693" s="30">
        <v>10131161</v>
      </c>
      <c r="D693" s="297" t="s">
        <v>326</v>
      </c>
      <c r="E693" s="253" t="s">
        <v>48</v>
      </c>
      <c r="F693" s="31">
        <v>1232</v>
      </c>
      <c r="G693" s="286">
        <v>46253</v>
      </c>
      <c r="H693" s="443"/>
      <c r="I693" s="443"/>
      <c r="J693" s="443"/>
      <c r="K693" s="443">
        <f t="shared" ref="K693:K702" si="68">F693</f>
        <v>1232</v>
      </c>
      <c r="L693" s="443"/>
      <c r="M693" s="443"/>
      <c r="N693" s="443"/>
      <c r="O693" s="443"/>
      <c r="P693" s="443"/>
      <c r="Q693" s="443"/>
      <c r="R693" s="443"/>
      <c r="S693" s="443"/>
      <c r="T693" s="443"/>
      <c r="U693" s="443"/>
      <c r="V693" s="443"/>
      <c r="W693" s="443"/>
      <c r="X693" s="443"/>
      <c r="Y693" s="443"/>
      <c r="Z693" s="443"/>
      <c r="AA693" s="443"/>
      <c r="AB693" s="443"/>
      <c r="AC693" s="443"/>
      <c r="AD693" s="443"/>
      <c r="AE693" s="443"/>
      <c r="AF693" s="443"/>
      <c r="AG693" s="443"/>
      <c r="AH693" s="443"/>
      <c r="AI693" s="443"/>
      <c r="AJ693" s="443"/>
      <c r="AK693" s="443"/>
      <c r="AL693" s="443"/>
      <c r="AM693" s="443"/>
      <c r="AN693" s="443"/>
      <c r="AO693" s="443"/>
      <c r="AP693" s="443"/>
      <c r="AQ693" s="443"/>
      <c r="AR693" s="443"/>
      <c r="AS693" s="443"/>
      <c r="AT693" s="443"/>
      <c r="AU693" s="443"/>
      <c r="AV693" s="443"/>
      <c r="AW693" s="443"/>
      <c r="AX693" s="443"/>
      <c r="AY693" s="443"/>
      <c r="AZ693" s="443"/>
      <c r="BA693" s="443"/>
      <c r="BB693" s="443"/>
      <c r="BC693" s="443"/>
      <c r="BD693" s="443"/>
      <c r="BE693" s="443"/>
      <c r="BF693" s="443"/>
      <c r="BG693" s="443"/>
      <c r="BH693" s="443"/>
      <c r="BI693" s="443"/>
      <c r="BJ693" s="443"/>
      <c r="BK693" s="443"/>
      <c r="BL693" s="443"/>
      <c r="BM693" s="443"/>
      <c r="BN693" s="443"/>
      <c r="BO693" s="443"/>
      <c r="BP693" s="443"/>
      <c r="BQ693" s="111">
        <v>2.199</v>
      </c>
      <c r="BR693" s="462">
        <f t="shared" si="65"/>
        <v>2709.17</v>
      </c>
      <c r="BS693" s="447">
        <f t="shared" si="64"/>
        <v>20996.07</v>
      </c>
      <c r="BT693" s="443" t="str">
        <f>IFERROR(VLOOKUP(E693,名称!A:D,4,FALSE),"")</f>
        <v>KIK</v>
      </c>
    </row>
    <row r="694" s="425" customFormat="1" hidden="1" customHeight="1" spans="1:72">
      <c r="A694" s="108">
        <v>46205</v>
      </c>
      <c r="B694" s="109" t="s">
        <v>237</v>
      </c>
      <c r="C694" s="30">
        <v>10131163</v>
      </c>
      <c r="D694" s="297" t="s">
        <v>327</v>
      </c>
      <c r="E694" s="253" t="s">
        <v>48</v>
      </c>
      <c r="F694" s="31">
        <v>784</v>
      </c>
      <c r="G694" s="286">
        <v>46253</v>
      </c>
      <c r="H694" s="443"/>
      <c r="I694" s="443"/>
      <c r="J694" s="443"/>
      <c r="K694" s="443">
        <f t="shared" si="68"/>
        <v>784</v>
      </c>
      <c r="L694" s="443"/>
      <c r="M694" s="443"/>
      <c r="N694" s="443"/>
      <c r="O694" s="443"/>
      <c r="P694" s="443"/>
      <c r="Q694" s="443"/>
      <c r="R694" s="443"/>
      <c r="S694" s="443"/>
      <c r="T694" s="443"/>
      <c r="U694" s="443"/>
      <c r="V694" s="443"/>
      <c r="W694" s="443"/>
      <c r="X694" s="443"/>
      <c r="Y694" s="443"/>
      <c r="Z694" s="443"/>
      <c r="AA694" s="443"/>
      <c r="AB694" s="443"/>
      <c r="AC694" s="443"/>
      <c r="AD694" s="443"/>
      <c r="AE694" s="443"/>
      <c r="AF694" s="443"/>
      <c r="AG694" s="443"/>
      <c r="AH694" s="443"/>
      <c r="AI694" s="443"/>
      <c r="AJ694" s="443"/>
      <c r="AK694" s="443"/>
      <c r="AL694" s="443"/>
      <c r="AM694" s="443"/>
      <c r="AN694" s="443"/>
      <c r="AO694" s="443"/>
      <c r="AP694" s="443"/>
      <c r="AQ694" s="443"/>
      <c r="AR694" s="443"/>
      <c r="AS694" s="443"/>
      <c r="AT694" s="443"/>
      <c r="AU694" s="443"/>
      <c r="AV694" s="443"/>
      <c r="AW694" s="443"/>
      <c r="AX694" s="443"/>
      <c r="AY694" s="443"/>
      <c r="AZ694" s="443"/>
      <c r="BA694" s="443"/>
      <c r="BB694" s="443"/>
      <c r="BC694" s="443"/>
      <c r="BD694" s="443"/>
      <c r="BE694" s="443"/>
      <c r="BF694" s="443"/>
      <c r="BG694" s="443"/>
      <c r="BH694" s="443"/>
      <c r="BI694" s="443"/>
      <c r="BJ694" s="443"/>
      <c r="BK694" s="443"/>
      <c r="BL694" s="443"/>
      <c r="BM694" s="443"/>
      <c r="BN694" s="443"/>
      <c r="BO694" s="443"/>
      <c r="BP694" s="443"/>
      <c r="BQ694" s="111">
        <v>2.199</v>
      </c>
      <c r="BR694" s="462">
        <f t="shared" si="65"/>
        <v>1724.02</v>
      </c>
      <c r="BS694" s="447">
        <f t="shared" si="64"/>
        <v>13361.16</v>
      </c>
      <c r="BT694" s="443" t="str">
        <f>IFERROR(VLOOKUP(E694,名称!A:D,4,FALSE),"")</f>
        <v>KIK</v>
      </c>
    </row>
    <row r="695" s="425" customFormat="1" hidden="1" customHeight="1" spans="1:72">
      <c r="A695" s="108">
        <v>46205</v>
      </c>
      <c r="B695" s="109" t="s">
        <v>237</v>
      </c>
      <c r="C695" s="30">
        <v>10131164</v>
      </c>
      <c r="D695" s="297" t="s">
        <v>328</v>
      </c>
      <c r="E695" s="253" t="s">
        <v>48</v>
      </c>
      <c r="F695" s="31">
        <v>648</v>
      </c>
      <c r="G695" s="286">
        <v>46253</v>
      </c>
      <c r="H695" s="443"/>
      <c r="I695" s="443"/>
      <c r="J695" s="443"/>
      <c r="K695" s="443">
        <f t="shared" si="68"/>
        <v>648</v>
      </c>
      <c r="L695" s="443"/>
      <c r="M695" s="443"/>
      <c r="N695" s="443"/>
      <c r="O695" s="443"/>
      <c r="P695" s="443"/>
      <c r="Q695" s="443"/>
      <c r="R695" s="443"/>
      <c r="S695" s="443"/>
      <c r="T695" s="443"/>
      <c r="U695" s="443"/>
      <c r="V695" s="443"/>
      <c r="W695" s="443"/>
      <c r="X695" s="443"/>
      <c r="Y695" s="443"/>
      <c r="Z695" s="443"/>
      <c r="AA695" s="443"/>
      <c r="AB695" s="443"/>
      <c r="AC695" s="443"/>
      <c r="AD695" s="443"/>
      <c r="AE695" s="443"/>
      <c r="AF695" s="443"/>
      <c r="AG695" s="443"/>
      <c r="AH695" s="443"/>
      <c r="AI695" s="443"/>
      <c r="AJ695" s="443"/>
      <c r="AK695" s="443"/>
      <c r="AL695" s="443"/>
      <c r="AM695" s="443"/>
      <c r="AN695" s="443"/>
      <c r="AO695" s="443"/>
      <c r="AP695" s="443"/>
      <c r="AQ695" s="443"/>
      <c r="AR695" s="443"/>
      <c r="AS695" s="443"/>
      <c r="AT695" s="443"/>
      <c r="AU695" s="443"/>
      <c r="AV695" s="443"/>
      <c r="AW695" s="443"/>
      <c r="AX695" s="443"/>
      <c r="AY695" s="443"/>
      <c r="AZ695" s="443"/>
      <c r="BA695" s="443"/>
      <c r="BB695" s="443"/>
      <c r="BC695" s="443"/>
      <c r="BD695" s="443"/>
      <c r="BE695" s="443"/>
      <c r="BF695" s="443"/>
      <c r="BG695" s="443"/>
      <c r="BH695" s="443"/>
      <c r="BI695" s="443"/>
      <c r="BJ695" s="443"/>
      <c r="BK695" s="443"/>
      <c r="BL695" s="443"/>
      <c r="BM695" s="443"/>
      <c r="BN695" s="443"/>
      <c r="BO695" s="443"/>
      <c r="BP695" s="443"/>
      <c r="BQ695" s="111">
        <v>2.199</v>
      </c>
      <c r="BR695" s="462">
        <f t="shared" ref="BR695:BR726" si="69">SUM(H695:BP695)*BQ695</f>
        <v>1424.95</v>
      </c>
      <c r="BS695" s="447">
        <f t="shared" ref="BS695:BS727" si="70">BR695*7.75</f>
        <v>11043.36</v>
      </c>
      <c r="BT695" s="443" t="str">
        <f>IFERROR(VLOOKUP(E695,名称!A:D,4,FALSE),"")</f>
        <v>KIK</v>
      </c>
    </row>
    <row r="696" s="425" customFormat="1" hidden="1" customHeight="1" spans="1:72">
      <c r="A696" s="108">
        <v>46205</v>
      </c>
      <c r="B696" s="109" t="s">
        <v>237</v>
      </c>
      <c r="C696" s="30">
        <v>10131166</v>
      </c>
      <c r="D696" s="297" t="s">
        <v>329</v>
      </c>
      <c r="E696" s="253" t="s">
        <v>48</v>
      </c>
      <c r="F696" s="31">
        <v>2288</v>
      </c>
      <c r="G696" s="286">
        <v>46253</v>
      </c>
      <c r="H696" s="443"/>
      <c r="I696" s="443"/>
      <c r="J696" s="443"/>
      <c r="K696" s="443">
        <f t="shared" si="68"/>
        <v>2288</v>
      </c>
      <c r="L696" s="443"/>
      <c r="M696" s="443"/>
      <c r="N696" s="443"/>
      <c r="O696" s="443"/>
      <c r="P696" s="443"/>
      <c r="Q696" s="443"/>
      <c r="R696" s="443"/>
      <c r="S696" s="443"/>
      <c r="T696" s="443"/>
      <c r="U696" s="443"/>
      <c r="V696" s="443"/>
      <c r="W696" s="443"/>
      <c r="X696" s="443"/>
      <c r="Y696" s="443"/>
      <c r="Z696" s="443"/>
      <c r="AA696" s="443"/>
      <c r="AB696" s="443"/>
      <c r="AC696" s="443"/>
      <c r="AD696" s="443"/>
      <c r="AE696" s="443"/>
      <c r="AF696" s="443"/>
      <c r="AG696" s="443"/>
      <c r="AH696" s="443"/>
      <c r="AI696" s="443"/>
      <c r="AJ696" s="443"/>
      <c r="AK696" s="443"/>
      <c r="AL696" s="443"/>
      <c r="AM696" s="443"/>
      <c r="AN696" s="443"/>
      <c r="AO696" s="443"/>
      <c r="AP696" s="443"/>
      <c r="AQ696" s="443"/>
      <c r="AR696" s="443"/>
      <c r="AS696" s="443"/>
      <c r="AT696" s="443"/>
      <c r="AU696" s="443"/>
      <c r="AV696" s="443"/>
      <c r="AW696" s="443"/>
      <c r="AX696" s="443"/>
      <c r="AY696" s="443"/>
      <c r="AZ696" s="443"/>
      <c r="BA696" s="443"/>
      <c r="BB696" s="443"/>
      <c r="BC696" s="443"/>
      <c r="BD696" s="443"/>
      <c r="BE696" s="443"/>
      <c r="BF696" s="443"/>
      <c r="BG696" s="443"/>
      <c r="BH696" s="443"/>
      <c r="BI696" s="443"/>
      <c r="BJ696" s="443"/>
      <c r="BK696" s="443"/>
      <c r="BL696" s="443"/>
      <c r="BM696" s="443"/>
      <c r="BN696" s="443"/>
      <c r="BO696" s="443"/>
      <c r="BP696" s="443"/>
      <c r="BQ696" s="111">
        <v>2.199</v>
      </c>
      <c r="BR696" s="462">
        <f t="shared" si="69"/>
        <v>5031.31</v>
      </c>
      <c r="BS696" s="447">
        <f t="shared" si="70"/>
        <v>38992.65</v>
      </c>
      <c r="BT696" s="443" t="str">
        <f>IFERROR(VLOOKUP(E696,名称!A:D,4,FALSE),"")</f>
        <v>KIK</v>
      </c>
    </row>
    <row r="697" s="425" customFormat="1" hidden="1" customHeight="1" spans="1:72">
      <c r="A697" s="108">
        <v>46205</v>
      </c>
      <c r="B697" s="109" t="s">
        <v>237</v>
      </c>
      <c r="C697" s="30">
        <v>10131168</v>
      </c>
      <c r="D697" s="297" t="s">
        <v>330</v>
      </c>
      <c r="E697" s="253" t="s">
        <v>48</v>
      </c>
      <c r="F697" s="31">
        <v>248</v>
      </c>
      <c r="G697" s="286">
        <v>46253</v>
      </c>
      <c r="H697" s="443"/>
      <c r="I697" s="443"/>
      <c r="J697" s="443"/>
      <c r="K697" s="443">
        <f t="shared" si="68"/>
        <v>248</v>
      </c>
      <c r="L697" s="443"/>
      <c r="M697" s="443"/>
      <c r="N697" s="443"/>
      <c r="O697" s="443"/>
      <c r="P697" s="443"/>
      <c r="Q697" s="443"/>
      <c r="R697" s="443"/>
      <c r="S697" s="443"/>
      <c r="T697" s="443"/>
      <c r="U697" s="443"/>
      <c r="V697" s="443"/>
      <c r="W697" s="443"/>
      <c r="X697" s="443"/>
      <c r="Y697" s="443"/>
      <c r="Z697" s="443"/>
      <c r="AA697" s="443"/>
      <c r="AB697" s="443"/>
      <c r="AC697" s="443"/>
      <c r="AD697" s="443"/>
      <c r="AE697" s="443"/>
      <c r="AF697" s="443"/>
      <c r="AG697" s="443"/>
      <c r="AH697" s="443"/>
      <c r="AI697" s="443"/>
      <c r="AJ697" s="443"/>
      <c r="AK697" s="443"/>
      <c r="AL697" s="443"/>
      <c r="AM697" s="443"/>
      <c r="AN697" s="443"/>
      <c r="AO697" s="443"/>
      <c r="AP697" s="443"/>
      <c r="AQ697" s="443"/>
      <c r="AR697" s="443"/>
      <c r="AS697" s="443"/>
      <c r="AT697" s="443"/>
      <c r="AU697" s="443"/>
      <c r="AV697" s="443"/>
      <c r="AW697" s="443"/>
      <c r="AX697" s="443"/>
      <c r="AY697" s="443"/>
      <c r="AZ697" s="443"/>
      <c r="BA697" s="443"/>
      <c r="BB697" s="443"/>
      <c r="BC697" s="443"/>
      <c r="BD697" s="443"/>
      <c r="BE697" s="443"/>
      <c r="BF697" s="443"/>
      <c r="BG697" s="443"/>
      <c r="BH697" s="443"/>
      <c r="BI697" s="443"/>
      <c r="BJ697" s="443"/>
      <c r="BK697" s="443"/>
      <c r="BL697" s="443"/>
      <c r="BM697" s="443"/>
      <c r="BN697" s="443"/>
      <c r="BO697" s="443"/>
      <c r="BP697" s="443"/>
      <c r="BQ697" s="111">
        <v>2.199</v>
      </c>
      <c r="BR697" s="462">
        <f t="shared" si="69"/>
        <v>545.35</v>
      </c>
      <c r="BS697" s="447">
        <f t="shared" si="70"/>
        <v>4226.46</v>
      </c>
      <c r="BT697" s="443" t="str">
        <f>IFERROR(VLOOKUP(E697,名称!A:D,4,FALSE),"")</f>
        <v>KIK</v>
      </c>
    </row>
    <row r="698" s="425" customFormat="1" hidden="1" customHeight="1" spans="1:72">
      <c r="A698" s="108">
        <v>46205</v>
      </c>
      <c r="B698" s="109" t="s">
        <v>237</v>
      </c>
      <c r="C698" s="30">
        <v>10131170</v>
      </c>
      <c r="D698" s="297" t="s">
        <v>331</v>
      </c>
      <c r="E698" s="253" t="s">
        <v>48</v>
      </c>
      <c r="F698" s="31">
        <v>1032</v>
      </c>
      <c r="G698" s="286">
        <v>46253</v>
      </c>
      <c r="H698" s="443"/>
      <c r="I698" s="443"/>
      <c r="J698" s="443"/>
      <c r="K698" s="443">
        <f t="shared" si="68"/>
        <v>1032</v>
      </c>
      <c r="L698" s="443"/>
      <c r="M698" s="443"/>
      <c r="N698" s="443"/>
      <c r="O698" s="443"/>
      <c r="P698" s="443"/>
      <c r="Q698" s="443"/>
      <c r="R698" s="443"/>
      <c r="S698" s="443"/>
      <c r="T698" s="443"/>
      <c r="U698" s="443"/>
      <c r="V698" s="443"/>
      <c r="W698" s="443"/>
      <c r="X698" s="443"/>
      <c r="Y698" s="443"/>
      <c r="Z698" s="443"/>
      <c r="AA698" s="443"/>
      <c r="AB698" s="443"/>
      <c r="AC698" s="443"/>
      <c r="AD698" s="443"/>
      <c r="AE698" s="443"/>
      <c r="AF698" s="443"/>
      <c r="AG698" s="443"/>
      <c r="AH698" s="443"/>
      <c r="AI698" s="443"/>
      <c r="AJ698" s="443"/>
      <c r="AK698" s="443"/>
      <c r="AL698" s="443"/>
      <c r="AM698" s="443"/>
      <c r="AN698" s="443"/>
      <c r="AO698" s="443"/>
      <c r="AP698" s="443"/>
      <c r="AQ698" s="443"/>
      <c r="AR698" s="443"/>
      <c r="AS698" s="443"/>
      <c r="AT698" s="443"/>
      <c r="AU698" s="443"/>
      <c r="AV698" s="443"/>
      <c r="AW698" s="443"/>
      <c r="AX698" s="443"/>
      <c r="AY698" s="443"/>
      <c r="AZ698" s="443"/>
      <c r="BA698" s="443"/>
      <c r="BB698" s="443"/>
      <c r="BC698" s="443"/>
      <c r="BD698" s="443"/>
      <c r="BE698" s="443"/>
      <c r="BF698" s="443"/>
      <c r="BG698" s="443"/>
      <c r="BH698" s="443"/>
      <c r="BI698" s="443"/>
      <c r="BJ698" s="443"/>
      <c r="BK698" s="443"/>
      <c r="BL698" s="443"/>
      <c r="BM698" s="443"/>
      <c r="BN698" s="443"/>
      <c r="BO698" s="443"/>
      <c r="BP698" s="443"/>
      <c r="BQ698" s="111">
        <v>2.199</v>
      </c>
      <c r="BR698" s="462">
        <f t="shared" si="69"/>
        <v>2269.37</v>
      </c>
      <c r="BS698" s="447">
        <f t="shared" si="70"/>
        <v>17587.62</v>
      </c>
      <c r="BT698" s="443" t="str">
        <f>IFERROR(VLOOKUP(E698,名称!A:D,4,FALSE),"")</f>
        <v>KIK</v>
      </c>
    </row>
    <row r="699" s="425" customFormat="1" hidden="1" customHeight="1" spans="1:72">
      <c r="A699" s="108">
        <v>46205</v>
      </c>
      <c r="B699" s="109" t="s">
        <v>237</v>
      </c>
      <c r="C699" s="30">
        <v>10131172</v>
      </c>
      <c r="D699" s="297" t="s">
        <v>332</v>
      </c>
      <c r="E699" s="253" t="s">
        <v>48</v>
      </c>
      <c r="F699" s="31">
        <v>812</v>
      </c>
      <c r="G699" s="286">
        <v>46253</v>
      </c>
      <c r="H699" s="443"/>
      <c r="I699" s="443"/>
      <c r="J699" s="443"/>
      <c r="K699" s="443">
        <f t="shared" si="68"/>
        <v>812</v>
      </c>
      <c r="L699" s="443"/>
      <c r="M699" s="443"/>
      <c r="N699" s="443"/>
      <c r="O699" s="443"/>
      <c r="P699" s="443"/>
      <c r="Q699" s="443"/>
      <c r="R699" s="443"/>
      <c r="S699" s="443"/>
      <c r="T699" s="443"/>
      <c r="U699" s="443"/>
      <c r="V699" s="443"/>
      <c r="W699" s="443"/>
      <c r="X699" s="443"/>
      <c r="Y699" s="443"/>
      <c r="Z699" s="443"/>
      <c r="AA699" s="443"/>
      <c r="AB699" s="443"/>
      <c r="AC699" s="443"/>
      <c r="AD699" s="443"/>
      <c r="AE699" s="443"/>
      <c r="AF699" s="443"/>
      <c r="AG699" s="443"/>
      <c r="AH699" s="443"/>
      <c r="AI699" s="443"/>
      <c r="AJ699" s="443"/>
      <c r="AK699" s="443"/>
      <c r="AL699" s="443"/>
      <c r="AM699" s="443"/>
      <c r="AN699" s="443"/>
      <c r="AO699" s="443"/>
      <c r="AP699" s="443"/>
      <c r="AQ699" s="443"/>
      <c r="AR699" s="443"/>
      <c r="AS699" s="443"/>
      <c r="AT699" s="443"/>
      <c r="AU699" s="443"/>
      <c r="AV699" s="443"/>
      <c r="AW699" s="443"/>
      <c r="AX699" s="443"/>
      <c r="AY699" s="443"/>
      <c r="AZ699" s="443"/>
      <c r="BA699" s="443"/>
      <c r="BB699" s="443"/>
      <c r="BC699" s="443"/>
      <c r="BD699" s="443"/>
      <c r="BE699" s="443"/>
      <c r="BF699" s="443"/>
      <c r="BG699" s="443"/>
      <c r="BH699" s="443"/>
      <c r="BI699" s="443"/>
      <c r="BJ699" s="443"/>
      <c r="BK699" s="443"/>
      <c r="BL699" s="443"/>
      <c r="BM699" s="443"/>
      <c r="BN699" s="443"/>
      <c r="BO699" s="443"/>
      <c r="BP699" s="443"/>
      <c r="BQ699" s="111">
        <v>2.199</v>
      </c>
      <c r="BR699" s="462">
        <f t="shared" si="69"/>
        <v>1785.59</v>
      </c>
      <c r="BS699" s="447">
        <f t="shared" si="70"/>
        <v>13838.32</v>
      </c>
      <c r="BT699" s="443" t="str">
        <f>IFERROR(VLOOKUP(E699,名称!A:D,4,FALSE),"")</f>
        <v>KIK</v>
      </c>
    </row>
    <row r="700" s="425" customFormat="1" hidden="1" customHeight="1" spans="1:72">
      <c r="A700" s="108">
        <v>46205</v>
      </c>
      <c r="B700" s="109" t="s">
        <v>237</v>
      </c>
      <c r="C700" s="30">
        <v>10131173</v>
      </c>
      <c r="D700" s="297" t="s">
        <v>333</v>
      </c>
      <c r="E700" s="253" t="s">
        <v>48</v>
      </c>
      <c r="F700" s="31">
        <v>1352</v>
      </c>
      <c r="G700" s="286">
        <v>46253</v>
      </c>
      <c r="H700" s="443"/>
      <c r="I700" s="443"/>
      <c r="J700" s="443"/>
      <c r="K700" s="443">
        <f t="shared" si="68"/>
        <v>1352</v>
      </c>
      <c r="L700" s="443"/>
      <c r="M700" s="443"/>
      <c r="N700" s="443"/>
      <c r="O700" s="443"/>
      <c r="P700" s="443"/>
      <c r="Q700" s="443"/>
      <c r="R700" s="443"/>
      <c r="S700" s="443"/>
      <c r="T700" s="443"/>
      <c r="U700" s="443"/>
      <c r="V700" s="443"/>
      <c r="W700" s="443"/>
      <c r="X700" s="443"/>
      <c r="Y700" s="443"/>
      <c r="Z700" s="443"/>
      <c r="AA700" s="443"/>
      <c r="AB700" s="443"/>
      <c r="AC700" s="443"/>
      <c r="AD700" s="443"/>
      <c r="AE700" s="443"/>
      <c r="AF700" s="443"/>
      <c r="AG700" s="443"/>
      <c r="AH700" s="443"/>
      <c r="AI700" s="443"/>
      <c r="AJ700" s="443"/>
      <c r="AK700" s="443"/>
      <c r="AL700" s="443"/>
      <c r="AM700" s="443"/>
      <c r="AN700" s="443"/>
      <c r="AO700" s="443"/>
      <c r="AP700" s="443"/>
      <c r="AQ700" s="443"/>
      <c r="AR700" s="443"/>
      <c r="AS700" s="443"/>
      <c r="AT700" s="443"/>
      <c r="AU700" s="443"/>
      <c r="AV700" s="443"/>
      <c r="AW700" s="443"/>
      <c r="AX700" s="443"/>
      <c r="AY700" s="443"/>
      <c r="AZ700" s="443"/>
      <c r="BA700" s="443"/>
      <c r="BB700" s="443"/>
      <c r="BC700" s="443"/>
      <c r="BD700" s="443"/>
      <c r="BE700" s="443"/>
      <c r="BF700" s="443"/>
      <c r="BG700" s="443"/>
      <c r="BH700" s="443"/>
      <c r="BI700" s="443"/>
      <c r="BJ700" s="443"/>
      <c r="BK700" s="443"/>
      <c r="BL700" s="443"/>
      <c r="BM700" s="443"/>
      <c r="BN700" s="443"/>
      <c r="BO700" s="443"/>
      <c r="BP700" s="443"/>
      <c r="BQ700" s="111">
        <v>2.199</v>
      </c>
      <c r="BR700" s="462">
        <f t="shared" si="69"/>
        <v>2973.05</v>
      </c>
      <c r="BS700" s="447">
        <f t="shared" si="70"/>
        <v>23041.14</v>
      </c>
      <c r="BT700" s="443" t="str">
        <f>IFERROR(VLOOKUP(E700,名称!A:D,4,FALSE),"")</f>
        <v>KIK</v>
      </c>
    </row>
    <row r="701" s="425" customFormat="1" hidden="1" customHeight="1" spans="1:72">
      <c r="A701" s="108">
        <v>46205</v>
      </c>
      <c r="B701" s="109" t="s">
        <v>237</v>
      </c>
      <c r="C701" s="30">
        <v>10131174</v>
      </c>
      <c r="D701" s="297" t="s">
        <v>334</v>
      </c>
      <c r="E701" s="253" t="s">
        <v>48</v>
      </c>
      <c r="F701" s="31">
        <v>1120</v>
      </c>
      <c r="G701" s="286">
        <v>46253</v>
      </c>
      <c r="H701" s="443"/>
      <c r="I701" s="443"/>
      <c r="J701" s="443"/>
      <c r="K701" s="443">
        <f t="shared" si="68"/>
        <v>1120</v>
      </c>
      <c r="L701" s="443"/>
      <c r="M701" s="443"/>
      <c r="N701" s="443"/>
      <c r="O701" s="443"/>
      <c r="P701" s="443"/>
      <c r="Q701" s="443"/>
      <c r="R701" s="443"/>
      <c r="S701" s="443"/>
      <c r="T701" s="443"/>
      <c r="U701" s="443"/>
      <c r="V701" s="443"/>
      <c r="W701" s="443"/>
      <c r="X701" s="443"/>
      <c r="Y701" s="443"/>
      <c r="Z701" s="443"/>
      <c r="AA701" s="443"/>
      <c r="AB701" s="443"/>
      <c r="AC701" s="443"/>
      <c r="AD701" s="443"/>
      <c r="AE701" s="443"/>
      <c r="AF701" s="443"/>
      <c r="AG701" s="443"/>
      <c r="AH701" s="443"/>
      <c r="AI701" s="443"/>
      <c r="AJ701" s="443"/>
      <c r="AK701" s="443"/>
      <c r="AL701" s="443"/>
      <c r="AM701" s="443"/>
      <c r="AN701" s="443"/>
      <c r="AO701" s="443"/>
      <c r="AP701" s="443"/>
      <c r="AQ701" s="443"/>
      <c r="AR701" s="443"/>
      <c r="AS701" s="443"/>
      <c r="AT701" s="443"/>
      <c r="AU701" s="443"/>
      <c r="AV701" s="443"/>
      <c r="AW701" s="443"/>
      <c r="AX701" s="443"/>
      <c r="AY701" s="443"/>
      <c r="AZ701" s="443"/>
      <c r="BA701" s="443"/>
      <c r="BB701" s="443"/>
      <c r="BC701" s="443"/>
      <c r="BD701" s="443"/>
      <c r="BE701" s="443"/>
      <c r="BF701" s="443"/>
      <c r="BG701" s="443"/>
      <c r="BH701" s="443"/>
      <c r="BI701" s="443"/>
      <c r="BJ701" s="443"/>
      <c r="BK701" s="443"/>
      <c r="BL701" s="443"/>
      <c r="BM701" s="443"/>
      <c r="BN701" s="443"/>
      <c r="BO701" s="443"/>
      <c r="BP701" s="443"/>
      <c r="BQ701" s="111">
        <v>2.199</v>
      </c>
      <c r="BR701" s="462">
        <f t="shared" si="69"/>
        <v>2462.88</v>
      </c>
      <c r="BS701" s="447">
        <f t="shared" si="70"/>
        <v>19087.32</v>
      </c>
      <c r="BT701" s="443" t="str">
        <f>IFERROR(VLOOKUP(E701,名称!A:D,4,FALSE),"")</f>
        <v>KIK</v>
      </c>
    </row>
    <row r="702" s="425" customFormat="1" hidden="1" customHeight="1" spans="1:72">
      <c r="A702" s="108">
        <v>46205</v>
      </c>
      <c r="B702" s="109" t="s">
        <v>237</v>
      </c>
      <c r="C702" s="30">
        <v>10131175</v>
      </c>
      <c r="D702" s="297" t="s">
        <v>335</v>
      </c>
      <c r="E702" s="253" t="s">
        <v>48</v>
      </c>
      <c r="F702" s="31">
        <v>484</v>
      </c>
      <c r="G702" s="286">
        <v>46253</v>
      </c>
      <c r="H702" s="443"/>
      <c r="I702" s="443"/>
      <c r="J702" s="443"/>
      <c r="K702" s="443">
        <f t="shared" si="68"/>
        <v>484</v>
      </c>
      <c r="L702" s="443"/>
      <c r="M702" s="443"/>
      <c r="N702" s="443"/>
      <c r="O702" s="443"/>
      <c r="P702" s="443"/>
      <c r="Q702" s="443"/>
      <c r="R702" s="443"/>
      <c r="S702" s="443"/>
      <c r="T702" s="443"/>
      <c r="U702" s="443"/>
      <c r="V702" s="443"/>
      <c r="W702" s="443"/>
      <c r="X702" s="443"/>
      <c r="Y702" s="443"/>
      <c r="Z702" s="443"/>
      <c r="AA702" s="443"/>
      <c r="AB702" s="443"/>
      <c r="AC702" s="443"/>
      <c r="AD702" s="443"/>
      <c r="AE702" s="443"/>
      <c r="AF702" s="443"/>
      <c r="AG702" s="443"/>
      <c r="AH702" s="443"/>
      <c r="AI702" s="443"/>
      <c r="AJ702" s="443"/>
      <c r="AK702" s="443"/>
      <c r="AL702" s="443"/>
      <c r="AM702" s="443"/>
      <c r="AN702" s="443"/>
      <c r="AO702" s="443"/>
      <c r="AP702" s="443"/>
      <c r="AQ702" s="443"/>
      <c r="AR702" s="443"/>
      <c r="AS702" s="443"/>
      <c r="AT702" s="443"/>
      <c r="AU702" s="443"/>
      <c r="AV702" s="443"/>
      <c r="AW702" s="443"/>
      <c r="AX702" s="443"/>
      <c r="AY702" s="443"/>
      <c r="AZ702" s="443"/>
      <c r="BA702" s="443"/>
      <c r="BB702" s="443"/>
      <c r="BC702" s="443"/>
      <c r="BD702" s="443"/>
      <c r="BE702" s="443"/>
      <c r="BF702" s="443"/>
      <c r="BG702" s="443"/>
      <c r="BH702" s="443"/>
      <c r="BI702" s="443"/>
      <c r="BJ702" s="443"/>
      <c r="BK702" s="443"/>
      <c r="BL702" s="443"/>
      <c r="BM702" s="443"/>
      <c r="BN702" s="443"/>
      <c r="BO702" s="443"/>
      <c r="BP702" s="443"/>
      <c r="BQ702" s="111">
        <v>2.199</v>
      </c>
      <c r="BR702" s="462">
        <f t="shared" si="69"/>
        <v>1064.32</v>
      </c>
      <c r="BS702" s="447">
        <f t="shared" si="70"/>
        <v>8248.48</v>
      </c>
      <c r="BT702" s="443" t="str">
        <f>IFERROR(VLOOKUP(E702,名称!A:D,4,FALSE),"")</f>
        <v>KIK</v>
      </c>
    </row>
    <row r="703" s="425" customFormat="1" hidden="1" customHeight="1" spans="1:72">
      <c r="A703" s="108">
        <v>46205</v>
      </c>
      <c r="B703" s="109" t="s">
        <v>237</v>
      </c>
      <c r="C703" s="30">
        <v>10131176</v>
      </c>
      <c r="D703" s="297" t="s">
        <v>336</v>
      </c>
      <c r="E703" s="253" t="s">
        <v>55</v>
      </c>
      <c r="F703" s="31">
        <v>1002</v>
      </c>
      <c r="G703" s="286">
        <v>46267</v>
      </c>
      <c r="H703" s="443"/>
      <c r="I703" s="443"/>
      <c r="J703" s="443"/>
      <c r="K703" s="443"/>
      <c r="L703" s="443"/>
      <c r="M703" s="443">
        <f>F703</f>
        <v>1002</v>
      </c>
      <c r="N703" s="443"/>
      <c r="O703" s="443"/>
      <c r="P703" s="443"/>
      <c r="Q703" s="443"/>
      <c r="R703" s="443"/>
      <c r="S703" s="443"/>
      <c r="T703" s="443"/>
      <c r="U703" s="443"/>
      <c r="V703" s="443"/>
      <c r="W703" s="443"/>
      <c r="X703" s="443"/>
      <c r="Y703" s="443"/>
      <c r="Z703" s="443"/>
      <c r="AA703" s="443"/>
      <c r="AB703" s="443"/>
      <c r="AC703" s="443"/>
      <c r="AD703" s="443"/>
      <c r="AE703" s="443"/>
      <c r="AF703" s="443"/>
      <c r="AG703" s="443"/>
      <c r="AH703" s="443"/>
      <c r="AI703" s="443"/>
      <c r="AJ703" s="443"/>
      <c r="AK703" s="443"/>
      <c r="AL703" s="443"/>
      <c r="AM703" s="443"/>
      <c r="AN703" s="443"/>
      <c r="AO703" s="443"/>
      <c r="AP703" s="443"/>
      <c r="AQ703" s="443"/>
      <c r="AR703" s="443"/>
      <c r="AS703" s="443"/>
      <c r="AT703" s="443"/>
      <c r="AU703" s="443"/>
      <c r="AV703" s="443"/>
      <c r="AW703" s="443"/>
      <c r="AX703" s="443"/>
      <c r="AY703" s="443"/>
      <c r="AZ703" s="443"/>
      <c r="BA703" s="443"/>
      <c r="BB703" s="443"/>
      <c r="BC703" s="443"/>
      <c r="BD703" s="443"/>
      <c r="BE703" s="443"/>
      <c r="BF703" s="443"/>
      <c r="BG703" s="443"/>
      <c r="BH703" s="443"/>
      <c r="BI703" s="443"/>
      <c r="BJ703" s="443"/>
      <c r="BK703" s="443"/>
      <c r="BL703" s="443"/>
      <c r="BM703" s="443"/>
      <c r="BN703" s="443"/>
      <c r="BO703" s="443"/>
      <c r="BP703" s="443"/>
      <c r="BQ703" s="111">
        <v>1.413</v>
      </c>
      <c r="BR703" s="462">
        <f t="shared" si="69"/>
        <v>1415.83</v>
      </c>
      <c r="BS703" s="447">
        <f t="shared" si="70"/>
        <v>10972.68</v>
      </c>
      <c r="BT703" s="443" t="str">
        <f>IFERROR(VLOOKUP(E703,名称!A:D,4,FALSE),"")</f>
        <v>KIK</v>
      </c>
    </row>
    <row r="704" s="425" customFormat="1" hidden="1" customHeight="1" spans="1:72">
      <c r="A704" s="108">
        <v>46205</v>
      </c>
      <c r="B704" s="109" t="s">
        <v>237</v>
      </c>
      <c r="C704" s="30">
        <v>10131179</v>
      </c>
      <c r="D704" s="297" t="s">
        <v>337</v>
      </c>
      <c r="E704" s="253" t="s">
        <v>55</v>
      </c>
      <c r="F704" s="31">
        <v>612</v>
      </c>
      <c r="G704" s="286">
        <v>46267</v>
      </c>
      <c r="H704" s="443"/>
      <c r="I704" s="443"/>
      <c r="J704" s="443"/>
      <c r="K704" s="443"/>
      <c r="L704" s="443"/>
      <c r="M704" s="443">
        <f>F704</f>
        <v>612</v>
      </c>
      <c r="N704" s="443"/>
      <c r="O704" s="443"/>
      <c r="P704" s="443"/>
      <c r="Q704" s="443"/>
      <c r="R704" s="443"/>
      <c r="S704" s="443"/>
      <c r="T704" s="443"/>
      <c r="U704" s="443"/>
      <c r="V704" s="443"/>
      <c r="W704" s="443"/>
      <c r="X704" s="443"/>
      <c r="Y704" s="443"/>
      <c r="Z704" s="443"/>
      <c r="AA704" s="443"/>
      <c r="AB704" s="443"/>
      <c r="AC704" s="443"/>
      <c r="AD704" s="443"/>
      <c r="AE704" s="443"/>
      <c r="AF704" s="443"/>
      <c r="AG704" s="443"/>
      <c r="AH704" s="443"/>
      <c r="AI704" s="443"/>
      <c r="AJ704" s="443"/>
      <c r="AK704" s="443"/>
      <c r="AL704" s="443"/>
      <c r="AM704" s="443"/>
      <c r="AN704" s="443"/>
      <c r="AO704" s="443"/>
      <c r="AP704" s="443"/>
      <c r="AQ704" s="443"/>
      <c r="AR704" s="443"/>
      <c r="AS704" s="443"/>
      <c r="AT704" s="443"/>
      <c r="AU704" s="443"/>
      <c r="AV704" s="443"/>
      <c r="AW704" s="443"/>
      <c r="AX704" s="443"/>
      <c r="AY704" s="443"/>
      <c r="AZ704" s="443"/>
      <c r="BA704" s="443"/>
      <c r="BB704" s="443"/>
      <c r="BC704" s="443"/>
      <c r="BD704" s="443"/>
      <c r="BE704" s="443"/>
      <c r="BF704" s="443"/>
      <c r="BG704" s="443"/>
      <c r="BH704" s="443"/>
      <c r="BI704" s="443"/>
      <c r="BJ704" s="443"/>
      <c r="BK704" s="443"/>
      <c r="BL704" s="443"/>
      <c r="BM704" s="443"/>
      <c r="BN704" s="443"/>
      <c r="BO704" s="443"/>
      <c r="BP704" s="443"/>
      <c r="BQ704" s="111">
        <v>1.413</v>
      </c>
      <c r="BR704" s="462">
        <f t="shared" si="69"/>
        <v>864.76</v>
      </c>
      <c r="BS704" s="447">
        <f t="shared" si="70"/>
        <v>6701.89</v>
      </c>
      <c r="BT704" s="443" t="str">
        <f>IFERROR(VLOOKUP(E704,名称!A:D,4,FALSE),"")</f>
        <v>KIK</v>
      </c>
    </row>
    <row r="705" s="425" customFormat="1" hidden="1" customHeight="1" spans="1:72">
      <c r="A705" s="108">
        <v>46205</v>
      </c>
      <c r="B705" s="109" t="s">
        <v>237</v>
      </c>
      <c r="C705" s="30">
        <v>10131180</v>
      </c>
      <c r="D705" s="297" t="s">
        <v>338</v>
      </c>
      <c r="E705" s="253" t="s">
        <v>55</v>
      </c>
      <c r="F705" s="31">
        <v>300</v>
      </c>
      <c r="G705" s="286">
        <v>46267</v>
      </c>
      <c r="H705" s="443"/>
      <c r="I705" s="443"/>
      <c r="J705" s="443"/>
      <c r="K705" s="443"/>
      <c r="L705" s="443"/>
      <c r="M705" s="443">
        <f>F705</f>
        <v>300</v>
      </c>
      <c r="N705" s="443"/>
      <c r="O705" s="443"/>
      <c r="P705" s="443"/>
      <c r="Q705" s="443"/>
      <c r="R705" s="443"/>
      <c r="S705" s="443"/>
      <c r="T705" s="443"/>
      <c r="U705" s="443"/>
      <c r="V705" s="443"/>
      <c r="W705" s="443"/>
      <c r="X705" s="443"/>
      <c r="Y705" s="443"/>
      <c r="Z705" s="443"/>
      <c r="AA705" s="443"/>
      <c r="AB705" s="443"/>
      <c r="AC705" s="443"/>
      <c r="AD705" s="443"/>
      <c r="AE705" s="443"/>
      <c r="AF705" s="443"/>
      <c r="AG705" s="443"/>
      <c r="AH705" s="443"/>
      <c r="AI705" s="443"/>
      <c r="AJ705" s="443"/>
      <c r="AK705" s="443"/>
      <c r="AL705" s="443"/>
      <c r="AM705" s="443"/>
      <c r="AN705" s="443"/>
      <c r="AO705" s="443"/>
      <c r="AP705" s="443"/>
      <c r="AQ705" s="443"/>
      <c r="AR705" s="443"/>
      <c r="AS705" s="443"/>
      <c r="AT705" s="443"/>
      <c r="AU705" s="443"/>
      <c r="AV705" s="443"/>
      <c r="AW705" s="443"/>
      <c r="AX705" s="443"/>
      <c r="AY705" s="443"/>
      <c r="AZ705" s="443"/>
      <c r="BA705" s="443"/>
      <c r="BB705" s="443"/>
      <c r="BC705" s="443"/>
      <c r="BD705" s="443"/>
      <c r="BE705" s="443"/>
      <c r="BF705" s="443"/>
      <c r="BG705" s="443"/>
      <c r="BH705" s="443"/>
      <c r="BI705" s="443"/>
      <c r="BJ705" s="443"/>
      <c r="BK705" s="443"/>
      <c r="BL705" s="443"/>
      <c r="BM705" s="443"/>
      <c r="BN705" s="443"/>
      <c r="BO705" s="443"/>
      <c r="BP705" s="443"/>
      <c r="BQ705" s="111">
        <v>1.413</v>
      </c>
      <c r="BR705" s="462">
        <f t="shared" si="69"/>
        <v>423.9</v>
      </c>
      <c r="BS705" s="447">
        <f t="shared" si="70"/>
        <v>3285.23</v>
      </c>
      <c r="BT705" s="443" t="str">
        <f>IFERROR(VLOOKUP(E705,名称!A:D,4,FALSE),"")</f>
        <v>KIK</v>
      </c>
    </row>
    <row r="706" s="425" customFormat="1" hidden="1" customHeight="1" spans="1:72">
      <c r="A706" s="108">
        <v>46206</v>
      </c>
      <c r="B706" s="109" t="s">
        <v>237</v>
      </c>
      <c r="C706" s="30">
        <v>10131347</v>
      </c>
      <c r="D706" s="297" t="s">
        <v>339</v>
      </c>
      <c r="E706" s="253" t="s">
        <v>105</v>
      </c>
      <c r="F706" s="31">
        <v>616</v>
      </c>
      <c r="G706" s="286">
        <v>46295</v>
      </c>
      <c r="H706" s="443"/>
      <c r="I706" s="443"/>
      <c r="J706" s="443"/>
      <c r="K706" s="443"/>
      <c r="L706" s="443"/>
      <c r="M706" s="443"/>
      <c r="N706" s="443"/>
      <c r="O706" s="443"/>
      <c r="P706" s="443"/>
      <c r="Q706" s="443"/>
      <c r="R706" s="443"/>
      <c r="S706" s="443"/>
      <c r="T706" s="443"/>
      <c r="U706" s="443"/>
      <c r="V706" s="443"/>
      <c r="W706" s="443"/>
      <c r="X706" s="443"/>
      <c r="Y706" s="443"/>
      <c r="Z706" s="443"/>
      <c r="AA706" s="443"/>
      <c r="AB706" s="443"/>
      <c r="AC706" s="443"/>
      <c r="AD706" s="443"/>
      <c r="AE706" s="443"/>
      <c r="AF706" s="443"/>
      <c r="AG706" s="443"/>
      <c r="AH706" s="443"/>
      <c r="AI706" s="443"/>
      <c r="AJ706" s="443">
        <f t="shared" ref="AJ706:AJ715" si="71">F706</f>
        <v>616</v>
      </c>
      <c r="AK706" s="443"/>
      <c r="AL706" s="443"/>
      <c r="AM706" s="443"/>
      <c r="AN706" s="443"/>
      <c r="AO706" s="443"/>
      <c r="AP706" s="443"/>
      <c r="AQ706" s="443"/>
      <c r="AR706" s="443"/>
      <c r="AS706" s="443"/>
      <c r="AT706" s="443"/>
      <c r="AU706" s="443"/>
      <c r="AV706" s="443"/>
      <c r="AW706" s="443"/>
      <c r="AX706" s="443"/>
      <c r="AY706" s="443"/>
      <c r="AZ706" s="443"/>
      <c r="BA706" s="443"/>
      <c r="BB706" s="443"/>
      <c r="BC706" s="443"/>
      <c r="BD706" s="443"/>
      <c r="BE706" s="443"/>
      <c r="BF706" s="443"/>
      <c r="BG706" s="443"/>
      <c r="BH706" s="443"/>
      <c r="BI706" s="443"/>
      <c r="BJ706" s="443"/>
      <c r="BK706" s="443"/>
      <c r="BL706" s="443"/>
      <c r="BM706" s="443"/>
      <c r="BN706" s="443"/>
      <c r="BO706" s="443"/>
      <c r="BP706" s="443"/>
      <c r="BQ706" s="111">
        <v>2.994</v>
      </c>
      <c r="BR706" s="462">
        <f t="shared" si="69"/>
        <v>1844.3</v>
      </c>
      <c r="BS706" s="447">
        <f t="shared" si="70"/>
        <v>14293.33</v>
      </c>
      <c r="BT706" s="443" t="str">
        <f>IFERROR(VLOOKUP(E706,名称!A:D,4,FALSE),"")</f>
        <v>KIK</v>
      </c>
    </row>
    <row r="707" s="425" customFormat="1" hidden="1" customHeight="1" spans="1:72">
      <c r="A707" s="108">
        <v>46206</v>
      </c>
      <c r="B707" s="109" t="s">
        <v>237</v>
      </c>
      <c r="C707" s="30">
        <v>10131349</v>
      </c>
      <c r="D707" s="297" t="s">
        <v>340</v>
      </c>
      <c r="E707" s="253" t="s">
        <v>105</v>
      </c>
      <c r="F707" s="31">
        <v>476</v>
      </c>
      <c r="G707" s="286">
        <v>46295</v>
      </c>
      <c r="H707" s="443"/>
      <c r="I707" s="443"/>
      <c r="J707" s="443"/>
      <c r="K707" s="443"/>
      <c r="L707" s="443"/>
      <c r="M707" s="443"/>
      <c r="N707" s="443"/>
      <c r="O707" s="443"/>
      <c r="P707" s="443"/>
      <c r="Q707" s="443"/>
      <c r="R707" s="443"/>
      <c r="S707" s="443"/>
      <c r="T707" s="443"/>
      <c r="U707" s="443"/>
      <c r="V707" s="443"/>
      <c r="W707" s="443"/>
      <c r="X707" s="443"/>
      <c r="Y707" s="443"/>
      <c r="Z707" s="443"/>
      <c r="AA707" s="443"/>
      <c r="AB707" s="443"/>
      <c r="AC707" s="443"/>
      <c r="AD707" s="443"/>
      <c r="AE707" s="443"/>
      <c r="AF707" s="443"/>
      <c r="AG707" s="443"/>
      <c r="AH707" s="443"/>
      <c r="AI707" s="443"/>
      <c r="AJ707" s="443">
        <f t="shared" si="71"/>
        <v>476</v>
      </c>
      <c r="AK707" s="443"/>
      <c r="AL707" s="443"/>
      <c r="AM707" s="443"/>
      <c r="AN707" s="443"/>
      <c r="AO707" s="443"/>
      <c r="AP707" s="443"/>
      <c r="AQ707" s="443"/>
      <c r="AR707" s="443"/>
      <c r="AS707" s="443"/>
      <c r="AT707" s="443"/>
      <c r="AU707" s="443"/>
      <c r="AV707" s="443"/>
      <c r="AW707" s="443"/>
      <c r="AX707" s="443"/>
      <c r="AY707" s="443"/>
      <c r="AZ707" s="443"/>
      <c r="BA707" s="443"/>
      <c r="BB707" s="443"/>
      <c r="BC707" s="443"/>
      <c r="BD707" s="443"/>
      <c r="BE707" s="443"/>
      <c r="BF707" s="443"/>
      <c r="BG707" s="443"/>
      <c r="BH707" s="443"/>
      <c r="BI707" s="443"/>
      <c r="BJ707" s="443"/>
      <c r="BK707" s="443"/>
      <c r="BL707" s="443"/>
      <c r="BM707" s="443"/>
      <c r="BN707" s="443"/>
      <c r="BO707" s="443"/>
      <c r="BP707" s="443"/>
      <c r="BQ707" s="111">
        <v>2.994</v>
      </c>
      <c r="BR707" s="462">
        <f t="shared" si="69"/>
        <v>1425.14</v>
      </c>
      <c r="BS707" s="447">
        <f t="shared" si="70"/>
        <v>11044.84</v>
      </c>
      <c r="BT707" s="443" t="str">
        <f>IFERROR(VLOOKUP(E707,名称!A:D,4,FALSE),"")</f>
        <v>KIK</v>
      </c>
    </row>
    <row r="708" s="425" customFormat="1" hidden="1" customHeight="1" spans="1:72">
      <c r="A708" s="108">
        <v>46206</v>
      </c>
      <c r="B708" s="109" t="s">
        <v>237</v>
      </c>
      <c r="C708" s="30">
        <v>10131351</v>
      </c>
      <c r="D708" s="297" t="s">
        <v>341</v>
      </c>
      <c r="E708" s="253" t="s">
        <v>105</v>
      </c>
      <c r="F708" s="31">
        <v>392</v>
      </c>
      <c r="G708" s="286">
        <v>46295</v>
      </c>
      <c r="H708" s="443"/>
      <c r="I708" s="443"/>
      <c r="J708" s="443"/>
      <c r="K708" s="443"/>
      <c r="L708" s="443"/>
      <c r="M708" s="443"/>
      <c r="N708" s="443"/>
      <c r="O708" s="443"/>
      <c r="P708" s="443"/>
      <c r="Q708" s="443"/>
      <c r="R708" s="443"/>
      <c r="S708" s="443"/>
      <c r="T708" s="443"/>
      <c r="U708" s="443"/>
      <c r="V708" s="443"/>
      <c r="W708" s="443"/>
      <c r="X708" s="443"/>
      <c r="Y708" s="443"/>
      <c r="Z708" s="443"/>
      <c r="AA708" s="443"/>
      <c r="AB708" s="443"/>
      <c r="AC708" s="443"/>
      <c r="AD708" s="443"/>
      <c r="AE708" s="443"/>
      <c r="AF708" s="443"/>
      <c r="AG708" s="443"/>
      <c r="AH708" s="443"/>
      <c r="AI708" s="443"/>
      <c r="AJ708" s="443">
        <f t="shared" si="71"/>
        <v>392</v>
      </c>
      <c r="AK708" s="443"/>
      <c r="AL708" s="443"/>
      <c r="AM708" s="443"/>
      <c r="AN708" s="443"/>
      <c r="AO708" s="443"/>
      <c r="AP708" s="443"/>
      <c r="AQ708" s="443"/>
      <c r="AR708" s="443"/>
      <c r="AS708" s="443"/>
      <c r="AT708" s="443"/>
      <c r="AU708" s="443"/>
      <c r="AV708" s="443"/>
      <c r="AW708" s="443"/>
      <c r="AX708" s="443"/>
      <c r="AY708" s="443"/>
      <c r="AZ708" s="443"/>
      <c r="BA708" s="443"/>
      <c r="BB708" s="443"/>
      <c r="BC708" s="443"/>
      <c r="BD708" s="443"/>
      <c r="BE708" s="443"/>
      <c r="BF708" s="443"/>
      <c r="BG708" s="443"/>
      <c r="BH708" s="443"/>
      <c r="BI708" s="443"/>
      <c r="BJ708" s="443"/>
      <c r="BK708" s="443"/>
      <c r="BL708" s="443"/>
      <c r="BM708" s="443"/>
      <c r="BN708" s="443"/>
      <c r="BO708" s="443"/>
      <c r="BP708" s="443"/>
      <c r="BQ708" s="111">
        <v>2.994</v>
      </c>
      <c r="BR708" s="462">
        <f t="shared" si="69"/>
        <v>1173.65</v>
      </c>
      <c r="BS708" s="447">
        <f t="shared" si="70"/>
        <v>9095.79</v>
      </c>
      <c r="BT708" s="443" t="str">
        <f>IFERROR(VLOOKUP(E708,名称!A:D,4,FALSE),"")</f>
        <v>KIK</v>
      </c>
    </row>
    <row r="709" s="425" customFormat="1" hidden="1" customHeight="1" spans="1:72">
      <c r="A709" s="108">
        <v>46206</v>
      </c>
      <c r="B709" s="109" t="s">
        <v>237</v>
      </c>
      <c r="C709" s="30">
        <v>10131353</v>
      </c>
      <c r="D709" s="297" t="s">
        <v>342</v>
      </c>
      <c r="E709" s="253" t="s">
        <v>105</v>
      </c>
      <c r="F709" s="489">
        <v>784</v>
      </c>
      <c r="G709" s="286">
        <v>46295</v>
      </c>
      <c r="H709" s="443"/>
      <c r="I709" s="443"/>
      <c r="J709" s="443"/>
      <c r="K709" s="443"/>
      <c r="L709" s="443"/>
      <c r="M709" s="443"/>
      <c r="N709" s="443"/>
      <c r="O709" s="443"/>
      <c r="P709" s="443"/>
      <c r="Q709" s="443"/>
      <c r="R709" s="443"/>
      <c r="S709" s="443"/>
      <c r="T709" s="443"/>
      <c r="U709" s="443"/>
      <c r="V709" s="443"/>
      <c r="W709" s="443"/>
      <c r="X709" s="443"/>
      <c r="Y709" s="443"/>
      <c r="Z709" s="443"/>
      <c r="AA709" s="443"/>
      <c r="AB709" s="443"/>
      <c r="AC709" s="443"/>
      <c r="AD709" s="443"/>
      <c r="AE709" s="443"/>
      <c r="AF709" s="443"/>
      <c r="AG709" s="443"/>
      <c r="AH709" s="443"/>
      <c r="AI709" s="443"/>
      <c r="AJ709" s="443">
        <f t="shared" si="71"/>
        <v>784</v>
      </c>
      <c r="AK709" s="443"/>
      <c r="AL709" s="443"/>
      <c r="AM709" s="443"/>
      <c r="AN709" s="443"/>
      <c r="AO709" s="443"/>
      <c r="AP709" s="443"/>
      <c r="AQ709" s="443"/>
      <c r="AR709" s="443"/>
      <c r="AS709" s="443"/>
      <c r="AT709" s="443"/>
      <c r="AU709" s="443"/>
      <c r="AV709" s="443"/>
      <c r="AW709" s="443"/>
      <c r="AX709" s="443"/>
      <c r="AY709" s="443"/>
      <c r="AZ709" s="443"/>
      <c r="BA709" s="443"/>
      <c r="BB709" s="443"/>
      <c r="BC709" s="443"/>
      <c r="BD709" s="443"/>
      <c r="BE709" s="443"/>
      <c r="BF709" s="443"/>
      <c r="BG709" s="443"/>
      <c r="BH709" s="443"/>
      <c r="BI709" s="443"/>
      <c r="BJ709" s="443"/>
      <c r="BK709" s="443"/>
      <c r="BL709" s="443"/>
      <c r="BM709" s="443"/>
      <c r="BN709" s="443"/>
      <c r="BO709" s="443"/>
      <c r="BP709" s="443"/>
      <c r="BQ709" s="111">
        <v>2.994</v>
      </c>
      <c r="BR709" s="462">
        <f t="shared" si="69"/>
        <v>2347.3</v>
      </c>
      <c r="BS709" s="447">
        <f t="shared" si="70"/>
        <v>18191.58</v>
      </c>
      <c r="BT709" s="443" t="str">
        <f>IFERROR(VLOOKUP(E709,名称!A:D,4,FALSE),"")</f>
        <v>KIK</v>
      </c>
    </row>
    <row r="710" s="425" customFormat="1" hidden="1" customHeight="1" spans="1:72">
      <c r="A710" s="108">
        <v>46206</v>
      </c>
      <c r="B710" s="109" t="s">
        <v>237</v>
      </c>
      <c r="C710" s="30">
        <v>10131356</v>
      </c>
      <c r="D710" s="297" t="s">
        <v>343</v>
      </c>
      <c r="E710" s="253" t="s">
        <v>105</v>
      </c>
      <c r="F710" s="31">
        <v>532</v>
      </c>
      <c r="G710" s="286">
        <v>46295</v>
      </c>
      <c r="H710" s="443"/>
      <c r="I710" s="443"/>
      <c r="J710" s="443"/>
      <c r="K710" s="443"/>
      <c r="L710" s="443"/>
      <c r="M710" s="443"/>
      <c r="N710" s="443"/>
      <c r="O710" s="443"/>
      <c r="P710" s="443"/>
      <c r="Q710" s="443"/>
      <c r="R710" s="443"/>
      <c r="S710" s="443"/>
      <c r="T710" s="443"/>
      <c r="U710" s="443"/>
      <c r="V710" s="443"/>
      <c r="W710" s="443"/>
      <c r="X710" s="443"/>
      <c r="Y710" s="443"/>
      <c r="Z710" s="443"/>
      <c r="AA710" s="443"/>
      <c r="AB710" s="443"/>
      <c r="AC710" s="443"/>
      <c r="AD710" s="443"/>
      <c r="AE710" s="443"/>
      <c r="AF710" s="443"/>
      <c r="AG710" s="443"/>
      <c r="AH710" s="443"/>
      <c r="AI710" s="443"/>
      <c r="AJ710" s="443">
        <f t="shared" si="71"/>
        <v>532</v>
      </c>
      <c r="AK710" s="443"/>
      <c r="AL710" s="443"/>
      <c r="AM710" s="443"/>
      <c r="AN710" s="443"/>
      <c r="AO710" s="443"/>
      <c r="AP710" s="443"/>
      <c r="AQ710" s="443"/>
      <c r="AR710" s="443"/>
      <c r="AS710" s="443"/>
      <c r="AT710" s="443"/>
      <c r="AU710" s="443"/>
      <c r="AV710" s="443"/>
      <c r="AW710" s="443"/>
      <c r="AX710" s="443"/>
      <c r="AY710" s="443"/>
      <c r="AZ710" s="443"/>
      <c r="BA710" s="443"/>
      <c r="BB710" s="443"/>
      <c r="BC710" s="443"/>
      <c r="BD710" s="443"/>
      <c r="BE710" s="443"/>
      <c r="BF710" s="443"/>
      <c r="BG710" s="443"/>
      <c r="BH710" s="443"/>
      <c r="BI710" s="443"/>
      <c r="BJ710" s="443"/>
      <c r="BK710" s="443"/>
      <c r="BL710" s="443"/>
      <c r="BM710" s="443"/>
      <c r="BN710" s="443"/>
      <c r="BO710" s="443"/>
      <c r="BP710" s="443"/>
      <c r="BQ710" s="111">
        <v>2.994</v>
      </c>
      <c r="BR710" s="462">
        <f t="shared" si="69"/>
        <v>1592.81</v>
      </c>
      <c r="BS710" s="447">
        <f t="shared" si="70"/>
        <v>12344.28</v>
      </c>
      <c r="BT710" s="443" t="str">
        <f>IFERROR(VLOOKUP(E710,名称!A:D,4,FALSE),"")</f>
        <v>KIK</v>
      </c>
    </row>
    <row r="711" s="425" customFormat="1" hidden="1" customHeight="1" spans="1:72">
      <c r="A711" s="108">
        <v>46206</v>
      </c>
      <c r="B711" s="109" t="s">
        <v>237</v>
      </c>
      <c r="C711" s="30">
        <v>10131360</v>
      </c>
      <c r="D711" s="297" t="s">
        <v>344</v>
      </c>
      <c r="E711" s="253" t="s">
        <v>105</v>
      </c>
      <c r="F711" s="31">
        <v>484</v>
      </c>
      <c r="G711" s="286">
        <v>46295</v>
      </c>
      <c r="H711" s="443"/>
      <c r="I711" s="443"/>
      <c r="J711" s="443"/>
      <c r="K711" s="443"/>
      <c r="L711" s="443"/>
      <c r="M711" s="443"/>
      <c r="N711" s="443"/>
      <c r="O711" s="443"/>
      <c r="P711" s="443"/>
      <c r="Q711" s="443"/>
      <c r="R711" s="443"/>
      <c r="S711" s="443"/>
      <c r="T711" s="443"/>
      <c r="U711" s="443"/>
      <c r="V711" s="443"/>
      <c r="W711" s="443"/>
      <c r="X711" s="443"/>
      <c r="Y711" s="443"/>
      <c r="Z711" s="443"/>
      <c r="AA711" s="443"/>
      <c r="AB711" s="443"/>
      <c r="AC711" s="443"/>
      <c r="AD711" s="443"/>
      <c r="AE711" s="443"/>
      <c r="AF711" s="443"/>
      <c r="AG711" s="443"/>
      <c r="AH711" s="443"/>
      <c r="AI711" s="443"/>
      <c r="AJ711" s="443">
        <f t="shared" si="71"/>
        <v>484</v>
      </c>
      <c r="AK711" s="443"/>
      <c r="AL711" s="443"/>
      <c r="AM711" s="443"/>
      <c r="AN711" s="443"/>
      <c r="AO711" s="443"/>
      <c r="AP711" s="443"/>
      <c r="AQ711" s="443"/>
      <c r="AR711" s="443"/>
      <c r="AS711" s="443"/>
      <c r="AT711" s="443"/>
      <c r="AU711" s="443"/>
      <c r="AV711" s="443"/>
      <c r="AW711" s="443"/>
      <c r="AX711" s="443"/>
      <c r="AY711" s="443"/>
      <c r="AZ711" s="443"/>
      <c r="BA711" s="443"/>
      <c r="BB711" s="443"/>
      <c r="BC711" s="443"/>
      <c r="BD711" s="443"/>
      <c r="BE711" s="443"/>
      <c r="BF711" s="443"/>
      <c r="BG711" s="443"/>
      <c r="BH711" s="443"/>
      <c r="BI711" s="443"/>
      <c r="BJ711" s="443"/>
      <c r="BK711" s="443"/>
      <c r="BL711" s="443"/>
      <c r="BM711" s="443"/>
      <c r="BN711" s="443"/>
      <c r="BO711" s="443"/>
      <c r="BP711" s="443"/>
      <c r="BQ711" s="111">
        <v>2.994</v>
      </c>
      <c r="BR711" s="462">
        <f t="shared" si="69"/>
        <v>1449.1</v>
      </c>
      <c r="BS711" s="447">
        <f t="shared" si="70"/>
        <v>11230.53</v>
      </c>
      <c r="BT711" s="443" t="str">
        <f>IFERROR(VLOOKUP(E711,名称!A:D,4,FALSE),"")</f>
        <v>KIK</v>
      </c>
    </row>
    <row r="712" s="425" customFormat="1" hidden="1" customHeight="1" spans="1:72">
      <c r="A712" s="108">
        <v>46206</v>
      </c>
      <c r="B712" s="109" t="s">
        <v>237</v>
      </c>
      <c r="C712" s="30">
        <v>10131362</v>
      </c>
      <c r="D712" s="297" t="s">
        <v>345</v>
      </c>
      <c r="E712" s="253" t="s">
        <v>105</v>
      </c>
      <c r="F712" s="31">
        <v>308</v>
      </c>
      <c r="G712" s="286">
        <v>46295</v>
      </c>
      <c r="H712" s="443"/>
      <c r="I712" s="443"/>
      <c r="J712" s="443"/>
      <c r="K712" s="443"/>
      <c r="L712" s="443"/>
      <c r="M712" s="443"/>
      <c r="N712" s="443"/>
      <c r="O712" s="443"/>
      <c r="P712" s="443"/>
      <c r="Q712" s="443"/>
      <c r="R712" s="443"/>
      <c r="S712" s="443"/>
      <c r="T712" s="443"/>
      <c r="U712" s="443"/>
      <c r="V712" s="443"/>
      <c r="W712" s="443"/>
      <c r="X712" s="443"/>
      <c r="Y712" s="443"/>
      <c r="Z712" s="443"/>
      <c r="AA712" s="443"/>
      <c r="AB712" s="443"/>
      <c r="AC712" s="443"/>
      <c r="AD712" s="443"/>
      <c r="AE712" s="443"/>
      <c r="AF712" s="443"/>
      <c r="AG712" s="443"/>
      <c r="AH712" s="443"/>
      <c r="AI712" s="443"/>
      <c r="AJ712" s="443">
        <f t="shared" si="71"/>
        <v>308</v>
      </c>
      <c r="AK712" s="443"/>
      <c r="AL712" s="443"/>
      <c r="AM712" s="443"/>
      <c r="AN712" s="443"/>
      <c r="AO712" s="443"/>
      <c r="AP712" s="443"/>
      <c r="AQ712" s="443"/>
      <c r="AR712" s="443"/>
      <c r="AS712" s="443"/>
      <c r="AT712" s="443"/>
      <c r="AU712" s="443"/>
      <c r="AV712" s="443"/>
      <c r="AW712" s="443"/>
      <c r="AX712" s="443"/>
      <c r="AY712" s="443"/>
      <c r="AZ712" s="443"/>
      <c r="BA712" s="443"/>
      <c r="BB712" s="443"/>
      <c r="BC712" s="443"/>
      <c r="BD712" s="443"/>
      <c r="BE712" s="443"/>
      <c r="BF712" s="443"/>
      <c r="BG712" s="443"/>
      <c r="BH712" s="443"/>
      <c r="BI712" s="443"/>
      <c r="BJ712" s="443"/>
      <c r="BK712" s="443"/>
      <c r="BL712" s="443"/>
      <c r="BM712" s="443"/>
      <c r="BN712" s="443"/>
      <c r="BO712" s="443"/>
      <c r="BP712" s="443"/>
      <c r="BQ712" s="111">
        <v>2.994</v>
      </c>
      <c r="BR712" s="462">
        <f t="shared" si="69"/>
        <v>922.15</v>
      </c>
      <c r="BS712" s="447">
        <f t="shared" si="70"/>
        <v>7146.66</v>
      </c>
      <c r="BT712" s="443" t="str">
        <f>IFERROR(VLOOKUP(E712,名称!A:D,4,FALSE),"")</f>
        <v>KIK</v>
      </c>
    </row>
    <row r="713" s="425" customFormat="1" hidden="1" customHeight="1" spans="1:72">
      <c r="A713" s="108">
        <v>46206</v>
      </c>
      <c r="B713" s="109" t="s">
        <v>237</v>
      </c>
      <c r="C713" s="30">
        <v>10131364</v>
      </c>
      <c r="D713" s="297" t="s">
        <v>346</v>
      </c>
      <c r="E713" s="253" t="s">
        <v>105</v>
      </c>
      <c r="F713" s="31">
        <v>572</v>
      </c>
      <c r="G713" s="286">
        <v>46295</v>
      </c>
      <c r="H713" s="443"/>
      <c r="I713" s="443"/>
      <c r="J713" s="443"/>
      <c r="K713" s="443"/>
      <c r="L713" s="443"/>
      <c r="M713" s="443"/>
      <c r="N713" s="443"/>
      <c r="O713" s="443"/>
      <c r="P713" s="443"/>
      <c r="Q713" s="443"/>
      <c r="R713" s="443"/>
      <c r="S713" s="443"/>
      <c r="T713" s="443"/>
      <c r="U713" s="443"/>
      <c r="V713" s="443"/>
      <c r="W713" s="443"/>
      <c r="X713" s="443"/>
      <c r="Y713" s="443"/>
      <c r="Z713" s="443"/>
      <c r="AA713" s="443"/>
      <c r="AB713" s="443"/>
      <c r="AC713" s="443"/>
      <c r="AD713" s="443"/>
      <c r="AE713" s="443"/>
      <c r="AF713" s="443"/>
      <c r="AG713" s="443"/>
      <c r="AH713" s="443"/>
      <c r="AI713" s="443"/>
      <c r="AJ713" s="443">
        <f t="shared" si="71"/>
        <v>572</v>
      </c>
      <c r="AK713" s="443"/>
      <c r="AL713" s="443"/>
      <c r="AM713" s="443"/>
      <c r="AN713" s="443"/>
      <c r="AO713" s="443"/>
      <c r="AP713" s="443"/>
      <c r="AQ713" s="443"/>
      <c r="AR713" s="443"/>
      <c r="AS713" s="443"/>
      <c r="AT713" s="443"/>
      <c r="AU713" s="443"/>
      <c r="AV713" s="443"/>
      <c r="AW713" s="443"/>
      <c r="AX713" s="443"/>
      <c r="AY713" s="443"/>
      <c r="AZ713" s="443"/>
      <c r="BA713" s="443"/>
      <c r="BB713" s="443"/>
      <c r="BC713" s="443"/>
      <c r="BD713" s="443"/>
      <c r="BE713" s="443"/>
      <c r="BF713" s="443"/>
      <c r="BG713" s="443"/>
      <c r="BH713" s="443"/>
      <c r="BI713" s="443"/>
      <c r="BJ713" s="443"/>
      <c r="BK713" s="443"/>
      <c r="BL713" s="443"/>
      <c r="BM713" s="443"/>
      <c r="BN713" s="443"/>
      <c r="BO713" s="443"/>
      <c r="BP713" s="443"/>
      <c r="BQ713" s="111">
        <v>2.994</v>
      </c>
      <c r="BR713" s="462">
        <f t="shared" si="69"/>
        <v>1712.57</v>
      </c>
      <c r="BS713" s="447">
        <f t="shared" si="70"/>
        <v>13272.42</v>
      </c>
      <c r="BT713" s="443" t="str">
        <f>IFERROR(VLOOKUP(E713,名称!A:D,4,FALSE),"")</f>
        <v>KIK</v>
      </c>
    </row>
    <row r="714" s="425" customFormat="1" hidden="1" customHeight="1" spans="1:72">
      <c r="A714" s="108">
        <v>46206</v>
      </c>
      <c r="B714" s="109" t="s">
        <v>237</v>
      </c>
      <c r="C714" s="30">
        <v>10131365</v>
      </c>
      <c r="D714" s="297" t="s">
        <v>347</v>
      </c>
      <c r="E714" s="253" t="s">
        <v>105</v>
      </c>
      <c r="F714" s="31">
        <v>308</v>
      </c>
      <c r="G714" s="286">
        <v>46295</v>
      </c>
      <c r="H714" s="443"/>
      <c r="I714" s="443"/>
      <c r="J714" s="443"/>
      <c r="K714" s="443"/>
      <c r="L714" s="443"/>
      <c r="M714" s="443"/>
      <c r="N714" s="443"/>
      <c r="O714" s="443"/>
      <c r="P714" s="443"/>
      <c r="Q714" s="443"/>
      <c r="R714" s="443"/>
      <c r="S714" s="443"/>
      <c r="T714" s="443"/>
      <c r="U714" s="443"/>
      <c r="V714" s="443"/>
      <c r="W714" s="443"/>
      <c r="X714" s="443"/>
      <c r="Y714" s="443"/>
      <c r="Z714" s="443"/>
      <c r="AA714" s="443"/>
      <c r="AB714" s="443"/>
      <c r="AC714" s="443"/>
      <c r="AD714" s="443"/>
      <c r="AE714" s="443"/>
      <c r="AF714" s="443"/>
      <c r="AG714" s="443"/>
      <c r="AH714" s="443"/>
      <c r="AI714" s="443"/>
      <c r="AJ714" s="443">
        <f t="shared" si="71"/>
        <v>308</v>
      </c>
      <c r="AK714" s="443"/>
      <c r="AL714" s="443"/>
      <c r="AM714" s="443"/>
      <c r="AN714" s="443"/>
      <c r="AO714" s="443"/>
      <c r="AP714" s="443"/>
      <c r="AQ714" s="443"/>
      <c r="AR714" s="443"/>
      <c r="AS714" s="443"/>
      <c r="AT714" s="443"/>
      <c r="AU714" s="443"/>
      <c r="AV714" s="443"/>
      <c r="AW714" s="443"/>
      <c r="AX714" s="443"/>
      <c r="AY714" s="443"/>
      <c r="AZ714" s="443"/>
      <c r="BA714" s="443"/>
      <c r="BB714" s="443"/>
      <c r="BC714" s="443"/>
      <c r="BD714" s="443"/>
      <c r="BE714" s="443"/>
      <c r="BF714" s="443"/>
      <c r="BG714" s="443"/>
      <c r="BH714" s="443"/>
      <c r="BI714" s="443"/>
      <c r="BJ714" s="443"/>
      <c r="BK714" s="443"/>
      <c r="BL714" s="443"/>
      <c r="BM714" s="443"/>
      <c r="BN714" s="443"/>
      <c r="BO714" s="443"/>
      <c r="BP714" s="443"/>
      <c r="BQ714" s="111">
        <v>2.994</v>
      </c>
      <c r="BR714" s="462">
        <f t="shared" si="69"/>
        <v>922.15</v>
      </c>
      <c r="BS714" s="447">
        <f t="shared" si="70"/>
        <v>7146.66</v>
      </c>
      <c r="BT714" s="443" t="str">
        <f>IFERROR(VLOOKUP(E714,名称!A:D,4,FALSE),"")</f>
        <v>KIK</v>
      </c>
    </row>
    <row r="715" s="425" customFormat="1" hidden="1" customHeight="1" spans="1:72">
      <c r="A715" s="108">
        <v>46206</v>
      </c>
      <c r="B715" s="109" t="s">
        <v>237</v>
      </c>
      <c r="C715" s="30">
        <v>10131369</v>
      </c>
      <c r="D715" s="297" t="s">
        <v>348</v>
      </c>
      <c r="E715" s="253" t="s">
        <v>105</v>
      </c>
      <c r="F715" s="31">
        <v>508</v>
      </c>
      <c r="G715" s="286">
        <v>46295</v>
      </c>
      <c r="H715" s="443"/>
      <c r="I715" s="443"/>
      <c r="J715" s="443"/>
      <c r="K715" s="443"/>
      <c r="L715" s="443"/>
      <c r="M715" s="443"/>
      <c r="N715" s="443"/>
      <c r="O715" s="443"/>
      <c r="P715" s="443"/>
      <c r="Q715" s="443"/>
      <c r="R715" s="443"/>
      <c r="S715" s="443"/>
      <c r="T715" s="443"/>
      <c r="U715" s="443"/>
      <c r="V715" s="443"/>
      <c r="W715" s="443"/>
      <c r="X715" s="443"/>
      <c r="Y715" s="443"/>
      <c r="Z715" s="443"/>
      <c r="AA715" s="443"/>
      <c r="AB715" s="443"/>
      <c r="AC715" s="443"/>
      <c r="AD715" s="443"/>
      <c r="AE715" s="443"/>
      <c r="AF715" s="443"/>
      <c r="AG715" s="443"/>
      <c r="AH715" s="443"/>
      <c r="AI715" s="443"/>
      <c r="AJ715" s="443">
        <f t="shared" si="71"/>
        <v>508</v>
      </c>
      <c r="AK715" s="443"/>
      <c r="AL715" s="443"/>
      <c r="AM715" s="443"/>
      <c r="AN715" s="443"/>
      <c r="AO715" s="443"/>
      <c r="AP715" s="443"/>
      <c r="AQ715" s="443"/>
      <c r="AR715" s="443"/>
      <c r="AS715" s="443"/>
      <c r="AT715" s="443"/>
      <c r="AU715" s="443"/>
      <c r="AV715" s="443"/>
      <c r="AW715" s="443"/>
      <c r="AX715" s="443"/>
      <c r="AY715" s="443"/>
      <c r="AZ715" s="443"/>
      <c r="BA715" s="443"/>
      <c r="BB715" s="443"/>
      <c r="BC715" s="443"/>
      <c r="BD715" s="443"/>
      <c r="BE715" s="443"/>
      <c r="BF715" s="443"/>
      <c r="BG715" s="443"/>
      <c r="BH715" s="443"/>
      <c r="BI715" s="443"/>
      <c r="BJ715" s="443"/>
      <c r="BK715" s="443"/>
      <c r="BL715" s="443"/>
      <c r="BM715" s="443"/>
      <c r="BN715" s="443"/>
      <c r="BO715" s="443"/>
      <c r="BP715" s="443"/>
      <c r="BQ715" s="111">
        <v>2.994</v>
      </c>
      <c r="BR715" s="462">
        <f t="shared" si="69"/>
        <v>1520.95</v>
      </c>
      <c r="BS715" s="447">
        <f t="shared" si="70"/>
        <v>11787.36</v>
      </c>
      <c r="BT715" s="443" t="str">
        <f>IFERROR(VLOOKUP(E715,名称!A:D,4,FALSE),"")</f>
        <v>KIK</v>
      </c>
    </row>
    <row r="716" s="425" customFormat="1" hidden="1" customHeight="1" spans="1:72">
      <c r="A716" s="108">
        <v>46206</v>
      </c>
      <c r="B716" s="109" t="s">
        <v>237</v>
      </c>
      <c r="C716" s="30">
        <v>10131376</v>
      </c>
      <c r="D716" s="297" t="s">
        <v>349</v>
      </c>
      <c r="E716" s="253">
        <v>47669</v>
      </c>
      <c r="F716" s="31">
        <v>1000</v>
      </c>
      <c r="G716" s="286">
        <v>46295</v>
      </c>
      <c r="H716" s="443"/>
      <c r="I716" s="443"/>
      <c r="J716" s="443"/>
      <c r="K716" s="443"/>
      <c r="L716" s="443"/>
      <c r="M716" s="443"/>
      <c r="N716" s="443"/>
      <c r="O716" s="443"/>
      <c r="P716" s="443"/>
      <c r="Q716" s="443"/>
      <c r="R716" s="443">
        <f t="shared" ref="R716:R723" si="72">F716</f>
        <v>1000</v>
      </c>
      <c r="S716" s="443"/>
      <c r="T716" s="443"/>
      <c r="U716" s="443"/>
      <c r="V716" s="443"/>
      <c r="W716" s="443"/>
      <c r="X716" s="443"/>
      <c r="Y716" s="443"/>
      <c r="Z716" s="443"/>
      <c r="AA716" s="443"/>
      <c r="AB716" s="443"/>
      <c r="AC716" s="443"/>
      <c r="AD716" s="443"/>
      <c r="AE716" s="443"/>
      <c r="AF716" s="443"/>
      <c r="AG716" s="443"/>
      <c r="AH716" s="443"/>
      <c r="AI716" s="443"/>
      <c r="AJ716" s="443"/>
      <c r="AK716" s="443"/>
      <c r="AL716" s="443"/>
      <c r="AM716" s="443"/>
      <c r="AN716" s="443"/>
      <c r="AO716" s="443"/>
      <c r="AP716" s="443"/>
      <c r="AQ716" s="443"/>
      <c r="AR716" s="443"/>
      <c r="AS716" s="443"/>
      <c r="AT716" s="443"/>
      <c r="AU716" s="443"/>
      <c r="AV716" s="443"/>
      <c r="AW716" s="443"/>
      <c r="AX716" s="443"/>
      <c r="AY716" s="443"/>
      <c r="AZ716" s="443"/>
      <c r="BA716" s="443"/>
      <c r="BB716" s="443"/>
      <c r="BC716" s="443"/>
      <c r="BD716" s="443"/>
      <c r="BE716" s="443"/>
      <c r="BF716" s="443"/>
      <c r="BG716" s="443"/>
      <c r="BH716" s="443"/>
      <c r="BI716" s="443"/>
      <c r="BJ716" s="443"/>
      <c r="BK716" s="443"/>
      <c r="BL716" s="443"/>
      <c r="BM716" s="443"/>
      <c r="BN716" s="443"/>
      <c r="BO716" s="443"/>
      <c r="BP716" s="443"/>
      <c r="BQ716" s="111">
        <v>4.906</v>
      </c>
      <c r="BR716" s="462">
        <f t="shared" si="69"/>
        <v>4906</v>
      </c>
      <c r="BS716" s="447">
        <f t="shared" si="70"/>
        <v>38021.5</v>
      </c>
      <c r="BT716" s="443" t="str">
        <f>IFERROR(VLOOKUP(E716,名称!A:D,4,FALSE),"")</f>
        <v>KIK</v>
      </c>
    </row>
    <row r="717" s="425" customFormat="1" hidden="1" customHeight="1" spans="1:72">
      <c r="A717" s="108">
        <v>46206</v>
      </c>
      <c r="B717" s="109" t="s">
        <v>237</v>
      </c>
      <c r="C717" s="30">
        <v>10131379</v>
      </c>
      <c r="D717" s="297" t="s">
        <v>350</v>
      </c>
      <c r="E717" s="253">
        <v>47669</v>
      </c>
      <c r="F717" s="31">
        <v>792</v>
      </c>
      <c r="G717" s="286">
        <v>46295</v>
      </c>
      <c r="H717" s="443"/>
      <c r="I717" s="443"/>
      <c r="J717" s="443"/>
      <c r="K717" s="443"/>
      <c r="L717" s="443"/>
      <c r="M717" s="443"/>
      <c r="N717" s="443"/>
      <c r="O717" s="443"/>
      <c r="P717" s="443"/>
      <c r="Q717" s="443"/>
      <c r="R717" s="443">
        <f t="shared" si="72"/>
        <v>792</v>
      </c>
      <c r="S717" s="443"/>
      <c r="T717" s="443"/>
      <c r="U717" s="443"/>
      <c r="V717" s="443"/>
      <c r="W717" s="443"/>
      <c r="X717" s="443"/>
      <c r="Y717" s="443"/>
      <c r="Z717" s="443"/>
      <c r="AA717" s="443"/>
      <c r="AB717" s="443"/>
      <c r="AC717" s="443"/>
      <c r="AD717" s="443"/>
      <c r="AE717" s="443"/>
      <c r="AF717" s="443"/>
      <c r="AG717" s="443"/>
      <c r="AH717" s="443"/>
      <c r="AI717" s="443"/>
      <c r="AJ717" s="443"/>
      <c r="AK717" s="443"/>
      <c r="AL717" s="443"/>
      <c r="AM717" s="443"/>
      <c r="AN717" s="443"/>
      <c r="AO717" s="443"/>
      <c r="AP717" s="443"/>
      <c r="AQ717" s="443"/>
      <c r="AR717" s="443"/>
      <c r="AS717" s="443"/>
      <c r="AT717" s="443"/>
      <c r="AU717" s="443"/>
      <c r="AV717" s="443"/>
      <c r="AW717" s="443"/>
      <c r="AX717" s="443"/>
      <c r="AY717" s="443"/>
      <c r="AZ717" s="443"/>
      <c r="BA717" s="443"/>
      <c r="BB717" s="443"/>
      <c r="BC717" s="443"/>
      <c r="BD717" s="443"/>
      <c r="BE717" s="443"/>
      <c r="BF717" s="443"/>
      <c r="BG717" s="443"/>
      <c r="BH717" s="443"/>
      <c r="BI717" s="443"/>
      <c r="BJ717" s="443"/>
      <c r="BK717" s="443"/>
      <c r="BL717" s="443"/>
      <c r="BM717" s="443"/>
      <c r="BN717" s="443"/>
      <c r="BO717" s="443"/>
      <c r="BP717" s="443"/>
      <c r="BQ717" s="111">
        <v>4.906</v>
      </c>
      <c r="BR717" s="462">
        <f t="shared" si="69"/>
        <v>3885.55</v>
      </c>
      <c r="BS717" s="447">
        <f t="shared" si="70"/>
        <v>30113.01</v>
      </c>
      <c r="BT717" s="443" t="str">
        <f>IFERROR(VLOOKUP(E717,名称!A:D,4,FALSE),"")</f>
        <v>KIK</v>
      </c>
    </row>
    <row r="718" s="425" customFormat="1" hidden="1" customHeight="1" spans="1:72">
      <c r="A718" s="108">
        <v>46206</v>
      </c>
      <c r="B718" s="109" t="s">
        <v>237</v>
      </c>
      <c r="C718" s="30">
        <v>10131383</v>
      </c>
      <c r="D718" s="297" t="s">
        <v>351</v>
      </c>
      <c r="E718" s="253">
        <v>47669</v>
      </c>
      <c r="F718" s="31">
        <v>748</v>
      </c>
      <c r="G718" s="286">
        <v>46295</v>
      </c>
      <c r="H718" s="443"/>
      <c r="I718" s="443"/>
      <c r="J718" s="443"/>
      <c r="K718" s="443"/>
      <c r="L718" s="443"/>
      <c r="M718" s="443"/>
      <c r="N718" s="443"/>
      <c r="O718" s="443"/>
      <c r="P718" s="443"/>
      <c r="Q718" s="443"/>
      <c r="R718" s="443">
        <f t="shared" si="72"/>
        <v>748</v>
      </c>
      <c r="S718" s="443"/>
      <c r="T718" s="443"/>
      <c r="U718" s="443"/>
      <c r="V718" s="443"/>
      <c r="W718" s="443"/>
      <c r="X718" s="443"/>
      <c r="Y718" s="443"/>
      <c r="Z718" s="443"/>
      <c r="AA718" s="443"/>
      <c r="AB718" s="443"/>
      <c r="AC718" s="443"/>
      <c r="AD718" s="443"/>
      <c r="AE718" s="443"/>
      <c r="AF718" s="443"/>
      <c r="AG718" s="443"/>
      <c r="AH718" s="443"/>
      <c r="AI718" s="443"/>
      <c r="AJ718" s="443"/>
      <c r="AK718" s="443"/>
      <c r="AL718" s="443"/>
      <c r="AM718" s="443"/>
      <c r="AN718" s="443"/>
      <c r="AO718" s="443"/>
      <c r="AP718" s="443"/>
      <c r="AQ718" s="443"/>
      <c r="AR718" s="443"/>
      <c r="AS718" s="443"/>
      <c r="AT718" s="443"/>
      <c r="AU718" s="443"/>
      <c r="AV718" s="443"/>
      <c r="AW718" s="443"/>
      <c r="AX718" s="443"/>
      <c r="AY718" s="443"/>
      <c r="AZ718" s="443"/>
      <c r="BA718" s="443"/>
      <c r="BB718" s="443"/>
      <c r="BC718" s="443"/>
      <c r="BD718" s="443"/>
      <c r="BE718" s="443"/>
      <c r="BF718" s="443"/>
      <c r="BG718" s="443"/>
      <c r="BH718" s="443"/>
      <c r="BI718" s="443"/>
      <c r="BJ718" s="443"/>
      <c r="BK718" s="443"/>
      <c r="BL718" s="443"/>
      <c r="BM718" s="443"/>
      <c r="BN718" s="443"/>
      <c r="BO718" s="443"/>
      <c r="BP718" s="443"/>
      <c r="BQ718" s="111">
        <v>4.906</v>
      </c>
      <c r="BR718" s="462">
        <f t="shared" si="69"/>
        <v>3669.69</v>
      </c>
      <c r="BS718" s="447">
        <f t="shared" si="70"/>
        <v>28440.1</v>
      </c>
      <c r="BT718" s="443" t="str">
        <f>IFERROR(VLOOKUP(E718,名称!A:D,4,FALSE),"")</f>
        <v>KIK</v>
      </c>
    </row>
    <row r="719" s="425" customFormat="1" hidden="1" customHeight="1" spans="1:72">
      <c r="A719" s="108">
        <v>46206</v>
      </c>
      <c r="B719" s="109" t="s">
        <v>237</v>
      </c>
      <c r="C719" s="30">
        <v>10131387</v>
      </c>
      <c r="D719" s="297" t="s">
        <v>352</v>
      </c>
      <c r="E719" s="253">
        <v>47669</v>
      </c>
      <c r="F719" s="31">
        <v>176</v>
      </c>
      <c r="G719" s="286">
        <v>46295</v>
      </c>
      <c r="H719" s="443"/>
      <c r="I719" s="443"/>
      <c r="J719" s="443"/>
      <c r="K719" s="443"/>
      <c r="L719" s="443"/>
      <c r="M719" s="443"/>
      <c r="N719" s="443"/>
      <c r="O719" s="443"/>
      <c r="P719" s="443"/>
      <c r="Q719" s="443"/>
      <c r="R719" s="443">
        <f t="shared" si="72"/>
        <v>176</v>
      </c>
      <c r="S719" s="443"/>
      <c r="T719" s="443"/>
      <c r="U719" s="443"/>
      <c r="V719" s="443"/>
      <c r="W719" s="443"/>
      <c r="X719" s="443"/>
      <c r="Y719" s="443"/>
      <c r="Z719" s="443"/>
      <c r="AA719" s="443"/>
      <c r="AB719" s="443"/>
      <c r="AC719" s="443"/>
      <c r="AD719" s="443"/>
      <c r="AE719" s="443"/>
      <c r="AF719" s="443"/>
      <c r="AG719" s="443"/>
      <c r="AH719" s="443"/>
      <c r="AI719" s="443"/>
      <c r="AJ719" s="443"/>
      <c r="AK719" s="443"/>
      <c r="AL719" s="443"/>
      <c r="AM719" s="443"/>
      <c r="AN719" s="443"/>
      <c r="AO719" s="443"/>
      <c r="AP719" s="443"/>
      <c r="AQ719" s="443"/>
      <c r="AR719" s="443"/>
      <c r="AS719" s="443"/>
      <c r="AT719" s="443"/>
      <c r="AU719" s="443"/>
      <c r="AV719" s="443"/>
      <c r="AW719" s="443"/>
      <c r="AX719" s="443"/>
      <c r="AY719" s="443"/>
      <c r="AZ719" s="443"/>
      <c r="BA719" s="443"/>
      <c r="BB719" s="443"/>
      <c r="BC719" s="443"/>
      <c r="BD719" s="443"/>
      <c r="BE719" s="443"/>
      <c r="BF719" s="443"/>
      <c r="BG719" s="443"/>
      <c r="BH719" s="443"/>
      <c r="BI719" s="443"/>
      <c r="BJ719" s="443"/>
      <c r="BK719" s="443"/>
      <c r="BL719" s="443"/>
      <c r="BM719" s="443"/>
      <c r="BN719" s="443"/>
      <c r="BO719" s="443"/>
      <c r="BP719" s="443"/>
      <c r="BQ719" s="111">
        <v>4.906</v>
      </c>
      <c r="BR719" s="462">
        <f t="shared" si="69"/>
        <v>863.46</v>
      </c>
      <c r="BS719" s="447">
        <f t="shared" si="70"/>
        <v>6691.82</v>
      </c>
      <c r="BT719" s="443" t="str">
        <f>IFERROR(VLOOKUP(E719,名称!A:D,4,FALSE),"")</f>
        <v>KIK</v>
      </c>
    </row>
    <row r="720" s="425" customFormat="1" hidden="1" customHeight="1" spans="1:72">
      <c r="A720" s="108">
        <v>46206</v>
      </c>
      <c r="B720" s="109" t="s">
        <v>237</v>
      </c>
      <c r="C720" s="30">
        <v>10131392</v>
      </c>
      <c r="D720" s="297" t="s">
        <v>353</v>
      </c>
      <c r="E720" s="253">
        <v>47669</v>
      </c>
      <c r="F720" s="31">
        <v>212</v>
      </c>
      <c r="G720" s="286">
        <v>46295</v>
      </c>
      <c r="H720" s="443"/>
      <c r="I720" s="443"/>
      <c r="J720" s="443"/>
      <c r="K720" s="443"/>
      <c r="L720" s="443"/>
      <c r="M720" s="443"/>
      <c r="N720" s="443"/>
      <c r="O720" s="443"/>
      <c r="P720" s="443"/>
      <c r="Q720" s="443"/>
      <c r="R720" s="443">
        <f t="shared" si="72"/>
        <v>212</v>
      </c>
      <c r="S720" s="443"/>
      <c r="T720" s="443"/>
      <c r="U720" s="443"/>
      <c r="V720" s="443"/>
      <c r="W720" s="443"/>
      <c r="X720" s="443"/>
      <c r="Y720" s="443"/>
      <c r="Z720" s="443"/>
      <c r="AA720" s="443"/>
      <c r="AB720" s="443"/>
      <c r="AC720" s="443"/>
      <c r="AD720" s="443"/>
      <c r="AE720" s="443"/>
      <c r="AF720" s="443"/>
      <c r="AG720" s="443"/>
      <c r="AH720" s="443"/>
      <c r="AI720" s="443"/>
      <c r="AJ720" s="443"/>
      <c r="AK720" s="443"/>
      <c r="AL720" s="443"/>
      <c r="AM720" s="443"/>
      <c r="AN720" s="443"/>
      <c r="AO720" s="443"/>
      <c r="AP720" s="443"/>
      <c r="AQ720" s="443"/>
      <c r="AR720" s="443"/>
      <c r="AS720" s="443"/>
      <c r="AT720" s="443"/>
      <c r="AU720" s="443"/>
      <c r="AV720" s="443"/>
      <c r="AW720" s="443"/>
      <c r="AX720" s="443"/>
      <c r="AY720" s="443"/>
      <c r="AZ720" s="443"/>
      <c r="BA720" s="443"/>
      <c r="BB720" s="443"/>
      <c r="BC720" s="443"/>
      <c r="BD720" s="443"/>
      <c r="BE720" s="443"/>
      <c r="BF720" s="443"/>
      <c r="BG720" s="443"/>
      <c r="BH720" s="443"/>
      <c r="BI720" s="443"/>
      <c r="BJ720" s="443"/>
      <c r="BK720" s="443"/>
      <c r="BL720" s="443"/>
      <c r="BM720" s="443"/>
      <c r="BN720" s="443"/>
      <c r="BO720" s="443"/>
      <c r="BP720" s="443"/>
      <c r="BQ720" s="111">
        <v>4.906</v>
      </c>
      <c r="BR720" s="462">
        <f t="shared" si="69"/>
        <v>1040.07</v>
      </c>
      <c r="BS720" s="447">
        <f t="shared" si="70"/>
        <v>8060.54</v>
      </c>
      <c r="BT720" s="443" t="str">
        <f>IFERROR(VLOOKUP(E720,名称!A:D,4,FALSE),"")</f>
        <v>KIK</v>
      </c>
    </row>
    <row r="721" s="3" customFormat="1" hidden="1" customHeight="1" spans="1:72">
      <c r="A721" s="268">
        <v>46206</v>
      </c>
      <c r="B721" s="269" t="s">
        <v>237</v>
      </c>
      <c r="C721" s="270">
        <v>10131394</v>
      </c>
      <c r="D721" s="297" t="s">
        <v>354</v>
      </c>
      <c r="E721" s="253">
        <v>47669</v>
      </c>
      <c r="F721" s="273">
        <v>616</v>
      </c>
      <c r="G721" s="490">
        <v>46295</v>
      </c>
      <c r="H721" s="488"/>
      <c r="I721" s="488"/>
      <c r="J721" s="488"/>
      <c r="K721" s="488"/>
      <c r="L721" s="488"/>
      <c r="M721" s="488"/>
      <c r="N721" s="488"/>
      <c r="O721" s="488"/>
      <c r="P721" s="488"/>
      <c r="Q721" s="488"/>
      <c r="R721" s="488">
        <f t="shared" si="72"/>
        <v>616</v>
      </c>
      <c r="S721" s="488"/>
      <c r="T721" s="488"/>
      <c r="U721" s="488"/>
      <c r="V721" s="488"/>
      <c r="W721" s="488"/>
      <c r="X721" s="488"/>
      <c r="Y721" s="488"/>
      <c r="Z721" s="488"/>
      <c r="AA721" s="488"/>
      <c r="AB721" s="488"/>
      <c r="AC721" s="488"/>
      <c r="AD721" s="488"/>
      <c r="AE721" s="488"/>
      <c r="AF721" s="488"/>
      <c r="AG721" s="488"/>
      <c r="AH721" s="488"/>
      <c r="AI721" s="488"/>
      <c r="AJ721" s="488"/>
      <c r="AK721" s="488"/>
      <c r="AL721" s="488"/>
      <c r="AM721" s="488"/>
      <c r="AN721" s="488"/>
      <c r="AO721" s="488"/>
      <c r="AP721" s="488"/>
      <c r="AQ721" s="488"/>
      <c r="AR721" s="488"/>
      <c r="AS721" s="488"/>
      <c r="AT721" s="488"/>
      <c r="AU721" s="488"/>
      <c r="AV721" s="488"/>
      <c r="AW721" s="488"/>
      <c r="AX721" s="488"/>
      <c r="AY721" s="488"/>
      <c r="AZ721" s="488"/>
      <c r="BA721" s="488"/>
      <c r="BB721" s="488"/>
      <c r="BC721" s="488"/>
      <c r="BD721" s="488"/>
      <c r="BE721" s="488"/>
      <c r="BF721" s="488"/>
      <c r="BG721" s="488"/>
      <c r="BH721" s="488"/>
      <c r="BI721" s="488"/>
      <c r="BJ721" s="488"/>
      <c r="BK721" s="488"/>
      <c r="BL721" s="488"/>
      <c r="BM721" s="488"/>
      <c r="BN721" s="488"/>
      <c r="BO721" s="488"/>
      <c r="BP721" s="488"/>
      <c r="BQ721" s="303">
        <v>4.906</v>
      </c>
      <c r="BR721" s="462">
        <f t="shared" si="69"/>
        <v>3022.1</v>
      </c>
      <c r="BS721" s="447">
        <f t="shared" si="70"/>
        <v>23421.28</v>
      </c>
      <c r="BT721" s="488" t="str">
        <f>IFERROR(VLOOKUP(E721,名称!A:D,4,FALSE),"")</f>
        <v>KIK</v>
      </c>
    </row>
    <row r="722" s="3" customFormat="1" hidden="1" customHeight="1" spans="1:72">
      <c r="A722" s="268">
        <v>46206</v>
      </c>
      <c r="B722" s="269" t="s">
        <v>237</v>
      </c>
      <c r="C722" s="270">
        <v>10131396</v>
      </c>
      <c r="D722" s="297" t="s">
        <v>355</v>
      </c>
      <c r="E722" s="253">
        <v>47669</v>
      </c>
      <c r="F722" s="273">
        <v>144</v>
      </c>
      <c r="G722" s="490">
        <v>46295</v>
      </c>
      <c r="H722" s="488"/>
      <c r="I722" s="488"/>
      <c r="J722" s="488"/>
      <c r="K722" s="488"/>
      <c r="L722" s="488"/>
      <c r="M722" s="488"/>
      <c r="N722" s="488"/>
      <c r="O722" s="488"/>
      <c r="P722" s="488"/>
      <c r="Q722" s="488"/>
      <c r="R722" s="488">
        <f t="shared" si="72"/>
        <v>144</v>
      </c>
      <c r="S722" s="488"/>
      <c r="T722" s="488"/>
      <c r="U722" s="488"/>
      <c r="V722" s="488"/>
      <c r="W722" s="488"/>
      <c r="X722" s="488"/>
      <c r="Y722" s="488"/>
      <c r="Z722" s="488"/>
      <c r="AA722" s="488"/>
      <c r="AB722" s="488"/>
      <c r="AC722" s="488"/>
      <c r="AD722" s="488"/>
      <c r="AE722" s="488"/>
      <c r="AF722" s="488"/>
      <c r="AG722" s="488"/>
      <c r="AH722" s="488"/>
      <c r="AI722" s="488"/>
      <c r="AJ722" s="488"/>
      <c r="AK722" s="488"/>
      <c r="AL722" s="488"/>
      <c r="AM722" s="488"/>
      <c r="AN722" s="488"/>
      <c r="AO722" s="488"/>
      <c r="AP722" s="488"/>
      <c r="AQ722" s="488"/>
      <c r="AR722" s="488"/>
      <c r="AS722" s="488"/>
      <c r="AT722" s="488"/>
      <c r="AU722" s="488"/>
      <c r="AV722" s="488"/>
      <c r="AW722" s="488"/>
      <c r="AX722" s="488"/>
      <c r="AY722" s="488"/>
      <c r="AZ722" s="488"/>
      <c r="BA722" s="488"/>
      <c r="BB722" s="488"/>
      <c r="BC722" s="488"/>
      <c r="BD722" s="488"/>
      <c r="BE722" s="488"/>
      <c r="BF722" s="488"/>
      <c r="BG722" s="488"/>
      <c r="BH722" s="488"/>
      <c r="BI722" s="488"/>
      <c r="BJ722" s="488"/>
      <c r="BK722" s="488"/>
      <c r="BL722" s="488"/>
      <c r="BM722" s="488"/>
      <c r="BN722" s="488"/>
      <c r="BO722" s="488"/>
      <c r="BP722" s="488"/>
      <c r="BQ722" s="303">
        <v>4.906</v>
      </c>
      <c r="BR722" s="462">
        <f t="shared" si="69"/>
        <v>706.46</v>
      </c>
      <c r="BS722" s="447">
        <f t="shared" si="70"/>
        <v>5475.07</v>
      </c>
      <c r="BT722" s="488" t="str">
        <f>IFERROR(VLOOKUP(E722,名称!A:D,4,FALSE),"")</f>
        <v>KIK</v>
      </c>
    </row>
    <row r="723" s="3" customFormat="1" hidden="1" customHeight="1" spans="1:72">
      <c r="A723" s="268">
        <v>46206</v>
      </c>
      <c r="B723" s="269" t="s">
        <v>237</v>
      </c>
      <c r="C723" s="270">
        <v>10131398</v>
      </c>
      <c r="D723" s="297" t="s">
        <v>356</v>
      </c>
      <c r="E723" s="253">
        <v>47669</v>
      </c>
      <c r="F723" s="273">
        <v>628</v>
      </c>
      <c r="G723" s="490">
        <v>46295</v>
      </c>
      <c r="H723" s="488"/>
      <c r="I723" s="488"/>
      <c r="J723" s="488"/>
      <c r="K723" s="488"/>
      <c r="L723" s="488"/>
      <c r="M723" s="488"/>
      <c r="N723" s="488"/>
      <c r="O723" s="488"/>
      <c r="P723" s="488"/>
      <c r="Q723" s="488"/>
      <c r="R723" s="488">
        <f t="shared" si="72"/>
        <v>628</v>
      </c>
      <c r="S723" s="488"/>
      <c r="T723" s="488"/>
      <c r="U723" s="488"/>
      <c r="V723" s="488"/>
      <c r="W723" s="488"/>
      <c r="X723" s="488"/>
      <c r="Y723" s="488"/>
      <c r="Z723" s="488"/>
      <c r="AA723" s="488"/>
      <c r="AB723" s="488"/>
      <c r="AC723" s="488"/>
      <c r="AD723" s="488"/>
      <c r="AE723" s="488"/>
      <c r="AF723" s="488"/>
      <c r="AG723" s="488"/>
      <c r="AH723" s="488"/>
      <c r="AI723" s="488"/>
      <c r="AJ723" s="488"/>
      <c r="AK723" s="488"/>
      <c r="AL723" s="488"/>
      <c r="AM723" s="488"/>
      <c r="AN723" s="488"/>
      <c r="AO723" s="488"/>
      <c r="AP723" s="488"/>
      <c r="AQ723" s="488"/>
      <c r="AR723" s="488"/>
      <c r="AS723" s="488"/>
      <c r="AT723" s="488"/>
      <c r="AU723" s="488"/>
      <c r="AV723" s="488"/>
      <c r="AW723" s="488"/>
      <c r="AX723" s="488"/>
      <c r="AY723" s="488"/>
      <c r="AZ723" s="488"/>
      <c r="BA723" s="488"/>
      <c r="BB723" s="488"/>
      <c r="BC723" s="488"/>
      <c r="BD723" s="488"/>
      <c r="BE723" s="488"/>
      <c r="BF723" s="488"/>
      <c r="BG723" s="488"/>
      <c r="BH723" s="488"/>
      <c r="BI723" s="488"/>
      <c r="BJ723" s="488"/>
      <c r="BK723" s="488"/>
      <c r="BL723" s="488"/>
      <c r="BM723" s="488"/>
      <c r="BN723" s="488"/>
      <c r="BO723" s="488"/>
      <c r="BP723" s="488"/>
      <c r="BQ723" s="303">
        <v>4.906</v>
      </c>
      <c r="BR723" s="462">
        <f t="shared" si="69"/>
        <v>3080.97</v>
      </c>
      <c r="BS723" s="447">
        <f t="shared" si="70"/>
        <v>23877.52</v>
      </c>
      <c r="BT723" s="488" t="str">
        <f>IFERROR(VLOOKUP(E723,名称!A:D,4,FALSE),"")</f>
        <v>KIK</v>
      </c>
    </row>
    <row r="724" s="3" customFormat="1" hidden="1" customHeight="1" spans="1:72">
      <c r="A724" s="268">
        <v>46206</v>
      </c>
      <c r="B724" s="285" t="s">
        <v>299</v>
      </c>
      <c r="C724" s="270">
        <v>10131243</v>
      </c>
      <c r="D724" s="297">
        <v>4500033055</v>
      </c>
      <c r="E724" s="253" t="s">
        <v>225</v>
      </c>
      <c r="F724" s="273">
        <v>1000</v>
      </c>
      <c r="G724" s="490">
        <v>46337</v>
      </c>
      <c r="H724" s="488"/>
      <c r="I724" s="488"/>
      <c r="J724" s="488"/>
      <c r="K724" s="488"/>
      <c r="L724" s="488"/>
      <c r="M724" s="488"/>
      <c r="N724" s="488"/>
      <c r="O724" s="488"/>
      <c r="P724" s="488"/>
      <c r="Q724" s="488"/>
      <c r="R724" s="488"/>
      <c r="S724" s="488"/>
      <c r="T724" s="488"/>
      <c r="U724" s="488"/>
      <c r="V724" s="488"/>
      <c r="W724" s="488"/>
      <c r="X724" s="488"/>
      <c r="Y724" s="488"/>
      <c r="Z724" s="488"/>
      <c r="AA724" s="488"/>
      <c r="AB724" s="488"/>
      <c r="AC724" s="488"/>
      <c r="AD724" s="488"/>
      <c r="AE724" s="488"/>
      <c r="AF724" s="488"/>
      <c r="AG724" s="488"/>
      <c r="AH724" s="488"/>
      <c r="AI724" s="488"/>
      <c r="AJ724" s="488"/>
      <c r="AK724" s="488"/>
      <c r="AL724" s="488"/>
      <c r="AM724" s="488"/>
      <c r="AN724" s="488"/>
      <c r="AO724" s="488"/>
      <c r="AP724" s="488"/>
      <c r="AQ724" s="488"/>
      <c r="AR724" s="488"/>
      <c r="AS724" s="488"/>
      <c r="AT724" s="488"/>
      <c r="AU724" s="488"/>
      <c r="AV724" s="488"/>
      <c r="AW724" s="488"/>
      <c r="AX724" s="488"/>
      <c r="AY724" s="488"/>
      <c r="AZ724" s="488"/>
      <c r="BA724" s="488"/>
      <c r="BB724" s="488"/>
      <c r="BC724" s="488"/>
      <c r="BD724" s="488"/>
      <c r="BE724" s="488"/>
      <c r="BF724" s="488"/>
      <c r="BG724" s="488"/>
      <c r="BH724" s="488"/>
      <c r="BI724" s="488"/>
      <c r="BJ724" s="488">
        <f>F724</f>
        <v>1000</v>
      </c>
      <c r="BK724" s="488"/>
      <c r="BL724" s="488"/>
      <c r="BM724" s="488"/>
      <c r="BN724" s="488"/>
      <c r="BO724" s="488"/>
      <c r="BP724" s="488"/>
      <c r="BQ724" s="303">
        <v>5.774</v>
      </c>
      <c r="BR724" s="462">
        <f t="shared" si="69"/>
        <v>5774</v>
      </c>
      <c r="BS724" s="447">
        <f t="shared" si="70"/>
        <v>44748.5</v>
      </c>
      <c r="BT724" s="491" t="s">
        <v>128</v>
      </c>
    </row>
    <row r="725" s="3" customFormat="1" hidden="1" customHeight="1" spans="1:72">
      <c r="A725" s="268">
        <v>46206</v>
      </c>
      <c r="B725" s="269" t="s">
        <v>237</v>
      </c>
      <c r="C725" s="270">
        <v>10131183</v>
      </c>
      <c r="D725" s="297" t="s">
        <v>357</v>
      </c>
      <c r="E725" s="253" t="s">
        <v>55</v>
      </c>
      <c r="F725" s="273">
        <v>480</v>
      </c>
      <c r="G725" s="490">
        <v>46267</v>
      </c>
      <c r="H725" s="488"/>
      <c r="I725" s="488"/>
      <c r="J725" s="488"/>
      <c r="K725" s="488"/>
      <c r="L725" s="488"/>
      <c r="M725" s="488">
        <f>F725</f>
        <v>480</v>
      </c>
      <c r="N725" s="488"/>
      <c r="O725" s="488"/>
      <c r="P725" s="488"/>
      <c r="Q725" s="488"/>
      <c r="R725" s="488"/>
      <c r="S725" s="488"/>
      <c r="T725" s="488"/>
      <c r="U725" s="488"/>
      <c r="V725" s="488"/>
      <c r="W725" s="488"/>
      <c r="X725" s="488"/>
      <c r="Y725" s="488"/>
      <c r="Z725" s="488"/>
      <c r="AA725" s="488"/>
      <c r="AB725" s="488"/>
      <c r="AC725" s="488"/>
      <c r="AD725" s="488"/>
      <c r="AE725" s="488"/>
      <c r="AF725" s="488"/>
      <c r="AG725" s="488"/>
      <c r="AH725" s="488"/>
      <c r="AI725" s="488"/>
      <c r="AJ725" s="488"/>
      <c r="AK725" s="488"/>
      <c r="AL725" s="488"/>
      <c r="AM725" s="488"/>
      <c r="AN725" s="488"/>
      <c r="AO725" s="488"/>
      <c r="AP725" s="488"/>
      <c r="AQ725" s="488"/>
      <c r="AR725" s="488"/>
      <c r="AS725" s="488"/>
      <c r="AT725" s="488"/>
      <c r="AU725" s="488"/>
      <c r="AV725" s="488"/>
      <c r="AW725" s="488"/>
      <c r="AX725" s="488"/>
      <c r="AY725" s="488"/>
      <c r="AZ725" s="488"/>
      <c r="BA725" s="488"/>
      <c r="BB725" s="488"/>
      <c r="BC725" s="488"/>
      <c r="BD725" s="488"/>
      <c r="BE725" s="488"/>
      <c r="BF725" s="488"/>
      <c r="BG725" s="488"/>
      <c r="BH725" s="488"/>
      <c r="BI725" s="488"/>
      <c r="BJ725" s="488"/>
      <c r="BK725" s="488"/>
      <c r="BL725" s="488"/>
      <c r="BM725" s="488"/>
      <c r="BN725" s="488"/>
      <c r="BO725" s="488"/>
      <c r="BP725" s="488"/>
      <c r="BQ725" s="303">
        <v>1.413</v>
      </c>
      <c r="BR725" s="462">
        <f t="shared" si="69"/>
        <v>678.24</v>
      </c>
      <c r="BS725" s="447">
        <f t="shared" si="70"/>
        <v>5256.36</v>
      </c>
      <c r="BT725" s="488" t="str">
        <f>IFERROR(VLOOKUP(E725,名称!A:D,4,FALSE),"")</f>
        <v>KIK</v>
      </c>
    </row>
    <row r="726" s="3" customFormat="1" hidden="1" customHeight="1" spans="1:72">
      <c r="A726" s="268">
        <v>46211</v>
      </c>
      <c r="B726" s="269" t="s">
        <v>237</v>
      </c>
      <c r="C726" s="270">
        <v>10131390</v>
      </c>
      <c r="D726" s="297" t="s">
        <v>358</v>
      </c>
      <c r="E726" s="253">
        <v>47669</v>
      </c>
      <c r="F726" s="273">
        <v>684</v>
      </c>
      <c r="G726" s="490">
        <v>46295</v>
      </c>
      <c r="H726" s="488"/>
      <c r="I726" s="488"/>
      <c r="J726" s="488"/>
      <c r="K726" s="488"/>
      <c r="L726" s="488"/>
      <c r="M726" s="488"/>
      <c r="N726" s="488"/>
      <c r="O726" s="488"/>
      <c r="P726" s="488"/>
      <c r="Q726" s="488"/>
      <c r="R726" s="488">
        <f>F726</f>
        <v>684</v>
      </c>
      <c r="S726" s="488"/>
      <c r="T726" s="488"/>
      <c r="U726" s="488"/>
      <c r="V726" s="488"/>
      <c r="W726" s="488"/>
      <c r="X726" s="488"/>
      <c r="Y726" s="488"/>
      <c r="Z726" s="488"/>
      <c r="AA726" s="488"/>
      <c r="AB726" s="488"/>
      <c r="AC726" s="488"/>
      <c r="AD726" s="488"/>
      <c r="AE726" s="488"/>
      <c r="AF726" s="488"/>
      <c r="AG726" s="488"/>
      <c r="AH726" s="488"/>
      <c r="AI726" s="488"/>
      <c r="AJ726" s="488"/>
      <c r="AK726" s="488"/>
      <c r="AL726" s="488"/>
      <c r="AM726" s="488"/>
      <c r="AN726" s="488"/>
      <c r="AO726" s="488"/>
      <c r="AP726" s="488"/>
      <c r="AQ726" s="488"/>
      <c r="AR726" s="488"/>
      <c r="AS726" s="488"/>
      <c r="AT726" s="488"/>
      <c r="AU726" s="488"/>
      <c r="AV726" s="488"/>
      <c r="AW726" s="488"/>
      <c r="AX726" s="488"/>
      <c r="AY726" s="488"/>
      <c r="AZ726" s="488"/>
      <c r="BA726" s="488"/>
      <c r="BB726" s="488"/>
      <c r="BC726" s="488"/>
      <c r="BD726" s="488"/>
      <c r="BE726" s="488"/>
      <c r="BF726" s="488"/>
      <c r="BG726" s="488"/>
      <c r="BH726" s="488"/>
      <c r="BI726" s="488"/>
      <c r="BJ726" s="488"/>
      <c r="BK726" s="488"/>
      <c r="BL726" s="488"/>
      <c r="BM726" s="488"/>
      <c r="BN726" s="488"/>
      <c r="BO726" s="488"/>
      <c r="BP726" s="488"/>
      <c r="BQ726" s="303">
        <v>4.906</v>
      </c>
      <c r="BR726" s="462">
        <f t="shared" si="69"/>
        <v>3355.7</v>
      </c>
      <c r="BS726" s="447">
        <f t="shared" si="70"/>
        <v>26006.68</v>
      </c>
      <c r="BT726" s="488" t="str">
        <f>IFERROR(VLOOKUP(E726,名称!A:D,4,FALSE),"")</f>
        <v>KIK</v>
      </c>
    </row>
    <row r="727" s="3" customFormat="1" hidden="1" customHeight="1" spans="1:72">
      <c r="A727" s="268">
        <v>46218</v>
      </c>
      <c r="B727" s="285" t="s">
        <v>235</v>
      </c>
      <c r="C727" s="270">
        <v>10132440</v>
      </c>
      <c r="D727" s="297">
        <v>4500033086</v>
      </c>
      <c r="E727" s="253" t="s">
        <v>213</v>
      </c>
      <c r="F727" s="273">
        <v>5000</v>
      </c>
      <c r="G727" s="490">
        <v>46309</v>
      </c>
      <c r="H727" s="488"/>
      <c r="I727" s="488"/>
      <c r="J727" s="488"/>
      <c r="K727" s="488"/>
      <c r="L727" s="488"/>
      <c r="M727" s="488"/>
      <c r="N727" s="488"/>
      <c r="O727" s="488"/>
      <c r="P727" s="488"/>
      <c r="Q727" s="488"/>
      <c r="R727" s="488"/>
      <c r="S727" s="488"/>
      <c r="T727" s="488"/>
      <c r="U727" s="488"/>
      <c r="V727" s="488">
        <f>F727</f>
        <v>5000</v>
      </c>
      <c r="W727" s="488"/>
      <c r="X727" s="488"/>
      <c r="Y727" s="488"/>
      <c r="Z727" s="488"/>
      <c r="AA727" s="488"/>
      <c r="AB727" s="488"/>
      <c r="AC727" s="488"/>
      <c r="AD727" s="488"/>
      <c r="AE727" s="488"/>
      <c r="AF727" s="488"/>
      <c r="AG727" s="488"/>
      <c r="AH727" s="488"/>
      <c r="AI727" s="488"/>
      <c r="AJ727" s="488"/>
      <c r="AK727" s="488"/>
      <c r="AL727" s="488"/>
      <c r="AM727" s="488"/>
      <c r="AN727" s="488"/>
      <c r="AO727" s="488"/>
      <c r="AP727" s="488"/>
      <c r="AQ727" s="488"/>
      <c r="AR727" s="488"/>
      <c r="AS727" s="488"/>
      <c r="AT727" s="488"/>
      <c r="AU727" s="488"/>
      <c r="AV727" s="488"/>
      <c r="AW727" s="488"/>
      <c r="AX727" s="488"/>
      <c r="AY727" s="488"/>
      <c r="AZ727" s="488"/>
      <c r="BA727" s="488"/>
      <c r="BB727" s="488"/>
      <c r="BC727" s="488"/>
      <c r="BD727" s="488"/>
      <c r="BE727" s="488"/>
      <c r="BF727" s="488"/>
      <c r="BG727" s="488"/>
      <c r="BH727" s="488"/>
      <c r="BI727" s="488"/>
      <c r="BJ727" s="488"/>
      <c r="BK727" s="488"/>
      <c r="BL727" s="488"/>
      <c r="BM727" s="488"/>
      <c r="BN727" s="488"/>
      <c r="BO727" s="488"/>
      <c r="BP727" s="488"/>
      <c r="BQ727" s="303">
        <v>3.243</v>
      </c>
      <c r="BR727" s="462">
        <f t="shared" ref="BR724:BR742" si="73">SUM(H727:BP727)*BQ727</f>
        <v>16215</v>
      </c>
      <c r="BS727" s="462">
        <f t="shared" si="70"/>
        <v>125666.25</v>
      </c>
      <c r="BT727" s="488" t="s">
        <v>12</v>
      </c>
    </row>
    <row r="728" s="3" customFormat="1" hidden="1" customHeight="1" spans="1:72">
      <c r="A728" s="268">
        <v>46219</v>
      </c>
      <c r="B728" s="269" t="s">
        <v>237</v>
      </c>
      <c r="C728" s="270">
        <v>10132664</v>
      </c>
      <c r="D728" s="297" t="s">
        <v>359</v>
      </c>
      <c r="E728" s="253" t="s">
        <v>118</v>
      </c>
      <c r="F728" s="273">
        <v>2500</v>
      </c>
      <c r="G728" s="490">
        <v>46316</v>
      </c>
      <c r="H728" s="488"/>
      <c r="I728" s="488"/>
      <c r="J728" s="488"/>
      <c r="K728" s="488"/>
      <c r="L728" s="488"/>
      <c r="M728" s="488"/>
      <c r="N728" s="488"/>
      <c r="O728" s="488"/>
      <c r="P728" s="488"/>
      <c r="Q728" s="488"/>
      <c r="R728" s="488"/>
      <c r="S728" s="488"/>
      <c r="T728" s="488"/>
      <c r="U728" s="488"/>
      <c r="V728" s="488"/>
      <c r="W728" s="488"/>
      <c r="X728" s="488"/>
      <c r="Y728" s="488"/>
      <c r="Z728" s="488"/>
      <c r="AA728" s="488"/>
      <c r="AB728" s="488"/>
      <c r="AC728" s="488"/>
      <c r="AD728" s="488"/>
      <c r="AE728" s="488"/>
      <c r="AF728" s="488"/>
      <c r="AG728" s="488"/>
      <c r="AH728" s="488"/>
      <c r="AI728" s="488"/>
      <c r="AJ728" s="488"/>
      <c r="AK728" s="488"/>
      <c r="AL728" s="488"/>
      <c r="AM728" s="488"/>
      <c r="AN728" s="488"/>
      <c r="AO728" s="488"/>
      <c r="AP728" s="488"/>
      <c r="AQ728" s="488">
        <f>F728</f>
        <v>2500</v>
      </c>
      <c r="AR728" s="488"/>
      <c r="AS728" s="488"/>
      <c r="AT728" s="488"/>
      <c r="AU728" s="488"/>
      <c r="AV728" s="488"/>
      <c r="AW728" s="488"/>
      <c r="AX728" s="488"/>
      <c r="AY728" s="488"/>
      <c r="AZ728" s="488"/>
      <c r="BA728" s="488"/>
      <c r="BB728" s="488"/>
      <c r="BC728" s="488"/>
      <c r="BD728" s="488"/>
      <c r="BE728" s="488"/>
      <c r="BF728" s="488"/>
      <c r="BG728" s="488"/>
      <c r="BH728" s="488"/>
      <c r="BI728" s="488"/>
      <c r="BJ728" s="488"/>
      <c r="BK728" s="488"/>
      <c r="BL728" s="488"/>
      <c r="BM728" s="488"/>
      <c r="BN728" s="488"/>
      <c r="BO728" s="488"/>
      <c r="BP728" s="488"/>
      <c r="BQ728" s="303">
        <v>16.71</v>
      </c>
      <c r="BR728" s="462">
        <f t="shared" si="73"/>
        <v>41775</v>
      </c>
      <c r="BS728" s="462">
        <f t="shared" ref="BS728:BS742" si="74">BR728*7.75</f>
        <v>323756.25</v>
      </c>
      <c r="BT728" s="488" t="str">
        <f>IFERROR(VLOOKUP(E728,名称!A:D,4,FALSE),"")</f>
        <v>KIK</v>
      </c>
    </row>
    <row r="729" s="3" customFormat="1" ht="25.25" hidden="1" customHeight="1" spans="1:72">
      <c r="A729" s="268">
        <v>46221</v>
      </c>
      <c r="B729" s="285" t="s">
        <v>236</v>
      </c>
      <c r="C729" s="270">
        <v>10132947</v>
      </c>
      <c r="D729" s="297">
        <v>20219244</v>
      </c>
      <c r="E729" s="253" t="s">
        <v>209</v>
      </c>
      <c r="F729" s="273">
        <v>2000</v>
      </c>
      <c r="G729" s="490">
        <v>46309</v>
      </c>
      <c r="H729" s="488"/>
      <c r="I729" s="488"/>
      <c r="J729" s="488"/>
      <c r="K729" s="488"/>
      <c r="L729" s="488"/>
      <c r="M729" s="488"/>
      <c r="N729" s="488">
        <f>F729</f>
        <v>2000</v>
      </c>
      <c r="O729" s="488"/>
      <c r="P729" s="488"/>
      <c r="Q729" s="488"/>
      <c r="R729" s="488"/>
      <c r="S729" s="488"/>
      <c r="T729" s="488"/>
      <c r="U729" s="488"/>
      <c r="V729" s="488"/>
      <c r="W729" s="488"/>
      <c r="X729" s="488"/>
      <c r="Y729" s="488"/>
      <c r="Z729" s="488"/>
      <c r="AA729" s="488"/>
      <c r="AB729" s="488"/>
      <c r="AC729" s="488"/>
      <c r="AD729" s="488"/>
      <c r="AE729" s="488"/>
      <c r="AF729" s="488"/>
      <c r="AG729" s="488"/>
      <c r="AH729" s="488"/>
      <c r="AI729" s="488"/>
      <c r="AJ729" s="488"/>
      <c r="AK729" s="488"/>
      <c r="AL729" s="488"/>
      <c r="AM729" s="488"/>
      <c r="AN729" s="488"/>
      <c r="AO729" s="488"/>
      <c r="AP729" s="488"/>
      <c r="AQ729" s="488"/>
      <c r="AR729" s="488"/>
      <c r="AS729" s="488"/>
      <c r="AT729" s="488"/>
      <c r="AU729" s="488"/>
      <c r="AV729" s="488"/>
      <c r="AW729" s="488"/>
      <c r="AX729" s="488"/>
      <c r="AY729" s="488"/>
      <c r="AZ729" s="488"/>
      <c r="BA729" s="488"/>
      <c r="BB729" s="488"/>
      <c r="BC729" s="488"/>
      <c r="BD729" s="488"/>
      <c r="BE729" s="488"/>
      <c r="BF729" s="488"/>
      <c r="BG729" s="488"/>
      <c r="BH729" s="488"/>
      <c r="BI729" s="488"/>
      <c r="BJ729" s="488"/>
      <c r="BK729" s="488"/>
      <c r="BL729" s="488"/>
      <c r="BM729" s="488"/>
      <c r="BN729" s="488"/>
      <c r="BO729" s="488"/>
      <c r="BP729" s="488"/>
      <c r="BQ729" s="303">
        <v>2.26</v>
      </c>
      <c r="BR729" s="462">
        <f t="shared" si="73"/>
        <v>4520</v>
      </c>
      <c r="BS729" s="462">
        <f t="shared" si="74"/>
        <v>35030</v>
      </c>
      <c r="BT729" s="488" t="s">
        <v>128</v>
      </c>
    </row>
    <row r="730" s="3" customFormat="1" ht="25.25" hidden="1" customHeight="1" spans="1:72">
      <c r="A730" s="268">
        <v>46221</v>
      </c>
      <c r="B730" s="285" t="s">
        <v>236</v>
      </c>
      <c r="C730" s="270">
        <v>10132947</v>
      </c>
      <c r="D730" s="297">
        <v>20219244</v>
      </c>
      <c r="E730" s="253" t="s">
        <v>210</v>
      </c>
      <c r="F730" s="273">
        <v>4000</v>
      </c>
      <c r="G730" s="490">
        <v>46323</v>
      </c>
      <c r="H730" s="488"/>
      <c r="I730" s="488"/>
      <c r="J730" s="488"/>
      <c r="K730" s="488"/>
      <c r="L730" s="488"/>
      <c r="M730" s="488"/>
      <c r="N730" s="488"/>
      <c r="O730" s="488">
        <f>F730</f>
        <v>4000</v>
      </c>
      <c r="P730" s="488"/>
      <c r="Q730" s="488"/>
      <c r="R730" s="488"/>
      <c r="S730" s="488"/>
      <c r="T730" s="488"/>
      <c r="U730" s="488"/>
      <c r="V730" s="488"/>
      <c r="W730" s="488"/>
      <c r="X730" s="488"/>
      <c r="Y730" s="488"/>
      <c r="Z730" s="488"/>
      <c r="AA730" s="488"/>
      <c r="AB730" s="488"/>
      <c r="AC730" s="488"/>
      <c r="AD730" s="488"/>
      <c r="AE730" s="488"/>
      <c r="AF730" s="488"/>
      <c r="AG730" s="488"/>
      <c r="AH730" s="488"/>
      <c r="AI730" s="488"/>
      <c r="AJ730" s="488"/>
      <c r="AK730" s="488"/>
      <c r="AL730" s="488"/>
      <c r="AM730" s="488"/>
      <c r="AN730" s="488"/>
      <c r="AO730" s="488"/>
      <c r="AP730" s="488"/>
      <c r="AQ730" s="488"/>
      <c r="AR730" s="488"/>
      <c r="AS730" s="488"/>
      <c r="AT730" s="488"/>
      <c r="AU730" s="488"/>
      <c r="AV730" s="488"/>
      <c r="AW730" s="488"/>
      <c r="AX730" s="488"/>
      <c r="AY730" s="488"/>
      <c r="AZ730" s="488"/>
      <c r="BA730" s="488"/>
      <c r="BB730" s="488"/>
      <c r="BC730" s="488"/>
      <c r="BD730" s="488"/>
      <c r="BE730" s="488"/>
      <c r="BF730" s="488"/>
      <c r="BG730" s="488"/>
      <c r="BH730" s="488"/>
      <c r="BI730" s="488"/>
      <c r="BJ730" s="488"/>
      <c r="BK730" s="488"/>
      <c r="BL730" s="488"/>
      <c r="BM730" s="488"/>
      <c r="BN730" s="488"/>
      <c r="BO730" s="488"/>
      <c r="BP730" s="488"/>
      <c r="BQ730" s="303">
        <v>3.015</v>
      </c>
      <c r="BR730" s="462">
        <f t="shared" si="73"/>
        <v>12060</v>
      </c>
      <c r="BS730" s="462">
        <f t="shared" si="74"/>
        <v>93465</v>
      </c>
      <c r="BT730" s="488" t="s">
        <v>12</v>
      </c>
    </row>
    <row r="731" s="3" customFormat="1" hidden="1" customHeight="1" spans="1:72">
      <c r="A731" s="268">
        <v>46225</v>
      </c>
      <c r="B731" s="285" t="s">
        <v>235</v>
      </c>
      <c r="C731" s="270">
        <v>10133076</v>
      </c>
      <c r="D731" s="297">
        <v>4500033113</v>
      </c>
      <c r="E731" s="253" t="s">
        <v>210</v>
      </c>
      <c r="F731" s="273">
        <v>9000</v>
      </c>
      <c r="G731" s="490">
        <v>46330</v>
      </c>
      <c r="H731" s="488"/>
      <c r="I731" s="488"/>
      <c r="J731" s="488"/>
      <c r="K731" s="488"/>
      <c r="L731" s="488"/>
      <c r="M731" s="488"/>
      <c r="N731" s="488"/>
      <c r="O731" s="488">
        <f>F731</f>
        <v>9000</v>
      </c>
      <c r="P731" s="488"/>
      <c r="Q731" s="488"/>
      <c r="R731" s="488"/>
      <c r="S731" s="488"/>
      <c r="T731" s="488"/>
      <c r="U731" s="488"/>
      <c r="V731" s="488"/>
      <c r="W731" s="488"/>
      <c r="X731" s="488"/>
      <c r="Y731" s="488"/>
      <c r="Z731" s="488"/>
      <c r="AA731" s="488"/>
      <c r="AB731" s="488"/>
      <c r="AC731" s="488"/>
      <c r="AD731" s="488"/>
      <c r="AE731" s="488"/>
      <c r="AF731" s="488"/>
      <c r="AG731" s="488"/>
      <c r="AH731" s="488"/>
      <c r="AI731" s="488"/>
      <c r="AJ731" s="488"/>
      <c r="AK731" s="488"/>
      <c r="AL731" s="488"/>
      <c r="AM731" s="488"/>
      <c r="AN731" s="488"/>
      <c r="AO731" s="488"/>
      <c r="AP731" s="488"/>
      <c r="AQ731" s="488"/>
      <c r="AR731" s="488"/>
      <c r="AS731" s="488"/>
      <c r="AT731" s="488"/>
      <c r="AU731" s="488"/>
      <c r="AV731" s="488"/>
      <c r="AW731" s="488"/>
      <c r="AX731" s="488"/>
      <c r="AY731" s="488"/>
      <c r="AZ731" s="488"/>
      <c r="BA731" s="488"/>
      <c r="BB731" s="488"/>
      <c r="BC731" s="488"/>
      <c r="BD731" s="488"/>
      <c r="BE731" s="488"/>
      <c r="BF731" s="488"/>
      <c r="BG731" s="488"/>
      <c r="BH731" s="488"/>
      <c r="BI731" s="488"/>
      <c r="BJ731" s="488"/>
      <c r="BK731" s="488"/>
      <c r="BL731" s="488"/>
      <c r="BM731" s="488"/>
      <c r="BN731" s="488"/>
      <c r="BO731" s="488"/>
      <c r="BP731" s="488"/>
      <c r="BQ731" s="303">
        <v>3.015</v>
      </c>
      <c r="BR731" s="462">
        <f t="shared" si="73"/>
        <v>27135</v>
      </c>
      <c r="BS731" s="462">
        <f t="shared" si="74"/>
        <v>210296.25</v>
      </c>
      <c r="BT731" s="488" t="s">
        <v>12</v>
      </c>
    </row>
    <row r="732" s="3" customFormat="1" hidden="1" customHeight="1" spans="1:72">
      <c r="A732" s="268">
        <v>46225</v>
      </c>
      <c r="B732" s="285" t="s">
        <v>235</v>
      </c>
      <c r="C732" s="270">
        <v>10133076</v>
      </c>
      <c r="D732" s="297">
        <v>4500033113</v>
      </c>
      <c r="E732" s="253" t="s">
        <v>209</v>
      </c>
      <c r="F732" s="273">
        <v>7200</v>
      </c>
      <c r="G732" s="490">
        <v>46316</v>
      </c>
      <c r="H732" s="488"/>
      <c r="I732" s="488"/>
      <c r="J732" s="488"/>
      <c r="K732" s="488"/>
      <c r="L732" s="488"/>
      <c r="M732" s="488"/>
      <c r="N732" s="488">
        <f>F732</f>
        <v>7200</v>
      </c>
      <c r="O732" s="488"/>
      <c r="P732" s="488"/>
      <c r="Q732" s="488"/>
      <c r="R732" s="488"/>
      <c r="S732" s="488"/>
      <c r="T732" s="488"/>
      <c r="U732" s="488"/>
      <c r="V732" s="488"/>
      <c r="W732" s="488"/>
      <c r="X732" s="488"/>
      <c r="Y732" s="488"/>
      <c r="Z732" s="488"/>
      <c r="AA732" s="488"/>
      <c r="AB732" s="488"/>
      <c r="AC732" s="488"/>
      <c r="AD732" s="488"/>
      <c r="AE732" s="488"/>
      <c r="AF732" s="488"/>
      <c r="AG732" s="488"/>
      <c r="AH732" s="488"/>
      <c r="AI732" s="488"/>
      <c r="AJ732" s="488"/>
      <c r="AK732" s="488"/>
      <c r="AL732" s="488"/>
      <c r="AM732" s="488"/>
      <c r="AN732" s="488"/>
      <c r="AO732" s="488"/>
      <c r="AP732" s="488"/>
      <c r="AQ732" s="488"/>
      <c r="AR732" s="488"/>
      <c r="AS732" s="488"/>
      <c r="AT732" s="488"/>
      <c r="AU732" s="488"/>
      <c r="AV732" s="488"/>
      <c r="AW732" s="488"/>
      <c r="AX732" s="488"/>
      <c r="AY732" s="488"/>
      <c r="AZ732" s="488"/>
      <c r="BA732" s="488"/>
      <c r="BB732" s="488"/>
      <c r="BC732" s="488"/>
      <c r="BD732" s="488"/>
      <c r="BE732" s="488"/>
      <c r="BF732" s="488"/>
      <c r="BG732" s="488"/>
      <c r="BH732" s="488"/>
      <c r="BI732" s="488"/>
      <c r="BJ732" s="488"/>
      <c r="BK732" s="488"/>
      <c r="BL732" s="488"/>
      <c r="BM732" s="488"/>
      <c r="BN732" s="488"/>
      <c r="BO732" s="488"/>
      <c r="BP732" s="488"/>
      <c r="BQ732" s="303">
        <v>2.26</v>
      </c>
      <c r="BR732" s="462">
        <f t="shared" si="73"/>
        <v>16272</v>
      </c>
      <c r="BS732" s="462">
        <f t="shared" si="74"/>
        <v>126108</v>
      </c>
      <c r="BT732" s="488" t="s">
        <v>128</v>
      </c>
    </row>
    <row r="733" s="3" customFormat="1" hidden="1" customHeight="1" spans="1:72">
      <c r="A733" s="268">
        <v>46225</v>
      </c>
      <c r="B733" s="285" t="s">
        <v>236</v>
      </c>
      <c r="C733" s="270">
        <v>10133069</v>
      </c>
      <c r="D733" s="297">
        <v>20219275</v>
      </c>
      <c r="E733" s="253" t="s">
        <v>118</v>
      </c>
      <c r="F733" s="273">
        <v>120</v>
      </c>
      <c r="G733" s="490">
        <v>46379</v>
      </c>
      <c r="H733" s="488"/>
      <c r="I733" s="488"/>
      <c r="J733" s="488"/>
      <c r="K733" s="488"/>
      <c r="L733" s="488"/>
      <c r="M733" s="488"/>
      <c r="N733" s="488"/>
      <c r="O733" s="488"/>
      <c r="P733" s="488"/>
      <c r="Q733" s="488"/>
      <c r="R733" s="488"/>
      <c r="S733" s="488"/>
      <c r="T733" s="488"/>
      <c r="U733" s="488"/>
      <c r="V733" s="488"/>
      <c r="W733" s="488"/>
      <c r="X733" s="488"/>
      <c r="Y733" s="488"/>
      <c r="Z733" s="488"/>
      <c r="AA733" s="488"/>
      <c r="AB733" s="488"/>
      <c r="AC733" s="488"/>
      <c r="AD733" s="488"/>
      <c r="AE733" s="488"/>
      <c r="AF733" s="488"/>
      <c r="AG733" s="488"/>
      <c r="AH733" s="488"/>
      <c r="AI733" s="488"/>
      <c r="AJ733" s="488"/>
      <c r="AK733" s="488"/>
      <c r="AL733" s="488"/>
      <c r="AM733" s="488"/>
      <c r="AN733" s="488"/>
      <c r="AO733" s="488"/>
      <c r="AP733" s="488"/>
      <c r="AQ733" s="488">
        <f>F733</f>
        <v>120</v>
      </c>
      <c r="AR733" s="488"/>
      <c r="AS733" s="488"/>
      <c r="AT733" s="488"/>
      <c r="AU733" s="488"/>
      <c r="AV733" s="488"/>
      <c r="AW733" s="488"/>
      <c r="AX733" s="488"/>
      <c r="AY733" s="488"/>
      <c r="AZ733" s="488"/>
      <c r="BA733" s="488"/>
      <c r="BB733" s="488"/>
      <c r="BC733" s="488"/>
      <c r="BD733" s="488"/>
      <c r="BE733" s="488"/>
      <c r="BF733" s="488"/>
      <c r="BG733" s="488"/>
      <c r="BH733" s="488"/>
      <c r="BI733" s="488"/>
      <c r="BJ733" s="488"/>
      <c r="BK733" s="488"/>
      <c r="BL733" s="488"/>
      <c r="BM733" s="488"/>
      <c r="BN733" s="488"/>
      <c r="BO733" s="488"/>
      <c r="BP733" s="488"/>
      <c r="BQ733" s="303">
        <v>16.71</v>
      </c>
      <c r="BR733" s="462">
        <f t="shared" si="73"/>
        <v>2005.2</v>
      </c>
      <c r="BS733" s="462">
        <f t="shared" si="74"/>
        <v>15540.3</v>
      </c>
      <c r="BT733" s="488" t="str">
        <f>IFERROR(VLOOKUP(E733,名称!A:D,4,FALSE),"")</f>
        <v>KIK</v>
      </c>
    </row>
    <row r="734" s="3" customFormat="1" hidden="1" customHeight="1" spans="1:72">
      <c r="A734" s="268">
        <v>46227</v>
      </c>
      <c r="B734" s="269" t="s">
        <v>237</v>
      </c>
      <c r="C734" s="270">
        <v>10133459</v>
      </c>
      <c r="D734" s="297" t="s">
        <v>360</v>
      </c>
      <c r="E734" s="253" t="s">
        <v>193</v>
      </c>
      <c r="F734" s="492">
        <v>10008</v>
      </c>
      <c r="G734" s="490">
        <v>46323</v>
      </c>
      <c r="H734" s="488"/>
      <c r="I734" s="488"/>
      <c r="J734" s="488"/>
      <c r="K734" s="488"/>
      <c r="L734" s="488"/>
      <c r="M734" s="488"/>
      <c r="N734" s="488"/>
      <c r="O734" s="488"/>
      <c r="P734" s="488"/>
      <c r="Q734" s="488"/>
      <c r="R734" s="488"/>
      <c r="S734" s="488"/>
      <c r="T734" s="488"/>
      <c r="U734" s="488"/>
      <c r="V734" s="488"/>
      <c r="W734" s="488"/>
      <c r="X734" s="488"/>
      <c r="Y734" s="488"/>
      <c r="Z734" s="488"/>
      <c r="AA734" s="488"/>
      <c r="AB734" s="488"/>
      <c r="AC734" s="488"/>
      <c r="AD734" s="488"/>
      <c r="AE734" s="488"/>
      <c r="AF734" s="488"/>
      <c r="AG734" s="488"/>
      <c r="AH734" s="488"/>
      <c r="AI734" s="488"/>
      <c r="AJ734" s="488"/>
      <c r="AK734" s="488"/>
      <c r="AL734" s="488"/>
      <c r="AM734" s="488"/>
      <c r="AN734" s="488"/>
      <c r="AO734" s="488"/>
      <c r="AP734" s="488"/>
      <c r="AQ734" s="488"/>
      <c r="AR734" s="488"/>
      <c r="AS734" s="488"/>
      <c r="AT734" s="488"/>
      <c r="AU734" s="488"/>
      <c r="AV734" s="488"/>
      <c r="AW734" s="488"/>
      <c r="AX734" s="488"/>
      <c r="AY734" s="488"/>
      <c r="AZ734" s="488"/>
      <c r="BA734" s="488"/>
      <c r="BB734" s="488"/>
      <c r="BC734" s="488"/>
      <c r="BD734" s="488"/>
      <c r="BE734" s="488"/>
      <c r="BF734" s="488"/>
      <c r="BG734" s="488"/>
      <c r="BH734" s="488"/>
      <c r="BI734" s="488"/>
      <c r="BJ734" s="488"/>
      <c r="BK734" s="488"/>
      <c r="BL734" s="488"/>
      <c r="BM734" s="488"/>
      <c r="BN734" s="488"/>
      <c r="BO734" s="488">
        <f>F734</f>
        <v>10008</v>
      </c>
      <c r="BP734" s="488"/>
      <c r="BQ734" s="92">
        <v>2.215</v>
      </c>
      <c r="BR734" s="462">
        <f t="shared" si="73"/>
        <v>22167.72</v>
      </c>
      <c r="BS734" s="462">
        <f t="shared" si="74"/>
        <v>171799.83</v>
      </c>
      <c r="BT734" s="443" t="str">
        <f>IFERROR(VLOOKUP(E734,名称!A:D,4,FALSE),"")</f>
        <v>RRM</v>
      </c>
    </row>
    <row r="735" s="3" customFormat="1" hidden="1" customHeight="1" spans="1:72">
      <c r="A735" s="268">
        <v>46227</v>
      </c>
      <c r="B735" s="269" t="s">
        <v>237</v>
      </c>
      <c r="C735" s="270">
        <v>10133459</v>
      </c>
      <c r="D735" s="297" t="s">
        <v>360</v>
      </c>
      <c r="E735" s="253" t="s">
        <v>191</v>
      </c>
      <c r="F735" s="273">
        <v>5000</v>
      </c>
      <c r="G735" s="490">
        <v>46323</v>
      </c>
      <c r="H735" s="488"/>
      <c r="I735" s="488"/>
      <c r="J735" s="488"/>
      <c r="K735" s="488"/>
      <c r="L735" s="488"/>
      <c r="M735" s="488"/>
      <c r="N735" s="488"/>
      <c r="O735" s="488"/>
      <c r="P735" s="488"/>
      <c r="Q735" s="488"/>
      <c r="R735" s="488"/>
      <c r="S735" s="488"/>
      <c r="T735" s="488"/>
      <c r="U735" s="488"/>
      <c r="V735" s="488"/>
      <c r="W735" s="488"/>
      <c r="X735" s="488"/>
      <c r="Y735" s="488"/>
      <c r="Z735" s="488"/>
      <c r="AA735" s="488"/>
      <c r="AB735" s="488"/>
      <c r="AC735" s="488"/>
      <c r="AD735" s="488"/>
      <c r="AE735" s="488"/>
      <c r="AF735" s="488"/>
      <c r="AG735" s="488"/>
      <c r="AH735" s="488"/>
      <c r="AI735" s="488"/>
      <c r="AJ735" s="488"/>
      <c r="AK735" s="488"/>
      <c r="AL735" s="488"/>
      <c r="AM735" s="488"/>
      <c r="AN735" s="488"/>
      <c r="AO735" s="488"/>
      <c r="AP735" s="488"/>
      <c r="AQ735" s="488"/>
      <c r="AR735" s="488"/>
      <c r="AS735" s="488"/>
      <c r="AT735" s="488"/>
      <c r="AU735" s="488"/>
      <c r="AV735" s="488"/>
      <c r="AW735" s="488"/>
      <c r="AX735" s="488"/>
      <c r="AY735" s="488"/>
      <c r="AZ735" s="488"/>
      <c r="BA735" s="488"/>
      <c r="BB735" s="488"/>
      <c r="BC735" s="488"/>
      <c r="BD735" s="488"/>
      <c r="BE735" s="488">
        <f>F735</f>
        <v>5000</v>
      </c>
      <c r="BF735" s="488"/>
      <c r="BG735" s="488"/>
      <c r="BH735" s="488"/>
      <c r="BI735" s="488"/>
      <c r="BJ735" s="488"/>
      <c r="BK735" s="488"/>
      <c r="BL735" s="488"/>
      <c r="BM735" s="488"/>
      <c r="BN735" s="488"/>
      <c r="BO735" s="488"/>
      <c r="BP735" s="488"/>
      <c r="BQ735" s="92">
        <v>2.215</v>
      </c>
      <c r="BR735" s="462">
        <f t="shared" si="73"/>
        <v>11075</v>
      </c>
      <c r="BS735" s="447">
        <f t="shared" si="74"/>
        <v>85831.25</v>
      </c>
      <c r="BT735" s="443" t="str">
        <f>IFERROR(VLOOKUP(E735,名称!A:D,4,FALSE),"")</f>
        <v>RRM</v>
      </c>
    </row>
    <row r="736" s="3" customFormat="1" hidden="1" customHeight="1" spans="1:72">
      <c r="A736" s="268">
        <v>46228</v>
      </c>
      <c r="B736" s="285" t="s">
        <v>299</v>
      </c>
      <c r="C736" s="270">
        <v>10133467</v>
      </c>
      <c r="D736" s="297">
        <v>4500033125</v>
      </c>
      <c r="E736" s="253" t="s">
        <v>129</v>
      </c>
      <c r="F736" s="492">
        <v>3024</v>
      </c>
      <c r="G736" s="490">
        <v>46323</v>
      </c>
      <c r="H736" s="488"/>
      <c r="I736" s="488">
        <f>F736</f>
        <v>3024</v>
      </c>
      <c r="J736" s="488"/>
      <c r="K736" s="488"/>
      <c r="L736" s="488"/>
      <c r="M736" s="488"/>
      <c r="N736" s="488"/>
      <c r="O736" s="488"/>
      <c r="P736" s="488"/>
      <c r="Q736" s="488"/>
      <c r="R736" s="488"/>
      <c r="S736" s="488"/>
      <c r="T736" s="488"/>
      <c r="U736" s="488"/>
      <c r="V736" s="488"/>
      <c r="W736" s="488"/>
      <c r="X736" s="488"/>
      <c r="Y736" s="488"/>
      <c r="Z736" s="488"/>
      <c r="AA736" s="488"/>
      <c r="AB736" s="488"/>
      <c r="AC736" s="488"/>
      <c r="AD736" s="488"/>
      <c r="AE736" s="488"/>
      <c r="AF736" s="488"/>
      <c r="AG736" s="488"/>
      <c r="AH736" s="488"/>
      <c r="AI736" s="488"/>
      <c r="AJ736" s="488"/>
      <c r="AK736" s="488"/>
      <c r="AL736" s="488"/>
      <c r="AM736" s="488"/>
      <c r="AN736" s="488"/>
      <c r="AO736" s="488"/>
      <c r="AP736" s="488"/>
      <c r="AQ736" s="488"/>
      <c r="AR736" s="488"/>
      <c r="AS736" s="488"/>
      <c r="AT736" s="488"/>
      <c r="AU736" s="488"/>
      <c r="AV736" s="488"/>
      <c r="AW736" s="488"/>
      <c r="AX736" s="488"/>
      <c r="AY736" s="488"/>
      <c r="AZ736" s="488"/>
      <c r="BA736" s="488"/>
      <c r="BB736" s="488"/>
      <c r="BC736" s="488"/>
      <c r="BD736" s="488"/>
      <c r="BE736" s="488"/>
      <c r="BF736" s="488"/>
      <c r="BG736" s="488"/>
      <c r="BH736" s="488"/>
      <c r="BI736" s="488"/>
      <c r="BJ736" s="488"/>
      <c r="BK736" s="488"/>
      <c r="BL736" s="488"/>
      <c r="BM736" s="488"/>
      <c r="BN736" s="488"/>
      <c r="BO736" s="488"/>
      <c r="BP736" s="488"/>
      <c r="BQ736" s="303">
        <v>0.324</v>
      </c>
      <c r="BR736" s="462">
        <f t="shared" si="73"/>
        <v>979.78</v>
      </c>
      <c r="BS736" s="447">
        <f t="shared" si="74"/>
        <v>7593.3</v>
      </c>
      <c r="BT736" s="443" t="str">
        <f>IFERROR(VLOOKUP(E736,名称!A:D,4,FALSE),"")</f>
        <v>KIK</v>
      </c>
    </row>
    <row r="737" s="3" customFormat="1" hidden="1" customHeight="1" spans="1:72">
      <c r="A737" s="268">
        <v>46228</v>
      </c>
      <c r="B737" s="269" t="s">
        <v>237</v>
      </c>
      <c r="C737" s="270">
        <v>10133515</v>
      </c>
      <c r="D737" s="297" t="s">
        <v>361</v>
      </c>
      <c r="E737" s="253" t="s">
        <v>129</v>
      </c>
      <c r="F737" s="492">
        <v>2016</v>
      </c>
      <c r="G737" s="490">
        <v>46323</v>
      </c>
      <c r="H737" s="488"/>
      <c r="I737" s="488">
        <f>F737</f>
        <v>2016</v>
      </c>
      <c r="J737" s="488"/>
      <c r="K737" s="488"/>
      <c r="L737" s="488"/>
      <c r="M737" s="488"/>
      <c r="N737" s="488"/>
      <c r="O737" s="488"/>
      <c r="P737" s="488"/>
      <c r="Q737" s="488"/>
      <c r="R737" s="488"/>
      <c r="S737" s="488"/>
      <c r="T737" s="488"/>
      <c r="U737" s="488"/>
      <c r="V737" s="488"/>
      <c r="W737" s="488"/>
      <c r="X737" s="488"/>
      <c r="Y737" s="488"/>
      <c r="Z737" s="488"/>
      <c r="AA737" s="488"/>
      <c r="AB737" s="488"/>
      <c r="AC737" s="488"/>
      <c r="AD737" s="488"/>
      <c r="AE737" s="488"/>
      <c r="AF737" s="488"/>
      <c r="AG737" s="488"/>
      <c r="AH737" s="488"/>
      <c r="AI737" s="488"/>
      <c r="AJ737" s="488"/>
      <c r="AK737" s="488"/>
      <c r="AL737" s="488"/>
      <c r="AM737" s="488"/>
      <c r="AN737" s="488"/>
      <c r="AO737" s="488"/>
      <c r="AP737" s="488"/>
      <c r="AQ737" s="488"/>
      <c r="AR737" s="488"/>
      <c r="AS737" s="488"/>
      <c r="AT737" s="488"/>
      <c r="AU737" s="488"/>
      <c r="AV737" s="488"/>
      <c r="AW737" s="488"/>
      <c r="AX737" s="488"/>
      <c r="AY737" s="488"/>
      <c r="AZ737" s="488"/>
      <c r="BA737" s="488"/>
      <c r="BB737" s="488"/>
      <c r="BC737" s="488"/>
      <c r="BD737" s="488"/>
      <c r="BE737" s="488"/>
      <c r="BF737" s="488"/>
      <c r="BG737" s="488"/>
      <c r="BH737" s="488"/>
      <c r="BI737" s="488"/>
      <c r="BJ737" s="488"/>
      <c r="BK737" s="488"/>
      <c r="BL737" s="488"/>
      <c r="BM737" s="488"/>
      <c r="BN737" s="488"/>
      <c r="BO737" s="488"/>
      <c r="BP737" s="488"/>
      <c r="BQ737" s="303">
        <v>0.324</v>
      </c>
      <c r="BR737" s="462">
        <f t="shared" si="73"/>
        <v>653.18</v>
      </c>
      <c r="BS737" s="447">
        <f t="shared" si="74"/>
        <v>5062.15</v>
      </c>
      <c r="BT737" s="443" t="str">
        <f>IFERROR(VLOOKUP(E737,名称!A:D,4,FALSE),"")</f>
        <v>KIK</v>
      </c>
    </row>
    <row r="738" s="3" customFormat="1" hidden="1" customHeight="1" spans="1:72">
      <c r="A738" s="268">
        <v>46232</v>
      </c>
      <c r="B738" s="285" t="s">
        <v>236</v>
      </c>
      <c r="C738" s="270">
        <v>10133690</v>
      </c>
      <c r="D738" s="297">
        <v>20219287</v>
      </c>
      <c r="E738" s="253" t="s">
        <v>226</v>
      </c>
      <c r="F738" s="492">
        <v>1000</v>
      </c>
      <c r="G738" s="490">
        <v>46330</v>
      </c>
      <c r="H738" s="488"/>
      <c r="I738" s="488"/>
      <c r="J738" s="488"/>
      <c r="K738" s="488"/>
      <c r="L738" s="488"/>
      <c r="M738" s="488"/>
      <c r="N738" s="488"/>
      <c r="O738" s="488"/>
      <c r="P738" s="488"/>
      <c r="Q738" s="488"/>
      <c r="R738" s="488"/>
      <c r="S738" s="488"/>
      <c r="T738" s="488"/>
      <c r="U738" s="488"/>
      <c r="V738" s="488"/>
      <c r="W738" s="488"/>
      <c r="X738" s="488"/>
      <c r="Y738" s="488"/>
      <c r="Z738" s="488"/>
      <c r="AA738" s="488"/>
      <c r="AB738" s="488"/>
      <c r="AC738" s="488"/>
      <c r="AD738" s="488"/>
      <c r="AE738" s="488"/>
      <c r="AF738" s="488"/>
      <c r="AG738" s="488"/>
      <c r="AH738" s="488"/>
      <c r="AI738" s="488"/>
      <c r="AJ738" s="488"/>
      <c r="AK738" s="488"/>
      <c r="AL738" s="488"/>
      <c r="AM738" s="488"/>
      <c r="AN738" s="488"/>
      <c r="AO738" s="488"/>
      <c r="AP738" s="488"/>
      <c r="AQ738" s="488"/>
      <c r="AR738" s="488"/>
      <c r="AS738" s="488"/>
      <c r="AT738" s="488"/>
      <c r="AU738" s="488"/>
      <c r="AV738" s="488"/>
      <c r="AW738" s="488"/>
      <c r="AX738" s="488"/>
      <c r="AY738" s="488"/>
      <c r="AZ738" s="488"/>
      <c r="BA738" s="488"/>
      <c r="BB738" s="488"/>
      <c r="BC738" s="488"/>
      <c r="BD738" s="488"/>
      <c r="BE738" s="488"/>
      <c r="BF738" s="488"/>
      <c r="BG738" s="488"/>
      <c r="BH738" s="488"/>
      <c r="BI738" s="488"/>
      <c r="BJ738" s="488"/>
      <c r="BK738" s="488">
        <f>F738</f>
        <v>1000</v>
      </c>
      <c r="BL738" s="488"/>
      <c r="BM738" s="488"/>
      <c r="BN738" s="488"/>
      <c r="BO738" s="488"/>
      <c r="BP738" s="488"/>
      <c r="BQ738" s="303">
        <v>2.503</v>
      </c>
      <c r="BR738" s="462">
        <f t="shared" si="73"/>
        <v>2503</v>
      </c>
      <c r="BS738" s="447">
        <f t="shared" si="74"/>
        <v>19398.25</v>
      </c>
      <c r="BT738" s="488" t="s">
        <v>128</v>
      </c>
    </row>
    <row r="739" s="3" customFormat="1" hidden="1" customHeight="1" spans="1:72">
      <c r="A739" s="268">
        <v>46233</v>
      </c>
      <c r="B739" s="285" t="s">
        <v>235</v>
      </c>
      <c r="C739" s="270">
        <v>10133891</v>
      </c>
      <c r="D739" s="297">
        <v>4500033143</v>
      </c>
      <c r="E739" s="253" t="s">
        <v>227</v>
      </c>
      <c r="F739" s="492">
        <v>3000</v>
      </c>
      <c r="G739" s="490">
        <v>46337</v>
      </c>
      <c r="H739" s="488"/>
      <c r="I739" s="488"/>
      <c r="J739" s="488"/>
      <c r="K739" s="488"/>
      <c r="L739" s="488"/>
      <c r="M739" s="488"/>
      <c r="N739" s="488"/>
      <c r="O739" s="488"/>
      <c r="P739" s="488"/>
      <c r="Q739" s="488"/>
      <c r="R739" s="488"/>
      <c r="S739" s="488"/>
      <c r="T739" s="488"/>
      <c r="U739" s="488"/>
      <c r="V739" s="488"/>
      <c r="W739" s="488"/>
      <c r="X739" s="488"/>
      <c r="Y739" s="488"/>
      <c r="Z739" s="488"/>
      <c r="AA739" s="488"/>
      <c r="AB739" s="488"/>
      <c r="AC739" s="488"/>
      <c r="AD739" s="488"/>
      <c r="AE739" s="488"/>
      <c r="AF739" s="488"/>
      <c r="AG739" s="488"/>
      <c r="AH739" s="488"/>
      <c r="AI739" s="488"/>
      <c r="AJ739" s="488"/>
      <c r="AK739" s="488"/>
      <c r="AL739" s="488"/>
      <c r="AM739" s="488"/>
      <c r="AN739" s="488"/>
      <c r="AO739" s="488"/>
      <c r="AP739" s="488"/>
      <c r="AQ739" s="488"/>
      <c r="AR739" s="488"/>
      <c r="AS739" s="488"/>
      <c r="AT739" s="488"/>
      <c r="AU739" s="488"/>
      <c r="AV739" s="488"/>
      <c r="AW739" s="488"/>
      <c r="AX739" s="488"/>
      <c r="AY739" s="488"/>
      <c r="AZ739" s="488"/>
      <c r="BA739" s="488"/>
      <c r="BB739" s="488"/>
      <c r="BC739" s="488"/>
      <c r="BD739" s="488"/>
      <c r="BE739" s="488"/>
      <c r="BF739" s="488"/>
      <c r="BG739" s="488"/>
      <c r="BH739" s="488"/>
      <c r="BI739" s="488"/>
      <c r="BJ739" s="488"/>
      <c r="BK739" s="488"/>
      <c r="BL739" s="488">
        <f>F739</f>
        <v>3000</v>
      </c>
      <c r="BM739" s="488"/>
      <c r="BN739" s="488"/>
      <c r="BO739" s="488"/>
      <c r="BP739" s="488"/>
      <c r="BQ739" s="303">
        <v>5.702</v>
      </c>
      <c r="BR739" s="462">
        <f t="shared" si="73"/>
        <v>17106</v>
      </c>
      <c r="BS739" s="447">
        <f t="shared" si="74"/>
        <v>132571.5</v>
      </c>
      <c r="BT739" s="488" t="s">
        <v>128</v>
      </c>
    </row>
    <row r="740" s="3" customFormat="1" hidden="1" customHeight="1" spans="1:72">
      <c r="A740" s="268">
        <v>46233</v>
      </c>
      <c r="B740" s="285" t="s">
        <v>236</v>
      </c>
      <c r="C740" s="270">
        <v>10133875</v>
      </c>
      <c r="D740" s="297">
        <v>20219286</v>
      </c>
      <c r="E740" s="253" t="s">
        <v>213</v>
      </c>
      <c r="F740" s="492">
        <v>1000</v>
      </c>
      <c r="G740" s="490">
        <v>46330</v>
      </c>
      <c r="H740" s="488"/>
      <c r="I740" s="488"/>
      <c r="J740" s="488"/>
      <c r="K740" s="488"/>
      <c r="L740" s="488"/>
      <c r="M740" s="488"/>
      <c r="N740" s="488"/>
      <c r="O740" s="488"/>
      <c r="P740" s="488"/>
      <c r="Q740" s="488"/>
      <c r="R740" s="488"/>
      <c r="S740" s="488"/>
      <c r="T740" s="488"/>
      <c r="U740" s="488"/>
      <c r="V740" s="488">
        <f>F740</f>
        <v>1000</v>
      </c>
      <c r="W740" s="488"/>
      <c r="X740" s="488"/>
      <c r="Y740" s="488"/>
      <c r="Z740" s="488"/>
      <c r="AA740" s="488"/>
      <c r="AB740" s="488"/>
      <c r="AC740" s="488"/>
      <c r="AD740" s="488"/>
      <c r="AE740" s="488"/>
      <c r="AF740" s="488"/>
      <c r="AG740" s="488"/>
      <c r="AH740" s="488"/>
      <c r="AI740" s="488"/>
      <c r="AJ740" s="488"/>
      <c r="AK740" s="488"/>
      <c r="AL740" s="488"/>
      <c r="AM740" s="488"/>
      <c r="AN740" s="488"/>
      <c r="AO740" s="488"/>
      <c r="AP740" s="488"/>
      <c r="AQ740" s="488"/>
      <c r="AR740" s="488"/>
      <c r="AS740" s="488"/>
      <c r="AT740" s="488"/>
      <c r="AU740" s="488"/>
      <c r="AV740" s="488"/>
      <c r="AW740" s="488"/>
      <c r="AX740" s="488"/>
      <c r="AY740" s="488"/>
      <c r="AZ740" s="488"/>
      <c r="BA740" s="488"/>
      <c r="BB740" s="488"/>
      <c r="BC740" s="488"/>
      <c r="BD740" s="488"/>
      <c r="BE740" s="488"/>
      <c r="BF740" s="488"/>
      <c r="BG740" s="488"/>
      <c r="BH740" s="488"/>
      <c r="BI740" s="488"/>
      <c r="BJ740" s="488"/>
      <c r="BK740" s="488"/>
      <c r="BL740" s="488"/>
      <c r="BM740" s="488"/>
      <c r="BN740" s="488"/>
      <c r="BO740" s="488"/>
      <c r="BP740" s="488"/>
      <c r="BQ740" s="303">
        <v>3.243</v>
      </c>
      <c r="BR740" s="462">
        <f t="shared" si="73"/>
        <v>3243</v>
      </c>
      <c r="BS740" s="447">
        <f t="shared" si="74"/>
        <v>25133.25</v>
      </c>
      <c r="BT740" s="488" t="s">
        <v>12</v>
      </c>
    </row>
    <row r="741" s="3" customFormat="1" hidden="1" customHeight="1" spans="1:72">
      <c r="A741" s="268">
        <v>46233</v>
      </c>
      <c r="B741" s="285" t="s">
        <v>235</v>
      </c>
      <c r="C741" s="270">
        <v>10133933</v>
      </c>
      <c r="D741" s="297">
        <v>4500033147</v>
      </c>
      <c r="E741" s="253" t="s">
        <v>213</v>
      </c>
      <c r="F741" s="273">
        <v>4000</v>
      </c>
      <c r="G741" s="490">
        <v>46330</v>
      </c>
      <c r="H741" s="488"/>
      <c r="I741" s="488"/>
      <c r="J741" s="488"/>
      <c r="K741" s="488"/>
      <c r="L741" s="488"/>
      <c r="M741" s="488"/>
      <c r="N741" s="488"/>
      <c r="O741" s="488"/>
      <c r="P741" s="488"/>
      <c r="Q741" s="488"/>
      <c r="R741" s="488"/>
      <c r="S741" s="488"/>
      <c r="T741" s="488"/>
      <c r="U741" s="488"/>
      <c r="V741" s="488">
        <f>F741</f>
        <v>4000</v>
      </c>
      <c r="W741" s="488"/>
      <c r="X741" s="488"/>
      <c r="Y741" s="488"/>
      <c r="Z741" s="488"/>
      <c r="AA741" s="488"/>
      <c r="AB741" s="488"/>
      <c r="AC741" s="488"/>
      <c r="AD741" s="488"/>
      <c r="AE741" s="488"/>
      <c r="AF741" s="488"/>
      <c r="AG741" s="488"/>
      <c r="AH741" s="488"/>
      <c r="AI741" s="488"/>
      <c r="AJ741" s="488"/>
      <c r="AK741" s="488"/>
      <c r="AL741" s="488"/>
      <c r="AM741" s="488"/>
      <c r="AN741" s="488"/>
      <c r="AO741" s="488"/>
      <c r="AP741" s="488"/>
      <c r="AQ741" s="488"/>
      <c r="AR741" s="488"/>
      <c r="AS741" s="488"/>
      <c r="AT741" s="488"/>
      <c r="AU741" s="488"/>
      <c r="AV741" s="488"/>
      <c r="AW741" s="488"/>
      <c r="AX741" s="488"/>
      <c r="AY741" s="488"/>
      <c r="AZ741" s="488"/>
      <c r="BA741" s="488"/>
      <c r="BB741" s="488"/>
      <c r="BC741" s="488"/>
      <c r="BD741" s="488"/>
      <c r="BE741" s="488"/>
      <c r="BF741" s="488"/>
      <c r="BG741" s="488"/>
      <c r="BH741" s="488"/>
      <c r="BI741" s="488"/>
      <c r="BJ741" s="488"/>
      <c r="BK741" s="488"/>
      <c r="BL741" s="488"/>
      <c r="BM741" s="488"/>
      <c r="BN741" s="488"/>
      <c r="BO741" s="488"/>
      <c r="BP741" s="488"/>
      <c r="BQ741" s="303">
        <v>3.243</v>
      </c>
      <c r="BR741" s="462">
        <f t="shared" si="73"/>
        <v>12972</v>
      </c>
      <c r="BS741" s="447">
        <f t="shared" si="74"/>
        <v>100533</v>
      </c>
      <c r="BT741" s="488" t="s">
        <v>12</v>
      </c>
    </row>
    <row r="742" s="3" customFormat="1" hidden="1" customHeight="1" spans="1:72">
      <c r="A742" s="268">
        <v>46238</v>
      </c>
      <c r="B742" s="269" t="s">
        <v>237</v>
      </c>
      <c r="C742" s="270">
        <v>10134547</v>
      </c>
      <c r="D742" s="297" t="s">
        <v>362</v>
      </c>
      <c r="E742" s="253" t="s">
        <v>226</v>
      </c>
      <c r="F742" s="273">
        <v>5000</v>
      </c>
      <c r="G742" s="490">
        <v>46323</v>
      </c>
      <c r="H742" s="488"/>
      <c r="I742" s="488"/>
      <c r="J742" s="488"/>
      <c r="K742" s="488"/>
      <c r="L742" s="488"/>
      <c r="M742" s="488"/>
      <c r="N742" s="488"/>
      <c r="O742" s="488"/>
      <c r="P742" s="488"/>
      <c r="Q742" s="488"/>
      <c r="R742" s="488"/>
      <c r="S742" s="488"/>
      <c r="T742" s="488"/>
      <c r="U742" s="488"/>
      <c r="V742" s="488"/>
      <c r="W742" s="488"/>
      <c r="X742" s="488"/>
      <c r="Y742" s="488"/>
      <c r="Z742" s="488"/>
      <c r="AA742" s="488"/>
      <c r="AB742" s="488"/>
      <c r="AC742" s="488"/>
      <c r="AD742" s="488"/>
      <c r="AE742" s="488"/>
      <c r="AF742" s="488"/>
      <c r="AG742" s="488"/>
      <c r="AH742" s="488"/>
      <c r="AI742" s="488"/>
      <c r="AJ742" s="488"/>
      <c r="AK742" s="488"/>
      <c r="AL742" s="488"/>
      <c r="AM742" s="488"/>
      <c r="AN742" s="488"/>
      <c r="AO742" s="488"/>
      <c r="AP742" s="488"/>
      <c r="AQ742" s="488"/>
      <c r="AR742" s="488"/>
      <c r="AS742" s="488"/>
      <c r="AT742" s="488"/>
      <c r="AU742" s="488"/>
      <c r="AV742" s="488"/>
      <c r="AW742" s="488"/>
      <c r="AX742" s="488"/>
      <c r="AY742" s="488"/>
      <c r="AZ742" s="488"/>
      <c r="BA742" s="488"/>
      <c r="BB742" s="488"/>
      <c r="BC742" s="488"/>
      <c r="BD742" s="488"/>
      <c r="BE742" s="488"/>
      <c r="BF742" s="488"/>
      <c r="BG742" s="488"/>
      <c r="BH742" s="488"/>
      <c r="BI742" s="488"/>
      <c r="BJ742" s="488"/>
      <c r="BK742" s="488">
        <f>F742</f>
        <v>5000</v>
      </c>
      <c r="BL742" s="488"/>
      <c r="BM742" s="488"/>
      <c r="BN742" s="488"/>
      <c r="BO742" s="488"/>
      <c r="BP742" s="488"/>
      <c r="BQ742" s="303">
        <v>2.503</v>
      </c>
      <c r="BR742" s="462">
        <f t="shared" si="73"/>
        <v>12515</v>
      </c>
      <c r="BS742" s="447">
        <f t="shared" si="74"/>
        <v>96991.25</v>
      </c>
      <c r="BT742" s="488" t="s">
        <v>128</v>
      </c>
    </row>
    <row r="743" s="3" customFormat="1" hidden="1" customHeight="1" spans="1:72">
      <c r="A743" s="268">
        <v>46239</v>
      </c>
      <c r="B743" s="269"/>
      <c r="C743" s="253" t="s">
        <v>363</v>
      </c>
      <c r="D743" s="297"/>
      <c r="E743" s="253" t="s">
        <v>84</v>
      </c>
      <c r="F743" s="273">
        <v>200</v>
      </c>
      <c r="G743" s="490">
        <v>46260</v>
      </c>
      <c r="H743" s="488"/>
      <c r="I743" s="488"/>
      <c r="J743" s="488"/>
      <c r="K743" s="488"/>
      <c r="L743" s="488"/>
      <c r="M743" s="488"/>
      <c r="N743" s="488"/>
      <c r="O743" s="488"/>
      <c r="P743" s="488"/>
      <c r="Q743" s="488"/>
      <c r="R743" s="488"/>
      <c r="S743" s="488"/>
      <c r="T743" s="488"/>
      <c r="U743" s="488"/>
      <c r="V743" s="488"/>
      <c r="W743" s="488"/>
      <c r="X743" s="488"/>
      <c r="Y743" s="488"/>
      <c r="Z743" s="488"/>
      <c r="AA743" s="488"/>
      <c r="AB743" s="488"/>
      <c r="AC743" s="488"/>
      <c r="AD743" s="488"/>
      <c r="AE743" s="488"/>
      <c r="AF743" s="488"/>
      <c r="AG743" s="488"/>
      <c r="AH743" s="488"/>
      <c r="AI743" s="488"/>
      <c r="AJ743" s="488"/>
      <c r="AK743" s="488"/>
      <c r="AL743" s="488"/>
      <c r="AM743" s="488"/>
      <c r="AN743" s="488"/>
      <c r="AO743" s="488"/>
      <c r="AP743" s="488"/>
      <c r="AQ743" s="488"/>
      <c r="AR743" s="488"/>
      <c r="AS743" s="488"/>
      <c r="AT743" s="488"/>
      <c r="AU743" s="488"/>
      <c r="AV743" s="488"/>
      <c r="AW743" s="488"/>
      <c r="AX743" s="488"/>
      <c r="AY743" s="488"/>
      <c r="AZ743" s="488"/>
      <c r="BA743" s="488"/>
      <c r="BB743" s="488"/>
      <c r="BC743" s="488"/>
      <c r="BD743" s="488"/>
      <c r="BE743" s="488"/>
      <c r="BF743" s="488"/>
      <c r="BG743" s="488"/>
      <c r="BH743" s="488"/>
      <c r="BI743" s="488"/>
      <c r="BJ743" s="488"/>
      <c r="BK743" s="488"/>
      <c r="BL743" s="488"/>
      <c r="BM743" s="488"/>
      <c r="BN743" s="488"/>
      <c r="BO743" s="488"/>
      <c r="BP743" s="488"/>
      <c r="BQ743" s="303"/>
      <c r="BR743" s="462"/>
      <c r="BS743" s="462"/>
      <c r="BT743" s="488"/>
    </row>
    <row r="744" s="3" customFormat="1" customHeight="1" spans="1:72">
      <c r="A744" s="268">
        <v>46241</v>
      </c>
      <c r="B744" s="285" t="s">
        <v>235</v>
      </c>
      <c r="C744" s="270">
        <v>10134971</v>
      </c>
      <c r="D744" s="297">
        <v>4500033035</v>
      </c>
      <c r="E744" s="253" t="s">
        <v>224</v>
      </c>
      <c r="F744" s="273">
        <v>2500</v>
      </c>
      <c r="G744" s="490">
        <v>46351</v>
      </c>
      <c r="H744" s="488"/>
      <c r="I744" s="488"/>
      <c r="J744" s="488"/>
      <c r="K744" s="488"/>
      <c r="L744" s="488"/>
      <c r="M744" s="488"/>
      <c r="N744" s="488"/>
      <c r="O744" s="488"/>
      <c r="P744" s="488"/>
      <c r="Q744" s="488"/>
      <c r="R744" s="488"/>
      <c r="S744" s="488"/>
      <c r="T744" s="488"/>
      <c r="U744" s="488"/>
      <c r="V744" s="488"/>
      <c r="W744" s="488"/>
      <c r="X744" s="488"/>
      <c r="Y744" s="488"/>
      <c r="Z744" s="488"/>
      <c r="AA744" s="488"/>
      <c r="AB744" s="488"/>
      <c r="AC744" s="488"/>
      <c r="AD744" s="488"/>
      <c r="AE744" s="488"/>
      <c r="AF744" s="488"/>
      <c r="AG744" s="488"/>
      <c r="AH744" s="488"/>
      <c r="AI744" s="488"/>
      <c r="AJ744" s="488"/>
      <c r="AK744" s="488"/>
      <c r="AL744" s="488"/>
      <c r="AM744" s="488"/>
      <c r="AN744" s="488"/>
      <c r="AO744" s="488"/>
      <c r="AP744" s="488"/>
      <c r="AQ744" s="488"/>
      <c r="AR744" s="488"/>
      <c r="AS744" s="488"/>
      <c r="AT744" s="488"/>
      <c r="AU744" s="488"/>
      <c r="AV744" s="488"/>
      <c r="AW744" s="488"/>
      <c r="AX744" s="488"/>
      <c r="AY744" s="488"/>
      <c r="AZ744" s="488"/>
      <c r="BA744" s="488"/>
      <c r="BB744" s="488"/>
      <c r="BC744" s="488"/>
      <c r="BD744" s="488"/>
      <c r="BE744" s="488"/>
      <c r="BF744" s="488"/>
      <c r="BG744" s="488"/>
      <c r="BH744" s="488"/>
      <c r="BI744" s="488">
        <f>F744</f>
        <v>2500</v>
      </c>
      <c r="BJ744" s="488"/>
      <c r="BK744" s="488"/>
      <c r="BL744" s="488"/>
      <c r="BM744" s="488"/>
      <c r="BN744" s="488"/>
      <c r="BO744" s="488"/>
      <c r="BP744" s="488"/>
      <c r="BQ744" s="303">
        <v>5.4</v>
      </c>
      <c r="BR744" s="462">
        <f t="shared" ref="BR744:BR749" si="75">SUM(H744:BP744)*BQ744</f>
        <v>13500</v>
      </c>
      <c r="BS744" s="447">
        <f t="shared" ref="BS744:BS749" si="76">BR744*7.75</f>
        <v>104625</v>
      </c>
      <c r="BT744" s="488" t="s">
        <v>12</v>
      </c>
    </row>
    <row r="745" s="3" customFormat="1" customHeight="1" spans="1:72">
      <c r="A745" s="268">
        <v>46241</v>
      </c>
      <c r="B745" s="285" t="s">
        <v>235</v>
      </c>
      <c r="C745" s="270">
        <v>10134971</v>
      </c>
      <c r="D745" s="297">
        <v>4500033035</v>
      </c>
      <c r="E745" s="253" t="s">
        <v>223</v>
      </c>
      <c r="F745" s="273">
        <v>2500</v>
      </c>
      <c r="G745" s="490">
        <v>46351</v>
      </c>
      <c r="H745" s="488"/>
      <c r="I745" s="488"/>
      <c r="J745" s="488"/>
      <c r="K745" s="488"/>
      <c r="L745" s="488"/>
      <c r="M745" s="488"/>
      <c r="N745" s="488"/>
      <c r="O745" s="488"/>
      <c r="P745" s="488"/>
      <c r="Q745" s="488"/>
      <c r="R745" s="488"/>
      <c r="S745" s="488"/>
      <c r="T745" s="488"/>
      <c r="U745" s="488"/>
      <c r="V745" s="488"/>
      <c r="W745" s="488"/>
      <c r="X745" s="488"/>
      <c r="Y745" s="488"/>
      <c r="Z745" s="488"/>
      <c r="AA745" s="488"/>
      <c r="AB745" s="488"/>
      <c r="AC745" s="488"/>
      <c r="AD745" s="488"/>
      <c r="AE745" s="488"/>
      <c r="AF745" s="488"/>
      <c r="AG745" s="488"/>
      <c r="AH745" s="488"/>
      <c r="AI745" s="488"/>
      <c r="AJ745" s="488"/>
      <c r="AK745" s="488"/>
      <c r="AL745" s="488"/>
      <c r="AM745" s="488"/>
      <c r="AN745" s="488"/>
      <c r="AO745" s="488"/>
      <c r="AP745" s="488"/>
      <c r="AQ745" s="488"/>
      <c r="AR745" s="488"/>
      <c r="AS745" s="488"/>
      <c r="AT745" s="488"/>
      <c r="AU745" s="488"/>
      <c r="AV745" s="488"/>
      <c r="AW745" s="488"/>
      <c r="AX745" s="488"/>
      <c r="AY745" s="488"/>
      <c r="AZ745" s="488"/>
      <c r="BA745" s="488"/>
      <c r="BB745" s="488"/>
      <c r="BC745" s="488"/>
      <c r="BD745" s="488"/>
      <c r="BE745" s="488"/>
      <c r="BF745" s="488"/>
      <c r="BG745" s="488"/>
      <c r="BH745" s="488">
        <f>F745</f>
        <v>2500</v>
      </c>
      <c r="BI745" s="488"/>
      <c r="BJ745" s="488"/>
      <c r="BK745" s="488"/>
      <c r="BL745" s="488"/>
      <c r="BM745" s="488"/>
      <c r="BN745" s="488"/>
      <c r="BO745" s="488"/>
      <c r="BP745" s="488"/>
      <c r="BQ745" s="303">
        <v>4.98</v>
      </c>
      <c r="BR745" s="462">
        <f t="shared" si="75"/>
        <v>12450</v>
      </c>
      <c r="BS745" s="447">
        <f t="shared" si="76"/>
        <v>96487.5</v>
      </c>
      <c r="BT745" s="488" t="s">
        <v>12</v>
      </c>
    </row>
    <row r="746" s="3" customFormat="1" customHeight="1" spans="1:72">
      <c r="A746" s="268">
        <v>46241</v>
      </c>
      <c r="B746" s="285" t="s">
        <v>299</v>
      </c>
      <c r="C746" s="270">
        <v>10134972</v>
      </c>
      <c r="D746" s="297">
        <v>4500033037</v>
      </c>
      <c r="E746" s="253" t="s">
        <v>224</v>
      </c>
      <c r="F746" s="273">
        <v>1000</v>
      </c>
      <c r="G746" s="490">
        <v>46351</v>
      </c>
      <c r="H746" s="488"/>
      <c r="I746" s="488"/>
      <c r="J746" s="488"/>
      <c r="K746" s="488"/>
      <c r="L746" s="488"/>
      <c r="M746" s="488"/>
      <c r="N746" s="488"/>
      <c r="O746" s="488"/>
      <c r="P746" s="488"/>
      <c r="Q746" s="488"/>
      <c r="R746" s="488"/>
      <c r="S746" s="488"/>
      <c r="T746" s="488"/>
      <c r="U746" s="488"/>
      <c r="V746" s="488"/>
      <c r="W746" s="488"/>
      <c r="X746" s="488"/>
      <c r="Y746" s="488"/>
      <c r="Z746" s="488"/>
      <c r="AA746" s="488"/>
      <c r="AB746" s="488"/>
      <c r="AC746" s="488"/>
      <c r="AD746" s="488"/>
      <c r="AE746" s="488"/>
      <c r="AF746" s="488"/>
      <c r="AG746" s="488"/>
      <c r="AH746" s="488"/>
      <c r="AI746" s="488"/>
      <c r="AJ746" s="488"/>
      <c r="AK746" s="488"/>
      <c r="AL746" s="488"/>
      <c r="AM746" s="488"/>
      <c r="AN746" s="488"/>
      <c r="AO746" s="488"/>
      <c r="AP746" s="488"/>
      <c r="AQ746" s="488"/>
      <c r="AR746" s="488"/>
      <c r="AS746" s="488"/>
      <c r="AT746" s="488"/>
      <c r="AU746" s="488"/>
      <c r="AV746" s="488"/>
      <c r="AW746" s="488"/>
      <c r="AX746" s="488"/>
      <c r="AY746" s="488"/>
      <c r="AZ746" s="488"/>
      <c r="BA746" s="488"/>
      <c r="BB746" s="488"/>
      <c r="BC746" s="488"/>
      <c r="BD746" s="488"/>
      <c r="BE746" s="488"/>
      <c r="BF746" s="488"/>
      <c r="BG746" s="488"/>
      <c r="BH746" s="488"/>
      <c r="BI746" s="488">
        <f>F746</f>
        <v>1000</v>
      </c>
      <c r="BJ746" s="488"/>
      <c r="BK746" s="488"/>
      <c r="BL746" s="488"/>
      <c r="BM746" s="488"/>
      <c r="BN746" s="488"/>
      <c r="BO746" s="488"/>
      <c r="BP746" s="488"/>
      <c r="BQ746" s="303">
        <v>5.4</v>
      </c>
      <c r="BR746" s="462">
        <f t="shared" si="75"/>
        <v>5400</v>
      </c>
      <c r="BS746" s="447">
        <f t="shared" si="76"/>
        <v>41850</v>
      </c>
      <c r="BT746" s="488" t="s">
        <v>12</v>
      </c>
    </row>
    <row r="747" s="3" customFormat="1" customHeight="1" spans="1:72">
      <c r="A747" s="268">
        <v>46241</v>
      </c>
      <c r="B747" s="285" t="s">
        <v>299</v>
      </c>
      <c r="C747" s="270">
        <v>10134972</v>
      </c>
      <c r="D747" s="297">
        <v>4500033037</v>
      </c>
      <c r="E747" s="253" t="s">
        <v>223</v>
      </c>
      <c r="F747" s="273">
        <v>1000</v>
      </c>
      <c r="G747" s="490">
        <v>46351</v>
      </c>
      <c r="H747" s="488"/>
      <c r="I747" s="488"/>
      <c r="J747" s="488"/>
      <c r="K747" s="488"/>
      <c r="L747" s="488"/>
      <c r="M747" s="488"/>
      <c r="N747" s="488"/>
      <c r="O747" s="488"/>
      <c r="P747" s="488"/>
      <c r="Q747" s="488"/>
      <c r="R747" s="488"/>
      <c r="S747" s="488"/>
      <c r="T747" s="488"/>
      <c r="U747" s="488"/>
      <c r="V747" s="488"/>
      <c r="W747" s="488"/>
      <c r="X747" s="488"/>
      <c r="Y747" s="488"/>
      <c r="Z747" s="488"/>
      <c r="AA747" s="488"/>
      <c r="AB747" s="488"/>
      <c r="AC747" s="488"/>
      <c r="AD747" s="488"/>
      <c r="AE747" s="488"/>
      <c r="AF747" s="488"/>
      <c r="AG747" s="488"/>
      <c r="AH747" s="488"/>
      <c r="AI747" s="488"/>
      <c r="AJ747" s="488"/>
      <c r="AK747" s="488"/>
      <c r="AL747" s="488"/>
      <c r="AM747" s="488"/>
      <c r="AN747" s="488"/>
      <c r="AO747" s="488"/>
      <c r="AP747" s="488"/>
      <c r="AQ747" s="488"/>
      <c r="AR747" s="488"/>
      <c r="AS747" s="488"/>
      <c r="AT747" s="488"/>
      <c r="AU747" s="488"/>
      <c r="AV747" s="488"/>
      <c r="AW747" s="488"/>
      <c r="AX747" s="488"/>
      <c r="AY747" s="488"/>
      <c r="AZ747" s="488"/>
      <c r="BA747" s="488"/>
      <c r="BB747" s="488"/>
      <c r="BC747" s="488"/>
      <c r="BD747" s="488"/>
      <c r="BE747" s="488"/>
      <c r="BF747" s="488"/>
      <c r="BG747" s="488"/>
      <c r="BH747" s="488">
        <f>F747</f>
        <v>1000</v>
      </c>
      <c r="BI747" s="488"/>
      <c r="BJ747" s="488"/>
      <c r="BK747" s="488"/>
      <c r="BL747" s="488"/>
      <c r="BM747" s="488"/>
      <c r="BN747" s="488"/>
      <c r="BO747" s="488"/>
      <c r="BP747" s="488"/>
      <c r="BQ747" s="303">
        <v>4.98</v>
      </c>
      <c r="BR747" s="462">
        <f t="shared" si="75"/>
        <v>4980</v>
      </c>
      <c r="BS747" s="447">
        <f t="shared" si="76"/>
        <v>38595</v>
      </c>
      <c r="BT747" s="488" t="s">
        <v>12</v>
      </c>
    </row>
    <row r="748" s="3" customFormat="1" customHeight="1" spans="1:72">
      <c r="A748" s="268">
        <v>46241</v>
      </c>
      <c r="B748" s="285" t="s">
        <v>237</v>
      </c>
      <c r="C748" s="270">
        <v>10135087</v>
      </c>
      <c r="D748" s="297" t="s">
        <v>364</v>
      </c>
      <c r="E748" s="253" t="s">
        <v>224</v>
      </c>
      <c r="F748" s="273">
        <v>1500</v>
      </c>
      <c r="G748" s="490">
        <v>46351</v>
      </c>
      <c r="H748" s="488"/>
      <c r="I748" s="488"/>
      <c r="J748" s="488"/>
      <c r="K748" s="488"/>
      <c r="L748" s="488"/>
      <c r="M748" s="488"/>
      <c r="N748" s="488"/>
      <c r="O748" s="488"/>
      <c r="P748" s="488"/>
      <c r="Q748" s="488"/>
      <c r="R748" s="488"/>
      <c r="S748" s="488"/>
      <c r="T748" s="488"/>
      <c r="U748" s="488"/>
      <c r="V748" s="488"/>
      <c r="W748" s="488"/>
      <c r="X748" s="488"/>
      <c r="Y748" s="488"/>
      <c r="Z748" s="488"/>
      <c r="AA748" s="488"/>
      <c r="AB748" s="488"/>
      <c r="AC748" s="488"/>
      <c r="AD748" s="488"/>
      <c r="AE748" s="488"/>
      <c r="AF748" s="488"/>
      <c r="AG748" s="488"/>
      <c r="AH748" s="488"/>
      <c r="AI748" s="488"/>
      <c r="AJ748" s="488"/>
      <c r="AK748" s="488"/>
      <c r="AL748" s="488"/>
      <c r="AM748" s="488"/>
      <c r="AN748" s="488"/>
      <c r="AO748" s="488"/>
      <c r="AP748" s="488"/>
      <c r="AQ748" s="488"/>
      <c r="AR748" s="488"/>
      <c r="AS748" s="488"/>
      <c r="AT748" s="488"/>
      <c r="AU748" s="488"/>
      <c r="AV748" s="488"/>
      <c r="AW748" s="488"/>
      <c r="AX748" s="488"/>
      <c r="AY748" s="488"/>
      <c r="AZ748" s="488"/>
      <c r="BA748" s="488"/>
      <c r="BB748" s="488"/>
      <c r="BC748" s="488"/>
      <c r="BD748" s="488"/>
      <c r="BE748" s="488"/>
      <c r="BF748" s="488"/>
      <c r="BG748" s="488"/>
      <c r="BH748" s="488"/>
      <c r="BI748" s="488">
        <f>F748</f>
        <v>1500</v>
      </c>
      <c r="BJ748" s="488"/>
      <c r="BK748" s="488"/>
      <c r="BL748" s="488"/>
      <c r="BM748" s="488"/>
      <c r="BN748" s="488"/>
      <c r="BO748" s="488"/>
      <c r="BP748" s="488"/>
      <c r="BQ748" s="303">
        <v>5.4</v>
      </c>
      <c r="BR748" s="462">
        <f t="shared" si="75"/>
        <v>8100</v>
      </c>
      <c r="BS748" s="447">
        <f t="shared" si="76"/>
        <v>62775</v>
      </c>
      <c r="BT748" s="488" t="s">
        <v>12</v>
      </c>
    </row>
    <row r="749" s="3" customFormat="1" customHeight="1" spans="1:72">
      <c r="A749" s="268">
        <v>46241</v>
      </c>
      <c r="B749" s="285" t="s">
        <v>237</v>
      </c>
      <c r="C749" s="270">
        <v>10135087</v>
      </c>
      <c r="D749" s="297" t="s">
        <v>364</v>
      </c>
      <c r="E749" s="253" t="s">
        <v>223</v>
      </c>
      <c r="F749" s="273">
        <v>1500</v>
      </c>
      <c r="G749" s="490">
        <v>46351</v>
      </c>
      <c r="H749" s="488"/>
      <c r="I749" s="488"/>
      <c r="J749" s="488"/>
      <c r="K749" s="488"/>
      <c r="L749" s="488"/>
      <c r="M749" s="488"/>
      <c r="N749" s="488"/>
      <c r="O749" s="488"/>
      <c r="P749" s="488"/>
      <c r="Q749" s="488"/>
      <c r="R749" s="488"/>
      <c r="S749" s="488"/>
      <c r="T749" s="488"/>
      <c r="U749" s="488"/>
      <c r="V749" s="488"/>
      <c r="W749" s="488"/>
      <c r="X749" s="488"/>
      <c r="Y749" s="488"/>
      <c r="Z749" s="488"/>
      <c r="AA749" s="488"/>
      <c r="AB749" s="488"/>
      <c r="AC749" s="488"/>
      <c r="AD749" s="488"/>
      <c r="AE749" s="488"/>
      <c r="AF749" s="488"/>
      <c r="AG749" s="488"/>
      <c r="AH749" s="488"/>
      <c r="AI749" s="488"/>
      <c r="AJ749" s="488"/>
      <c r="AK749" s="488"/>
      <c r="AL749" s="488"/>
      <c r="AM749" s="488"/>
      <c r="AN749" s="488"/>
      <c r="AO749" s="488"/>
      <c r="AP749" s="488"/>
      <c r="AQ749" s="488"/>
      <c r="AR749" s="488"/>
      <c r="AS749" s="488"/>
      <c r="AT749" s="488"/>
      <c r="AU749" s="488"/>
      <c r="AV749" s="488"/>
      <c r="AW749" s="488"/>
      <c r="AX749" s="488"/>
      <c r="AY749" s="488"/>
      <c r="AZ749" s="488"/>
      <c r="BA749" s="488"/>
      <c r="BB749" s="488"/>
      <c r="BC749" s="488"/>
      <c r="BD749" s="488"/>
      <c r="BE749" s="488"/>
      <c r="BF749" s="488"/>
      <c r="BG749" s="488"/>
      <c r="BH749" s="488">
        <f>F749</f>
        <v>1500</v>
      </c>
      <c r="BI749" s="488"/>
      <c r="BJ749" s="488"/>
      <c r="BK749" s="488"/>
      <c r="BL749" s="488"/>
      <c r="BM749" s="488"/>
      <c r="BN749" s="488"/>
      <c r="BO749" s="488"/>
      <c r="BP749" s="488"/>
      <c r="BQ749" s="303">
        <v>4.98</v>
      </c>
      <c r="BR749" s="462">
        <f t="shared" si="75"/>
        <v>7470</v>
      </c>
      <c r="BS749" s="447">
        <f t="shared" si="76"/>
        <v>57892.5</v>
      </c>
      <c r="BT749" s="488" t="s">
        <v>12</v>
      </c>
    </row>
    <row r="750" s="431" customFormat="1" customHeight="1" spans="1:72">
      <c r="A750" s="493">
        <v>46246</v>
      </c>
      <c r="B750" s="409" t="s">
        <v>235</v>
      </c>
      <c r="C750" s="397">
        <v>10135560</v>
      </c>
      <c r="D750" s="398">
        <v>4500033168</v>
      </c>
      <c r="E750" s="289" t="s">
        <v>64</v>
      </c>
      <c r="F750" s="494">
        <v>5000</v>
      </c>
      <c r="G750" s="495">
        <v>46337</v>
      </c>
      <c r="H750" s="496"/>
      <c r="I750" s="496"/>
      <c r="J750" s="496"/>
      <c r="K750" s="496"/>
      <c r="L750" s="496"/>
      <c r="M750" s="496"/>
      <c r="N750" s="496"/>
      <c r="O750" s="496"/>
      <c r="P750" s="496"/>
      <c r="Q750" s="496"/>
      <c r="R750" s="496"/>
      <c r="S750" s="496"/>
      <c r="T750" s="496"/>
      <c r="U750" s="496"/>
      <c r="V750" s="496"/>
      <c r="W750" s="496"/>
      <c r="X750" s="496"/>
      <c r="Y750" s="496"/>
      <c r="Z750" s="496"/>
      <c r="AA750" s="496"/>
      <c r="AB750" s="496">
        <f>F750</f>
        <v>5000</v>
      </c>
      <c r="AC750" s="496"/>
      <c r="AD750" s="496"/>
      <c r="AE750" s="496"/>
      <c r="AF750" s="496"/>
      <c r="AG750" s="496"/>
      <c r="AH750" s="496"/>
      <c r="AI750" s="496"/>
      <c r="AJ750" s="496"/>
      <c r="AK750" s="496"/>
      <c r="AL750" s="496"/>
      <c r="AM750" s="496"/>
      <c r="AN750" s="496"/>
      <c r="AO750" s="496"/>
      <c r="AP750" s="496"/>
      <c r="AQ750" s="496"/>
      <c r="AR750" s="496"/>
      <c r="AS750" s="496"/>
      <c r="AT750" s="496"/>
      <c r="AU750" s="496"/>
      <c r="AV750" s="496"/>
      <c r="AW750" s="496"/>
      <c r="AX750" s="496"/>
      <c r="AY750" s="496"/>
      <c r="AZ750" s="496"/>
      <c r="BA750" s="496"/>
      <c r="BB750" s="496"/>
      <c r="BC750" s="496"/>
      <c r="BD750" s="496"/>
      <c r="BE750" s="496"/>
      <c r="BF750" s="496"/>
      <c r="BG750" s="496"/>
      <c r="BH750" s="496"/>
      <c r="BI750" s="496"/>
      <c r="BJ750" s="496"/>
      <c r="BK750" s="496"/>
      <c r="BL750" s="496"/>
      <c r="BM750" s="496"/>
      <c r="BN750" s="496"/>
      <c r="BO750" s="496"/>
      <c r="BP750" s="496"/>
      <c r="BQ750" s="497">
        <v>2.364</v>
      </c>
      <c r="BR750" s="498">
        <f t="shared" ref="BR750:BR756" si="77">SUM(H750:BP750)*BQ750</f>
        <v>11820</v>
      </c>
      <c r="BS750" s="499">
        <f t="shared" ref="BS750:BS756" si="78">BR750*7.75</f>
        <v>91605</v>
      </c>
      <c r="BT750" s="500" t="str">
        <f>IFERROR(VLOOKUP(E750,名称!A:D,4,FALSE),"")</f>
        <v>KIK</v>
      </c>
    </row>
    <row r="751" s="431" customFormat="1" customHeight="1" spans="1:72">
      <c r="A751" s="493">
        <v>46249</v>
      </c>
      <c r="B751" s="409" t="s">
        <v>236</v>
      </c>
      <c r="C751" s="397">
        <v>10135968</v>
      </c>
      <c r="D751" s="398">
        <v>20219319</v>
      </c>
      <c r="E751" s="289" t="s">
        <v>107</v>
      </c>
      <c r="F751" s="494">
        <v>3000</v>
      </c>
      <c r="G751" s="495">
        <v>46330</v>
      </c>
      <c r="H751" s="496"/>
      <c r="I751" s="496"/>
      <c r="J751" s="496"/>
      <c r="K751" s="496"/>
      <c r="L751" s="496"/>
      <c r="M751" s="496"/>
      <c r="N751" s="496"/>
      <c r="O751" s="496"/>
      <c r="P751" s="496"/>
      <c r="Q751" s="496"/>
      <c r="R751" s="496"/>
      <c r="S751" s="496"/>
      <c r="T751" s="496"/>
      <c r="U751" s="496"/>
      <c r="V751" s="496"/>
      <c r="W751" s="496"/>
      <c r="X751" s="496"/>
      <c r="Y751" s="496"/>
      <c r="Z751" s="496"/>
      <c r="AA751" s="496"/>
      <c r="AB751" s="496"/>
      <c r="AC751" s="496"/>
      <c r="AD751" s="496"/>
      <c r="AE751" s="496"/>
      <c r="AF751" s="496"/>
      <c r="AG751" s="496"/>
      <c r="AH751" s="496"/>
      <c r="AI751" s="496"/>
      <c r="AJ751" s="496"/>
      <c r="AK751" s="496">
        <f>F751</f>
        <v>3000</v>
      </c>
      <c r="AL751" s="496"/>
      <c r="AM751" s="496"/>
      <c r="AN751" s="496"/>
      <c r="AO751" s="496"/>
      <c r="AP751" s="496"/>
      <c r="AQ751" s="496"/>
      <c r="AR751" s="496"/>
      <c r="AS751" s="496"/>
      <c r="AT751" s="496"/>
      <c r="AU751" s="496"/>
      <c r="AV751" s="496"/>
      <c r="AW751" s="496"/>
      <c r="AX751" s="496"/>
      <c r="AY751" s="496"/>
      <c r="AZ751" s="496"/>
      <c r="BA751" s="496"/>
      <c r="BB751" s="496"/>
      <c r="BC751" s="496"/>
      <c r="BD751" s="496"/>
      <c r="BE751" s="496"/>
      <c r="BF751" s="496"/>
      <c r="BG751" s="496"/>
      <c r="BH751" s="496"/>
      <c r="BI751" s="496"/>
      <c r="BJ751" s="496"/>
      <c r="BK751" s="496"/>
      <c r="BL751" s="496"/>
      <c r="BM751" s="496"/>
      <c r="BN751" s="496"/>
      <c r="BO751" s="496"/>
      <c r="BP751" s="496"/>
      <c r="BQ751" s="497">
        <v>4.956</v>
      </c>
      <c r="BR751" s="498">
        <f t="shared" si="77"/>
        <v>14868</v>
      </c>
      <c r="BS751" s="499">
        <f t="shared" si="78"/>
        <v>115227</v>
      </c>
      <c r="BT751" s="500" t="str">
        <f>IFERROR(VLOOKUP(E751,名称!A:D,4,FALSE),"")</f>
        <v>KIK</v>
      </c>
    </row>
    <row r="752" s="431" customFormat="1" customHeight="1" spans="1:72">
      <c r="A752" s="493">
        <v>46249</v>
      </c>
      <c r="B752" s="409" t="s">
        <v>236</v>
      </c>
      <c r="C752" s="397">
        <v>10135969</v>
      </c>
      <c r="D752" s="398">
        <v>20219320</v>
      </c>
      <c r="E752" s="289" t="s">
        <v>107</v>
      </c>
      <c r="F752" s="494">
        <v>2000</v>
      </c>
      <c r="G752" s="495">
        <v>46365</v>
      </c>
      <c r="H752" s="496"/>
      <c r="I752" s="496"/>
      <c r="J752" s="496"/>
      <c r="K752" s="496"/>
      <c r="L752" s="496"/>
      <c r="M752" s="496"/>
      <c r="N752" s="496"/>
      <c r="O752" s="496"/>
      <c r="P752" s="496"/>
      <c r="Q752" s="496"/>
      <c r="R752" s="496"/>
      <c r="S752" s="496"/>
      <c r="T752" s="496"/>
      <c r="U752" s="496"/>
      <c r="V752" s="496"/>
      <c r="W752" s="496"/>
      <c r="X752" s="496"/>
      <c r="Y752" s="496"/>
      <c r="Z752" s="496"/>
      <c r="AA752" s="496"/>
      <c r="AB752" s="496"/>
      <c r="AC752" s="496"/>
      <c r="AD752" s="496"/>
      <c r="AE752" s="496"/>
      <c r="AF752" s="496"/>
      <c r="AG752" s="496"/>
      <c r="AH752" s="496"/>
      <c r="AI752" s="496"/>
      <c r="AJ752" s="496"/>
      <c r="AK752" s="496">
        <f>F752</f>
        <v>2000</v>
      </c>
      <c r="AL752" s="496"/>
      <c r="AM752" s="496"/>
      <c r="AN752" s="496"/>
      <c r="AO752" s="496"/>
      <c r="AP752" s="496"/>
      <c r="AQ752" s="496"/>
      <c r="AR752" s="496"/>
      <c r="AS752" s="496"/>
      <c r="AT752" s="496"/>
      <c r="AU752" s="496"/>
      <c r="AV752" s="496"/>
      <c r="AW752" s="496"/>
      <c r="AX752" s="496"/>
      <c r="AY752" s="496"/>
      <c r="AZ752" s="496"/>
      <c r="BA752" s="496"/>
      <c r="BB752" s="496"/>
      <c r="BC752" s="496"/>
      <c r="BD752" s="496"/>
      <c r="BE752" s="496"/>
      <c r="BF752" s="496"/>
      <c r="BG752" s="496"/>
      <c r="BH752" s="496"/>
      <c r="BI752" s="496"/>
      <c r="BJ752" s="496"/>
      <c r="BK752" s="496"/>
      <c r="BL752" s="496"/>
      <c r="BM752" s="496"/>
      <c r="BN752" s="496"/>
      <c r="BO752" s="496"/>
      <c r="BP752" s="496"/>
      <c r="BQ752" s="497">
        <v>4.956</v>
      </c>
      <c r="BR752" s="498">
        <f t="shared" si="77"/>
        <v>9912</v>
      </c>
      <c r="BS752" s="499">
        <f t="shared" si="78"/>
        <v>76818</v>
      </c>
      <c r="BT752" s="500" t="str">
        <f>IFERROR(VLOOKUP(E752,名称!A:D,4,FALSE),"")</f>
        <v>KIK</v>
      </c>
    </row>
    <row r="753" s="431" customFormat="1" customHeight="1" spans="1:72">
      <c r="A753" s="493">
        <v>46249</v>
      </c>
      <c r="B753" s="409" t="s">
        <v>235</v>
      </c>
      <c r="C753" s="397">
        <v>10136065</v>
      </c>
      <c r="D753" s="398">
        <v>4500033156</v>
      </c>
      <c r="E753" s="289" t="s">
        <v>229</v>
      </c>
      <c r="F753" s="501">
        <v>24030</v>
      </c>
      <c r="G753" s="495">
        <v>46358</v>
      </c>
      <c r="H753" s="496"/>
      <c r="I753" s="496"/>
      <c r="J753" s="496"/>
      <c r="K753" s="496"/>
      <c r="L753" s="496"/>
      <c r="M753" s="496"/>
      <c r="N753" s="496"/>
      <c r="O753" s="496"/>
      <c r="P753" s="496"/>
      <c r="Q753" s="496"/>
      <c r="R753" s="496"/>
      <c r="S753" s="496"/>
      <c r="T753" s="496"/>
      <c r="U753" s="496"/>
      <c r="V753" s="496"/>
      <c r="W753" s="496"/>
      <c r="X753" s="496"/>
      <c r="Y753" s="496"/>
      <c r="Z753" s="496"/>
      <c r="AA753" s="496"/>
      <c r="AB753" s="496"/>
      <c r="AC753" s="496"/>
      <c r="AD753" s="496"/>
      <c r="AE753" s="496"/>
      <c r="AF753" s="496"/>
      <c r="AG753" s="496"/>
      <c r="AH753" s="496"/>
      <c r="AI753" s="496"/>
      <c r="AJ753" s="496"/>
      <c r="AK753" s="496"/>
      <c r="AL753" s="496"/>
      <c r="AM753" s="496"/>
      <c r="AN753" s="496"/>
      <c r="AO753" s="496"/>
      <c r="AP753" s="496"/>
      <c r="AQ753" s="496"/>
      <c r="AR753" s="496"/>
      <c r="AS753" s="496"/>
      <c r="AT753" s="496"/>
      <c r="AU753" s="496"/>
      <c r="AV753" s="496"/>
      <c r="AW753" s="496"/>
      <c r="AX753" s="496"/>
      <c r="AY753" s="496"/>
      <c r="AZ753" s="496"/>
      <c r="BA753" s="496"/>
      <c r="BB753" s="496"/>
      <c r="BC753" s="496"/>
      <c r="BD753" s="496"/>
      <c r="BE753" s="496"/>
      <c r="BF753" s="496"/>
      <c r="BG753" s="496"/>
      <c r="BH753" s="496"/>
      <c r="BI753" s="496"/>
      <c r="BJ753" s="496"/>
      <c r="BK753" s="496"/>
      <c r="BL753" s="496"/>
      <c r="BM753" s="496"/>
      <c r="BN753" s="496">
        <f>F753</f>
        <v>24030</v>
      </c>
      <c r="BO753" s="496"/>
      <c r="BP753" s="496"/>
      <c r="BQ753" s="497">
        <v>0.963</v>
      </c>
      <c r="BR753" s="498">
        <f t="shared" si="77"/>
        <v>23140.89</v>
      </c>
      <c r="BS753" s="499">
        <f t="shared" si="78"/>
        <v>179341.9</v>
      </c>
      <c r="BT753" s="496" t="s">
        <v>12</v>
      </c>
    </row>
    <row r="754" s="3" customFormat="1" customHeight="1" spans="1:72">
      <c r="A754" s="268"/>
      <c r="B754" s="285"/>
      <c r="C754" s="270"/>
      <c r="D754" s="297"/>
      <c r="E754" s="253"/>
      <c r="F754" s="273"/>
      <c r="G754" s="490"/>
      <c r="H754" s="488"/>
      <c r="I754" s="488"/>
      <c r="J754" s="488"/>
      <c r="K754" s="488"/>
      <c r="L754" s="488"/>
      <c r="M754" s="488"/>
      <c r="N754" s="488"/>
      <c r="O754" s="488"/>
      <c r="P754" s="488"/>
      <c r="Q754" s="488"/>
      <c r="R754" s="488"/>
      <c r="S754" s="488"/>
      <c r="T754" s="488"/>
      <c r="U754" s="488"/>
      <c r="V754" s="488"/>
      <c r="W754" s="488"/>
      <c r="X754" s="488"/>
      <c r="Y754" s="488"/>
      <c r="Z754" s="488"/>
      <c r="AA754" s="488"/>
      <c r="AB754" s="488"/>
      <c r="AC754" s="488"/>
      <c r="AD754" s="488"/>
      <c r="AE754" s="488"/>
      <c r="AF754" s="488"/>
      <c r="AG754" s="488"/>
      <c r="AH754" s="488"/>
      <c r="AI754" s="488"/>
      <c r="AJ754" s="488"/>
      <c r="AK754" s="488"/>
      <c r="AL754" s="488"/>
      <c r="AM754" s="488"/>
      <c r="AN754" s="488"/>
      <c r="AO754" s="488"/>
      <c r="AP754" s="488"/>
      <c r="AQ754" s="488"/>
      <c r="AR754" s="488"/>
      <c r="AS754" s="488"/>
      <c r="AT754" s="488"/>
      <c r="AU754" s="488"/>
      <c r="AV754" s="488"/>
      <c r="AW754" s="488"/>
      <c r="AX754" s="488"/>
      <c r="AY754" s="488"/>
      <c r="AZ754" s="488"/>
      <c r="BA754" s="488"/>
      <c r="BB754" s="488"/>
      <c r="BC754" s="488"/>
      <c r="BD754" s="488"/>
      <c r="BE754" s="488"/>
      <c r="BF754" s="488"/>
      <c r="BG754" s="488"/>
      <c r="BH754" s="488"/>
      <c r="BI754" s="488"/>
      <c r="BJ754" s="488"/>
      <c r="BK754" s="488"/>
      <c r="BL754" s="488"/>
      <c r="BM754" s="488"/>
      <c r="BN754" s="488"/>
      <c r="BO754" s="488"/>
      <c r="BP754" s="488"/>
      <c r="BQ754" s="303"/>
      <c r="BR754" s="462">
        <f t="shared" si="77"/>
        <v>0</v>
      </c>
      <c r="BS754" s="447">
        <f t="shared" si="78"/>
        <v>0</v>
      </c>
      <c r="BT754" s="488"/>
    </row>
    <row r="755" s="3" customFormat="1" customHeight="1" spans="1:72">
      <c r="A755" s="268"/>
      <c r="B755" s="285"/>
      <c r="C755" s="270"/>
      <c r="D755" s="297"/>
      <c r="E755" s="253"/>
      <c r="F755" s="273"/>
      <c r="G755" s="490"/>
      <c r="H755" s="488"/>
      <c r="I755" s="488"/>
      <c r="J755" s="488"/>
      <c r="K755" s="488"/>
      <c r="L755" s="488"/>
      <c r="M755" s="488"/>
      <c r="N755" s="488"/>
      <c r="O755" s="488"/>
      <c r="P755" s="488"/>
      <c r="Q755" s="488"/>
      <c r="R755" s="488"/>
      <c r="S755" s="488"/>
      <c r="T755" s="488"/>
      <c r="U755" s="488"/>
      <c r="V755" s="488"/>
      <c r="W755" s="488"/>
      <c r="X755" s="488"/>
      <c r="Y755" s="488"/>
      <c r="Z755" s="488"/>
      <c r="AA755" s="488"/>
      <c r="AB755" s="488"/>
      <c r="AC755" s="488"/>
      <c r="AD755" s="488"/>
      <c r="AE755" s="488"/>
      <c r="AF755" s="488"/>
      <c r="AG755" s="488"/>
      <c r="AH755" s="488"/>
      <c r="AI755" s="488"/>
      <c r="AJ755" s="488"/>
      <c r="AK755" s="488"/>
      <c r="AL755" s="488"/>
      <c r="AM755" s="488"/>
      <c r="AN755" s="488"/>
      <c r="AO755" s="488"/>
      <c r="AP755" s="488"/>
      <c r="AQ755" s="488"/>
      <c r="AR755" s="488"/>
      <c r="AS755" s="488"/>
      <c r="AT755" s="488"/>
      <c r="AU755" s="488"/>
      <c r="AV755" s="488"/>
      <c r="AW755" s="488"/>
      <c r="AX755" s="488"/>
      <c r="AY755" s="488"/>
      <c r="AZ755" s="488"/>
      <c r="BA755" s="488"/>
      <c r="BB755" s="488"/>
      <c r="BC755" s="488"/>
      <c r="BD755" s="488"/>
      <c r="BE755" s="488"/>
      <c r="BF755" s="488"/>
      <c r="BG755" s="488"/>
      <c r="BH755" s="488"/>
      <c r="BI755" s="488"/>
      <c r="BJ755" s="488"/>
      <c r="BK755" s="488"/>
      <c r="BL755" s="488"/>
      <c r="BM755" s="488"/>
      <c r="BN755" s="488"/>
      <c r="BO755" s="488"/>
      <c r="BP755" s="488"/>
      <c r="BQ755" s="303"/>
      <c r="BR755" s="462">
        <f t="shared" si="77"/>
        <v>0</v>
      </c>
      <c r="BS755" s="447">
        <f t="shared" si="78"/>
        <v>0</v>
      </c>
      <c r="BT755" s="488"/>
    </row>
    <row r="756" s="3" customFormat="1" hidden="1" customHeight="1" spans="1:72">
      <c r="A756" s="268"/>
      <c r="B756" s="269"/>
      <c r="C756" s="270"/>
      <c r="D756" s="297"/>
      <c r="E756" s="253"/>
      <c r="F756" s="273"/>
      <c r="G756" s="490"/>
      <c r="H756" s="488"/>
      <c r="I756" s="488"/>
      <c r="J756" s="488"/>
      <c r="K756" s="488"/>
      <c r="L756" s="488"/>
      <c r="M756" s="488"/>
      <c r="N756" s="488"/>
      <c r="O756" s="488"/>
      <c r="P756" s="488"/>
      <c r="Q756" s="488"/>
      <c r="R756" s="488"/>
      <c r="S756" s="488"/>
      <c r="T756" s="488"/>
      <c r="U756" s="488"/>
      <c r="V756" s="488"/>
      <c r="W756" s="488"/>
      <c r="X756" s="488"/>
      <c r="Y756" s="488"/>
      <c r="Z756" s="488"/>
      <c r="AA756" s="488"/>
      <c r="AB756" s="488"/>
      <c r="AC756" s="488"/>
      <c r="AD756" s="488"/>
      <c r="AE756" s="488"/>
      <c r="AF756" s="488"/>
      <c r="AG756" s="488"/>
      <c r="AH756" s="488"/>
      <c r="AI756" s="488"/>
      <c r="AJ756" s="488"/>
      <c r="AK756" s="488"/>
      <c r="AL756" s="488"/>
      <c r="AM756" s="488"/>
      <c r="AN756" s="488"/>
      <c r="AO756" s="488"/>
      <c r="AP756" s="488"/>
      <c r="AQ756" s="488"/>
      <c r="AR756" s="488"/>
      <c r="AS756" s="488"/>
      <c r="AT756" s="488"/>
      <c r="AU756" s="488"/>
      <c r="AV756" s="488"/>
      <c r="AW756" s="488"/>
      <c r="AX756" s="488"/>
      <c r="AY756" s="488"/>
      <c r="AZ756" s="488"/>
      <c r="BA756" s="488"/>
      <c r="BB756" s="488"/>
      <c r="BC756" s="488"/>
      <c r="BD756" s="488"/>
      <c r="BE756" s="488"/>
      <c r="BF756" s="488"/>
      <c r="BG756" s="488"/>
      <c r="BH756" s="488"/>
      <c r="BI756" s="488"/>
      <c r="BJ756" s="488"/>
      <c r="BK756" s="488"/>
      <c r="BL756" s="488"/>
      <c r="BM756" s="488"/>
      <c r="BN756" s="488"/>
      <c r="BO756" s="488"/>
      <c r="BP756" s="488"/>
      <c r="BQ756" s="303"/>
      <c r="BR756" s="462">
        <f t="shared" si="77"/>
        <v>0</v>
      </c>
      <c r="BS756" s="462">
        <f t="shared" si="78"/>
        <v>0</v>
      </c>
      <c r="BT756" s="488"/>
    </row>
    <row r="757" s="432" customFormat="1" hidden="1" customHeight="1" spans="1:72">
      <c r="A757" s="502"/>
      <c r="B757" s="503"/>
      <c r="C757" s="504"/>
      <c r="D757" s="505"/>
      <c r="E757" s="504"/>
      <c r="F757" s="506">
        <f>SUM(F3:F756)</f>
        <v>1476062</v>
      </c>
      <c r="G757" s="506">
        <f>F757-BQ757-F43</f>
        <v>17964</v>
      </c>
      <c r="H757" s="507">
        <f t="shared" ref="H757:O757" si="79">SUM(H3:H756)</f>
        <v>25020</v>
      </c>
      <c r="I757" s="507">
        <f t="shared" si="79"/>
        <v>55080</v>
      </c>
      <c r="J757" s="507">
        <f t="shared" si="79"/>
        <v>9900</v>
      </c>
      <c r="K757" s="507">
        <f t="shared" si="79"/>
        <v>108792</v>
      </c>
      <c r="L757" s="507">
        <f t="shared" si="79"/>
        <v>25000</v>
      </c>
      <c r="M757" s="507">
        <f t="shared" si="79"/>
        <v>12504</v>
      </c>
      <c r="N757" s="507">
        <f t="shared" si="79"/>
        <v>9200</v>
      </c>
      <c r="O757" s="507">
        <f t="shared" si="79"/>
        <v>13000</v>
      </c>
      <c r="P757" s="507">
        <f t="shared" ref="P757:AP757" si="80">SUM(P3:P756)</f>
        <v>26304</v>
      </c>
      <c r="Q757" s="507">
        <f t="shared" si="80"/>
        <v>1500</v>
      </c>
      <c r="R757" s="507">
        <f t="shared" si="80"/>
        <v>36176</v>
      </c>
      <c r="S757" s="507">
        <f t="shared" si="80"/>
        <v>122752</v>
      </c>
      <c r="T757" s="507">
        <f t="shared" si="80"/>
        <v>0</v>
      </c>
      <c r="U757" s="507">
        <f t="shared" si="80"/>
        <v>0</v>
      </c>
      <c r="V757" s="507">
        <f t="shared" si="80"/>
        <v>32400</v>
      </c>
      <c r="W757" s="507">
        <f t="shared" si="80"/>
        <v>5036</v>
      </c>
      <c r="X757" s="507">
        <f t="shared" si="80"/>
        <v>2500</v>
      </c>
      <c r="Y757" s="507">
        <f t="shared" si="80"/>
        <v>6692</v>
      </c>
      <c r="Z757" s="507">
        <f t="shared" si="80"/>
        <v>12378</v>
      </c>
      <c r="AA757" s="507">
        <f t="shared" si="80"/>
        <v>5000</v>
      </c>
      <c r="AB757" s="507">
        <f t="shared" si="80"/>
        <v>23102</v>
      </c>
      <c r="AC757" s="507">
        <f t="shared" si="80"/>
        <v>0</v>
      </c>
      <c r="AD757" s="507">
        <f t="shared" si="80"/>
        <v>2590</v>
      </c>
      <c r="AE757" s="507">
        <f t="shared" si="80"/>
        <v>135090</v>
      </c>
      <c r="AF757" s="507">
        <f t="shared" si="80"/>
        <v>88909.6666666667</v>
      </c>
      <c r="AG757" s="507">
        <f t="shared" si="80"/>
        <v>42320.3333333333</v>
      </c>
      <c r="AH757" s="507">
        <f t="shared" si="80"/>
        <v>74316</v>
      </c>
      <c r="AI757" s="507">
        <f t="shared" si="80"/>
        <v>86316</v>
      </c>
      <c r="AJ757" s="507">
        <f t="shared" si="80"/>
        <v>22184</v>
      </c>
      <c r="AK757" s="507">
        <f t="shared" si="80"/>
        <v>23104</v>
      </c>
      <c r="AL757" s="507">
        <f t="shared" si="80"/>
        <v>10064</v>
      </c>
      <c r="AM757" s="507">
        <f t="shared" si="80"/>
        <v>21288</v>
      </c>
      <c r="AN757" s="507">
        <f t="shared" si="80"/>
        <v>43333</v>
      </c>
      <c r="AO757" s="507">
        <f t="shared" si="80"/>
        <v>56200</v>
      </c>
      <c r="AP757" s="507">
        <f t="shared" si="80"/>
        <v>5000</v>
      </c>
      <c r="AQ757" s="507">
        <f t="shared" ref="AQ757:BP757" si="81">SUM(AQ3:AQ756)</f>
        <v>7956</v>
      </c>
      <c r="AR757" s="507">
        <f t="shared" si="81"/>
        <v>10352</v>
      </c>
      <c r="AS757" s="507">
        <f t="shared" si="81"/>
        <v>21008</v>
      </c>
      <c r="AT757" s="507">
        <f t="shared" si="81"/>
        <v>12800</v>
      </c>
      <c r="AU757" s="507">
        <f t="shared" si="81"/>
        <v>12000</v>
      </c>
      <c r="AV757" s="507">
        <f t="shared" si="81"/>
        <v>31964</v>
      </c>
      <c r="AW757" s="507">
        <f t="shared" si="81"/>
        <v>33552</v>
      </c>
      <c r="AX757" s="507">
        <f t="shared" si="81"/>
        <v>5011</v>
      </c>
      <c r="AY757" s="507">
        <f t="shared" si="81"/>
        <v>12000</v>
      </c>
      <c r="AZ757" s="507">
        <f t="shared" si="81"/>
        <v>5600</v>
      </c>
      <c r="BA757" s="507">
        <f t="shared" si="81"/>
        <v>5720</v>
      </c>
      <c r="BB757" s="507">
        <f t="shared" si="81"/>
        <v>18042</v>
      </c>
      <c r="BC757" s="507">
        <f t="shared" si="81"/>
        <v>5000</v>
      </c>
      <c r="BD757" s="507">
        <f t="shared" si="81"/>
        <v>8</v>
      </c>
      <c r="BE757" s="507">
        <f t="shared" si="81"/>
        <v>8000</v>
      </c>
      <c r="BF757" s="507">
        <f t="shared" si="81"/>
        <v>6000</v>
      </c>
      <c r="BG757" s="507">
        <f t="shared" si="81"/>
        <v>5000</v>
      </c>
      <c r="BH757" s="507">
        <f t="shared" si="81"/>
        <v>5000</v>
      </c>
      <c r="BI757" s="507">
        <f t="shared" si="81"/>
        <v>5000</v>
      </c>
      <c r="BJ757" s="507">
        <f t="shared" si="81"/>
        <v>11000</v>
      </c>
      <c r="BK757" s="507">
        <f t="shared" si="81"/>
        <v>6000</v>
      </c>
      <c r="BL757" s="507">
        <f t="shared" si="81"/>
        <v>3000</v>
      </c>
      <c r="BM757" s="507">
        <f t="shared" si="81"/>
        <v>5000</v>
      </c>
      <c r="BN757" s="507">
        <f t="shared" si="81"/>
        <v>24030</v>
      </c>
      <c r="BO757" s="507">
        <f t="shared" si="81"/>
        <v>25008</v>
      </c>
      <c r="BP757" s="507">
        <f t="shared" si="81"/>
        <v>5000</v>
      </c>
      <c r="BQ757" s="507">
        <f>SUM(H757:BP757)</f>
        <v>1432102</v>
      </c>
      <c r="BR757" s="508">
        <f>SUM(BR8:BR756)</f>
        <v>5395328.74</v>
      </c>
      <c r="BS757" s="508">
        <f>SUM(BS3:BS756)</f>
        <v>42001842.53</v>
      </c>
      <c r="BT757" s="507"/>
    </row>
    <row r="758" s="433" customFormat="1" hidden="1" customHeight="1" spans="1:72">
      <c r="A758" s="509"/>
      <c r="B758" s="510"/>
      <c r="C758" s="511"/>
      <c r="D758" s="512"/>
      <c r="E758" s="511"/>
      <c r="F758" s="249"/>
      <c r="G758" s="513"/>
      <c r="BR758" s="514"/>
      <c r="BS758" s="514"/>
    </row>
    <row r="759" s="430" customFormat="1" hidden="1" customHeight="1" spans="1:72">
      <c r="A759" s="515" t="s">
        <v>365</v>
      </c>
      <c r="B759" s="516">
        <v>1693093.6</v>
      </c>
      <c r="C759" s="18"/>
      <c r="D759" s="19"/>
      <c r="E759" s="18"/>
      <c r="F759" s="517"/>
      <c r="G759" s="17"/>
      <c r="BR759" s="518"/>
      <c r="BS759" s="518"/>
    </row>
    <row r="760" s="430" customFormat="1" hidden="1" customHeight="1" spans="1:72">
      <c r="A760" s="519"/>
      <c r="B760" s="520"/>
      <c r="C760" s="521"/>
      <c r="E760" s="18"/>
      <c r="F760" s="517"/>
      <c r="G760" s="17"/>
      <c r="BR760" s="518"/>
      <c r="BS760" s="518"/>
    </row>
    <row r="761" s="430" customFormat="1" hidden="1" customHeight="1" spans="1:72">
      <c r="A761" s="522" t="s">
        <v>366</v>
      </c>
      <c r="B761" s="520">
        <f>BS757</f>
        <v>42001842.53</v>
      </c>
      <c r="C761" s="520"/>
      <c r="D761" s="523"/>
      <c r="E761" s="524"/>
      <c r="F761" s="126"/>
      <c r="G761" s="17"/>
      <c r="H761" s="430"/>
      <c r="I761" s="430"/>
      <c r="J761" s="430"/>
      <c r="K761" s="430"/>
      <c r="L761" s="430"/>
      <c r="M761" s="430"/>
      <c r="BP761" s="525"/>
      <c r="BQ761" s="525"/>
      <c r="BR761" s="518"/>
      <c r="BS761" s="518"/>
    </row>
    <row r="762" s="430" customFormat="1" hidden="1" customHeight="1" spans="1:72">
      <c r="A762" s="519" t="s">
        <v>367</v>
      </c>
      <c r="B762" s="520">
        <f>KIK总排期!AA117</f>
        <v>7013246.53</v>
      </c>
      <c r="C762" s="520"/>
      <c r="D762" s="519" t="s">
        <v>146</v>
      </c>
      <c r="E762" s="520">
        <f>SUMIF(总接单!$BT:$BT,D762,总接单!$BS:$BS)</f>
        <v>1355862.67</v>
      </c>
      <c r="F762" s="517"/>
      <c r="G762" s="17"/>
      <c r="H762" s="430"/>
      <c r="I762" s="430"/>
      <c r="J762" s="430"/>
      <c r="K762" s="430"/>
      <c r="L762" s="430"/>
      <c r="M762" s="430"/>
      <c r="BP762" s="525"/>
      <c r="BQ762" s="525"/>
      <c r="BR762" s="518"/>
      <c r="BS762" s="518"/>
    </row>
    <row r="763" s="430" customFormat="1" hidden="1" customHeight="1" spans="1:72">
      <c r="A763" s="519" t="s">
        <v>368</v>
      </c>
      <c r="B763" s="520">
        <f>RRM总排期!AA49</f>
        <v>7007197.23</v>
      </c>
      <c r="C763" s="520"/>
      <c r="D763" s="519" t="s">
        <v>12</v>
      </c>
      <c r="E763" s="520">
        <f>SUMIF(总接单!$BT:$BT,D763,总接单!$BS:$BS)</f>
        <v>33402530.08</v>
      </c>
      <c r="F763" s="517"/>
      <c r="G763" s="17"/>
      <c r="H763" s="430"/>
      <c r="I763" s="430"/>
      <c r="J763" s="430"/>
      <c r="K763" s="430"/>
      <c r="L763" s="430"/>
      <c r="M763" s="430"/>
      <c r="BP763" s="525"/>
      <c r="BQ763" s="525"/>
      <c r="BR763" s="518"/>
      <c r="BS763" s="518"/>
    </row>
    <row r="764" s="430" customFormat="1" hidden="1" customHeight="1" spans="1:72">
      <c r="A764" s="519" t="s">
        <v>369</v>
      </c>
      <c r="B764" s="520">
        <f>KIK已走货!AA605</f>
        <v>27981398.69</v>
      </c>
      <c r="C764" s="520"/>
      <c r="D764" s="519" t="s">
        <v>128</v>
      </c>
      <c r="E764" s="520">
        <f>SUMIF(总接单!$BT:$BT,D764,总接单!$BS:$BS)</f>
        <v>7007197.23</v>
      </c>
      <c r="F764" s="517"/>
      <c r="G764" s="17"/>
      <c r="H764" s="430"/>
      <c r="I764" s="430"/>
      <c r="J764" s="430"/>
      <c r="K764" s="430"/>
      <c r="L764" s="430"/>
      <c r="M764" s="430"/>
      <c r="BP764" s="525"/>
      <c r="BQ764" s="525"/>
      <c r="BR764" s="518"/>
      <c r="BS764" s="518"/>
    </row>
    <row r="765" s="430" customFormat="1" hidden="1" customHeight="1" spans="1:72">
      <c r="A765" s="519" t="s">
        <v>370</v>
      </c>
      <c r="B765" s="520">
        <f>RRM已走货!AA13</f>
        <v>0</v>
      </c>
      <c r="C765" s="520"/>
      <c r="D765" s="523"/>
      <c r="E765" s="524"/>
      <c r="F765" s="517"/>
      <c r="G765" s="17"/>
      <c r="H765" s="430"/>
      <c r="I765" s="430"/>
      <c r="J765" s="430"/>
      <c r="K765" s="430"/>
      <c r="L765" s="430"/>
      <c r="M765" s="430"/>
      <c r="BP765" s="525"/>
      <c r="BQ765" s="525"/>
      <c r="BR765" s="518"/>
      <c r="BS765" s="518"/>
    </row>
    <row r="766" s="430" customFormat="1" hidden="1" customHeight="1" spans="1:72">
      <c r="A766" s="519"/>
      <c r="B766" s="520">
        <f>B761-B762-B763-B764</f>
        <v>0.08</v>
      </c>
      <c r="C766" s="520"/>
      <c r="D766" s="523"/>
      <c r="E766" s="524"/>
      <c r="F766" s="517"/>
      <c r="G766" s="17"/>
      <c r="H766" s="430"/>
      <c r="I766" s="430"/>
      <c r="J766" s="430"/>
      <c r="K766" s="430"/>
      <c r="L766" s="430"/>
      <c r="M766" s="430"/>
      <c r="BP766" s="525"/>
      <c r="BQ766" s="525"/>
      <c r="BR766" s="518"/>
      <c r="BS766" s="518"/>
    </row>
    <row r="767" s="430" customFormat="1" hidden="1" customHeight="1" spans="1:72">
      <c r="A767" s="519"/>
      <c r="B767" s="526"/>
      <c r="C767" s="524"/>
      <c r="D767" s="526"/>
      <c r="E767" s="524"/>
      <c r="F767" s="517"/>
      <c r="G767" s="17"/>
      <c r="H767" s="430"/>
      <c r="I767" s="430"/>
      <c r="J767" s="430"/>
      <c r="K767" s="430"/>
      <c r="L767" s="430"/>
      <c r="M767" s="430"/>
      <c r="N767" s="430"/>
      <c r="O767" s="430"/>
      <c r="P767" s="430"/>
      <c r="Q767" s="430"/>
      <c r="R767" s="430"/>
      <c r="S767" s="430"/>
      <c r="T767" s="430"/>
      <c r="U767" s="430"/>
      <c r="V767" s="430"/>
      <c r="W767" s="430"/>
      <c r="X767" s="430"/>
      <c r="Y767" s="430"/>
      <c r="Z767" s="430"/>
      <c r="AA767" s="430"/>
      <c r="AB767" s="430"/>
      <c r="AC767" s="430"/>
      <c r="AD767" s="430"/>
      <c r="AE767" s="430"/>
      <c r="AF767" s="430"/>
      <c r="AG767" s="430"/>
      <c r="AH767" s="430"/>
      <c r="AI767" s="430"/>
      <c r="AJ767" s="430"/>
      <c r="AK767" s="430"/>
      <c r="AL767" s="430"/>
      <c r="AM767" s="430"/>
      <c r="AN767" s="430"/>
      <c r="AO767" s="430"/>
      <c r="AP767" s="430"/>
      <c r="AQ767" s="430"/>
      <c r="AR767" s="430"/>
      <c r="AS767" s="430"/>
      <c r="AT767" s="430"/>
      <c r="AU767" s="430"/>
      <c r="AV767" s="430"/>
      <c r="AW767" s="430"/>
      <c r="AX767" s="430"/>
      <c r="AY767" s="430"/>
      <c r="AZ767" s="430"/>
      <c r="BA767" s="430"/>
      <c r="BB767" s="430"/>
      <c r="BC767" s="430"/>
      <c r="BD767" s="430"/>
      <c r="BE767" s="430"/>
      <c r="BF767" s="430"/>
      <c r="BG767" s="430"/>
      <c r="BP767" s="525"/>
      <c r="BQ767" s="525"/>
      <c r="BR767" s="518"/>
      <c r="BS767" s="518"/>
    </row>
    <row r="768" s="430" customFormat="1" hidden="1" customHeight="1" spans="1:72">
      <c r="A768" s="527"/>
      <c r="B768" s="527"/>
      <c r="C768" s="528"/>
      <c r="D768" s="528"/>
      <c r="E768" s="524"/>
      <c r="F768" s="529"/>
      <c r="G768" s="430"/>
      <c r="H768" s="430"/>
      <c r="I768" s="430">
        <f>B761+6539233.37</f>
        <v>48541075.9</v>
      </c>
      <c r="BP768" s="525"/>
      <c r="BQ768" s="525"/>
      <c r="BR768" s="518"/>
      <c r="BS768" s="518"/>
    </row>
    <row r="769" s="430" customFormat="1" hidden="1" customHeight="1" spans="1:71">
      <c r="A769" s="530" t="s">
        <v>371</v>
      </c>
      <c r="B769" s="434"/>
      <c r="C769" s="524"/>
      <c r="D769" s="523"/>
      <c r="E769" s="524"/>
      <c r="F769" s="529"/>
      <c r="G769" s="430"/>
      <c r="H769" s="430"/>
      <c r="I769" s="430"/>
      <c r="J769" s="430"/>
      <c r="K769" s="430"/>
      <c r="L769" s="430"/>
      <c r="M769" s="430"/>
      <c r="N769" s="430"/>
      <c r="O769" s="430"/>
      <c r="P769" s="430"/>
      <c r="Q769" s="430"/>
      <c r="R769" s="430"/>
      <c r="S769" s="430"/>
      <c r="T769" s="430"/>
      <c r="U769" s="430"/>
      <c r="V769" s="430"/>
      <c r="W769" s="430"/>
      <c r="X769" s="430"/>
      <c r="Y769" s="430"/>
      <c r="Z769" s="430"/>
      <c r="AA769" s="430"/>
      <c r="AB769" s="430"/>
      <c r="AC769" s="430"/>
      <c r="AD769" s="430"/>
      <c r="AE769" s="430"/>
      <c r="AF769" s="430"/>
      <c r="AG769" s="430"/>
      <c r="AH769" s="430"/>
      <c r="AI769" s="430"/>
      <c r="AJ769" s="430"/>
      <c r="AK769" s="430"/>
      <c r="AL769" s="430"/>
      <c r="AM769" s="430"/>
      <c r="AN769" s="430"/>
      <c r="AO769" s="430"/>
      <c r="AP769" s="430"/>
      <c r="AQ769" s="430"/>
      <c r="AR769" s="430"/>
      <c r="AS769" s="430"/>
      <c r="AT769" s="430"/>
      <c r="AU769" s="430"/>
      <c r="AV769" s="430"/>
      <c r="AW769" s="430"/>
      <c r="AX769" s="430"/>
      <c r="AY769" s="430"/>
      <c r="AZ769" s="430"/>
      <c r="BA769" s="430"/>
      <c r="BB769" s="430"/>
      <c r="BC769" s="430"/>
      <c r="BD769" s="430"/>
      <c r="BE769" s="430"/>
      <c r="BF769" s="430"/>
      <c r="BG769" s="430"/>
      <c r="BP769" s="525"/>
      <c r="BQ769" s="525"/>
      <c r="BR769" s="518"/>
      <c r="BS769" s="518"/>
    </row>
    <row r="770" s="430" customFormat="1" hidden="1" customHeight="1" spans="1:71">
      <c r="A770" s="434" t="s">
        <v>372</v>
      </c>
      <c r="B770" s="531" t="s">
        <v>373</v>
      </c>
      <c r="C770" s="524"/>
      <c r="D770" s="523"/>
      <c r="E770" s="524"/>
      <c r="F770" s="529"/>
      <c r="G770" s="430"/>
      <c r="H770" s="430"/>
      <c r="I770" s="430"/>
      <c r="J770" s="430"/>
      <c r="K770" s="430"/>
      <c r="L770" s="430"/>
      <c r="M770" s="430"/>
      <c r="N770" s="430"/>
      <c r="O770" s="430"/>
      <c r="P770" s="430"/>
      <c r="Q770" s="430"/>
      <c r="R770" s="430"/>
      <c r="S770" s="430"/>
      <c r="T770" s="430"/>
      <c r="U770" s="430"/>
      <c r="V770" s="430"/>
      <c r="W770" s="430"/>
      <c r="X770" s="430"/>
      <c r="Y770" s="430"/>
      <c r="Z770" s="430"/>
      <c r="AA770" s="430"/>
      <c r="AB770" s="430"/>
      <c r="AC770" s="430"/>
      <c r="AD770" s="430"/>
      <c r="AE770" s="430"/>
      <c r="AF770" s="430"/>
      <c r="AG770" s="430"/>
      <c r="AH770" s="430"/>
      <c r="AI770" s="430"/>
      <c r="AJ770" s="430"/>
      <c r="AK770" s="430"/>
      <c r="AL770" s="430"/>
      <c r="AM770" s="430"/>
      <c r="AN770" s="430"/>
      <c r="AO770" s="430"/>
      <c r="AP770" s="430"/>
      <c r="AQ770" s="430"/>
      <c r="AR770" s="430"/>
      <c r="AS770" s="430"/>
      <c r="AT770" s="430"/>
      <c r="AU770" s="430"/>
      <c r="AV770" s="430"/>
      <c r="AW770" s="430"/>
      <c r="AX770" s="430"/>
      <c r="AY770" s="430"/>
      <c r="AZ770" s="430"/>
      <c r="BA770" s="430"/>
      <c r="BB770" s="430"/>
      <c r="BC770" s="430"/>
      <c r="BD770" s="430"/>
      <c r="BE770" s="430"/>
      <c r="BF770" s="430"/>
      <c r="BG770" s="430"/>
      <c r="BP770" s="525"/>
      <c r="BQ770" s="525"/>
      <c r="BR770" s="518"/>
      <c r="BS770" s="518"/>
    </row>
    <row r="771" s="430" customFormat="1" hidden="1" customHeight="1" spans="1:71">
      <c r="A771" s="434" t="s">
        <v>374</v>
      </c>
      <c r="B771" s="21" t="s">
        <v>375</v>
      </c>
      <c r="C771" s="524"/>
      <c r="D771" s="523"/>
      <c r="E771" s="524"/>
      <c r="F771" s="529"/>
      <c r="G771" s="430"/>
      <c r="H771" s="430"/>
      <c r="I771" s="430"/>
      <c r="J771" s="430"/>
      <c r="K771" s="430"/>
      <c r="L771" s="430"/>
      <c r="M771" s="430"/>
      <c r="N771" s="430"/>
      <c r="O771" s="430"/>
      <c r="P771" s="430"/>
      <c r="Q771" s="430"/>
      <c r="R771" s="430"/>
      <c r="S771" s="430"/>
      <c r="T771" s="430"/>
      <c r="U771" s="430"/>
      <c r="V771" s="430"/>
      <c r="W771" s="430"/>
      <c r="X771" s="430"/>
      <c r="Y771" s="430"/>
      <c r="Z771" s="430"/>
      <c r="AA771" s="430"/>
      <c r="AB771" s="430"/>
      <c r="AC771" s="430"/>
      <c r="AD771" s="430"/>
      <c r="AE771" s="430"/>
      <c r="AF771" s="430"/>
      <c r="AG771" s="430"/>
      <c r="AH771" s="430"/>
      <c r="AI771" s="430"/>
      <c r="AJ771" s="430"/>
      <c r="AK771" s="430"/>
      <c r="AL771" s="430"/>
      <c r="AM771" s="430"/>
      <c r="AN771" s="430"/>
      <c r="AO771" s="430"/>
      <c r="AP771" s="430"/>
      <c r="AQ771" s="430"/>
      <c r="AR771" s="430"/>
      <c r="AS771" s="430"/>
      <c r="AT771" s="430"/>
      <c r="AU771" s="430"/>
      <c r="AV771" s="430"/>
      <c r="AW771" s="430"/>
      <c r="AX771" s="430"/>
      <c r="AY771" s="430"/>
      <c r="AZ771" s="430"/>
      <c r="BA771" s="430"/>
      <c r="BB771" s="430"/>
      <c r="BC771" s="430"/>
      <c r="BD771" s="430"/>
      <c r="BE771" s="430"/>
      <c r="BF771" s="430"/>
      <c r="BG771" s="430"/>
      <c r="BP771" s="525"/>
      <c r="BQ771" s="525"/>
      <c r="BR771" s="518"/>
      <c r="BS771" s="518"/>
    </row>
    <row r="772" s="430" customFormat="1" hidden="1" customHeight="1" spans="1:71">
      <c r="A772" s="434" t="s">
        <v>376</v>
      </c>
      <c r="B772" s="21" t="s">
        <v>377</v>
      </c>
      <c r="C772" s="524"/>
      <c r="D772" s="523"/>
      <c r="E772" s="524"/>
      <c r="F772" s="529"/>
      <c r="G772" s="430"/>
      <c r="H772" s="430"/>
      <c r="I772" s="430"/>
      <c r="J772" s="430"/>
      <c r="K772" s="430"/>
      <c r="L772" s="430"/>
      <c r="M772" s="430"/>
      <c r="N772" s="430"/>
      <c r="O772" s="430"/>
      <c r="P772" s="430"/>
      <c r="Q772" s="430"/>
      <c r="R772" s="430"/>
      <c r="S772" s="430"/>
      <c r="T772" s="430"/>
      <c r="U772" s="430"/>
      <c r="V772" s="430"/>
      <c r="W772" s="430"/>
      <c r="X772" s="430"/>
      <c r="Y772" s="430"/>
      <c r="Z772" s="430"/>
      <c r="AA772" s="430"/>
      <c r="AB772" s="430"/>
      <c r="AC772" s="430"/>
      <c r="AD772" s="430"/>
      <c r="AE772" s="430"/>
      <c r="AF772" s="430"/>
      <c r="AG772" s="430"/>
      <c r="AH772" s="430"/>
      <c r="AI772" s="430"/>
      <c r="AJ772" s="430"/>
      <c r="AK772" s="430"/>
      <c r="AL772" s="430"/>
      <c r="AM772" s="430"/>
      <c r="AN772" s="430"/>
      <c r="AO772" s="430"/>
      <c r="AP772" s="430"/>
      <c r="AQ772" s="430"/>
      <c r="AR772" s="430"/>
      <c r="AS772" s="430"/>
      <c r="AT772" s="430"/>
      <c r="AU772" s="430"/>
      <c r="AV772" s="430"/>
      <c r="AW772" s="430"/>
      <c r="AX772" s="430"/>
      <c r="AY772" s="430"/>
      <c r="AZ772" s="430"/>
      <c r="BA772" s="430"/>
      <c r="BB772" s="430"/>
      <c r="BC772" s="430"/>
      <c r="BD772" s="430"/>
      <c r="BE772" s="430"/>
      <c r="BF772" s="430"/>
      <c r="BG772" s="430"/>
      <c r="BP772" s="525"/>
      <c r="BQ772" s="525"/>
      <c r="BR772" s="518"/>
      <c r="BS772" s="518"/>
    </row>
    <row r="773" s="430" customFormat="1" hidden="1" customHeight="1" spans="1:71">
      <c r="A773" s="532" t="s">
        <v>378</v>
      </c>
      <c r="B773" s="532" t="s">
        <v>379</v>
      </c>
      <c r="C773" s="524"/>
      <c r="D773" s="523"/>
      <c r="E773" s="524"/>
      <c r="F773" s="529"/>
      <c r="G773" s="430"/>
      <c r="H773" s="430"/>
      <c r="I773" s="430"/>
      <c r="J773" s="430"/>
      <c r="K773" s="430"/>
      <c r="L773" s="430"/>
      <c r="M773" s="430"/>
      <c r="N773" s="430"/>
      <c r="O773" s="430"/>
      <c r="P773" s="430"/>
      <c r="Q773" s="430"/>
      <c r="R773" s="430"/>
      <c r="S773" s="430"/>
      <c r="T773" s="430"/>
      <c r="U773" s="430"/>
      <c r="V773" s="430"/>
      <c r="W773" s="430"/>
      <c r="X773" s="430"/>
      <c r="Y773" s="430"/>
      <c r="Z773" s="430"/>
      <c r="AA773" s="430"/>
      <c r="AB773" s="430"/>
      <c r="AC773" s="430"/>
      <c r="AD773" s="430"/>
      <c r="AE773" s="430"/>
      <c r="AF773" s="430"/>
      <c r="AG773" s="430"/>
      <c r="AH773" s="430"/>
      <c r="AI773" s="430"/>
      <c r="AJ773" s="430"/>
      <c r="AK773" s="430"/>
      <c r="AL773" s="430"/>
      <c r="AM773" s="430"/>
      <c r="AN773" s="430"/>
      <c r="AO773" s="430"/>
      <c r="AP773" s="430"/>
      <c r="AQ773" s="430"/>
      <c r="AR773" s="430"/>
      <c r="AS773" s="430"/>
      <c r="AT773" s="430"/>
      <c r="AU773" s="430"/>
      <c r="AV773" s="430"/>
      <c r="AW773" s="430"/>
      <c r="AX773" s="430"/>
      <c r="AY773" s="430"/>
      <c r="AZ773" s="430"/>
      <c r="BA773" s="430"/>
      <c r="BB773" s="430"/>
      <c r="BC773" s="430"/>
      <c r="BD773" s="430"/>
      <c r="BE773" s="430"/>
      <c r="BF773" s="430"/>
      <c r="BG773" s="430"/>
      <c r="BP773" s="525"/>
      <c r="BQ773" s="525"/>
      <c r="BR773" s="518"/>
      <c r="BS773" s="518"/>
    </row>
    <row r="774" s="430" customFormat="1" hidden="1" customHeight="1" spans="1:71">
      <c r="A774" s="533" t="s">
        <v>380</v>
      </c>
      <c r="B774" s="534" t="s">
        <v>381</v>
      </c>
      <c r="C774" s="524"/>
      <c r="D774" s="523"/>
      <c r="E774" s="524"/>
      <c r="F774" s="529"/>
      <c r="G774" s="430"/>
      <c r="H774" s="430"/>
      <c r="I774" s="430"/>
      <c r="J774" s="430"/>
      <c r="K774" s="430"/>
      <c r="L774" s="430"/>
      <c r="M774" s="430"/>
      <c r="N774" s="430"/>
      <c r="O774" s="430"/>
      <c r="P774" s="430"/>
      <c r="Q774" s="430"/>
      <c r="R774" s="430"/>
      <c r="S774" s="430"/>
      <c r="T774" s="430"/>
      <c r="U774" s="430"/>
      <c r="V774" s="430"/>
      <c r="W774" s="430"/>
      <c r="X774" s="430"/>
      <c r="Y774" s="430"/>
      <c r="Z774" s="430"/>
      <c r="AA774" s="430"/>
      <c r="AB774" s="430"/>
      <c r="AC774" s="430"/>
      <c r="AD774" s="430"/>
      <c r="AE774" s="430"/>
      <c r="AF774" s="430"/>
      <c r="AG774" s="430"/>
      <c r="AH774" s="430"/>
      <c r="AI774" s="430"/>
      <c r="AJ774" s="430"/>
      <c r="AK774" s="430"/>
      <c r="AL774" s="430"/>
      <c r="AM774" s="430"/>
      <c r="AN774" s="430"/>
      <c r="AO774" s="430"/>
      <c r="AP774" s="430"/>
      <c r="AQ774" s="430"/>
      <c r="AR774" s="430"/>
      <c r="AS774" s="430"/>
      <c r="AT774" s="430"/>
      <c r="AU774" s="430"/>
      <c r="AV774" s="430"/>
      <c r="AW774" s="430"/>
      <c r="AX774" s="430"/>
      <c r="AY774" s="430"/>
      <c r="AZ774" s="430"/>
      <c r="BA774" s="430"/>
      <c r="BB774" s="430"/>
      <c r="BC774" s="430"/>
      <c r="BD774" s="430"/>
      <c r="BE774" s="430"/>
      <c r="BF774" s="430"/>
      <c r="BG774" s="430"/>
      <c r="BP774" s="525"/>
      <c r="BQ774" s="525"/>
      <c r="BR774" s="518"/>
      <c r="BS774" s="518"/>
    </row>
    <row r="775" s="430" customFormat="1" hidden="1" customHeight="1" spans="1:71">
      <c r="A775" s="535" t="s">
        <v>382</v>
      </c>
      <c r="B775" s="536" t="s">
        <v>383</v>
      </c>
      <c r="C775" s="524"/>
      <c r="D775" s="537"/>
      <c r="E775" s="524"/>
      <c r="F775" s="529"/>
      <c r="G775" s="430"/>
      <c r="H775" s="430"/>
      <c r="I775" s="430"/>
      <c r="J775" s="430"/>
      <c r="K775" s="430"/>
      <c r="L775" s="430"/>
      <c r="M775" s="430"/>
      <c r="N775" s="430"/>
      <c r="O775" s="430"/>
      <c r="P775" s="430"/>
      <c r="Q775" s="430"/>
      <c r="R775" s="430"/>
      <c r="S775" s="430"/>
      <c r="T775" s="430"/>
      <c r="U775" s="430"/>
      <c r="V775" s="430"/>
      <c r="W775" s="430"/>
      <c r="X775" s="430"/>
      <c r="Y775" s="430"/>
      <c r="Z775" s="430"/>
      <c r="AA775" s="430"/>
      <c r="AB775" s="430"/>
      <c r="AC775" s="430"/>
      <c r="AD775" s="430"/>
      <c r="AE775" s="430"/>
      <c r="AF775" s="430"/>
      <c r="AG775" s="430"/>
      <c r="AH775" s="430"/>
      <c r="AI775" s="430"/>
      <c r="AJ775" s="430"/>
      <c r="AK775" s="430"/>
      <c r="AL775" s="430"/>
      <c r="AM775" s="430"/>
      <c r="AN775" s="430"/>
      <c r="AO775" s="430"/>
      <c r="AP775" s="430"/>
      <c r="AQ775" s="430"/>
      <c r="AR775" s="430"/>
      <c r="AS775" s="430"/>
      <c r="AT775" s="430"/>
      <c r="AU775" s="430"/>
      <c r="AV775" s="430"/>
      <c r="AW775" s="430"/>
      <c r="AX775" s="430"/>
      <c r="AY775" s="430"/>
      <c r="AZ775" s="430"/>
      <c r="BA775" s="430"/>
      <c r="BB775" s="430"/>
      <c r="BC775" s="430"/>
      <c r="BD775" s="430"/>
      <c r="BE775" s="430"/>
      <c r="BF775" s="430"/>
      <c r="BG775" s="430"/>
      <c r="BP775" s="525"/>
      <c r="BQ775" s="525"/>
      <c r="BR775" s="518"/>
      <c r="BS775" s="518"/>
    </row>
    <row r="776" s="430" customFormat="1" hidden="1" customHeight="1" spans="1:71">
      <c r="C776" s="524"/>
      <c r="D776" s="523"/>
      <c r="E776" s="538"/>
      <c r="F776" s="529"/>
      <c r="G776" s="430"/>
      <c r="H776" s="430"/>
      <c r="I776" s="430"/>
      <c r="J776" s="539"/>
      <c r="K776" s="539"/>
      <c r="L776" s="539"/>
      <c r="M776" s="539"/>
      <c r="N776" s="539"/>
      <c r="O776" s="539"/>
      <c r="P776" s="539"/>
      <c r="Q776" s="539"/>
      <c r="R776" s="539"/>
      <c r="S776" s="539"/>
      <c r="T776" s="430"/>
      <c r="U776" s="539"/>
      <c r="V776" s="539"/>
      <c r="W776" s="539"/>
      <c r="X776" s="539"/>
      <c r="Y776" s="539"/>
      <c r="Z776" s="539"/>
      <c r="AA776" s="539"/>
      <c r="AB776" s="539"/>
      <c r="AC776" s="539"/>
      <c r="AD776" s="539"/>
      <c r="AE776" s="539"/>
      <c r="AF776" s="539"/>
      <c r="AG776" s="539"/>
      <c r="AH776" s="539"/>
      <c r="AI776" s="539"/>
      <c r="AJ776" s="539"/>
      <c r="AK776" s="539"/>
      <c r="AL776" s="539"/>
      <c r="AM776" s="539"/>
      <c r="AN776" s="539"/>
      <c r="AO776" s="539"/>
      <c r="AP776" s="539"/>
      <c r="AQ776" s="539"/>
      <c r="AR776" s="539"/>
      <c r="AS776" s="539"/>
      <c r="AT776" s="539"/>
      <c r="AU776" s="539"/>
      <c r="AV776" s="539"/>
      <c r="AW776" s="539"/>
      <c r="AX776" s="539"/>
      <c r="AY776" s="539"/>
      <c r="AZ776" s="539"/>
      <c r="BA776" s="539"/>
      <c r="BB776" s="539"/>
      <c r="BC776" s="539"/>
      <c r="BD776" s="539"/>
      <c r="BE776" s="539"/>
      <c r="BF776" s="539"/>
      <c r="BG776" s="539"/>
      <c r="BH776" s="539"/>
      <c r="BI776" s="539"/>
      <c r="BJ776" s="539"/>
      <c r="BK776" s="539"/>
      <c r="BL776" s="539"/>
      <c r="BM776" s="539"/>
      <c r="BN776" s="539"/>
      <c r="BO776" s="539"/>
      <c r="BP776" s="525"/>
      <c r="BQ776" s="525"/>
      <c r="BR776" s="518"/>
      <c r="BS776" s="518"/>
    </row>
    <row r="777" s="430" customFormat="1" customHeight="1" spans="1:71">
      <c r="C777" s="524"/>
      <c r="D777" s="523"/>
      <c r="E777" s="524"/>
      <c r="F777" s="529"/>
      <c r="G777" s="430"/>
      <c r="H777" s="430"/>
      <c r="I777" s="430"/>
      <c r="J777" s="539"/>
      <c r="K777" s="539"/>
      <c r="L777" s="539"/>
      <c r="M777" s="539"/>
      <c r="N777" s="539"/>
      <c r="O777" s="539"/>
      <c r="P777" s="539"/>
      <c r="Q777" s="539"/>
      <c r="R777" s="539"/>
      <c r="S777" s="539"/>
      <c r="T777" s="430"/>
      <c r="U777" s="539"/>
      <c r="V777" s="539"/>
      <c r="W777" s="539"/>
      <c r="X777" s="539"/>
      <c r="Y777" s="539"/>
      <c r="Z777" s="539"/>
      <c r="AA777" s="539"/>
      <c r="AB777" s="539"/>
      <c r="AC777" s="539"/>
      <c r="AD777" s="539"/>
      <c r="AE777" s="539"/>
      <c r="AF777" s="539"/>
      <c r="AG777" s="539"/>
      <c r="AH777" s="539"/>
      <c r="AI777" s="539"/>
      <c r="AJ777" s="539"/>
      <c r="AK777" s="539"/>
      <c r="AL777" s="539"/>
      <c r="AM777" s="539"/>
      <c r="AN777" s="539"/>
      <c r="AO777" s="539"/>
      <c r="AP777" s="539"/>
      <c r="AQ777" s="539"/>
      <c r="AR777" s="539"/>
      <c r="AS777" s="539"/>
      <c r="AT777" s="539"/>
      <c r="AU777" s="539"/>
      <c r="AV777" s="539"/>
      <c r="AW777" s="539"/>
      <c r="AX777" s="539"/>
      <c r="AY777" s="539"/>
      <c r="AZ777" s="539"/>
      <c r="BA777" s="539"/>
      <c r="BB777" s="539"/>
      <c r="BC777" s="539"/>
      <c r="BD777" s="539"/>
      <c r="BE777" s="539"/>
      <c r="BF777" s="539"/>
      <c r="BG777" s="539"/>
      <c r="BH777" s="539"/>
      <c r="BI777" s="539"/>
      <c r="BJ777" s="539"/>
      <c r="BK777" s="539"/>
      <c r="BL777" s="539"/>
      <c r="BM777" s="539"/>
      <c r="BN777" s="539"/>
      <c r="BO777" s="539"/>
      <c r="BP777" s="525"/>
      <c r="BQ777" s="525"/>
      <c r="BR777" s="518"/>
      <c r="BS777" s="518"/>
    </row>
    <row r="778" s="430" customFormat="1" customHeight="1" spans="1:71">
      <c r="C778" s="524"/>
      <c r="D778" s="523"/>
      <c r="E778" s="524"/>
      <c r="F778" s="529"/>
      <c r="G778" s="430"/>
      <c r="H778" s="430"/>
      <c r="I778" s="430"/>
      <c r="J778" s="539"/>
      <c r="K778" s="539"/>
      <c r="L778" s="539"/>
      <c r="M778" s="539"/>
      <c r="N778" s="539"/>
      <c r="O778" s="539"/>
      <c r="P778" s="539"/>
      <c r="Q778" s="539"/>
      <c r="R778" s="539"/>
      <c r="S778" s="539"/>
      <c r="T778" s="430"/>
      <c r="U778" s="539"/>
      <c r="V778" s="539"/>
      <c r="W778" s="539"/>
      <c r="X778" s="539"/>
      <c r="Y778" s="539"/>
      <c r="Z778" s="539"/>
      <c r="AA778" s="539"/>
      <c r="AB778" s="539"/>
      <c r="AC778" s="539"/>
      <c r="AD778" s="539"/>
      <c r="AE778" s="539"/>
      <c r="AF778" s="539"/>
      <c r="AG778" s="539"/>
      <c r="AH778" s="539"/>
      <c r="AI778" s="539"/>
      <c r="AJ778" s="539"/>
      <c r="AK778" s="539"/>
      <c r="AL778" s="539"/>
      <c r="AM778" s="539"/>
      <c r="AN778" s="539"/>
      <c r="AO778" s="539"/>
      <c r="AP778" s="539"/>
      <c r="AQ778" s="539"/>
      <c r="AR778" s="539"/>
      <c r="AS778" s="539"/>
      <c r="AT778" s="539"/>
      <c r="AU778" s="539"/>
      <c r="AV778" s="539"/>
      <c r="AW778" s="539"/>
      <c r="AX778" s="539"/>
      <c r="AY778" s="539"/>
      <c r="AZ778" s="539"/>
      <c r="BA778" s="539"/>
      <c r="BB778" s="539"/>
      <c r="BC778" s="539"/>
      <c r="BD778" s="539"/>
      <c r="BE778" s="539"/>
      <c r="BF778" s="539"/>
      <c r="BG778" s="539"/>
      <c r="BH778" s="539"/>
      <c r="BI778" s="539"/>
      <c r="BJ778" s="539"/>
      <c r="BK778" s="539"/>
      <c r="BL778" s="539"/>
      <c r="BM778" s="539"/>
      <c r="BN778" s="539"/>
      <c r="BO778" s="539"/>
      <c r="BP778" s="525"/>
      <c r="BQ778" s="525"/>
      <c r="BR778" s="518"/>
      <c r="BS778" s="518"/>
    </row>
    <row r="779" s="430" customFormat="1" customHeight="1" spans="1:71">
      <c r="C779" s="524"/>
      <c r="D779" s="523"/>
      <c r="E779" s="524"/>
      <c r="F779" s="529"/>
      <c r="G779" s="430"/>
      <c r="H779" s="430"/>
      <c r="I779" s="430"/>
      <c r="J779" s="539"/>
      <c r="K779" s="539"/>
      <c r="L779" s="539"/>
      <c r="M779" s="539"/>
      <c r="N779" s="539"/>
      <c r="O779" s="539"/>
      <c r="P779" s="539"/>
      <c r="Q779" s="539"/>
      <c r="R779" s="539"/>
      <c r="S779" s="539"/>
      <c r="T779" s="430"/>
      <c r="U779" s="539"/>
      <c r="V779" s="539"/>
      <c r="W779" s="539"/>
      <c r="X779" s="539"/>
      <c r="Y779" s="539"/>
      <c r="Z779" s="539"/>
      <c r="AA779" s="539"/>
      <c r="AB779" s="539"/>
      <c r="AC779" s="539"/>
      <c r="AD779" s="539"/>
      <c r="AE779" s="539"/>
      <c r="AF779" s="539"/>
      <c r="AG779" s="539"/>
      <c r="AH779" s="539"/>
      <c r="AI779" s="539"/>
      <c r="AJ779" s="539"/>
      <c r="AK779" s="539"/>
      <c r="AL779" s="539"/>
      <c r="AM779" s="539"/>
      <c r="AN779" s="539"/>
      <c r="AO779" s="539"/>
      <c r="AP779" s="539"/>
      <c r="AQ779" s="539"/>
      <c r="AR779" s="539"/>
      <c r="AS779" s="539"/>
      <c r="AT779" s="539"/>
      <c r="AU779" s="539"/>
      <c r="AV779" s="539"/>
      <c r="AW779" s="539"/>
      <c r="AX779" s="539"/>
      <c r="AY779" s="539"/>
      <c r="AZ779" s="539"/>
      <c r="BA779" s="539"/>
      <c r="BB779" s="539"/>
      <c r="BC779" s="539"/>
      <c r="BD779" s="539"/>
      <c r="BE779" s="539"/>
      <c r="BF779" s="539"/>
      <c r="BG779" s="539"/>
      <c r="BH779" s="539"/>
      <c r="BI779" s="539"/>
      <c r="BJ779" s="539"/>
      <c r="BK779" s="539"/>
      <c r="BL779" s="539"/>
      <c r="BM779" s="539"/>
      <c r="BN779" s="539"/>
      <c r="BO779" s="539"/>
      <c r="BP779" s="525"/>
      <c r="BQ779" s="525"/>
      <c r="BR779" s="518"/>
      <c r="BS779" s="518"/>
    </row>
    <row r="780" s="430" customFormat="1" customHeight="1" spans="1:71">
      <c r="C780" s="524"/>
      <c r="D780" s="523"/>
      <c r="E780" s="524"/>
      <c r="F780" s="529"/>
      <c r="G780" s="430"/>
      <c r="H780" s="430"/>
      <c r="I780" s="430"/>
      <c r="J780" s="539"/>
      <c r="K780" s="539"/>
      <c r="L780" s="539"/>
      <c r="M780" s="539"/>
      <c r="N780" s="539"/>
      <c r="O780" s="539"/>
      <c r="P780" s="539"/>
      <c r="Q780" s="539"/>
      <c r="R780" s="539"/>
      <c r="S780" s="539"/>
      <c r="T780" s="430"/>
      <c r="U780" s="539"/>
      <c r="V780" s="539"/>
      <c r="W780" s="539"/>
      <c r="X780" s="539"/>
      <c r="Y780" s="539"/>
      <c r="Z780" s="539"/>
      <c r="AA780" s="539"/>
      <c r="AB780" s="539"/>
      <c r="AC780" s="539"/>
      <c r="AD780" s="539"/>
      <c r="AE780" s="539"/>
      <c r="AF780" s="539"/>
      <c r="AG780" s="539"/>
      <c r="AH780" s="539"/>
      <c r="AI780" s="539"/>
      <c r="AJ780" s="539"/>
      <c r="AK780" s="539"/>
      <c r="AL780" s="539"/>
      <c r="AM780" s="539"/>
      <c r="AN780" s="539"/>
      <c r="AO780" s="539"/>
      <c r="AP780" s="539"/>
      <c r="AQ780" s="539"/>
      <c r="AR780" s="539"/>
      <c r="AS780" s="539"/>
      <c r="AT780" s="539"/>
      <c r="AU780" s="539"/>
      <c r="AV780" s="539"/>
      <c r="AW780" s="539"/>
      <c r="AX780" s="539"/>
      <c r="AY780" s="539"/>
      <c r="AZ780" s="539"/>
      <c r="BA780" s="539"/>
      <c r="BB780" s="539"/>
      <c r="BC780" s="539"/>
      <c r="BD780" s="539"/>
      <c r="BE780" s="539"/>
      <c r="BF780" s="539"/>
      <c r="BG780" s="539"/>
      <c r="BH780" s="539"/>
      <c r="BI780" s="539"/>
      <c r="BJ780" s="539"/>
      <c r="BK780" s="539"/>
      <c r="BL780" s="539"/>
      <c r="BM780" s="539"/>
      <c r="BN780" s="539"/>
      <c r="BO780" s="539"/>
      <c r="BP780" s="525"/>
      <c r="BQ780" s="525"/>
      <c r="BR780" s="518"/>
      <c r="BS780" s="518"/>
    </row>
    <row r="781" s="430" customFormat="1" customHeight="1" spans="1:71">
      <c r="C781" s="524"/>
      <c r="D781" s="523"/>
      <c r="E781" s="524"/>
      <c r="F781" s="529"/>
      <c r="G781" s="430"/>
      <c r="H781" s="430"/>
      <c r="I781" s="430"/>
      <c r="J781" s="539"/>
      <c r="K781" s="539"/>
      <c r="L781" s="539"/>
      <c r="M781" s="539"/>
      <c r="N781" s="539"/>
      <c r="O781" s="539"/>
      <c r="P781" s="539"/>
      <c r="Q781" s="539"/>
      <c r="R781" s="539"/>
      <c r="S781" s="539"/>
      <c r="T781" s="430"/>
      <c r="U781" s="539"/>
      <c r="V781" s="539"/>
      <c r="W781" s="539"/>
      <c r="X781" s="539"/>
      <c r="Y781" s="539"/>
      <c r="Z781" s="539"/>
      <c r="AA781" s="539"/>
      <c r="AB781" s="539"/>
      <c r="AC781" s="539"/>
      <c r="AD781" s="539"/>
      <c r="AE781" s="539"/>
      <c r="AF781" s="539"/>
      <c r="AG781" s="539"/>
      <c r="AH781" s="539"/>
      <c r="AI781" s="539"/>
      <c r="AJ781" s="539"/>
      <c r="AK781" s="539"/>
      <c r="AL781" s="539"/>
      <c r="AM781" s="539"/>
      <c r="AN781" s="539"/>
      <c r="AO781" s="539"/>
      <c r="AP781" s="539"/>
      <c r="AQ781" s="539"/>
      <c r="AR781" s="539"/>
      <c r="AS781" s="539"/>
      <c r="AT781" s="539"/>
      <c r="AU781" s="539"/>
      <c r="AV781" s="539"/>
      <c r="AW781" s="539"/>
      <c r="AX781" s="539"/>
      <c r="AY781" s="539"/>
      <c r="AZ781" s="539"/>
      <c r="BA781" s="539"/>
      <c r="BB781" s="539"/>
      <c r="BC781" s="539"/>
      <c r="BD781" s="539"/>
      <c r="BE781" s="539"/>
      <c r="BF781" s="539"/>
      <c r="BG781" s="539"/>
      <c r="BH781" s="539"/>
      <c r="BI781" s="539"/>
      <c r="BJ781" s="539"/>
      <c r="BK781" s="539"/>
      <c r="BL781" s="539"/>
      <c r="BM781" s="539"/>
      <c r="BN781" s="539"/>
      <c r="BO781" s="539"/>
      <c r="BP781" s="525"/>
      <c r="BQ781" s="525"/>
      <c r="BR781" s="518"/>
      <c r="BS781" s="51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BT781" etc:filterBottomFollowUsedRange="1">
    <filterColumn colId="2">
      <customFilters>
        <customFilter operator="equal" val="10126615"/>
      </customFilters>
    </filterColumn>
    <extLst/>
  </autoFilter>
  <mergeCells count="2">
    <mergeCell ref="A1:G1"/>
    <mergeCell ref="AF1:AG1"/>
  </mergeCells>
  <pageMargins left="0.75" right="0.75" top="1" bottom="1" header="0.5" footer="0.5"/>
  <pageSetup paperSize="9" orientation="portrait"/>
  <headerFooter/>
  <ignoredErrors>
    <ignoredError sqref="BP2 D107:D118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AQ166"/>
  <sheetViews>
    <sheetView tabSelected="1" workbookViewId="0">
      <pane xSplit="15" ySplit="1" topLeftCell="Y182" activePane="bottomRight" state="frozen"/>
      <selection/>
      <selection pane="topRight"/>
      <selection pane="bottomLeft"/>
      <selection pane="bottomRight" activeCell="AH96" sqref="$A1:$XFD1048576"/>
    </sheetView>
  </sheetViews>
  <sheetFormatPr defaultColWidth="9" defaultRowHeight="25" customHeight="1"/>
  <cols>
    <col min="1" max="1" width="12.625" style="319" customWidth="1"/>
    <col min="2" max="2" width="9.75" style="319" customWidth="1"/>
    <col min="3" max="3" width="10.625" style="320" customWidth="1"/>
    <col min="4" max="4" width="10.625" style="319" customWidth="1"/>
    <col min="5" max="5" width="8.625" style="320" customWidth="1"/>
    <col min="6" max="6" width="12.625" style="320" customWidth="1"/>
    <col min="7" max="7" width="17.625" style="321" customWidth="1"/>
    <col min="8" max="8" width="10.625" style="320" customWidth="1"/>
    <col min="9" max="9" width="15.375" style="320" customWidth="1"/>
    <col min="10" max="10" width="6.625" style="322" customWidth="1"/>
    <col min="11" max="11" width="5.625" style="320" customWidth="1"/>
    <col min="12" max="12" width="5.625" style="322" customWidth="1"/>
    <col min="13" max="15" width="12.625" style="319" customWidth="1"/>
    <col min="16" max="16" width="16.0666666666667" style="319" customWidth="1"/>
    <col min="17" max="17" width="12.875" style="320" customWidth="1"/>
    <col min="18" max="18" width="10.625" style="320" customWidth="1"/>
    <col min="19" max="21" width="12.625" style="319" customWidth="1"/>
    <col min="22" max="22" width="12.625" style="316" customWidth="1"/>
    <col min="23" max="23" width="12.625" style="320" customWidth="1"/>
    <col min="24" max="24" width="21.4" style="322" customWidth="1"/>
    <col min="25" max="25" width="8.625" style="323" customWidth="1"/>
    <col min="26" max="27" width="12.625" style="324" customWidth="1"/>
    <col min="28" max="28" width="10.625" style="325" customWidth="1"/>
    <col min="29" max="30" width="10.625" style="319" customWidth="1"/>
    <col min="31" max="31" width="6.625" style="319" customWidth="1"/>
    <col min="32" max="32" width="10.625" style="320" customWidth="1"/>
    <col min="33" max="33" width="10.625" style="326" customWidth="1"/>
    <col min="34" max="35" width="11.5" style="327" customWidth="1"/>
    <col min="36" max="36" width="8" style="327" customWidth="1"/>
    <col min="37" max="37" width="11.6416666666667" style="327" customWidth="1"/>
    <col min="38" max="39" width="11.5" style="328" customWidth="1"/>
    <col min="40" max="40" width="11.5" style="327" customWidth="1"/>
    <col min="41" max="42" width="6.625" style="329" customWidth="1"/>
    <col min="43" max="16383" width="9" style="245" customWidth="1"/>
    <col min="16384" max="16384" width="9" style="245"/>
  </cols>
  <sheetData>
    <row r="1" s="245" customFormat="1" customHeight="1" spans="1:42">
      <c r="A1" s="330" t="s">
        <v>384</v>
      </c>
      <c r="B1" s="330" t="s">
        <v>385</v>
      </c>
      <c r="C1" s="331" t="s">
        <v>200</v>
      </c>
      <c r="D1" s="330" t="s">
        <v>386</v>
      </c>
      <c r="E1" s="331" t="s">
        <v>387</v>
      </c>
      <c r="F1" s="331" t="s">
        <v>201</v>
      </c>
      <c r="G1" s="332" t="s">
        <v>202</v>
      </c>
      <c r="H1" s="331" t="s">
        <v>203</v>
      </c>
      <c r="I1" s="333" t="s">
        <v>197</v>
      </c>
      <c r="J1" s="334" t="s">
        <v>204</v>
      </c>
      <c r="K1" s="335" t="s">
        <v>388</v>
      </c>
      <c r="L1" s="336" t="s">
        <v>389</v>
      </c>
      <c r="M1" s="330" t="s">
        <v>205</v>
      </c>
      <c r="N1" s="330" t="s">
        <v>390</v>
      </c>
      <c r="O1" s="330" t="s">
        <v>391</v>
      </c>
      <c r="P1" s="337" t="s">
        <v>392</v>
      </c>
      <c r="Q1" s="331" t="s">
        <v>393</v>
      </c>
      <c r="R1" s="331" t="s">
        <v>394</v>
      </c>
      <c r="S1" s="330" t="s">
        <v>395</v>
      </c>
      <c r="T1" s="330" t="s">
        <v>396</v>
      </c>
      <c r="U1" s="330" t="s">
        <v>397</v>
      </c>
      <c r="V1" s="330" t="s">
        <v>398</v>
      </c>
      <c r="W1" s="331" t="s">
        <v>399</v>
      </c>
      <c r="X1" s="338" t="s">
        <v>400</v>
      </c>
      <c r="Y1" s="339" t="s">
        <v>231</v>
      </c>
      <c r="Z1" s="340" t="s">
        <v>232</v>
      </c>
      <c r="AA1" s="340" t="s">
        <v>233</v>
      </c>
      <c r="AB1" s="341" t="s">
        <v>401</v>
      </c>
      <c r="AC1" s="336" t="s">
        <v>402</v>
      </c>
      <c r="AD1" s="342" t="s">
        <v>403</v>
      </c>
      <c r="AE1" s="342" t="s">
        <v>234</v>
      </c>
      <c r="AF1" s="333" t="s">
        <v>404</v>
      </c>
      <c r="AG1" s="343" t="s">
        <v>405</v>
      </c>
      <c r="AH1" s="344" t="s">
        <v>406</v>
      </c>
      <c r="AI1" s="344" t="s">
        <v>407</v>
      </c>
      <c r="AJ1" s="344" t="s">
        <v>408</v>
      </c>
      <c r="AK1" s="344" t="s">
        <v>409</v>
      </c>
      <c r="AL1" s="345" t="s">
        <v>410</v>
      </c>
      <c r="AM1" s="346" t="s">
        <v>411</v>
      </c>
      <c r="AN1" s="344" t="s">
        <v>412</v>
      </c>
      <c r="AO1" s="336" t="s">
        <v>413</v>
      </c>
      <c r="AP1" s="336" t="s">
        <v>414</v>
      </c>
    </row>
    <row r="2" s="245" customFormat="1" customHeight="1" spans="1:42">
      <c r="A2" s="306">
        <v>45947</v>
      </c>
      <c r="B2" s="77" t="str">
        <f ca="1">IF(TODAY()&gt;=A2,IF(R2="","未",""),"")</f>
        <v>未</v>
      </c>
      <c r="C2" s="347"/>
      <c r="D2" s="306"/>
      <c r="E2" s="347"/>
      <c r="F2" s="348" t="s">
        <v>241</v>
      </c>
      <c r="G2" s="348"/>
      <c r="H2" s="307" t="s">
        <v>20</v>
      </c>
      <c r="I2" s="309" t="str">
        <f>IFERROR(VLOOKUP(H2,名称!A:C,2,0),"")</f>
        <v>挖土机</v>
      </c>
      <c r="J2" s="349">
        <v>2500</v>
      </c>
      <c r="K2" s="309">
        <f>IFERROR(VLOOKUP(H2,名称!A:D,3,0),"")</f>
        <v>2</v>
      </c>
      <c r="L2" s="308">
        <f>IFERROR((J2/K2),"")</f>
        <v>1250</v>
      </c>
      <c r="M2" s="306"/>
      <c r="N2" s="306"/>
      <c r="O2" s="306"/>
      <c r="P2" s="306"/>
      <c r="Q2" s="307"/>
      <c r="R2" s="350"/>
      <c r="S2" s="306"/>
      <c r="T2" s="306"/>
      <c r="U2" s="306"/>
      <c r="V2" s="306"/>
      <c r="W2" s="307"/>
      <c r="X2" s="308" t="s">
        <v>415</v>
      </c>
      <c r="Y2" s="351">
        <v>0</v>
      </c>
      <c r="Z2" s="352">
        <f>J2*Y2</f>
        <v>0</v>
      </c>
      <c r="AA2" s="352">
        <f>Z2*7.75</f>
        <v>0</v>
      </c>
      <c r="AB2" s="85"/>
      <c r="AC2" s="306"/>
      <c r="AD2" s="306"/>
      <c r="AE2" s="306" t="str">
        <f>IFERROR(VLOOKUP(H2,名称!A:D,4,0),"")</f>
        <v>KIK</v>
      </c>
      <c r="AF2" s="309" t="s">
        <v>416</v>
      </c>
      <c r="AG2" s="309"/>
      <c r="AH2" s="311"/>
      <c r="AI2" s="311"/>
      <c r="AJ2" s="311"/>
      <c r="AK2" s="311">
        <v>45987</v>
      </c>
      <c r="AL2" s="311"/>
      <c r="AM2" s="311"/>
      <c r="AN2" s="311"/>
      <c r="AO2" s="308">
        <f>M2-A2</f>
        <v>-45947</v>
      </c>
      <c r="AP2" s="308">
        <f>M2-AH2</f>
        <v>0</v>
      </c>
    </row>
    <row r="3" s="245" customFormat="1" customHeight="1" spans="1:42">
      <c r="A3" s="306">
        <v>45947</v>
      </c>
      <c r="B3" s="77" t="str">
        <f ca="1">IF(TODAY()&gt;=A3,IF(R3="","未",""),"")</f>
        <v>未</v>
      </c>
      <c r="C3" s="347"/>
      <c r="D3" s="306"/>
      <c r="E3" s="347"/>
      <c r="F3" s="348" t="s">
        <v>241</v>
      </c>
      <c r="G3" s="348"/>
      <c r="H3" s="307" t="s">
        <v>41</v>
      </c>
      <c r="I3" s="309" t="str">
        <f>IFERROR(VLOOKUP(H3,名称!A:C,2,0),"")</f>
        <v>1:16翻斗车</v>
      </c>
      <c r="J3" s="349">
        <v>2500</v>
      </c>
      <c r="K3" s="309">
        <f>IFERROR(VLOOKUP(H3,名称!A:D,3,0),"")</f>
        <v>4</v>
      </c>
      <c r="L3" s="308">
        <f>IFERROR((J3/K3),"")</f>
        <v>625</v>
      </c>
      <c r="M3" s="306"/>
      <c r="N3" s="306"/>
      <c r="O3" s="306"/>
      <c r="P3" s="306"/>
      <c r="Q3" s="307"/>
      <c r="R3" s="350"/>
      <c r="S3" s="306"/>
      <c r="T3" s="306"/>
      <c r="U3" s="306"/>
      <c r="V3" s="306"/>
      <c r="W3" s="307"/>
      <c r="X3" s="308" t="s">
        <v>415</v>
      </c>
      <c r="Y3" s="351">
        <v>0</v>
      </c>
      <c r="Z3" s="352">
        <f>J3*Y3</f>
        <v>0</v>
      </c>
      <c r="AA3" s="352">
        <f>Z3*7.75</f>
        <v>0</v>
      </c>
      <c r="AB3" s="85"/>
      <c r="AC3" s="306"/>
      <c r="AD3" s="306"/>
      <c r="AE3" s="306" t="str">
        <f>IFERROR(VLOOKUP(H3,名称!A:D,4,0),"")</f>
        <v>KIK</v>
      </c>
      <c r="AF3" s="309">
        <v>45995</v>
      </c>
      <c r="AG3" s="309"/>
      <c r="AH3" s="311">
        <v>46022</v>
      </c>
      <c r="AI3" s="311">
        <v>45995</v>
      </c>
      <c r="AJ3" s="311"/>
      <c r="AK3" s="311"/>
      <c r="AL3" s="311">
        <v>45995</v>
      </c>
      <c r="AM3" s="311"/>
      <c r="AN3" s="311"/>
      <c r="AO3" s="308">
        <f>M3-A3</f>
        <v>-45947</v>
      </c>
      <c r="AP3" s="308">
        <f>M3-AH3</f>
        <v>-46022</v>
      </c>
    </row>
    <row r="4" s="245" customFormat="1" customHeight="1" spans="1:42">
      <c r="A4" s="306">
        <v>45951</v>
      </c>
      <c r="B4" s="77" t="str">
        <f ca="1">IF(TODAY()&gt;=A4,IF(R4="","未",""),"")</f>
        <v>未</v>
      </c>
      <c r="C4" s="347"/>
      <c r="D4" s="306"/>
      <c r="E4" s="347"/>
      <c r="F4" s="348" t="s">
        <v>241</v>
      </c>
      <c r="G4" s="348"/>
      <c r="H4" s="307" t="s">
        <v>48</v>
      </c>
      <c r="I4" s="309" t="str">
        <f>IFERROR(VLOOKUP(H4,名称!A:C,2,0),"")</f>
        <v>布鲁伊家族杯子套装</v>
      </c>
      <c r="J4" s="353">
        <f>50000-1012-10000-10000+50000-5004-3000-5000-5004-10000-5000</f>
        <v>45980</v>
      </c>
      <c r="K4" s="309">
        <f>IFERROR(VLOOKUP(H4,名称!A:D,3,0),"")</f>
        <v>4</v>
      </c>
      <c r="L4" s="308">
        <f>IFERROR((J4/K4),"")</f>
        <v>11495</v>
      </c>
      <c r="M4" s="306">
        <v>46120</v>
      </c>
      <c r="N4" s="306">
        <f>M4-2</f>
        <v>46118</v>
      </c>
      <c r="O4" s="354"/>
      <c r="P4" s="306"/>
      <c r="Q4" s="307"/>
      <c r="R4" s="350"/>
      <c r="S4" s="306"/>
      <c r="T4" s="306"/>
      <c r="U4" s="306"/>
      <c r="V4" s="306"/>
      <c r="W4" s="307"/>
      <c r="X4" s="355" t="s">
        <v>417</v>
      </c>
      <c r="Y4" s="351">
        <v>0</v>
      </c>
      <c r="Z4" s="352">
        <f>J4*Y4</f>
        <v>0</v>
      </c>
      <c r="AA4" s="352">
        <f>Z4*7.75</f>
        <v>0</v>
      </c>
      <c r="AB4" s="85"/>
      <c r="AC4" s="306"/>
      <c r="AD4" s="306"/>
      <c r="AE4" s="306" t="str">
        <f>IFERROR(VLOOKUP(H4,名称!A:D,4,0),"")</f>
        <v>KIK</v>
      </c>
      <c r="AF4" s="309"/>
      <c r="AG4" s="309"/>
      <c r="AH4" s="311"/>
      <c r="AI4" s="311"/>
      <c r="AJ4" s="311"/>
      <c r="AK4" s="311"/>
      <c r="AL4" s="311"/>
      <c r="AM4" s="311"/>
      <c r="AN4" s="311"/>
      <c r="AO4" s="308">
        <f>M4-A4</f>
        <v>169</v>
      </c>
      <c r="AP4" s="308">
        <f>M4-AH4</f>
        <v>46120</v>
      </c>
    </row>
    <row r="5" s="245" customFormat="1" hidden="1" customHeight="1" spans="1:42">
      <c r="A5" s="306">
        <v>46041</v>
      </c>
      <c r="B5" s="77" t="str">
        <f ca="1">IF(TODAY()&gt;=A5,IF(R5="","未",""),"")</f>
        <v/>
      </c>
      <c r="C5" s="347" t="s">
        <v>251</v>
      </c>
      <c r="D5" s="306"/>
      <c r="E5" s="347"/>
      <c r="F5" s="348" t="s">
        <v>241</v>
      </c>
      <c r="G5" s="348"/>
      <c r="H5" s="307" t="s">
        <v>91</v>
      </c>
      <c r="I5" s="309" t="str">
        <f>IFERROR(VLOOKUP(H5,名称!A:C,2,0),"")</f>
        <v>马里奥和他的蘑菇</v>
      </c>
      <c r="J5" s="353">
        <v>22744</v>
      </c>
      <c r="K5" s="309">
        <f>IFERROR(VLOOKUP(H5,名称!A:D,3,0),"")</f>
        <v>6</v>
      </c>
      <c r="L5" s="308">
        <f>IFERROR((J5/K5),"")</f>
        <v>3790.66666666667</v>
      </c>
      <c r="M5" s="306">
        <v>46216</v>
      </c>
      <c r="N5" s="306">
        <f>M5-2</f>
        <v>46214</v>
      </c>
      <c r="O5" s="306"/>
      <c r="P5" s="306"/>
      <c r="Q5" s="307"/>
      <c r="R5" s="350" t="s">
        <v>418</v>
      </c>
      <c r="S5" s="306"/>
      <c r="T5" s="306"/>
      <c r="U5" s="306"/>
      <c r="V5" s="306"/>
      <c r="W5" s="307"/>
      <c r="X5" s="355" t="s">
        <v>419</v>
      </c>
      <c r="Y5" s="351">
        <v>0</v>
      </c>
      <c r="Z5" s="352">
        <f>J5*Y5</f>
        <v>0</v>
      </c>
      <c r="AA5" s="352">
        <f>Z5*7.75</f>
        <v>0</v>
      </c>
      <c r="AB5" s="85"/>
      <c r="AC5" s="306"/>
      <c r="AD5" s="306"/>
      <c r="AE5" s="306" t="str">
        <f>IFERROR(VLOOKUP(H5,名称!A:D,4,0),"")</f>
        <v>KIK</v>
      </c>
      <c r="AF5" s="309"/>
      <c r="AG5" s="309"/>
      <c r="AH5" s="311"/>
      <c r="AI5" s="311"/>
      <c r="AJ5" s="311"/>
      <c r="AK5" s="311" t="s">
        <v>420</v>
      </c>
      <c r="AL5" s="311" t="s">
        <v>420</v>
      </c>
      <c r="AM5" s="311"/>
      <c r="AN5" s="311"/>
      <c r="AO5" s="308">
        <f>M5-A5</f>
        <v>175</v>
      </c>
      <c r="AP5" s="308">
        <f>M5-AH5</f>
        <v>46216</v>
      </c>
    </row>
    <row r="6" s="245" customFormat="1" hidden="1" customHeight="1" spans="1:42">
      <c r="A6" s="356">
        <v>46044</v>
      </c>
      <c r="B6" s="356" t="str">
        <f ca="1">IF(TODAY()&gt;=A6,IF(R6="","未",""),"")</f>
        <v/>
      </c>
      <c r="C6" s="357" t="s">
        <v>235</v>
      </c>
      <c r="D6" s="356" t="s">
        <v>421</v>
      </c>
      <c r="E6" s="357" t="s">
        <v>422</v>
      </c>
      <c r="F6" s="358">
        <v>10119539</v>
      </c>
      <c r="G6" s="358">
        <v>4500032198</v>
      </c>
      <c r="H6" s="359" t="s">
        <v>144</v>
      </c>
      <c r="I6" s="360" t="str">
        <f>IFERROR(VLOOKUP(H6,名称!A:C,2,0),"")</f>
        <v>盲盒公仔(塑胶毛绒)</v>
      </c>
      <c r="J6" s="361">
        <v>11514</v>
      </c>
      <c r="K6" s="360">
        <f>IFERROR(VLOOKUP(H6,名称!A:D,3,0),"")</f>
        <v>6</v>
      </c>
      <c r="L6" s="362">
        <f>IFERROR((J6/K6),"")</f>
        <v>1919</v>
      </c>
      <c r="M6" s="356">
        <v>46190</v>
      </c>
      <c r="N6" s="356">
        <f>M6-2</f>
        <v>46188</v>
      </c>
      <c r="O6" s="356">
        <v>46184</v>
      </c>
      <c r="P6" s="356" t="s">
        <v>423</v>
      </c>
      <c r="Q6" s="359" t="s">
        <v>424</v>
      </c>
      <c r="R6" s="363" t="s">
        <v>425</v>
      </c>
      <c r="S6" s="356"/>
      <c r="T6" s="356"/>
      <c r="U6" s="356"/>
      <c r="V6" s="356"/>
      <c r="W6" s="359"/>
      <c r="X6" s="362"/>
      <c r="Y6" s="364">
        <v>3.959</v>
      </c>
      <c r="Z6" s="365">
        <f>J6*Y6</f>
        <v>45583.93</v>
      </c>
      <c r="AA6" s="365">
        <f>Z6*7.75</f>
        <v>353275.46</v>
      </c>
      <c r="AB6" s="366"/>
      <c r="AC6" s="356"/>
      <c r="AD6" s="356"/>
      <c r="AE6" s="356" t="str">
        <f>IFERROR(VLOOKUP(H6,名称!A:D,4,0),"")</f>
        <v>河源</v>
      </c>
      <c r="AF6" s="360"/>
      <c r="AG6" s="360"/>
      <c r="AH6" s="367">
        <v>46135</v>
      </c>
      <c r="AI6" s="367">
        <v>46129</v>
      </c>
      <c r="AJ6" s="367"/>
      <c r="AK6" s="367" t="s">
        <v>420</v>
      </c>
      <c r="AL6" s="367">
        <v>46134</v>
      </c>
      <c r="AM6" s="367"/>
      <c r="AN6" s="367" t="s">
        <v>426</v>
      </c>
      <c r="AO6" s="362">
        <f>M6-A6</f>
        <v>146</v>
      </c>
      <c r="AP6" s="362">
        <f>M6-AH6</f>
        <v>55</v>
      </c>
    </row>
    <row r="7" s="316" customFormat="1" hidden="1" customHeight="1" spans="1:42">
      <c r="A7" s="356">
        <v>46112</v>
      </c>
      <c r="B7" s="356" t="str">
        <f ca="1" t="shared" ref="B7:B53" si="0">IF(TODAY()&gt;=A7,IF(R7="","未",""),"")</f>
        <v/>
      </c>
      <c r="C7" s="357" t="s">
        <v>237</v>
      </c>
      <c r="D7" s="356" t="s">
        <v>427</v>
      </c>
      <c r="E7" s="357" t="s">
        <v>428</v>
      </c>
      <c r="F7" s="358">
        <v>10123756</v>
      </c>
      <c r="G7" s="358">
        <v>202608570043</v>
      </c>
      <c r="H7" s="359" t="s">
        <v>184</v>
      </c>
      <c r="I7" s="360" t="str">
        <f>IFERROR(VLOOKUP(H7,名称!A:C,2,0),"")</f>
        <v>管道马里奥</v>
      </c>
      <c r="J7" s="361">
        <v>5000</v>
      </c>
      <c r="K7" s="360">
        <f>IFERROR(VLOOKUP(H7,名称!A:D,3,0),"")</f>
        <v>4</v>
      </c>
      <c r="L7" s="362">
        <f t="shared" ref="L7:L48" si="1">IFERROR((J7/K7),"")</f>
        <v>1250</v>
      </c>
      <c r="M7" s="368">
        <v>46246</v>
      </c>
      <c r="N7" s="368">
        <f t="shared" ref="N7:N21" si="2">M7-2</f>
        <v>46244</v>
      </c>
      <c r="O7" s="369">
        <v>46231</v>
      </c>
      <c r="P7" s="356" t="s">
        <v>429</v>
      </c>
      <c r="Q7" s="359" t="s">
        <v>430</v>
      </c>
      <c r="R7" s="363" t="s">
        <v>431</v>
      </c>
      <c r="S7" s="356"/>
      <c r="T7" s="356"/>
      <c r="U7" s="356"/>
      <c r="V7" s="356"/>
      <c r="W7" s="359"/>
      <c r="X7" s="362"/>
      <c r="Y7" s="364">
        <v>3.354</v>
      </c>
      <c r="Z7" s="365">
        <f t="shared" ref="Z7:Z48" si="3">J7*Y7</f>
        <v>16770</v>
      </c>
      <c r="AA7" s="365">
        <f t="shared" ref="AA7:AA48" si="4">Z7*7.75</f>
        <v>129967.5</v>
      </c>
      <c r="AB7" s="366"/>
      <c r="AC7" s="356"/>
      <c r="AD7" s="356"/>
      <c r="AE7" s="356" t="str">
        <f>IFERROR(VLOOKUP(H7,名称!A:D,4,0),"")</f>
        <v>KIK</v>
      </c>
      <c r="AF7" s="360"/>
      <c r="AG7" s="360"/>
      <c r="AH7" s="370" t="s">
        <v>432</v>
      </c>
      <c r="AI7" s="367" t="s">
        <v>420</v>
      </c>
      <c r="AJ7" s="367"/>
      <c r="AK7" s="367" t="s">
        <v>420</v>
      </c>
      <c r="AL7" s="367" t="s">
        <v>420</v>
      </c>
      <c r="AM7" s="367"/>
      <c r="AN7" s="367" t="s">
        <v>433</v>
      </c>
      <c r="AO7" s="362">
        <f t="shared" ref="AO7:AO20" si="5">M7-A7</f>
        <v>134</v>
      </c>
      <c r="AP7" s="362" t="e">
        <f t="shared" ref="AP7:AP20" si="6">M7-AH7</f>
        <v>#VALUE!</v>
      </c>
    </row>
    <row r="8" s="245" customFormat="1" hidden="1" customHeight="1" spans="1:42">
      <c r="A8" s="356">
        <v>46112</v>
      </c>
      <c r="B8" s="356" t="str">
        <f ca="1" t="shared" si="0"/>
        <v/>
      </c>
      <c r="C8" s="357" t="s">
        <v>237</v>
      </c>
      <c r="D8" s="356" t="s">
        <v>427</v>
      </c>
      <c r="E8" s="357" t="s">
        <v>428</v>
      </c>
      <c r="F8" s="358">
        <v>10123756</v>
      </c>
      <c r="G8" s="358">
        <v>202608570043</v>
      </c>
      <c r="H8" s="359" t="s">
        <v>183</v>
      </c>
      <c r="I8" s="360" t="str">
        <f>IFERROR(VLOOKUP(H8,名称!A:C,2,0),"")</f>
        <v>宝箱马里奥</v>
      </c>
      <c r="J8" s="361">
        <f>5000-3000-600</f>
        <v>1400</v>
      </c>
      <c r="K8" s="360">
        <f>IFERROR(VLOOKUP(H8,名称!A:D,3,0),"")</f>
        <v>4</v>
      </c>
      <c r="L8" s="362">
        <f t="shared" si="1"/>
        <v>350</v>
      </c>
      <c r="M8" s="356">
        <v>46246</v>
      </c>
      <c r="N8" s="356">
        <f t="shared" si="2"/>
        <v>46244</v>
      </c>
      <c r="O8" s="369">
        <v>46231</v>
      </c>
      <c r="P8" s="356" t="s">
        <v>429</v>
      </c>
      <c r="Q8" s="359" t="s">
        <v>430</v>
      </c>
      <c r="R8" s="363" t="s">
        <v>434</v>
      </c>
      <c r="S8" s="356"/>
      <c r="T8" s="356"/>
      <c r="U8" s="356"/>
      <c r="V8" s="356"/>
      <c r="W8" s="359"/>
      <c r="X8" s="362"/>
      <c r="Y8" s="364">
        <v>2.15</v>
      </c>
      <c r="Z8" s="365">
        <f t="shared" si="3"/>
        <v>3010</v>
      </c>
      <c r="AA8" s="365">
        <f t="shared" si="4"/>
        <v>23327.5</v>
      </c>
      <c r="AB8" s="366"/>
      <c r="AC8" s="356"/>
      <c r="AD8" s="356"/>
      <c r="AE8" s="356" t="str">
        <f>IFERROR(VLOOKUP(H8,名称!A:D,4,0),"")</f>
        <v>KIK</v>
      </c>
      <c r="AF8" s="360"/>
      <c r="AG8" s="360"/>
      <c r="AH8" s="367">
        <v>46189</v>
      </c>
      <c r="AI8" s="367"/>
      <c r="AJ8" s="367"/>
      <c r="AK8" s="367" t="s">
        <v>420</v>
      </c>
      <c r="AL8" s="367" t="s">
        <v>420</v>
      </c>
      <c r="AM8" s="367"/>
      <c r="AN8" s="367" t="s">
        <v>433</v>
      </c>
      <c r="AO8" s="362">
        <f t="shared" si="5"/>
        <v>134</v>
      </c>
      <c r="AP8" s="362">
        <f t="shared" si="6"/>
        <v>57</v>
      </c>
    </row>
    <row r="9" s="245" customFormat="1" hidden="1" customHeight="1" spans="1:42">
      <c r="A9" s="356">
        <v>46098</v>
      </c>
      <c r="B9" s="356" t="str">
        <f ca="1" t="shared" si="0"/>
        <v/>
      </c>
      <c r="C9" s="357" t="s">
        <v>237</v>
      </c>
      <c r="D9" s="356" t="s">
        <v>427</v>
      </c>
      <c r="E9" s="357" t="s">
        <v>428</v>
      </c>
      <c r="F9" s="358">
        <v>10119018</v>
      </c>
      <c r="G9" s="358">
        <v>202601272243</v>
      </c>
      <c r="H9" s="359" t="s">
        <v>159</v>
      </c>
      <c r="I9" s="360" t="str">
        <f>IFERROR(VLOOKUP(H9,名称!A:C,2,0),"")</f>
        <v>浮水马里奥</v>
      </c>
      <c r="J9" s="361">
        <v>5001</v>
      </c>
      <c r="K9" s="360">
        <f>IFERROR(VLOOKUP(H9,名称!A:D,3,0),"")</f>
        <v>3</v>
      </c>
      <c r="L9" s="362">
        <f t="shared" si="1"/>
        <v>1667</v>
      </c>
      <c r="M9" s="368">
        <v>46246</v>
      </c>
      <c r="N9" s="368">
        <f t="shared" si="2"/>
        <v>46244</v>
      </c>
      <c r="O9" s="369">
        <v>46245</v>
      </c>
      <c r="P9" s="356" t="s">
        <v>435</v>
      </c>
      <c r="Q9" s="359" t="s">
        <v>430</v>
      </c>
      <c r="R9" s="363" t="s">
        <v>436</v>
      </c>
      <c r="S9" s="356"/>
      <c r="T9" s="356"/>
      <c r="U9" s="356"/>
      <c r="V9" s="356"/>
      <c r="W9" s="359"/>
      <c r="X9" s="362"/>
      <c r="Y9" s="364">
        <v>2.925</v>
      </c>
      <c r="Z9" s="365">
        <f t="shared" si="3"/>
        <v>14627.93</v>
      </c>
      <c r="AA9" s="365">
        <f t="shared" si="4"/>
        <v>113366.46</v>
      </c>
      <c r="AB9" s="366"/>
      <c r="AC9" s="356"/>
      <c r="AD9" s="356"/>
      <c r="AE9" s="356" t="str">
        <f>IFERROR(VLOOKUP(H9,名称!A:D,4,0),"")</f>
        <v>KIK</v>
      </c>
      <c r="AF9" s="360"/>
      <c r="AG9" s="360"/>
      <c r="AH9" s="370">
        <v>46189</v>
      </c>
      <c r="AI9" s="367">
        <v>46184</v>
      </c>
      <c r="AJ9" s="367"/>
      <c r="AK9" s="367" t="s">
        <v>420</v>
      </c>
      <c r="AL9" s="367">
        <v>46134</v>
      </c>
      <c r="AM9" s="367"/>
      <c r="AN9" s="367" t="s">
        <v>433</v>
      </c>
      <c r="AO9" s="362">
        <f t="shared" si="5"/>
        <v>148</v>
      </c>
      <c r="AP9" s="362">
        <f t="shared" si="6"/>
        <v>57</v>
      </c>
    </row>
    <row r="10" s="245" customFormat="1" hidden="1" customHeight="1" spans="1:42">
      <c r="A10" s="356">
        <v>46129</v>
      </c>
      <c r="B10" s="356" t="str">
        <f ca="1" t="shared" si="0"/>
        <v/>
      </c>
      <c r="C10" s="357" t="s">
        <v>248</v>
      </c>
      <c r="D10" s="356" t="s">
        <v>437</v>
      </c>
      <c r="E10" s="357" t="s">
        <v>438</v>
      </c>
      <c r="F10" s="358">
        <v>10125316</v>
      </c>
      <c r="G10" s="358">
        <v>56811</v>
      </c>
      <c r="H10" s="359" t="s">
        <v>115</v>
      </c>
      <c r="I10" s="360" t="str">
        <f>IFERROR(VLOOKUP(H10,名称!A:C,2,0),"")</f>
        <v>布鲁伊混装</v>
      </c>
      <c r="J10" s="371">
        <v>7500</v>
      </c>
      <c r="K10" s="360">
        <f>IFERROR(VLOOKUP(H10,名称!A:D,3,0),"")</f>
        <v>4</v>
      </c>
      <c r="L10" s="362">
        <f t="shared" si="1"/>
        <v>1875</v>
      </c>
      <c r="M10" s="356">
        <v>46239</v>
      </c>
      <c r="N10" s="356">
        <f t="shared" si="2"/>
        <v>46237</v>
      </c>
      <c r="O10" s="369">
        <v>46237</v>
      </c>
      <c r="P10" s="356" t="s">
        <v>439</v>
      </c>
      <c r="Q10" s="372" t="s">
        <v>440</v>
      </c>
      <c r="R10" s="363" t="s">
        <v>425</v>
      </c>
      <c r="S10" s="356"/>
      <c r="T10" s="356"/>
      <c r="U10" s="356"/>
      <c r="V10" s="356"/>
      <c r="W10" s="359"/>
      <c r="X10" s="362" t="s">
        <v>441</v>
      </c>
      <c r="Y10" s="364">
        <v>2.115</v>
      </c>
      <c r="Z10" s="365">
        <f t="shared" si="3"/>
        <v>15862.5</v>
      </c>
      <c r="AA10" s="365">
        <f t="shared" si="4"/>
        <v>122934.38</v>
      </c>
      <c r="AB10" s="366"/>
      <c r="AC10" s="356"/>
      <c r="AD10" s="356"/>
      <c r="AE10" s="356" t="str">
        <f>IFERROR(VLOOKUP(H10,名称!A:D,4,0),"")</f>
        <v>KIK</v>
      </c>
      <c r="AF10" s="360"/>
      <c r="AG10" s="360"/>
      <c r="AH10" s="367">
        <v>46149</v>
      </c>
      <c r="AI10" s="367"/>
      <c r="AJ10" s="367"/>
      <c r="AK10" s="367"/>
      <c r="AL10" s="367">
        <v>46149</v>
      </c>
      <c r="AM10" s="367"/>
      <c r="AN10" s="367"/>
      <c r="AO10" s="362">
        <f t="shared" si="5"/>
        <v>110</v>
      </c>
      <c r="AP10" s="362">
        <f t="shared" si="6"/>
        <v>90</v>
      </c>
    </row>
    <row r="11" s="245" customFormat="1" hidden="1" customHeight="1" spans="1:42">
      <c r="A11" s="356">
        <v>46135</v>
      </c>
      <c r="B11" s="356" t="str">
        <f ca="1" t="shared" si="0"/>
        <v/>
      </c>
      <c r="C11" s="357" t="s">
        <v>236</v>
      </c>
      <c r="D11" s="356" t="s">
        <v>442</v>
      </c>
      <c r="E11" s="357" t="s">
        <v>443</v>
      </c>
      <c r="F11" s="358">
        <v>10125945</v>
      </c>
      <c r="G11" s="358">
        <v>20219070</v>
      </c>
      <c r="H11" s="359" t="s">
        <v>53</v>
      </c>
      <c r="I11" s="360" t="str">
        <f>IFERROR(VLOOKUP(H11,名称!A:C,2,0),"")</f>
        <v>布鲁伊+宾果沐浴玩具混装</v>
      </c>
      <c r="J11" s="371">
        <v>3000</v>
      </c>
      <c r="K11" s="360">
        <f>IFERROR(VLOOKUP(H11,名称!A:D,3,0),"")</f>
        <v>6</v>
      </c>
      <c r="L11" s="362">
        <f t="shared" si="1"/>
        <v>500</v>
      </c>
      <c r="M11" s="356">
        <v>46239</v>
      </c>
      <c r="N11" s="356">
        <f t="shared" si="2"/>
        <v>46237</v>
      </c>
      <c r="O11" s="369">
        <v>46237</v>
      </c>
      <c r="P11" s="356" t="s">
        <v>439</v>
      </c>
      <c r="Q11" s="359" t="s">
        <v>430</v>
      </c>
      <c r="R11" s="363" t="s">
        <v>444</v>
      </c>
      <c r="S11" s="356"/>
      <c r="T11" s="356"/>
      <c r="U11" s="356"/>
      <c r="V11" s="356"/>
      <c r="W11" s="359"/>
      <c r="X11" s="362"/>
      <c r="Y11" s="364">
        <v>1.398</v>
      </c>
      <c r="Z11" s="365">
        <f t="shared" si="3"/>
        <v>4194</v>
      </c>
      <c r="AA11" s="365">
        <f t="shared" si="4"/>
        <v>32503.5</v>
      </c>
      <c r="AB11" s="366"/>
      <c r="AC11" s="356"/>
      <c r="AD11" s="356"/>
      <c r="AE11" s="356" t="str">
        <f>IFERROR(VLOOKUP(H11,名称!A:D,4,0),"")</f>
        <v>KIK</v>
      </c>
      <c r="AF11" s="360"/>
      <c r="AG11" s="360"/>
      <c r="AH11" s="367">
        <v>46171</v>
      </c>
      <c r="AI11" s="370" t="s">
        <v>420</v>
      </c>
      <c r="AJ11" s="367"/>
      <c r="AK11" s="370" t="s">
        <v>420</v>
      </c>
      <c r="AL11" s="367"/>
      <c r="AM11" s="367"/>
      <c r="AN11" s="367"/>
      <c r="AO11" s="362">
        <f t="shared" si="5"/>
        <v>104</v>
      </c>
      <c r="AP11" s="362">
        <f t="shared" si="6"/>
        <v>68</v>
      </c>
    </row>
    <row r="12" s="245" customFormat="1" hidden="1" customHeight="1" spans="1:42">
      <c r="A12" s="356">
        <v>46135</v>
      </c>
      <c r="B12" s="356" t="str">
        <f ca="1" t="shared" si="0"/>
        <v/>
      </c>
      <c r="C12" s="373" t="s">
        <v>299</v>
      </c>
      <c r="D12" s="356" t="s">
        <v>421</v>
      </c>
      <c r="E12" s="357" t="s">
        <v>428</v>
      </c>
      <c r="F12" s="358">
        <v>10125938</v>
      </c>
      <c r="G12" s="358">
        <v>4500032691</v>
      </c>
      <c r="H12" s="359" t="s">
        <v>53</v>
      </c>
      <c r="I12" s="360" t="str">
        <f>IFERROR(VLOOKUP(H12,名称!A:C,2,0),"")</f>
        <v>布鲁伊+宾果沐浴玩具混装</v>
      </c>
      <c r="J12" s="361">
        <v>504</v>
      </c>
      <c r="K12" s="360">
        <f>IFERROR(VLOOKUP(H12,名称!A:D,3,0),"")</f>
        <v>6</v>
      </c>
      <c r="L12" s="362">
        <f t="shared" si="1"/>
        <v>84</v>
      </c>
      <c r="M12" s="368">
        <v>46253</v>
      </c>
      <c r="N12" s="368">
        <f t="shared" si="2"/>
        <v>46251</v>
      </c>
      <c r="O12" s="369">
        <v>46237</v>
      </c>
      <c r="P12" s="356" t="s">
        <v>439</v>
      </c>
      <c r="Q12" s="359" t="s">
        <v>424</v>
      </c>
      <c r="R12" s="363" t="s">
        <v>445</v>
      </c>
      <c r="S12" s="356"/>
      <c r="T12" s="356"/>
      <c r="U12" s="356"/>
      <c r="V12" s="356"/>
      <c r="W12" s="359"/>
      <c r="X12" s="362"/>
      <c r="Y12" s="364">
        <v>1.398</v>
      </c>
      <c r="Z12" s="365">
        <f t="shared" si="3"/>
        <v>704.59</v>
      </c>
      <c r="AA12" s="365">
        <f t="shared" si="4"/>
        <v>5460.57</v>
      </c>
      <c r="AB12" s="366"/>
      <c r="AC12" s="356"/>
      <c r="AD12" s="356"/>
      <c r="AE12" s="356" t="str">
        <f>IFERROR(VLOOKUP(H12,名称!A:D,4,0),"")</f>
        <v>KIK</v>
      </c>
      <c r="AF12" s="360"/>
      <c r="AG12" s="360"/>
      <c r="AH12" s="367">
        <v>46171</v>
      </c>
      <c r="AI12" s="370" t="s">
        <v>420</v>
      </c>
      <c r="AJ12" s="367"/>
      <c r="AK12" s="370" t="s">
        <v>420</v>
      </c>
      <c r="AL12" s="367"/>
      <c r="AM12" s="367"/>
      <c r="AN12" s="367"/>
      <c r="AO12" s="362">
        <f t="shared" si="5"/>
        <v>118</v>
      </c>
      <c r="AP12" s="362">
        <f t="shared" si="6"/>
        <v>82</v>
      </c>
    </row>
    <row r="13" s="245" customFormat="1" hidden="1" customHeight="1" spans="1:42">
      <c r="A13" s="356">
        <v>46135</v>
      </c>
      <c r="B13" s="356" t="str">
        <f ca="1" t="shared" si="0"/>
        <v/>
      </c>
      <c r="C13" s="357" t="s">
        <v>235</v>
      </c>
      <c r="D13" s="356" t="s">
        <v>421</v>
      </c>
      <c r="E13" s="357" t="s">
        <v>428</v>
      </c>
      <c r="F13" s="358">
        <v>10125936</v>
      </c>
      <c r="G13" s="358">
        <v>4500032690</v>
      </c>
      <c r="H13" s="359" t="s">
        <v>53</v>
      </c>
      <c r="I13" s="360" t="str">
        <f>IFERROR(VLOOKUP(H13,名称!A:C,2,0),"")</f>
        <v>布鲁伊+宾果沐浴玩具混装</v>
      </c>
      <c r="J13" s="371">
        <v>1500</v>
      </c>
      <c r="K13" s="360">
        <f>IFERROR(VLOOKUP(H13,名称!A:D,3,0),"")</f>
        <v>6</v>
      </c>
      <c r="L13" s="362">
        <f t="shared" si="1"/>
        <v>250</v>
      </c>
      <c r="M13" s="356">
        <v>46246</v>
      </c>
      <c r="N13" s="356">
        <f t="shared" si="2"/>
        <v>46244</v>
      </c>
      <c r="O13" s="369">
        <v>46237</v>
      </c>
      <c r="P13" s="356" t="s">
        <v>439</v>
      </c>
      <c r="Q13" s="359" t="s">
        <v>424</v>
      </c>
      <c r="R13" s="363" t="s">
        <v>445</v>
      </c>
      <c r="S13" s="356"/>
      <c r="T13" s="356"/>
      <c r="U13" s="356"/>
      <c r="V13" s="356"/>
      <c r="W13" s="359"/>
      <c r="X13" s="362"/>
      <c r="Y13" s="364">
        <v>1.398</v>
      </c>
      <c r="Z13" s="365">
        <f t="shared" si="3"/>
        <v>2097</v>
      </c>
      <c r="AA13" s="365">
        <f t="shared" si="4"/>
        <v>16251.75</v>
      </c>
      <c r="AB13" s="366"/>
      <c r="AC13" s="356"/>
      <c r="AD13" s="356"/>
      <c r="AE13" s="356" t="str">
        <f>IFERROR(VLOOKUP(H13,名称!A:D,4,0),"")</f>
        <v>KIK</v>
      </c>
      <c r="AF13" s="360"/>
      <c r="AG13" s="360"/>
      <c r="AH13" s="367">
        <v>46171</v>
      </c>
      <c r="AI13" s="370" t="s">
        <v>420</v>
      </c>
      <c r="AJ13" s="367"/>
      <c r="AK13" s="370" t="s">
        <v>420</v>
      </c>
      <c r="AL13" s="367"/>
      <c r="AM13" s="367"/>
      <c r="AN13" s="367"/>
      <c r="AO13" s="362">
        <f t="shared" si="5"/>
        <v>111</v>
      </c>
      <c r="AP13" s="362">
        <f t="shared" si="6"/>
        <v>75</v>
      </c>
    </row>
    <row r="14" s="245" customFormat="1" hidden="1" customHeight="1" spans="1:42">
      <c r="A14" s="356">
        <v>46149</v>
      </c>
      <c r="B14" s="356" t="str">
        <f ca="1" t="shared" si="0"/>
        <v/>
      </c>
      <c r="C14" s="357" t="s">
        <v>235</v>
      </c>
      <c r="D14" s="356" t="s">
        <v>421</v>
      </c>
      <c r="E14" s="359" t="s">
        <v>428</v>
      </c>
      <c r="F14" s="359">
        <v>10126801</v>
      </c>
      <c r="G14" s="358">
        <v>4500032770</v>
      </c>
      <c r="H14" s="359" t="s">
        <v>115</v>
      </c>
      <c r="I14" s="360" t="str">
        <f>IFERROR(VLOOKUP(H14,名称!A:C,2,0),"")</f>
        <v>布鲁伊混装</v>
      </c>
      <c r="J14" s="361">
        <v>2360</v>
      </c>
      <c r="K14" s="360">
        <f>IFERROR(VLOOKUP(H14,名称!A:D,3,0),"")</f>
        <v>4</v>
      </c>
      <c r="L14" s="362">
        <f t="shared" si="1"/>
        <v>590</v>
      </c>
      <c r="M14" s="356">
        <v>46246</v>
      </c>
      <c r="N14" s="356">
        <f t="shared" si="2"/>
        <v>46244</v>
      </c>
      <c r="O14" s="369">
        <v>46237</v>
      </c>
      <c r="P14" s="356" t="s">
        <v>439</v>
      </c>
      <c r="Q14" s="359" t="s">
        <v>424</v>
      </c>
      <c r="R14" s="363" t="s">
        <v>445</v>
      </c>
      <c r="S14" s="356"/>
      <c r="T14" s="356"/>
      <c r="U14" s="356"/>
      <c r="V14" s="374"/>
      <c r="W14" s="359"/>
      <c r="X14" s="362"/>
      <c r="Y14" s="364">
        <v>2.204</v>
      </c>
      <c r="Z14" s="365">
        <f t="shared" si="3"/>
        <v>5201.44</v>
      </c>
      <c r="AA14" s="365">
        <f t="shared" si="4"/>
        <v>40311.16</v>
      </c>
      <c r="AB14" s="375"/>
      <c r="AC14" s="356"/>
      <c r="AD14" s="356"/>
      <c r="AE14" s="356" t="str">
        <f>IFERROR(VLOOKUP(H14,名称!A:D,4,0),"")</f>
        <v>KIK</v>
      </c>
      <c r="AF14" s="359"/>
      <c r="AG14" s="359"/>
      <c r="AH14" s="367">
        <v>46171</v>
      </c>
      <c r="AI14" s="376"/>
      <c r="AJ14" s="376"/>
      <c r="AK14" s="376"/>
      <c r="AL14" s="367">
        <v>46171</v>
      </c>
      <c r="AM14" s="377"/>
      <c r="AN14" s="378">
        <v>46170</v>
      </c>
      <c r="AO14" s="362">
        <f t="shared" si="5"/>
        <v>97</v>
      </c>
      <c r="AP14" s="362">
        <f t="shared" si="6"/>
        <v>75</v>
      </c>
    </row>
    <row r="15" s="245" customFormat="1" hidden="1" customHeight="1" spans="1:42">
      <c r="A15" s="356">
        <v>46162</v>
      </c>
      <c r="B15" s="356" t="str">
        <f ca="1" t="shared" si="0"/>
        <v/>
      </c>
      <c r="C15" s="357" t="s">
        <v>299</v>
      </c>
      <c r="D15" s="356" t="s">
        <v>421</v>
      </c>
      <c r="E15" s="357" t="s">
        <v>446</v>
      </c>
      <c r="F15" s="359">
        <v>10127804</v>
      </c>
      <c r="G15" s="358">
        <v>4500032849</v>
      </c>
      <c r="H15" s="359" t="s">
        <v>115</v>
      </c>
      <c r="I15" s="360" t="str">
        <f>IFERROR(VLOOKUP(H15,名称!A:C,2,0),"")</f>
        <v>布鲁伊混装</v>
      </c>
      <c r="J15" s="371">
        <v>480</v>
      </c>
      <c r="K15" s="360">
        <f>IFERROR(VLOOKUP(H15,名称!A:D,3,0),"")</f>
        <v>4</v>
      </c>
      <c r="L15" s="362">
        <f t="shared" si="1"/>
        <v>120</v>
      </c>
      <c r="M15" s="379">
        <v>46253</v>
      </c>
      <c r="N15" s="368">
        <f t="shared" si="2"/>
        <v>46251</v>
      </c>
      <c r="O15" s="369">
        <v>46237</v>
      </c>
      <c r="P15" s="356" t="s">
        <v>439</v>
      </c>
      <c r="Q15" s="372" t="s">
        <v>424</v>
      </c>
      <c r="R15" s="363" t="s">
        <v>444</v>
      </c>
      <c r="S15" s="356"/>
      <c r="T15" s="356"/>
      <c r="U15" s="356"/>
      <c r="V15" s="356"/>
      <c r="W15" s="359"/>
      <c r="X15" s="362" t="s">
        <v>447</v>
      </c>
      <c r="Y15" s="380">
        <v>2.204</v>
      </c>
      <c r="Z15" s="365">
        <f t="shared" si="3"/>
        <v>1057.92</v>
      </c>
      <c r="AA15" s="365">
        <f t="shared" si="4"/>
        <v>8198.88</v>
      </c>
      <c r="AB15" s="366"/>
      <c r="AC15" s="356"/>
      <c r="AD15" s="356"/>
      <c r="AE15" s="356" t="str">
        <f>IFERROR(VLOOKUP(H15,名称!A:D,4,0),"")</f>
        <v>KIK</v>
      </c>
      <c r="AF15" s="360"/>
      <c r="AG15" s="360"/>
      <c r="AH15" s="367">
        <v>46171</v>
      </c>
      <c r="AI15" s="367"/>
      <c r="AJ15" s="367"/>
      <c r="AK15" s="367"/>
      <c r="AL15" s="367">
        <v>46171</v>
      </c>
      <c r="AM15" s="367"/>
      <c r="AN15" s="367"/>
      <c r="AO15" s="362">
        <f t="shared" si="5"/>
        <v>91</v>
      </c>
      <c r="AP15" s="362">
        <f t="shared" si="6"/>
        <v>82</v>
      </c>
    </row>
    <row r="16" s="245" customFormat="1" hidden="1" customHeight="1" spans="1:42">
      <c r="A16" s="306">
        <v>46028</v>
      </c>
      <c r="B16" s="77" t="str">
        <f ca="1" t="shared" si="0"/>
        <v/>
      </c>
      <c r="C16" s="347" t="s">
        <v>236</v>
      </c>
      <c r="D16" s="306" t="s">
        <v>442</v>
      </c>
      <c r="E16" s="347" t="s">
        <v>443</v>
      </c>
      <c r="F16" s="348">
        <v>10118393</v>
      </c>
      <c r="G16" s="348">
        <v>20218861</v>
      </c>
      <c r="H16" s="307" t="s">
        <v>48</v>
      </c>
      <c r="I16" s="309" t="str">
        <f>IFERROR(VLOOKUP(H16,名称!A:C,2,0),"")</f>
        <v>布鲁伊家族杯子套装</v>
      </c>
      <c r="J16" s="353">
        <v>3000</v>
      </c>
      <c r="K16" s="309">
        <f>IFERROR(VLOOKUP(H16,名称!A:D,3,0),"")</f>
        <v>4</v>
      </c>
      <c r="L16" s="308">
        <f t="shared" si="1"/>
        <v>750</v>
      </c>
      <c r="M16" s="306">
        <v>46288</v>
      </c>
      <c r="N16" s="306">
        <f t="shared" si="2"/>
        <v>46286</v>
      </c>
      <c r="O16" s="306"/>
      <c r="P16" s="306" t="s">
        <v>423</v>
      </c>
      <c r="Q16" s="307" t="s">
        <v>430</v>
      </c>
      <c r="R16" s="350" t="s">
        <v>448</v>
      </c>
      <c r="S16" s="306" t="s">
        <v>449</v>
      </c>
      <c r="T16" s="306"/>
      <c r="U16" s="306"/>
      <c r="V16" s="306"/>
      <c r="W16" s="307"/>
      <c r="X16" s="308"/>
      <c r="Y16" s="351">
        <v>2.199</v>
      </c>
      <c r="Z16" s="352">
        <f t="shared" si="3"/>
        <v>6597</v>
      </c>
      <c r="AA16" s="352">
        <f t="shared" si="4"/>
        <v>51126.75</v>
      </c>
      <c r="AB16" s="85"/>
      <c r="AC16" s="306"/>
      <c r="AD16" s="306"/>
      <c r="AE16" s="306" t="str">
        <f>IFERROR(VLOOKUP(H16,名称!A:D,4,0),"")</f>
        <v>KIK</v>
      </c>
      <c r="AF16" s="309"/>
      <c r="AG16" s="309"/>
      <c r="AH16" s="311">
        <v>46067</v>
      </c>
      <c r="AI16" s="311" t="s">
        <v>420</v>
      </c>
      <c r="AJ16" s="311"/>
      <c r="AK16" s="311" t="s">
        <v>420</v>
      </c>
      <c r="AL16" s="370" t="s">
        <v>420</v>
      </c>
      <c r="AM16" s="311"/>
      <c r="AN16" s="311"/>
      <c r="AO16" s="308">
        <f t="shared" si="5"/>
        <v>260</v>
      </c>
      <c r="AP16" s="308">
        <f t="shared" si="6"/>
        <v>221</v>
      </c>
    </row>
    <row r="17" s="245" customFormat="1" hidden="1" customHeight="1" spans="1:42">
      <c r="A17" s="356">
        <v>46163</v>
      </c>
      <c r="B17" s="356" t="str">
        <f ca="1" t="shared" si="0"/>
        <v/>
      </c>
      <c r="C17" s="357" t="s">
        <v>237</v>
      </c>
      <c r="D17" s="356" t="s">
        <v>427</v>
      </c>
      <c r="E17" s="357" t="s">
        <v>428</v>
      </c>
      <c r="F17" s="359">
        <v>10127831</v>
      </c>
      <c r="G17" s="358" t="s">
        <v>301</v>
      </c>
      <c r="H17" s="359" t="s">
        <v>129</v>
      </c>
      <c r="I17" s="360" t="str">
        <f>IFERROR(VLOOKUP(H17,名称!A:C,2,0),"")</f>
        <v>锁匙</v>
      </c>
      <c r="J17" s="371">
        <v>10008</v>
      </c>
      <c r="K17" s="360">
        <f>IFERROR(VLOOKUP(H17,名称!A:D,3,0),"")</f>
        <v>36</v>
      </c>
      <c r="L17" s="362">
        <f t="shared" si="1"/>
        <v>278</v>
      </c>
      <c r="M17" s="381">
        <v>46246</v>
      </c>
      <c r="N17" s="356">
        <f t="shared" si="2"/>
        <v>46244</v>
      </c>
      <c r="O17" s="369">
        <v>46245</v>
      </c>
      <c r="P17" s="356" t="s">
        <v>439</v>
      </c>
      <c r="Q17" s="359" t="s">
        <v>430</v>
      </c>
      <c r="R17" s="363" t="s">
        <v>450</v>
      </c>
      <c r="S17" s="356"/>
      <c r="T17" s="356"/>
      <c r="U17" s="356"/>
      <c r="V17" s="356"/>
      <c r="W17" s="359"/>
      <c r="X17" s="362"/>
      <c r="Y17" s="380">
        <v>0.324</v>
      </c>
      <c r="Z17" s="365">
        <f t="shared" si="3"/>
        <v>3242.59</v>
      </c>
      <c r="AA17" s="365">
        <f t="shared" si="4"/>
        <v>25130.07</v>
      </c>
      <c r="AB17" s="366"/>
      <c r="AC17" s="356"/>
      <c r="AD17" s="356"/>
      <c r="AE17" s="356" t="str">
        <f>IFERROR(VLOOKUP(H17,名称!A:D,4,0),"")</f>
        <v>KIK</v>
      </c>
      <c r="AF17" s="360"/>
      <c r="AG17" s="360"/>
      <c r="AH17" s="367">
        <v>46184</v>
      </c>
      <c r="AI17" s="367" t="s">
        <v>420</v>
      </c>
      <c r="AJ17" s="367"/>
      <c r="AK17" s="367" t="s">
        <v>420</v>
      </c>
      <c r="AL17" s="367" t="s">
        <v>420</v>
      </c>
      <c r="AM17" s="367"/>
      <c r="AN17" s="367"/>
      <c r="AO17" s="362">
        <f t="shared" si="5"/>
        <v>83</v>
      </c>
      <c r="AP17" s="362">
        <f t="shared" si="6"/>
        <v>62</v>
      </c>
    </row>
    <row r="18" s="245" customFormat="1" hidden="1" customHeight="1" spans="1:42">
      <c r="A18" s="356">
        <v>46164</v>
      </c>
      <c r="B18" s="356" t="str">
        <f ca="1" t="shared" si="0"/>
        <v/>
      </c>
      <c r="C18" s="357" t="s">
        <v>237</v>
      </c>
      <c r="D18" s="356" t="s">
        <v>427</v>
      </c>
      <c r="E18" s="357" t="s">
        <v>428</v>
      </c>
      <c r="F18" s="359">
        <v>10127866</v>
      </c>
      <c r="G18" s="358" t="s">
        <v>302</v>
      </c>
      <c r="H18" s="359" t="s">
        <v>88</v>
      </c>
      <c r="I18" s="360" t="str">
        <f>IFERROR(VLOOKUP(H18,名称!A:C,2,0),"")</f>
        <v>杯子</v>
      </c>
      <c r="J18" s="371">
        <f>10008+10008</f>
        <v>20016</v>
      </c>
      <c r="K18" s="360">
        <f>IFERROR(VLOOKUP(H18,名称!A:D,3,0),"")</f>
        <v>18</v>
      </c>
      <c r="L18" s="362">
        <f t="shared" si="1"/>
        <v>1112</v>
      </c>
      <c r="M18" s="381">
        <v>46246</v>
      </c>
      <c r="N18" s="356">
        <f t="shared" si="2"/>
        <v>46244</v>
      </c>
      <c r="O18" s="369">
        <v>46245</v>
      </c>
      <c r="P18" s="356" t="s">
        <v>439</v>
      </c>
      <c r="Q18" s="359" t="s">
        <v>430</v>
      </c>
      <c r="R18" s="363" t="s">
        <v>451</v>
      </c>
      <c r="S18" s="356"/>
      <c r="T18" s="356"/>
      <c r="U18" s="356"/>
      <c r="V18" s="356"/>
      <c r="W18" s="359"/>
      <c r="X18" s="362"/>
      <c r="Y18" s="364">
        <v>0.963</v>
      </c>
      <c r="Z18" s="365">
        <f t="shared" si="3"/>
        <v>19275.41</v>
      </c>
      <c r="AA18" s="365">
        <f t="shared" si="4"/>
        <v>149384.43</v>
      </c>
      <c r="AB18" s="366"/>
      <c r="AC18" s="356"/>
      <c r="AD18" s="356"/>
      <c r="AE18" s="356" t="str">
        <f>IFERROR(VLOOKUP(H18,名称!A:D,4,0),"")</f>
        <v>KIK</v>
      </c>
      <c r="AF18" s="360"/>
      <c r="AG18" s="360"/>
      <c r="AH18" s="370">
        <v>46197</v>
      </c>
      <c r="AI18" s="367" t="s">
        <v>420</v>
      </c>
      <c r="AJ18" s="382">
        <v>46220</v>
      </c>
      <c r="AK18" s="367" t="s">
        <v>420</v>
      </c>
      <c r="AL18" s="367" t="s">
        <v>420</v>
      </c>
      <c r="AM18" s="367"/>
      <c r="AN18" s="367"/>
      <c r="AO18" s="362">
        <f t="shared" si="5"/>
        <v>82</v>
      </c>
      <c r="AP18" s="362">
        <f t="shared" si="6"/>
        <v>49</v>
      </c>
    </row>
    <row r="19" s="245" customFormat="1" hidden="1" customHeight="1" spans="1:42">
      <c r="A19" s="356">
        <v>46137</v>
      </c>
      <c r="B19" s="356" t="str">
        <f ca="1" t="shared" si="0"/>
        <v/>
      </c>
      <c r="C19" s="357" t="s">
        <v>248</v>
      </c>
      <c r="D19" s="356" t="s">
        <v>421</v>
      </c>
      <c r="E19" s="357" t="s">
        <v>446</v>
      </c>
      <c r="F19" s="358">
        <v>10126125</v>
      </c>
      <c r="G19" s="358">
        <v>4500032727</v>
      </c>
      <c r="H19" s="359" t="s">
        <v>158</v>
      </c>
      <c r="I19" s="360" t="str">
        <f>IFERROR(VLOOKUP(H19,名称!A:C,2,0),"")</f>
        <v>JD LNS圆轮拖拉机</v>
      </c>
      <c r="J19" s="361">
        <v>400</v>
      </c>
      <c r="K19" s="360">
        <f>IFERROR(VLOOKUP(H19,名称!A:D,3,0),"")</f>
        <v>2</v>
      </c>
      <c r="L19" s="362">
        <f t="shared" si="1"/>
        <v>200</v>
      </c>
      <c r="M19" s="356">
        <v>46253</v>
      </c>
      <c r="N19" s="356">
        <f t="shared" si="2"/>
        <v>46251</v>
      </c>
      <c r="O19" s="369">
        <v>46245</v>
      </c>
      <c r="P19" s="356" t="s">
        <v>439</v>
      </c>
      <c r="Q19" s="359" t="s">
        <v>424</v>
      </c>
      <c r="R19" s="363" t="s">
        <v>418</v>
      </c>
      <c r="S19" s="356"/>
      <c r="T19" s="356" t="s">
        <v>452</v>
      </c>
      <c r="U19" s="356"/>
      <c r="V19" s="356"/>
      <c r="W19" s="359"/>
      <c r="X19" s="362"/>
      <c r="Y19" s="364">
        <v>4.792</v>
      </c>
      <c r="Z19" s="365">
        <f t="shared" si="3"/>
        <v>1916.8</v>
      </c>
      <c r="AA19" s="365">
        <f t="shared" si="4"/>
        <v>14855.2</v>
      </c>
      <c r="AB19" s="366"/>
      <c r="AC19" s="356"/>
      <c r="AD19" s="356"/>
      <c r="AE19" s="356" t="str">
        <f>IFERROR(VLOOKUP(H19,名称!A:D,4,0),"")</f>
        <v>KIK</v>
      </c>
      <c r="AF19" s="360"/>
      <c r="AG19" s="360"/>
      <c r="AH19" s="367">
        <v>46189</v>
      </c>
      <c r="AI19" s="367" t="s">
        <v>420</v>
      </c>
      <c r="AJ19" s="367"/>
      <c r="AK19" s="367" t="s">
        <v>453</v>
      </c>
      <c r="AL19" s="367">
        <v>46184</v>
      </c>
      <c r="AM19" s="367"/>
      <c r="AN19" s="367">
        <v>46191</v>
      </c>
      <c r="AO19" s="362">
        <f t="shared" si="5"/>
        <v>116</v>
      </c>
      <c r="AP19" s="362">
        <f t="shared" si="6"/>
        <v>64</v>
      </c>
    </row>
    <row r="20" s="245" customFormat="1" hidden="1" customHeight="1" spans="1:42">
      <c r="A20" s="356">
        <v>46156</v>
      </c>
      <c r="B20" s="356" t="str">
        <f ca="1" t="shared" si="0"/>
        <v/>
      </c>
      <c r="C20" s="357" t="s">
        <v>248</v>
      </c>
      <c r="D20" s="356" t="s">
        <v>421</v>
      </c>
      <c r="E20" s="357" t="s">
        <v>438</v>
      </c>
      <c r="F20" s="358">
        <v>10127402</v>
      </c>
      <c r="G20" s="358">
        <v>4500032826</v>
      </c>
      <c r="H20" s="359" t="s">
        <v>158</v>
      </c>
      <c r="I20" s="360" t="str">
        <f>IFERROR(VLOOKUP(H20,名称!A:C,2,0),"")</f>
        <v>JD LNS圆轮拖拉机</v>
      </c>
      <c r="J20" s="371">
        <v>400</v>
      </c>
      <c r="K20" s="360">
        <f>IFERROR(VLOOKUP(H20,名称!A:D,3,0),"")</f>
        <v>2</v>
      </c>
      <c r="L20" s="362">
        <f t="shared" si="1"/>
        <v>200</v>
      </c>
      <c r="M20" s="356">
        <v>46253</v>
      </c>
      <c r="N20" s="356">
        <f t="shared" si="2"/>
        <v>46251</v>
      </c>
      <c r="O20" s="369">
        <v>46245</v>
      </c>
      <c r="P20" s="356" t="s">
        <v>439</v>
      </c>
      <c r="Q20" s="359" t="s">
        <v>424</v>
      </c>
      <c r="R20" s="363" t="s">
        <v>418</v>
      </c>
      <c r="S20" s="356"/>
      <c r="T20" s="356" t="s">
        <v>452</v>
      </c>
      <c r="U20" s="356"/>
      <c r="V20" s="356"/>
      <c r="W20" s="359"/>
      <c r="X20" s="362"/>
      <c r="Y20" s="364">
        <v>4.792</v>
      </c>
      <c r="Z20" s="365">
        <f t="shared" si="3"/>
        <v>1916.8</v>
      </c>
      <c r="AA20" s="365">
        <f t="shared" si="4"/>
        <v>14855.2</v>
      </c>
      <c r="AB20" s="366"/>
      <c r="AC20" s="356"/>
      <c r="AD20" s="356"/>
      <c r="AE20" s="356" t="str">
        <f>IFERROR(VLOOKUP(H20,名称!A:D,4,0),"")</f>
        <v>KIK</v>
      </c>
      <c r="AF20" s="360"/>
      <c r="AG20" s="360"/>
      <c r="AH20" s="367">
        <v>46189</v>
      </c>
      <c r="AI20" s="367" t="s">
        <v>420</v>
      </c>
      <c r="AJ20" s="367"/>
      <c r="AK20" s="367">
        <v>46197</v>
      </c>
      <c r="AL20" s="367">
        <v>46184</v>
      </c>
      <c r="AM20" s="367"/>
      <c r="AN20" s="367">
        <v>46191</v>
      </c>
      <c r="AO20" s="362">
        <f t="shared" si="5"/>
        <v>97</v>
      </c>
      <c r="AP20" s="362">
        <f t="shared" si="6"/>
        <v>64</v>
      </c>
    </row>
    <row r="21" s="15" customFormat="1" hidden="1" customHeight="1" spans="1:42">
      <c r="A21" s="306">
        <v>46179</v>
      </c>
      <c r="B21" s="77" t="str">
        <f ca="1" t="shared" si="0"/>
        <v/>
      </c>
      <c r="C21" s="347" t="s">
        <v>237</v>
      </c>
      <c r="D21" s="306" t="s">
        <v>427</v>
      </c>
      <c r="E21" s="347" t="s">
        <v>428</v>
      </c>
      <c r="F21" s="307">
        <v>10129047</v>
      </c>
      <c r="G21" s="348" t="s">
        <v>307</v>
      </c>
      <c r="H21" s="307" t="s">
        <v>52</v>
      </c>
      <c r="I21" s="309" t="str">
        <f>IFERROR(VLOOKUP(H21,名称!A:C,2,0),"")</f>
        <v>布鲁伊家族沐浴玩具</v>
      </c>
      <c r="J21" s="353">
        <v>5004</v>
      </c>
      <c r="K21" s="309">
        <v>6</v>
      </c>
      <c r="L21" s="308">
        <f t="shared" si="1"/>
        <v>834</v>
      </c>
      <c r="M21" s="305">
        <v>46253</v>
      </c>
      <c r="N21" s="306">
        <f t="shared" si="2"/>
        <v>46251</v>
      </c>
      <c r="O21" s="299" t="s">
        <v>454</v>
      </c>
      <c r="P21" s="306" t="s">
        <v>439</v>
      </c>
      <c r="Q21" s="307" t="s">
        <v>430</v>
      </c>
      <c r="R21" s="299" t="s">
        <v>455</v>
      </c>
      <c r="S21" s="306"/>
      <c r="T21" s="306"/>
      <c r="U21" s="306"/>
      <c r="V21" s="306"/>
      <c r="W21" s="307"/>
      <c r="X21" s="308"/>
      <c r="Y21" s="383">
        <v>2.001</v>
      </c>
      <c r="Z21" s="352">
        <f t="shared" si="3"/>
        <v>10013</v>
      </c>
      <c r="AA21" s="352">
        <f t="shared" si="4"/>
        <v>77600.75</v>
      </c>
      <c r="AB21" s="85"/>
      <c r="AC21" s="306"/>
      <c r="AD21" s="306"/>
      <c r="AE21" s="306"/>
      <c r="AF21" s="309"/>
      <c r="AG21" s="309"/>
      <c r="AH21" s="310">
        <v>46197</v>
      </c>
      <c r="AI21" s="311" t="s">
        <v>420</v>
      </c>
      <c r="AJ21" s="311"/>
      <c r="AK21" s="311" t="s">
        <v>420</v>
      </c>
      <c r="AL21" s="370" t="s">
        <v>420</v>
      </c>
      <c r="AM21" s="311"/>
      <c r="AN21" s="311"/>
      <c r="AO21" s="308">
        <f t="shared" ref="AO21:AO84" si="7">M21-A21</f>
        <v>74</v>
      </c>
      <c r="AP21" s="308">
        <f t="shared" ref="AP21:AP84" si="8">M21-AH21</f>
        <v>56</v>
      </c>
    </row>
    <row r="22" s="15" customFormat="1" hidden="1" customHeight="1" spans="1:42">
      <c r="A22" s="306">
        <v>46205</v>
      </c>
      <c r="B22" s="77" t="str">
        <f ca="1" t="shared" si="0"/>
        <v/>
      </c>
      <c r="C22" s="347" t="s">
        <v>237</v>
      </c>
      <c r="D22" s="299" t="s">
        <v>456</v>
      </c>
      <c r="E22" s="300" t="s">
        <v>428</v>
      </c>
      <c r="F22" s="307">
        <v>10131168</v>
      </c>
      <c r="G22" s="384" t="s">
        <v>330</v>
      </c>
      <c r="H22" s="385" t="s">
        <v>48</v>
      </c>
      <c r="I22" s="309" t="str">
        <f>IFERROR(VLOOKUP(H22,名称!A:C,2,0),"")</f>
        <v>布鲁伊家族杯子套装</v>
      </c>
      <c r="J22" s="349">
        <v>248</v>
      </c>
      <c r="K22" s="309">
        <v>4</v>
      </c>
      <c r="L22" s="308">
        <f t="shared" si="1"/>
        <v>62</v>
      </c>
      <c r="M22" s="354" t="s">
        <v>457</v>
      </c>
      <c r="N22" s="306">
        <v>46251</v>
      </c>
      <c r="O22" s="299" t="s">
        <v>454</v>
      </c>
      <c r="P22" s="306" t="s">
        <v>439</v>
      </c>
      <c r="Q22" s="385" t="s">
        <v>458</v>
      </c>
      <c r="R22" s="299" t="s">
        <v>455</v>
      </c>
      <c r="S22" s="306"/>
      <c r="T22" s="299" t="s">
        <v>459</v>
      </c>
      <c r="U22" s="306"/>
      <c r="V22" s="306"/>
      <c r="W22" s="307"/>
      <c r="X22" s="355" t="s">
        <v>460</v>
      </c>
      <c r="Y22" s="383">
        <v>2.199</v>
      </c>
      <c r="Z22" s="352">
        <f t="shared" si="3"/>
        <v>545.35</v>
      </c>
      <c r="AA22" s="352">
        <f t="shared" si="4"/>
        <v>4226.46</v>
      </c>
      <c r="AB22" s="85"/>
      <c r="AC22" s="306"/>
      <c r="AD22" s="306"/>
      <c r="AE22" s="306" t="str">
        <f>IFERROR(VLOOKUP(H22,名称!A:D,4,0),"")</f>
        <v>KIK</v>
      </c>
      <c r="AF22" s="309"/>
      <c r="AG22" s="309"/>
      <c r="AH22" s="310">
        <v>46221</v>
      </c>
      <c r="AI22" s="311" t="s">
        <v>420</v>
      </c>
      <c r="AJ22" s="311"/>
      <c r="AK22" s="311" t="s">
        <v>420</v>
      </c>
      <c r="AL22" s="370" t="s">
        <v>420</v>
      </c>
      <c r="AM22" s="311"/>
      <c r="AN22" s="311"/>
      <c r="AO22" s="308" t="e">
        <f t="shared" si="7"/>
        <v>#VALUE!</v>
      </c>
      <c r="AP22" s="308" t="e">
        <f t="shared" si="8"/>
        <v>#VALUE!</v>
      </c>
    </row>
    <row r="23" s="15" customFormat="1" hidden="1" customHeight="1" spans="1:42">
      <c r="A23" s="306">
        <v>46205</v>
      </c>
      <c r="B23" s="77" t="str">
        <f ca="1" t="shared" si="0"/>
        <v/>
      </c>
      <c r="C23" s="347" t="s">
        <v>237</v>
      </c>
      <c r="D23" s="299" t="s">
        <v>461</v>
      </c>
      <c r="E23" s="300" t="s">
        <v>428</v>
      </c>
      <c r="F23" s="307">
        <v>10131170</v>
      </c>
      <c r="G23" s="384" t="s">
        <v>331</v>
      </c>
      <c r="H23" s="385" t="s">
        <v>48</v>
      </c>
      <c r="I23" s="309" t="str">
        <f>IFERROR(VLOOKUP(H23,名称!A:C,2,0),"")</f>
        <v>布鲁伊家族杯子套装</v>
      </c>
      <c r="J23" s="349">
        <v>1032</v>
      </c>
      <c r="K23" s="309">
        <v>4</v>
      </c>
      <c r="L23" s="308">
        <f t="shared" si="1"/>
        <v>258</v>
      </c>
      <c r="M23" s="354" t="s">
        <v>457</v>
      </c>
      <c r="N23" s="306">
        <v>46251</v>
      </c>
      <c r="O23" s="299" t="s">
        <v>454</v>
      </c>
      <c r="P23" s="306" t="s">
        <v>439</v>
      </c>
      <c r="Q23" s="385" t="s">
        <v>458</v>
      </c>
      <c r="R23" s="299" t="s">
        <v>455</v>
      </c>
      <c r="S23" s="306"/>
      <c r="T23" s="299" t="s">
        <v>459</v>
      </c>
      <c r="U23" s="306"/>
      <c r="V23" s="306"/>
      <c r="W23" s="307"/>
      <c r="X23" s="355" t="s">
        <v>460</v>
      </c>
      <c r="Y23" s="383">
        <v>2.199</v>
      </c>
      <c r="Z23" s="352">
        <f t="shared" si="3"/>
        <v>2269.37</v>
      </c>
      <c r="AA23" s="352">
        <f t="shared" si="4"/>
        <v>17587.62</v>
      </c>
      <c r="AB23" s="85"/>
      <c r="AC23" s="306"/>
      <c r="AD23" s="306"/>
      <c r="AE23" s="306" t="str">
        <f>IFERROR(VLOOKUP(H23,名称!A:D,4,0),"")</f>
        <v>KIK</v>
      </c>
      <c r="AF23" s="309"/>
      <c r="AG23" s="309"/>
      <c r="AH23" s="310">
        <v>46221</v>
      </c>
      <c r="AI23" s="311" t="s">
        <v>420</v>
      </c>
      <c r="AJ23" s="311"/>
      <c r="AK23" s="311" t="s">
        <v>420</v>
      </c>
      <c r="AL23" s="370" t="s">
        <v>420</v>
      </c>
      <c r="AM23" s="311"/>
      <c r="AN23" s="311"/>
      <c r="AO23" s="308" t="e">
        <f t="shared" si="7"/>
        <v>#VALUE!</v>
      </c>
      <c r="AP23" s="308" t="e">
        <f t="shared" si="8"/>
        <v>#VALUE!</v>
      </c>
    </row>
    <row r="24" s="15" customFormat="1" hidden="1" customHeight="1" spans="1:42">
      <c r="A24" s="306">
        <v>46205</v>
      </c>
      <c r="B24" s="77" t="str">
        <f ca="1" t="shared" si="0"/>
        <v/>
      </c>
      <c r="C24" s="347" t="s">
        <v>237</v>
      </c>
      <c r="D24" s="299" t="s">
        <v>461</v>
      </c>
      <c r="E24" s="300" t="s">
        <v>428</v>
      </c>
      <c r="F24" s="307">
        <v>10131172</v>
      </c>
      <c r="G24" s="384" t="s">
        <v>332</v>
      </c>
      <c r="H24" s="385" t="s">
        <v>48</v>
      </c>
      <c r="I24" s="309" t="str">
        <f>IFERROR(VLOOKUP(H24,名称!A:C,2,0),"")</f>
        <v>布鲁伊家族杯子套装</v>
      </c>
      <c r="J24" s="349">
        <v>812</v>
      </c>
      <c r="K24" s="309">
        <v>4</v>
      </c>
      <c r="L24" s="308">
        <f t="shared" si="1"/>
        <v>203</v>
      </c>
      <c r="M24" s="354" t="s">
        <v>457</v>
      </c>
      <c r="N24" s="306">
        <v>46251</v>
      </c>
      <c r="O24" s="299" t="s">
        <v>454</v>
      </c>
      <c r="P24" s="306" t="s">
        <v>439</v>
      </c>
      <c r="Q24" s="385" t="s">
        <v>458</v>
      </c>
      <c r="R24" s="299" t="s">
        <v>455</v>
      </c>
      <c r="S24" s="306"/>
      <c r="T24" s="299" t="s">
        <v>459</v>
      </c>
      <c r="U24" s="306"/>
      <c r="V24" s="306"/>
      <c r="W24" s="307"/>
      <c r="X24" s="355" t="s">
        <v>460</v>
      </c>
      <c r="Y24" s="383">
        <v>2.199</v>
      </c>
      <c r="Z24" s="352">
        <f t="shared" si="3"/>
        <v>1785.59</v>
      </c>
      <c r="AA24" s="352">
        <f t="shared" si="4"/>
        <v>13838.32</v>
      </c>
      <c r="AB24" s="85"/>
      <c r="AC24" s="306"/>
      <c r="AD24" s="306"/>
      <c r="AE24" s="306" t="str">
        <f>IFERROR(VLOOKUP(H24,名称!A:D,4,0),"")</f>
        <v>KIK</v>
      </c>
      <c r="AF24" s="309"/>
      <c r="AG24" s="309"/>
      <c r="AH24" s="310">
        <v>46221</v>
      </c>
      <c r="AI24" s="311" t="s">
        <v>420</v>
      </c>
      <c r="AJ24" s="311"/>
      <c r="AK24" s="311" t="s">
        <v>420</v>
      </c>
      <c r="AL24" s="370" t="s">
        <v>420</v>
      </c>
      <c r="AM24" s="311"/>
      <c r="AN24" s="311"/>
      <c r="AO24" s="308" t="e">
        <f t="shared" si="7"/>
        <v>#VALUE!</v>
      </c>
      <c r="AP24" s="308" t="e">
        <f t="shared" si="8"/>
        <v>#VALUE!</v>
      </c>
    </row>
    <row r="25" s="15" customFormat="1" hidden="1" customHeight="1" spans="1:42">
      <c r="A25" s="306">
        <v>46205</v>
      </c>
      <c r="B25" s="77" t="str">
        <f ca="1" t="shared" si="0"/>
        <v/>
      </c>
      <c r="C25" s="347" t="s">
        <v>237</v>
      </c>
      <c r="D25" s="299" t="s">
        <v>461</v>
      </c>
      <c r="E25" s="300" t="s">
        <v>428</v>
      </c>
      <c r="F25" s="307">
        <v>10131173</v>
      </c>
      <c r="G25" s="384" t="s">
        <v>333</v>
      </c>
      <c r="H25" s="385" t="s">
        <v>48</v>
      </c>
      <c r="I25" s="309" t="str">
        <f>IFERROR(VLOOKUP(H25,名称!A:C,2,0),"")</f>
        <v>布鲁伊家族杯子套装</v>
      </c>
      <c r="J25" s="349">
        <v>1352</v>
      </c>
      <c r="K25" s="309">
        <v>4</v>
      </c>
      <c r="L25" s="308">
        <f t="shared" si="1"/>
        <v>338</v>
      </c>
      <c r="M25" s="354" t="s">
        <v>457</v>
      </c>
      <c r="N25" s="306">
        <v>46251</v>
      </c>
      <c r="O25" s="299" t="s">
        <v>454</v>
      </c>
      <c r="P25" s="306" t="s">
        <v>439</v>
      </c>
      <c r="Q25" s="385" t="s">
        <v>458</v>
      </c>
      <c r="R25" s="299" t="s">
        <v>455</v>
      </c>
      <c r="S25" s="306"/>
      <c r="T25" s="299" t="s">
        <v>459</v>
      </c>
      <c r="U25" s="306"/>
      <c r="V25" s="306"/>
      <c r="W25" s="307"/>
      <c r="X25" s="355" t="s">
        <v>460</v>
      </c>
      <c r="Y25" s="383">
        <v>2.199</v>
      </c>
      <c r="Z25" s="352">
        <f t="shared" si="3"/>
        <v>2973.05</v>
      </c>
      <c r="AA25" s="352">
        <f t="shared" si="4"/>
        <v>23041.14</v>
      </c>
      <c r="AB25" s="85"/>
      <c r="AC25" s="306"/>
      <c r="AD25" s="306"/>
      <c r="AE25" s="306" t="str">
        <f>IFERROR(VLOOKUP(H25,名称!A:D,4,0),"")</f>
        <v>KIK</v>
      </c>
      <c r="AF25" s="309"/>
      <c r="AG25" s="309"/>
      <c r="AH25" s="310">
        <v>46221</v>
      </c>
      <c r="AI25" s="311" t="s">
        <v>420</v>
      </c>
      <c r="AJ25" s="311"/>
      <c r="AK25" s="311" t="s">
        <v>420</v>
      </c>
      <c r="AL25" s="370" t="s">
        <v>420</v>
      </c>
      <c r="AM25" s="311"/>
      <c r="AN25" s="311"/>
      <c r="AO25" s="308" t="e">
        <f t="shared" si="7"/>
        <v>#VALUE!</v>
      </c>
      <c r="AP25" s="308" t="e">
        <f t="shared" si="8"/>
        <v>#VALUE!</v>
      </c>
    </row>
    <row r="26" s="15" customFormat="1" hidden="1" customHeight="1" spans="1:42">
      <c r="A26" s="306">
        <v>46205</v>
      </c>
      <c r="B26" s="77" t="str">
        <f ca="1" t="shared" si="0"/>
        <v/>
      </c>
      <c r="C26" s="347" t="s">
        <v>237</v>
      </c>
      <c r="D26" s="299" t="s">
        <v>461</v>
      </c>
      <c r="E26" s="300" t="s">
        <v>428</v>
      </c>
      <c r="F26" s="307">
        <v>10131174</v>
      </c>
      <c r="G26" s="384" t="s">
        <v>334</v>
      </c>
      <c r="H26" s="385" t="s">
        <v>48</v>
      </c>
      <c r="I26" s="309" t="str">
        <f>IFERROR(VLOOKUP(H26,名称!A:C,2,0),"")</f>
        <v>布鲁伊家族杯子套装</v>
      </c>
      <c r="J26" s="349">
        <v>1120</v>
      </c>
      <c r="K26" s="309">
        <v>4</v>
      </c>
      <c r="L26" s="308">
        <f t="shared" si="1"/>
        <v>280</v>
      </c>
      <c r="M26" s="354" t="s">
        <v>457</v>
      </c>
      <c r="N26" s="306">
        <v>46251</v>
      </c>
      <c r="O26" s="299" t="s">
        <v>454</v>
      </c>
      <c r="P26" s="306" t="s">
        <v>439</v>
      </c>
      <c r="Q26" s="385" t="s">
        <v>458</v>
      </c>
      <c r="R26" s="299" t="s">
        <v>455</v>
      </c>
      <c r="S26" s="306"/>
      <c r="T26" s="299" t="s">
        <v>459</v>
      </c>
      <c r="U26" s="306"/>
      <c r="V26" s="306"/>
      <c r="W26" s="307"/>
      <c r="X26" s="355" t="s">
        <v>460</v>
      </c>
      <c r="Y26" s="383">
        <v>2.199</v>
      </c>
      <c r="Z26" s="352">
        <f t="shared" si="3"/>
        <v>2462.88</v>
      </c>
      <c r="AA26" s="352">
        <f t="shared" si="4"/>
        <v>19087.32</v>
      </c>
      <c r="AB26" s="85"/>
      <c r="AC26" s="306"/>
      <c r="AD26" s="306"/>
      <c r="AE26" s="306" t="str">
        <f>IFERROR(VLOOKUP(H26,名称!A:D,4,0),"")</f>
        <v>KIK</v>
      </c>
      <c r="AF26" s="309"/>
      <c r="AG26" s="309"/>
      <c r="AH26" s="310">
        <v>46221</v>
      </c>
      <c r="AI26" s="311" t="s">
        <v>420</v>
      </c>
      <c r="AJ26" s="311"/>
      <c r="AK26" s="311" t="s">
        <v>420</v>
      </c>
      <c r="AL26" s="370" t="s">
        <v>420</v>
      </c>
      <c r="AM26" s="311"/>
      <c r="AN26" s="311"/>
      <c r="AO26" s="308" t="e">
        <f t="shared" si="7"/>
        <v>#VALUE!</v>
      </c>
      <c r="AP26" s="308" t="e">
        <f t="shared" si="8"/>
        <v>#VALUE!</v>
      </c>
    </row>
    <row r="27" s="15" customFormat="1" hidden="1" customHeight="1" spans="1:42">
      <c r="A27" s="306">
        <v>46205</v>
      </c>
      <c r="B27" s="77" t="str">
        <f ca="1" t="shared" si="0"/>
        <v/>
      </c>
      <c r="C27" s="347" t="s">
        <v>237</v>
      </c>
      <c r="D27" s="299" t="s">
        <v>461</v>
      </c>
      <c r="E27" s="300" t="s">
        <v>428</v>
      </c>
      <c r="F27" s="307">
        <v>10131175</v>
      </c>
      <c r="G27" s="384" t="s">
        <v>335</v>
      </c>
      <c r="H27" s="385" t="s">
        <v>48</v>
      </c>
      <c r="I27" s="309" t="str">
        <f>IFERROR(VLOOKUP(H27,名称!A:C,2,0),"")</f>
        <v>布鲁伊家族杯子套装</v>
      </c>
      <c r="J27" s="349">
        <v>484</v>
      </c>
      <c r="K27" s="309">
        <v>4</v>
      </c>
      <c r="L27" s="308">
        <f t="shared" si="1"/>
        <v>121</v>
      </c>
      <c r="M27" s="354" t="s">
        <v>457</v>
      </c>
      <c r="N27" s="306">
        <v>46251</v>
      </c>
      <c r="O27" s="299" t="s">
        <v>454</v>
      </c>
      <c r="P27" s="306" t="s">
        <v>439</v>
      </c>
      <c r="Q27" s="385" t="s">
        <v>458</v>
      </c>
      <c r="R27" s="299" t="s">
        <v>455</v>
      </c>
      <c r="S27" s="306"/>
      <c r="T27" s="299" t="s">
        <v>459</v>
      </c>
      <c r="U27" s="306"/>
      <c r="V27" s="306"/>
      <c r="W27" s="307"/>
      <c r="X27" s="355" t="s">
        <v>460</v>
      </c>
      <c r="Y27" s="383">
        <v>2.199</v>
      </c>
      <c r="Z27" s="352">
        <f t="shared" si="3"/>
        <v>1064.32</v>
      </c>
      <c r="AA27" s="352">
        <f t="shared" si="4"/>
        <v>8248.48</v>
      </c>
      <c r="AB27" s="85"/>
      <c r="AC27" s="306"/>
      <c r="AD27" s="306"/>
      <c r="AE27" s="306" t="str">
        <f>IFERROR(VLOOKUP(H27,名称!A:D,4,0),"")</f>
        <v>KIK</v>
      </c>
      <c r="AF27" s="309"/>
      <c r="AG27" s="309"/>
      <c r="AH27" s="310">
        <v>46221</v>
      </c>
      <c r="AI27" s="311" t="s">
        <v>420</v>
      </c>
      <c r="AJ27" s="311"/>
      <c r="AK27" s="311" t="s">
        <v>420</v>
      </c>
      <c r="AL27" s="370" t="s">
        <v>420</v>
      </c>
      <c r="AM27" s="311"/>
      <c r="AN27" s="311"/>
      <c r="AO27" s="308" t="e">
        <f t="shared" si="7"/>
        <v>#VALUE!</v>
      </c>
      <c r="AP27" s="308" t="e">
        <f t="shared" si="8"/>
        <v>#VALUE!</v>
      </c>
    </row>
    <row r="28" s="15" customFormat="1" hidden="1" customHeight="1" spans="1:42">
      <c r="A28" s="306">
        <v>46179</v>
      </c>
      <c r="B28" s="77" t="str">
        <f ca="1" t="shared" si="0"/>
        <v/>
      </c>
      <c r="C28" s="347" t="s">
        <v>237</v>
      </c>
      <c r="D28" s="306" t="s">
        <v>427</v>
      </c>
      <c r="E28" s="347" t="s">
        <v>428</v>
      </c>
      <c r="F28" s="307">
        <v>10129074</v>
      </c>
      <c r="G28" s="348" t="s">
        <v>306</v>
      </c>
      <c r="H28" s="307" t="s">
        <v>88</v>
      </c>
      <c r="I28" s="309" t="str">
        <f>IFERROR(VLOOKUP(H28,名称!A:C,2,0),"")</f>
        <v>杯子</v>
      </c>
      <c r="J28" s="349">
        <v>10008</v>
      </c>
      <c r="K28" s="309">
        <v>3</v>
      </c>
      <c r="L28" s="308">
        <f t="shared" si="1"/>
        <v>3336</v>
      </c>
      <c r="M28" s="305">
        <v>46260</v>
      </c>
      <c r="N28" s="306">
        <f t="shared" ref="N28:N91" si="9">M28-2</f>
        <v>46258</v>
      </c>
      <c r="O28" s="91"/>
      <c r="P28" s="306" t="s">
        <v>439</v>
      </c>
      <c r="Q28" s="307" t="s">
        <v>430</v>
      </c>
      <c r="R28" s="350" t="s">
        <v>462</v>
      </c>
      <c r="S28" s="306"/>
      <c r="T28" s="306"/>
      <c r="U28" s="306"/>
      <c r="V28" s="306"/>
      <c r="W28" s="307"/>
      <c r="X28" s="308"/>
      <c r="Y28" s="383">
        <v>0.963</v>
      </c>
      <c r="Z28" s="352">
        <f t="shared" si="3"/>
        <v>9637.7</v>
      </c>
      <c r="AA28" s="352">
        <f t="shared" si="4"/>
        <v>74692.18</v>
      </c>
      <c r="AB28" s="85"/>
      <c r="AC28" s="306"/>
      <c r="AD28" s="306"/>
      <c r="AE28" s="306" t="str">
        <f>IFERROR(VLOOKUP(H28,名称!A:D,4,0),"")</f>
        <v>KIK</v>
      </c>
      <c r="AF28" s="309"/>
      <c r="AG28" s="309"/>
      <c r="AH28" s="311">
        <v>46184</v>
      </c>
      <c r="AI28" s="311" t="s">
        <v>420</v>
      </c>
      <c r="AJ28" s="386">
        <v>46220</v>
      </c>
      <c r="AK28" s="311" t="s">
        <v>420</v>
      </c>
      <c r="AL28" s="311" t="s">
        <v>420</v>
      </c>
      <c r="AM28" s="311"/>
      <c r="AN28" s="311"/>
      <c r="AO28" s="308">
        <f t="shared" si="7"/>
        <v>81</v>
      </c>
      <c r="AP28" s="308">
        <f t="shared" si="8"/>
        <v>76</v>
      </c>
    </row>
    <row r="29" s="15" customFormat="1" hidden="1" customHeight="1" spans="1:42">
      <c r="A29" s="306">
        <v>46179</v>
      </c>
      <c r="B29" s="77" t="str">
        <f ca="1" t="shared" si="0"/>
        <v/>
      </c>
      <c r="C29" s="347" t="s">
        <v>237</v>
      </c>
      <c r="D29" s="306" t="s">
        <v>427</v>
      </c>
      <c r="E29" s="347" t="s">
        <v>428</v>
      </c>
      <c r="F29" s="307">
        <v>10129047</v>
      </c>
      <c r="G29" s="348" t="s">
        <v>307</v>
      </c>
      <c r="H29" s="307" t="s">
        <v>115</v>
      </c>
      <c r="I29" s="309" t="str">
        <f>IFERROR(VLOOKUP(H29,名称!A:C,2,0),"")</f>
        <v>布鲁伊混装</v>
      </c>
      <c r="J29" s="353">
        <v>5000</v>
      </c>
      <c r="K29" s="309">
        <v>4</v>
      </c>
      <c r="L29" s="308">
        <f t="shared" si="1"/>
        <v>1250</v>
      </c>
      <c r="M29" s="305">
        <v>46260</v>
      </c>
      <c r="N29" s="306">
        <f t="shared" si="9"/>
        <v>46258</v>
      </c>
      <c r="O29" s="91"/>
      <c r="P29" s="306" t="s">
        <v>439</v>
      </c>
      <c r="Q29" s="307" t="s">
        <v>430</v>
      </c>
      <c r="R29" s="350" t="s">
        <v>463</v>
      </c>
      <c r="S29" s="306"/>
      <c r="T29" s="306"/>
      <c r="U29" s="306"/>
      <c r="V29" s="306"/>
      <c r="W29" s="307"/>
      <c r="X29" s="308"/>
      <c r="Y29" s="383">
        <v>2.204</v>
      </c>
      <c r="Z29" s="352">
        <f t="shared" si="3"/>
        <v>11020</v>
      </c>
      <c r="AA29" s="352">
        <f t="shared" si="4"/>
        <v>85405</v>
      </c>
      <c r="AB29" s="85"/>
      <c r="AC29" s="306"/>
      <c r="AD29" s="306"/>
      <c r="AE29" s="306"/>
      <c r="AF29" s="309"/>
      <c r="AG29" s="309"/>
      <c r="AH29" s="310">
        <v>46197</v>
      </c>
      <c r="AI29" s="311"/>
      <c r="AJ29" s="311"/>
      <c r="AK29" s="311"/>
      <c r="AL29" s="310">
        <v>46197</v>
      </c>
      <c r="AM29" s="311"/>
      <c r="AN29" s="311"/>
      <c r="AO29" s="308">
        <f t="shared" si="7"/>
        <v>81</v>
      </c>
      <c r="AP29" s="308">
        <f t="shared" si="8"/>
        <v>63</v>
      </c>
    </row>
    <row r="30" s="15" customFormat="1" hidden="1" customHeight="1" spans="1:42">
      <c r="A30" s="306">
        <v>46205</v>
      </c>
      <c r="B30" s="77" t="str">
        <f ca="1" t="shared" si="0"/>
        <v/>
      </c>
      <c r="C30" s="347" t="s">
        <v>237</v>
      </c>
      <c r="D30" s="299" t="s">
        <v>456</v>
      </c>
      <c r="E30" s="300" t="s">
        <v>428</v>
      </c>
      <c r="F30" s="307">
        <v>10131164</v>
      </c>
      <c r="G30" s="384" t="s">
        <v>328</v>
      </c>
      <c r="H30" s="385" t="s">
        <v>48</v>
      </c>
      <c r="I30" s="309" t="str">
        <f>IFERROR(VLOOKUP(H30,名称!A:C,2,0),"")</f>
        <v>布鲁伊家族杯子套装</v>
      </c>
      <c r="J30" s="349">
        <v>648</v>
      </c>
      <c r="K30" s="309">
        <v>4</v>
      </c>
      <c r="L30" s="308">
        <f t="shared" si="1"/>
        <v>162</v>
      </c>
      <c r="M30" s="305">
        <v>46260</v>
      </c>
      <c r="N30" s="306">
        <f t="shared" si="9"/>
        <v>46258</v>
      </c>
      <c r="O30" s="299" t="s">
        <v>464</v>
      </c>
      <c r="P30" s="306" t="s">
        <v>439</v>
      </c>
      <c r="Q30" s="385" t="s">
        <v>458</v>
      </c>
      <c r="R30" s="299" t="s">
        <v>455</v>
      </c>
      <c r="S30" s="306"/>
      <c r="T30" s="299" t="s">
        <v>459</v>
      </c>
      <c r="U30" s="306"/>
      <c r="V30" s="306"/>
      <c r="W30" s="307"/>
      <c r="X30" s="355"/>
      <c r="Y30" s="383">
        <v>2.199</v>
      </c>
      <c r="Z30" s="352">
        <f t="shared" si="3"/>
        <v>1424.95</v>
      </c>
      <c r="AA30" s="352">
        <f t="shared" si="4"/>
        <v>11043.36</v>
      </c>
      <c r="AB30" s="85"/>
      <c r="AC30" s="306"/>
      <c r="AD30" s="306"/>
      <c r="AE30" s="306" t="str">
        <f>IFERROR(VLOOKUP(H30,名称!A:D,4,0),"")</f>
        <v>KIK</v>
      </c>
      <c r="AF30" s="309"/>
      <c r="AG30" s="309"/>
      <c r="AH30" s="310">
        <v>46221</v>
      </c>
      <c r="AI30" s="311" t="s">
        <v>420</v>
      </c>
      <c r="AJ30" s="311"/>
      <c r="AK30" s="311" t="s">
        <v>420</v>
      </c>
      <c r="AL30" s="370" t="s">
        <v>420</v>
      </c>
      <c r="AM30" s="311"/>
      <c r="AN30" s="311"/>
      <c r="AO30" s="308">
        <f t="shared" si="7"/>
        <v>55</v>
      </c>
      <c r="AP30" s="308">
        <f t="shared" si="8"/>
        <v>39</v>
      </c>
    </row>
    <row r="31" s="15" customFormat="1" hidden="1" customHeight="1" spans="1:42">
      <c r="A31" s="306">
        <v>46205</v>
      </c>
      <c r="B31" s="77" t="str">
        <f ca="1" t="shared" si="0"/>
        <v/>
      </c>
      <c r="C31" s="347" t="s">
        <v>237</v>
      </c>
      <c r="D31" s="299" t="s">
        <v>456</v>
      </c>
      <c r="E31" s="300" t="s">
        <v>428</v>
      </c>
      <c r="F31" s="307">
        <v>10131166</v>
      </c>
      <c r="G31" s="384" t="s">
        <v>329</v>
      </c>
      <c r="H31" s="385" t="s">
        <v>48</v>
      </c>
      <c r="I31" s="309" t="str">
        <f>IFERROR(VLOOKUP(H31,名称!A:C,2,0),"")</f>
        <v>布鲁伊家族杯子套装</v>
      </c>
      <c r="J31" s="349">
        <v>2288</v>
      </c>
      <c r="K31" s="309">
        <v>4</v>
      </c>
      <c r="L31" s="308">
        <f t="shared" si="1"/>
        <v>572</v>
      </c>
      <c r="M31" s="305">
        <v>46260</v>
      </c>
      <c r="N31" s="306">
        <f t="shared" si="9"/>
        <v>46258</v>
      </c>
      <c r="O31" s="299" t="s">
        <v>464</v>
      </c>
      <c r="P31" s="306" t="s">
        <v>439</v>
      </c>
      <c r="Q31" s="385" t="s">
        <v>458</v>
      </c>
      <c r="R31" s="299" t="s">
        <v>455</v>
      </c>
      <c r="S31" s="306"/>
      <c r="T31" s="299" t="s">
        <v>459</v>
      </c>
      <c r="U31" s="306"/>
      <c r="V31" s="306"/>
      <c r="W31" s="307"/>
      <c r="X31" s="355"/>
      <c r="Y31" s="383">
        <v>2.199</v>
      </c>
      <c r="Z31" s="352">
        <f t="shared" si="3"/>
        <v>5031.31</v>
      </c>
      <c r="AA31" s="352">
        <f t="shared" si="4"/>
        <v>38992.65</v>
      </c>
      <c r="AB31" s="85"/>
      <c r="AC31" s="306"/>
      <c r="AD31" s="306"/>
      <c r="AE31" s="306" t="str">
        <f>IFERROR(VLOOKUP(H31,名称!A:D,4,0),"")</f>
        <v>KIK</v>
      </c>
      <c r="AF31" s="309"/>
      <c r="AG31" s="309"/>
      <c r="AH31" s="310">
        <v>46221</v>
      </c>
      <c r="AI31" s="311" t="s">
        <v>420</v>
      </c>
      <c r="AJ31" s="311"/>
      <c r="AK31" s="311" t="s">
        <v>420</v>
      </c>
      <c r="AL31" s="370" t="s">
        <v>420</v>
      </c>
      <c r="AM31" s="311"/>
      <c r="AN31" s="311"/>
      <c r="AO31" s="308">
        <f t="shared" si="7"/>
        <v>55</v>
      </c>
      <c r="AP31" s="308">
        <f t="shared" si="8"/>
        <v>39</v>
      </c>
    </row>
    <row r="32" s="15" customFormat="1" hidden="1" customHeight="1" spans="1:42">
      <c r="A32" s="306">
        <v>46205</v>
      </c>
      <c r="B32" s="77" t="str">
        <f ca="1" t="shared" si="0"/>
        <v/>
      </c>
      <c r="C32" s="347" t="s">
        <v>237</v>
      </c>
      <c r="D32" s="299" t="s">
        <v>456</v>
      </c>
      <c r="E32" s="300" t="s">
        <v>428</v>
      </c>
      <c r="F32" s="307">
        <v>10131161</v>
      </c>
      <c r="G32" s="384" t="s">
        <v>326</v>
      </c>
      <c r="H32" s="385" t="s">
        <v>48</v>
      </c>
      <c r="I32" s="309" t="str">
        <f>IFERROR(VLOOKUP(H32,名称!A:C,2,0),"")</f>
        <v>布鲁伊家族杯子套装</v>
      </c>
      <c r="J32" s="349">
        <v>1232</v>
      </c>
      <c r="K32" s="309">
        <v>4</v>
      </c>
      <c r="L32" s="308">
        <f t="shared" si="1"/>
        <v>308</v>
      </c>
      <c r="M32" s="305">
        <v>46260</v>
      </c>
      <c r="N32" s="306">
        <f t="shared" si="9"/>
        <v>46258</v>
      </c>
      <c r="O32" s="299" t="s">
        <v>464</v>
      </c>
      <c r="P32" s="306" t="s">
        <v>439</v>
      </c>
      <c r="Q32" s="385" t="s">
        <v>458</v>
      </c>
      <c r="R32" s="299" t="s">
        <v>455</v>
      </c>
      <c r="S32" s="306"/>
      <c r="T32" s="299" t="s">
        <v>459</v>
      </c>
      <c r="U32" s="306"/>
      <c r="V32" s="306"/>
      <c r="W32" s="307"/>
      <c r="X32" s="355"/>
      <c r="Y32" s="383">
        <v>2.199</v>
      </c>
      <c r="Z32" s="352">
        <f t="shared" si="3"/>
        <v>2709.17</v>
      </c>
      <c r="AA32" s="352">
        <f t="shared" si="4"/>
        <v>20996.07</v>
      </c>
      <c r="AB32" s="85"/>
      <c r="AC32" s="306"/>
      <c r="AD32" s="306"/>
      <c r="AE32" s="306" t="str">
        <f>IFERROR(VLOOKUP(H32,名称!A:D,4,0),"")</f>
        <v>KIK</v>
      </c>
      <c r="AF32" s="309"/>
      <c r="AG32" s="309"/>
      <c r="AH32" s="310">
        <v>46221</v>
      </c>
      <c r="AI32" s="311" t="s">
        <v>420</v>
      </c>
      <c r="AJ32" s="311"/>
      <c r="AK32" s="311" t="s">
        <v>420</v>
      </c>
      <c r="AL32" s="370" t="s">
        <v>420</v>
      </c>
      <c r="AM32" s="311"/>
      <c r="AN32" s="311"/>
      <c r="AO32" s="308">
        <f t="shared" si="7"/>
        <v>55</v>
      </c>
      <c r="AP32" s="308">
        <f t="shared" si="8"/>
        <v>39</v>
      </c>
    </row>
    <row r="33" s="15" customFormat="1" hidden="1" customHeight="1" spans="1:43">
      <c r="A33" s="306">
        <v>46205</v>
      </c>
      <c r="B33" s="77" t="str">
        <f ca="1" t="shared" si="0"/>
        <v/>
      </c>
      <c r="C33" s="347" t="s">
        <v>237</v>
      </c>
      <c r="D33" s="299" t="s">
        <v>456</v>
      </c>
      <c r="E33" s="300" t="s">
        <v>428</v>
      </c>
      <c r="F33" s="307">
        <v>10131163</v>
      </c>
      <c r="G33" s="384" t="s">
        <v>327</v>
      </c>
      <c r="H33" s="385" t="s">
        <v>48</v>
      </c>
      <c r="I33" s="309" t="str">
        <f>IFERROR(VLOOKUP(H33,名称!A:C,2,0),"")</f>
        <v>布鲁伊家族杯子套装</v>
      </c>
      <c r="J33" s="349">
        <v>784</v>
      </c>
      <c r="K33" s="309">
        <v>4</v>
      </c>
      <c r="L33" s="308">
        <f t="shared" si="1"/>
        <v>196</v>
      </c>
      <c r="M33" s="305">
        <v>46260</v>
      </c>
      <c r="N33" s="306">
        <f t="shared" si="9"/>
        <v>46258</v>
      </c>
      <c r="O33" s="299" t="s">
        <v>464</v>
      </c>
      <c r="P33" s="306" t="s">
        <v>439</v>
      </c>
      <c r="Q33" s="385" t="s">
        <v>458</v>
      </c>
      <c r="R33" s="299" t="s">
        <v>455</v>
      </c>
      <c r="S33" s="306"/>
      <c r="T33" s="299" t="s">
        <v>459</v>
      </c>
      <c r="U33" s="306"/>
      <c r="V33" s="306"/>
      <c r="W33" s="307"/>
      <c r="X33" s="355"/>
      <c r="Y33" s="383">
        <v>2.199</v>
      </c>
      <c r="Z33" s="352">
        <f t="shared" si="3"/>
        <v>1724.02</v>
      </c>
      <c r="AA33" s="352">
        <f t="shared" si="4"/>
        <v>13361.16</v>
      </c>
      <c r="AB33" s="85"/>
      <c r="AC33" s="306"/>
      <c r="AD33" s="306"/>
      <c r="AE33" s="306" t="str">
        <f>IFERROR(VLOOKUP(H33,名称!A:D,4,0),"")</f>
        <v>KIK</v>
      </c>
      <c r="AF33" s="309"/>
      <c r="AG33" s="309"/>
      <c r="AH33" s="310">
        <v>46221</v>
      </c>
      <c r="AI33" s="311" t="s">
        <v>420</v>
      </c>
      <c r="AJ33" s="311"/>
      <c r="AK33" s="311" t="s">
        <v>420</v>
      </c>
      <c r="AL33" s="370" t="s">
        <v>420</v>
      </c>
      <c r="AM33" s="311"/>
      <c r="AN33" s="311"/>
      <c r="AO33" s="308">
        <f t="shared" si="7"/>
        <v>55</v>
      </c>
      <c r="AP33" s="308">
        <f t="shared" si="8"/>
        <v>39</v>
      </c>
    </row>
    <row r="34" s="317" customFormat="1" hidden="1" customHeight="1" spans="1:43">
      <c r="A34" s="306">
        <v>46176</v>
      </c>
      <c r="B34" s="77" t="str">
        <f ca="1" t="shared" si="0"/>
        <v/>
      </c>
      <c r="C34" s="347" t="s">
        <v>242</v>
      </c>
      <c r="D34" s="306" t="s">
        <v>465</v>
      </c>
      <c r="E34" s="347" t="s">
        <v>466</v>
      </c>
      <c r="F34" s="307">
        <v>10128185</v>
      </c>
      <c r="G34" s="348">
        <v>2.02605220049902e+19</v>
      </c>
      <c r="H34" s="307" t="s">
        <v>130</v>
      </c>
      <c r="I34" s="309" t="str">
        <f>IFERROR(VLOOKUP(H34,名称!A:C,2,0),"")</f>
        <v>管道马里奥</v>
      </c>
      <c r="J34" s="353">
        <v>1500</v>
      </c>
      <c r="K34" s="309">
        <v>4</v>
      </c>
      <c r="L34" s="308">
        <f t="shared" si="1"/>
        <v>375</v>
      </c>
      <c r="M34" s="305">
        <v>46265</v>
      </c>
      <c r="N34" s="306">
        <f t="shared" si="9"/>
        <v>46263</v>
      </c>
      <c r="O34" s="77" t="s">
        <v>467</v>
      </c>
      <c r="P34" s="299" t="s">
        <v>468</v>
      </c>
      <c r="Q34" s="385" t="s">
        <v>469</v>
      </c>
      <c r="R34" s="350" t="s">
        <v>470</v>
      </c>
      <c r="S34" s="306"/>
      <c r="T34" s="306"/>
      <c r="U34" s="306"/>
      <c r="V34" s="306"/>
      <c r="W34" s="307"/>
      <c r="X34" s="355" t="s">
        <v>471</v>
      </c>
      <c r="Y34" s="383">
        <v>3.703</v>
      </c>
      <c r="Z34" s="352">
        <f t="shared" si="3"/>
        <v>5554.5</v>
      </c>
      <c r="AA34" s="352">
        <f t="shared" si="4"/>
        <v>43047.38</v>
      </c>
      <c r="AB34" s="85"/>
      <c r="AC34" s="306"/>
      <c r="AD34" s="306"/>
      <c r="AE34" s="306" t="str">
        <f>IFERROR(VLOOKUP(H34,名称!A:D,4,0),"")</f>
        <v>KIK</v>
      </c>
      <c r="AF34" s="309"/>
      <c r="AG34" s="309"/>
      <c r="AH34" s="310">
        <v>46212</v>
      </c>
      <c r="AI34" s="311" t="s">
        <v>420</v>
      </c>
      <c r="AJ34" s="310" t="s">
        <v>472</v>
      </c>
      <c r="AK34" s="311" t="s">
        <v>420</v>
      </c>
      <c r="AL34" s="311" t="s">
        <v>420</v>
      </c>
      <c r="AM34" s="311"/>
      <c r="AN34" s="311">
        <v>46219</v>
      </c>
      <c r="AO34" s="308">
        <f t="shared" si="7"/>
        <v>89</v>
      </c>
      <c r="AP34" s="308">
        <f t="shared" si="8"/>
        <v>53</v>
      </c>
      <c r="AQ34" s="387"/>
    </row>
    <row r="35" s="245" customFormat="1" hidden="1" customHeight="1" spans="1:43">
      <c r="A35" s="306">
        <v>46176</v>
      </c>
      <c r="B35" s="77" t="str">
        <f ca="1" t="shared" si="0"/>
        <v/>
      </c>
      <c r="C35" s="347" t="s">
        <v>242</v>
      </c>
      <c r="D35" s="306" t="s">
        <v>465</v>
      </c>
      <c r="E35" s="347" t="s">
        <v>466</v>
      </c>
      <c r="F35" s="307">
        <v>10128185</v>
      </c>
      <c r="G35" s="348">
        <v>2.02605220049902e+19</v>
      </c>
      <c r="H35" s="307" t="s">
        <v>130</v>
      </c>
      <c r="I35" s="309" t="str">
        <f>IFERROR(VLOOKUP(H35,名称!A:C,2,0),"")</f>
        <v>管道马里奥</v>
      </c>
      <c r="J35" s="353">
        <v>4500</v>
      </c>
      <c r="K35" s="309">
        <v>4</v>
      </c>
      <c r="L35" s="308">
        <f t="shared" si="1"/>
        <v>1125</v>
      </c>
      <c r="M35" s="305">
        <v>46265</v>
      </c>
      <c r="N35" s="306">
        <f t="shared" si="9"/>
        <v>46263</v>
      </c>
      <c r="O35" s="77" t="s">
        <v>467</v>
      </c>
      <c r="P35" s="299" t="s">
        <v>468</v>
      </c>
      <c r="Q35" s="385" t="s">
        <v>469</v>
      </c>
      <c r="R35" s="350" t="s">
        <v>470</v>
      </c>
      <c r="S35" s="306"/>
      <c r="T35" s="306"/>
      <c r="U35" s="306"/>
      <c r="V35" s="306"/>
      <c r="W35" s="307"/>
      <c r="X35" s="355" t="s">
        <v>471</v>
      </c>
      <c r="Y35" s="383">
        <v>3.703</v>
      </c>
      <c r="Z35" s="352">
        <f t="shared" si="3"/>
        <v>16663.5</v>
      </c>
      <c r="AA35" s="352">
        <f t="shared" si="4"/>
        <v>129142.13</v>
      </c>
      <c r="AB35" s="85"/>
      <c r="AC35" s="306"/>
      <c r="AD35" s="306"/>
      <c r="AE35" s="306" t="str">
        <f>IFERROR(VLOOKUP(H35,名称!A:D,4,0),"")</f>
        <v>KIK</v>
      </c>
      <c r="AF35" s="309"/>
      <c r="AG35" s="309"/>
      <c r="AH35" s="310">
        <v>46212</v>
      </c>
      <c r="AI35" s="311" t="s">
        <v>420</v>
      </c>
      <c r="AJ35" s="310" t="s">
        <v>472</v>
      </c>
      <c r="AK35" s="311" t="s">
        <v>420</v>
      </c>
      <c r="AL35" s="311" t="s">
        <v>420</v>
      </c>
      <c r="AM35" s="311"/>
      <c r="AN35" s="311">
        <v>46219</v>
      </c>
      <c r="AO35" s="308">
        <f t="shared" si="7"/>
        <v>89</v>
      </c>
      <c r="AP35" s="308">
        <f t="shared" si="8"/>
        <v>53</v>
      </c>
    </row>
    <row r="36" s="15" customFormat="1" hidden="1" customHeight="1" spans="1:43">
      <c r="A36" s="306">
        <v>46136</v>
      </c>
      <c r="B36" s="77" t="str">
        <f ca="1" t="shared" si="0"/>
        <v/>
      </c>
      <c r="C36" s="347" t="s">
        <v>236</v>
      </c>
      <c r="D36" s="306" t="s">
        <v>442</v>
      </c>
      <c r="E36" s="347" t="s">
        <v>443</v>
      </c>
      <c r="F36" s="348">
        <v>10125937</v>
      </c>
      <c r="G36" s="348">
        <v>20219073</v>
      </c>
      <c r="H36" s="307" t="s">
        <v>97</v>
      </c>
      <c r="I36" s="309" t="str">
        <f>IFERROR(VLOOKUP(H36,名称!A:C,2,0),"")</f>
        <v>管道马里奥</v>
      </c>
      <c r="J36" s="349">
        <v>3000</v>
      </c>
      <c r="K36" s="309">
        <f>IFERROR(VLOOKUP(H36,名称!A:D,3,0),"")</f>
        <v>4</v>
      </c>
      <c r="L36" s="308">
        <f t="shared" si="1"/>
        <v>750</v>
      </c>
      <c r="M36" s="306">
        <v>46267</v>
      </c>
      <c r="N36" s="306">
        <f t="shared" si="9"/>
        <v>46265</v>
      </c>
      <c r="O36" s="77" t="s">
        <v>467</v>
      </c>
      <c r="P36" s="306" t="s">
        <v>473</v>
      </c>
      <c r="Q36" s="307" t="s">
        <v>430</v>
      </c>
      <c r="R36" s="350" t="s">
        <v>431</v>
      </c>
      <c r="S36" s="306"/>
      <c r="T36" s="306"/>
      <c r="U36" s="306"/>
      <c r="V36" s="306"/>
      <c r="W36" s="307"/>
      <c r="X36" s="308"/>
      <c r="Y36" s="351">
        <v>3.43</v>
      </c>
      <c r="Z36" s="352">
        <f t="shared" si="3"/>
        <v>10290</v>
      </c>
      <c r="AA36" s="352">
        <f t="shared" si="4"/>
        <v>79747.5</v>
      </c>
      <c r="AB36" s="85"/>
      <c r="AC36" s="306"/>
      <c r="AD36" s="306"/>
      <c r="AE36" s="306" t="str">
        <f>IFERROR(VLOOKUP(H36,名称!A:D,4,0),"")</f>
        <v>KIK</v>
      </c>
      <c r="AF36" s="309"/>
      <c r="AG36" s="309"/>
      <c r="AH36" s="311">
        <v>46163</v>
      </c>
      <c r="AI36" s="311" t="s">
        <v>420</v>
      </c>
      <c r="AJ36" s="311"/>
      <c r="AK36" s="311" t="s">
        <v>420</v>
      </c>
      <c r="AL36" s="311" t="s">
        <v>420</v>
      </c>
      <c r="AM36" s="311"/>
      <c r="AN36" s="311">
        <v>46163</v>
      </c>
      <c r="AO36" s="308">
        <f t="shared" si="7"/>
        <v>131</v>
      </c>
      <c r="AP36" s="308">
        <f t="shared" si="8"/>
        <v>104</v>
      </c>
    </row>
    <row r="37" s="15" customFormat="1" hidden="1" customHeight="1" spans="1:43">
      <c r="A37" s="306">
        <v>46136</v>
      </c>
      <c r="B37" s="77" t="str">
        <f ca="1" t="shared" si="0"/>
        <v/>
      </c>
      <c r="C37" s="347" t="s">
        <v>236</v>
      </c>
      <c r="D37" s="306" t="s">
        <v>442</v>
      </c>
      <c r="E37" s="347" t="s">
        <v>443</v>
      </c>
      <c r="F37" s="348">
        <v>10125937</v>
      </c>
      <c r="G37" s="348">
        <v>20219073</v>
      </c>
      <c r="H37" s="307" t="s">
        <v>95</v>
      </c>
      <c r="I37" s="309" t="str">
        <f>IFERROR(VLOOKUP(H37,名称!A:C,2,0),"")</f>
        <v>宝箱马里奥</v>
      </c>
      <c r="J37" s="349">
        <v>1500</v>
      </c>
      <c r="K37" s="309">
        <f>IFERROR(VLOOKUP(H37,名称!A:D,3,0),"")</f>
        <v>4</v>
      </c>
      <c r="L37" s="308">
        <f t="shared" si="1"/>
        <v>375</v>
      </c>
      <c r="M37" s="306">
        <v>46267</v>
      </c>
      <c r="N37" s="306">
        <f t="shared" si="9"/>
        <v>46265</v>
      </c>
      <c r="O37" s="77" t="s">
        <v>467</v>
      </c>
      <c r="P37" s="306" t="s">
        <v>473</v>
      </c>
      <c r="Q37" s="307" t="s">
        <v>430</v>
      </c>
      <c r="R37" s="350" t="s">
        <v>431</v>
      </c>
      <c r="S37" s="306"/>
      <c r="T37" s="306"/>
      <c r="U37" s="306"/>
      <c r="V37" s="306"/>
      <c r="W37" s="307"/>
      <c r="X37" s="308"/>
      <c r="Y37" s="351">
        <v>2.25</v>
      </c>
      <c r="Z37" s="352">
        <f t="shared" si="3"/>
        <v>3375</v>
      </c>
      <c r="AA37" s="352">
        <f t="shared" si="4"/>
        <v>26156.25</v>
      </c>
      <c r="AB37" s="85"/>
      <c r="AC37" s="306"/>
      <c r="AD37" s="306"/>
      <c r="AE37" s="306" t="str">
        <f>IFERROR(VLOOKUP(H37,名称!A:D,4,0),"")</f>
        <v>KIK</v>
      </c>
      <c r="AF37" s="309"/>
      <c r="AG37" s="309"/>
      <c r="AH37" s="311" t="s">
        <v>474</v>
      </c>
      <c r="AI37" s="311"/>
      <c r="AJ37" s="311"/>
      <c r="AK37" s="311" t="s">
        <v>420</v>
      </c>
      <c r="AL37" s="311" t="s">
        <v>420</v>
      </c>
      <c r="AM37" s="311"/>
      <c r="AN37" s="311" t="s">
        <v>475</v>
      </c>
      <c r="AO37" s="308">
        <f t="shared" si="7"/>
        <v>131</v>
      </c>
      <c r="AP37" s="308" t="e">
        <f t="shared" si="8"/>
        <v>#VALUE!</v>
      </c>
    </row>
    <row r="38" s="245" customFormat="1" hidden="1" customHeight="1" spans="1:43">
      <c r="A38" s="306">
        <v>46136</v>
      </c>
      <c r="B38" s="77" t="str">
        <f ca="1" t="shared" si="0"/>
        <v/>
      </c>
      <c r="C38" s="347" t="s">
        <v>236</v>
      </c>
      <c r="D38" s="306" t="s">
        <v>442</v>
      </c>
      <c r="E38" s="347" t="s">
        <v>443</v>
      </c>
      <c r="F38" s="348">
        <v>10125937</v>
      </c>
      <c r="G38" s="348">
        <v>20219073</v>
      </c>
      <c r="H38" s="307" t="s">
        <v>182</v>
      </c>
      <c r="I38" s="309" t="str">
        <f>IFERROR(VLOOKUP(H38,名称!A:C,2,0),"")</f>
        <v>马里奥能量蘑菇吸塑混装</v>
      </c>
      <c r="J38" s="349">
        <v>3000</v>
      </c>
      <c r="K38" s="309">
        <f>IFERROR(VLOOKUP(H38,名称!A:D,3,0),"")</f>
        <v>6</v>
      </c>
      <c r="L38" s="308">
        <f t="shared" si="1"/>
        <v>500</v>
      </c>
      <c r="M38" s="306">
        <v>46267</v>
      </c>
      <c r="N38" s="306">
        <f t="shared" si="9"/>
        <v>46265</v>
      </c>
      <c r="O38" s="77" t="s">
        <v>467</v>
      </c>
      <c r="P38" s="306" t="s">
        <v>473</v>
      </c>
      <c r="Q38" s="307" t="s">
        <v>430</v>
      </c>
      <c r="R38" s="350" t="s">
        <v>476</v>
      </c>
      <c r="S38" s="306"/>
      <c r="T38" s="306"/>
      <c r="U38" s="306"/>
      <c r="V38" s="306"/>
      <c r="W38" s="307"/>
      <c r="X38" s="308" t="s">
        <v>477</v>
      </c>
      <c r="Y38" s="351">
        <v>1.405</v>
      </c>
      <c r="Z38" s="352">
        <f t="shared" si="3"/>
        <v>4215</v>
      </c>
      <c r="AA38" s="352">
        <f t="shared" si="4"/>
        <v>32666.25</v>
      </c>
      <c r="AB38" s="85"/>
      <c r="AC38" s="306"/>
      <c r="AD38" s="306"/>
      <c r="AE38" s="306" t="str">
        <f>IFERROR(VLOOKUP(H38,名称!A:D,4,0),"")</f>
        <v>KIK</v>
      </c>
      <c r="AF38" s="309"/>
      <c r="AG38" s="309"/>
      <c r="AH38" s="311">
        <v>46134</v>
      </c>
      <c r="AI38" s="311"/>
      <c r="AJ38" s="311"/>
      <c r="AK38" s="311" t="s">
        <v>420</v>
      </c>
      <c r="AL38" s="311" t="s">
        <v>420</v>
      </c>
      <c r="AM38" s="311"/>
      <c r="AN38" s="311"/>
      <c r="AO38" s="308">
        <f t="shared" si="7"/>
        <v>131</v>
      </c>
      <c r="AP38" s="308">
        <f t="shared" si="8"/>
        <v>133</v>
      </c>
    </row>
    <row r="39" s="15" customFormat="1" hidden="1" customHeight="1" spans="1:43">
      <c r="A39" s="306">
        <v>46170</v>
      </c>
      <c r="B39" s="77" t="str">
        <f ca="1" t="shared" si="0"/>
        <v/>
      </c>
      <c r="C39" s="347" t="s">
        <v>237</v>
      </c>
      <c r="D39" s="306" t="s">
        <v>427</v>
      </c>
      <c r="E39" s="347" t="s">
        <v>428</v>
      </c>
      <c r="F39" s="307">
        <v>10128336</v>
      </c>
      <c r="G39" s="348" t="s">
        <v>303</v>
      </c>
      <c r="H39" s="307" t="s">
        <v>183</v>
      </c>
      <c r="I39" s="309" t="str">
        <f>IFERROR(VLOOKUP(H39,名称!A:C,2,0),"")</f>
        <v>宝箱马里奥</v>
      </c>
      <c r="J39" s="353">
        <v>5000</v>
      </c>
      <c r="K39" s="309">
        <v>4</v>
      </c>
      <c r="L39" s="308">
        <f t="shared" si="1"/>
        <v>1250</v>
      </c>
      <c r="M39" s="305">
        <v>46267</v>
      </c>
      <c r="N39" s="306">
        <f t="shared" si="9"/>
        <v>46265</v>
      </c>
      <c r="O39" s="77" t="s">
        <v>467</v>
      </c>
      <c r="P39" s="306" t="s">
        <v>439</v>
      </c>
      <c r="Q39" s="307" t="s">
        <v>430</v>
      </c>
      <c r="R39" s="350" t="s">
        <v>434</v>
      </c>
      <c r="S39" s="306"/>
      <c r="T39" s="306"/>
      <c r="U39" s="306"/>
      <c r="V39" s="306"/>
      <c r="W39" s="307"/>
      <c r="X39" s="308"/>
      <c r="Y39" s="351">
        <v>2.15</v>
      </c>
      <c r="Z39" s="352">
        <f t="shared" si="3"/>
        <v>10750</v>
      </c>
      <c r="AA39" s="352">
        <f t="shared" si="4"/>
        <v>83312.5</v>
      </c>
      <c r="AB39" s="85"/>
      <c r="AC39" s="306"/>
      <c r="AD39" s="306"/>
      <c r="AE39" s="306" t="str">
        <f>IFERROR(VLOOKUP(H39,名称!A:D,4,0),"")</f>
        <v>KIK</v>
      </c>
      <c r="AF39" s="309"/>
      <c r="AG39" s="309"/>
      <c r="AH39" s="311">
        <v>46189</v>
      </c>
      <c r="AI39" s="311"/>
      <c r="AJ39" s="311"/>
      <c r="AK39" s="311" t="s">
        <v>420</v>
      </c>
      <c r="AL39" s="311" t="s">
        <v>420</v>
      </c>
      <c r="AM39" s="311"/>
      <c r="AN39" s="311"/>
      <c r="AO39" s="308">
        <f t="shared" si="7"/>
        <v>97</v>
      </c>
      <c r="AP39" s="308">
        <f t="shared" si="8"/>
        <v>78</v>
      </c>
    </row>
    <row r="40" s="15" customFormat="1" hidden="1" customHeight="1" spans="1:43">
      <c r="A40" s="306">
        <v>46170</v>
      </c>
      <c r="B40" s="77" t="str">
        <f ca="1" t="shared" si="0"/>
        <v/>
      </c>
      <c r="C40" s="347" t="s">
        <v>237</v>
      </c>
      <c r="D40" s="306" t="s">
        <v>427</v>
      </c>
      <c r="E40" s="347" t="s">
        <v>428</v>
      </c>
      <c r="F40" s="307">
        <v>10128336</v>
      </c>
      <c r="G40" s="348" t="s">
        <v>303</v>
      </c>
      <c r="H40" s="307" t="s">
        <v>142</v>
      </c>
      <c r="I40" s="309" t="str">
        <f>IFERROR(VLOOKUP(H40,名称!A:C,2,0),"")</f>
        <v>浮水马里奥</v>
      </c>
      <c r="J40" s="353">
        <v>5001</v>
      </c>
      <c r="K40" s="309">
        <v>3</v>
      </c>
      <c r="L40" s="308">
        <f t="shared" si="1"/>
        <v>1667</v>
      </c>
      <c r="M40" s="305">
        <v>46267</v>
      </c>
      <c r="N40" s="306">
        <f t="shared" si="9"/>
        <v>46265</v>
      </c>
      <c r="O40" s="77" t="s">
        <v>467</v>
      </c>
      <c r="P40" s="306" t="s">
        <v>473</v>
      </c>
      <c r="Q40" s="307" t="s">
        <v>430</v>
      </c>
      <c r="R40" s="350" t="s">
        <v>478</v>
      </c>
      <c r="S40" s="306"/>
      <c r="T40" s="306"/>
      <c r="U40" s="306"/>
      <c r="V40" s="306"/>
      <c r="W40" s="307"/>
      <c r="X40" s="308"/>
      <c r="Y40" s="383">
        <v>3.182</v>
      </c>
      <c r="Z40" s="352">
        <f t="shared" si="3"/>
        <v>15913.18</v>
      </c>
      <c r="AA40" s="352">
        <f t="shared" si="4"/>
        <v>123327.15</v>
      </c>
      <c r="AB40" s="85"/>
      <c r="AC40" s="306"/>
      <c r="AD40" s="306"/>
      <c r="AE40" s="306" t="str">
        <f>IFERROR(VLOOKUP(H40,名称!A:D,4,0),"")</f>
        <v>KIK</v>
      </c>
      <c r="AF40" s="309"/>
      <c r="AG40" s="309"/>
      <c r="AH40" s="310">
        <v>46197</v>
      </c>
      <c r="AI40" s="311">
        <v>46197</v>
      </c>
      <c r="AJ40" s="311"/>
      <c r="AK40" s="311" t="s">
        <v>420</v>
      </c>
      <c r="AL40" s="311" t="s">
        <v>479</v>
      </c>
      <c r="AM40" s="311"/>
      <c r="AN40" s="311"/>
      <c r="AO40" s="308">
        <f t="shared" si="7"/>
        <v>97</v>
      </c>
      <c r="AP40" s="308">
        <f t="shared" si="8"/>
        <v>70</v>
      </c>
    </row>
    <row r="41" s="15" customFormat="1" hidden="1" customHeight="1" spans="1:43">
      <c r="A41" s="306">
        <v>46170</v>
      </c>
      <c r="B41" s="77" t="str">
        <f ca="1" t="shared" si="0"/>
        <v/>
      </c>
      <c r="C41" s="347" t="s">
        <v>237</v>
      </c>
      <c r="D41" s="306" t="s">
        <v>427</v>
      </c>
      <c r="E41" s="347" t="s">
        <v>428</v>
      </c>
      <c r="F41" s="307">
        <v>10128336</v>
      </c>
      <c r="G41" s="348" t="s">
        <v>303</v>
      </c>
      <c r="H41" s="307" t="s">
        <v>159</v>
      </c>
      <c r="I41" s="309" t="str">
        <f>IFERROR(VLOOKUP(H41,名称!A:C,2,0),"")</f>
        <v>浮水马里奥</v>
      </c>
      <c r="J41" s="349">
        <v>2502</v>
      </c>
      <c r="K41" s="309">
        <v>3</v>
      </c>
      <c r="L41" s="308">
        <f t="shared" si="1"/>
        <v>834</v>
      </c>
      <c r="M41" s="305">
        <v>46267</v>
      </c>
      <c r="N41" s="306">
        <f t="shared" si="9"/>
        <v>46265</v>
      </c>
      <c r="O41" s="77" t="s">
        <v>467</v>
      </c>
      <c r="P41" s="306" t="s">
        <v>439</v>
      </c>
      <c r="Q41" s="307" t="s">
        <v>430</v>
      </c>
      <c r="R41" s="350" t="s">
        <v>436</v>
      </c>
      <c r="S41" s="306"/>
      <c r="T41" s="306"/>
      <c r="U41" s="306"/>
      <c r="V41" s="306"/>
      <c r="W41" s="307"/>
      <c r="X41" s="308"/>
      <c r="Y41" s="351">
        <v>2.925</v>
      </c>
      <c r="Z41" s="352">
        <f t="shared" si="3"/>
        <v>7318.35</v>
      </c>
      <c r="AA41" s="352">
        <f t="shared" si="4"/>
        <v>56717.21</v>
      </c>
      <c r="AB41" s="85"/>
      <c r="AC41" s="306"/>
      <c r="AD41" s="306"/>
      <c r="AE41" s="306" t="str">
        <f>IFERROR(VLOOKUP(H41,名称!A:D,4,0),"")</f>
        <v>KIK</v>
      </c>
      <c r="AF41" s="309"/>
      <c r="AG41" s="309"/>
      <c r="AH41" s="310">
        <v>46189</v>
      </c>
      <c r="AI41" s="311">
        <v>46197</v>
      </c>
      <c r="AJ41" s="311"/>
      <c r="AK41" s="311" t="s">
        <v>420</v>
      </c>
      <c r="AL41" s="311" t="s">
        <v>479</v>
      </c>
      <c r="AM41" s="311"/>
      <c r="AN41" s="311"/>
      <c r="AO41" s="308">
        <f t="shared" si="7"/>
        <v>97</v>
      </c>
      <c r="AP41" s="308">
        <f t="shared" si="8"/>
        <v>78</v>
      </c>
    </row>
    <row r="42" s="15" customFormat="1" hidden="1" customHeight="1" spans="1:43">
      <c r="A42" s="306">
        <v>46172</v>
      </c>
      <c r="B42" s="77" t="str">
        <f ca="1" t="shared" si="0"/>
        <v/>
      </c>
      <c r="C42" s="347" t="s">
        <v>235</v>
      </c>
      <c r="D42" s="306" t="s">
        <v>421</v>
      </c>
      <c r="E42" s="347" t="s">
        <v>428</v>
      </c>
      <c r="F42" s="307">
        <v>10128554</v>
      </c>
      <c r="G42" s="348">
        <v>4500032885</v>
      </c>
      <c r="H42" s="307" t="s">
        <v>57</v>
      </c>
      <c r="I42" s="309" t="str">
        <f>IFERROR(VLOOKUP(H42,名称!A:C,2,0),"")</f>
        <v>宾果沐浴玩具</v>
      </c>
      <c r="J42" s="349">
        <v>1500</v>
      </c>
      <c r="K42" s="309">
        <v>6</v>
      </c>
      <c r="L42" s="308">
        <f t="shared" si="1"/>
        <v>250</v>
      </c>
      <c r="M42" s="305">
        <v>46267</v>
      </c>
      <c r="N42" s="306">
        <f t="shared" si="9"/>
        <v>46265</v>
      </c>
      <c r="O42" s="77" t="s">
        <v>467</v>
      </c>
      <c r="P42" s="306" t="s">
        <v>473</v>
      </c>
      <c r="Q42" s="307" t="s">
        <v>424</v>
      </c>
      <c r="R42" s="350" t="s">
        <v>463</v>
      </c>
      <c r="S42" s="306"/>
      <c r="T42" s="306"/>
      <c r="U42" s="306"/>
      <c r="V42" s="306"/>
      <c r="W42" s="307"/>
      <c r="X42" s="308"/>
      <c r="Y42" s="383">
        <v>1.368</v>
      </c>
      <c r="Z42" s="352">
        <f t="shared" si="3"/>
        <v>2052</v>
      </c>
      <c r="AA42" s="352">
        <f t="shared" si="4"/>
        <v>15903</v>
      </c>
      <c r="AB42" s="388"/>
      <c r="AC42" s="306"/>
      <c r="AD42" s="306"/>
      <c r="AE42" s="306" t="str">
        <f>IFERROR(VLOOKUP(H42,名称!A:D,4,0),"")</f>
        <v>KIK</v>
      </c>
      <c r="AF42" s="309"/>
      <c r="AG42" s="309"/>
      <c r="AH42" s="311">
        <v>46189</v>
      </c>
      <c r="AI42" s="311"/>
      <c r="AJ42" s="311"/>
      <c r="AK42" s="311" t="s">
        <v>420</v>
      </c>
      <c r="AL42" s="311">
        <v>46189</v>
      </c>
      <c r="AM42" s="311"/>
      <c r="AN42" s="311"/>
      <c r="AO42" s="308">
        <f t="shared" si="7"/>
        <v>95</v>
      </c>
      <c r="AP42" s="308">
        <f t="shared" si="8"/>
        <v>78</v>
      </c>
    </row>
    <row r="43" s="15" customFormat="1" hidden="1" customHeight="1" spans="1:43">
      <c r="A43" s="306">
        <v>46191</v>
      </c>
      <c r="B43" s="77" t="str">
        <f ca="1" t="shared" si="0"/>
        <v/>
      </c>
      <c r="C43" s="347" t="s">
        <v>237</v>
      </c>
      <c r="D43" s="299" t="s">
        <v>427</v>
      </c>
      <c r="E43" s="300" t="s">
        <v>422</v>
      </c>
      <c r="F43" s="307">
        <v>10129450</v>
      </c>
      <c r="G43" s="384" t="s">
        <v>312</v>
      </c>
      <c r="H43" s="385" t="s">
        <v>115</v>
      </c>
      <c r="I43" s="309" t="str">
        <f>IFERROR(VLOOKUP(H43,名称!A:C,2,0),"")</f>
        <v>布鲁伊混装</v>
      </c>
      <c r="J43" s="349">
        <v>5000</v>
      </c>
      <c r="K43" s="309">
        <v>4</v>
      </c>
      <c r="L43" s="308">
        <f t="shared" si="1"/>
        <v>1250</v>
      </c>
      <c r="M43" s="306">
        <v>46267</v>
      </c>
      <c r="N43" s="306">
        <f t="shared" si="9"/>
        <v>46265</v>
      </c>
      <c r="O43" s="77" t="s">
        <v>467</v>
      </c>
      <c r="P43" s="354" t="s">
        <v>439</v>
      </c>
      <c r="Q43" s="307" t="s">
        <v>430</v>
      </c>
      <c r="R43" s="350" t="s">
        <v>463</v>
      </c>
      <c r="S43" s="306"/>
      <c r="T43" s="306"/>
      <c r="U43" s="306"/>
      <c r="V43" s="306"/>
      <c r="W43" s="307"/>
      <c r="X43" s="308"/>
      <c r="Y43" s="383">
        <v>2.204</v>
      </c>
      <c r="Z43" s="352">
        <f t="shared" si="3"/>
        <v>11020</v>
      </c>
      <c r="AA43" s="352">
        <f t="shared" si="4"/>
        <v>85405</v>
      </c>
      <c r="AB43" s="85"/>
      <c r="AC43" s="306"/>
      <c r="AD43" s="306"/>
      <c r="AE43" s="306" t="str">
        <f>IFERROR(VLOOKUP(H43,名称!A:D,4,0),"")</f>
        <v>KIK</v>
      </c>
      <c r="AF43" s="309"/>
      <c r="AG43" s="309"/>
      <c r="AH43" s="310">
        <v>46212</v>
      </c>
      <c r="AI43" s="311"/>
      <c r="AJ43" s="311"/>
      <c r="AK43" s="311" t="s">
        <v>420</v>
      </c>
      <c r="AL43" s="310">
        <v>46212</v>
      </c>
      <c r="AM43" s="311"/>
      <c r="AN43" s="311"/>
      <c r="AO43" s="308">
        <f t="shared" si="7"/>
        <v>76</v>
      </c>
      <c r="AP43" s="308">
        <f t="shared" si="8"/>
        <v>55</v>
      </c>
    </row>
    <row r="44" s="15" customFormat="1" hidden="1" customHeight="1" spans="1:43">
      <c r="A44" s="306">
        <v>46191</v>
      </c>
      <c r="B44" s="77" t="str">
        <f ca="1" t="shared" si="0"/>
        <v/>
      </c>
      <c r="C44" s="347" t="s">
        <v>237</v>
      </c>
      <c r="D44" s="299" t="s">
        <v>427</v>
      </c>
      <c r="E44" s="300" t="s">
        <v>428</v>
      </c>
      <c r="F44" s="307">
        <v>10129993</v>
      </c>
      <c r="G44" s="384" t="s">
        <v>313</v>
      </c>
      <c r="H44" s="385" t="s">
        <v>88</v>
      </c>
      <c r="I44" s="309" t="str">
        <f>IFERROR(VLOOKUP(H44,名称!A:C,2,0),"")</f>
        <v>杯子</v>
      </c>
      <c r="J44" s="349">
        <v>25002</v>
      </c>
      <c r="K44" s="309">
        <v>3</v>
      </c>
      <c r="L44" s="308">
        <f t="shared" si="1"/>
        <v>8334</v>
      </c>
      <c r="M44" s="306">
        <v>46267</v>
      </c>
      <c r="N44" s="306">
        <f t="shared" si="9"/>
        <v>46265</v>
      </c>
      <c r="O44" s="77" t="s">
        <v>467</v>
      </c>
      <c r="P44" s="354" t="s">
        <v>439</v>
      </c>
      <c r="Q44" s="307" t="s">
        <v>430</v>
      </c>
      <c r="R44" s="385" t="s">
        <v>480</v>
      </c>
      <c r="S44" s="306"/>
      <c r="T44" s="306"/>
      <c r="U44" s="306"/>
      <c r="V44" s="306"/>
      <c r="W44" s="307"/>
      <c r="X44" s="308"/>
      <c r="Y44" s="383">
        <v>0.963</v>
      </c>
      <c r="Z44" s="352">
        <f t="shared" si="3"/>
        <v>24076.93</v>
      </c>
      <c r="AA44" s="352">
        <f t="shared" si="4"/>
        <v>186596.21</v>
      </c>
      <c r="AB44" s="85"/>
      <c r="AC44" s="306"/>
      <c r="AD44" s="306"/>
      <c r="AE44" s="306" t="str">
        <f>IFERROR(VLOOKUP(H44,名称!A:D,4,0),"")</f>
        <v>KIK</v>
      </c>
      <c r="AF44" s="309"/>
      <c r="AG44" s="309"/>
      <c r="AH44" s="310">
        <v>46212</v>
      </c>
      <c r="AI44" s="310" t="s">
        <v>420</v>
      </c>
      <c r="AJ44" s="389">
        <v>46220</v>
      </c>
      <c r="AK44" s="311" t="s">
        <v>420</v>
      </c>
      <c r="AL44" s="311" t="s">
        <v>420</v>
      </c>
      <c r="AM44" s="311"/>
      <c r="AN44" s="311"/>
      <c r="AO44" s="308">
        <f t="shared" si="7"/>
        <v>76</v>
      </c>
      <c r="AP44" s="308">
        <f t="shared" si="8"/>
        <v>55</v>
      </c>
    </row>
    <row r="45" s="245" customFormat="1" hidden="1" customHeight="1" spans="1:43">
      <c r="A45" s="306">
        <v>46205</v>
      </c>
      <c r="B45" s="77" t="str">
        <f ca="1" t="shared" si="0"/>
        <v/>
      </c>
      <c r="C45" s="347" t="s">
        <v>237</v>
      </c>
      <c r="D45" s="299" t="s">
        <v>456</v>
      </c>
      <c r="E45" s="300" t="s">
        <v>428</v>
      </c>
      <c r="F45" s="307">
        <v>10131181</v>
      </c>
      <c r="G45" s="384" t="s">
        <v>319</v>
      </c>
      <c r="H45" s="385" t="s">
        <v>55</v>
      </c>
      <c r="I45" s="309" t="str">
        <f>IFERROR(VLOOKUP(H45,名称!A:C,2,0),"")</f>
        <v>布鲁伊沐浴玩具</v>
      </c>
      <c r="J45" s="349">
        <v>906</v>
      </c>
      <c r="K45" s="309">
        <v>6</v>
      </c>
      <c r="L45" s="308">
        <f t="shared" si="1"/>
        <v>151</v>
      </c>
      <c r="M45" s="305">
        <v>46267</v>
      </c>
      <c r="N45" s="306">
        <f t="shared" si="9"/>
        <v>46265</v>
      </c>
      <c r="O45" s="77" t="s">
        <v>467</v>
      </c>
      <c r="P45" s="299" t="s">
        <v>473</v>
      </c>
      <c r="Q45" s="385" t="s">
        <v>458</v>
      </c>
      <c r="R45" s="385" t="s">
        <v>463</v>
      </c>
      <c r="S45" s="306"/>
      <c r="T45" s="299" t="s">
        <v>459</v>
      </c>
      <c r="U45" s="306"/>
      <c r="V45" s="306"/>
      <c r="W45" s="307"/>
      <c r="X45" s="355" t="s">
        <v>481</v>
      </c>
      <c r="Y45" s="383">
        <v>1.413</v>
      </c>
      <c r="Z45" s="352">
        <f t="shared" si="3"/>
        <v>1280.18</v>
      </c>
      <c r="AA45" s="352">
        <f t="shared" si="4"/>
        <v>9921.4</v>
      </c>
      <c r="AB45" s="85"/>
      <c r="AC45" s="306"/>
      <c r="AD45" s="306"/>
      <c r="AE45" s="306" t="str">
        <f>IFERROR(VLOOKUP(H45,名称!A:D,4,0),"")</f>
        <v>KIK</v>
      </c>
      <c r="AF45" s="309"/>
      <c r="AG45" s="309"/>
      <c r="AH45" s="310">
        <v>46221</v>
      </c>
      <c r="AI45" s="310" t="s">
        <v>420</v>
      </c>
      <c r="AJ45" s="389">
        <v>46220</v>
      </c>
      <c r="AK45" s="311" t="s">
        <v>420</v>
      </c>
      <c r="AL45" s="310">
        <v>46220</v>
      </c>
      <c r="AM45" s="311"/>
      <c r="AN45" s="311"/>
      <c r="AO45" s="308">
        <f t="shared" si="7"/>
        <v>62</v>
      </c>
      <c r="AP45" s="308">
        <f t="shared" si="8"/>
        <v>46</v>
      </c>
    </row>
    <row r="46" s="15" customFormat="1" hidden="1" customHeight="1" spans="1:43">
      <c r="A46" s="306">
        <v>46205</v>
      </c>
      <c r="B46" s="77" t="str">
        <f ca="1" t="shared" si="0"/>
        <v/>
      </c>
      <c r="C46" s="347" t="s">
        <v>237</v>
      </c>
      <c r="D46" s="299" t="s">
        <v>456</v>
      </c>
      <c r="E46" s="300" t="s">
        <v>428</v>
      </c>
      <c r="F46" s="307">
        <v>10131182</v>
      </c>
      <c r="G46" s="384" t="s">
        <v>320</v>
      </c>
      <c r="H46" s="385" t="s">
        <v>55</v>
      </c>
      <c r="I46" s="309" t="str">
        <f>IFERROR(VLOOKUP(H46,名称!A:C,2,0),"")</f>
        <v>布鲁伊沐浴玩具</v>
      </c>
      <c r="J46" s="349">
        <v>180</v>
      </c>
      <c r="K46" s="309">
        <v>6</v>
      </c>
      <c r="L46" s="308">
        <f t="shared" si="1"/>
        <v>30</v>
      </c>
      <c r="M46" s="305">
        <v>46267</v>
      </c>
      <c r="N46" s="306">
        <f t="shared" si="9"/>
        <v>46265</v>
      </c>
      <c r="O46" s="77" t="s">
        <v>467</v>
      </c>
      <c r="P46" s="299" t="s">
        <v>473</v>
      </c>
      <c r="Q46" s="385" t="s">
        <v>458</v>
      </c>
      <c r="R46" s="385" t="s">
        <v>463</v>
      </c>
      <c r="S46" s="306"/>
      <c r="T46" s="299" t="s">
        <v>459</v>
      </c>
      <c r="U46" s="306"/>
      <c r="V46" s="306"/>
      <c r="W46" s="307"/>
      <c r="X46" s="355" t="s">
        <v>481</v>
      </c>
      <c r="Y46" s="383">
        <v>1.413</v>
      </c>
      <c r="Z46" s="352">
        <f t="shared" si="3"/>
        <v>254.34</v>
      </c>
      <c r="AA46" s="352">
        <f t="shared" si="4"/>
        <v>1971.14</v>
      </c>
      <c r="AB46" s="85"/>
      <c r="AC46" s="306"/>
      <c r="AD46" s="306"/>
      <c r="AE46" s="306" t="str">
        <f>IFERROR(VLOOKUP(H46,名称!A:D,4,0),"")</f>
        <v>KIK</v>
      </c>
      <c r="AF46" s="309"/>
      <c r="AG46" s="309"/>
      <c r="AH46" s="310">
        <v>46221</v>
      </c>
      <c r="AI46" s="310" t="s">
        <v>420</v>
      </c>
      <c r="AJ46" s="389">
        <v>46220</v>
      </c>
      <c r="AK46" s="311" t="s">
        <v>420</v>
      </c>
      <c r="AL46" s="310">
        <v>46220</v>
      </c>
      <c r="AM46" s="311"/>
      <c r="AN46" s="311"/>
      <c r="AO46" s="308">
        <f t="shared" si="7"/>
        <v>62</v>
      </c>
      <c r="AP46" s="308">
        <f t="shared" si="8"/>
        <v>46</v>
      </c>
    </row>
    <row r="47" s="15" customFormat="1" hidden="1" customHeight="1" spans="1:43">
      <c r="A47" s="306">
        <v>46205</v>
      </c>
      <c r="B47" s="77" t="str">
        <f ca="1" t="shared" si="0"/>
        <v/>
      </c>
      <c r="C47" s="347" t="s">
        <v>237</v>
      </c>
      <c r="D47" s="299" t="s">
        <v>461</v>
      </c>
      <c r="E47" s="300" t="s">
        <v>428</v>
      </c>
      <c r="F47" s="307">
        <v>10131186</v>
      </c>
      <c r="G47" s="384" t="s">
        <v>321</v>
      </c>
      <c r="H47" s="385" t="s">
        <v>55</v>
      </c>
      <c r="I47" s="309" t="str">
        <f>IFERROR(VLOOKUP(H47,名称!A:C,2,0),"")</f>
        <v>布鲁伊沐浴玩具</v>
      </c>
      <c r="J47" s="349">
        <v>780</v>
      </c>
      <c r="K47" s="309">
        <v>6</v>
      </c>
      <c r="L47" s="308">
        <f t="shared" si="1"/>
        <v>130</v>
      </c>
      <c r="M47" s="305">
        <v>46267</v>
      </c>
      <c r="N47" s="306">
        <f t="shared" si="9"/>
        <v>46265</v>
      </c>
      <c r="O47" s="77" t="s">
        <v>467</v>
      </c>
      <c r="P47" s="299" t="s">
        <v>473</v>
      </c>
      <c r="Q47" s="385" t="s">
        <v>458</v>
      </c>
      <c r="R47" s="385" t="s">
        <v>463</v>
      </c>
      <c r="S47" s="306"/>
      <c r="T47" s="299" t="s">
        <v>459</v>
      </c>
      <c r="U47" s="306"/>
      <c r="V47" s="306"/>
      <c r="W47" s="307"/>
      <c r="X47" s="355" t="s">
        <v>481</v>
      </c>
      <c r="Y47" s="383">
        <v>1.413</v>
      </c>
      <c r="Z47" s="352">
        <f t="shared" si="3"/>
        <v>1102.14</v>
      </c>
      <c r="AA47" s="352">
        <f t="shared" si="4"/>
        <v>8541.59</v>
      </c>
      <c r="AB47" s="85"/>
      <c r="AC47" s="306"/>
      <c r="AD47" s="306"/>
      <c r="AE47" s="306" t="str">
        <f>IFERROR(VLOOKUP(H47,名称!A:D,4,0),"")</f>
        <v>KIK</v>
      </c>
      <c r="AF47" s="309"/>
      <c r="AG47" s="309"/>
      <c r="AH47" s="310">
        <v>46221</v>
      </c>
      <c r="AI47" s="310" t="s">
        <v>420</v>
      </c>
      <c r="AJ47" s="389">
        <v>46220</v>
      </c>
      <c r="AK47" s="311" t="s">
        <v>420</v>
      </c>
      <c r="AL47" s="310">
        <v>46220</v>
      </c>
      <c r="AM47" s="311"/>
      <c r="AN47" s="311"/>
      <c r="AO47" s="308">
        <f t="shared" si="7"/>
        <v>62</v>
      </c>
      <c r="AP47" s="308">
        <f t="shared" si="8"/>
        <v>46</v>
      </c>
    </row>
    <row r="48" s="15" customFormat="1" hidden="1" customHeight="1" spans="1:43">
      <c r="A48" s="306">
        <v>46205</v>
      </c>
      <c r="B48" s="77" t="str">
        <f ca="1" t="shared" si="0"/>
        <v/>
      </c>
      <c r="C48" s="347" t="s">
        <v>237</v>
      </c>
      <c r="D48" s="299" t="s">
        <v>461</v>
      </c>
      <c r="E48" s="300" t="s">
        <v>428</v>
      </c>
      <c r="F48" s="307">
        <v>10131185</v>
      </c>
      <c r="G48" s="384" t="s">
        <v>322</v>
      </c>
      <c r="H48" s="385" t="s">
        <v>55</v>
      </c>
      <c r="I48" s="309" t="str">
        <f>IFERROR(VLOOKUP(H48,名称!A:C,2,0),"")</f>
        <v>布鲁伊沐浴玩具</v>
      </c>
      <c r="J48" s="349">
        <v>420</v>
      </c>
      <c r="K48" s="309">
        <v>6</v>
      </c>
      <c r="L48" s="308">
        <f t="shared" si="1"/>
        <v>70</v>
      </c>
      <c r="M48" s="305">
        <v>46267</v>
      </c>
      <c r="N48" s="306">
        <f t="shared" si="9"/>
        <v>46265</v>
      </c>
      <c r="O48" s="77" t="s">
        <v>467</v>
      </c>
      <c r="P48" s="299" t="s">
        <v>473</v>
      </c>
      <c r="Q48" s="385" t="s">
        <v>458</v>
      </c>
      <c r="R48" s="385" t="s">
        <v>463</v>
      </c>
      <c r="S48" s="306"/>
      <c r="T48" s="299" t="s">
        <v>459</v>
      </c>
      <c r="U48" s="306"/>
      <c r="V48" s="306"/>
      <c r="W48" s="307"/>
      <c r="X48" s="355" t="s">
        <v>481</v>
      </c>
      <c r="Y48" s="383">
        <v>1.413</v>
      </c>
      <c r="Z48" s="352">
        <f t="shared" si="3"/>
        <v>593.46</v>
      </c>
      <c r="AA48" s="352">
        <f t="shared" si="4"/>
        <v>4599.32</v>
      </c>
      <c r="AB48" s="85"/>
      <c r="AC48" s="306"/>
      <c r="AD48" s="306"/>
      <c r="AE48" s="306" t="str">
        <f>IFERROR(VLOOKUP(H48,名称!A:D,4,0),"")</f>
        <v>KIK</v>
      </c>
      <c r="AF48" s="309"/>
      <c r="AG48" s="309"/>
      <c r="AH48" s="310">
        <v>46221</v>
      </c>
      <c r="AI48" s="310" t="s">
        <v>420</v>
      </c>
      <c r="AJ48" s="389">
        <v>46220</v>
      </c>
      <c r="AK48" s="311" t="s">
        <v>420</v>
      </c>
      <c r="AL48" s="310">
        <v>46220</v>
      </c>
      <c r="AM48" s="311"/>
      <c r="AN48" s="311"/>
      <c r="AO48" s="308">
        <f t="shared" si="7"/>
        <v>62</v>
      </c>
      <c r="AP48" s="308">
        <f t="shared" si="8"/>
        <v>46</v>
      </c>
    </row>
    <row r="49" s="15" customFormat="1" hidden="1" customHeight="1" spans="1:42">
      <c r="A49" s="306">
        <v>46205</v>
      </c>
      <c r="B49" s="77" t="str">
        <f ca="1" t="shared" si="0"/>
        <v/>
      </c>
      <c r="C49" s="347" t="s">
        <v>237</v>
      </c>
      <c r="D49" s="299" t="s">
        <v>461</v>
      </c>
      <c r="E49" s="300" t="s">
        <v>428</v>
      </c>
      <c r="F49" s="307">
        <v>10131187</v>
      </c>
      <c r="G49" s="384" t="s">
        <v>323</v>
      </c>
      <c r="H49" s="385" t="s">
        <v>55</v>
      </c>
      <c r="I49" s="309" t="str">
        <f>IFERROR(VLOOKUP(H49,名称!A:C,2,0),"")</f>
        <v>布鲁伊沐浴玩具</v>
      </c>
      <c r="J49" s="349">
        <v>720</v>
      </c>
      <c r="K49" s="309">
        <v>6</v>
      </c>
      <c r="L49" s="308">
        <f t="shared" ref="L49:L61" si="10">IFERROR((J49/K49),"")</f>
        <v>120</v>
      </c>
      <c r="M49" s="305">
        <v>46267</v>
      </c>
      <c r="N49" s="306">
        <f t="shared" si="9"/>
        <v>46265</v>
      </c>
      <c r="O49" s="77" t="s">
        <v>467</v>
      </c>
      <c r="P49" s="299" t="s">
        <v>473</v>
      </c>
      <c r="Q49" s="385" t="s">
        <v>458</v>
      </c>
      <c r="R49" s="385" t="s">
        <v>463</v>
      </c>
      <c r="S49" s="306"/>
      <c r="T49" s="299" t="s">
        <v>459</v>
      </c>
      <c r="U49" s="306"/>
      <c r="V49" s="306"/>
      <c r="W49" s="307"/>
      <c r="X49" s="355" t="s">
        <v>481</v>
      </c>
      <c r="Y49" s="383">
        <v>1.413</v>
      </c>
      <c r="Z49" s="352">
        <f t="shared" ref="Z49:Z61" si="11">J49*Y49</f>
        <v>1017.36</v>
      </c>
      <c r="AA49" s="352">
        <f t="shared" ref="AA49:AA61" si="12">Z49*7.75</f>
        <v>7884.54</v>
      </c>
      <c r="AB49" s="85"/>
      <c r="AC49" s="306"/>
      <c r="AD49" s="306"/>
      <c r="AE49" s="306" t="str">
        <f>IFERROR(VLOOKUP(H49,名称!A:D,4,0),"")</f>
        <v>KIK</v>
      </c>
      <c r="AF49" s="309"/>
      <c r="AG49" s="309"/>
      <c r="AH49" s="310">
        <v>46221</v>
      </c>
      <c r="AI49" s="310" t="s">
        <v>420</v>
      </c>
      <c r="AJ49" s="389">
        <v>46220</v>
      </c>
      <c r="AK49" s="311" t="s">
        <v>420</v>
      </c>
      <c r="AL49" s="310">
        <v>46220</v>
      </c>
      <c r="AM49" s="311"/>
      <c r="AN49" s="311"/>
      <c r="AO49" s="308">
        <f t="shared" si="7"/>
        <v>62</v>
      </c>
      <c r="AP49" s="308">
        <f t="shared" si="8"/>
        <v>46</v>
      </c>
    </row>
    <row r="50" s="15" customFormat="1" hidden="1" customHeight="1" spans="1:42">
      <c r="A50" s="306">
        <v>46205</v>
      </c>
      <c r="B50" s="77" t="str">
        <f ca="1" t="shared" si="0"/>
        <v/>
      </c>
      <c r="C50" s="347" t="s">
        <v>237</v>
      </c>
      <c r="D50" s="299" t="s">
        <v>461</v>
      </c>
      <c r="E50" s="300" t="s">
        <v>428</v>
      </c>
      <c r="F50" s="307">
        <v>10131189</v>
      </c>
      <c r="G50" s="384" t="s">
        <v>324</v>
      </c>
      <c r="H50" s="385" t="s">
        <v>55</v>
      </c>
      <c r="I50" s="309" t="str">
        <f>IFERROR(VLOOKUP(H50,名称!A:C,2,0),"")</f>
        <v>布鲁伊沐浴玩具</v>
      </c>
      <c r="J50" s="349">
        <v>600</v>
      </c>
      <c r="K50" s="309">
        <v>6</v>
      </c>
      <c r="L50" s="308">
        <f t="shared" si="10"/>
        <v>100</v>
      </c>
      <c r="M50" s="305">
        <v>46267</v>
      </c>
      <c r="N50" s="306">
        <f t="shared" si="9"/>
        <v>46265</v>
      </c>
      <c r="O50" s="77" t="s">
        <v>467</v>
      </c>
      <c r="P50" s="299" t="s">
        <v>473</v>
      </c>
      <c r="Q50" s="385" t="s">
        <v>458</v>
      </c>
      <c r="R50" s="385" t="s">
        <v>463</v>
      </c>
      <c r="S50" s="306"/>
      <c r="T50" s="299" t="s">
        <v>459</v>
      </c>
      <c r="U50" s="306"/>
      <c r="V50" s="306"/>
      <c r="W50" s="307"/>
      <c r="X50" s="355" t="s">
        <v>481</v>
      </c>
      <c r="Y50" s="383">
        <v>1.413</v>
      </c>
      <c r="Z50" s="352">
        <f t="shared" si="11"/>
        <v>847.8</v>
      </c>
      <c r="AA50" s="352">
        <f t="shared" si="12"/>
        <v>6570.45</v>
      </c>
      <c r="AB50" s="85"/>
      <c r="AC50" s="306"/>
      <c r="AD50" s="306"/>
      <c r="AE50" s="306" t="str">
        <f>IFERROR(VLOOKUP(H50,名称!A:D,4,0),"")</f>
        <v>KIK</v>
      </c>
      <c r="AF50" s="309"/>
      <c r="AG50" s="309"/>
      <c r="AH50" s="310">
        <v>46221</v>
      </c>
      <c r="AI50" s="310" t="s">
        <v>420</v>
      </c>
      <c r="AJ50" s="389">
        <v>46220</v>
      </c>
      <c r="AK50" s="311" t="s">
        <v>420</v>
      </c>
      <c r="AL50" s="310">
        <v>46220</v>
      </c>
      <c r="AM50" s="311"/>
      <c r="AN50" s="311"/>
      <c r="AO50" s="308">
        <f t="shared" si="7"/>
        <v>62</v>
      </c>
      <c r="AP50" s="308">
        <f t="shared" si="8"/>
        <v>46</v>
      </c>
    </row>
    <row r="51" s="15" customFormat="1" hidden="1" customHeight="1" spans="1:42">
      <c r="A51" s="306">
        <v>46205</v>
      </c>
      <c r="B51" s="77" t="str">
        <f ca="1" t="shared" si="0"/>
        <v/>
      </c>
      <c r="C51" s="347" t="s">
        <v>237</v>
      </c>
      <c r="D51" s="299" t="s">
        <v>456</v>
      </c>
      <c r="E51" s="300" t="s">
        <v>428</v>
      </c>
      <c r="F51" s="307">
        <v>10131176</v>
      </c>
      <c r="G51" s="384" t="s">
        <v>336</v>
      </c>
      <c r="H51" s="385" t="s">
        <v>55</v>
      </c>
      <c r="I51" s="309" t="str">
        <f>IFERROR(VLOOKUP(H51,名称!A:C,2,0),"")</f>
        <v>布鲁伊沐浴玩具</v>
      </c>
      <c r="J51" s="349">
        <v>1002</v>
      </c>
      <c r="K51" s="309">
        <v>6</v>
      </c>
      <c r="L51" s="308">
        <f t="shared" si="10"/>
        <v>167</v>
      </c>
      <c r="M51" s="305">
        <v>46267</v>
      </c>
      <c r="N51" s="306">
        <f t="shared" si="9"/>
        <v>46265</v>
      </c>
      <c r="O51" s="77" t="s">
        <v>467</v>
      </c>
      <c r="P51" s="299" t="s">
        <v>473</v>
      </c>
      <c r="Q51" s="385" t="s">
        <v>458</v>
      </c>
      <c r="R51" s="385" t="s">
        <v>463</v>
      </c>
      <c r="S51" s="306"/>
      <c r="T51" s="299" t="s">
        <v>459</v>
      </c>
      <c r="U51" s="306"/>
      <c r="V51" s="306"/>
      <c r="W51" s="307"/>
      <c r="X51" s="355" t="s">
        <v>482</v>
      </c>
      <c r="Y51" s="383">
        <v>1.413</v>
      </c>
      <c r="Z51" s="352">
        <f t="shared" si="11"/>
        <v>1415.83</v>
      </c>
      <c r="AA51" s="352">
        <f t="shared" si="12"/>
        <v>10972.68</v>
      </c>
      <c r="AB51" s="85"/>
      <c r="AC51" s="306"/>
      <c r="AD51" s="306"/>
      <c r="AE51" s="306" t="str">
        <f>IFERROR(VLOOKUP(H51,名称!A:D,4,0),"")</f>
        <v>KIK</v>
      </c>
      <c r="AF51" s="309"/>
      <c r="AG51" s="309"/>
      <c r="AH51" s="310">
        <v>46221</v>
      </c>
      <c r="AI51" s="310" t="s">
        <v>420</v>
      </c>
      <c r="AJ51" s="389">
        <v>46220</v>
      </c>
      <c r="AK51" s="311" t="s">
        <v>420</v>
      </c>
      <c r="AL51" s="310">
        <v>46220</v>
      </c>
      <c r="AM51" s="311"/>
      <c r="AN51" s="311"/>
      <c r="AO51" s="308">
        <f t="shared" si="7"/>
        <v>62</v>
      </c>
      <c r="AP51" s="308">
        <f t="shared" si="8"/>
        <v>46</v>
      </c>
    </row>
    <row r="52" s="15" customFormat="1" hidden="1" customHeight="1" spans="1:42">
      <c r="A52" s="306">
        <v>46205</v>
      </c>
      <c r="B52" s="77" t="str">
        <f ca="1" t="shared" si="0"/>
        <v/>
      </c>
      <c r="C52" s="347" t="s">
        <v>237</v>
      </c>
      <c r="D52" s="299" t="s">
        <v>456</v>
      </c>
      <c r="E52" s="300" t="s">
        <v>428</v>
      </c>
      <c r="F52" s="307">
        <v>10131179</v>
      </c>
      <c r="G52" s="384" t="s">
        <v>337</v>
      </c>
      <c r="H52" s="385" t="s">
        <v>55</v>
      </c>
      <c r="I52" s="309" t="str">
        <f>IFERROR(VLOOKUP(H52,名称!A:C,2,0),"")</f>
        <v>布鲁伊沐浴玩具</v>
      </c>
      <c r="J52" s="349">
        <v>612</v>
      </c>
      <c r="K52" s="309">
        <v>6</v>
      </c>
      <c r="L52" s="308">
        <f t="shared" si="10"/>
        <v>102</v>
      </c>
      <c r="M52" s="305">
        <v>46267</v>
      </c>
      <c r="N52" s="306">
        <f t="shared" si="9"/>
        <v>46265</v>
      </c>
      <c r="O52" s="77" t="s">
        <v>467</v>
      </c>
      <c r="P52" s="299" t="s">
        <v>473</v>
      </c>
      <c r="Q52" s="385" t="s">
        <v>458</v>
      </c>
      <c r="R52" s="385" t="s">
        <v>463</v>
      </c>
      <c r="S52" s="306"/>
      <c r="T52" s="299" t="s">
        <v>459</v>
      </c>
      <c r="U52" s="306"/>
      <c r="V52" s="306"/>
      <c r="W52" s="307"/>
      <c r="X52" s="355" t="s">
        <v>481</v>
      </c>
      <c r="Y52" s="383">
        <v>1.413</v>
      </c>
      <c r="Z52" s="352">
        <f t="shared" si="11"/>
        <v>864.76</v>
      </c>
      <c r="AA52" s="352">
        <f t="shared" si="12"/>
        <v>6701.89</v>
      </c>
      <c r="AB52" s="85"/>
      <c r="AC52" s="306"/>
      <c r="AD52" s="306"/>
      <c r="AE52" s="306" t="str">
        <f>IFERROR(VLOOKUP(H52,名称!A:D,4,0),"")</f>
        <v>KIK</v>
      </c>
      <c r="AF52" s="309"/>
      <c r="AG52" s="309"/>
      <c r="AH52" s="310">
        <v>46221</v>
      </c>
      <c r="AI52" s="310" t="s">
        <v>420</v>
      </c>
      <c r="AJ52" s="389">
        <v>46220</v>
      </c>
      <c r="AK52" s="311" t="s">
        <v>420</v>
      </c>
      <c r="AL52" s="310">
        <v>46220</v>
      </c>
      <c r="AM52" s="311"/>
      <c r="AN52" s="311"/>
      <c r="AO52" s="308">
        <f t="shared" si="7"/>
        <v>62</v>
      </c>
      <c r="AP52" s="308">
        <f t="shared" si="8"/>
        <v>46</v>
      </c>
    </row>
    <row r="53" s="15" customFormat="1" hidden="1" customHeight="1" spans="1:42">
      <c r="A53" s="306">
        <v>46205</v>
      </c>
      <c r="B53" s="77" t="str">
        <f ca="1" t="shared" si="0"/>
        <v/>
      </c>
      <c r="C53" s="347" t="s">
        <v>237</v>
      </c>
      <c r="D53" s="299" t="s">
        <v>456</v>
      </c>
      <c r="E53" s="300" t="s">
        <v>428</v>
      </c>
      <c r="F53" s="307">
        <v>10131180</v>
      </c>
      <c r="G53" s="384" t="s">
        <v>338</v>
      </c>
      <c r="H53" s="385" t="s">
        <v>55</v>
      </c>
      <c r="I53" s="309" t="str">
        <f>IFERROR(VLOOKUP(H53,名称!A:C,2,0),"")</f>
        <v>布鲁伊沐浴玩具</v>
      </c>
      <c r="J53" s="349">
        <v>300</v>
      </c>
      <c r="K53" s="309">
        <v>6</v>
      </c>
      <c r="L53" s="308">
        <f t="shared" si="10"/>
        <v>50</v>
      </c>
      <c r="M53" s="305">
        <v>46267</v>
      </c>
      <c r="N53" s="306">
        <f t="shared" si="9"/>
        <v>46265</v>
      </c>
      <c r="O53" s="77" t="s">
        <v>467</v>
      </c>
      <c r="P53" s="299" t="s">
        <v>473</v>
      </c>
      <c r="Q53" s="385" t="s">
        <v>458</v>
      </c>
      <c r="R53" s="385" t="s">
        <v>463</v>
      </c>
      <c r="S53" s="306"/>
      <c r="T53" s="299" t="s">
        <v>459</v>
      </c>
      <c r="U53" s="306"/>
      <c r="V53" s="306"/>
      <c r="W53" s="307"/>
      <c r="X53" s="355" t="s">
        <v>481</v>
      </c>
      <c r="Y53" s="383">
        <v>1.413</v>
      </c>
      <c r="Z53" s="352">
        <f t="shared" si="11"/>
        <v>423.9</v>
      </c>
      <c r="AA53" s="352">
        <f t="shared" si="12"/>
        <v>3285.23</v>
      </c>
      <c r="AB53" s="85"/>
      <c r="AC53" s="306"/>
      <c r="AD53" s="306"/>
      <c r="AE53" s="306" t="str">
        <f>IFERROR(VLOOKUP(H53,名称!A:D,4,0),"")</f>
        <v>KIK</v>
      </c>
      <c r="AF53" s="309"/>
      <c r="AG53" s="309"/>
      <c r="AH53" s="310">
        <v>46221</v>
      </c>
      <c r="AI53" s="310" t="s">
        <v>420</v>
      </c>
      <c r="AJ53" s="389">
        <v>46220</v>
      </c>
      <c r="AK53" s="311" t="s">
        <v>420</v>
      </c>
      <c r="AL53" s="310">
        <v>46220</v>
      </c>
      <c r="AM53" s="311"/>
      <c r="AN53" s="311"/>
      <c r="AO53" s="308">
        <f t="shared" si="7"/>
        <v>62</v>
      </c>
      <c r="AP53" s="308">
        <f t="shared" si="8"/>
        <v>46</v>
      </c>
    </row>
    <row r="54" s="15" customFormat="1" hidden="1" customHeight="1" spans="1:42">
      <c r="A54" s="306">
        <v>46205</v>
      </c>
      <c r="B54" s="77" t="str">
        <f ca="1" t="shared" ref="B54:B85" si="13">IF(TODAY()&gt;=A54,IF(R54="","未",""),"")</f>
        <v/>
      </c>
      <c r="C54" s="347" t="s">
        <v>237</v>
      </c>
      <c r="D54" s="299" t="s">
        <v>461</v>
      </c>
      <c r="E54" s="300" t="s">
        <v>428</v>
      </c>
      <c r="F54" s="307">
        <v>10131183</v>
      </c>
      <c r="G54" s="384" t="s">
        <v>357</v>
      </c>
      <c r="H54" s="385" t="s">
        <v>55</v>
      </c>
      <c r="I54" s="309" t="str">
        <f>IFERROR(VLOOKUP(H54,名称!A:C,2,0),"")</f>
        <v>布鲁伊沐浴玩具</v>
      </c>
      <c r="J54" s="349">
        <v>480</v>
      </c>
      <c r="K54" s="309">
        <v>6</v>
      </c>
      <c r="L54" s="308">
        <f t="shared" si="10"/>
        <v>80</v>
      </c>
      <c r="M54" s="305">
        <v>46267</v>
      </c>
      <c r="N54" s="306">
        <f t="shared" si="9"/>
        <v>46265</v>
      </c>
      <c r="O54" s="77" t="s">
        <v>467</v>
      </c>
      <c r="P54" s="299" t="s">
        <v>473</v>
      </c>
      <c r="Q54" s="385" t="s">
        <v>458</v>
      </c>
      <c r="R54" s="385" t="s">
        <v>463</v>
      </c>
      <c r="S54" s="306"/>
      <c r="T54" s="299" t="s">
        <v>459</v>
      </c>
      <c r="U54" s="306"/>
      <c r="V54" s="306"/>
      <c r="W54" s="307"/>
      <c r="X54" s="355" t="s">
        <v>482</v>
      </c>
      <c r="Y54" s="383">
        <v>1.413</v>
      </c>
      <c r="Z54" s="352">
        <f t="shared" si="11"/>
        <v>678.24</v>
      </c>
      <c r="AA54" s="352">
        <f t="shared" si="12"/>
        <v>5256.36</v>
      </c>
      <c r="AB54" s="85"/>
      <c r="AC54" s="306"/>
      <c r="AD54" s="306"/>
      <c r="AE54" s="306" t="str">
        <f>IFERROR(VLOOKUP(H54,名称!A:D,4,0),"")</f>
        <v>KIK</v>
      </c>
      <c r="AF54" s="309"/>
      <c r="AG54" s="309"/>
      <c r="AH54" s="310">
        <v>46221</v>
      </c>
      <c r="AI54" s="310" t="s">
        <v>420</v>
      </c>
      <c r="AJ54" s="389">
        <v>46220</v>
      </c>
      <c r="AK54" s="311" t="s">
        <v>420</v>
      </c>
      <c r="AL54" s="310">
        <v>46220</v>
      </c>
      <c r="AM54" s="311"/>
      <c r="AN54" s="311"/>
      <c r="AO54" s="308">
        <f t="shared" si="7"/>
        <v>62</v>
      </c>
      <c r="AP54" s="308">
        <f t="shared" si="8"/>
        <v>46</v>
      </c>
    </row>
    <row r="55" s="15" customFormat="1" hidden="1" customHeight="1" spans="1:42">
      <c r="A55" s="306">
        <v>46200</v>
      </c>
      <c r="B55" s="77" t="str">
        <f ca="1" t="shared" si="13"/>
        <v/>
      </c>
      <c r="C55" s="347" t="s">
        <v>242</v>
      </c>
      <c r="D55" s="299" t="s">
        <v>465</v>
      </c>
      <c r="E55" s="300" t="s">
        <v>466</v>
      </c>
      <c r="F55" s="307">
        <v>10130909</v>
      </c>
      <c r="G55" s="552" t="s">
        <v>316</v>
      </c>
      <c r="H55" s="553" t="s">
        <v>230</v>
      </c>
      <c r="I55" s="309" t="s">
        <v>483</v>
      </c>
      <c r="J55" s="349">
        <v>3000</v>
      </c>
      <c r="K55" s="309">
        <v>4</v>
      </c>
      <c r="L55" s="308">
        <f t="shared" si="10"/>
        <v>750</v>
      </c>
      <c r="M55" s="305">
        <v>46272</v>
      </c>
      <c r="N55" s="306">
        <f t="shared" si="9"/>
        <v>46270</v>
      </c>
      <c r="O55" s="77" t="s">
        <v>467</v>
      </c>
      <c r="P55" s="299" t="s">
        <v>484</v>
      </c>
      <c r="Q55" s="307" t="s">
        <v>485</v>
      </c>
      <c r="R55" s="385" t="s">
        <v>486</v>
      </c>
      <c r="S55" s="306"/>
      <c r="T55" s="306"/>
      <c r="U55" s="306"/>
      <c r="V55" s="306"/>
      <c r="W55" s="307"/>
      <c r="X55" s="308"/>
      <c r="Y55" s="351">
        <v>3.243</v>
      </c>
      <c r="Z55" s="352">
        <f t="shared" si="11"/>
        <v>9729</v>
      </c>
      <c r="AA55" s="352">
        <f t="shared" si="12"/>
        <v>75399.75</v>
      </c>
      <c r="AB55" s="85"/>
      <c r="AC55" s="306"/>
      <c r="AD55" s="306"/>
      <c r="AE55" s="299" t="s">
        <v>12</v>
      </c>
      <c r="AF55" s="309"/>
      <c r="AG55" s="309"/>
      <c r="AH55" s="310" t="s">
        <v>487</v>
      </c>
      <c r="AI55" s="311" t="s">
        <v>420</v>
      </c>
      <c r="AJ55" s="311"/>
      <c r="AK55" s="311" t="s">
        <v>420</v>
      </c>
      <c r="AL55" s="311">
        <v>46234</v>
      </c>
      <c r="AM55" s="311"/>
      <c r="AN55" s="311"/>
      <c r="AO55" s="308">
        <f t="shared" si="7"/>
        <v>72</v>
      </c>
      <c r="AP55" s="308" t="e">
        <f t="shared" si="8"/>
        <v>#VALUE!</v>
      </c>
    </row>
    <row r="56" s="15" customFormat="1" hidden="1" customHeight="1" spans="1:42">
      <c r="A56" s="306">
        <v>46200</v>
      </c>
      <c r="B56" s="77" t="str">
        <f ca="1" t="shared" si="13"/>
        <v/>
      </c>
      <c r="C56" s="347" t="s">
        <v>242</v>
      </c>
      <c r="D56" s="299" t="s">
        <v>465</v>
      </c>
      <c r="E56" s="300" t="s">
        <v>466</v>
      </c>
      <c r="F56" s="307">
        <v>10130909</v>
      </c>
      <c r="G56" s="552" t="s">
        <v>316</v>
      </c>
      <c r="H56" s="553" t="s">
        <v>230</v>
      </c>
      <c r="I56" s="309" t="s">
        <v>483</v>
      </c>
      <c r="J56" s="349">
        <v>40</v>
      </c>
      <c r="K56" s="309">
        <v>4</v>
      </c>
      <c r="L56" s="308">
        <f t="shared" si="10"/>
        <v>10</v>
      </c>
      <c r="M56" s="305">
        <v>46272</v>
      </c>
      <c r="N56" s="306">
        <f t="shared" si="9"/>
        <v>46270</v>
      </c>
      <c r="O56" s="77" t="s">
        <v>467</v>
      </c>
      <c r="P56" s="299" t="s">
        <v>484</v>
      </c>
      <c r="Q56" s="307" t="s">
        <v>485</v>
      </c>
      <c r="R56" s="385" t="s">
        <v>486</v>
      </c>
      <c r="S56" s="306"/>
      <c r="T56" s="306"/>
      <c r="U56" s="306"/>
      <c r="V56" s="306"/>
      <c r="W56" s="307"/>
      <c r="X56" s="308"/>
      <c r="Y56" s="351">
        <v>3.243</v>
      </c>
      <c r="Z56" s="352">
        <f t="shared" si="11"/>
        <v>129.72</v>
      </c>
      <c r="AA56" s="352">
        <f t="shared" si="12"/>
        <v>1005.33</v>
      </c>
      <c r="AB56" s="85"/>
      <c r="AC56" s="306"/>
      <c r="AD56" s="306"/>
      <c r="AE56" s="299" t="s">
        <v>12</v>
      </c>
      <c r="AF56" s="309"/>
      <c r="AG56" s="309"/>
      <c r="AH56" s="310" t="s">
        <v>487</v>
      </c>
      <c r="AI56" s="311" t="s">
        <v>420</v>
      </c>
      <c r="AJ56" s="311"/>
      <c r="AK56" s="311" t="s">
        <v>420</v>
      </c>
      <c r="AL56" s="311">
        <v>46234</v>
      </c>
      <c r="AM56" s="311"/>
      <c r="AN56" s="311"/>
      <c r="AO56" s="308">
        <f t="shared" si="7"/>
        <v>72</v>
      </c>
      <c r="AP56" s="308" t="e">
        <f t="shared" si="8"/>
        <v>#VALUE!</v>
      </c>
    </row>
    <row r="57" s="245" customFormat="1" hidden="1" customHeight="1" spans="1:42">
      <c r="A57" s="356">
        <v>46172</v>
      </c>
      <c r="B57" s="356" t="str">
        <f ca="1" t="shared" si="13"/>
        <v/>
      </c>
      <c r="C57" s="357" t="s">
        <v>237</v>
      </c>
      <c r="D57" s="356" t="s">
        <v>427</v>
      </c>
      <c r="E57" s="357" t="s">
        <v>438</v>
      </c>
      <c r="F57" s="359">
        <v>10128492</v>
      </c>
      <c r="G57" s="358" t="s">
        <v>305</v>
      </c>
      <c r="H57" s="359" t="s">
        <v>158</v>
      </c>
      <c r="I57" s="360" t="str">
        <f>IFERROR(VLOOKUP(H57,名称!A:C,2,0),"")</f>
        <v>JD LNS圆轮拖拉机</v>
      </c>
      <c r="J57" s="361">
        <v>5000</v>
      </c>
      <c r="K57" s="360">
        <v>2</v>
      </c>
      <c r="L57" s="362">
        <f t="shared" si="10"/>
        <v>2500</v>
      </c>
      <c r="M57" s="381">
        <v>46274</v>
      </c>
      <c r="N57" s="356">
        <f t="shared" si="9"/>
        <v>46272</v>
      </c>
      <c r="O57" s="369">
        <v>46245</v>
      </c>
      <c r="P57" s="356" t="s">
        <v>473</v>
      </c>
      <c r="Q57" s="359" t="s">
        <v>430</v>
      </c>
      <c r="R57" s="369" t="s">
        <v>455</v>
      </c>
      <c r="S57" s="356"/>
      <c r="T57" s="356" t="s">
        <v>452</v>
      </c>
      <c r="U57" s="356"/>
      <c r="V57" s="356"/>
      <c r="W57" s="359"/>
      <c r="X57" s="362"/>
      <c r="Y57" s="380">
        <v>5.225</v>
      </c>
      <c r="Z57" s="365">
        <f t="shared" si="11"/>
        <v>26125</v>
      </c>
      <c r="AA57" s="365">
        <f t="shared" si="12"/>
        <v>202468.75</v>
      </c>
      <c r="AB57" s="366"/>
      <c r="AC57" s="356"/>
      <c r="AD57" s="356"/>
      <c r="AE57" s="356" t="str">
        <f>IFERROR(VLOOKUP(H57,名称!A:D,4,0),"")</f>
        <v>KIK</v>
      </c>
      <c r="AF57" s="360"/>
      <c r="AG57" s="360"/>
      <c r="AH57" s="367">
        <v>46197</v>
      </c>
      <c r="AI57" s="367" t="s">
        <v>420</v>
      </c>
      <c r="AJ57" s="367"/>
      <c r="AK57" s="370" t="s">
        <v>488</v>
      </c>
      <c r="AL57" s="367">
        <v>46205</v>
      </c>
      <c r="AM57" s="367"/>
      <c r="AN57" s="367"/>
      <c r="AO57" s="362">
        <f t="shared" si="7"/>
        <v>102</v>
      </c>
      <c r="AP57" s="362">
        <f t="shared" si="8"/>
        <v>77</v>
      </c>
    </row>
    <row r="58" s="15" customFormat="1" hidden="1" customHeight="1" spans="1:42">
      <c r="A58" s="306">
        <v>46179</v>
      </c>
      <c r="B58" s="77" t="str">
        <f ca="1" t="shared" si="13"/>
        <v/>
      </c>
      <c r="C58" s="347" t="s">
        <v>237</v>
      </c>
      <c r="D58" s="306" t="s">
        <v>427</v>
      </c>
      <c r="E58" s="347" t="s">
        <v>428</v>
      </c>
      <c r="F58" s="307">
        <v>10129047</v>
      </c>
      <c r="G58" s="348" t="s">
        <v>307</v>
      </c>
      <c r="H58" s="307" t="s">
        <v>50</v>
      </c>
      <c r="I58" s="309" t="str">
        <f>IFERROR(VLOOKUP(H58,名称!A:C,2,0),"")</f>
        <v>布鲁伊家族沐浴玩具</v>
      </c>
      <c r="J58" s="353">
        <v>5000</v>
      </c>
      <c r="K58" s="309">
        <v>2</v>
      </c>
      <c r="L58" s="308">
        <f t="shared" si="10"/>
        <v>2500</v>
      </c>
      <c r="M58" s="305">
        <v>46274</v>
      </c>
      <c r="N58" s="306">
        <f t="shared" si="9"/>
        <v>46272</v>
      </c>
      <c r="O58" s="77" t="s">
        <v>467</v>
      </c>
      <c r="P58" s="306" t="s">
        <v>439</v>
      </c>
      <c r="Q58" s="307" t="s">
        <v>430</v>
      </c>
      <c r="R58" s="299" t="s">
        <v>455</v>
      </c>
      <c r="S58" s="306"/>
      <c r="T58" s="306"/>
      <c r="U58" s="306"/>
      <c r="V58" s="306"/>
      <c r="W58" s="307"/>
      <c r="X58" s="308"/>
      <c r="Y58" s="383">
        <v>2.218</v>
      </c>
      <c r="Z58" s="352">
        <f t="shared" si="11"/>
        <v>11090</v>
      </c>
      <c r="AA58" s="352">
        <f t="shared" si="12"/>
        <v>85947.5</v>
      </c>
      <c r="AB58" s="85"/>
      <c r="AC58" s="306"/>
      <c r="AD58" s="306"/>
      <c r="AE58" s="306" t="str">
        <f>IFERROR(VLOOKUP(H58,名称!A:D,4,0),"")</f>
        <v>KIK</v>
      </c>
      <c r="AF58" s="309"/>
      <c r="AG58" s="309"/>
      <c r="AH58" s="310">
        <v>46197</v>
      </c>
      <c r="AI58" s="311" t="s">
        <v>420</v>
      </c>
      <c r="AJ58" s="389">
        <v>46220</v>
      </c>
      <c r="AK58" s="311" t="s">
        <v>420</v>
      </c>
      <c r="AL58" s="370" t="s">
        <v>420</v>
      </c>
      <c r="AM58" s="311"/>
      <c r="AN58" s="311"/>
      <c r="AO58" s="308">
        <f t="shared" si="7"/>
        <v>95</v>
      </c>
      <c r="AP58" s="308">
        <f t="shared" si="8"/>
        <v>77</v>
      </c>
    </row>
    <row r="59" s="15" customFormat="1" hidden="1" customHeight="1" spans="1:42">
      <c r="A59" s="306">
        <v>46186</v>
      </c>
      <c r="B59" s="77" t="str">
        <f ca="1" t="shared" si="13"/>
        <v/>
      </c>
      <c r="C59" s="347" t="s">
        <v>237</v>
      </c>
      <c r="D59" s="306" t="s">
        <v>427</v>
      </c>
      <c r="E59" s="347" t="s">
        <v>422</v>
      </c>
      <c r="F59" s="307">
        <v>10129448</v>
      </c>
      <c r="G59" s="348" t="s">
        <v>311</v>
      </c>
      <c r="H59" s="307" t="s">
        <v>184</v>
      </c>
      <c r="I59" s="309" t="str">
        <f>IFERROR(VLOOKUP(H59,名称!A:C,2,0),"")</f>
        <v>管道马里奥</v>
      </c>
      <c r="J59" s="349">
        <v>5000</v>
      </c>
      <c r="K59" s="309">
        <v>4</v>
      </c>
      <c r="L59" s="308">
        <f t="shared" si="10"/>
        <v>1250</v>
      </c>
      <c r="M59" s="306">
        <v>46281</v>
      </c>
      <c r="N59" s="306">
        <f t="shared" si="9"/>
        <v>46279</v>
      </c>
      <c r="O59" s="77" t="s">
        <v>467</v>
      </c>
      <c r="P59" s="354" t="s">
        <v>473</v>
      </c>
      <c r="Q59" s="307" t="s">
        <v>430</v>
      </c>
      <c r="R59" s="350" t="s">
        <v>489</v>
      </c>
      <c r="S59" s="306"/>
      <c r="T59" s="306"/>
      <c r="U59" s="306"/>
      <c r="V59" s="306"/>
      <c r="W59" s="307"/>
      <c r="X59" s="308"/>
      <c r="Y59" s="351">
        <v>3.354</v>
      </c>
      <c r="Z59" s="352">
        <f t="shared" si="11"/>
        <v>16770</v>
      </c>
      <c r="AA59" s="352">
        <f t="shared" si="12"/>
        <v>129967.5</v>
      </c>
      <c r="AB59" s="85"/>
      <c r="AC59" s="306"/>
      <c r="AD59" s="306"/>
      <c r="AE59" s="306" t="str">
        <f>IFERROR(VLOOKUP(H59,名称!A:D,4,0),"")</f>
        <v>KIK</v>
      </c>
      <c r="AF59" s="309"/>
      <c r="AG59" s="309"/>
      <c r="AH59" s="310">
        <v>46221</v>
      </c>
      <c r="AI59" s="311" t="s">
        <v>420</v>
      </c>
      <c r="AJ59" s="311"/>
      <c r="AK59" s="311" t="s">
        <v>420</v>
      </c>
      <c r="AL59" s="311" t="s">
        <v>420</v>
      </c>
      <c r="AM59" s="311"/>
      <c r="AN59" s="311"/>
      <c r="AO59" s="308">
        <f t="shared" si="7"/>
        <v>95</v>
      </c>
      <c r="AP59" s="308">
        <f t="shared" si="8"/>
        <v>60</v>
      </c>
    </row>
    <row r="60" s="15" customFormat="1" hidden="1" customHeight="1" spans="1:42">
      <c r="A60" s="306">
        <v>46200</v>
      </c>
      <c r="B60" s="77" t="str">
        <f ca="1" t="shared" si="13"/>
        <v/>
      </c>
      <c r="C60" s="347" t="s">
        <v>242</v>
      </c>
      <c r="D60" s="299" t="s">
        <v>465</v>
      </c>
      <c r="E60" s="300" t="s">
        <v>466</v>
      </c>
      <c r="F60" s="307">
        <v>10130909</v>
      </c>
      <c r="G60" s="552" t="s">
        <v>316</v>
      </c>
      <c r="H60" s="553" t="s">
        <v>230</v>
      </c>
      <c r="I60" s="309" t="s">
        <v>483</v>
      </c>
      <c r="J60" s="349">
        <v>1960</v>
      </c>
      <c r="K60" s="309">
        <v>4</v>
      </c>
      <c r="L60" s="308">
        <f t="shared" si="10"/>
        <v>490</v>
      </c>
      <c r="M60" s="305">
        <v>46293</v>
      </c>
      <c r="N60" s="306">
        <f t="shared" si="9"/>
        <v>46291</v>
      </c>
      <c r="O60" s="77" t="s">
        <v>467</v>
      </c>
      <c r="P60" s="299" t="s">
        <v>484</v>
      </c>
      <c r="Q60" s="307" t="s">
        <v>485</v>
      </c>
      <c r="R60" s="385" t="s">
        <v>486</v>
      </c>
      <c r="S60" s="306"/>
      <c r="T60" s="306"/>
      <c r="U60" s="306"/>
      <c r="V60" s="306"/>
      <c r="W60" s="307"/>
      <c r="X60" s="308"/>
      <c r="Y60" s="351">
        <v>3.243</v>
      </c>
      <c r="Z60" s="352">
        <f t="shared" si="11"/>
        <v>6356.28</v>
      </c>
      <c r="AA60" s="352">
        <f t="shared" si="12"/>
        <v>49261.17</v>
      </c>
      <c r="AB60" s="85"/>
      <c r="AC60" s="306"/>
      <c r="AD60" s="306"/>
      <c r="AE60" s="299" t="s">
        <v>12</v>
      </c>
      <c r="AF60" s="309"/>
      <c r="AG60" s="309"/>
      <c r="AH60" s="310" t="s">
        <v>487</v>
      </c>
      <c r="AI60" s="311" t="s">
        <v>420</v>
      </c>
      <c r="AJ60" s="311"/>
      <c r="AK60" s="311" t="s">
        <v>420</v>
      </c>
      <c r="AL60" s="311">
        <v>46234</v>
      </c>
      <c r="AM60" s="311"/>
      <c r="AN60" s="311"/>
      <c r="AO60" s="308">
        <f t="shared" si="7"/>
        <v>93</v>
      </c>
      <c r="AP60" s="308" t="e">
        <f t="shared" si="8"/>
        <v>#VALUE!</v>
      </c>
    </row>
    <row r="61" s="15" customFormat="1" hidden="1" customHeight="1" spans="1:42">
      <c r="A61" s="302" t="s">
        <v>490</v>
      </c>
      <c r="B61" s="77" t="str">
        <f ca="1" t="shared" si="13"/>
        <v/>
      </c>
      <c r="C61" s="347" t="s">
        <v>242</v>
      </c>
      <c r="D61" s="299" t="s">
        <v>465</v>
      </c>
      <c r="E61" s="300" t="s">
        <v>466</v>
      </c>
      <c r="F61" s="307">
        <v>10130036</v>
      </c>
      <c r="G61" s="348">
        <v>2.02606160050053e+19</v>
      </c>
      <c r="H61" s="385" t="s">
        <v>131</v>
      </c>
      <c r="I61" s="309" t="str">
        <f>IFERROR(VLOOKUP(H61,名称!A:C,2,0),"")</f>
        <v>宝箱马里奥</v>
      </c>
      <c r="J61" s="349">
        <v>1500</v>
      </c>
      <c r="K61" s="309">
        <v>12</v>
      </c>
      <c r="L61" s="308">
        <f t="shared" si="10"/>
        <v>125</v>
      </c>
      <c r="M61" s="305">
        <v>46286</v>
      </c>
      <c r="N61" s="306">
        <f t="shared" si="9"/>
        <v>46284</v>
      </c>
      <c r="O61" s="77" t="s">
        <v>467</v>
      </c>
      <c r="P61" s="299" t="s">
        <v>468</v>
      </c>
      <c r="Q61" s="385" t="s">
        <v>469</v>
      </c>
      <c r="R61" s="385" t="s">
        <v>470</v>
      </c>
      <c r="S61" s="306"/>
      <c r="T61" s="306"/>
      <c r="U61" s="306"/>
      <c r="V61" s="306"/>
      <c r="W61" s="307"/>
      <c r="X61" s="308"/>
      <c r="Y61" s="390">
        <v>2.418</v>
      </c>
      <c r="Z61" s="352">
        <f t="shared" si="11"/>
        <v>3627</v>
      </c>
      <c r="AA61" s="352">
        <f t="shared" si="12"/>
        <v>28109.25</v>
      </c>
      <c r="AB61" s="85"/>
      <c r="AC61" s="306"/>
      <c r="AD61" s="306"/>
      <c r="AE61" s="306" t="str">
        <f>IFERROR(VLOOKUP(H61,名称!A:D,4,0),"")</f>
        <v>KIK</v>
      </c>
      <c r="AF61" s="309"/>
      <c r="AG61" s="309"/>
      <c r="AH61" s="310">
        <v>46220</v>
      </c>
      <c r="AI61" s="311"/>
      <c r="AJ61" s="310" t="s">
        <v>472</v>
      </c>
      <c r="AK61" s="311" t="s">
        <v>420</v>
      </c>
      <c r="AL61" s="311" t="s">
        <v>420</v>
      </c>
      <c r="AM61" s="311"/>
      <c r="AN61" s="311"/>
      <c r="AO61" s="308" t="e">
        <f t="shared" si="7"/>
        <v>#VALUE!</v>
      </c>
      <c r="AP61" s="308">
        <f t="shared" si="8"/>
        <v>66</v>
      </c>
    </row>
    <row r="62" s="15" customFormat="1" hidden="1" customHeight="1" spans="1:42">
      <c r="A62" s="306">
        <v>46165</v>
      </c>
      <c r="B62" s="77" t="str">
        <f ca="1" t="shared" si="13"/>
        <v/>
      </c>
      <c r="C62" s="347" t="s">
        <v>236</v>
      </c>
      <c r="D62" s="306" t="s">
        <v>442</v>
      </c>
      <c r="E62" s="347" t="s">
        <v>443</v>
      </c>
      <c r="F62" s="307">
        <v>10128113</v>
      </c>
      <c r="G62" s="348">
        <v>20219163</v>
      </c>
      <c r="H62" s="307" t="s">
        <v>48</v>
      </c>
      <c r="I62" s="309" t="str">
        <f>IFERROR(VLOOKUP(H62,名称!A:C,2,0),"")</f>
        <v>布鲁伊家族杯子套装</v>
      </c>
      <c r="J62" s="353">
        <v>3000</v>
      </c>
      <c r="K62" s="309">
        <f>IFERROR(VLOOKUP(H62,名称!A:D,3,0),"")</f>
        <v>4</v>
      </c>
      <c r="L62" s="308">
        <f t="shared" ref="L62:L113" si="14">IFERROR((J62/K62),"")</f>
        <v>750</v>
      </c>
      <c r="M62" s="305">
        <v>46288</v>
      </c>
      <c r="N62" s="306">
        <f t="shared" si="9"/>
        <v>46286</v>
      </c>
      <c r="O62" s="77" t="s">
        <v>467</v>
      </c>
      <c r="P62" s="306" t="s">
        <v>473</v>
      </c>
      <c r="Q62" s="307" t="s">
        <v>430</v>
      </c>
      <c r="R62" s="299" t="s">
        <v>455</v>
      </c>
      <c r="S62" s="306"/>
      <c r="T62" s="306"/>
      <c r="U62" s="306"/>
      <c r="V62" s="306"/>
      <c r="W62" s="307"/>
      <c r="X62" s="308" t="s">
        <v>491</v>
      </c>
      <c r="Y62" s="383">
        <v>2.199</v>
      </c>
      <c r="Z62" s="352">
        <f t="shared" ref="Z62:Z110" si="15">J62*Y62</f>
        <v>6597</v>
      </c>
      <c r="AA62" s="352">
        <f t="shared" ref="AA62:AA110" si="16">Z62*7.75</f>
        <v>51126.75</v>
      </c>
      <c r="AB62" s="85"/>
      <c r="AC62" s="306"/>
      <c r="AD62" s="306"/>
      <c r="AE62" s="306" t="str">
        <f>IFERROR(VLOOKUP(H62,名称!A:D,4,0),"")</f>
        <v>KIK</v>
      </c>
      <c r="AF62" s="309"/>
      <c r="AG62" s="309"/>
      <c r="AH62" s="311">
        <v>46107</v>
      </c>
      <c r="AI62" s="311" t="s">
        <v>420</v>
      </c>
      <c r="AJ62" s="311"/>
      <c r="AK62" s="311" t="s">
        <v>420</v>
      </c>
      <c r="AL62" s="370" t="s">
        <v>420</v>
      </c>
      <c r="AM62" s="311"/>
      <c r="AN62" s="311"/>
      <c r="AO62" s="308">
        <f t="shared" si="7"/>
        <v>123</v>
      </c>
      <c r="AP62" s="308">
        <f t="shared" si="8"/>
        <v>181</v>
      </c>
    </row>
    <row r="63" s="15" customFormat="1" hidden="1" customHeight="1" spans="1:42">
      <c r="A63" s="306">
        <v>46205</v>
      </c>
      <c r="B63" s="77" t="str">
        <f ca="1" t="shared" si="13"/>
        <v/>
      </c>
      <c r="C63" s="347" t="s">
        <v>237</v>
      </c>
      <c r="D63" s="299" t="s">
        <v>492</v>
      </c>
      <c r="E63" s="300" t="s">
        <v>428</v>
      </c>
      <c r="F63" s="307">
        <v>10130900</v>
      </c>
      <c r="G63" s="384" t="s">
        <v>325</v>
      </c>
      <c r="H63" s="385" t="s">
        <v>50</v>
      </c>
      <c r="I63" s="309" t="str">
        <f>IFERROR(VLOOKUP(H63,名称!A:C,2,0),"")</f>
        <v>布鲁伊家族沐浴玩具</v>
      </c>
      <c r="J63" s="349">
        <v>5000</v>
      </c>
      <c r="K63" s="309">
        <v>2</v>
      </c>
      <c r="L63" s="308">
        <f t="shared" si="14"/>
        <v>2500</v>
      </c>
      <c r="M63" s="305">
        <v>46288</v>
      </c>
      <c r="N63" s="306">
        <f t="shared" si="9"/>
        <v>46286</v>
      </c>
      <c r="O63" s="77" t="s">
        <v>467</v>
      </c>
      <c r="P63" s="299" t="s">
        <v>473</v>
      </c>
      <c r="Q63" s="385" t="s">
        <v>430</v>
      </c>
      <c r="R63" s="299" t="s">
        <v>455</v>
      </c>
      <c r="S63" s="306"/>
      <c r="T63" s="306"/>
      <c r="U63" s="306"/>
      <c r="V63" s="306"/>
      <c r="W63" s="307"/>
      <c r="X63" s="308"/>
      <c r="Y63" s="383">
        <v>2.185</v>
      </c>
      <c r="Z63" s="352">
        <f t="shared" si="15"/>
        <v>10925</v>
      </c>
      <c r="AA63" s="352">
        <f t="shared" si="16"/>
        <v>84668.75</v>
      </c>
      <c r="AB63" s="85"/>
      <c r="AC63" s="306"/>
      <c r="AD63" s="306"/>
      <c r="AE63" s="306" t="str">
        <f>IFERROR(VLOOKUP(H63,名称!A:D,4,0),"")</f>
        <v>KIK</v>
      </c>
      <c r="AF63" s="309"/>
      <c r="AG63" s="309"/>
      <c r="AH63" s="310">
        <v>46220</v>
      </c>
      <c r="AI63" s="311" t="s">
        <v>420</v>
      </c>
      <c r="AJ63" s="311"/>
      <c r="AK63" s="311" t="s">
        <v>420</v>
      </c>
      <c r="AL63" s="370" t="s">
        <v>420</v>
      </c>
      <c r="AM63" s="311"/>
      <c r="AN63" s="311"/>
      <c r="AO63" s="308">
        <f t="shared" si="7"/>
        <v>83</v>
      </c>
      <c r="AP63" s="308">
        <f t="shared" si="8"/>
        <v>68</v>
      </c>
    </row>
    <row r="64" s="15" customFormat="1" hidden="1" customHeight="1" spans="1:42">
      <c r="A64" s="306">
        <v>46172</v>
      </c>
      <c r="B64" s="77" t="str">
        <f ca="1" t="shared" si="13"/>
        <v/>
      </c>
      <c r="C64" s="347" t="s">
        <v>235</v>
      </c>
      <c r="D64" s="306" t="s">
        <v>421</v>
      </c>
      <c r="E64" s="347" t="s">
        <v>428</v>
      </c>
      <c r="F64" s="307">
        <v>10128554</v>
      </c>
      <c r="G64" s="348">
        <v>4500032885</v>
      </c>
      <c r="H64" s="307" t="s">
        <v>55</v>
      </c>
      <c r="I64" s="309" t="str">
        <f>IFERROR(VLOOKUP(H64,名称!A:C,2,0),"")</f>
        <v>布鲁伊沐浴玩具</v>
      </c>
      <c r="J64" s="349">
        <v>1500</v>
      </c>
      <c r="K64" s="309">
        <v>6</v>
      </c>
      <c r="L64" s="308">
        <f t="shared" si="14"/>
        <v>250</v>
      </c>
      <c r="M64" s="305">
        <v>46295</v>
      </c>
      <c r="N64" s="306">
        <f t="shared" si="9"/>
        <v>46293</v>
      </c>
      <c r="O64" s="77" t="s">
        <v>467</v>
      </c>
      <c r="P64" s="306" t="s">
        <v>473</v>
      </c>
      <c r="Q64" s="307" t="s">
        <v>424</v>
      </c>
      <c r="R64" s="385" t="s">
        <v>463</v>
      </c>
      <c r="S64" s="306"/>
      <c r="T64" s="306"/>
      <c r="U64" s="306"/>
      <c r="V64" s="306"/>
      <c r="W64" s="307"/>
      <c r="X64" s="308"/>
      <c r="Y64" s="383">
        <v>1.413</v>
      </c>
      <c r="Z64" s="352">
        <f t="shared" si="15"/>
        <v>2119.5</v>
      </c>
      <c r="AA64" s="352">
        <f t="shared" si="16"/>
        <v>16426.13</v>
      </c>
      <c r="AB64" s="388"/>
      <c r="AC64" s="306"/>
      <c r="AD64" s="306"/>
      <c r="AE64" s="306" t="str">
        <f>IFERROR(VLOOKUP(H64,名称!A:D,4,0),"")</f>
        <v>KIK</v>
      </c>
      <c r="AF64" s="309"/>
      <c r="AG64" s="309"/>
      <c r="AH64" s="311">
        <v>46189</v>
      </c>
      <c r="AI64" s="310" t="s">
        <v>420</v>
      </c>
      <c r="AJ64" s="389">
        <v>46220</v>
      </c>
      <c r="AK64" s="311" t="s">
        <v>420</v>
      </c>
      <c r="AL64" s="310">
        <v>46220</v>
      </c>
      <c r="AM64" s="311"/>
      <c r="AN64" s="311"/>
      <c r="AO64" s="308">
        <f t="shared" si="7"/>
        <v>123</v>
      </c>
      <c r="AP64" s="308">
        <f t="shared" si="8"/>
        <v>106</v>
      </c>
    </row>
    <row r="65" s="15" customFormat="1" hidden="1" customHeight="1" spans="1:42">
      <c r="A65" s="306">
        <v>46172</v>
      </c>
      <c r="B65" s="77" t="str">
        <f ca="1" t="shared" si="13"/>
        <v/>
      </c>
      <c r="C65" s="347" t="s">
        <v>235</v>
      </c>
      <c r="D65" s="306" t="s">
        <v>421</v>
      </c>
      <c r="E65" s="347" t="s">
        <v>428</v>
      </c>
      <c r="F65" s="307">
        <v>10128553</v>
      </c>
      <c r="G65" s="348">
        <v>4500032884</v>
      </c>
      <c r="H65" s="307" t="s">
        <v>53</v>
      </c>
      <c r="I65" s="309" t="str">
        <f>IFERROR(VLOOKUP(H65,名称!A:C,2,0),"")</f>
        <v>布鲁伊+宾果沐浴玩具混装</v>
      </c>
      <c r="J65" s="349">
        <v>4800</v>
      </c>
      <c r="K65" s="309">
        <v>6</v>
      </c>
      <c r="L65" s="308">
        <f t="shared" si="14"/>
        <v>800</v>
      </c>
      <c r="M65" s="305">
        <v>46295</v>
      </c>
      <c r="N65" s="306">
        <f t="shared" si="9"/>
        <v>46293</v>
      </c>
      <c r="O65" s="77" t="s">
        <v>467</v>
      </c>
      <c r="P65" s="306" t="s">
        <v>473</v>
      </c>
      <c r="Q65" s="307" t="s">
        <v>424</v>
      </c>
      <c r="R65" s="350" t="s">
        <v>463</v>
      </c>
      <c r="S65" s="306"/>
      <c r="T65" s="306"/>
      <c r="U65" s="306"/>
      <c r="V65" s="306"/>
      <c r="W65" s="307"/>
      <c r="X65" s="308"/>
      <c r="Y65" s="383">
        <v>1.398</v>
      </c>
      <c r="Z65" s="352">
        <f t="shared" si="15"/>
        <v>6710.4</v>
      </c>
      <c r="AA65" s="352">
        <f t="shared" si="16"/>
        <v>52005.6</v>
      </c>
      <c r="AB65" s="388"/>
      <c r="AC65" s="306"/>
      <c r="AD65" s="306"/>
      <c r="AE65" s="306" t="str">
        <f>IFERROR(VLOOKUP(H65,名称!A:D,4,0),"")</f>
        <v>KIK</v>
      </c>
      <c r="AF65" s="309"/>
      <c r="AG65" s="309"/>
      <c r="AH65" s="311">
        <v>46189</v>
      </c>
      <c r="AI65" s="310" t="s">
        <v>420</v>
      </c>
      <c r="AJ65" s="311"/>
      <c r="AK65" s="310" t="s">
        <v>420</v>
      </c>
      <c r="AL65" s="311"/>
      <c r="AM65" s="311"/>
      <c r="AN65" s="311"/>
      <c r="AO65" s="308">
        <f t="shared" si="7"/>
        <v>123</v>
      </c>
      <c r="AP65" s="308">
        <f t="shared" si="8"/>
        <v>106</v>
      </c>
    </row>
    <row r="66" s="15" customFormat="1" customHeight="1" spans="1:42">
      <c r="A66" s="306">
        <v>46200</v>
      </c>
      <c r="B66" s="77" t="str">
        <f ca="1" t="shared" si="13"/>
        <v>未</v>
      </c>
      <c r="C66" s="300" t="s">
        <v>317</v>
      </c>
      <c r="D66" s="299" t="s">
        <v>493</v>
      </c>
      <c r="E66" s="300" t="s">
        <v>422</v>
      </c>
      <c r="F66" s="348">
        <v>10130830</v>
      </c>
      <c r="G66" s="348">
        <v>56863</v>
      </c>
      <c r="H66" s="385" t="s">
        <v>213</v>
      </c>
      <c r="I66" s="309" t="s">
        <v>483</v>
      </c>
      <c r="J66" s="349">
        <v>2760</v>
      </c>
      <c r="K66" s="309">
        <v>4</v>
      </c>
      <c r="L66" s="308">
        <f t="shared" si="14"/>
        <v>690</v>
      </c>
      <c r="M66" s="306">
        <v>46295</v>
      </c>
      <c r="N66" s="306">
        <f t="shared" si="9"/>
        <v>46293</v>
      </c>
      <c r="O66" s="77" t="s">
        <v>467</v>
      </c>
      <c r="P66" s="299" t="s">
        <v>473</v>
      </c>
      <c r="Q66" s="391" t="s">
        <v>494</v>
      </c>
      <c r="R66" s="307"/>
      <c r="S66" s="306"/>
      <c r="T66" s="306"/>
      <c r="U66" s="306"/>
      <c r="V66" s="306"/>
      <c r="W66" s="307"/>
      <c r="X66" s="308"/>
      <c r="Y66" s="351">
        <v>3.243</v>
      </c>
      <c r="Z66" s="352">
        <f t="shared" si="15"/>
        <v>8950.68</v>
      </c>
      <c r="AA66" s="352">
        <f t="shared" si="16"/>
        <v>69367.77</v>
      </c>
      <c r="AB66" s="85"/>
      <c r="AC66" s="306"/>
      <c r="AD66" s="306"/>
      <c r="AE66" s="306" t="str">
        <f>IFERROR(VLOOKUP(H66,名称!A:D,4,0),"")</f>
        <v/>
      </c>
      <c r="AF66" s="309"/>
      <c r="AG66" s="309"/>
      <c r="AH66" s="310" t="s">
        <v>487</v>
      </c>
      <c r="AI66" s="310" t="s">
        <v>420</v>
      </c>
      <c r="AJ66" s="311"/>
      <c r="AK66" s="310" t="s">
        <v>420</v>
      </c>
      <c r="AL66" s="310">
        <v>46234</v>
      </c>
      <c r="AM66" s="311"/>
      <c r="AN66" s="311"/>
      <c r="AO66" s="308">
        <f t="shared" si="7"/>
        <v>95</v>
      </c>
      <c r="AP66" s="308" t="e">
        <f t="shared" si="8"/>
        <v>#VALUE!</v>
      </c>
    </row>
    <row r="67" s="15" customFormat="1" ht="24" customHeight="1" spans="1:42">
      <c r="A67" s="306">
        <v>46200</v>
      </c>
      <c r="B67" s="77" t="str">
        <f ca="1" t="shared" si="13"/>
        <v>未</v>
      </c>
      <c r="C67" s="300" t="s">
        <v>248</v>
      </c>
      <c r="D67" s="299" t="s">
        <v>495</v>
      </c>
      <c r="E67" s="300" t="s">
        <v>422</v>
      </c>
      <c r="F67" s="348">
        <v>10130837</v>
      </c>
      <c r="G67" s="348">
        <v>56867</v>
      </c>
      <c r="H67" s="385" t="s">
        <v>213</v>
      </c>
      <c r="I67" s="309" t="s">
        <v>483</v>
      </c>
      <c r="J67" s="349">
        <v>6640</v>
      </c>
      <c r="K67" s="309">
        <v>4</v>
      </c>
      <c r="L67" s="308">
        <f t="shared" si="14"/>
        <v>1660</v>
      </c>
      <c r="M67" s="306">
        <v>46295</v>
      </c>
      <c r="N67" s="306">
        <f t="shared" si="9"/>
        <v>46293</v>
      </c>
      <c r="O67" s="77" t="s">
        <v>467</v>
      </c>
      <c r="P67" s="299" t="s">
        <v>473</v>
      </c>
      <c r="Q67" s="391" t="s">
        <v>494</v>
      </c>
      <c r="R67" s="307"/>
      <c r="S67" s="306"/>
      <c r="T67" s="306"/>
      <c r="U67" s="306"/>
      <c r="V67" s="306"/>
      <c r="W67" s="307"/>
      <c r="X67" s="308"/>
      <c r="Y67" s="351">
        <v>3.243</v>
      </c>
      <c r="Z67" s="352">
        <f t="shared" si="15"/>
        <v>21533.52</v>
      </c>
      <c r="AA67" s="352">
        <f t="shared" si="16"/>
        <v>166884.78</v>
      </c>
      <c r="AB67" s="85"/>
      <c r="AC67" s="306"/>
      <c r="AD67" s="306"/>
      <c r="AE67" s="306" t="str">
        <f>IFERROR(VLOOKUP(H67,名称!A:D,4,0),"")</f>
        <v/>
      </c>
      <c r="AF67" s="309"/>
      <c r="AG67" s="309"/>
      <c r="AH67" s="310" t="s">
        <v>487</v>
      </c>
      <c r="AI67" s="310" t="s">
        <v>420</v>
      </c>
      <c r="AJ67" s="311"/>
      <c r="AK67" s="310" t="s">
        <v>420</v>
      </c>
      <c r="AL67" s="310">
        <v>46234</v>
      </c>
      <c r="AM67" s="311"/>
      <c r="AN67" s="311"/>
      <c r="AO67" s="308">
        <f t="shared" si="7"/>
        <v>95</v>
      </c>
      <c r="AP67" s="308" t="e">
        <f t="shared" si="8"/>
        <v>#VALUE!</v>
      </c>
    </row>
    <row r="68" s="15" customFormat="1" ht="24" customHeight="1" spans="1:42">
      <c r="A68" s="306">
        <v>46206</v>
      </c>
      <c r="B68" s="77" t="str">
        <f ca="1" t="shared" si="13"/>
        <v>未</v>
      </c>
      <c r="C68" s="347" t="s">
        <v>237</v>
      </c>
      <c r="D68" s="299" t="s">
        <v>456</v>
      </c>
      <c r="E68" s="300" t="s">
        <v>428</v>
      </c>
      <c r="F68" s="307">
        <v>10131347</v>
      </c>
      <c r="G68" s="384" t="s">
        <v>339</v>
      </c>
      <c r="H68" s="385" t="s">
        <v>105</v>
      </c>
      <c r="I68" s="309" t="str">
        <f>IFERROR(VLOOKUP(H68,名称!A:C,2,0),"")</f>
        <v>农场男孩套装</v>
      </c>
      <c r="J68" s="349">
        <v>616</v>
      </c>
      <c r="K68" s="309">
        <v>4</v>
      </c>
      <c r="L68" s="308">
        <f t="shared" si="14"/>
        <v>154</v>
      </c>
      <c r="M68" s="305">
        <v>46295</v>
      </c>
      <c r="N68" s="306">
        <f t="shared" si="9"/>
        <v>46293</v>
      </c>
      <c r="O68" s="77" t="s">
        <v>467</v>
      </c>
      <c r="P68" s="299" t="s">
        <v>473</v>
      </c>
      <c r="Q68" s="385" t="s">
        <v>458</v>
      </c>
      <c r="R68" s="307"/>
      <c r="S68" s="306"/>
      <c r="T68" s="299" t="s">
        <v>496</v>
      </c>
      <c r="U68" s="306"/>
      <c r="V68" s="306"/>
      <c r="W68" s="307"/>
      <c r="X68" s="308"/>
      <c r="Y68" s="383">
        <v>2.994</v>
      </c>
      <c r="Z68" s="352">
        <f t="shared" si="15"/>
        <v>1844.3</v>
      </c>
      <c r="AA68" s="352">
        <f t="shared" si="16"/>
        <v>14293.33</v>
      </c>
      <c r="AB68" s="85"/>
      <c r="AC68" s="306"/>
      <c r="AD68" s="306"/>
      <c r="AE68" s="306" t="str">
        <f>IFERROR(VLOOKUP(H68,名称!A:D,4,0),"")</f>
        <v>KIK</v>
      </c>
      <c r="AF68" s="309"/>
      <c r="AG68" s="309"/>
      <c r="AH68" s="310" t="s">
        <v>487</v>
      </c>
      <c r="AI68" s="311"/>
      <c r="AJ68" s="389">
        <v>46220</v>
      </c>
      <c r="AK68" s="311"/>
      <c r="AL68" s="311">
        <v>46234</v>
      </c>
      <c r="AM68" s="311"/>
      <c r="AN68" s="311"/>
      <c r="AO68" s="308">
        <f t="shared" si="7"/>
        <v>89</v>
      </c>
      <c r="AP68" s="308" t="e">
        <f t="shared" si="8"/>
        <v>#VALUE!</v>
      </c>
    </row>
    <row r="69" s="15" customFormat="1" ht="24" customHeight="1" spans="1:42">
      <c r="A69" s="306">
        <v>46206</v>
      </c>
      <c r="B69" s="77" t="str">
        <f ca="1" t="shared" si="13"/>
        <v>未</v>
      </c>
      <c r="C69" s="347" t="s">
        <v>237</v>
      </c>
      <c r="D69" s="299" t="s">
        <v>456</v>
      </c>
      <c r="E69" s="300" t="s">
        <v>428</v>
      </c>
      <c r="F69" s="307">
        <v>10131349</v>
      </c>
      <c r="G69" s="384" t="s">
        <v>340</v>
      </c>
      <c r="H69" s="385" t="s">
        <v>105</v>
      </c>
      <c r="I69" s="309" t="str">
        <f>IFERROR(VLOOKUP(H69,名称!A:C,2,0),"")</f>
        <v>农场男孩套装</v>
      </c>
      <c r="J69" s="349">
        <v>476</v>
      </c>
      <c r="K69" s="309">
        <v>4</v>
      </c>
      <c r="L69" s="308">
        <f t="shared" si="14"/>
        <v>119</v>
      </c>
      <c r="M69" s="305">
        <v>46295</v>
      </c>
      <c r="N69" s="306">
        <f t="shared" si="9"/>
        <v>46293</v>
      </c>
      <c r="O69" s="77" t="s">
        <v>467</v>
      </c>
      <c r="P69" s="299" t="s">
        <v>473</v>
      </c>
      <c r="Q69" s="385" t="s">
        <v>458</v>
      </c>
      <c r="R69" s="307"/>
      <c r="S69" s="306"/>
      <c r="T69" s="299" t="s">
        <v>496</v>
      </c>
      <c r="U69" s="306"/>
      <c r="V69" s="306"/>
      <c r="W69" s="307"/>
      <c r="X69" s="308"/>
      <c r="Y69" s="383">
        <v>2.994</v>
      </c>
      <c r="Z69" s="352">
        <f t="shared" si="15"/>
        <v>1425.14</v>
      </c>
      <c r="AA69" s="352">
        <f t="shared" si="16"/>
        <v>11044.84</v>
      </c>
      <c r="AB69" s="85"/>
      <c r="AC69" s="306"/>
      <c r="AD69" s="306"/>
      <c r="AE69" s="306" t="str">
        <f>IFERROR(VLOOKUP(H69,名称!A:D,4,0),"")</f>
        <v>KIK</v>
      </c>
      <c r="AF69" s="309"/>
      <c r="AG69" s="309"/>
      <c r="AH69" s="310" t="s">
        <v>487</v>
      </c>
      <c r="AI69" s="311"/>
      <c r="AJ69" s="389">
        <v>46220</v>
      </c>
      <c r="AK69" s="311"/>
      <c r="AL69" s="311">
        <v>46234</v>
      </c>
      <c r="AM69" s="311"/>
      <c r="AN69" s="311"/>
      <c r="AO69" s="308">
        <f t="shared" si="7"/>
        <v>89</v>
      </c>
      <c r="AP69" s="308" t="e">
        <f t="shared" si="8"/>
        <v>#VALUE!</v>
      </c>
    </row>
    <row r="70" s="15" customFormat="1" ht="24" customHeight="1" spans="1:42">
      <c r="A70" s="306">
        <v>46206</v>
      </c>
      <c r="B70" s="77" t="str">
        <f ca="1" t="shared" si="13"/>
        <v>未</v>
      </c>
      <c r="C70" s="347" t="s">
        <v>237</v>
      </c>
      <c r="D70" s="299" t="s">
        <v>456</v>
      </c>
      <c r="E70" s="300" t="s">
        <v>428</v>
      </c>
      <c r="F70" s="307">
        <v>10131351</v>
      </c>
      <c r="G70" s="384" t="s">
        <v>341</v>
      </c>
      <c r="H70" s="385" t="s">
        <v>105</v>
      </c>
      <c r="I70" s="309" t="str">
        <f>IFERROR(VLOOKUP(H70,名称!A:C,2,0),"")</f>
        <v>农场男孩套装</v>
      </c>
      <c r="J70" s="349">
        <v>392</v>
      </c>
      <c r="K70" s="309">
        <v>4</v>
      </c>
      <c r="L70" s="308">
        <f t="shared" si="14"/>
        <v>98</v>
      </c>
      <c r="M70" s="305">
        <v>46295</v>
      </c>
      <c r="N70" s="306">
        <f t="shared" si="9"/>
        <v>46293</v>
      </c>
      <c r="O70" s="77" t="s">
        <v>467</v>
      </c>
      <c r="P70" s="299" t="s">
        <v>473</v>
      </c>
      <c r="Q70" s="385" t="s">
        <v>458</v>
      </c>
      <c r="R70" s="307"/>
      <c r="S70" s="306"/>
      <c r="T70" s="299" t="s">
        <v>496</v>
      </c>
      <c r="U70" s="306"/>
      <c r="V70" s="306"/>
      <c r="W70" s="307"/>
      <c r="X70" s="308"/>
      <c r="Y70" s="383">
        <v>2.994</v>
      </c>
      <c r="Z70" s="352">
        <f t="shared" si="15"/>
        <v>1173.65</v>
      </c>
      <c r="AA70" s="352">
        <f t="shared" si="16"/>
        <v>9095.79</v>
      </c>
      <c r="AB70" s="85"/>
      <c r="AC70" s="306"/>
      <c r="AD70" s="306"/>
      <c r="AE70" s="306" t="str">
        <f>IFERROR(VLOOKUP(H70,名称!A:D,4,0),"")</f>
        <v>KIK</v>
      </c>
      <c r="AF70" s="309"/>
      <c r="AG70" s="309"/>
      <c r="AH70" s="310" t="s">
        <v>487</v>
      </c>
      <c r="AI70" s="311"/>
      <c r="AJ70" s="389">
        <v>46220</v>
      </c>
      <c r="AK70" s="311"/>
      <c r="AL70" s="311">
        <v>46234</v>
      </c>
      <c r="AM70" s="311"/>
      <c r="AN70" s="311"/>
      <c r="AO70" s="308">
        <f t="shared" si="7"/>
        <v>89</v>
      </c>
      <c r="AP70" s="308" t="e">
        <f t="shared" si="8"/>
        <v>#VALUE!</v>
      </c>
    </row>
    <row r="71" s="15" customFormat="1" customHeight="1" spans="1:42">
      <c r="A71" s="306">
        <v>46206</v>
      </c>
      <c r="B71" s="77" t="str">
        <f ca="1" t="shared" si="13"/>
        <v>未</v>
      </c>
      <c r="C71" s="347" t="s">
        <v>237</v>
      </c>
      <c r="D71" s="299" t="s">
        <v>456</v>
      </c>
      <c r="E71" s="300" t="s">
        <v>428</v>
      </c>
      <c r="F71" s="307">
        <v>10131353</v>
      </c>
      <c r="G71" s="384" t="s">
        <v>342</v>
      </c>
      <c r="H71" s="385" t="s">
        <v>105</v>
      </c>
      <c r="I71" s="309" t="str">
        <f>IFERROR(VLOOKUP(H71,名称!A:C,2,0),"")</f>
        <v>农场男孩套装</v>
      </c>
      <c r="J71" s="349">
        <v>784</v>
      </c>
      <c r="K71" s="309">
        <v>4</v>
      </c>
      <c r="L71" s="308">
        <f t="shared" si="14"/>
        <v>196</v>
      </c>
      <c r="M71" s="305">
        <v>46295</v>
      </c>
      <c r="N71" s="306">
        <f t="shared" si="9"/>
        <v>46293</v>
      </c>
      <c r="O71" s="77" t="s">
        <v>467</v>
      </c>
      <c r="P71" s="299" t="s">
        <v>473</v>
      </c>
      <c r="Q71" s="385" t="s">
        <v>458</v>
      </c>
      <c r="R71" s="307"/>
      <c r="S71" s="306"/>
      <c r="T71" s="299" t="s">
        <v>496</v>
      </c>
      <c r="U71" s="306"/>
      <c r="V71" s="306"/>
      <c r="W71" s="307"/>
      <c r="X71" s="308"/>
      <c r="Y71" s="383">
        <v>2.994</v>
      </c>
      <c r="Z71" s="352">
        <f t="shared" si="15"/>
        <v>2347.3</v>
      </c>
      <c r="AA71" s="352">
        <f t="shared" si="16"/>
        <v>18191.58</v>
      </c>
      <c r="AB71" s="85"/>
      <c r="AC71" s="306"/>
      <c r="AD71" s="306"/>
      <c r="AE71" s="306" t="str">
        <f>IFERROR(VLOOKUP(H71,名称!A:D,4,0),"")</f>
        <v>KIK</v>
      </c>
      <c r="AF71" s="309"/>
      <c r="AG71" s="309"/>
      <c r="AH71" s="310" t="s">
        <v>487</v>
      </c>
      <c r="AI71" s="311"/>
      <c r="AJ71" s="389">
        <v>46220</v>
      </c>
      <c r="AK71" s="311"/>
      <c r="AL71" s="311">
        <v>46234</v>
      </c>
      <c r="AM71" s="311"/>
      <c r="AN71" s="311"/>
      <c r="AO71" s="308">
        <f t="shared" si="7"/>
        <v>89</v>
      </c>
      <c r="AP71" s="308" t="e">
        <f t="shared" si="8"/>
        <v>#VALUE!</v>
      </c>
    </row>
    <row r="72" s="15" customFormat="1" customHeight="1" spans="1:42">
      <c r="A72" s="306">
        <v>46206</v>
      </c>
      <c r="B72" s="77" t="str">
        <f ca="1" t="shared" si="13"/>
        <v>未</v>
      </c>
      <c r="C72" s="347" t="s">
        <v>237</v>
      </c>
      <c r="D72" s="299" t="s">
        <v>456</v>
      </c>
      <c r="E72" s="300" t="s">
        <v>428</v>
      </c>
      <c r="F72" s="307">
        <v>10131356</v>
      </c>
      <c r="G72" s="384" t="s">
        <v>343</v>
      </c>
      <c r="H72" s="385" t="s">
        <v>105</v>
      </c>
      <c r="I72" s="309" t="str">
        <f>IFERROR(VLOOKUP(H72,名称!A:C,2,0),"")</f>
        <v>农场男孩套装</v>
      </c>
      <c r="J72" s="349">
        <v>532</v>
      </c>
      <c r="K72" s="309">
        <v>4</v>
      </c>
      <c r="L72" s="308">
        <f t="shared" si="14"/>
        <v>133</v>
      </c>
      <c r="M72" s="305">
        <v>46295</v>
      </c>
      <c r="N72" s="306">
        <f t="shared" si="9"/>
        <v>46293</v>
      </c>
      <c r="O72" s="77" t="s">
        <v>467</v>
      </c>
      <c r="P72" s="299" t="s">
        <v>473</v>
      </c>
      <c r="Q72" s="385" t="s">
        <v>458</v>
      </c>
      <c r="R72" s="307"/>
      <c r="S72" s="306"/>
      <c r="T72" s="299" t="s">
        <v>496</v>
      </c>
      <c r="U72" s="306"/>
      <c r="V72" s="306"/>
      <c r="W72" s="307"/>
      <c r="X72" s="308"/>
      <c r="Y72" s="383">
        <v>2.994</v>
      </c>
      <c r="Z72" s="352">
        <f t="shared" si="15"/>
        <v>1592.81</v>
      </c>
      <c r="AA72" s="352">
        <f t="shared" si="16"/>
        <v>12344.28</v>
      </c>
      <c r="AB72" s="85"/>
      <c r="AC72" s="306"/>
      <c r="AD72" s="306"/>
      <c r="AE72" s="306" t="str">
        <f>IFERROR(VLOOKUP(H72,名称!A:D,4,0),"")</f>
        <v>KIK</v>
      </c>
      <c r="AF72" s="309"/>
      <c r="AG72" s="309"/>
      <c r="AH72" s="310" t="s">
        <v>487</v>
      </c>
      <c r="AI72" s="311"/>
      <c r="AJ72" s="389">
        <v>46220</v>
      </c>
      <c r="AK72" s="311"/>
      <c r="AL72" s="311">
        <v>46234</v>
      </c>
      <c r="AM72" s="311"/>
      <c r="AN72" s="311"/>
      <c r="AO72" s="308">
        <f t="shared" si="7"/>
        <v>89</v>
      </c>
      <c r="AP72" s="308" t="e">
        <f t="shared" si="8"/>
        <v>#VALUE!</v>
      </c>
    </row>
    <row r="73" s="15" customFormat="1" customHeight="1" spans="1:42">
      <c r="A73" s="306">
        <v>46206</v>
      </c>
      <c r="B73" s="77" t="str">
        <f ca="1" t="shared" si="13"/>
        <v>未</v>
      </c>
      <c r="C73" s="347" t="s">
        <v>237</v>
      </c>
      <c r="D73" s="299" t="s">
        <v>461</v>
      </c>
      <c r="E73" s="300" t="s">
        <v>428</v>
      </c>
      <c r="F73" s="307">
        <v>10131360</v>
      </c>
      <c r="G73" s="384" t="s">
        <v>344</v>
      </c>
      <c r="H73" s="385" t="s">
        <v>105</v>
      </c>
      <c r="I73" s="309" t="str">
        <f>IFERROR(VLOOKUP(H73,名称!A:C,2,0),"")</f>
        <v>农场男孩套装</v>
      </c>
      <c r="J73" s="349">
        <v>484</v>
      </c>
      <c r="K73" s="309">
        <v>4</v>
      </c>
      <c r="L73" s="308">
        <f t="shared" si="14"/>
        <v>121</v>
      </c>
      <c r="M73" s="305">
        <v>46295</v>
      </c>
      <c r="N73" s="306">
        <f t="shared" si="9"/>
        <v>46293</v>
      </c>
      <c r="O73" s="77" t="s">
        <v>467</v>
      </c>
      <c r="P73" s="299" t="s">
        <v>473</v>
      </c>
      <c r="Q73" s="385" t="s">
        <v>458</v>
      </c>
      <c r="R73" s="307"/>
      <c r="S73" s="306"/>
      <c r="T73" s="299" t="s">
        <v>496</v>
      </c>
      <c r="U73" s="306"/>
      <c r="V73" s="306"/>
      <c r="W73" s="307"/>
      <c r="X73" s="308"/>
      <c r="Y73" s="383">
        <v>2.994</v>
      </c>
      <c r="Z73" s="352">
        <f t="shared" si="15"/>
        <v>1449.1</v>
      </c>
      <c r="AA73" s="352">
        <f t="shared" si="16"/>
        <v>11230.53</v>
      </c>
      <c r="AB73" s="85"/>
      <c r="AC73" s="306"/>
      <c r="AD73" s="306"/>
      <c r="AE73" s="306" t="str">
        <f>IFERROR(VLOOKUP(H73,名称!A:D,4,0),"")</f>
        <v>KIK</v>
      </c>
      <c r="AF73" s="309"/>
      <c r="AG73" s="309"/>
      <c r="AH73" s="310" t="s">
        <v>487</v>
      </c>
      <c r="AI73" s="311"/>
      <c r="AJ73" s="389">
        <v>46220</v>
      </c>
      <c r="AK73" s="311"/>
      <c r="AL73" s="311">
        <v>46234</v>
      </c>
      <c r="AM73" s="311"/>
      <c r="AN73" s="311"/>
      <c r="AO73" s="308">
        <f t="shared" si="7"/>
        <v>89</v>
      </c>
      <c r="AP73" s="308" t="e">
        <f t="shared" si="8"/>
        <v>#VALUE!</v>
      </c>
    </row>
    <row r="74" s="15" customFormat="1" customHeight="1" spans="1:42">
      <c r="A74" s="306">
        <v>46206</v>
      </c>
      <c r="B74" s="77" t="str">
        <f ca="1" t="shared" si="13"/>
        <v>未</v>
      </c>
      <c r="C74" s="347" t="s">
        <v>237</v>
      </c>
      <c r="D74" s="299" t="s">
        <v>461</v>
      </c>
      <c r="E74" s="300" t="s">
        <v>428</v>
      </c>
      <c r="F74" s="307">
        <v>10131362</v>
      </c>
      <c r="G74" s="384" t="s">
        <v>345</v>
      </c>
      <c r="H74" s="385" t="s">
        <v>105</v>
      </c>
      <c r="I74" s="309" t="str">
        <f>IFERROR(VLOOKUP(H74,名称!A:C,2,0),"")</f>
        <v>农场男孩套装</v>
      </c>
      <c r="J74" s="349">
        <v>308</v>
      </c>
      <c r="K74" s="309">
        <v>4</v>
      </c>
      <c r="L74" s="308">
        <f t="shared" si="14"/>
        <v>77</v>
      </c>
      <c r="M74" s="305">
        <v>46295</v>
      </c>
      <c r="N74" s="306">
        <f t="shared" si="9"/>
        <v>46293</v>
      </c>
      <c r="O74" s="77" t="s">
        <v>467</v>
      </c>
      <c r="P74" s="299" t="s">
        <v>473</v>
      </c>
      <c r="Q74" s="385" t="s">
        <v>458</v>
      </c>
      <c r="R74" s="307"/>
      <c r="S74" s="306"/>
      <c r="T74" s="299" t="s">
        <v>496</v>
      </c>
      <c r="U74" s="306"/>
      <c r="V74" s="306"/>
      <c r="W74" s="307"/>
      <c r="X74" s="308"/>
      <c r="Y74" s="383">
        <v>2.994</v>
      </c>
      <c r="Z74" s="352">
        <f t="shared" si="15"/>
        <v>922.15</v>
      </c>
      <c r="AA74" s="352">
        <f t="shared" si="16"/>
        <v>7146.66</v>
      </c>
      <c r="AB74" s="85"/>
      <c r="AC74" s="306"/>
      <c r="AD74" s="306"/>
      <c r="AE74" s="306" t="str">
        <f>IFERROR(VLOOKUP(H74,名称!A:D,4,0),"")</f>
        <v>KIK</v>
      </c>
      <c r="AF74" s="309"/>
      <c r="AG74" s="309"/>
      <c r="AH74" s="310" t="s">
        <v>487</v>
      </c>
      <c r="AI74" s="311"/>
      <c r="AJ74" s="389">
        <v>46220</v>
      </c>
      <c r="AK74" s="311"/>
      <c r="AL74" s="311">
        <v>46234</v>
      </c>
      <c r="AM74" s="311"/>
      <c r="AN74" s="311"/>
      <c r="AO74" s="308">
        <f t="shared" si="7"/>
        <v>89</v>
      </c>
      <c r="AP74" s="308" t="e">
        <f t="shared" si="8"/>
        <v>#VALUE!</v>
      </c>
    </row>
    <row r="75" s="15" customFormat="1" customHeight="1" spans="1:42">
      <c r="A75" s="306">
        <v>46206</v>
      </c>
      <c r="B75" s="77" t="str">
        <f ca="1" t="shared" si="13"/>
        <v>未</v>
      </c>
      <c r="C75" s="347" t="s">
        <v>237</v>
      </c>
      <c r="D75" s="299" t="s">
        <v>461</v>
      </c>
      <c r="E75" s="300" t="s">
        <v>428</v>
      </c>
      <c r="F75" s="307">
        <v>10131364</v>
      </c>
      <c r="G75" s="384" t="s">
        <v>346</v>
      </c>
      <c r="H75" s="385" t="s">
        <v>105</v>
      </c>
      <c r="I75" s="309" t="str">
        <f>IFERROR(VLOOKUP(H75,名称!A:C,2,0),"")</f>
        <v>农场男孩套装</v>
      </c>
      <c r="J75" s="349">
        <v>572</v>
      </c>
      <c r="K75" s="309">
        <v>4</v>
      </c>
      <c r="L75" s="308">
        <f t="shared" si="14"/>
        <v>143</v>
      </c>
      <c r="M75" s="305">
        <v>46295</v>
      </c>
      <c r="N75" s="306">
        <f t="shared" si="9"/>
        <v>46293</v>
      </c>
      <c r="O75" s="77" t="s">
        <v>467</v>
      </c>
      <c r="P75" s="299" t="s">
        <v>473</v>
      </c>
      <c r="Q75" s="385" t="s">
        <v>458</v>
      </c>
      <c r="R75" s="307"/>
      <c r="S75" s="306"/>
      <c r="T75" s="299" t="s">
        <v>496</v>
      </c>
      <c r="U75" s="306"/>
      <c r="V75" s="306"/>
      <c r="W75" s="307"/>
      <c r="X75" s="308"/>
      <c r="Y75" s="383">
        <v>2.994</v>
      </c>
      <c r="Z75" s="352">
        <f t="shared" si="15"/>
        <v>1712.57</v>
      </c>
      <c r="AA75" s="352">
        <f t="shared" si="16"/>
        <v>13272.42</v>
      </c>
      <c r="AB75" s="85"/>
      <c r="AC75" s="306"/>
      <c r="AD75" s="306"/>
      <c r="AE75" s="306" t="str">
        <f>IFERROR(VLOOKUP(H75,名称!A:D,4,0),"")</f>
        <v>KIK</v>
      </c>
      <c r="AF75" s="309"/>
      <c r="AG75" s="309"/>
      <c r="AH75" s="310" t="s">
        <v>487</v>
      </c>
      <c r="AI75" s="311"/>
      <c r="AJ75" s="389">
        <v>46220</v>
      </c>
      <c r="AK75" s="311"/>
      <c r="AL75" s="311">
        <v>46234</v>
      </c>
      <c r="AM75" s="311"/>
      <c r="AN75" s="311"/>
      <c r="AO75" s="308">
        <f t="shared" si="7"/>
        <v>89</v>
      </c>
      <c r="AP75" s="308" t="e">
        <f t="shared" si="8"/>
        <v>#VALUE!</v>
      </c>
    </row>
    <row r="76" s="15" customFormat="1" customHeight="1" spans="1:42">
      <c r="A76" s="306">
        <v>46206</v>
      </c>
      <c r="B76" s="77" t="str">
        <f ca="1" t="shared" si="13"/>
        <v>未</v>
      </c>
      <c r="C76" s="347" t="s">
        <v>237</v>
      </c>
      <c r="D76" s="299" t="s">
        <v>461</v>
      </c>
      <c r="E76" s="300" t="s">
        <v>428</v>
      </c>
      <c r="F76" s="307">
        <v>10131365</v>
      </c>
      <c r="G76" s="384" t="s">
        <v>347</v>
      </c>
      <c r="H76" s="385" t="s">
        <v>105</v>
      </c>
      <c r="I76" s="309" t="str">
        <f>IFERROR(VLOOKUP(H76,名称!A:C,2,0),"")</f>
        <v>农场男孩套装</v>
      </c>
      <c r="J76" s="349">
        <v>308</v>
      </c>
      <c r="K76" s="309">
        <v>4</v>
      </c>
      <c r="L76" s="308">
        <f t="shared" si="14"/>
        <v>77</v>
      </c>
      <c r="M76" s="305">
        <v>46295</v>
      </c>
      <c r="N76" s="306">
        <f t="shared" si="9"/>
        <v>46293</v>
      </c>
      <c r="O76" s="77" t="s">
        <v>467</v>
      </c>
      <c r="P76" s="299" t="s">
        <v>473</v>
      </c>
      <c r="Q76" s="385" t="s">
        <v>458</v>
      </c>
      <c r="R76" s="307"/>
      <c r="S76" s="306"/>
      <c r="T76" s="299" t="s">
        <v>496</v>
      </c>
      <c r="U76" s="306"/>
      <c r="V76" s="306"/>
      <c r="W76" s="307"/>
      <c r="X76" s="308"/>
      <c r="Y76" s="383">
        <v>2.994</v>
      </c>
      <c r="Z76" s="352">
        <f t="shared" si="15"/>
        <v>922.15</v>
      </c>
      <c r="AA76" s="352">
        <f t="shared" si="16"/>
        <v>7146.66</v>
      </c>
      <c r="AB76" s="85"/>
      <c r="AC76" s="306"/>
      <c r="AD76" s="306"/>
      <c r="AE76" s="306" t="str">
        <f>IFERROR(VLOOKUP(H76,名称!A:D,4,0),"")</f>
        <v>KIK</v>
      </c>
      <c r="AF76" s="309"/>
      <c r="AG76" s="309"/>
      <c r="AH76" s="310" t="s">
        <v>487</v>
      </c>
      <c r="AI76" s="311"/>
      <c r="AJ76" s="389">
        <v>46220</v>
      </c>
      <c r="AK76" s="311"/>
      <c r="AL76" s="311">
        <v>46234</v>
      </c>
      <c r="AM76" s="311"/>
      <c r="AN76" s="311"/>
      <c r="AO76" s="308">
        <f t="shared" si="7"/>
        <v>89</v>
      </c>
      <c r="AP76" s="308" t="e">
        <f t="shared" si="8"/>
        <v>#VALUE!</v>
      </c>
    </row>
    <row r="77" s="15" customFormat="1" customHeight="1" spans="1:42">
      <c r="A77" s="306">
        <v>46206</v>
      </c>
      <c r="B77" s="77" t="str">
        <f ca="1" t="shared" si="13"/>
        <v>未</v>
      </c>
      <c r="C77" s="347" t="s">
        <v>237</v>
      </c>
      <c r="D77" s="299" t="s">
        <v>461</v>
      </c>
      <c r="E77" s="300" t="s">
        <v>428</v>
      </c>
      <c r="F77" s="307">
        <v>10131369</v>
      </c>
      <c r="G77" s="384" t="s">
        <v>348</v>
      </c>
      <c r="H77" s="385" t="s">
        <v>105</v>
      </c>
      <c r="I77" s="309" t="str">
        <f>IFERROR(VLOOKUP(H77,名称!A:C,2,0),"")</f>
        <v>农场男孩套装</v>
      </c>
      <c r="J77" s="349">
        <v>508</v>
      </c>
      <c r="K77" s="309">
        <v>4</v>
      </c>
      <c r="L77" s="308">
        <f t="shared" si="14"/>
        <v>127</v>
      </c>
      <c r="M77" s="305">
        <v>46295</v>
      </c>
      <c r="N77" s="306">
        <f t="shared" si="9"/>
        <v>46293</v>
      </c>
      <c r="O77" s="77" t="s">
        <v>467</v>
      </c>
      <c r="P77" s="299" t="s">
        <v>473</v>
      </c>
      <c r="Q77" s="385" t="s">
        <v>458</v>
      </c>
      <c r="R77" s="307"/>
      <c r="S77" s="306"/>
      <c r="T77" s="299" t="s">
        <v>496</v>
      </c>
      <c r="U77" s="306"/>
      <c r="V77" s="306"/>
      <c r="W77" s="307"/>
      <c r="X77" s="308"/>
      <c r="Y77" s="383">
        <v>2.994</v>
      </c>
      <c r="Z77" s="352">
        <f t="shared" si="15"/>
        <v>1520.95</v>
      </c>
      <c r="AA77" s="352">
        <f t="shared" si="16"/>
        <v>11787.36</v>
      </c>
      <c r="AB77" s="85"/>
      <c r="AC77" s="306"/>
      <c r="AD77" s="306"/>
      <c r="AE77" s="306" t="str">
        <f>IFERROR(VLOOKUP(H77,名称!A:D,4,0),"")</f>
        <v>KIK</v>
      </c>
      <c r="AF77" s="309"/>
      <c r="AG77" s="309"/>
      <c r="AH77" s="310" t="s">
        <v>487</v>
      </c>
      <c r="AI77" s="311"/>
      <c r="AJ77" s="389">
        <v>46220</v>
      </c>
      <c r="AK77" s="311"/>
      <c r="AL77" s="311">
        <v>46234</v>
      </c>
      <c r="AM77" s="311"/>
      <c r="AN77" s="311"/>
      <c r="AO77" s="308">
        <f t="shared" si="7"/>
        <v>89</v>
      </c>
      <c r="AP77" s="308" t="e">
        <f t="shared" si="8"/>
        <v>#VALUE!</v>
      </c>
    </row>
    <row r="78" s="15" customFormat="1" customHeight="1" spans="1:42">
      <c r="A78" s="306">
        <v>46206</v>
      </c>
      <c r="B78" s="77" t="str">
        <f ca="1" t="shared" si="13"/>
        <v>未</v>
      </c>
      <c r="C78" s="347" t="s">
        <v>237</v>
      </c>
      <c r="D78" s="299" t="s">
        <v>456</v>
      </c>
      <c r="E78" s="300" t="s">
        <v>428</v>
      </c>
      <c r="F78" s="307">
        <v>10131376</v>
      </c>
      <c r="G78" s="384" t="s">
        <v>349</v>
      </c>
      <c r="H78" s="385">
        <v>47669</v>
      </c>
      <c r="I78" s="309" t="str">
        <f>IFERROR(VLOOKUP(H78,名称!A:C,2,0),"")</f>
        <v>动物车</v>
      </c>
      <c r="J78" s="349">
        <v>1000</v>
      </c>
      <c r="K78" s="309">
        <v>4</v>
      </c>
      <c r="L78" s="308">
        <f t="shared" si="14"/>
        <v>250</v>
      </c>
      <c r="M78" s="305">
        <v>46295</v>
      </c>
      <c r="N78" s="306">
        <f t="shared" si="9"/>
        <v>46293</v>
      </c>
      <c r="O78" s="77" t="s">
        <v>467</v>
      </c>
      <c r="P78" s="299" t="s">
        <v>473</v>
      </c>
      <c r="Q78" s="385" t="s">
        <v>458</v>
      </c>
      <c r="R78" s="307"/>
      <c r="S78" s="306"/>
      <c r="T78" s="299" t="s">
        <v>496</v>
      </c>
      <c r="U78" s="306"/>
      <c r="V78" s="306"/>
      <c r="W78" s="307"/>
      <c r="X78" s="308"/>
      <c r="Y78" s="383">
        <v>4.906</v>
      </c>
      <c r="Z78" s="352">
        <f t="shared" si="15"/>
        <v>4906</v>
      </c>
      <c r="AA78" s="352">
        <f t="shared" si="16"/>
        <v>38021.5</v>
      </c>
      <c r="AB78" s="85"/>
      <c r="AC78" s="306"/>
      <c r="AD78" s="306"/>
      <c r="AE78" s="306" t="str">
        <f>IFERROR(VLOOKUP(H78,名称!A:D,4,0),"")</f>
        <v>KIK</v>
      </c>
      <c r="AF78" s="309"/>
      <c r="AG78" s="309"/>
      <c r="AH78" s="310" t="s">
        <v>487</v>
      </c>
      <c r="AI78" s="311"/>
      <c r="AJ78" s="311"/>
      <c r="AK78" s="310" t="s">
        <v>420</v>
      </c>
      <c r="AL78" s="310">
        <v>46234</v>
      </c>
      <c r="AM78" s="311"/>
      <c r="AN78" s="311"/>
      <c r="AO78" s="308">
        <f t="shared" si="7"/>
        <v>89</v>
      </c>
      <c r="AP78" s="308" t="e">
        <f t="shared" si="8"/>
        <v>#VALUE!</v>
      </c>
    </row>
    <row r="79" s="15" customFormat="1" customHeight="1" spans="1:42">
      <c r="A79" s="306">
        <v>46206</v>
      </c>
      <c r="B79" s="77" t="str">
        <f ca="1" t="shared" si="13"/>
        <v>未</v>
      </c>
      <c r="C79" s="347" t="s">
        <v>237</v>
      </c>
      <c r="D79" s="299" t="s">
        <v>456</v>
      </c>
      <c r="E79" s="300" t="s">
        <v>428</v>
      </c>
      <c r="F79" s="307">
        <v>10131379</v>
      </c>
      <c r="G79" s="384" t="s">
        <v>350</v>
      </c>
      <c r="H79" s="385">
        <v>47669</v>
      </c>
      <c r="I79" s="309" t="str">
        <f>IFERROR(VLOOKUP(H79,名称!A:C,2,0),"")</f>
        <v>动物车</v>
      </c>
      <c r="J79" s="349">
        <v>792</v>
      </c>
      <c r="K79" s="309">
        <v>4</v>
      </c>
      <c r="L79" s="308">
        <f t="shared" si="14"/>
        <v>198</v>
      </c>
      <c r="M79" s="305">
        <v>46295</v>
      </c>
      <c r="N79" s="306">
        <f t="shared" si="9"/>
        <v>46293</v>
      </c>
      <c r="O79" s="77" t="s">
        <v>467</v>
      </c>
      <c r="P79" s="299" t="s">
        <v>473</v>
      </c>
      <c r="Q79" s="385" t="s">
        <v>458</v>
      </c>
      <c r="R79" s="307"/>
      <c r="S79" s="306"/>
      <c r="T79" s="299" t="s">
        <v>496</v>
      </c>
      <c r="U79" s="306"/>
      <c r="V79" s="306"/>
      <c r="W79" s="307"/>
      <c r="X79" s="308"/>
      <c r="Y79" s="383">
        <v>4.906</v>
      </c>
      <c r="Z79" s="352">
        <f t="shared" si="15"/>
        <v>3885.55</v>
      </c>
      <c r="AA79" s="352">
        <f t="shared" si="16"/>
        <v>30113.01</v>
      </c>
      <c r="AB79" s="85"/>
      <c r="AC79" s="306"/>
      <c r="AD79" s="306"/>
      <c r="AE79" s="306" t="str">
        <f>IFERROR(VLOOKUP(H79,名称!A:D,4,0),"")</f>
        <v>KIK</v>
      </c>
      <c r="AF79" s="309"/>
      <c r="AG79" s="309"/>
      <c r="AH79" s="310" t="s">
        <v>487</v>
      </c>
      <c r="AI79" s="311"/>
      <c r="AJ79" s="311"/>
      <c r="AK79" s="310" t="s">
        <v>420</v>
      </c>
      <c r="AL79" s="310">
        <v>46234</v>
      </c>
      <c r="AM79" s="311"/>
      <c r="AN79" s="311"/>
      <c r="AO79" s="308">
        <f t="shared" si="7"/>
        <v>89</v>
      </c>
      <c r="AP79" s="308" t="e">
        <f t="shared" si="8"/>
        <v>#VALUE!</v>
      </c>
    </row>
    <row r="80" s="15" customFormat="1" customHeight="1" spans="1:42">
      <c r="A80" s="306">
        <v>46206</v>
      </c>
      <c r="B80" s="77" t="str">
        <f ca="1" t="shared" si="13"/>
        <v>未</v>
      </c>
      <c r="C80" s="347" t="s">
        <v>237</v>
      </c>
      <c r="D80" s="299" t="s">
        <v>456</v>
      </c>
      <c r="E80" s="300" t="s">
        <v>428</v>
      </c>
      <c r="F80" s="307">
        <v>10131383</v>
      </c>
      <c r="G80" s="384" t="s">
        <v>351</v>
      </c>
      <c r="H80" s="385">
        <v>47669</v>
      </c>
      <c r="I80" s="309" t="str">
        <f>IFERROR(VLOOKUP(H80,名称!A:C,2,0),"")</f>
        <v>动物车</v>
      </c>
      <c r="J80" s="349">
        <v>748</v>
      </c>
      <c r="K80" s="309">
        <v>4</v>
      </c>
      <c r="L80" s="308">
        <f t="shared" si="14"/>
        <v>187</v>
      </c>
      <c r="M80" s="305">
        <v>46295</v>
      </c>
      <c r="N80" s="306">
        <f t="shared" si="9"/>
        <v>46293</v>
      </c>
      <c r="O80" s="77" t="s">
        <v>467</v>
      </c>
      <c r="P80" s="299" t="s">
        <v>473</v>
      </c>
      <c r="Q80" s="385" t="s">
        <v>458</v>
      </c>
      <c r="R80" s="307"/>
      <c r="S80" s="306"/>
      <c r="T80" s="299" t="s">
        <v>496</v>
      </c>
      <c r="U80" s="306"/>
      <c r="V80" s="306"/>
      <c r="W80" s="307"/>
      <c r="X80" s="308"/>
      <c r="Y80" s="383">
        <v>4.906</v>
      </c>
      <c r="Z80" s="352">
        <f t="shared" si="15"/>
        <v>3669.69</v>
      </c>
      <c r="AA80" s="352">
        <f t="shared" si="16"/>
        <v>28440.1</v>
      </c>
      <c r="AB80" s="85"/>
      <c r="AC80" s="306"/>
      <c r="AD80" s="306"/>
      <c r="AE80" s="306" t="str">
        <f>IFERROR(VLOOKUP(H80,名称!A:D,4,0),"")</f>
        <v>KIK</v>
      </c>
      <c r="AF80" s="309"/>
      <c r="AG80" s="309"/>
      <c r="AH80" s="310" t="s">
        <v>487</v>
      </c>
      <c r="AI80" s="311"/>
      <c r="AJ80" s="311"/>
      <c r="AK80" s="310" t="s">
        <v>420</v>
      </c>
      <c r="AL80" s="310">
        <v>46234</v>
      </c>
      <c r="AM80" s="311"/>
      <c r="AN80" s="311"/>
      <c r="AO80" s="308">
        <f t="shared" si="7"/>
        <v>89</v>
      </c>
      <c r="AP80" s="308" t="e">
        <f t="shared" si="8"/>
        <v>#VALUE!</v>
      </c>
    </row>
    <row r="81" s="15" customFormat="1" customHeight="1" spans="1:42">
      <c r="A81" s="306">
        <v>46206</v>
      </c>
      <c r="B81" s="77" t="str">
        <f ca="1" t="shared" si="13"/>
        <v>未</v>
      </c>
      <c r="C81" s="347" t="s">
        <v>237</v>
      </c>
      <c r="D81" s="299" t="s">
        <v>456</v>
      </c>
      <c r="E81" s="300" t="s">
        <v>428</v>
      </c>
      <c r="F81" s="307">
        <v>10131387</v>
      </c>
      <c r="G81" s="384" t="s">
        <v>352</v>
      </c>
      <c r="H81" s="385">
        <v>47669</v>
      </c>
      <c r="I81" s="309" t="str">
        <f>IFERROR(VLOOKUP(H81,名称!A:C,2,0),"")</f>
        <v>动物车</v>
      </c>
      <c r="J81" s="349">
        <v>176</v>
      </c>
      <c r="K81" s="309">
        <v>4</v>
      </c>
      <c r="L81" s="308">
        <f t="shared" si="14"/>
        <v>44</v>
      </c>
      <c r="M81" s="305">
        <v>46295</v>
      </c>
      <c r="N81" s="306">
        <f t="shared" si="9"/>
        <v>46293</v>
      </c>
      <c r="O81" s="77" t="s">
        <v>467</v>
      </c>
      <c r="P81" s="299" t="s">
        <v>473</v>
      </c>
      <c r="Q81" s="385" t="s">
        <v>458</v>
      </c>
      <c r="R81" s="307"/>
      <c r="S81" s="306"/>
      <c r="T81" s="299" t="s">
        <v>496</v>
      </c>
      <c r="U81" s="306"/>
      <c r="V81" s="306"/>
      <c r="W81" s="307"/>
      <c r="X81" s="308"/>
      <c r="Y81" s="383">
        <v>4.906</v>
      </c>
      <c r="Z81" s="352">
        <f t="shared" si="15"/>
        <v>863.46</v>
      </c>
      <c r="AA81" s="352">
        <f t="shared" si="16"/>
        <v>6691.82</v>
      </c>
      <c r="AB81" s="85"/>
      <c r="AC81" s="306"/>
      <c r="AD81" s="306"/>
      <c r="AE81" s="306" t="str">
        <f>IFERROR(VLOOKUP(H81,名称!A:D,4,0),"")</f>
        <v>KIK</v>
      </c>
      <c r="AF81" s="309"/>
      <c r="AG81" s="309"/>
      <c r="AH81" s="310" t="s">
        <v>487</v>
      </c>
      <c r="AI81" s="311"/>
      <c r="AJ81" s="311"/>
      <c r="AK81" s="310" t="s">
        <v>420</v>
      </c>
      <c r="AL81" s="310">
        <v>46234</v>
      </c>
      <c r="AM81" s="311"/>
      <c r="AN81" s="311"/>
      <c r="AO81" s="308">
        <f t="shared" si="7"/>
        <v>89</v>
      </c>
      <c r="AP81" s="308" t="e">
        <f t="shared" si="8"/>
        <v>#VALUE!</v>
      </c>
    </row>
    <row r="82" s="15" customFormat="1" customHeight="1" spans="1:42">
      <c r="A82" s="306">
        <v>46206</v>
      </c>
      <c r="B82" s="77" t="str">
        <f ca="1" t="shared" si="13"/>
        <v>未</v>
      </c>
      <c r="C82" s="347" t="s">
        <v>237</v>
      </c>
      <c r="D82" s="299" t="s">
        <v>461</v>
      </c>
      <c r="E82" s="300" t="s">
        <v>428</v>
      </c>
      <c r="F82" s="307">
        <v>10131392</v>
      </c>
      <c r="G82" s="384" t="s">
        <v>353</v>
      </c>
      <c r="H82" s="385">
        <v>47669</v>
      </c>
      <c r="I82" s="309" t="str">
        <f>IFERROR(VLOOKUP(H82,名称!A:C,2,0),"")</f>
        <v>动物车</v>
      </c>
      <c r="J82" s="349">
        <v>212</v>
      </c>
      <c r="K82" s="309">
        <v>4</v>
      </c>
      <c r="L82" s="308">
        <f t="shared" si="14"/>
        <v>53</v>
      </c>
      <c r="M82" s="305">
        <v>46295</v>
      </c>
      <c r="N82" s="306">
        <f t="shared" si="9"/>
        <v>46293</v>
      </c>
      <c r="O82" s="77" t="s">
        <v>467</v>
      </c>
      <c r="P82" s="299" t="s">
        <v>473</v>
      </c>
      <c r="Q82" s="385" t="s">
        <v>458</v>
      </c>
      <c r="R82" s="307"/>
      <c r="S82" s="306"/>
      <c r="T82" s="299" t="s">
        <v>496</v>
      </c>
      <c r="U82" s="306"/>
      <c r="V82" s="306"/>
      <c r="W82" s="307"/>
      <c r="X82" s="308"/>
      <c r="Y82" s="383">
        <v>4.906</v>
      </c>
      <c r="Z82" s="352">
        <f t="shared" si="15"/>
        <v>1040.07</v>
      </c>
      <c r="AA82" s="352">
        <f t="shared" si="16"/>
        <v>8060.54</v>
      </c>
      <c r="AB82" s="85"/>
      <c r="AC82" s="306"/>
      <c r="AD82" s="306"/>
      <c r="AE82" s="306" t="str">
        <f>IFERROR(VLOOKUP(H82,名称!A:D,4,0),"")</f>
        <v>KIK</v>
      </c>
      <c r="AF82" s="309"/>
      <c r="AG82" s="309"/>
      <c r="AH82" s="310" t="s">
        <v>487</v>
      </c>
      <c r="AI82" s="311"/>
      <c r="AJ82" s="311"/>
      <c r="AK82" s="310" t="s">
        <v>420</v>
      </c>
      <c r="AL82" s="310">
        <v>46234</v>
      </c>
      <c r="AM82" s="311"/>
      <c r="AN82" s="311"/>
      <c r="AO82" s="308">
        <f t="shared" si="7"/>
        <v>89</v>
      </c>
      <c r="AP82" s="308" t="e">
        <f t="shared" si="8"/>
        <v>#VALUE!</v>
      </c>
    </row>
    <row r="83" s="15" customFormat="1" customHeight="1" spans="1:42">
      <c r="A83" s="306">
        <v>46206</v>
      </c>
      <c r="B83" s="77" t="str">
        <f ca="1" t="shared" si="13"/>
        <v>未</v>
      </c>
      <c r="C83" s="347" t="s">
        <v>237</v>
      </c>
      <c r="D83" s="299" t="s">
        <v>461</v>
      </c>
      <c r="E83" s="300" t="s">
        <v>428</v>
      </c>
      <c r="F83" s="307">
        <v>10131394</v>
      </c>
      <c r="G83" s="384" t="s">
        <v>354</v>
      </c>
      <c r="H83" s="385">
        <v>47669</v>
      </c>
      <c r="I83" s="309" t="str">
        <f>IFERROR(VLOOKUP(H83,名称!A:C,2,0),"")</f>
        <v>动物车</v>
      </c>
      <c r="J83" s="349">
        <v>616</v>
      </c>
      <c r="K83" s="309">
        <v>4</v>
      </c>
      <c r="L83" s="308">
        <f t="shared" si="14"/>
        <v>154</v>
      </c>
      <c r="M83" s="305">
        <v>46295</v>
      </c>
      <c r="N83" s="306">
        <f t="shared" si="9"/>
        <v>46293</v>
      </c>
      <c r="O83" s="77" t="s">
        <v>467</v>
      </c>
      <c r="P83" s="299" t="s">
        <v>473</v>
      </c>
      <c r="Q83" s="385" t="s">
        <v>458</v>
      </c>
      <c r="R83" s="307"/>
      <c r="S83" s="306"/>
      <c r="T83" s="299" t="s">
        <v>496</v>
      </c>
      <c r="U83" s="306"/>
      <c r="V83" s="306"/>
      <c r="W83" s="307"/>
      <c r="X83" s="308"/>
      <c r="Y83" s="383">
        <v>4.906</v>
      </c>
      <c r="Z83" s="352">
        <f t="shared" si="15"/>
        <v>3022.1</v>
      </c>
      <c r="AA83" s="352">
        <f t="shared" si="16"/>
        <v>23421.28</v>
      </c>
      <c r="AB83" s="85"/>
      <c r="AC83" s="306"/>
      <c r="AD83" s="306"/>
      <c r="AE83" s="306" t="str">
        <f>IFERROR(VLOOKUP(H83,名称!A:D,4,0),"")</f>
        <v>KIK</v>
      </c>
      <c r="AF83" s="309"/>
      <c r="AG83" s="309"/>
      <c r="AH83" s="310" t="s">
        <v>487</v>
      </c>
      <c r="AI83" s="311"/>
      <c r="AJ83" s="311"/>
      <c r="AK83" s="310" t="s">
        <v>420</v>
      </c>
      <c r="AL83" s="310">
        <v>46234</v>
      </c>
      <c r="AM83" s="311"/>
      <c r="AN83" s="311"/>
      <c r="AO83" s="308">
        <f t="shared" si="7"/>
        <v>89</v>
      </c>
      <c r="AP83" s="308" t="e">
        <f t="shared" si="8"/>
        <v>#VALUE!</v>
      </c>
    </row>
    <row r="84" s="15" customFormat="1" customHeight="1" spans="1:42">
      <c r="A84" s="306">
        <v>46206</v>
      </c>
      <c r="B84" s="77" t="str">
        <f ca="1" t="shared" si="13"/>
        <v>未</v>
      </c>
      <c r="C84" s="347" t="s">
        <v>237</v>
      </c>
      <c r="D84" s="299" t="s">
        <v>461</v>
      </c>
      <c r="E84" s="300" t="s">
        <v>428</v>
      </c>
      <c r="F84" s="307">
        <v>10131396</v>
      </c>
      <c r="G84" s="384" t="s">
        <v>355</v>
      </c>
      <c r="H84" s="385">
        <v>47669</v>
      </c>
      <c r="I84" s="309" t="str">
        <f>IFERROR(VLOOKUP(H84,名称!A:C,2,0),"")</f>
        <v>动物车</v>
      </c>
      <c r="J84" s="349">
        <v>144</v>
      </c>
      <c r="K84" s="309">
        <v>4</v>
      </c>
      <c r="L84" s="308">
        <f t="shared" si="14"/>
        <v>36</v>
      </c>
      <c r="M84" s="305">
        <v>46295</v>
      </c>
      <c r="N84" s="306">
        <f t="shared" si="9"/>
        <v>46293</v>
      </c>
      <c r="O84" s="77" t="s">
        <v>467</v>
      </c>
      <c r="P84" s="299" t="s">
        <v>473</v>
      </c>
      <c r="Q84" s="385" t="s">
        <v>458</v>
      </c>
      <c r="R84" s="307"/>
      <c r="S84" s="306"/>
      <c r="T84" s="299" t="s">
        <v>496</v>
      </c>
      <c r="U84" s="306"/>
      <c r="V84" s="306"/>
      <c r="W84" s="307"/>
      <c r="X84" s="308"/>
      <c r="Y84" s="383">
        <v>4.906</v>
      </c>
      <c r="Z84" s="352">
        <f t="shared" si="15"/>
        <v>706.46</v>
      </c>
      <c r="AA84" s="352">
        <f t="shared" si="16"/>
        <v>5475.07</v>
      </c>
      <c r="AB84" s="85"/>
      <c r="AC84" s="306"/>
      <c r="AD84" s="306"/>
      <c r="AE84" s="306" t="str">
        <f>IFERROR(VLOOKUP(H84,名称!A:D,4,0),"")</f>
        <v>KIK</v>
      </c>
      <c r="AF84" s="309"/>
      <c r="AG84" s="309"/>
      <c r="AH84" s="310" t="s">
        <v>487</v>
      </c>
      <c r="AI84" s="311"/>
      <c r="AJ84" s="311"/>
      <c r="AK84" s="310" t="s">
        <v>420</v>
      </c>
      <c r="AL84" s="310">
        <v>46234</v>
      </c>
      <c r="AM84" s="311"/>
      <c r="AN84" s="311"/>
      <c r="AO84" s="308">
        <f t="shared" si="7"/>
        <v>89</v>
      </c>
      <c r="AP84" s="308" t="e">
        <f t="shared" si="8"/>
        <v>#VALUE!</v>
      </c>
    </row>
    <row r="85" s="15" customFormat="1" customHeight="1" spans="1:42">
      <c r="A85" s="306">
        <v>46206</v>
      </c>
      <c r="B85" s="77" t="str">
        <f ca="1" t="shared" si="13"/>
        <v>未</v>
      </c>
      <c r="C85" s="347" t="s">
        <v>237</v>
      </c>
      <c r="D85" s="299" t="s">
        <v>461</v>
      </c>
      <c r="E85" s="300" t="s">
        <v>428</v>
      </c>
      <c r="F85" s="307">
        <v>10131398</v>
      </c>
      <c r="G85" s="384" t="s">
        <v>356</v>
      </c>
      <c r="H85" s="385">
        <v>47669</v>
      </c>
      <c r="I85" s="309" t="str">
        <f>IFERROR(VLOOKUP(H85,名称!A:C,2,0),"")</f>
        <v>动物车</v>
      </c>
      <c r="J85" s="349">
        <v>628</v>
      </c>
      <c r="K85" s="309">
        <v>4</v>
      </c>
      <c r="L85" s="308">
        <f t="shared" si="14"/>
        <v>157</v>
      </c>
      <c r="M85" s="305">
        <v>46295</v>
      </c>
      <c r="N85" s="306">
        <f t="shared" si="9"/>
        <v>46293</v>
      </c>
      <c r="O85" s="77" t="s">
        <v>467</v>
      </c>
      <c r="P85" s="299" t="s">
        <v>473</v>
      </c>
      <c r="Q85" s="385" t="s">
        <v>458</v>
      </c>
      <c r="R85" s="307"/>
      <c r="S85" s="306"/>
      <c r="T85" s="299" t="s">
        <v>496</v>
      </c>
      <c r="U85" s="306"/>
      <c r="V85" s="306"/>
      <c r="W85" s="307"/>
      <c r="X85" s="308"/>
      <c r="Y85" s="383">
        <v>4.906</v>
      </c>
      <c r="Z85" s="352">
        <f t="shared" si="15"/>
        <v>3080.97</v>
      </c>
      <c r="AA85" s="352">
        <f t="shared" si="16"/>
        <v>23877.52</v>
      </c>
      <c r="AB85" s="85"/>
      <c r="AC85" s="306"/>
      <c r="AD85" s="306"/>
      <c r="AE85" s="306" t="str">
        <f>IFERROR(VLOOKUP(H85,名称!A:D,4,0),"")</f>
        <v>KIK</v>
      </c>
      <c r="AF85" s="309"/>
      <c r="AG85" s="309"/>
      <c r="AH85" s="310" t="s">
        <v>487</v>
      </c>
      <c r="AI85" s="311"/>
      <c r="AJ85" s="311"/>
      <c r="AK85" s="310" t="s">
        <v>420</v>
      </c>
      <c r="AL85" s="310">
        <v>46234</v>
      </c>
      <c r="AM85" s="311"/>
      <c r="AN85" s="311"/>
      <c r="AO85" s="308">
        <f t="shared" ref="AO85:AO92" si="17">M85-A85</f>
        <v>89</v>
      </c>
      <c r="AP85" s="308" t="e">
        <f>M85-AH85</f>
        <v>#VALUE!</v>
      </c>
    </row>
    <row r="86" s="15" customFormat="1" customHeight="1" spans="1:42">
      <c r="A86" s="306">
        <v>46211</v>
      </c>
      <c r="B86" s="77"/>
      <c r="C86" s="347" t="s">
        <v>237</v>
      </c>
      <c r="D86" s="299" t="s">
        <v>456</v>
      </c>
      <c r="E86" s="300" t="s">
        <v>428</v>
      </c>
      <c r="F86" s="307">
        <v>10131390</v>
      </c>
      <c r="G86" s="384" t="s">
        <v>358</v>
      </c>
      <c r="H86" s="385">
        <v>47669</v>
      </c>
      <c r="I86" s="309" t="str">
        <f>IFERROR(VLOOKUP(H86,名称!A:C,2,0),"")</f>
        <v>动物车</v>
      </c>
      <c r="J86" s="349">
        <v>684</v>
      </c>
      <c r="K86" s="309">
        <v>4</v>
      </c>
      <c r="L86" s="308">
        <f t="shared" si="14"/>
        <v>171</v>
      </c>
      <c r="M86" s="305">
        <v>46295</v>
      </c>
      <c r="N86" s="306">
        <f t="shared" si="9"/>
        <v>46293</v>
      </c>
      <c r="O86" s="77" t="s">
        <v>467</v>
      </c>
      <c r="P86" s="299" t="s">
        <v>473</v>
      </c>
      <c r="Q86" s="385" t="s">
        <v>458</v>
      </c>
      <c r="R86" s="307"/>
      <c r="S86" s="306"/>
      <c r="T86" s="299" t="s">
        <v>496</v>
      </c>
      <c r="U86" s="306"/>
      <c r="V86" s="306"/>
      <c r="W86" s="307"/>
      <c r="X86" s="308"/>
      <c r="Y86" s="383">
        <v>4.906</v>
      </c>
      <c r="Z86" s="352">
        <f t="shared" si="15"/>
        <v>3355.7</v>
      </c>
      <c r="AA86" s="352">
        <f t="shared" si="16"/>
        <v>26006.68</v>
      </c>
      <c r="AB86" s="85"/>
      <c r="AC86" s="306"/>
      <c r="AD86" s="306"/>
      <c r="AE86" s="306" t="str">
        <f>IFERROR(VLOOKUP(H86,名称!A:D,4,0),"")</f>
        <v>KIK</v>
      </c>
      <c r="AF86" s="309"/>
      <c r="AG86" s="309"/>
      <c r="AH86" s="310" t="s">
        <v>487</v>
      </c>
      <c r="AI86" s="311"/>
      <c r="AJ86" s="311"/>
      <c r="AK86" s="310" t="s">
        <v>420</v>
      </c>
      <c r="AL86" s="310">
        <v>46234</v>
      </c>
      <c r="AM86" s="311"/>
      <c r="AN86" s="311"/>
      <c r="AO86" s="308">
        <f t="shared" si="17"/>
        <v>84</v>
      </c>
      <c r="AP86" s="308"/>
    </row>
    <row r="87" s="15" customFormat="1" customHeight="1" spans="1:42">
      <c r="A87" s="306">
        <v>46182</v>
      </c>
      <c r="B87" s="77" t="str">
        <f ca="1" t="shared" ref="B87:B92" si="18">IF(TODAY()&gt;=A87,IF(R87="","未",""),"")</f>
        <v>未</v>
      </c>
      <c r="C87" s="347" t="s">
        <v>237</v>
      </c>
      <c r="D87" s="306" t="s">
        <v>427</v>
      </c>
      <c r="E87" s="347" t="s">
        <v>438</v>
      </c>
      <c r="F87" s="307">
        <v>10129127</v>
      </c>
      <c r="G87" s="348" t="s">
        <v>309</v>
      </c>
      <c r="H87" s="307" t="s">
        <v>31</v>
      </c>
      <c r="I87" s="309" t="str">
        <f>IFERROR(VLOOKUP(H87,名称!A:C,2,0),"")</f>
        <v>1:16收割机</v>
      </c>
      <c r="J87" s="349">
        <v>2500</v>
      </c>
      <c r="K87" s="309">
        <f>IFERROR(VLOOKUP(H87,名称!A:D,3,0),"")</f>
        <v>1</v>
      </c>
      <c r="L87" s="308">
        <f t="shared" si="14"/>
        <v>2500</v>
      </c>
      <c r="M87" s="306">
        <v>46309</v>
      </c>
      <c r="N87" s="306">
        <f t="shared" si="9"/>
        <v>46307</v>
      </c>
      <c r="O87" s="77" t="s">
        <v>467</v>
      </c>
      <c r="P87" s="306" t="s">
        <v>497</v>
      </c>
      <c r="Q87" s="307" t="s">
        <v>430</v>
      </c>
      <c r="R87" s="350"/>
      <c r="S87" s="306"/>
      <c r="T87" s="306"/>
      <c r="U87" s="306"/>
      <c r="V87" s="306"/>
      <c r="W87" s="307"/>
      <c r="X87" s="308"/>
      <c r="Y87" s="383">
        <v>29.801</v>
      </c>
      <c r="Z87" s="352">
        <f t="shared" si="15"/>
        <v>74502.5</v>
      </c>
      <c r="AA87" s="352">
        <f t="shared" si="16"/>
        <v>577394.38</v>
      </c>
      <c r="AB87" s="85"/>
      <c r="AC87" s="306"/>
      <c r="AD87" s="306"/>
      <c r="AE87" s="306" t="str">
        <f>IFERROR(VLOOKUP(H87,名称!A:D,4,0),"")</f>
        <v>KIK</v>
      </c>
      <c r="AF87" s="309"/>
      <c r="AG87" s="309"/>
      <c r="AH87" s="311">
        <v>46238</v>
      </c>
      <c r="AI87" s="310" t="s">
        <v>498</v>
      </c>
      <c r="AJ87" s="311"/>
      <c r="AK87" s="310" t="s">
        <v>499</v>
      </c>
      <c r="AL87" s="311">
        <v>46227</v>
      </c>
      <c r="AM87" s="311"/>
      <c r="AN87" s="311"/>
      <c r="AO87" s="308">
        <f t="shared" si="17"/>
        <v>127</v>
      </c>
      <c r="AP87" s="308">
        <f t="shared" ref="AP87:AP92" si="19">M87-AH87</f>
        <v>71</v>
      </c>
    </row>
    <row r="88" s="15" customFormat="1" customHeight="1" spans="1:42">
      <c r="A88" s="302" t="s">
        <v>490</v>
      </c>
      <c r="B88" s="77" t="str">
        <f ca="1" t="shared" si="18"/>
        <v/>
      </c>
      <c r="C88" s="347" t="s">
        <v>242</v>
      </c>
      <c r="D88" s="299" t="s">
        <v>465</v>
      </c>
      <c r="E88" s="300" t="s">
        <v>466</v>
      </c>
      <c r="F88" s="307">
        <v>10130036</v>
      </c>
      <c r="G88" s="348">
        <v>2.02606160050053e+19</v>
      </c>
      <c r="H88" s="385" t="s">
        <v>131</v>
      </c>
      <c r="I88" s="309" t="str">
        <f>IFERROR(VLOOKUP(H88,名称!A:C,2,0),"")</f>
        <v>宝箱马里奥</v>
      </c>
      <c r="J88" s="349">
        <v>1500</v>
      </c>
      <c r="K88" s="309">
        <v>12</v>
      </c>
      <c r="L88" s="308">
        <f t="shared" si="14"/>
        <v>125</v>
      </c>
      <c r="M88" s="305">
        <v>46300</v>
      </c>
      <c r="N88" s="306">
        <f t="shared" si="9"/>
        <v>46298</v>
      </c>
      <c r="O88" s="77" t="s">
        <v>467</v>
      </c>
      <c r="P88" s="299" t="s">
        <v>468</v>
      </c>
      <c r="Q88" s="385" t="s">
        <v>469</v>
      </c>
      <c r="R88" s="307"/>
      <c r="S88" s="306"/>
      <c r="T88" s="306"/>
      <c r="U88" s="306"/>
      <c r="V88" s="306"/>
      <c r="W88" s="307"/>
      <c r="X88" s="308"/>
      <c r="Y88" s="390">
        <v>2.418</v>
      </c>
      <c r="Z88" s="352">
        <f t="shared" si="15"/>
        <v>3627</v>
      </c>
      <c r="AA88" s="352">
        <f t="shared" si="16"/>
        <v>28109.25</v>
      </c>
      <c r="AB88" s="85"/>
      <c r="AC88" s="306"/>
      <c r="AD88" s="306"/>
      <c r="AE88" s="306" t="str">
        <f>IFERROR(VLOOKUP(H88,名称!A:D,4,0),"")</f>
        <v>KIK</v>
      </c>
      <c r="AF88" s="309"/>
      <c r="AG88" s="309"/>
      <c r="AH88" s="310">
        <v>46220</v>
      </c>
      <c r="AI88" s="311"/>
      <c r="AJ88" s="310" t="s">
        <v>472</v>
      </c>
      <c r="AK88" s="311" t="s">
        <v>420</v>
      </c>
      <c r="AL88" s="311" t="s">
        <v>420</v>
      </c>
      <c r="AM88" s="311"/>
      <c r="AN88" s="311"/>
      <c r="AO88" s="308" t="e">
        <f t="shared" si="17"/>
        <v>#VALUE!</v>
      </c>
      <c r="AP88" s="308">
        <f t="shared" si="19"/>
        <v>80</v>
      </c>
    </row>
    <row r="89" s="15" customFormat="1" customHeight="1" spans="1:42">
      <c r="A89" s="306">
        <v>46161</v>
      </c>
      <c r="B89" s="77" t="str">
        <f ca="1" t="shared" si="18"/>
        <v>未</v>
      </c>
      <c r="C89" s="347" t="s">
        <v>236</v>
      </c>
      <c r="D89" s="306" t="s">
        <v>442</v>
      </c>
      <c r="E89" s="347" t="s">
        <v>443</v>
      </c>
      <c r="F89" s="307">
        <v>10127748</v>
      </c>
      <c r="G89" s="348">
        <v>20219141</v>
      </c>
      <c r="H89" s="348" t="s">
        <v>102</v>
      </c>
      <c r="I89" s="309" t="s">
        <v>500</v>
      </c>
      <c r="J89" s="349">
        <v>2502</v>
      </c>
      <c r="K89" s="309">
        <f>IFERROR(VLOOKUP(H89,名称!A:D,3,0),"")</f>
        <v>18</v>
      </c>
      <c r="L89" s="308">
        <f t="shared" si="14"/>
        <v>139</v>
      </c>
      <c r="M89" s="305">
        <v>46302</v>
      </c>
      <c r="N89" s="306">
        <f t="shared" si="9"/>
        <v>46300</v>
      </c>
      <c r="O89" s="77" t="s">
        <v>467</v>
      </c>
      <c r="P89" s="306" t="s">
        <v>497</v>
      </c>
      <c r="Q89" s="307" t="s">
        <v>430</v>
      </c>
      <c r="R89" s="350"/>
      <c r="S89" s="306"/>
      <c r="T89" s="306"/>
      <c r="U89" s="306"/>
      <c r="V89" s="306"/>
      <c r="W89" s="307"/>
      <c r="X89" s="308"/>
      <c r="Y89" s="351">
        <v>1.133</v>
      </c>
      <c r="Z89" s="352">
        <f t="shared" si="15"/>
        <v>2834.77</v>
      </c>
      <c r="AA89" s="352">
        <f t="shared" si="16"/>
        <v>21969.47</v>
      </c>
      <c r="AB89" s="85"/>
      <c r="AC89" s="306"/>
      <c r="AD89" s="306"/>
      <c r="AE89" s="306" t="s">
        <v>12</v>
      </c>
      <c r="AF89" s="309"/>
      <c r="AG89" s="309"/>
      <c r="AH89" s="311">
        <v>46184</v>
      </c>
      <c r="AI89" s="311" t="s">
        <v>420</v>
      </c>
      <c r="AJ89" s="311"/>
      <c r="AK89" s="311" t="s">
        <v>420</v>
      </c>
      <c r="AL89" s="311" t="s">
        <v>420</v>
      </c>
      <c r="AM89" s="311"/>
      <c r="AN89" s="311"/>
      <c r="AO89" s="308">
        <f t="shared" si="17"/>
        <v>141</v>
      </c>
      <c r="AP89" s="308">
        <f t="shared" si="19"/>
        <v>118</v>
      </c>
    </row>
    <row r="90" s="15" customFormat="1" customHeight="1" spans="1:42">
      <c r="A90" s="306">
        <v>46199</v>
      </c>
      <c r="B90" s="77" t="str">
        <f ca="1" t="shared" si="18"/>
        <v>未</v>
      </c>
      <c r="C90" s="347" t="s">
        <v>237</v>
      </c>
      <c r="D90" s="299" t="s">
        <v>427</v>
      </c>
      <c r="E90" s="300" t="s">
        <v>438</v>
      </c>
      <c r="F90" s="307">
        <v>10130420</v>
      </c>
      <c r="G90" s="384" t="s">
        <v>501</v>
      </c>
      <c r="H90" s="385" t="s">
        <v>29</v>
      </c>
      <c r="I90" s="309" t="str">
        <f>IFERROR(VLOOKUP(H90,名称!A:C,2,0),"")</f>
        <v>木材运输车</v>
      </c>
      <c r="J90" s="349">
        <v>2500</v>
      </c>
      <c r="K90" s="309">
        <v>4</v>
      </c>
      <c r="L90" s="308">
        <f t="shared" si="14"/>
        <v>625</v>
      </c>
      <c r="M90" s="305">
        <v>46302</v>
      </c>
      <c r="N90" s="306">
        <f t="shared" si="9"/>
        <v>46300</v>
      </c>
      <c r="O90" s="77" t="s">
        <v>467</v>
      </c>
      <c r="P90" s="306" t="s">
        <v>497</v>
      </c>
      <c r="Q90" s="307" t="s">
        <v>430</v>
      </c>
      <c r="R90" s="307"/>
      <c r="S90" s="306"/>
      <c r="T90" s="306"/>
      <c r="U90" s="306"/>
      <c r="V90" s="306"/>
      <c r="W90" s="307"/>
      <c r="X90" s="308"/>
      <c r="Y90" s="351">
        <v>21.801</v>
      </c>
      <c r="Z90" s="352">
        <f t="shared" si="15"/>
        <v>54502.5</v>
      </c>
      <c r="AA90" s="352">
        <f t="shared" si="16"/>
        <v>422394.38</v>
      </c>
      <c r="AB90" s="85"/>
      <c r="AC90" s="306"/>
      <c r="AD90" s="306"/>
      <c r="AE90" s="306" t="str">
        <f>IFERROR(VLOOKUP(H90,名称!A:D,4,0),"")</f>
        <v>KIK</v>
      </c>
      <c r="AF90" s="309"/>
      <c r="AG90" s="309"/>
      <c r="AH90" s="310" t="s">
        <v>502</v>
      </c>
      <c r="AI90" s="310" t="s">
        <v>503</v>
      </c>
      <c r="AJ90" s="389">
        <v>46220</v>
      </c>
      <c r="AK90" s="310">
        <v>46238</v>
      </c>
      <c r="AL90" s="311">
        <v>46238</v>
      </c>
      <c r="AM90" s="311"/>
      <c r="AN90" s="311"/>
      <c r="AO90" s="308">
        <f t="shared" si="17"/>
        <v>103</v>
      </c>
      <c r="AP90" s="308" t="e">
        <f t="shared" si="19"/>
        <v>#VALUE!</v>
      </c>
    </row>
    <row r="91" s="15" customFormat="1" hidden="1" customHeight="1" spans="1:42">
      <c r="A91" s="306">
        <v>46203</v>
      </c>
      <c r="B91" s="77" t="str">
        <f ca="1" t="shared" si="18"/>
        <v/>
      </c>
      <c r="C91" s="347" t="s">
        <v>237</v>
      </c>
      <c r="D91" s="299" t="s">
        <v>427</v>
      </c>
      <c r="E91" s="300" t="s">
        <v>438</v>
      </c>
      <c r="F91" s="307">
        <v>10130965</v>
      </c>
      <c r="G91" s="384" t="s">
        <v>318</v>
      </c>
      <c r="H91" s="385" t="s">
        <v>111</v>
      </c>
      <c r="I91" s="309" t="str">
        <f>IFERROR(VLOOKUP(H91,名称!A:C,2,0),"")</f>
        <v>黄色铲车</v>
      </c>
      <c r="J91" s="349">
        <v>5000</v>
      </c>
      <c r="K91" s="309">
        <v>4</v>
      </c>
      <c r="L91" s="308">
        <f t="shared" si="14"/>
        <v>1250</v>
      </c>
      <c r="M91" s="305">
        <v>46302</v>
      </c>
      <c r="N91" s="306">
        <f t="shared" si="9"/>
        <v>46300</v>
      </c>
      <c r="O91" s="77" t="s">
        <v>467</v>
      </c>
      <c r="P91" s="306" t="s">
        <v>497</v>
      </c>
      <c r="Q91" s="307" t="s">
        <v>430</v>
      </c>
      <c r="R91" s="385" t="s">
        <v>504</v>
      </c>
      <c r="S91" s="306"/>
      <c r="T91" s="306" t="s">
        <v>452</v>
      </c>
      <c r="U91" s="306"/>
      <c r="V91" s="306"/>
      <c r="W91" s="307"/>
      <c r="X91" s="308"/>
      <c r="Y91" s="383">
        <v>3.816</v>
      </c>
      <c r="Z91" s="352">
        <f t="shared" si="15"/>
        <v>19080</v>
      </c>
      <c r="AA91" s="352">
        <f t="shared" si="16"/>
        <v>147870</v>
      </c>
      <c r="AB91" s="85"/>
      <c r="AC91" s="306"/>
      <c r="AD91" s="306"/>
      <c r="AE91" s="306" t="str">
        <f>IFERROR(VLOOKUP(H91,名称!A:D,4,0),"")</f>
        <v>KIK</v>
      </c>
      <c r="AF91" s="309"/>
      <c r="AG91" s="309"/>
      <c r="AH91" s="311"/>
      <c r="AI91" s="310" t="s">
        <v>420</v>
      </c>
      <c r="AJ91" s="389">
        <v>46220</v>
      </c>
      <c r="AK91" s="311"/>
      <c r="AL91" s="311">
        <v>46227</v>
      </c>
      <c r="AM91" s="311"/>
      <c r="AN91" s="311"/>
      <c r="AO91" s="308">
        <f t="shared" si="17"/>
        <v>99</v>
      </c>
      <c r="AP91" s="308">
        <f t="shared" si="19"/>
        <v>46302</v>
      </c>
    </row>
    <row r="92" s="15" customFormat="1" customHeight="1" spans="1:42">
      <c r="A92" s="306">
        <v>46203</v>
      </c>
      <c r="B92" s="77" t="str">
        <f ca="1" t="shared" si="18"/>
        <v>未</v>
      </c>
      <c r="C92" s="347" t="s">
        <v>237</v>
      </c>
      <c r="D92" s="299" t="s">
        <v>427</v>
      </c>
      <c r="E92" s="300" t="s">
        <v>438</v>
      </c>
      <c r="F92" s="307">
        <v>10130965</v>
      </c>
      <c r="G92" s="384" t="s">
        <v>318</v>
      </c>
      <c r="H92" s="385" t="s">
        <v>113</v>
      </c>
      <c r="I92" s="309" t="str">
        <f>IFERROR(VLOOKUP(H92,名称!A:C,2,0),"")</f>
        <v>绿色铲车</v>
      </c>
      <c r="J92" s="349">
        <v>5000</v>
      </c>
      <c r="K92" s="309">
        <v>2</v>
      </c>
      <c r="L92" s="308">
        <f t="shared" si="14"/>
        <v>2500</v>
      </c>
      <c r="M92" s="305">
        <v>46302</v>
      </c>
      <c r="N92" s="306">
        <f t="shared" ref="N92:N113" si="20">M92-2</f>
        <v>46300</v>
      </c>
      <c r="O92" s="77" t="s">
        <v>467</v>
      </c>
      <c r="P92" s="306" t="s">
        <v>497</v>
      </c>
      <c r="Q92" s="307" t="s">
        <v>430</v>
      </c>
      <c r="R92" s="307"/>
      <c r="S92" s="306"/>
      <c r="T92" s="306" t="s">
        <v>452</v>
      </c>
      <c r="U92" s="306"/>
      <c r="V92" s="306"/>
      <c r="W92" s="307"/>
      <c r="X92" s="308"/>
      <c r="Y92" s="383">
        <v>6.154</v>
      </c>
      <c r="Z92" s="352">
        <f t="shared" si="15"/>
        <v>30770</v>
      </c>
      <c r="AA92" s="352">
        <f t="shared" si="16"/>
        <v>238467.5</v>
      </c>
      <c r="AB92" s="85"/>
      <c r="AC92" s="306"/>
      <c r="AD92" s="306"/>
      <c r="AE92" s="306" t="str">
        <f>IFERROR(VLOOKUP(H92,名称!A:D,4,0),"")</f>
        <v>KIK</v>
      </c>
      <c r="AF92" s="309"/>
      <c r="AG92" s="309"/>
      <c r="AH92" s="311">
        <v>46227</v>
      </c>
      <c r="AI92" s="310" t="s">
        <v>420</v>
      </c>
      <c r="AJ92" s="389">
        <v>46220</v>
      </c>
      <c r="AK92" s="310">
        <v>46251</v>
      </c>
      <c r="AL92" s="311">
        <v>46227</v>
      </c>
      <c r="AM92" s="311"/>
      <c r="AN92" s="311"/>
      <c r="AO92" s="308">
        <f t="shared" si="17"/>
        <v>99</v>
      </c>
      <c r="AP92" s="308">
        <f t="shared" si="19"/>
        <v>75</v>
      </c>
    </row>
    <row r="93" s="15" customFormat="1" customHeight="1" spans="1:42">
      <c r="A93" s="302">
        <v>46219</v>
      </c>
      <c r="B93" s="77"/>
      <c r="C93" s="347" t="s">
        <v>237</v>
      </c>
      <c r="D93" s="299" t="s">
        <v>427</v>
      </c>
      <c r="E93" s="300" t="s">
        <v>438</v>
      </c>
      <c r="F93" s="307">
        <v>10132664</v>
      </c>
      <c r="G93" s="384" t="s">
        <v>359</v>
      </c>
      <c r="H93" s="385" t="s">
        <v>118</v>
      </c>
      <c r="I93" s="309" t="str">
        <f>IFERROR(VLOOKUP(H93,名称!A:C,2,0),"")</f>
        <v>滑板拖车</v>
      </c>
      <c r="J93" s="349">
        <v>2500</v>
      </c>
      <c r="K93" s="309">
        <v>4</v>
      </c>
      <c r="L93" s="308">
        <f t="shared" si="14"/>
        <v>625</v>
      </c>
      <c r="M93" s="305">
        <v>46316</v>
      </c>
      <c r="N93" s="306">
        <f t="shared" si="20"/>
        <v>46314</v>
      </c>
      <c r="O93" s="77" t="s">
        <v>467</v>
      </c>
      <c r="P93" s="306" t="s">
        <v>497</v>
      </c>
      <c r="Q93" s="359" t="s">
        <v>430</v>
      </c>
      <c r="R93" s="307"/>
      <c r="S93" s="306"/>
      <c r="T93" s="302" t="s">
        <v>505</v>
      </c>
      <c r="U93" s="306"/>
      <c r="V93" s="306"/>
      <c r="W93" s="307"/>
      <c r="X93" s="308"/>
      <c r="Y93" s="390">
        <v>16.71</v>
      </c>
      <c r="Z93" s="352">
        <f t="shared" si="15"/>
        <v>41775</v>
      </c>
      <c r="AA93" s="352">
        <f t="shared" si="16"/>
        <v>323756.25</v>
      </c>
      <c r="AB93" s="85"/>
      <c r="AC93" s="306"/>
      <c r="AD93" s="306"/>
      <c r="AE93" s="306" t="str">
        <f>IFERROR(VLOOKUP(H93,名称!A:D,4,0),"")</f>
        <v>KIK</v>
      </c>
      <c r="AF93" s="309"/>
      <c r="AG93" s="309"/>
      <c r="AH93" s="392" t="s">
        <v>506</v>
      </c>
      <c r="AI93" s="311"/>
      <c r="AJ93" s="310"/>
      <c r="AK93" s="311"/>
      <c r="AL93" s="311"/>
      <c r="AM93" s="311"/>
      <c r="AN93" s="311"/>
      <c r="AO93" s="308"/>
      <c r="AP93" s="308"/>
    </row>
    <row r="94" s="15" customFormat="1" customHeight="1" spans="1:42">
      <c r="A94" s="306">
        <v>46190</v>
      </c>
      <c r="B94" s="77" t="str">
        <f ca="1">IF(TODAY()&gt;=A94,IF(R94="","未",""),"")</f>
        <v>未</v>
      </c>
      <c r="C94" s="347" t="s">
        <v>236</v>
      </c>
      <c r="D94" s="299" t="s">
        <v>507</v>
      </c>
      <c r="E94" s="300" t="s">
        <v>508</v>
      </c>
      <c r="F94" s="348">
        <v>10129719</v>
      </c>
      <c r="G94" s="348">
        <v>20219208</v>
      </c>
      <c r="H94" s="307" t="s">
        <v>31</v>
      </c>
      <c r="I94" s="309" t="str">
        <f>IFERROR(VLOOKUP(H94,名称!A:C,2,0),"")</f>
        <v>1:16收割机</v>
      </c>
      <c r="J94" s="349">
        <v>120</v>
      </c>
      <c r="K94" s="309">
        <v>1</v>
      </c>
      <c r="L94" s="308">
        <f t="shared" si="14"/>
        <v>120</v>
      </c>
      <c r="M94" s="306">
        <v>46309</v>
      </c>
      <c r="N94" s="306">
        <f t="shared" si="20"/>
        <v>46307</v>
      </c>
      <c r="O94" s="77" t="s">
        <v>467</v>
      </c>
      <c r="P94" s="306" t="s">
        <v>497</v>
      </c>
      <c r="Q94" s="307" t="s">
        <v>430</v>
      </c>
      <c r="R94" s="350"/>
      <c r="S94" s="306"/>
      <c r="T94" s="306"/>
      <c r="U94" s="306"/>
      <c r="V94" s="306"/>
      <c r="W94" s="307"/>
      <c r="X94" s="308"/>
      <c r="Y94" s="351">
        <v>29.801</v>
      </c>
      <c r="Z94" s="352">
        <f t="shared" si="15"/>
        <v>3576.12</v>
      </c>
      <c r="AA94" s="352">
        <f t="shared" si="16"/>
        <v>27714.93</v>
      </c>
      <c r="AB94" s="85"/>
      <c r="AC94" s="306"/>
      <c r="AD94" s="306"/>
      <c r="AE94" s="306" t="str">
        <f>IFERROR(VLOOKUP(H94,名称!A:D,4,0),"")</f>
        <v>KIK</v>
      </c>
      <c r="AF94" s="309"/>
      <c r="AG94" s="309"/>
      <c r="AH94" s="311">
        <v>46238</v>
      </c>
      <c r="AI94" s="311"/>
      <c r="AJ94" s="389">
        <v>46220</v>
      </c>
      <c r="AK94" s="310" t="s">
        <v>499</v>
      </c>
      <c r="AL94" s="311">
        <v>46227</v>
      </c>
      <c r="AM94" s="311"/>
      <c r="AN94" s="311"/>
      <c r="AO94" s="308">
        <f>M94-A94</f>
        <v>119</v>
      </c>
      <c r="AP94" s="308">
        <f>M94-AH94</f>
        <v>71</v>
      </c>
    </row>
    <row r="95" s="15" customFormat="1" customHeight="1" spans="1:42">
      <c r="A95" s="306">
        <v>46218</v>
      </c>
      <c r="B95" s="77"/>
      <c r="C95" s="347" t="s">
        <v>235</v>
      </c>
      <c r="D95" s="299" t="s">
        <v>421</v>
      </c>
      <c r="E95" s="300" t="s">
        <v>422</v>
      </c>
      <c r="F95" s="30">
        <v>10132440</v>
      </c>
      <c r="G95" s="297">
        <v>4500033086</v>
      </c>
      <c r="H95" s="253" t="s">
        <v>213</v>
      </c>
      <c r="I95" s="301" t="s">
        <v>483</v>
      </c>
      <c r="J95" s="282">
        <v>5000</v>
      </c>
      <c r="K95" s="309">
        <v>4</v>
      </c>
      <c r="L95" s="308">
        <f t="shared" si="14"/>
        <v>1250</v>
      </c>
      <c r="M95" s="305">
        <v>46309</v>
      </c>
      <c r="N95" s="306">
        <f t="shared" si="20"/>
        <v>46307</v>
      </c>
      <c r="O95" s="77" t="s">
        <v>467</v>
      </c>
      <c r="P95" s="299" t="s">
        <v>473</v>
      </c>
      <c r="Q95" s="307" t="s">
        <v>424</v>
      </c>
      <c r="R95" s="350"/>
      <c r="S95" s="306"/>
      <c r="T95" s="306"/>
      <c r="U95" s="306"/>
      <c r="V95" s="306"/>
      <c r="W95" s="307"/>
      <c r="X95" s="308"/>
      <c r="Y95" s="351">
        <v>3.243</v>
      </c>
      <c r="Z95" s="352">
        <f t="shared" si="15"/>
        <v>16215</v>
      </c>
      <c r="AA95" s="352">
        <f t="shared" si="16"/>
        <v>125666.25</v>
      </c>
      <c r="AB95" s="85"/>
      <c r="AC95" s="306"/>
      <c r="AD95" s="306"/>
      <c r="AE95" s="299" t="s">
        <v>12</v>
      </c>
      <c r="AF95" s="309"/>
      <c r="AG95" s="309"/>
      <c r="AH95" s="392" t="s">
        <v>506</v>
      </c>
      <c r="AI95" s="311"/>
      <c r="AJ95" s="311"/>
      <c r="AK95" s="311"/>
      <c r="AL95" s="311"/>
      <c r="AM95" s="311"/>
      <c r="AN95" s="311"/>
      <c r="AO95" s="308"/>
      <c r="AP95" s="308"/>
    </row>
    <row r="96" s="15" customFormat="1" customHeight="1" spans="1:42">
      <c r="A96" s="302">
        <v>46221</v>
      </c>
      <c r="B96" s="77"/>
      <c r="C96" s="300" t="s">
        <v>236</v>
      </c>
      <c r="D96" s="299" t="s">
        <v>442</v>
      </c>
      <c r="E96" s="300" t="s">
        <v>443</v>
      </c>
      <c r="F96" s="270">
        <v>10132947</v>
      </c>
      <c r="G96" s="297">
        <v>20219244</v>
      </c>
      <c r="H96" s="253" t="s">
        <v>210</v>
      </c>
      <c r="I96" s="301" t="s">
        <v>509</v>
      </c>
      <c r="J96" s="273">
        <v>4000</v>
      </c>
      <c r="K96" s="309">
        <v>4</v>
      </c>
      <c r="L96" s="308">
        <f t="shared" si="14"/>
        <v>1000</v>
      </c>
      <c r="M96" s="305">
        <v>46323</v>
      </c>
      <c r="N96" s="306">
        <f t="shared" si="20"/>
        <v>46321</v>
      </c>
      <c r="O96" s="77" t="s">
        <v>467</v>
      </c>
      <c r="P96" s="306" t="s">
        <v>497</v>
      </c>
      <c r="Q96" s="307" t="s">
        <v>430</v>
      </c>
      <c r="R96" s="307"/>
      <c r="S96" s="306"/>
      <c r="T96" s="306"/>
      <c r="U96" s="306"/>
      <c r="V96" s="306"/>
      <c r="W96" s="307"/>
      <c r="X96" s="308"/>
      <c r="Y96" s="390">
        <v>3.015</v>
      </c>
      <c r="Z96" s="352">
        <f t="shared" si="15"/>
        <v>12060</v>
      </c>
      <c r="AA96" s="352">
        <f t="shared" si="16"/>
        <v>93465</v>
      </c>
      <c r="AB96" s="85"/>
      <c r="AC96" s="306"/>
      <c r="AD96" s="306"/>
      <c r="AE96" s="299" t="s">
        <v>12</v>
      </c>
      <c r="AF96" s="309"/>
      <c r="AG96" s="309"/>
      <c r="AH96" s="392" t="s">
        <v>433</v>
      </c>
      <c r="AI96" s="311"/>
      <c r="AJ96" s="310"/>
      <c r="AK96" s="311"/>
      <c r="AL96" s="311"/>
      <c r="AM96" s="311"/>
      <c r="AN96" s="311"/>
      <c r="AO96" s="308"/>
      <c r="AP96" s="308"/>
    </row>
    <row r="97" s="15" customFormat="1" customHeight="1" spans="1:42">
      <c r="A97" s="108">
        <v>46161</v>
      </c>
      <c r="B97" s="77" t="str">
        <f ca="1">IF(TODAY()&gt;=A97,IF(R97="","未",""),"")</f>
        <v>未</v>
      </c>
      <c r="C97" s="347" t="s">
        <v>236</v>
      </c>
      <c r="D97" s="306" t="s">
        <v>442</v>
      </c>
      <c r="E97" s="347" t="s">
        <v>443</v>
      </c>
      <c r="F97" s="30">
        <v>10127749</v>
      </c>
      <c r="G97" s="110">
        <v>20219168</v>
      </c>
      <c r="H97" s="110" t="s">
        <v>102</v>
      </c>
      <c r="I97" s="309" t="s">
        <v>500</v>
      </c>
      <c r="J97" s="282">
        <v>2502</v>
      </c>
      <c r="K97" s="309">
        <f>IFERROR(VLOOKUP(H97,名称!A:D,3,0),"")</f>
        <v>18</v>
      </c>
      <c r="L97" s="308">
        <f t="shared" si="14"/>
        <v>139</v>
      </c>
      <c r="M97" s="305">
        <v>46330</v>
      </c>
      <c r="N97" s="306">
        <f t="shared" si="20"/>
        <v>46328</v>
      </c>
      <c r="O97" s="77" t="s">
        <v>467</v>
      </c>
      <c r="P97" s="306" t="s">
        <v>510</v>
      </c>
      <c r="Q97" s="307" t="s">
        <v>430</v>
      </c>
      <c r="R97" s="350"/>
      <c r="S97" s="306"/>
      <c r="T97" s="306"/>
      <c r="U97" s="306"/>
      <c r="V97" s="306"/>
      <c r="W97" s="307"/>
      <c r="X97" s="308"/>
      <c r="Y97" s="351">
        <v>1.133</v>
      </c>
      <c r="Z97" s="352">
        <f t="shared" si="15"/>
        <v>2834.77</v>
      </c>
      <c r="AA97" s="352">
        <f t="shared" si="16"/>
        <v>21969.47</v>
      </c>
      <c r="AB97" s="85"/>
      <c r="AC97" s="306"/>
      <c r="AD97" s="306"/>
      <c r="AE97" s="306" t="s">
        <v>12</v>
      </c>
      <c r="AF97" s="309"/>
      <c r="AG97" s="309"/>
      <c r="AH97" s="311">
        <v>46184</v>
      </c>
      <c r="AI97" s="311" t="s">
        <v>420</v>
      </c>
      <c r="AJ97" s="311"/>
      <c r="AK97" s="311" t="s">
        <v>420</v>
      </c>
      <c r="AL97" s="311" t="s">
        <v>420</v>
      </c>
      <c r="AM97" s="311"/>
      <c r="AN97" s="311"/>
      <c r="AO97" s="308">
        <f>M97-A97</f>
        <v>169</v>
      </c>
      <c r="AP97" s="308">
        <f>M97-AH97</f>
        <v>146</v>
      </c>
    </row>
    <row r="98" s="15" customFormat="1" customHeight="1" spans="1:42">
      <c r="A98" s="302">
        <v>46225</v>
      </c>
      <c r="B98" s="77"/>
      <c r="C98" s="300" t="s">
        <v>235</v>
      </c>
      <c r="D98" s="299" t="s">
        <v>421</v>
      </c>
      <c r="E98" s="300" t="s">
        <v>422</v>
      </c>
      <c r="F98" s="270">
        <v>10133076</v>
      </c>
      <c r="G98" s="297">
        <v>4500033113</v>
      </c>
      <c r="H98" s="253" t="s">
        <v>210</v>
      </c>
      <c r="I98" s="301" t="s">
        <v>509</v>
      </c>
      <c r="J98" s="282">
        <v>9000</v>
      </c>
      <c r="K98" s="309">
        <v>4</v>
      </c>
      <c r="L98" s="308">
        <f t="shared" si="14"/>
        <v>2250</v>
      </c>
      <c r="M98" s="305">
        <v>46330</v>
      </c>
      <c r="N98" s="306">
        <f t="shared" si="20"/>
        <v>46328</v>
      </c>
      <c r="O98" s="306"/>
      <c r="P98" s="306" t="s">
        <v>510</v>
      </c>
      <c r="Q98" s="385" t="s">
        <v>424</v>
      </c>
      <c r="R98" s="307"/>
      <c r="S98" s="306"/>
      <c r="T98" s="306"/>
      <c r="U98" s="306"/>
      <c r="V98" s="306"/>
      <c r="W98" s="307"/>
      <c r="X98" s="308"/>
      <c r="Y98" s="390">
        <v>3.015</v>
      </c>
      <c r="Z98" s="352">
        <f t="shared" si="15"/>
        <v>27135</v>
      </c>
      <c r="AA98" s="352">
        <f t="shared" si="16"/>
        <v>210296.25</v>
      </c>
      <c r="AB98" s="85"/>
      <c r="AC98" s="306"/>
      <c r="AD98" s="306"/>
      <c r="AE98" s="299" t="s">
        <v>12</v>
      </c>
      <c r="AF98" s="309"/>
      <c r="AG98" s="309"/>
      <c r="AH98" s="310"/>
      <c r="AI98" s="311"/>
      <c r="AJ98" s="310"/>
      <c r="AK98" s="311"/>
      <c r="AL98" s="311"/>
      <c r="AM98" s="311"/>
      <c r="AN98" s="311"/>
      <c r="AO98" s="308"/>
      <c r="AP98" s="308"/>
    </row>
    <row r="99" s="15" customFormat="1" customHeight="1" spans="1:42">
      <c r="A99" s="302">
        <v>46225</v>
      </c>
      <c r="B99" s="77"/>
      <c r="C99" s="347" t="s">
        <v>236</v>
      </c>
      <c r="D99" s="299" t="s">
        <v>442</v>
      </c>
      <c r="E99" s="300" t="s">
        <v>443</v>
      </c>
      <c r="F99" s="270">
        <v>10133069</v>
      </c>
      <c r="G99" s="297">
        <v>20219275</v>
      </c>
      <c r="H99" s="253" t="s">
        <v>118</v>
      </c>
      <c r="I99" s="309" t="str">
        <f>IFERROR(VLOOKUP(H99,名称!A:C,2,0),"")</f>
        <v>滑板拖车</v>
      </c>
      <c r="J99" s="282">
        <v>120</v>
      </c>
      <c r="K99" s="309">
        <v>4</v>
      </c>
      <c r="L99" s="308">
        <f t="shared" si="14"/>
        <v>30</v>
      </c>
      <c r="M99" s="305">
        <v>46379</v>
      </c>
      <c r="N99" s="306">
        <f t="shared" si="20"/>
        <v>46377</v>
      </c>
      <c r="O99" s="306"/>
      <c r="P99" s="299" t="s">
        <v>511</v>
      </c>
      <c r="Q99" s="385" t="s">
        <v>430</v>
      </c>
      <c r="R99" s="307"/>
      <c r="S99" s="306"/>
      <c r="T99" s="302" t="s">
        <v>505</v>
      </c>
      <c r="U99" s="306"/>
      <c r="V99" s="306"/>
      <c r="W99" s="307"/>
      <c r="X99" s="308"/>
      <c r="Y99" s="390">
        <v>16.71</v>
      </c>
      <c r="Z99" s="352">
        <f t="shared" si="15"/>
        <v>2005.2</v>
      </c>
      <c r="AA99" s="352">
        <f t="shared" si="16"/>
        <v>15540.3</v>
      </c>
      <c r="AB99" s="85"/>
      <c r="AC99" s="306"/>
      <c r="AD99" s="306"/>
      <c r="AE99" s="299" t="s">
        <v>12</v>
      </c>
      <c r="AF99" s="309"/>
      <c r="AG99" s="309"/>
      <c r="AH99" s="310"/>
      <c r="AI99" s="311"/>
      <c r="AJ99" s="310"/>
      <c r="AK99" s="311"/>
      <c r="AL99" s="311"/>
      <c r="AM99" s="311"/>
      <c r="AN99" s="311"/>
      <c r="AO99" s="308"/>
      <c r="AP99" s="308"/>
    </row>
    <row r="100" s="15" customFormat="1" customHeight="1" spans="1:42">
      <c r="A100" s="302">
        <v>46228</v>
      </c>
      <c r="B100" s="77"/>
      <c r="C100" s="300" t="s">
        <v>299</v>
      </c>
      <c r="D100" s="299" t="s">
        <v>421</v>
      </c>
      <c r="E100" s="300" t="s">
        <v>438</v>
      </c>
      <c r="F100" s="270">
        <v>10133467</v>
      </c>
      <c r="G100" s="297">
        <v>4500033125</v>
      </c>
      <c r="H100" s="253" t="s">
        <v>129</v>
      </c>
      <c r="I100" s="309" t="str">
        <f>IFERROR(VLOOKUP(H100,名称!A:C,2,0),"")</f>
        <v>锁匙</v>
      </c>
      <c r="J100" s="282">
        <v>3024</v>
      </c>
      <c r="K100" s="309">
        <f>IFERROR(VLOOKUP(H100,名称!A:D,3,0),"")</f>
        <v>36</v>
      </c>
      <c r="L100" s="308">
        <f t="shared" si="14"/>
        <v>84</v>
      </c>
      <c r="M100" s="305">
        <v>46323</v>
      </c>
      <c r="N100" s="306">
        <f t="shared" si="20"/>
        <v>46321</v>
      </c>
      <c r="O100" s="306"/>
      <c r="P100" s="299" t="s">
        <v>497</v>
      </c>
      <c r="Q100" s="385" t="s">
        <v>424</v>
      </c>
      <c r="R100" s="307"/>
      <c r="S100" s="306"/>
      <c r="T100" s="306"/>
      <c r="U100" s="306"/>
      <c r="V100" s="306"/>
      <c r="W100" s="307"/>
      <c r="X100" s="308"/>
      <c r="Y100" s="390">
        <v>0.324</v>
      </c>
      <c r="Z100" s="352">
        <f t="shared" si="15"/>
        <v>979.78</v>
      </c>
      <c r="AA100" s="352">
        <f t="shared" si="16"/>
        <v>7593.3</v>
      </c>
      <c r="AB100" s="85"/>
      <c r="AC100" s="306"/>
      <c r="AD100" s="306"/>
      <c r="AE100" s="299" t="s">
        <v>12</v>
      </c>
      <c r="AF100" s="309"/>
      <c r="AG100" s="309"/>
      <c r="AH100" s="310">
        <v>46251</v>
      </c>
      <c r="AI100" s="311" t="s">
        <v>420</v>
      </c>
      <c r="AJ100" s="310"/>
      <c r="AK100" s="311" t="s">
        <v>420</v>
      </c>
      <c r="AL100" s="311" t="s">
        <v>420</v>
      </c>
      <c r="AM100" s="311"/>
      <c r="AN100" s="311"/>
      <c r="AO100" s="308"/>
      <c r="AP100" s="308"/>
    </row>
    <row r="101" s="15" customFormat="1" customHeight="1" spans="1:42">
      <c r="A101" s="302">
        <v>46228</v>
      </c>
      <c r="B101" s="77"/>
      <c r="C101" s="300" t="s">
        <v>237</v>
      </c>
      <c r="D101" s="299" t="s">
        <v>427</v>
      </c>
      <c r="E101" s="300" t="s">
        <v>438</v>
      </c>
      <c r="F101" s="30">
        <v>10133515</v>
      </c>
      <c r="G101" s="297" t="s">
        <v>361</v>
      </c>
      <c r="H101" s="253" t="s">
        <v>129</v>
      </c>
      <c r="I101" s="309" t="str">
        <f>IFERROR(VLOOKUP(H101,名称!A:C,2,0),"")</f>
        <v>锁匙</v>
      </c>
      <c r="J101" s="282">
        <v>2016</v>
      </c>
      <c r="K101" s="309">
        <f>IFERROR(VLOOKUP(H101,名称!A:D,3,0),"")</f>
        <v>36</v>
      </c>
      <c r="L101" s="308">
        <f t="shared" si="14"/>
        <v>56</v>
      </c>
      <c r="M101" s="305">
        <v>46323</v>
      </c>
      <c r="N101" s="306">
        <f t="shared" si="20"/>
        <v>46321</v>
      </c>
      <c r="O101" s="306"/>
      <c r="P101" s="299" t="s">
        <v>497</v>
      </c>
      <c r="Q101" s="385" t="s">
        <v>430</v>
      </c>
      <c r="R101" s="307"/>
      <c r="S101" s="306"/>
      <c r="T101" s="306"/>
      <c r="U101" s="306"/>
      <c r="V101" s="306"/>
      <c r="W101" s="307"/>
      <c r="X101" s="308"/>
      <c r="Y101" s="390">
        <v>0.324</v>
      </c>
      <c r="Z101" s="352">
        <f t="shared" si="15"/>
        <v>653.18</v>
      </c>
      <c r="AA101" s="352">
        <f t="shared" si="16"/>
        <v>5062.15</v>
      </c>
      <c r="AB101" s="85"/>
      <c r="AC101" s="306"/>
      <c r="AD101" s="306"/>
      <c r="AE101" s="299" t="s">
        <v>12</v>
      </c>
      <c r="AF101" s="309"/>
      <c r="AG101" s="309"/>
      <c r="AH101" s="310">
        <v>46251</v>
      </c>
      <c r="AI101" s="311" t="s">
        <v>420</v>
      </c>
      <c r="AJ101" s="310"/>
      <c r="AK101" s="311" t="s">
        <v>420</v>
      </c>
      <c r="AL101" s="311" t="s">
        <v>420</v>
      </c>
      <c r="AM101" s="311"/>
      <c r="AN101" s="311"/>
      <c r="AO101" s="308"/>
      <c r="AP101" s="308"/>
    </row>
    <row r="102" s="15" customFormat="1" customHeight="1" spans="1:42">
      <c r="A102" s="302">
        <v>46233</v>
      </c>
      <c r="B102" s="77"/>
      <c r="C102" s="285" t="s">
        <v>236</v>
      </c>
      <c r="D102" s="299" t="s">
        <v>442</v>
      </c>
      <c r="E102" s="300" t="s">
        <v>443</v>
      </c>
      <c r="F102" s="270">
        <v>10133875</v>
      </c>
      <c r="G102" s="297">
        <v>20219286</v>
      </c>
      <c r="H102" s="253" t="s">
        <v>213</v>
      </c>
      <c r="I102" s="301" t="s">
        <v>483</v>
      </c>
      <c r="J102" s="282">
        <v>1000</v>
      </c>
      <c r="K102" s="309">
        <v>4</v>
      </c>
      <c r="L102" s="308">
        <f t="shared" si="14"/>
        <v>250</v>
      </c>
      <c r="M102" s="305">
        <v>46330</v>
      </c>
      <c r="N102" s="306">
        <f t="shared" si="20"/>
        <v>46328</v>
      </c>
      <c r="O102" s="306"/>
      <c r="P102" s="306" t="s">
        <v>510</v>
      </c>
      <c r="Q102" s="385" t="s">
        <v>430</v>
      </c>
      <c r="R102" s="307"/>
      <c r="S102" s="306"/>
      <c r="T102" s="306"/>
      <c r="U102" s="306"/>
      <c r="V102" s="306"/>
      <c r="W102" s="307"/>
      <c r="X102" s="355" t="s">
        <v>512</v>
      </c>
      <c r="Y102" s="351">
        <v>3.243</v>
      </c>
      <c r="Z102" s="352">
        <f t="shared" si="15"/>
        <v>3243</v>
      </c>
      <c r="AA102" s="352">
        <f t="shared" si="16"/>
        <v>25133.25</v>
      </c>
      <c r="AB102" s="85"/>
      <c r="AC102" s="306"/>
      <c r="AD102" s="306"/>
      <c r="AE102" s="299" t="s">
        <v>12</v>
      </c>
      <c r="AF102" s="309"/>
      <c r="AG102" s="309"/>
      <c r="AH102" s="310"/>
      <c r="AI102" s="311"/>
      <c r="AJ102" s="310"/>
      <c r="AK102" s="311"/>
      <c r="AL102" s="311"/>
      <c r="AM102" s="311"/>
      <c r="AN102" s="311"/>
      <c r="AO102" s="308"/>
      <c r="AP102" s="308"/>
    </row>
    <row r="103" s="15" customFormat="1" customHeight="1" spans="1:42">
      <c r="A103" s="302">
        <v>46233</v>
      </c>
      <c r="B103" s="77"/>
      <c r="C103" s="300" t="s">
        <v>235</v>
      </c>
      <c r="D103" s="299" t="s">
        <v>421</v>
      </c>
      <c r="E103" s="300" t="s">
        <v>422</v>
      </c>
      <c r="F103" s="270">
        <v>10133933</v>
      </c>
      <c r="G103" s="297">
        <v>4500033147</v>
      </c>
      <c r="H103" s="253" t="s">
        <v>213</v>
      </c>
      <c r="I103" s="301" t="s">
        <v>483</v>
      </c>
      <c r="J103" s="282">
        <v>4000</v>
      </c>
      <c r="K103" s="309">
        <v>4</v>
      </c>
      <c r="L103" s="308">
        <f t="shared" si="14"/>
        <v>1000</v>
      </c>
      <c r="M103" s="305">
        <v>46330</v>
      </c>
      <c r="N103" s="306">
        <f t="shared" si="20"/>
        <v>46328</v>
      </c>
      <c r="O103" s="306"/>
      <c r="P103" s="306" t="s">
        <v>510</v>
      </c>
      <c r="Q103" s="385" t="s">
        <v>424</v>
      </c>
      <c r="R103" s="307"/>
      <c r="S103" s="306"/>
      <c r="T103" s="306"/>
      <c r="U103" s="306"/>
      <c r="V103" s="306"/>
      <c r="W103" s="307"/>
      <c r="X103" s="355" t="s">
        <v>512</v>
      </c>
      <c r="Y103" s="351">
        <v>3.243</v>
      </c>
      <c r="Z103" s="352">
        <f t="shared" si="15"/>
        <v>12972</v>
      </c>
      <c r="AA103" s="352">
        <f t="shared" si="16"/>
        <v>100533</v>
      </c>
      <c r="AB103" s="85"/>
      <c r="AC103" s="306"/>
      <c r="AD103" s="306"/>
      <c r="AE103" s="299" t="s">
        <v>12</v>
      </c>
      <c r="AF103" s="309"/>
      <c r="AG103" s="309"/>
      <c r="AH103" s="310"/>
      <c r="AI103" s="311"/>
      <c r="AJ103" s="310"/>
      <c r="AK103" s="311"/>
      <c r="AL103" s="311"/>
      <c r="AM103" s="311"/>
      <c r="AN103" s="311"/>
      <c r="AO103" s="308"/>
      <c r="AP103" s="308"/>
    </row>
    <row r="104" s="15" customFormat="1" customHeight="1" spans="1:42">
      <c r="A104" s="302">
        <v>46241</v>
      </c>
      <c r="B104" s="77"/>
      <c r="C104" s="300" t="s">
        <v>235</v>
      </c>
      <c r="D104" s="299" t="s">
        <v>421</v>
      </c>
      <c r="E104" s="300" t="s">
        <v>422</v>
      </c>
      <c r="F104" s="270">
        <v>10134971</v>
      </c>
      <c r="G104" s="297">
        <v>4500033035</v>
      </c>
      <c r="H104" s="253" t="s">
        <v>224</v>
      </c>
      <c r="I104" s="301" t="s">
        <v>513</v>
      </c>
      <c r="J104" s="282">
        <v>2500</v>
      </c>
      <c r="K104" s="309">
        <v>2</v>
      </c>
      <c r="L104" s="308">
        <f t="shared" si="14"/>
        <v>1250</v>
      </c>
      <c r="M104" s="305">
        <v>46351</v>
      </c>
      <c r="N104" s="306">
        <f t="shared" si="20"/>
        <v>46349</v>
      </c>
      <c r="O104" s="306"/>
      <c r="P104" s="299" t="s">
        <v>514</v>
      </c>
      <c r="Q104" s="385" t="s">
        <v>424</v>
      </c>
      <c r="R104" s="307"/>
      <c r="S104" s="306"/>
      <c r="T104" s="306"/>
      <c r="U104" s="306"/>
      <c r="V104" s="306"/>
      <c r="W104" s="307"/>
      <c r="X104" s="308"/>
      <c r="Y104" s="303">
        <v>5.4</v>
      </c>
      <c r="Z104" s="352">
        <f t="shared" si="15"/>
        <v>13500</v>
      </c>
      <c r="AA104" s="352">
        <f t="shared" si="16"/>
        <v>104625</v>
      </c>
      <c r="AB104" s="85"/>
      <c r="AC104" s="306"/>
      <c r="AD104" s="306"/>
      <c r="AE104" s="299" t="s">
        <v>12</v>
      </c>
      <c r="AF104" s="309"/>
      <c r="AG104" s="309"/>
      <c r="AH104" s="310"/>
      <c r="AI104" s="311"/>
      <c r="AJ104" s="310"/>
      <c r="AK104" s="311"/>
      <c r="AL104" s="311"/>
      <c r="AM104" s="311"/>
      <c r="AN104" s="311"/>
      <c r="AO104" s="308"/>
      <c r="AP104" s="308"/>
    </row>
    <row r="105" s="15" customFormat="1" customHeight="1" spans="1:42">
      <c r="A105" s="302">
        <v>46241</v>
      </c>
      <c r="B105" s="77"/>
      <c r="C105" s="300" t="s">
        <v>235</v>
      </c>
      <c r="D105" s="299" t="s">
        <v>421</v>
      </c>
      <c r="E105" s="300" t="s">
        <v>422</v>
      </c>
      <c r="F105" s="270">
        <v>10134971</v>
      </c>
      <c r="G105" s="297">
        <v>4500033035</v>
      </c>
      <c r="H105" s="253" t="s">
        <v>223</v>
      </c>
      <c r="I105" s="301" t="s">
        <v>515</v>
      </c>
      <c r="J105" s="282">
        <v>2500</v>
      </c>
      <c r="K105" s="309">
        <v>2</v>
      </c>
      <c r="L105" s="308">
        <f t="shared" si="14"/>
        <v>1250</v>
      </c>
      <c r="M105" s="305">
        <v>46351</v>
      </c>
      <c r="N105" s="306">
        <f t="shared" si="20"/>
        <v>46349</v>
      </c>
      <c r="O105" s="306"/>
      <c r="P105" s="299" t="s">
        <v>514</v>
      </c>
      <c r="Q105" s="385" t="s">
        <v>424</v>
      </c>
      <c r="R105" s="307"/>
      <c r="S105" s="306"/>
      <c r="T105" s="306"/>
      <c r="U105" s="306"/>
      <c r="V105" s="306"/>
      <c r="W105" s="307"/>
      <c r="X105" s="308"/>
      <c r="Y105" s="303">
        <v>4.98</v>
      </c>
      <c r="Z105" s="352">
        <f t="shared" si="15"/>
        <v>12450</v>
      </c>
      <c r="AA105" s="352">
        <f t="shared" si="16"/>
        <v>96487.5</v>
      </c>
      <c r="AB105" s="85"/>
      <c r="AC105" s="306"/>
      <c r="AD105" s="306"/>
      <c r="AE105" s="299" t="s">
        <v>12</v>
      </c>
      <c r="AF105" s="309"/>
      <c r="AG105" s="309"/>
      <c r="AH105" s="310"/>
      <c r="AI105" s="311"/>
      <c r="AJ105" s="310"/>
      <c r="AK105" s="311"/>
      <c r="AL105" s="311"/>
      <c r="AM105" s="311"/>
      <c r="AN105" s="311"/>
      <c r="AO105" s="308"/>
      <c r="AP105" s="308"/>
    </row>
    <row r="106" s="15" customFormat="1" customHeight="1" spans="1:42">
      <c r="A106" s="302">
        <v>46241</v>
      </c>
      <c r="B106" s="77"/>
      <c r="C106" s="300" t="s">
        <v>299</v>
      </c>
      <c r="D106" s="299" t="s">
        <v>421</v>
      </c>
      <c r="E106" s="300" t="s">
        <v>422</v>
      </c>
      <c r="F106" s="270">
        <v>10134972</v>
      </c>
      <c r="G106" s="297">
        <v>4500033037</v>
      </c>
      <c r="H106" s="253" t="s">
        <v>224</v>
      </c>
      <c r="I106" s="301" t="s">
        <v>513</v>
      </c>
      <c r="J106" s="282">
        <v>1000</v>
      </c>
      <c r="K106" s="309">
        <v>2</v>
      </c>
      <c r="L106" s="308">
        <f t="shared" si="14"/>
        <v>500</v>
      </c>
      <c r="M106" s="305">
        <v>46351</v>
      </c>
      <c r="N106" s="306">
        <f t="shared" si="20"/>
        <v>46349</v>
      </c>
      <c r="O106" s="306"/>
      <c r="P106" s="299" t="s">
        <v>514</v>
      </c>
      <c r="Q106" s="385" t="s">
        <v>424</v>
      </c>
      <c r="R106" s="307"/>
      <c r="S106" s="306"/>
      <c r="T106" s="306"/>
      <c r="U106" s="306"/>
      <c r="V106" s="306"/>
      <c r="W106" s="307"/>
      <c r="X106" s="308"/>
      <c r="Y106" s="303">
        <v>5.4</v>
      </c>
      <c r="Z106" s="352">
        <f t="shared" si="15"/>
        <v>5400</v>
      </c>
      <c r="AA106" s="352">
        <f t="shared" si="16"/>
        <v>41850</v>
      </c>
      <c r="AB106" s="85"/>
      <c r="AC106" s="306"/>
      <c r="AD106" s="306"/>
      <c r="AE106" s="299" t="s">
        <v>12</v>
      </c>
      <c r="AF106" s="309"/>
      <c r="AG106" s="309"/>
      <c r="AH106" s="310"/>
      <c r="AI106" s="311"/>
      <c r="AJ106" s="310"/>
      <c r="AK106" s="311"/>
      <c r="AL106" s="311"/>
      <c r="AM106" s="311"/>
      <c r="AN106" s="311"/>
      <c r="AO106" s="308"/>
      <c r="AP106" s="308"/>
    </row>
    <row r="107" s="15" customFormat="1" customHeight="1" spans="1:42">
      <c r="A107" s="302">
        <v>46241</v>
      </c>
      <c r="B107" s="77"/>
      <c r="C107" s="300" t="s">
        <v>299</v>
      </c>
      <c r="D107" s="299" t="s">
        <v>421</v>
      </c>
      <c r="E107" s="300" t="s">
        <v>422</v>
      </c>
      <c r="F107" s="270">
        <v>10134972</v>
      </c>
      <c r="G107" s="297">
        <v>4500033037</v>
      </c>
      <c r="H107" s="253" t="s">
        <v>223</v>
      </c>
      <c r="I107" s="301" t="s">
        <v>515</v>
      </c>
      <c r="J107" s="282">
        <v>1000</v>
      </c>
      <c r="K107" s="309">
        <v>2</v>
      </c>
      <c r="L107" s="308">
        <f t="shared" si="14"/>
        <v>500</v>
      </c>
      <c r="M107" s="305">
        <v>46351</v>
      </c>
      <c r="N107" s="306">
        <f t="shared" si="20"/>
        <v>46349</v>
      </c>
      <c r="O107" s="306"/>
      <c r="P107" s="299" t="s">
        <v>514</v>
      </c>
      <c r="Q107" s="385" t="s">
        <v>424</v>
      </c>
      <c r="R107" s="307"/>
      <c r="S107" s="306"/>
      <c r="T107" s="306"/>
      <c r="U107" s="306"/>
      <c r="V107" s="306"/>
      <c r="W107" s="307"/>
      <c r="X107" s="308"/>
      <c r="Y107" s="303">
        <v>4.98</v>
      </c>
      <c r="Z107" s="352">
        <f t="shared" si="15"/>
        <v>4980</v>
      </c>
      <c r="AA107" s="352">
        <f t="shared" si="16"/>
        <v>38595</v>
      </c>
      <c r="AB107" s="85"/>
      <c r="AC107" s="306"/>
      <c r="AD107" s="306"/>
      <c r="AE107" s="299" t="s">
        <v>12</v>
      </c>
      <c r="AF107" s="309"/>
      <c r="AG107" s="309"/>
      <c r="AH107" s="310"/>
      <c r="AI107" s="311"/>
      <c r="AJ107" s="310"/>
      <c r="AK107" s="311"/>
      <c r="AL107" s="311"/>
      <c r="AM107" s="311"/>
      <c r="AN107" s="311"/>
      <c r="AO107" s="308"/>
      <c r="AP107" s="308"/>
    </row>
    <row r="108" s="15" customFormat="1" customHeight="1" spans="1:42">
      <c r="A108" s="302">
        <v>46241</v>
      </c>
      <c r="B108" s="77"/>
      <c r="C108" s="300" t="s">
        <v>237</v>
      </c>
      <c r="D108" s="299" t="s">
        <v>427</v>
      </c>
      <c r="E108" s="300" t="s">
        <v>428</v>
      </c>
      <c r="F108" s="270">
        <v>10135087</v>
      </c>
      <c r="G108" s="297" t="s">
        <v>364</v>
      </c>
      <c r="H108" s="253" t="s">
        <v>224</v>
      </c>
      <c r="I108" s="301" t="s">
        <v>513</v>
      </c>
      <c r="J108" s="282">
        <v>1500</v>
      </c>
      <c r="K108" s="309">
        <v>2</v>
      </c>
      <c r="L108" s="308">
        <f t="shared" si="14"/>
        <v>750</v>
      </c>
      <c r="M108" s="305">
        <v>46351</v>
      </c>
      <c r="N108" s="306">
        <f t="shared" si="20"/>
        <v>46349</v>
      </c>
      <c r="O108" s="306"/>
      <c r="P108" s="299" t="s">
        <v>514</v>
      </c>
      <c r="Q108" s="385" t="s">
        <v>430</v>
      </c>
      <c r="R108" s="307"/>
      <c r="S108" s="306"/>
      <c r="T108" s="306"/>
      <c r="U108" s="306"/>
      <c r="V108" s="306"/>
      <c r="W108" s="307"/>
      <c r="X108" s="308"/>
      <c r="Y108" s="303">
        <v>5.4</v>
      </c>
      <c r="Z108" s="352">
        <f t="shared" si="15"/>
        <v>8100</v>
      </c>
      <c r="AA108" s="352">
        <f t="shared" si="16"/>
        <v>62775</v>
      </c>
      <c r="AB108" s="85"/>
      <c r="AC108" s="306"/>
      <c r="AD108" s="306"/>
      <c r="AE108" s="299" t="s">
        <v>12</v>
      </c>
      <c r="AF108" s="309"/>
      <c r="AG108" s="309"/>
      <c r="AH108" s="310"/>
      <c r="AI108" s="311"/>
      <c r="AJ108" s="310"/>
      <c r="AK108" s="311"/>
      <c r="AL108" s="311"/>
      <c r="AM108" s="311"/>
      <c r="AN108" s="311"/>
      <c r="AO108" s="308"/>
      <c r="AP108" s="308"/>
    </row>
    <row r="109" s="15" customFormat="1" customHeight="1" spans="1:42">
      <c r="A109" s="302">
        <v>46241</v>
      </c>
      <c r="B109" s="77"/>
      <c r="C109" s="300" t="s">
        <v>237</v>
      </c>
      <c r="D109" s="299" t="s">
        <v>427</v>
      </c>
      <c r="E109" s="300" t="s">
        <v>428</v>
      </c>
      <c r="F109" s="270">
        <v>10135087</v>
      </c>
      <c r="G109" s="297" t="s">
        <v>364</v>
      </c>
      <c r="H109" s="253" t="s">
        <v>223</v>
      </c>
      <c r="I109" s="301" t="s">
        <v>515</v>
      </c>
      <c r="J109" s="282">
        <v>1500</v>
      </c>
      <c r="K109" s="309">
        <v>2</v>
      </c>
      <c r="L109" s="308">
        <f t="shared" si="14"/>
        <v>750</v>
      </c>
      <c r="M109" s="305">
        <v>46351</v>
      </c>
      <c r="N109" s="306">
        <f t="shared" si="20"/>
        <v>46349</v>
      </c>
      <c r="O109" s="306"/>
      <c r="P109" s="299" t="s">
        <v>514</v>
      </c>
      <c r="Q109" s="385" t="s">
        <v>430</v>
      </c>
      <c r="R109" s="307"/>
      <c r="S109" s="306"/>
      <c r="T109" s="306"/>
      <c r="U109" s="306"/>
      <c r="V109" s="306"/>
      <c r="W109" s="307"/>
      <c r="X109" s="308"/>
      <c r="Y109" s="303">
        <v>4.98</v>
      </c>
      <c r="Z109" s="352">
        <f t="shared" si="15"/>
        <v>7470</v>
      </c>
      <c r="AA109" s="352">
        <f t="shared" si="16"/>
        <v>57892.5</v>
      </c>
      <c r="AB109" s="85"/>
      <c r="AC109" s="306"/>
      <c r="AD109" s="306"/>
      <c r="AE109" s="299" t="s">
        <v>12</v>
      </c>
      <c r="AF109" s="309"/>
      <c r="AG109" s="309"/>
      <c r="AH109" s="310"/>
      <c r="AI109" s="311"/>
      <c r="AJ109" s="310"/>
      <c r="AK109" s="311"/>
      <c r="AL109" s="311"/>
      <c r="AM109" s="311"/>
      <c r="AN109" s="311"/>
      <c r="AO109" s="308"/>
      <c r="AP109" s="308"/>
    </row>
    <row r="110" s="318" customFormat="1" customHeight="1" spans="1:42">
      <c r="A110" s="393">
        <v>46246</v>
      </c>
      <c r="B110" s="394"/>
      <c r="C110" s="395" t="s">
        <v>235</v>
      </c>
      <c r="D110" s="396" t="s">
        <v>421</v>
      </c>
      <c r="E110" s="395" t="s">
        <v>422</v>
      </c>
      <c r="F110" s="397">
        <v>10135560</v>
      </c>
      <c r="G110" s="398">
        <v>4500033168</v>
      </c>
      <c r="H110" s="289" t="s">
        <v>64</v>
      </c>
      <c r="I110" s="399" t="str">
        <f>IFERROR(VLOOKUP(H110,名称!A:C,2,0),"")</f>
        <v>泡泡壶密封盒</v>
      </c>
      <c r="J110" s="400">
        <v>5000</v>
      </c>
      <c r="K110" s="399">
        <v>4</v>
      </c>
      <c r="L110" s="401">
        <f t="shared" si="14"/>
        <v>1250</v>
      </c>
      <c r="M110" s="402">
        <v>46337</v>
      </c>
      <c r="N110" s="403">
        <f t="shared" si="20"/>
        <v>46335</v>
      </c>
      <c r="O110" s="403"/>
      <c r="P110" s="396" t="s">
        <v>514</v>
      </c>
      <c r="Q110" s="391" t="s">
        <v>424</v>
      </c>
      <c r="R110" s="404"/>
      <c r="S110" s="403"/>
      <c r="T110" s="403"/>
      <c r="U110" s="403"/>
      <c r="V110" s="403"/>
      <c r="W110" s="404"/>
      <c r="X110" s="401"/>
      <c r="Y110" s="405">
        <v>2.364</v>
      </c>
      <c r="Z110" s="406">
        <f t="shared" si="15"/>
        <v>11820</v>
      </c>
      <c r="AA110" s="406">
        <f t="shared" si="16"/>
        <v>91605</v>
      </c>
      <c r="AB110" s="407"/>
      <c r="AC110" s="403"/>
      <c r="AD110" s="403"/>
      <c r="AE110" s="396" t="s">
        <v>12</v>
      </c>
      <c r="AF110" s="399"/>
      <c r="AG110" s="399"/>
      <c r="AH110" s="392"/>
      <c r="AI110" s="408"/>
      <c r="AJ110" s="392"/>
      <c r="AK110" s="408"/>
      <c r="AL110" s="408"/>
      <c r="AM110" s="408"/>
      <c r="AN110" s="408"/>
      <c r="AO110" s="401"/>
      <c r="AP110" s="401"/>
    </row>
    <row r="111" s="318" customFormat="1" customHeight="1" spans="1:42">
      <c r="A111" s="393">
        <v>46249</v>
      </c>
      <c r="B111" s="394"/>
      <c r="C111" s="409" t="s">
        <v>236</v>
      </c>
      <c r="D111" s="396" t="s">
        <v>442</v>
      </c>
      <c r="E111" s="395" t="s">
        <v>443</v>
      </c>
      <c r="F111" s="410">
        <v>10135968</v>
      </c>
      <c r="G111" s="411">
        <v>20219319</v>
      </c>
      <c r="H111" s="289" t="s">
        <v>107</v>
      </c>
      <c r="I111" s="399" t="str">
        <f>IFERROR(VLOOKUP(H111,名称!A:C,2,0),"")</f>
        <v>农场女孩套装</v>
      </c>
      <c r="J111" s="400">
        <v>3000</v>
      </c>
      <c r="K111" s="399">
        <v>4</v>
      </c>
      <c r="L111" s="401">
        <f t="shared" si="14"/>
        <v>750</v>
      </c>
      <c r="M111" s="402">
        <v>46330</v>
      </c>
      <c r="N111" s="403">
        <f t="shared" si="20"/>
        <v>46328</v>
      </c>
      <c r="O111" s="403"/>
      <c r="P111" s="396" t="s">
        <v>510</v>
      </c>
      <c r="Q111" s="391" t="s">
        <v>430</v>
      </c>
      <c r="R111" s="404"/>
      <c r="S111" s="403"/>
      <c r="T111" s="403" t="s">
        <v>452</v>
      </c>
      <c r="U111" s="403"/>
      <c r="V111" s="403"/>
      <c r="W111" s="404"/>
      <c r="X111" s="401"/>
      <c r="Y111" s="405">
        <v>4.956</v>
      </c>
      <c r="Z111" s="406">
        <f t="shared" ref="Z111:Z116" si="21">J111*Y111</f>
        <v>14868</v>
      </c>
      <c r="AA111" s="406">
        <f t="shared" ref="AA111:AA116" si="22">Z111*7.75</f>
        <v>115227</v>
      </c>
      <c r="AB111" s="407"/>
      <c r="AC111" s="403"/>
      <c r="AD111" s="403"/>
      <c r="AE111" s="396" t="s">
        <v>12</v>
      </c>
      <c r="AF111" s="399"/>
      <c r="AG111" s="399"/>
      <c r="AH111" s="392"/>
      <c r="AI111" s="408"/>
      <c r="AJ111" s="392"/>
      <c r="AK111" s="408"/>
      <c r="AL111" s="408"/>
      <c r="AM111" s="408"/>
      <c r="AN111" s="408"/>
      <c r="AO111" s="401"/>
      <c r="AP111" s="401"/>
    </row>
    <row r="112" s="318" customFormat="1" customHeight="1" spans="1:42">
      <c r="A112" s="393">
        <v>46249</v>
      </c>
      <c r="B112" s="394"/>
      <c r="C112" s="409" t="s">
        <v>236</v>
      </c>
      <c r="D112" s="396" t="s">
        <v>442</v>
      </c>
      <c r="E112" s="395" t="s">
        <v>443</v>
      </c>
      <c r="F112" s="397">
        <v>10135969</v>
      </c>
      <c r="G112" s="398">
        <v>20219320</v>
      </c>
      <c r="H112" s="289" t="s">
        <v>107</v>
      </c>
      <c r="I112" s="399" t="str">
        <f>IFERROR(VLOOKUP(H112,名称!A:C,2,0),"")</f>
        <v>农场女孩套装</v>
      </c>
      <c r="J112" s="400">
        <v>2000</v>
      </c>
      <c r="K112" s="399">
        <v>4</v>
      </c>
      <c r="L112" s="401">
        <f t="shared" si="14"/>
        <v>500</v>
      </c>
      <c r="M112" s="402">
        <v>46365</v>
      </c>
      <c r="N112" s="403">
        <f t="shared" si="20"/>
        <v>46363</v>
      </c>
      <c r="O112" s="403"/>
      <c r="P112" s="396" t="s">
        <v>510</v>
      </c>
      <c r="Q112" s="391" t="s">
        <v>430</v>
      </c>
      <c r="R112" s="404"/>
      <c r="S112" s="403"/>
      <c r="T112" s="403" t="s">
        <v>452</v>
      </c>
      <c r="U112" s="403"/>
      <c r="V112" s="403"/>
      <c r="W112" s="404"/>
      <c r="X112" s="401"/>
      <c r="Y112" s="405">
        <v>4.956</v>
      </c>
      <c r="Z112" s="406">
        <f t="shared" si="21"/>
        <v>9912</v>
      </c>
      <c r="AA112" s="406">
        <f t="shared" si="22"/>
        <v>76818</v>
      </c>
      <c r="AB112" s="407"/>
      <c r="AC112" s="403"/>
      <c r="AD112" s="403"/>
      <c r="AE112" s="396" t="s">
        <v>12</v>
      </c>
      <c r="AF112" s="399"/>
      <c r="AG112" s="399"/>
      <c r="AH112" s="392"/>
      <c r="AI112" s="408"/>
      <c r="AJ112" s="392"/>
      <c r="AK112" s="408"/>
      <c r="AL112" s="408"/>
      <c r="AM112" s="408"/>
      <c r="AN112" s="408"/>
      <c r="AO112" s="401"/>
      <c r="AP112" s="401"/>
    </row>
    <row r="113" s="318" customFormat="1" customHeight="1" spans="1:42">
      <c r="A113" s="393">
        <v>46249</v>
      </c>
      <c r="B113" s="394"/>
      <c r="C113" s="395" t="s">
        <v>235</v>
      </c>
      <c r="D113" s="396" t="s">
        <v>421</v>
      </c>
      <c r="E113" s="395" t="s">
        <v>428</v>
      </c>
      <c r="F113" s="397">
        <v>10136065</v>
      </c>
      <c r="G113" s="398">
        <v>4500033156</v>
      </c>
      <c r="H113" s="289" t="s">
        <v>229</v>
      </c>
      <c r="I113" s="412" t="s">
        <v>516</v>
      </c>
      <c r="J113" s="400">
        <v>24030</v>
      </c>
      <c r="K113" s="399">
        <v>18</v>
      </c>
      <c r="L113" s="401">
        <f t="shared" si="14"/>
        <v>1335</v>
      </c>
      <c r="M113" s="402">
        <v>46358</v>
      </c>
      <c r="N113" s="403">
        <f t="shared" si="20"/>
        <v>46356</v>
      </c>
      <c r="O113" s="403"/>
      <c r="P113" s="396" t="s">
        <v>510</v>
      </c>
      <c r="Q113" s="391" t="s">
        <v>424</v>
      </c>
      <c r="R113" s="404"/>
      <c r="S113" s="403"/>
      <c r="T113" s="403"/>
      <c r="U113" s="403"/>
      <c r="V113" s="403"/>
      <c r="W113" s="404"/>
      <c r="X113" s="401"/>
      <c r="Y113" s="405">
        <v>0.963</v>
      </c>
      <c r="Z113" s="406">
        <f t="shared" si="21"/>
        <v>23140.89</v>
      </c>
      <c r="AA113" s="406">
        <f t="shared" si="22"/>
        <v>179341.9</v>
      </c>
      <c r="AB113" s="407"/>
      <c r="AC113" s="403"/>
      <c r="AD113" s="403"/>
      <c r="AE113" s="396" t="s">
        <v>12</v>
      </c>
      <c r="AF113" s="399"/>
      <c r="AG113" s="399"/>
      <c r="AH113" s="392"/>
      <c r="AI113" s="408"/>
      <c r="AJ113" s="392"/>
      <c r="AK113" s="408"/>
      <c r="AL113" s="408"/>
      <c r="AM113" s="408"/>
      <c r="AN113" s="408"/>
      <c r="AO113" s="401"/>
      <c r="AP113" s="401"/>
    </row>
    <row r="114" s="15" customFormat="1" customHeight="1" spans="1:42">
      <c r="A114" s="302"/>
      <c r="B114" s="77"/>
      <c r="C114" s="347"/>
      <c r="D114" s="299"/>
      <c r="E114" s="300"/>
      <c r="F114" s="30"/>
      <c r="G114" s="110"/>
      <c r="H114" s="253"/>
      <c r="I114" s="309"/>
      <c r="J114" s="282"/>
      <c r="K114" s="309"/>
      <c r="L114" s="308"/>
      <c r="M114" s="305"/>
      <c r="N114" s="306"/>
      <c r="O114" s="306"/>
      <c r="P114" s="299"/>
      <c r="Q114" s="307"/>
      <c r="R114" s="307"/>
      <c r="S114" s="306"/>
      <c r="T114" s="306"/>
      <c r="U114" s="306"/>
      <c r="V114" s="306"/>
      <c r="W114" s="307"/>
      <c r="X114" s="308"/>
      <c r="Y114" s="390"/>
      <c r="Z114" s="352">
        <f t="shared" si="21"/>
        <v>0</v>
      </c>
      <c r="AA114" s="352">
        <f t="shared" si="22"/>
        <v>0</v>
      </c>
      <c r="AB114" s="85"/>
      <c r="AC114" s="306"/>
      <c r="AD114" s="306"/>
      <c r="AE114" s="299" t="s">
        <v>12</v>
      </c>
      <c r="AF114" s="309"/>
      <c r="AG114" s="309"/>
      <c r="AH114" s="310"/>
      <c r="AI114" s="311"/>
      <c r="AJ114" s="310"/>
      <c r="AK114" s="311"/>
      <c r="AL114" s="311"/>
      <c r="AM114" s="311"/>
      <c r="AN114" s="311"/>
      <c r="AO114" s="308"/>
      <c r="AP114" s="308"/>
    </row>
    <row r="115" s="15" customFormat="1" customHeight="1" spans="1:42">
      <c r="A115" s="302"/>
      <c r="B115" s="77"/>
      <c r="C115" s="347"/>
      <c r="D115" s="299"/>
      <c r="E115" s="300"/>
      <c r="F115" s="30"/>
      <c r="G115" s="110"/>
      <c r="H115" s="253"/>
      <c r="I115" s="309"/>
      <c r="J115" s="282"/>
      <c r="K115" s="309"/>
      <c r="L115" s="308"/>
      <c r="M115" s="305"/>
      <c r="N115" s="306"/>
      <c r="O115" s="306"/>
      <c r="P115" s="299"/>
      <c r="Q115" s="307"/>
      <c r="R115" s="307"/>
      <c r="S115" s="306"/>
      <c r="T115" s="306"/>
      <c r="U115" s="306"/>
      <c r="V115" s="306"/>
      <c r="W115" s="307"/>
      <c r="X115" s="308"/>
      <c r="Y115" s="390"/>
      <c r="Z115" s="352">
        <f t="shared" si="21"/>
        <v>0</v>
      </c>
      <c r="AA115" s="352">
        <f t="shared" si="22"/>
        <v>0</v>
      </c>
      <c r="AB115" s="85"/>
      <c r="AC115" s="306"/>
      <c r="AD115" s="306"/>
      <c r="AE115" s="299" t="s">
        <v>12</v>
      </c>
      <c r="AF115" s="309"/>
      <c r="AG115" s="309"/>
      <c r="AH115" s="310"/>
      <c r="AI115" s="311"/>
      <c r="AJ115" s="310"/>
      <c r="AK115" s="311"/>
      <c r="AL115" s="311"/>
      <c r="AM115" s="311"/>
      <c r="AN115" s="311"/>
      <c r="AO115" s="308"/>
      <c r="AP115" s="308"/>
    </row>
    <row r="116" s="221" customFormat="1" customHeight="1" spans="1:42">
      <c r="A116" s="306"/>
      <c r="B116" s="77"/>
      <c r="C116" s="347"/>
      <c r="D116" s="299"/>
      <c r="E116" s="300"/>
      <c r="F116" s="307"/>
      <c r="G116" s="384"/>
      <c r="H116" s="385"/>
      <c r="I116" s="309"/>
      <c r="J116" s="349"/>
      <c r="K116" s="309"/>
      <c r="L116" s="308"/>
      <c r="M116" s="305"/>
      <c r="N116" s="306"/>
      <c r="O116" s="306"/>
      <c r="P116" s="306"/>
      <c r="Q116" s="307"/>
      <c r="R116" s="307"/>
      <c r="S116" s="306"/>
      <c r="T116" s="306"/>
      <c r="U116" s="306"/>
      <c r="V116" s="306"/>
      <c r="W116" s="307"/>
      <c r="X116" s="308"/>
      <c r="Y116" s="383"/>
      <c r="Z116" s="352">
        <f t="shared" si="21"/>
        <v>0</v>
      </c>
      <c r="AA116" s="352">
        <f t="shared" si="22"/>
        <v>0</v>
      </c>
      <c r="AB116" s="85"/>
      <c r="AC116" s="306"/>
      <c r="AD116" s="306"/>
      <c r="AE116" s="299" t="s">
        <v>12</v>
      </c>
      <c r="AF116" s="309"/>
      <c r="AG116" s="309"/>
      <c r="AH116" s="311"/>
      <c r="AI116" s="311"/>
      <c r="AJ116" s="311"/>
      <c r="AK116" s="311"/>
      <c r="AL116" s="311"/>
      <c r="AM116" s="311"/>
      <c r="AN116" s="311"/>
      <c r="AO116" s="308"/>
      <c r="AP116" s="308"/>
    </row>
    <row r="117" s="221" customFormat="1" customHeight="1" spans="1:42">
      <c r="A117" s="306"/>
      <c r="B117" s="77"/>
      <c r="C117" s="347"/>
      <c r="D117" s="299"/>
      <c r="E117" s="300"/>
      <c r="F117" s="307"/>
      <c r="G117" s="384"/>
      <c r="H117" s="385"/>
      <c r="I117" s="309" t="s">
        <v>517</v>
      </c>
      <c r="J117" s="349">
        <f>SUM(J2:J116)</f>
        <v>390818</v>
      </c>
      <c r="K117" s="309"/>
      <c r="L117" s="308"/>
      <c r="M117" s="305"/>
      <c r="N117" s="306"/>
      <c r="O117" s="306"/>
      <c r="P117" s="306"/>
      <c r="Q117" s="307"/>
      <c r="R117" s="307"/>
      <c r="S117" s="306"/>
      <c r="T117" s="306"/>
      <c r="U117" s="306"/>
      <c r="V117" s="306"/>
      <c r="W117" s="307"/>
      <c r="X117" s="308"/>
      <c r="Y117" s="351">
        <f>SUM(Y1:Y116)</f>
        <v>405.728</v>
      </c>
      <c r="Z117" s="352">
        <f>SUM(Z2:Z116)</f>
        <v>904935.02</v>
      </c>
      <c r="AA117" s="352">
        <f>SUM(AA2:AA116)</f>
        <v>7013246.53</v>
      </c>
      <c r="AB117" s="85"/>
      <c r="AC117" s="306"/>
      <c r="AD117" s="306"/>
      <c r="AE117" s="306"/>
      <c r="AF117" s="309"/>
      <c r="AG117" s="309"/>
      <c r="AH117" s="311"/>
      <c r="AI117" s="311"/>
      <c r="AJ117" s="311"/>
      <c r="AK117" s="311"/>
      <c r="AL117" s="311"/>
      <c r="AM117" s="311"/>
      <c r="AN117" s="311"/>
      <c r="AO117" s="308"/>
      <c r="AP117" s="308"/>
    </row>
    <row r="118" s="15" customFormat="1" customHeight="1" spans="1:42">
      <c r="A118" s="17"/>
      <c r="B118" s="247"/>
      <c r="C118" s="413"/>
      <c r="D118" s="17"/>
      <c r="E118" s="413"/>
      <c r="F118" s="19"/>
      <c r="G118" s="19"/>
      <c r="H118" s="18"/>
      <c r="I118" s="414"/>
      <c r="J118" s="415"/>
      <c r="K118" s="414"/>
      <c r="L118" s="20"/>
      <c r="M118" s="17"/>
      <c r="N118" s="17"/>
      <c r="O118" s="17"/>
      <c r="P118" s="17"/>
      <c r="Q118" s="18"/>
      <c r="R118" s="18"/>
      <c r="S118" s="17"/>
      <c r="T118" s="17"/>
      <c r="U118" s="17"/>
      <c r="V118" s="17"/>
      <c r="W118" s="18"/>
      <c r="X118" s="20"/>
      <c r="Y118" s="248"/>
      <c r="Z118" s="416"/>
      <c r="AA118" s="416"/>
      <c r="AB118" s="222"/>
      <c r="AC118" s="17"/>
      <c r="AD118" s="17"/>
      <c r="AE118" s="17" t="str">
        <f>IFERROR(VLOOKUP(H118,名称!A:D,4,0),"")</f>
        <v/>
      </c>
      <c r="AF118" s="414"/>
      <c r="AG118" s="414"/>
      <c r="AH118" s="417"/>
      <c r="AI118" s="417"/>
      <c r="AJ118" s="417"/>
      <c r="AK118" s="417"/>
      <c r="AL118" s="417"/>
      <c r="AM118" s="417"/>
      <c r="AN118" s="417"/>
      <c r="AO118" s="20"/>
      <c r="AP118" s="20"/>
    </row>
    <row r="119" s="15" customFormat="1" customHeight="1" spans="1:42">
      <c r="A119" s="17"/>
      <c r="B119" s="247"/>
      <c r="C119" s="413"/>
      <c r="D119" s="17"/>
      <c r="E119" s="413"/>
      <c r="F119" s="19"/>
      <c r="G119" s="19"/>
      <c r="H119" s="18"/>
      <c r="I119" s="414"/>
      <c r="J119" s="415"/>
      <c r="K119" s="414"/>
      <c r="L119" s="20"/>
      <c r="M119" s="17"/>
      <c r="N119" s="17"/>
      <c r="O119" s="17"/>
      <c r="P119" s="17"/>
      <c r="Q119" s="18"/>
      <c r="R119" s="18"/>
      <c r="S119" s="17"/>
      <c r="T119" s="17"/>
      <c r="U119" s="17"/>
      <c r="V119" s="17"/>
      <c r="W119" s="18"/>
      <c r="X119" s="20"/>
      <c r="Y119" s="248"/>
      <c r="Z119" s="416"/>
      <c r="AA119" s="416"/>
      <c r="AB119" s="222"/>
      <c r="AC119" s="17"/>
      <c r="AD119" s="17"/>
      <c r="AE119" s="17"/>
      <c r="AF119" s="414"/>
      <c r="AG119" s="414"/>
      <c r="AH119" s="417"/>
      <c r="AI119" s="417"/>
      <c r="AJ119" s="417"/>
      <c r="AK119" s="417"/>
      <c r="AL119" s="417"/>
      <c r="AM119" s="417"/>
      <c r="AN119" s="417"/>
      <c r="AO119" s="20"/>
      <c r="AP119" s="20"/>
    </row>
    <row r="120" s="15" customFormat="1" customHeight="1" spans="1:42">
      <c r="A120" s="17"/>
      <c r="B120" s="247"/>
      <c r="C120" s="18"/>
      <c r="D120" s="17"/>
      <c r="E120" s="18"/>
      <c r="F120" s="18"/>
      <c r="G120" s="19"/>
      <c r="H120" s="18"/>
      <c r="I120" s="18"/>
      <c r="J120" s="20"/>
      <c r="K120" s="18"/>
      <c r="L120" s="20"/>
      <c r="M120" s="17"/>
      <c r="N120" s="17"/>
      <c r="O120" s="17"/>
      <c r="P120" s="17"/>
      <c r="Q120" s="18"/>
      <c r="R120" s="18"/>
      <c r="S120" s="17"/>
      <c r="T120" s="17"/>
      <c r="U120" s="17"/>
      <c r="V120" s="91"/>
      <c r="W120" s="18"/>
      <c r="X120" s="20"/>
      <c r="Y120" s="248"/>
      <c r="Z120" s="23"/>
      <c r="AA120" s="23"/>
      <c r="AB120" s="249"/>
      <c r="AC120" s="17"/>
      <c r="AD120" s="17"/>
      <c r="AE120" s="17"/>
      <c r="AF120" s="18"/>
      <c r="AG120" s="250"/>
      <c r="AH120" s="251"/>
      <c r="AI120" s="251"/>
      <c r="AJ120" s="251"/>
      <c r="AK120" s="251"/>
      <c r="AL120" s="418"/>
      <c r="AM120" s="418"/>
      <c r="AN120" s="251"/>
      <c r="AO120" s="252"/>
      <c r="AP120" s="252"/>
    </row>
    <row r="121" s="15" customFormat="1" customHeight="1" spans="1:42">
      <c r="A121" s="17"/>
      <c r="B121" s="247"/>
      <c r="C121" s="18"/>
      <c r="D121" s="419"/>
      <c r="E121" s="419"/>
      <c r="F121" s="18"/>
      <c r="G121" s="420"/>
      <c r="H121" s="18"/>
      <c r="I121" s="18"/>
      <c r="J121" s="20"/>
      <c r="K121" s="18"/>
      <c r="L121" s="20"/>
      <c r="M121" s="17"/>
      <c r="N121" s="17"/>
      <c r="O121" s="17"/>
      <c r="P121" s="17"/>
      <c r="Q121" s="18"/>
      <c r="R121" s="18"/>
      <c r="S121" s="17"/>
      <c r="T121" s="17"/>
      <c r="U121" s="17"/>
      <c r="V121" s="91"/>
      <c r="W121" s="18"/>
      <c r="X121" s="20"/>
      <c r="Y121" s="248"/>
      <c r="Z121" s="23"/>
      <c r="AA121" s="23"/>
      <c r="AB121" s="249"/>
      <c r="AC121" s="17"/>
      <c r="AD121" s="17"/>
      <c r="AE121" s="17"/>
      <c r="AF121" s="18"/>
      <c r="AG121" s="250"/>
      <c r="AH121" s="251"/>
      <c r="AI121" s="251"/>
      <c r="AJ121" s="251"/>
      <c r="AK121" s="251"/>
      <c r="AL121" s="418"/>
      <c r="AM121" s="418"/>
      <c r="AN121" s="251"/>
      <c r="AO121" s="252"/>
      <c r="AP121" s="252"/>
    </row>
    <row r="122" s="15" customFormat="1" customHeight="1" spans="1:42">
      <c r="A122" s="17"/>
      <c r="B122" s="247"/>
      <c r="C122" s="18"/>
      <c r="D122" s="421"/>
      <c r="E122" s="18"/>
      <c r="F122" s="18"/>
      <c r="G122" s="19"/>
      <c r="H122" s="18"/>
      <c r="I122" s="422"/>
      <c r="J122" s="20"/>
      <c r="K122" s="18"/>
      <c r="L122" s="20"/>
      <c r="M122" s="17"/>
      <c r="N122" s="17"/>
      <c r="O122" s="17"/>
      <c r="P122" s="17"/>
      <c r="Q122" s="18"/>
      <c r="R122" s="18"/>
      <c r="S122" s="17"/>
      <c r="T122" s="17"/>
      <c r="U122" s="17"/>
      <c r="V122" s="91"/>
      <c r="W122" s="18"/>
      <c r="X122" s="20"/>
      <c r="Y122" s="248"/>
      <c r="Z122" s="23"/>
      <c r="AA122" s="23"/>
      <c r="AB122" s="249"/>
      <c r="AC122" s="17"/>
      <c r="AD122" s="17"/>
      <c r="AE122" s="17"/>
      <c r="AF122" s="18"/>
      <c r="AG122" s="250"/>
      <c r="AH122" s="251"/>
      <c r="AI122" s="251"/>
      <c r="AJ122" s="251"/>
      <c r="AK122" s="251"/>
      <c r="AL122" s="418"/>
      <c r="AM122" s="418"/>
      <c r="AN122" s="251"/>
      <c r="AO122" s="252"/>
      <c r="AP122" s="252"/>
    </row>
    <row r="123" s="15" customFormat="1" customHeight="1" spans="1:42">
      <c r="A123" s="17"/>
      <c r="B123" s="247"/>
      <c r="C123" s="18"/>
      <c r="D123" s="17"/>
      <c r="E123" s="18"/>
      <c r="F123" s="18"/>
      <c r="G123" s="420"/>
      <c r="H123" s="18"/>
      <c r="I123" s="18"/>
      <c r="J123" s="423"/>
      <c r="K123" s="18"/>
      <c r="L123" s="20"/>
      <c r="M123" s="17"/>
      <c r="N123" s="17"/>
      <c r="O123" s="17"/>
      <c r="P123" s="17"/>
      <c r="Q123" s="18"/>
      <c r="R123" s="18"/>
      <c r="S123" s="17"/>
      <c r="T123" s="17"/>
      <c r="U123" s="17"/>
      <c r="V123" s="91"/>
      <c r="W123" s="18"/>
      <c r="X123" s="20"/>
      <c r="Y123" s="248"/>
      <c r="Z123" s="23"/>
      <c r="AA123" s="23"/>
      <c r="AB123" s="249"/>
      <c r="AC123" s="17"/>
      <c r="AD123" s="17"/>
      <c r="AE123" s="17"/>
      <c r="AF123" s="18"/>
      <c r="AG123" s="250"/>
      <c r="AH123" s="251"/>
      <c r="AI123" s="251"/>
      <c r="AJ123" s="251"/>
      <c r="AK123" s="251"/>
      <c r="AL123" s="418"/>
      <c r="AM123" s="418"/>
      <c r="AN123" s="251"/>
      <c r="AO123" s="252"/>
      <c r="AP123" s="252"/>
    </row>
    <row r="124" s="15" customFormat="1" customHeight="1" spans="1:42">
      <c r="A124" s="17"/>
      <c r="B124" s="247"/>
      <c r="C124" s="18"/>
      <c r="D124" s="17"/>
      <c r="E124" s="18"/>
      <c r="F124" s="18"/>
      <c r="G124" s="19"/>
      <c r="H124" s="18"/>
      <c r="I124" s="422"/>
      <c r="J124" s="423"/>
      <c r="K124" s="18"/>
      <c r="L124" s="20"/>
      <c r="M124" s="17"/>
      <c r="N124" s="17"/>
      <c r="O124" s="17"/>
      <c r="P124" s="17"/>
      <c r="Q124" s="18"/>
      <c r="R124" s="18"/>
      <c r="S124" s="17"/>
      <c r="T124" s="17"/>
      <c r="U124" s="17"/>
      <c r="V124" s="91"/>
      <c r="W124" s="18"/>
      <c r="X124" s="20"/>
      <c r="Y124" s="248"/>
      <c r="Z124" s="23"/>
      <c r="AA124" s="23"/>
      <c r="AB124" s="249"/>
      <c r="AC124" s="17"/>
      <c r="AD124" s="17"/>
      <c r="AE124" s="17"/>
      <c r="AF124" s="18"/>
      <c r="AG124" s="250"/>
      <c r="AH124" s="251"/>
      <c r="AI124" s="251"/>
      <c r="AJ124" s="251"/>
      <c r="AK124" s="251"/>
      <c r="AL124" s="418"/>
      <c r="AM124" s="418"/>
      <c r="AN124" s="251"/>
      <c r="AO124" s="252"/>
      <c r="AP124" s="252"/>
    </row>
    <row r="125" s="15" customFormat="1" customHeight="1" spans="1:42">
      <c r="A125" s="17"/>
      <c r="B125" s="247"/>
      <c r="C125" s="18"/>
      <c r="D125" s="17"/>
      <c r="E125" s="18"/>
      <c r="F125" s="18"/>
      <c r="G125" s="19"/>
      <c r="H125" s="18"/>
      <c r="I125" s="18"/>
      <c r="J125" s="20"/>
      <c r="K125" s="18"/>
      <c r="L125" s="20"/>
      <c r="M125" s="17"/>
      <c r="N125" s="17"/>
      <c r="O125" s="17"/>
      <c r="P125" s="17"/>
      <c r="Q125" s="18"/>
      <c r="R125" s="18"/>
      <c r="S125" s="17"/>
      <c r="T125" s="17"/>
      <c r="U125" s="17"/>
      <c r="V125" s="91"/>
      <c r="W125" s="18"/>
      <c r="X125" s="20"/>
      <c r="Y125" s="248"/>
      <c r="Z125" s="23"/>
      <c r="AA125" s="23"/>
      <c r="AB125" s="249"/>
      <c r="AC125" s="17"/>
      <c r="AD125" s="17"/>
      <c r="AE125" s="17"/>
      <c r="AF125" s="18"/>
      <c r="AG125" s="250"/>
      <c r="AH125" s="251"/>
      <c r="AI125" s="251"/>
      <c r="AJ125" s="251"/>
      <c r="AK125" s="251"/>
      <c r="AL125" s="418"/>
      <c r="AM125" s="418"/>
      <c r="AN125" s="251"/>
      <c r="AO125" s="252"/>
      <c r="AP125" s="252"/>
    </row>
    <row r="126" s="15" customFormat="1" customHeight="1" spans="1:42">
      <c r="A126" s="17"/>
      <c r="B126" s="247"/>
      <c r="C126" s="18"/>
      <c r="D126" s="17"/>
      <c r="E126" s="18"/>
      <c r="F126" s="18"/>
      <c r="G126" s="420"/>
      <c r="H126" s="18"/>
      <c r="I126" s="18"/>
      <c r="J126" s="20"/>
      <c r="K126" s="18"/>
      <c r="L126" s="20"/>
      <c r="M126" s="17"/>
      <c r="N126" s="319"/>
      <c r="O126" s="17"/>
      <c r="P126" s="17"/>
      <c r="Q126" s="18"/>
      <c r="R126" s="18"/>
      <c r="S126" s="17"/>
      <c r="T126" s="17"/>
      <c r="U126" s="17"/>
      <c r="V126" s="91"/>
      <c r="W126" s="18"/>
      <c r="X126" s="20"/>
      <c r="Y126" s="248"/>
      <c r="Z126" s="23"/>
      <c r="AA126" s="23"/>
      <c r="AB126" s="249"/>
      <c r="AC126" s="17"/>
      <c r="AD126" s="17"/>
      <c r="AE126" s="17"/>
      <c r="AF126" s="18"/>
      <c r="AG126" s="250"/>
      <c r="AH126" s="251"/>
      <c r="AI126" s="251"/>
      <c r="AJ126" s="251"/>
      <c r="AK126" s="251"/>
      <c r="AL126" s="418"/>
      <c r="AM126" s="418"/>
      <c r="AN126" s="251"/>
      <c r="AO126" s="252"/>
      <c r="AP126" s="252"/>
    </row>
    <row r="127" s="15" customFormat="1" customHeight="1" spans="1:42">
      <c r="A127" s="17"/>
      <c r="B127" s="247"/>
      <c r="C127" s="18"/>
      <c r="D127" s="17"/>
      <c r="E127" s="18"/>
      <c r="F127" s="18"/>
      <c r="G127" s="19"/>
      <c r="H127" s="18"/>
      <c r="I127" s="18"/>
      <c r="J127" s="20"/>
      <c r="K127" s="18"/>
      <c r="L127" s="20"/>
      <c r="M127" s="17"/>
      <c r="N127" s="17"/>
      <c r="O127" s="17"/>
      <c r="P127" s="17"/>
      <c r="Q127" s="18"/>
      <c r="R127" s="18"/>
      <c r="S127" s="17"/>
      <c r="T127" s="17"/>
      <c r="U127" s="17"/>
      <c r="V127" s="91"/>
      <c r="W127" s="18"/>
      <c r="X127" s="20"/>
      <c r="Y127" s="248"/>
      <c r="Z127" s="23"/>
      <c r="AA127" s="23"/>
      <c r="AB127" s="249"/>
      <c r="AC127" s="17"/>
      <c r="AD127" s="17"/>
      <c r="AE127" s="17"/>
      <c r="AF127" s="18"/>
      <c r="AG127" s="250"/>
      <c r="AH127" s="251"/>
      <c r="AI127" s="251"/>
      <c r="AJ127" s="251"/>
      <c r="AK127" s="251"/>
      <c r="AL127" s="418"/>
      <c r="AM127" s="418"/>
      <c r="AN127" s="251"/>
      <c r="AO127" s="252"/>
      <c r="AP127" s="252"/>
    </row>
    <row r="128" s="15" customFormat="1" customHeight="1" spans="1:42">
      <c r="A128" s="17"/>
      <c r="B128" s="247"/>
      <c r="C128" s="18"/>
      <c r="D128" s="17"/>
      <c r="E128" s="18"/>
      <c r="F128" s="18"/>
      <c r="G128" s="19"/>
      <c r="H128" s="18"/>
      <c r="I128" s="18"/>
      <c r="J128" s="20"/>
      <c r="K128" s="18"/>
      <c r="L128" s="20"/>
      <c r="M128" s="17"/>
      <c r="N128" s="17"/>
      <c r="O128" s="17"/>
      <c r="P128" s="17"/>
      <c r="Q128" s="18"/>
      <c r="R128" s="18"/>
      <c r="S128" s="17"/>
      <c r="T128" s="17"/>
      <c r="U128" s="17"/>
      <c r="V128" s="91"/>
      <c r="W128" s="18"/>
      <c r="X128" s="20"/>
      <c r="Y128" s="248"/>
      <c r="Z128" s="23"/>
      <c r="AA128" s="23"/>
      <c r="AB128" s="249"/>
      <c r="AC128" s="17"/>
      <c r="AD128" s="17"/>
      <c r="AE128" s="17"/>
      <c r="AF128" s="18"/>
      <c r="AG128" s="250"/>
      <c r="AH128" s="251"/>
      <c r="AI128" s="251"/>
      <c r="AJ128" s="251"/>
      <c r="AK128" s="251"/>
      <c r="AL128" s="418"/>
      <c r="AM128" s="418"/>
      <c r="AN128" s="251"/>
      <c r="AO128" s="252"/>
      <c r="AP128" s="252"/>
    </row>
    <row r="129" s="15" customFormat="1" customHeight="1" spans="1:42">
      <c r="A129" s="17"/>
      <c r="B129" s="247"/>
      <c r="C129" s="18"/>
      <c r="D129" s="17"/>
      <c r="E129" s="18"/>
      <c r="F129" s="18"/>
      <c r="G129" s="19"/>
      <c r="H129" s="18"/>
      <c r="I129" s="18"/>
      <c r="J129" s="20"/>
      <c r="K129" s="18"/>
      <c r="L129" s="20"/>
      <c r="M129" s="17"/>
      <c r="N129" s="17"/>
      <c r="O129" s="17"/>
      <c r="P129" s="17"/>
      <c r="Q129" s="18"/>
      <c r="R129" s="18"/>
      <c r="S129" s="17"/>
      <c r="T129" s="17"/>
      <c r="U129" s="17"/>
      <c r="V129" s="91"/>
      <c r="W129" s="18"/>
      <c r="X129" s="20"/>
      <c r="Y129" s="248"/>
      <c r="Z129" s="23"/>
      <c r="AA129" s="23"/>
      <c r="AB129" s="249"/>
      <c r="AC129" s="17"/>
      <c r="AD129" s="17"/>
      <c r="AE129" s="17"/>
      <c r="AF129" s="18"/>
      <c r="AG129" s="250"/>
      <c r="AH129" s="251"/>
      <c r="AI129" s="251"/>
      <c r="AJ129" s="251"/>
      <c r="AK129" s="251"/>
      <c r="AL129" s="418"/>
      <c r="AM129" s="418"/>
      <c r="AN129" s="251"/>
      <c r="AO129" s="252"/>
      <c r="AP129" s="252"/>
    </row>
    <row r="130" s="15" customFormat="1" customHeight="1" spans="1:42">
      <c r="A130" s="17"/>
      <c r="B130" s="247"/>
      <c r="C130" s="18"/>
      <c r="D130" s="17"/>
      <c r="E130" s="18"/>
      <c r="F130" s="18"/>
      <c r="G130" s="19"/>
      <c r="H130" s="18"/>
      <c r="I130" s="18"/>
      <c r="J130" s="20"/>
      <c r="K130" s="18"/>
      <c r="L130" s="20"/>
      <c r="M130" s="17"/>
      <c r="N130" s="17"/>
      <c r="O130" s="17"/>
      <c r="P130" s="17"/>
      <c r="Q130" s="18"/>
      <c r="R130" s="18"/>
      <c r="S130" s="17"/>
      <c r="T130" s="17"/>
      <c r="U130" s="17"/>
      <c r="V130" s="91"/>
      <c r="W130" s="18"/>
      <c r="X130" s="20"/>
      <c r="Y130" s="248"/>
      <c r="Z130" s="23"/>
      <c r="AA130" s="23"/>
      <c r="AB130" s="249"/>
      <c r="AC130" s="17"/>
      <c r="AD130" s="17"/>
      <c r="AE130" s="17"/>
      <c r="AF130" s="18"/>
      <c r="AG130" s="250"/>
      <c r="AH130" s="251"/>
      <c r="AI130" s="251"/>
      <c r="AJ130" s="251"/>
      <c r="AK130" s="251"/>
      <c r="AL130" s="418"/>
      <c r="AM130" s="418"/>
      <c r="AN130" s="251"/>
      <c r="AO130" s="252"/>
      <c r="AP130" s="252"/>
    </row>
    <row r="131" s="15" customFormat="1" customHeight="1" spans="1:42">
      <c r="A131" s="17"/>
      <c r="B131" s="247"/>
      <c r="C131" s="18"/>
      <c r="D131" s="17"/>
      <c r="E131" s="18"/>
      <c r="F131" s="18"/>
      <c r="G131" s="19"/>
      <c r="H131" s="18"/>
      <c r="I131" s="18"/>
      <c r="J131" s="20"/>
      <c r="K131" s="18"/>
      <c r="L131" s="20"/>
      <c r="M131" s="17"/>
      <c r="N131" s="17"/>
      <c r="O131" s="17"/>
      <c r="P131" s="17"/>
      <c r="Q131" s="18"/>
      <c r="R131" s="18"/>
      <c r="S131" s="17"/>
      <c r="T131" s="17"/>
      <c r="U131" s="17"/>
      <c r="V131" s="91"/>
      <c r="W131" s="18"/>
      <c r="X131" s="20"/>
      <c r="Y131" s="248"/>
      <c r="Z131" s="23"/>
      <c r="AA131" s="23"/>
      <c r="AB131" s="249"/>
      <c r="AC131" s="17"/>
      <c r="AD131" s="17"/>
      <c r="AE131" s="17"/>
      <c r="AF131" s="18"/>
      <c r="AG131" s="250"/>
      <c r="AH131" s="251"/>
      <c r="AI131" s="251"/>
      <c r="AJ131" s="251"/>
      <c r="AK131" s="251"/>
      <c r="AL131" s="418"/>
      <c r="AM131" s="418"/>
      <c r="AN131" s="251"/>
      <c r="AO131" s="252"/>
      <c r="AP131" s="252"/>
    </row>
    <row r="132" s="15" customFormat="1" customHeight="1" spans="1:42">
      <c r="A132" s="17"/>
      <c r="B132" s="247"/>
      <c r="C132" s="18"/>
      <c r="D132" s="17"/>
      <c r="E132" s="18"/>
      <c r="F132" s="18"/>
      <c r="G132" s="19"/>
      <c r="H132" s="18"/>
      <c r="I132" s="18"/>
      <c r="J132" s="20"/>
      <c r="K132" s="18"/>
      <c r="L132" s="20"/>
      <c r="M132" s="17"/>
      <c r="N132" s="17"/>
      <c r="O132" s="17"/>
      <c r="P132" s="17"/>
      <c r="Q132" s="18"/>
      <c r="R132" s="18"/>
      <c r="S132" s="17"/>
      <c r="T132" s="17"/>
      <c r="U132" s="17"/>
      <c r="V132" s="91"/>
      <c r="W132" s="18"/>
      <c r="X132" s="20"/>
      <c r="Y132" s="248"/>
      <c r="Z132" s="23"/>
      <c r="AA132" s="23"/>
      <c r="AB132" s="249"/>
      <c r="AC132" s="17"/>
      <c r="AD132" s="17"/>
      <c r="AE132" s="17"/>
      <c r="AF132" s="18"/>
      <c r="AG132" s="250"/>
      <c r="AH132" s="251"/>
      <c r="AI132" s="251"/>
      <c r="AJ132" s="251"/>
      <c r="AK132" s="251"/>
      <c r="AL132" s="418"/>
      <c r="AM132" s="418"/>
      <c r="AN132" s="251"/>
      <c r="AO132" s="252"/>
      <c r="AP132" s="252"/>
    </row>
    <row r="133" s="15" customFormat="1" customHeight="1" spans="1:42">
      <c r="A133" s="17"/>
      <c r="B133" s="247"/>
      <c r="C133" s="18"/>
      <c r="D133" s="17"/>
      <c r="E133" s="18"/>
      <c r="F133" s="18"/>
      <c r="G133" s="19"/>
      <c r="H133" s="18"/>
      <c r="I133" s="18"/>
      <c r="J133" s="20"/>
      <c r="K133" s="18"/>
      <c r="L133" s="20"/>
      <c r="M133" s="17"/>
      <c r="N133" s="17"/>
      <c r="O133" s="17"/>
      <c r="P133" s="17"/>
      <c r="Q133" s="18"/>
      <c r="R133" s="18"/>
      <c r="S133" s="17"/>
      <c r="T133" s="17"/>
      <c r="U133" s="17"/>
      <c r="V133" s="91"/>
      <c r="W133" s="18"/>
      <c r="X133" s="20"/>
      <c r="Y133" s="248"/>
      <c r="Z133" s="23"/>
      <c r="AA133" s="23"/>
      <c r="AB133" s="249"/>
      <c r="AC133" s="17"/>
      <c r="AD133" s="17"/>
      <c r="AE133" s="17"/>
      <c r="AF133" s="18"/>
      <c r="AG133" s="250"/>
      <c r="AH133" s="251"/>
      <c r="AI133" s="251"/>
      <c r="AJ133" s="251"/>
      <c r="AK133" s="251"/>
      <c r="AL133" s="418"/>
      <c r="AM133" s="418"/>
      <c r="AN133" s="251"/>
      <c r="AO133" s="252"/>
      <c r="AP133" s="252"/>
    </row>
    <row r="134" s="15" customFormat="1" customHeight="1" spans="1:42">
      <c r="A134" s="17"/>
      <c r="B134" s="247"/>
      <c r="C134" s="18"/>
      <c r="D134" s="17"/>
      <c r="E134" s="18"/>
      <c r="F134" s="18"/>
      <c r="G134" s="19"/>
      <c r="H134" s="18"/>
      <c r="I134" s="18"/>
      <c r="J134" s="20"/>
      <c r="K134" s="18"/>
      <c r="L134" s="20"/>
      <c r="M134" s="17"/>
      <c r="N134" s="17"/>
      <c r="O134" s="17"/>
      <c r="P134" s="17"/>
      <c r="Q134" s="18"/>
      <c r="R134" s="18"/>
      <c r="S134" s="17"/>
      <c r="T134" s="17"/>
      <c r="U134" s="17"/>
      <c r="V134" s="91"/>
      <c r="W134" s="18"/>
      <c r="X134" s="20"/>
      <c r="Y134" s="248"/>
      <c r="Z134" s="23"/>
      <c r="AA134" s="23"/>
      <c r="AB134" s="249"/>
      <c r="AC134" s="17"/>
      <c r="AD134" s="17"/>
      <c r="AE134" s="17"/>
      <c r="AF134" s="18"/>
      <c r="AG134" s="250"/>
      <c r="AH134" s="251"/>
      <c r="AI134" s="251"/>
      <c r="AJ134" s="251"/>
      <c r="AK134" s="251"/>
      <c r="AL134" s="418"/>
      <c r="AM134" s="418"/>
      <c r="AN134" s="251"/>
      <c r="AO134" s="252"/>
      <c r="AP134" s="252"/>
    </row>
    <row r="135" s="15" customFormat="1" customHeight="1" spans="1:42">
      <c r="A135" s="17"/>
      <c r="B135" s="247"/>
      <c r="C135" s="18"/>
      <c r="D135" s="17"/>
      <c r="E135" s="18"/>
      <c r="F135" s="18"/>
      <c r="G135" s="19"/>
      <c r="H135" s="18"/>
      <c r="I135" s="422"/>
      <c r="J135" s="20"/>
      <c r="K135" s="18"/>
      <c r="L135" s="20"/>
      <c r="M135" s="17"/>
      <c r="N135" s="17"/>
      <c r="O135" s="17"/>
      <c r="P135" s="17"/>
      <c r="Q135" s="18"/>
      <c r="R135" s="18"/>
      <c r="S135" s="17"/>
      <c r="T135" s="17"/>
      <c r="U135" s="17"/>
      <c r="V135" s="91"/>
      <c r="W135" s="18"/>
      <c r="X135" s="20"/>
      <c r="Y135" s="248"/>
      <c r="Z135" s="23"/>
      <c r="AA135" s="23"/>
      <c r="AB135" s="249"/>
      <c r="AC135" s="17"/>
      <c r="AD135" s="17"/>
      <c r="AE135" s="17"/>
      <c r="AF135" s="18"/>
      <c r="AG135" s="250"/>
      <c r="AH135" s="251"/>
      <c r="AI135" s="251"/>
      <c r="AJ135" s="251"/>
      <c r="AK135" s="251"/>
      <c r="AL135" s="418"/>
      <c r="AM135" s="418"/>
      <c r="AN135" s="251"/>
      <c r="AO135" s="252"/>
      <c r="AP135" s="252"/>
    </row>
    <row r="136" s="15" customFormat="1" customHeight="1" spans="1:42">
      <c r="A136" s="17"/>
      <c r="B136" s="247"/>
      <c r="C136" s="18"/>
      <c r="D136" s="17"/>
      <c r="E136" s="18"/>
      <c r="F136" s="18"/>
      <c r="G136" s="19"/>
      <c r="H136" s="18"/>
      <c r="I136" s="18"/>
      <c r="J136" s="20"/>
      <c r="K136" s="18"/>
      <c r="L136" s="20"/>
      <c r="M136" s="421"/>
      <c r="N136" s="17"/>
      <c r="O136" s="17"/>
      <c r="P136" s="17"/>
      <c r="Q136" s="18"/>
      <c r="R136" s="18"/>
      <c r="S136" s="17"/>
      <c r="T136" s="17"/>
      <c r="U136" s="17"/>
      <c r="V136" s="91"/>
      <c r="W136" s="18"/>
      <c r="X136" s="20"/>
      <c r="Y136" s="248"/>
      <c r="Z136" s="23"/>
      <c r="AA136" s="23"/>
      <c r="AB136" s="249"/>
      <c r="AC136" s="17"/>
      <c r="AD136" s="17"/>
      <c r="AE136" s="17"/>
      <c r="AF136" s="18"/>
      <c r="AG136" s="250"/>
      <c r="AH136" s="251"/>
      <c r="AI136" s="251"/>
      <c r="AJ136" s="251"/>
      <c r="AK136" s="251"/>
      <c r="AL136" s="418"/>
      <c r="AM136" s="418"/>
      <c r="AN136" s="251"/>
      <c r="AO136" s="252"/>
      <c r="AP136" s="252"/>
    </row>
    <row r="137" s="15" customFormat="1" customHeight="1" spans="1:42">
      <c r="A137" s="17"/>
      <c r="B137" s="247"/>
      <c r="C137" s="18"/>
      <c r="D137" s="17"/>
      <c r="E137" s="18"/>
      <c r="F137" s="18"/>
      <c r="G137" s="19"/>
      <c r="H137" s="18"/>
      <c r="I137" s="18"/>
      <c r="J137" s="20"/>
      <c r="K137" s="18"/>
      <c r="L137" s="20"/>
      <c r="M137" s="17"/>
      <c r="N137" s="17"/>
      <c r="O137" s="17"/>
      <c r="P137" s="17"/>
      <c r="Q137" s="18"/>
      <c r="R137" s="17"/>
      <c r="S137" s="17"/>
      <c r="T137" s="17"/>
      <c r="U137" s="17"/>
      <c r="V137" s="91"/>
      <c r="W137" s="18"/>
      <c r="X137" s="20"/>
      <c r="Y137" s="248"/>
      <c r="Z137" s="23"/>
      <c r="AA137" s="23"/>
      <c r="AB137" s="249"/>
      <c r="AC137" s="17"/>
      <c r="AD137" s="17"/>
      <c r="AE137" s="17"/>
      <c r="AF137" s="18"/>
      <c r="AG137" s="250"/>
      <c r="AH137" s="251"/>
      <c r="AI137" s="251"/>
      <c r="AJ137" s="251"/>
      <c r="AK137" s="251"/>
      <c r="AL137" s="418"/>
      <c r="AM137" s="418"/>
      <c r="AN137" s="251"/>
      <c r="AO137" s="252"/>
      <c r="AP137" s="252"/>
    </row>
    <row r="138" s="15" customFormat="1" customHeight="1" spans="1:42">
      <c r="A138" s="17"/>
      <c r="B138" s="247"/>
      <c r="C138" s="18"/>
      <c r="D138" s="17"/>
      <c r="E138" s="18"/>
      <c r="F138" s="18"/>
      <c r="G138" s="19"/>
      <c r="H138" s="18"/>
      <c r="I138" s="18"/>
      <c r="J138" s="20"/>
      <c r="K138" s="18"/>
      <c r="L138" s="20"/>
      <c r="M138" s="17"/>
      <c r="N138" s="17"/>
      <c r="O138" s="17"/>
      <c r="P138" s="17"/>
      <c r="Q138" s="18"/>
      <c r="R138" s="17"/>
      <c r="S138" s="17"/>
      <c r="T138" s="17"/>
      <c r="U138" s="17"/>
      <c r="V138" s="91"/>
      <c r="W138" s="18"/>
      <c r="X138" s="20"/>
      <c r="Y138" s="248"/>
      <c r="Z138" s="23"/>
      <c r="AA138" s="23"/>
      <c r="AB138" s="249"/>
      <c r="AC138" s="17"/>
      <c r="AD138" s="17"/>
      <c r="AE138" s="17"/>
      <c r="AF138" s="18"/>
      <c r="AG138" s="250"/>
      <c r="AH138" s="251"/>
      <c r="AI138" s="251"/>
      <c r="AJ138" s="251"/>
      <c r="AK138" s="251"/>
      <c r="AL138" s="418"/>
      <c r="AM138" s="418"/>
      <c r="AN138" s="251"/>
      <c r="AO138" s="252"/>
      <c r="AP138" s="252"/>
    </row>
    <row r="139" s="15" customFormat="1" customHeight="1" spans="1:42">
      <c r="A139" s="17"/>
      <c r="B139" s="247"/>
      <c r="C139" s="18"/>
      <c r="D139" s="17"/>
      <c r="E139" s="18"/>
      <c r="F139" s="18"/>
      <c r="G139" s="19"/>
      <c r="H139" s="18"/>
      <c r="I139" s="18"/>
      <c r="J139" s="20"/>
      <c r="K139" s="18"/>
      <c r="L139" s="20"/>
      <c r="M139" s="17"/>
      <c r="N139" s="17"/>
      <c r="O139" s="17"/>
      <c r="P139" s="17"/>
      <c r="Q139" s="18"/>
      <c r="R139" s="17"/>
      <c r="S139" s="17"/>
      <c r="T139" s="17"/>
      <c r="U139" s="17"/>
      <c r="V139" s="91"/>
      <c r="W139" s="18"/>
      <c r="X139" s="20"/>
      <c r="Y139" s="248"/>
      <c r="Z139" s="23"/>
      <c r="AA139" s="23"/>
      <c r="AB139" s="249"/>
      <c r="AC139" s="17"/>
      <c r="AD139" s="17"/>
      <c r="AE139" s="17"/>
      <c r="AF139" s="18"/>
      <c r="AG139" s="250"/>
      <c r="AH139" s="251"/>
      <c r="AI139" s="251"/>
      <c r="AJ139" s="251"/>
      <c r="AK139" s="251"/>
      <c r="AL139" s="418"/>
      <c r="AM139" s="418"/>
      <c r="AN139" s="251"/>
      <c r="AO139" s="252"/>
      <c r="AP139" s="252"/>
    </row>
    <row r="140" s="15" customFormat="1" customHeight="1" spans="1:42">
      <c r="A140" s="17"/>
      <c r="B140" s="247"/>
      <c r="C140" s="18"/>
      <c r="D140" s="17"/>
      <c r="E140" s="18"/>
      <c r="F140" s="18"/>
      <c r="G140" s="19"/>
      <c r="H140" s="18"/>
      <c r="I140" s="18"/>
      <c r="J140" s="20"/>
      <c r="K140" s="18"/>
      <c r="L140" s="20"/>
      <c r="M140" s="17"/>
      <c r="N140" s="17"/>
      <c r="O140" s="17"/>
      <c r="P140" s="17"/>
      <c r="Q140" s="18"/>
      <c r="R140" s="17"/>
      <c r="S140" s="17"/>
      <c r="T140" s="17"/>
      <c r="U140" s="17"/>
      <c r="V140" s="91"/>
      <c r="W140" s="18"/>
      <c r="X140" s="20"/>
      <c r="Y140" s="248"/>
      <c r="Z140" s="23"/>
      <c r="AA140" s="23"/>
      <c r="AB140" s="249"/>
      <c r="AC140" s="17"/>
      <c r="AD140" s="17"/>
      <c r="AE140" s="17"/>
      <c r="AF140" s="18"/>
      <c r="AG140" s="250"/>
      <c r="AH140" s="251"/>
      <c r="AI140" s="251"/>
      <c r="AJ140" s="251"/>
      <c r="AK140" s="251"/>
      <c r="AL140" s="418"/>
      <c r="AM140" s="418"/>
      <c r="AN140" s="251"/>
      <c r="AO140" s="252"/>
      <c r="AP140" s="252"/>
    </row>
    <row r="141" s="15" customFormat="1" customHeight="1" spans="1:42">
      <c r="A141" s="17"/>
      <c r="B141" s="247"/>
      <c r="C141" s="18"/>
      <c r="D141" s="17"/>
      <c r="E141" s="18"/>
      <c r="F141" s="18"/>
      <c r="G141" s="19"/>
      <c r="H141" s="18"/>
      <c r="I141" s="18"/>
      <c r="J141" s="20"/>
      <c r="K141" s="18"/>
      <c r="L141" s="20"/>
      <c r="M141" s="17"/>
      <c r="N141" s="17"/>
      <c r="O141" s="17"/>
      <c r="P141" s="17"/>
      <c r="Q141" s="18"/>
      <c r="R141" s="17"/>
      <c r="S141" s="17"/>
      <c r="T141" s="17"/>
      <c r="U141" s="17"/>
      <c r="V141" s="91"/>
      <c r="W141" s="18"/>
      <c r="X141" s="20"/>
      <c r="Y141" s="248"/>
      <c r="Z141" s="23"/>
      <c r="AA141" s="23"/>
      <c r="AB141" s="249"/>
      <c r="AC141" s="17"/>
      <c r="AD141" s="17"/>
      <c r="AE141" s="17"/>
      <c r="AF141" s="18"/>
      <c r="AG141" s="250"/>
      <c r="AH141" s="251"/>
      <c r="AI141" s="251"/>
      <c r="AJ141" s="251"/>
      <c r="AK141" s="251"/>
      <c r="AL141" s="418"/>
      <c r="AM141" s="418"/>
      <c r="AN141" s="251"/>
      <c r="AO141" s="252"/>
      <c r="AP141" s="252"/>
    </row>
    <row r="142" s="15" customFormat="1" customHeight="1" spans="1:42">
      <c r="A142" s="17"/>
      <c r="B142" s="247"/>
      <c r="C142" s="18"/>
      <c r="D142" s="17"/>
      <c r="E142" s="18"/>
      <c r="F142" s="18"/>
      <c r="G142" s="19"/>
      <c r="H142" s="18"/>
      <c r="I142" s="18"/>
      <c r="J142" s="20"/>
      <c r="K142" s="18"/>
      <c r="L142" s="20"/>
      <c r="M142" s="17"/>
      <c r="N142" s="17"/>
      <c r="O142" s="17"/>
      <c r="P142" s="17"/>
      <c r="Q142" s="18"/>
      <c r="R142" s="17"/>
      <c r="S142" s="17"/>
      <c r="T142" s="17"/>
      <c r="U142" s="17"/>
      <c r="V142" s="91"/>
      <c r="W142" s="18"/>
      <c r="X142" s="20"/>
      <c r="Y142" s="248"/>
      <c r="Z142" s="23"/>
      <c r="AA142" s="23"/>
      <c r="AB142" s="249"/>
      <c r="AC142" s="17"/>
      <c r="AD142" s="17"/>
      <c r="AE142" s="17"/>
      <c r="AF142" s="18"/>
      <c r="AG142" s="250"/>
      <c r="AH142" s="251"/>
      <c r="AI142" s="251"/>
      <c r="AJ142" s="251"/>
      <c r="AK142" s="251"/>
      <c r="AL142" s="418"/>
      <c r="AM142" s="418"/>
      <c r="AN142" s="251"/>
      <c r="AO142" s="252"/>
      <c r="AP142" s="252"/>
    </row>
    <row r="143" s="15" customFormat="1" customHeight="1" spans="1:42">
      <c r="A143" s="17"/>
      <c r="B143" s="247"/>
      <c r="C143" s="18"/>
      <c r="D143" s="17"/>
      <c r="E143" s="18"/>
      <c r="F143" s="18"/>
      <c r="G143" s="19"/>
      <c r="H143" s="18"/>
      <c r="I143" s="18"/>
      <c r="J143" s="20"/>
      <c r="K143" s="18"/>
      <c r="L143" s="20"/>
      <c r="M143" s="17"/>
      <c r="N143" s="17"/>
      <c r="O143" s="17"/>
      <c r="P143" s="17"/>
      <c r="Q143" s="18"/>
      <c r="R143" s="17"/>
      <c r="S143" s="17"/>
      <c r="T143" s="17"/>
      <c r="U143" s="17"/>
      <c r="V143" s="91"/>
      <c r="W143" s="18"/>
      <c r="X143" s="20"/>
      <c r="Y143" s="248"/>
      <c r="Z143" s="23"/>
      <c r="AA143" s="23"/>
      <c r="AB143" s="249"/>
      <c r="AC143" s="17"/>
      <c r="AD143" s="17"/>
      <c r="AE143" s="17"/>
      <c r="AF143" s="18"/>
      <c r="AG143" s="250"/>
      <c r="AH143" s="251"/>
      <c r="AI143" s="251"/>
      <c r="AJ143" s="251"/>
      <c r="AK143" s="251"/>
      <c r="AL143" s="418"/>
      <c r="AM143" s="418"/>
      <c r="AN143" s="251"/>
      <c r="AO143" s="252"/>
      <c r="AP143" s="252"/>
    </row>
    <row r="144" s="15" customFormat="1" customHeight="1" spans="1:42">
      <c r="A144" s="17"/>
      <c r="B144" s="247"/>
      <c r="C144" s="18"/>
      <c r="D144" s="17"/>
      <c r="E144" s="18"/>
      <c r="F144" s="18"/>
      <c r="G144" s="19"/>
      <c r="H144" s="18"/>
      <c r="I144" s="18"/>
      <c r="J144" s="20"/>
      <c r="K144" s="18"/>
      <c r="L144" s="20"/>
      <c r="M144" s="17"/>
      <c r="N144" s="17"/>
      <c r="O144" s="17"/>
      <c r="P144" s="17"/>
      <c r="Q144" s="18"/>
      <c r="R144" s="17"/>
      <c r="S144" s="17"/>
      <c r="T144" s="17"/>
      <c r="U144" s="17"/>
      <c r="V144" s="91"/>
      <c r="W144" s="18"/>
      <c r="X144" s="20"/>
      <c r="Y144" s="248"/>
      <c r="Z144" s="23"/>
      <c r="AA144" s="23"/>
      <c r="AB144" s="249"/>
      <c r="AC144" s="17"/>
      <c r="AD144" s="17"/>
      <c r="AE144" s="17"/>
      <c r="AF144" s="18"/>
      <c r="AG144" s="250"/>
      <c r="AH144" s="251"/>
      <c r="AI144" s="251"/>
      <c r="AJ144" s="251"/>
      <c r="AK144" s="251"/>
      <c r="AL144" s="418"/>
      <c r="AM144" s="418"/>
      <c r="AN144" s="251"/>
      <c r="AO144" s="252"/>
      <c r="AP144" s="252"/>
    </row>
    <row r="145" s="15" customFormat="1" customHeight="1" spans="1:42">
      <c r="A145" s="17"/>
      <c r="B145" s="247"/>
      <c r="C145" s="18"/>
      <c r="D145" s="17"/>
      <c r="E145" s="18"/>
      <c r="F145" s="18"/>
      <c r="G145" s="19"/>
      <c r="H145" s="18"/>
      <c r="I145" s="18"/>
      <c r="J145" s="20"/>
      <c r="K145" s="18"/>
      <c r="L145" s="20"/>
      <c r="M145" s="17"/>
      <c r="N145" s="17"/>
      <c r="O145" s="17"/>
      <c r="P145" s="17"/>
      <c r="Q145" s="18"/>
      <c r="R145" s="17"/>
      <c r="S145" s="17"/>
      <c r="T145" s="17"/>
      <c r="U145" s="17"/>
      <c r="V145" s="91"/>
      <c r="W145" s="18"/>
      <c r="X145" s="20"/>
      <c r="Y145" s="248"/>
      <c r="Z145" s="23"/>
      <c r="AA145" s="23"/>
      <c r="AB145" s="249"/>
      <c r="AC145" s="17"/>
      <c r="AD145" s="17"/>
      <c r="AE145" s="17"/>
      <c r="AF145" s="18"/>
      <c r="AG145" s="250"/>
      <c r="AH145" s="251"/>
      <c r="AI145" s="251"/>
      <c r="AJ145" s="251"/>
      <c r="AK145" s="251"/>
      <c r="AL145" s="418"/>
      <c r="AM145" s="418"/>
      <c r="AN145" s="251"/>
      <c r="AO145" s="252"/>
      <c r="AP145" s="252"/>
    </row>
    <row r="146" s="15" customFormat="1" customHeight="1" spans="1:42">
      <c r="A146" s="17"/>
      <c r="B146" s="247"/>
      <c r="C146" s="18"/>
      <c r="D146" s="17"/>
      <c r="E146" s="18"/>
      <c r="F146" s="18"/>
      <c r="G146" s="19"/>
      <c r="H146" s="18"/>
      <c r="I146" s="18"/>
      <c r="J146" s="20"/>
      <c r="K146" s="18"/>
      <c r="L146" s="20"/>
      <c r="M146" s="17"/>
      <c r="N146" s="17"/>
      <c r="O146" s="17"/>
      <c r="P146" s="17"/>
      <c r="Q146" s="18"/>
      <c r="R146" s="17"/>
      <c r="S146" s="17"/>
      <c r="T146" s="17"/>
      <c r="U146" s="17"/>
      <c r="V146" s="91"/>
      <c r="W146" s="18"/>
      <c r="X146" s="20"/>
      <c r="Y146" s="248"/>
      <c r="Z146" s="23"/>
      <c r="AA146" s="23"/>
      <c r="AB146" s="249"/>
      <c r="AC146" s="17"/>
      <c r="AD146" s="17"/>
      <c r="AE146" s="17"/>
      <c r="AF146" s="18"/>
      <c r="AG146" s="250"/>
      <c r="AH146" s="251"/>
      <c r="AI146" s="251"/>
      <c r="AJ146" s="251"/>
      <c r="AK146" s="251"/>
      <c r="AL146" s="418"/>
      <c r="AM146" s="418"/>
      <c r="AN146" s="251"/>
      <c r="AO146" s="252"/>
      <c r="AP146" s="252"/>
    </row>
    <row r="147" s="15" customFormat="1" customHeight="1" spans="1:42">
      <c r="A147" s="17"/>
      <c r="B147" s="247"/>
      <c r="C147" s="18"/>
      <c r="D147" s="17"/>
      <c r="E147" s="18"/>
      <c r="F147" s="18"/>
      <c r="G147" s="19"/>
      <c r="H147" s="18"/>
      <c r="I147" s="18"/>
      <c r="J147" s="20"/>
      <c r="K147" s="18"/>
      <c r="L147" s="20"/>
      <c r="M147" s="17"/>
      <c r="N147" s="17"/>
      <c r="O147" s="17"/>
      <c r="P147" s="17"/>
      <c r="Q147" s="18"/>
      <c r="R147" s="17"/>
      <c r="S147" s="17"/>
      <c r="T147" s="17"/>
      <c r="U147" s="17"/>
      <c r="V147" s="91"/>
      <c r="W147" s="18"/>
      <c r="X147" s="20"/>
      <c r="Y147" s="248"/>
      <c r="Z147" s="23"/>
      <c r="AA147" s="23"/>
      <c r="AB147" s="249"/>
      <c r="AC147" s="17"/>
      <c r="AD147" s="17"/>
      <c r="AE147" s="17"/>
      <c r="AF147" s="18"/>
      <c r="AG147" s="250"/>
      <c r="AH147" s="251"/>
      <c r="AI147" s="251"/>
      <c r="AJ147" s="251"/>
      <c r="AK147" s="251"/>
      <c r="AL147" s="418"/>
      <c r="AM147" s="418"/>
      <c r="AN147" s="251"/>
      <c r="AO147" s="252"/>
      <c r="AP147" s="252"/>
    </row>
    <row r="148" s="15" customFormat="1" customHeight="1" spans="1:42">
      <c r="A148" s="17"/>
      <c r="B148" s="247"/>
      <c r="C148" s="18"/>
      <c r="D148" s="17"/>
      <c r="E148" s="18"/>
      <c r="F148" s="18"/>
      <c r="G148" s="19"/>
      <c r="H148" s="18"/>
      <c r="I148" s="18"/>
      <c r="J148" s="20"/>
      <c r="K148" s="18"/>
      <c r="L148" s="20"/>
      <c r="M148" s="17"/>
      <c r="N148" s="17"/>
      <c r="O148" s="17"/>
      <c r="P148" s="17"/>
      <c r="Q148" s="18"/>
      <c r="R148" s="17"/>
      <c r="S148" s="17"/>
      <c r="T148" s="17"/>
      <c r="U148" s="17"/>
      <c r="V148" s="91"/>
      <c r="W148" s="18"/>
      <c r="X148" s="20"/>
      <c r="Y148" s="248"/>
      <c r="Z148" s="23"/>
      <c r="AA148" s="23"/>
      <c r="AB148" s="249"/>
      <c r="AC148" s="17"/>
      <c r="AD148" s="17"/>
      <c r="AE148" s="17"/>
      <c r="AF148" s="18"/>
      <c r="AG148" s="250"/>
      <c r="AH148" s="251"/>
      <c r="AI148" s="251"/>
      <c r="AJ148" s="251"/>
      <c r="AK148" s="251"/>
      <c r="AL148" s="418"/>
      <c r="AM148" s="418"/>
      <c r="AN148" s="251"/>
      <c r="AO148" s="252"/>
      <c r="AP148" s="252"/>
    </row>
    <row r="149" s="15" customFormat="1" customHeight="1" spans="1:42">
      <c r="A149" s="17"/>
      <c r="B149" s="247"/>
      <c r="C149" s="18"/>
      <c r="D149" s="17"/>
      <c r="E149" s="18"/>
      <c r="F149" s="18"/>
      <c r="G149" s="19"/>
      <c r="H149" s="18"/>
      <c r="I149" s="18"/>
      <c r="J149" s="20"/>
      <c r="K149" s="18"/>
      <c r="L149" s="20"/>
      <c r="M149" s="17"/>
      <c r="N149" s="17"/>
      <c r="O149" s="17"/>
      <c r="P149" s="17"/>
      <c r="Q149" s="18"/>
      <c r="R149" s="17"/>
      <c r="S149" s="17"/>
      <c r="T149" s="17"/>
      <c r="U149" s="17"/>
      <c r="V149" s="91"/>
      <c r="W149" s="18"/>
      <c r="X149" s="20"/>
      <c r="Y149" s="248"/>
      <c r="Z149" s="23"/>
      <c r="AA149" s="23"/>
      <c r="AB149" s="249"/>
      <c r="AC149" s="17"/>
      <c r="AD149" s="17"/>
      <c r="AE149" s="17"/>
      <c r="AF149" s="18"/>
      <c r="AG149" s="250"/>
      <c r="AH149" s="251"/>
      <c r="AI149" s="251"/>
      <c r="AJ149" s="251"/>
      <c r="AK149" s="251"/>
      <c r="AL149" s="418"/>
      <c r="AM149" s="418"/>
      <c r="AN149" s="251"/>
      <c r="AO149" s="252"/>
      <c r="AP149" s="252"/>
    </row>
    <row r="150" s="15" customFormat="1" customHeight="1" spans="1:42">
      <c r="A150" s="17"/>
      <c r="B150" s="247"/>
      <c r="C150" s="18"/>
      <c r="D150" s="17"/>
      <c r="E150" s="18"/>
      <c r="F150" s="18"/>
      <c r="G150" s="19"/>
      <c r="H150" s="18"/>
      <c r="I150" s="18"/>
      <c r="J150" s="20"/>
      <c r="K150" s="18"/>
      <c r="L150" s="20"/>
      <c r="M150" s="17"/>
      <c r="N150" s="17"/>
      <c r="O150" s="17"/>
      <c r="P150" s="17"/>
      <c r="Q150" s="18"/>
      <c r="R150" s="17"/>
      <c r="S150" s="17"/>
      <c r="T150" s="17"/>
      <c r="U150" s="17"/>
      <c r="V150" s="91"/>
      <c r="W150" s="18"/>
      <c r="X150" s="20"/>
      <c r="Y150" s="248"/>
      <c r="Z150" s="23"/>
      <c r="AA150" s="23"/>
      <c r="AB150" s="249"/>
      <c r="AC150" s="17"/>
      <c r="AD150" s="17"/>
      <c r="AE150" s="17"/>
      <c r="AF150" s="18"/>
      <c r="AG150" s="250"/>
      <c r="AH150" s="251"/>
      <c r="AI150" s="251"/>
      <c r="AJ150" s="251"/>
      <c r="AK150" s="251"/>
      <c r="AL150" s="418"/>
      <c r="AM150" s="418"/>
      <c r="AN150" s="251"/>
      <c r="AO150" s="252"/>
      <c r="AP150" s="252"/>
    </row>
    <row r="151" s="15" customFormat="1" customHeight="1" spans="1:42">
      <c r="A151" s="17"/>
      <c r="B151" s="247"/>
      <c r="C151" s="18"/>
      <c r="D151" s="17"/>
      <c r="E151" s="18"/>
      <c r="F151" s="18"/>
      <c r="G151" s="19"/>
      <c r="H151" s="18"/>
      <c r="I151" s="18"/>
      <c r="J151" s="20"/>
      <c r="K151" s="18"/>
      <c r="L151" s="20"/>
      <c r="M151" s="17"/>
      <c r="N151" s="17"/>
      <c r="O151" s="17"/>
      <c r="P151" s="17"/>
      <c r="Q151" s="18"/>
      <c r="R151" s="17"/>
      <c r="S151" s="17"/>
      <c r="T151" s="17"/>
      <c r="U151" s="17"/>
      <c r="V151" s="91"/>
      <c r="W151" s="18"/>
      <c r="X151" s="20"/>
      <c r="Y151" s="248"/>
      <c r="Z151" s="23"/>
      <c r="AA151" s="23"/>
      <c r="AB151" s="249"/>
      <c r="AC151" s="17"/>
      <c r="AD151" s="17"/>
      <c r="AE151" s="17"/>
      <c r="AF151" s="18"/>
      <c r="AG151" s="250"/>
      <c r="AH151" s="251"/>
      <c r="AI151" s="251"/>
      <c r="AJ151" s="251"/>
      <c r="AK151" s="251"/>
      <c r="AL151" s="418"/>
      <c r="AM151" s="418"/>
      <c r="AN151" s="251"/>
      <c r="AO151" s="252"/>
      <c r="AP151" s="252"/>
    </row>
    <row r="152" s="15" customFormat="1" customHeight="1" spans="1:42">
      <c r="A152" s="17"/>
      <c r="B152" s="247"/>
      <c r="C152" s="18"/>
      <c r="D152" s="17"/>
      <c r="E152" s="18"/>
      <c r="F152" s="18"/>
      <c r="G152" s="19"/>
      <c r="H152" s="18"/>
      <c r="I152" s="18"/>
      <c r="J152" s="20"/>
      <c r="K152" s="18"/>
      <c r="L152" s="20"/>
      <c r="M152" s="17"/>
      <c r="N152" s="17"/>
      <c r="O152" s="17"/>
      <c r="P152" s="17"/>
      <c r="Q152" s="18"/>
      <c r="R152" s="17"/>
      <c r="S152" s="17"/>
      <c r="T152" s="17"/>
      <c r="U152" s="17"/>
      <c r="V152" s="91"/>
      <c r="W152" s="18"/>
      <c r="X152" s="20"/>
      <c r="Y152" s="248"/>
      <c r="Z152" s="23"/>
      <c r="AA152" s="23"/>
      <c r="AB152" s="249"/>
      <c r="AC152" s="17"/>
      <c r="AD152" s="17"/>
      <c r="AE152" s="17"/>
      <c r="AF152" s="18"/>
      <c r="AG152" s="250"/>
      <c r="AH152" s="251"/>
      <c r="AI152" s="251"/>
      <c r="AJ152" s="251"/>
      <c r="AK152" s="251"/>
      <c r="AL152" s="418"/>
      <c r="AM152" s="418"/>
      <c r="AN152" s="251"/>
      <c r="AO152" s="252"/>
      <c r="AP152" s="252"/>
    </row>
    <row r="153" s="15" customFormat="1" customHeight="1" spans="1:42">
      <c r="A153" s="17"/>
      <c r="B153" s="247"/>
      <c r="C153" s="18"/>
      <c r="D153" s="17"/>
      <c r="E153" s="18"/>
      <c r="F153" s="18"/>
      <c r="G153" s="19"/>
      <c r="H153" s="18"/>
      <c r="I153" s="18"/>
      <c r="J153" s="20"/>
      <c r="K153" s="18"/>
      <c r="L153" s="20"/>
      <c r="M153" s="17"/>
      <c r="N153" s="17"/>
      <c r="O153" s="17"/>
      <c r="P153" s="17"/>
      <c r="Q153" s="18"/>
      <c r="R153" s="17"/>
      <c r="S153" s="17"/>
      <c r="T153" s="17"/>
      <c r="U153" s="17"/>
      <c r="V153" s="91"/>
      <c r="W153" s="18"/>
      <c r="X153" s="20"/>
      <c r="Y153" s="248"/>
      <c r="Z153" s="23"/>
      <c r="AA153" s="23"/>
      <c r="AB153" s="249"/>
      <c r="AC153" s="17"/>
      <c r="AD153" s="17"/>
      <c r="AE153" s="17"/>
      <c r="AF153" s="18"/>
      <c r="AG153" s="250"/>
      <c r="AH153" s="251"/>
      <c r="AI153" s="251"/>
      <c r="AJ153" s="251"/>
      <c r="AK153" s="251"/>
      <c r="AL153" s="418"/>
      <c r="AM153" s="418"/>
      <c r="AN153" s="251"/>
      <c r="AO153" s="252"/>
      <c r="AP153" s="252"/>
    </row>
    <row r="154" s="15" customFormat="1" customHeight="1" spans="1:42">
      <c r="A154" s="17"/>
      <c r="B154" s="247"/>
      <c r="C154" s="18"/>
      <c r="D154" s="17"/>
      <c r="E154" s="18"/>
      <c r="F154" s="18"/>
      <c r="G154" s="19"/>
      <c r="H154" s="18"/>
      <c r="I154" s="18"/>
      <c r="J154" s="20"/>
      <c r="K154" s="18"/>
      <c r="L154" s="20"/>
      <c r="M154" s="17"/>
      <c r="N154" s="17"/>
      <c r="O154" s="17"/>
      <c r="P154" s="17"/>
      <c r="Q154" s="18"/>
      <c r="R154" s="17"/>
      <c r="S154" s="17"/>
      <c r="T154" s="17"/>
      <c r="U154" s="17"/>
      <c r="V154" s="91"/>
      <c r="W154" s="18"/>
      <c r="X154" s="20"/>
      <c r="Y154" s="248"/>
      <c r="Z154" s="23"/>
      <c r="AA154" s="23"/>
      <c r="AB154" s="249"/>
      <c r="AC154" s="17"/>
      <c r="AD154" s="17"/>
      <c r="AE154" s="17"/>
      <c r="AF154" s="18"/>
      <c r="AG154" s="250"/>
      <c r="AH154" s="251"/>
      <c r="AI154" s="251"/>
      <c r="AJ154" s="251"/>
      <c r="AK154" s="251"/>
      <c r="AL154" s="418"/>
      <c r="AM154" s="418"/>
      <c r="AN154" s="251"/>
      <c r="AO154" s="252"/>
      <c r="AP154" s="252"/>
    </row>
    <row r="155" s="15" customFormat="1" customHeight="1" spans="1:42">
      <c r="A155" s="17"/>
      <c r="B155" s="247"/>
      <c r="C155" s="18"/>
      <c r="D155" s="17"/>
      <c r="E155" s="18"/>
      <c r="F155" s="18"/>
      <c r="G155" s="19"/>
      <c r="H155" s="18"/>
      <c r="I155" s="18"/>
      <c r="J155" s="20"/>
      <c r="K155" s="18"/>
      <c r="L155" s="20"/>
      <c r="M155" s="17"/>
      <c r="N155" s="17"/>
      <c r="O155" s="17"/>
      <c r="P155" s="17"/>
      <c r="Q155" s="18"/>
      <c r="R155" s="17"/>
      <c r="S155" s="17"/>
      <c r="T155" s="17"/>
      <c r="U155" s="17"/>
      <c r="V155" s="91"/>
      <c r="W155" s="18"/>
      <c r="X155" s="20"/>
      <c r="Y155" s="248"/>
      <c r="Z155" s="23"/>
      <c r="AA155" s="23"/>
      <c r="AB155" s="249"/>
      <c r="AC155" s="17"/>
      <c r="AD155" s="17"/>
      <c r="AE155" s="17"/>
      <c r="AF155" s="18"/>
      <c r="AG155" s="250"/>
      <c r="AH155" s="251"/>
      <c r="AI155" s="251"/>
      <c r="AJ155" s="251"/>
      <c r="AK155" s="251"/>
      <c r="AL155" s="418"/>
      <c r="AM155" s="418"/>
      <c r="AN155" s="251"/>
      <c r="AO155" s="252"/>
      <c r="AP155" s="252"/>
    </row>
    <row r="156" s="15" customFormat="1" customHeight="1" spans="1:42">
      <c r="A156" s="17"/>
      <c r="B156" s="247"/>
      <c r="C156" s="18"/>
      <c r="D156" s="17"/>
      <c r="E156" s="18"/>
      <c r="F156" s="18"/>
      <c r="G156" s="19"/>
      <c r="H156" s="18"/>
      <c r="I156" s="18"/>
      <c r="J156" s="20"/>
      <c r="K156" s="18"/>
      <c r="L156" s="20"/>
      <c r="M156" s="17"/>
      <c r="N156" s="17"/>
      <c r="O156" s="17"/>
      <c r="P156" s="17"/>
      <c r="Q156" s="18"/>
      <c r="R156" s="17"/>
      <c r="S156" s="17"/>
      <c r="T156" s="17"/>
      <c r="U156" s="17"/>
      <c r="V156" s="91"/>
      <c r="W156" s="18"/>
      <c r="X156" s="20"/>
      <c r="Y156" s="248"/>
      <c r="Z156" s="23"/>
      <c r="AA156" s="23"/>
      <c r="AB156" s="249"/>
      <c r="AC156" s="17"/>
      <c r="AD156" s="17"/>
      <c r="AE156" s="17"/>
      <c r="AF156" s="18"/>
      <c r="AG156" s="250"/>
      <c r="AH156" s="251"/>
      <c r="AI156" s="251"/>
      <c r="AJ156" s="251"/>
      <c r="AK156" s="251"/>
      <c r="AL156" s="418"/>
      <c r="AM156" s="418"/>
      <c r="AN156" s="251"/>
      <c r="AO156" s="252"/>
      <c r="AP156" s="252"/>
    </row>
    <row r="157" s="15" customFormat="1" customHeight="1" spans="1:42">
      <c r="A157" s="17"/>
      <c r="B157" s="247"/>
      <c r="C157" s="18"/>
      <c r="D157" s="17"/>
      <c r="E157" s="18"/>
      <c r="F157" s="18"/>
      <c r="G157" s="19"/>
      <c r="H157" s="18"/>
      <c r="I157" s="18"/>
      <c r="J157" s="20"/>
      <c r="K157" s="18"/>
      <c r="L157" s="20"/>
      <c r="M157" s="17"/>
      <c r="N157" s="17"/>
      <c r="O157" s="17"/>
      <c r="P157" s="17"/>
      <c r="Q157" s="18"/>
      <c r="R157" s="17"/>
      <c r="S157" s="17"/>
      <c r="T157" s="17"/>
      <c r="U157" s="17"/>
      <c r="V157" s="91"/>
      <c r="W157" s="18"/>
      <c r="X157" s="20"/>
      <c r="Y157" s="248"/>
      <c r="Z157" s="23"/>
      <c r="AA157" s="23"/>
      <c r="AB157" s="249"/>
      <c r="AC157" s="17"/>
      <c r="AD157" s="17"/>
      <c r="AE157" s="17"/>
      <c r="AF157" s="18"/>
      <c r="AG157" s="250"/>
      <c r="AH157" s="251"/>
      <c r="AI157" s="251"/>
      <c r="AJ157" s="251"/>
      <c r="AK157" s="251"/>
      <c r="AL157" s="418"/>
      <c r="AM157" s="418"/>
      <c r="AN157" s="251"/>
      <c r="AO157" s="252"/>
      <c r="AP157" s="252"/>
    </row>
    <row r="158" s="15" customFormat="1" customHeight="1" spans="1:42">
      <c r="A158" s="17"/>
      <c r="B158" s="247"/>
      <c r="C158" s="18"/>
      <c r="D158" s="17"/>
      <c r="E158" s="18"/>
      <c r="F158" s="18"/>
      <c r="G158" s="19"/>
      <c r="H158" s="18"/>
      <c r="I158" s="18"/>
      <c r="J158" s="20"/>
      <c r="K158" s="18"/>
      <c r="L158" s="20"/>
      <c r="M158" s="17"/>
      <c r="N158" s="17"/>
      <c r="O158" s="17"/>
      <c r="P158" s="17"/>
      <c r="Q158" s="18"/>
      <c r="R158" s="17"/>
      <c r="S158" s="17"/>
      <c r="T158" s="17"/>
      <c r="U158" s="17"/>
      <c r="V158" s="91"/>
      <c r="W158" s="18"/>
      <c r="X158" s="20"/>
      <c r="Y158" s="248"/>
      <c r="Z158" s="23"/>
      <c r="AA158" s="23"/>
      <c r="AB158" s="249"/>
      <c r="AC158" s="17"/>
      <c r="AD158" s="17"/>
      <c r="AE158" s="17"/>
      <c r="AF158" s="18"/>
      <c r="AG158" s="250"/>
      <c r="AH158" s="251"/>
      <c r="AI158" s="251"/>
      <c r="AJ158" s="251"/>
      <c r="AK158" s="251"/>
      <c r="AL158" s="418"/>
      <c r="AM158" s="418"/>
      <c r="AN158" s="251"/>
      <c r="AO158" s="252"/>
      <c r="AP158" s="252"/>
    </row>
    <row r="159" s="15" customFormat="1" customHeight="1" spans="1:42">
      <c r="A159" s="17"/>
      <c r="B159" s="247"/>
      <c r="C159" s="18"/>
      <c r="D159" s="17"/>
      <c r="E159" s="18"/>
      <c r="F159" s="18"/>
      <c r="G159" s="19"/>
      <c r="H159" s="18"/>
      <c r="I159" s="18"/>
      <c r="J159" s="20"/>
      <c r="K159" s="18"/>
      <c r="L159" s="20"/>
      <c r="M159" s="17"/>
      <c r="N159" s="17"/>
      <c r="O159" s="17"/>
      <c r="P159" s="17"/>
      <c r="Q159" s="18"/>
      <c r="R159" s="17"/>
      <c r="S159" s="17"/>
      <c r="T159" s="17"/>
      <c r="U159" s="17"/>
      <c r="V159" s="91"/>
      <c r="W159" s="18"/>
      <c r="X159" s="20"/>
      <c r="Y159" s="248"/>
      <c r="Z159" s="23"/>
      <c r="AA159" s="23"/>
      <c r="AB159" s="249"/>
      <c r="AC159" s="17"/>
      <c r="AD159" s="17"/>
      <c r="AE159" s="17"/>
      <c r="AF159" s="18"/>
      <c r="AG159" s="250"/>
      <c r="AH159" s="251"/>
      <c r="AI159" s="251"/>
      <c r="AJ159" s="251"/>
      <c r="AK159" s="251"/>
      <c r="AL159" s="418"/>
      <c r="AM159" s="418"/>
      <c r="AN159" s="251"/>
      <c r="AO159" s="252"/>
      <c r="AP159" s="252"/>
    </row>
    <row r="160" s="15" customFormat="1" customHeight="1" spans="1:42">
      <c r="A160" s="17"/>
      <c r="B160" s="247"/>
      <c r="C160" s="18"/>
      <c r="D160" s="17"/>
      <c r="E160" s="18"/>
      <c r="F160" s="18"/>
      <c r="G160" s="19"/>
      <c r="H160" s="18"/>
      <c r="I160" s="18"/>
      <c r="J160" s="20"/>
      <c r="K160" s="18"/>
      <c r="L160" s="20"/>
      <c r="M160" s="17"/>
      <c r="N160" s="17"/>
      <c r="O160" s="17"/>
      <c r="P160" s="17"/>
      <c r="Q160" s="18"/>
      <c r="R160" s="17"/>
      <c r="S160" s="17"/>
      <c r="T160" s="17"/>
      <c r="U160" s="17"/>
      <c r="V160" s="91"/>
      <c r="W160" s="18"/>
      <c r="X160" s="20"/>
      <c r="Y160" s="248"/>
      <c r="Z160" s="23"/>
      <c r="AA160" s="23"/>
      <c r="AB160" s="249"/>
      <c r="AC160" s="17"/>
      <c r="AD160" s="17"/>
      <c r="AE160" s="17"/>
      <c r="AF160" s="18"/>
      <c r="AG160" s="250"/>
      <c r="AH160" s="251"/>
      <c r="AI160" s="251"/>
      <c r="AJ160" s="251"/>
      <c r="AK160" s="251"/>
      <c r="AL160" s="418"/>
      <c r="AM160" s="418"/>
      <c r="AN160" s="251"/>
      <c r="AO160" s="252"/>
      <c r="AP160" s="252"/>
    </row>
    <row r="161" s="15" customFormat="1" customHeight="1" spans="1:42">
      <c r="A161" s="17"/>
      <c r="B161" s="247"/>
      <c r="C161" s="18"/>
      <c r="D161" s="17"/>
      <c r="E161" s="18"/>
      <c r="F161" s="18"/>
      <c r="G161" s="19"/>
      <c r="H161" s="18"/>
      <c r="I161" s="18"/>
      <c r="J161" s="20"/>
      <c r="K161" s="18"/>
      <c r="L161" s="20"/>
      <c r="M161" s="17"/>
      <c r="N161" s="17"/>
      <c r="O161" s="17"/>
      <c r="P161" s="17"/>
      <c r="Q161" s="18"/>
      <c r="R161" s="17"/>
      <c r="S161" s="17"/>
      <c r="T161" s="17"/>
      <c r="U161" s="17"/>
      <c r="V161" s="91"/>
      <c r="W161" s="18"/>
      <c r="X161" s="20"/>
      <c r="Y161" s="248"/>
      <c r="Z161" s="23"/>
      <c r="AA161" s="23"/>
      <c r="AB161" s="249"/>
      <c r="AC161" s="17"/>
      <c r="AD161" s="17"/>
      <c r="AE161" s="17"/>
      <c r="AF161" s="18"/>
      <c r="AG161" s="250"/>
      <c r="AH161" s="251"/>
      <c r="AI161" s="251"/>
      <c r="AJ161" s="251"/>
      <c r="AK161" s="251"/>
      <c r="AL161" s="418"/>
      <c r="AM161" s="418"/>
      <c r="AN161" s="251"/>
      <c r="AO161" s="252"/>
      <c r="AP161" s="252"/>
    </row>
    <row r="162" s="15" customFormat="1" customHeight="1" spans="1:42">
      <c r="A162" s="17"/>
      <c r="B162" s="247"/>
      <c r="C162" s="18"/>
      <c r="D162" s="17"/>
      <c r="E162" s="18"/>
      <c r="F162" s="18"/>
      <c r="G162" s="19"/>
      <c r="H162" s="18"/>
      <c r="I162" s="18"/>
      <c r="J162" s="20"/>
      <c r="K162" s="18"/>
      <c r="L162" s="20"/>
      <c r="M162" s="17"/>
      <c r="N162" s="17"/>
      <c r="O162" s="17"/>
      <c r="P162" s="17"/>
      <c r="Q162" s="18"/>
      <c r="R162" s="17"/>
      <c r="S162" s="17"/>
      <c r="T162" s="17"/>
      <c r="U162" s="17"/>
      <c r="V162" s="91"/>
      <c r="W162" s="18"/>
      <c r="X162" s="20"/>
      <c r="Y162" s="248"/>
      <c r="Z162" s="23"/>
      <c r="AA162" s="23"/>
      <c r="AB162" s="249"/>
      <c r="AC162" s="17"/>
      <c r="AD162" s="17"/>
      <c r="AE162" s="17"/>
      <c r="AF162" s="18"/>
      <c r="AG162" s="250"/>
      <c r="AH162" s="251"/>
      <c r="AI162" s="251"/>
      <c r="AJ162" s="251"/>
      <c r="AK162" s="251"/>
      <c r="AL162" s="418"/>
      <c r="AM162" s="418"/>
      <c r="AN162" s="251"/>
      <c r="AO162" s="252"/>
      <c r="AP162" s="252"/>
    </row>
    <row r="163" s="15" customFormat="1" customHeight="1" spans="1:42">
      <c r="A163" s="17"/>
      <c r="B163" s="247"/>
      <c r="C163" s="18"/>
      <c r="D163" s="17"/>
      <c r="E163" s="18"/>
      <c r="F163" s="18"/>
      <c r="G163" s="19"/>
      <c r="H163" s="18"/>
      <c r="I163" s="18"/>
      <c r="J163" s="20"/>
      <c r="K163" s="18"/>
      <c r="L163" s="20"/>
      <c r="M163" s="17"/>
      <c r="N163" s="17"/>
      <c r="O163" s="17"/>
      <c r="P163" s="17"/>
      <c r="Q163" s="18"/>
      <c r="R163" s="17"/>
      <c r="S163" s="17"/>
      <c r="T163" s="17"/>
      <c r="U163" s="17"/>
      <c r="V163" s="91"/>
      <c r="W163" s="18"/>
      <c r="X163" s="20"/>
      <c r="Y163" s="248"/>
      <c r="Z163" s="23"/>
      <c r="AA163" s="23"/>
      <c r="AB163" s="249"/>
      <c r="AC163" s="17"/>
      <c r="AD163" s="17"/>
      <c r="AE163" s="17"/>
      <c r="AF163" s="18"/>
      <c r="AG163" s="250"/>
      <c r="AH163" s="251"/>
      <c r="AI163" s="251"/>
      <c r="AJ163" s="251"/>
      <c r="AK163" s="251"/>
      <c r="AL163" s="418"/>
      <c r="AM163" s="418"/>
      <c r="AN163" s="251"/>
      <c r="AO163" s="252"/>
      <c r="AP163" s="252"/>
    </row>
    <row r="164" s="15" customFormat="1" customHeight="1" spans="1:42">
      <c r="A164" s="17"/>
      <c r="B164" s="247"/>
      <c r="C164" s="18"/>
      <c r="D164" s="17"/>
      <c r="E164" s="18"/>
      <c r="F164" s="18"/>
      <c r="G164" s="19"/>
      <c r="H164" s="18"/>
      <c r="I164" s="18"/>
      <c r="J164" s="20"/>
      <c r="K164" s="18"/>
      <c r="L164" s="20"/>
      <c r="M164" s="17"/>
      <c r="N164" s="17"/>
      <c r="O164" s="17"/>
      <c r="P164" s="17"/>
      <c r="Q164" s="18"/>
      <c r="R164" s="17"/>
      <c r="S164" s="17"/>
      <c r="T164" s="17"/>
      <c r="U164" s="17"/>
      <c r="V164" s="91"/>
      <c r="W164" s="18"/>
      <c r="X164" s="20"/>
      <c r="Y164" s="248"/>
      <c r="Z164" s="23"/>
      <c r="AA164" s="23"/>
      <c r="AB164" s="249"/>
      <c r="AC164" s="17"/>
      <c r="AD164" s="17"/>
      <c r="AE164" s="17"/>
      <c r="AF164" s="18"/>
      <c r="AG164" s="250"/>
      <c r="AH164" s="251"/>
      <c r="AI164" s="251"/>
      <c r="AJ164" s="251"/>
      <c r="AK164" s="251"/>
      <c r="AL164" s="418"/>
      <c r="AM164" s="418"/>
      <c r="AN164" s="251"/>
      <c r="AO164" s="252"/>
      <c r="AP164" s="252"/>
    </row>
    <row r="165" s="15" customFormat="1" customHeight="1" spans="1:42">
      <c r="A165" s="17"/>
      <c r="B165" s="247"/>
      <c r="C165" s="18"/>
      <c r="D165" s="17"/>
      <c r="E165" s="18"/>
      <c r="F165" s="18"/>
      <c r="G165" s="19"/>
      <c r="H165" s="18"/>
      <c r="I165" s="18"/>
      <c r="J165" s="20"/>
      <c r="K165" s="18"/>
      <c r="L165" s="20"/>
      <c r="M165" s="17"/>
      <c r="N165" s="17"/>
      <c r="O165" s="17"/>
      <c r="P165" s="17"/>
      <c r="Q165" s="18"/>
      <c r="R165" s="17"/>
      <c r="S165" s="17"/>
      <c r="T165" s="17"/>
      <c r="U165" s="17"/>
      <c r="V165" s="91"/>
      <c r="W165" s="18"/>
      <c r="X165" s="20"/>
      <c r="Y165" s="248"/>
      <c r="Z165" s="23"/>
      <c r="AA165" s="23"/>
      <c r="AB165" s="249"/>
      <c r="AC165" s="17"/>
      <c r="AD165" s="17"/>
      <c r="AE165" s="17"/>
      <c r="AF165" s="18"/>
      <c r="AG165" s="250"/>
      <c r="AH165" s="251"/>
      <c r="AI165" s="251"/>
      <c r="AJ165" s="251"/>
      <c r="AK165" s="251"/>
      <c r="AL165" s="418"/>
      <c r="AM165" s="418"/>
      <c r="AN165" s="251"/>
      <c r="AO165" s="252"/>
      <c r="AP165" s="252"/>
    </row>
    <row r="166" s="15" customFormat="1" customHeight="1" spans="1:42">
      <c r="A166" s="17"/>
      <c r="B166" s="247"/>
      <c r="C166" s="18"/>
      <c r="D166" s="17"/>
      <c r="E166" s="18"/>
      <c r="F166" s="18"/>
      <c r="G166" s="19"/>
      <c r="H166" s="18"/>
      <c r="I166" s="18"/>
      <c r="J166" s="20"/>
      <c r="K166" s="18"/>
      <c r="L166" s="20"/>
      <c r="M166" s="17"/>
      <c r="N166" s="17"/>
      <c r="O166" s="17"/>
      <c r="P166" s="17"/>
      <c r="Q166" s="18"/>
      <c r="R166" s="18"/>
      <c r="S166" s="17"/>
      <c r="T166" s="17"/>
      <c r="U166" s="17"/>
      <c r="V166" s="91"/>
      <c r="W166" s="18"/>
      <c r="X166" s="20"/>
      <c r="Y166" s="248"/>
      <c r="Z166" s="23"/>
      <c r="AA166" s="23"/>
      <c r="AB166" s="249"/>
      <c r="AC166" s="17"/>
      <c r="AD166" s="17"/>
      <c r="AE166" s="17"/>
      <c r="AF166" s="18"/>
      <c r="AG166" s="250"/>
      <c r="AH166" s="251"/>
      <c r="AI166" s="251"/>
      <c r="AJ166" s="251"/>
      <c r="AK166" s="251"/>
      <c r="AL166" s="424"/>
      <c r="AM166" s="418"/>
      <c r="AN166" s="251"/>
      <c r="AO166" s="252"/>
      <c r="AP166" s="25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P166" etc:filterBottomFollowUsedRange="1">
    <filterColumn colId="17">
      <customFilters>
        <customFilter operator="equal" val=""/>
        <customFilter operator="equal" val="7/24 寄出"/>
      </customFilters>
    </filterColumn>
    <extLst/>
  </autoFilter>
  <sortState ref="A2:AR424">
    <sortCondition ref="A1"/>
  </sortState>
  <conditionalFormatting sqref="AO2:AO115">
    <cfRule type="cellIs" dxfId="1" priority="912" operator="lessThan">
      <formula>90</formula>
    </cfRule>
  </conditionalFormatting>
  <conditionalFormatting sqref="AP2:AP115">
    <cfRule type="cellIs" dxfId="0" priority="911" operator="lessThan">
      <formula>55</formula>
    </cfRule>
  </conditionalFormatting>
  <pageMargins left="0.196527777777778" right="0.161111111111111" top="0.0152777777777778" bottom="0.354166666666667" header="0.156944444444444" footer="0.118055555555556"/>
  <pageSetup paperSize="9" scale="69" fitToHeight="0" orientation="landscape" horizontalDpi="600"/>
  <headerFooter>
    <oddFooter>&amp;C第 &amp;P 页，共 &amp;N 页</oddFooter>
  </headerFooter>
  <ignoredErrors>
    <ignoredError sqref="AH1:AP1 A1:AF1" evalError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P52"/>
  <sheetViews>
    <sheetView workbookViewId="0">
      <pane xSplit="14" ySplit="1" topLeftCell="R17" activePane="bottomRight" state="frozen"/>
      <selection/>
      <selection pane="topRight"/>
      <selection pane="bottomLeft"/>
      <selection pane="bottomRight" activeCell="X44" sqref="$A1:$XFD1048576"/>
    </sheetView>
  </sheetViews>
  <sheetFormatPr defaultColWidth="9" defaultRowHeight="25" customHeight="1"/>
  <cols>
    <col min="1" max="1" width="12.625" style="17" customWidth="1"/>
    <col min="2" max="2" width="6.625" style="247" customWidth="1"/>
    <col min="3" max="3" width="10.625" style="18" customWidth="1"/>
    <col min="4" max="4" width="20.6" style="17" customWidth="1"/>
    <col min="5" max="5" width="8.625" style="18" customWidth="1"/>
    <col min="6" max="6" width="12.625" style="18" customWidth="1"/>
    <col min="7" max="7" width="12.625" style="19" customWidth="1"/>
    <col min="8" max="8" width="10.625" style="18" customWidth="1"/>
    <col min="9" max="9" width="12.625" style="18" customWidth="1"/>
    <col min="10" max="10" width="6.625" style="20" customWidth="1"/>
    <col min="11" max="11" width="5.625" style="18" customWidth="1"/>
    <col min="12" max="12" width="5.625" style="20" customWidth="1"/>
    <col min="13" max="16" width="12.625" style="17" customWidth="1"/>
    <col min="17" max="17" width="12.875" style="18" customWidth="1"/>
    <col min="18" max="18" width="10.625" style="18" customWidth="1"/>
    <col min="19" max="19" width="12.625" style="17" customWidth="1"/>
    <col min="20" max="20" width="15.475" style="17" customWidth="1"/>
    <col min="21" max="21" width="12.625" style="17" customWidth="1"/>
    <col min="22" max="22" width="12.625" style="91" customWidth="1"/>
    <col min="23" max="23" width="12.625" style="18" customWidth="1"/>
    <col min="24" max="24" width="15.625" style="20" customWidth="1"/>
    <col min="25" max="25" width="8.625" style="248" customWidth="1"/>
    <col min="26" max="27" width="12.625" style="23" customWidth="1"/>
    <col min="28" max="28" width="10.625" style="249" customWidth="1"/>
    <col min="29" max="30" width="10.625" style="17" customWidth="1"/>
    <col min="31" max="31" width="6.625" style="17" customWidth="1"/>
    <col min="32" max="32" width="10.625" style="18" customWidth="1"/>
    <col min="33" max="33" width="10.625" style="250" customWidth="1"/>
    <col min="34" max="35" width="11.5" style="251" customWidth="1"/>
    <col min="36" max="36" width="8" style="251" customWidth="1"/>
    <col min="37" max="39" width="11.5" style="251" customWidth="1"/>
    <col min="40" max="41" width="6.625" style="252" customWidth="1"/>
    <col min="42" max="16384" width="9" style="15"/>
  </cols>
  <sheetData>
    <row r="1" s="15" customFormat="1" customHeight="1" spans="1:41">
      <c r="A1" s="26" t="s">
        <v>384</v>
      </c>
      <c r="B1" s="27" t="s">
        <v>385</v>
      </c>
      <c r="C1" s="28" t="s">
        <v>200</v>
      </c>
      <c r="D1" s="26" t="s">
        <v>386</v>
      </c>
      <c r="E1" s="28" t="s">
        <v>387</v>
      </c>
      <c r="F1" s="28" t="s">
        <v>201</v>
      </c>
      <c r="G1" s="29" t="s">
        <v>202</v>
      </c>
      <c r="H1" s="28" t="s">
        <v>203</v>
      </c>
      <c r="I1" s="30" t="s">
        <v>197</v>
      </c>
      <c r="J1" s="31" t="s">
        <v>204</v>
      </c>
      <c r="K1" s="32" t="s">
        <v>388</v>
      </c>
      <c r="L1" s="33" t="s">
        <v>389</v>
      </c>
      <c r="M1" s="26" t="s">
        <v>205</v>
      </c>
      <c r="N1" s="26" t="s">
        <v>390</v>
      </c>
      <c r="O1" s="26" t="s">
        <v>391</v>
      </c>
      <c r="P1" s="26" t="s">
        <v>392</v>
      </c>
      <c r="Q1" s="28" t="s">
        <v>393</v>
      </c>
      <c r="R1" s="28" t="s">
        <v>394</v>
      </c>
      <c r="S1" s="26" t="s">
        <v>395</v>
      </c>
      <c r="T1" s="26" t="s">
        <v>396</v>
      </c>
      <c r="U1" s="26" t="s">
        <v>397</v>
      </c>
      <c r="V1" s="26" t="s">
        <v>398</v>
      </c>
      <c r="W1" s="28" t="s">
        <v>399</v>
      </c>
      <c r="X1" s="34" t="s">
        <v>400</v>
      </c>
      <c r="Y1" s="92" t="s">
        <v>231</v>
      </c>
      <c r="Z1" s="35" t="s">
        <v>232</v>
      </c>
      <c r="AA1" s="35" t="s">
        <v>233</v>
      </c>
      <c r="AB1" s="36" t="s">
        <v>401</v>
      </c>
      <c r="AC1" s="33" t="s">
        <v>402</v>
      </c>
      <c r="AD1" s="37" t="s">
        <v>403</v>
      </c>
      <c r="AE1" s="37" t="s">
        <v>234</v>
      </c>
      <c r="AF1" s="30" t="s">
        <v>404</v>
      </c>
      <c r="AG1" s="253" t="s">
        <v>405</v>
      </c>
      <c r="AH1" s="39" t="s">
        <v>406</v>
      </c>
      <c r="AI1" s="39" t="s">
        <v>407</v>
      </c>
      <c r="AJ1" s="40" t="s">
        <v>408</v>
      </c>
      <c r="AK1" s="39" t="s">
        <v>518</v>
      </c>
      <c r="AL1" s="39" t="s">
        <v>411</v>
      </c>
      <c r="AM1" s="39" t="s">
        <v>412</v>
      </c>
      <c r="AN1" s="41" t="s">
        <v>413</v>
      </c>
      <c r="AO1" s="33" t="s">
        <v>414</v>
      </c>
    </row>
    <row r="2" s="245" customFormat="1" customHeight="1" spans="1:41">
      <c r="A2" s="254">
        <v>46001</v>
      </c>
      <c r="B2" s="254" t="str">
        <f ca="1" t="shared" ref="B2:B38" si="0">IF(TODAY()&gt;=A2,IF(R2="","未",""),"")</f>
        <v/>
      </c>
      <c r="C2" s="255" t="s">
        <v>236</v>
      </c>
      <c r="D2" s="254" t="s">
        <v>442</v>
      </c>
      <c r="E2" s="255" t="s">
        <v>519</v>
      </c>
      <c r="F2" s="256">
        <v>10116691</v>
      </c>
      <c r="G2" s="256">
        <v>20218751</v>
      </c>
      <c r="H2" s="257" t="s">
        <v>126</v>
      </c>
      <c r="I2" s="258" t="str">
        <f>IFERROR(VLOOKUP(H2,名称!A:C,2,0),"")</f>
        <v>1#农场朋友混合</v>
      </c>
      <c r="J2" s="259">
        <v>5000</v>
      </c>
      <c r="K2" s="258">
        <f>IFERROR(VLOOKUP(H2,名称!A:D,3,0),"")</f>
        <v>4</v>
      </c>
      <c r="L2" s="260">
        <f>IFERROR((J2/K2),"")</f>
        <v>1250</v>
      </c>
      <c r="M2" s="254">
        <v>46232</v>
      </c>
      <c r="N2" s="254">
        <f t="shared" ref="N2:N45" si="1">M2-2</f>
        <v>46230</v>
      </c>
      <c r="O2" s="261">
        <v>46232</v>
      </c>
      <c r="P2" s="261" t="s">
        <v>520</v>
      </c>
      <c r="Q2" s="257" t="s">
        <v>430</v>
      </c>
      <c r="R2" s="262" t="s">
        <v>521</v>
      </c>
      <c r="S2" s="261" t="s">
        <v>522</v>
      </c>
      <c r="T2" s="254" t="s">
        <v>452</v>
      </c>
      <c r="U2" s="254"/>
      <c r="V2" s="254"/>
      <c r="W2" s="257"/>
      <c r="X2" s="260"/>
      <c r="Y2" s="263">
        <v>1.746</v>
      </c>
      <c r="Z2" s="264">
        <f t="shared" ref="Z2:Z45" si="2">J2*Y2</f>
        <v>8730</v>
      </c>
      <c r="AA2" s="264">
        <f t="shared" ref="AA2:AA45" si="3">Z2*7.75</f>
        <v>67657.5</v>
      </c>
      <c r="AB2" s="265"/>
      <c r="AC2" s="254"/>
      <c r="AD2" s="254"/>
      <c r="AE2" s="254" t="str">
        <f>IFERROR(VLOOKUP(H2,名称!A:D,4,0),"")</f>
        <v>RRM</v>
      </c>
      <c r="AF2" s="258"/>
      <c r="AG2" s="258"/>
      <c r="AH2" s="266" t="s">
        <v>523</v>
      </c>
      <c r="AI2" s="266" t="s">
        <v>420</v>
      </c>
      <c r="AJ2" s="267"/>
      <c r="AK2" s="267">
        <v>46197</v>
      </c>
      <c r="AL2" s="266" t="s">
        <v>524</v>
      </c>
      <c r="AM2" s="267"/>
      <c r="AN2" s="260">
        <f t="shared" ref="AN2:AN35" si="4">M2-A2</f>
        <v>231</v>
      </c>
      <c r="AO2" s="260" t="e">
        <f t="shared" ref="AO2:AO35" si="5">M2-AH2</f>
        <v>#VALUE!</v>
      </c>
    </row>
    <row r="3" s="245" customFormat="1" customHeight="1" spans="1:41">
      <c r="A3" s="254">
        <v>46123</v>
      </c>
      <c r="B3" s="254" t="str">
        <f ca="1" t="shared" si="0"/>
        <v/>
      </c>
      <c r="C3" s="255" t="s">
        <v>236</v>
      </c>
      <c r="D3" s="254" t="s">
        <v>442</v>
      </c>
      <c r="E3" s="255" t="s">
        <v>443</v>
      </c>
      <c r="F3" s="256">
        <v>10125011</v>
      </c>
      <c r="G3" s="256">
        <v>20219058</v>
      </c>
      <c r="H3" s="257" t="s">
        <v>126</v>
      </c>
      <c r="I3" s="258" t="str">
        <f>IFERROR(VLOOKUP(H3,名称!A:C,2,0),"")</f>
        <v>1#农场朋友混合</v>
      </c>
      <c r="J3" s="259">
        <v>3000</v>
      </c>
      <c r="K3" s="258">
        <f>IFERROR(VLOOKUP(H3,名称!A:D,3,0),"")</f>
        <v>4</v>
      </c>
      <c r="L3" s="260">
        <f>IFERROR((J3/K3),"")</f>
        <v>750</v>
      </c>
      <c r="M3" s="254">
        <v>46232</v>
      </c>
      <c r="N3" s="254">
        <f t="shared" si="1"/>
        <v>46230</v>
      </c>
      <c r="O3" s="261">
        <v>46232</v>
      </c>
      <c r="P3" s="261" t="s">
        <v>520</v>
      </c>
      <c r="Q3" s="257" t="s">
        <v>430</v>
      </c>
      <c r="R3" s="262" t="s">
        <v>521</v>
      </c>
      <c r="S3" s="261" t="s">
        <v>522</v>
      </c>
      <c r="T3" s="254" t="s">
        <v>452</v>
      </c>
      <c r="U3" s="254"/>
      <c r="V3" s="254"/>
      <c r="W3" s="257"/>
      <c r="X3" s="260"/>
      <c r="Y3" s="263">
        <v>1.746</v>
      </c>
      <c r="Z3" s="264">
        <f t="shared" si="2"/>
        <v>5238</v>
      </c>
      <c r="AA3" s="264">
        <f t="shared" si="3"/>
        <v>40594.5</v>
      </c>
      <c r="AB3" s="265"/>
      <c r="AC3" s="254"/>
      <c r="AD3" s="254"/>
      <c r="AE3" s="254" t="str">
        <f>IFERROR(VLOOKUP(H3,名称!A:D,4,0),"")</f>
        <v>RRM</v>
      </c>
      <c r="AF3" s="258"/>
      <c r="AG3" s="258"/>
      <c r="AH3" s="266" t="s">
        <v>523</v>
      </c>
      <c r="AI3" s="266" t="s">
        <v>420</v>
      </c>
      <c r="AJ3" s="267"/>
      <c r="AK3" s="267">
        <v>46197</v>
      </c>
      <c r="AL3" s="266" t="s">
        <v>524</v>
      </c>
      <c r="AM3" s="267"/>
      <c r="AN3" s="260">
        <f t="shared" si="4"/>
        <v>109</v>
      </c>
      <c r="AO3" s="260" t="e">
        <f t="shared" si="5"/>
        <v>#VALUE!</v>
      </c>
    </row>
    <row r="4" s="246" customFormat="1" customHeight="1" spans="1:41">
      <c r="A4" s="268">
        <v>46030</v>
      </c>
      <c r="B4" s="268" t="str">
        <f ca="1" t="shared" si="0"/>
        <v/>
      </c>
      <c r="C4" s="269" t="s">
        <v>236</v>
      </c>
      <c r="D4" s="268" t="s">
        <v>442</v>
      </c>
      <c r="E4" s="269" t="s">
        <v>519</v>
      </c>
      <c r="F4" s="270">
        <v>10118546</v>
      </c>
      <c r="G4" s="271">
        <v>20218828</v>
      </c>
      <c r="H4" s="270" t="s">
        <v>139</v>
      </c>
      <c r="I4" s="272" t="str">
        <f>IFERROR(VLOOKUP(H4,名称!A:C,2,0),"")</f>
        <v>JD15 英寸大铲斗自卸卡车</v>
      </c>
      <c r="J4" s="273">
        <v>5000</v>
      </c>
      <c r="K4" s="272">
        <f>IFERROR(VLOOKUP(H4,名称!A:D,3,0),"")</f>
        <v>2</v>
      </c>
      <c r="L4" s="274">
        <f>IFERROR((J4/K4),"")</f>
        <v>2500</v>
      </c>
      <c r="M4" s="268">
        <v>46246</v>
      </c>
      <c r="N4" s="268">
        <f t="shared" si="1"/>
        <v>46244</v>
      </c>
      <c r="O4" s="275">
        <v>46246</v>
      </c>
      <c r="P4" s="275" t="s">
        <v>525</v>
      </c>
      <c r="Q4" s="270" t="s">
        <v>430</v>
      </c>
      <c r="R4" s="276" t="s">
        <v>463</v>
      </c>
      <c r="S4" s="275" t="s">
        <v>522</v>
      </c>
      <c r="T4" s="268" t="s">
        <v>452</v>
      </c>
      <c r="U4" s="268"/>
      <c r="V4" s="268"/>
      <c r="W4" s="270"/>
      <c r="X4" s="274"/>
      <c r="Y4" s="277">
        <v>4.131</v>
      </c>
      <c r="Z4" s="278">
        <f t="shared" si="2"/>
        <v>20655</v>
      </c>
      <c r="AA4" s="278">
        <f t="shared" si="3"/>
        <v>160076.25</v>
      </c>
      <c r="AB4" s="279"/>
      <c r="AC4" s="268"/>
      <c r="AD4" s="268"/>
      <c r="AE4" s="268" t="str">
        <f>IFERROR(VLOOKUP(H4,名称!A:D,4,0),"")</f>
        <v>RRM</v>
      </c>
      <c r="AF4" s="272"/>
      <c r="AG4" s="272"/>
      <c r="AH4" s="280" t="s">
        <v>526</v>
      </c>
      <c r="AI4" s="280" t="s">
        <v>420</v>
      </c>
      <c r="AJ4" s="281"/>
      <c r="AK4" s="280">
        <v>46206</v>
      </c>
      <c r="AL4" s="280">
        <v>46206</v>
      </c>
      <c r="AM4" s="281"/>
      <c r="AN4" s="274">
        <f t="shared" si="4"/>
        <v>216</v>
      </c>
      <c r="AO4" s="274" t="e">
        <f t="shared" si="5"/>
        <v>#VALUE!</v>
      </c>
    </row>
    <row r="5" s="15" customFormat="1" customHeight="1" spans="1:41">
      <c r="A5" s="108">
        <v>46030</v>
      </c>
      <c r="B5" s="43" t="str">
        <f ca="1" t="shared" si="0"/>
        <v/>
      </c>
      <c r="C5" s="109" t="s">
        <v>236</v>
      </c>
      <c r="D5" s="108" t="s">
        <v>442</v>
      </c>
      <c r="E5" s="109" t="s">
        <v>519</v>
      </c>
      <c r="F5" s="30">
        <v>10118546</v>
      </c>
      <c r="G5" s="110">
        <v>20218828</v>
      </c>
      <c r="H5" s="30" t="s">
        <v>137</v>
      </c>
      <c r="I5" s="32" t="str">
        <f>IFERROR(VLOOKUP(H5,名称!A:C,2,0),"")</f>
        <v>JD 大铲斗挖掘机</v>
      </c>
      <c r="J5" s="31">
        <v>5000</v>
      </c>
      <c r="K5" s="32">
        <f>IFERROR(VLOOKUP(H5,名称!A:D,3,0),"")</f>
        <v>2</v>
      </c>
      <c r="L5" s="33">
        <f>IFERROR((J5/K5),"")</f>
        <v>2500</v>
      </c>
      <c r="M5" s="108">
        <v>46253</v>
      </c>
      <c r="N5" s="108">
        <f t="shared" si="1"/>
        <v>46251</v>
      </c>
      <c r="O5" s="275" t="s">
        <v>454</v>
      </c>
      <c r="P5" s="275" t="s">
        <v>525</v>
      </c>
      <c r="Q5" s="30" t="s">
        <v>430</v>
      </c>
      <c r="R5" s="276" t="s">
        <v>463</v>
      </c>
      <c r="S5" s="275"/>
      <c r="T5" s="108" t="s">
        <v>452</v>
      </c>
      <c r="U5" s="108"/>
      <c r="V5" s="108"/>
      <c r="W5" s="30"/>
      <c r="X5" s="33"/>
      <c r="Y5" s="92">
        <v>4.081</v>
      </c>
      <c r="Z5" s="115">
        <f t="shared" si="2"/>
        <v>20405</v>
      </c>
      <c r="AA5" s="115">
        <f t="shared" si="3"/>
        <v>158138.75</v>
      </c>
      <c r="AB5" s="58"/>
      <c r="AC5" s="108"/>
      <c r="AD5" s="108"/>
      <c r="AE5" s="108" t="str">
        <f>IFERROR(VLOOKUP(H5,名称!A:D,4,0),"")</f>
        <v>RRM</v>
      </c>
      <c r="AF5" s="32"/>
      <c r="AG5" s="32"/>
      <c r="AH5" s="280" t="s">
        <v>526</v>
      </c>
      <c r="AI5" s="280" t="s">
        <v>420</v>
      </c>
      <c r="AJ5" s="134"/>
      <c r="AK5" s="280">
        <v>46206</v>
      </c>
      <c r="AL5" s="280">
        <v>46206</v>
      </c>
      <c r="AM5" s="134"/>
      <c r="AN5" s="33">
        <f t="shared" si="4"/>
        <v>223</v>
      </c>
      <c r="AO5" s="33" t="e">
        <f t="shared" si="5"/>
        <v>#VALUE!</v>
      </c>
    </row>
    <row r="6" s="15" customFormat="1" customHeight="1" spans="1:41">
      <c r="A6" s="108">
        <v>46129</v>
      </c>
      <c r="B6" s="43" t="str">
        <f ca="1" t="shared" si="0"/>
        <v/>
      </c>
      <c r="C6" s="109" t="s">
        <v>237</v>
      </c>
      <c r="D6" s="108" t="s">
        <v>427</v>
      </c>
      <c r="E6" s="109" t="s">
        <v>438</v>
      </c>
      <c r="F6" s="110">
        <v>10125372</v>
      </c>
      <c r="G6" s="110" t="s">
        <v>296</v>
      </c>
      <c r="H6" s="30" t="s">
        <v>193</v>
      </c>
      <c r="I6" s="32" t="str">
        <f>IFERROR(VLOOKUP(H6,名称!A:C,2,0),"")</f>
        <v> 沙河交通工具两件套</v>
      </c>
      <c r="J6" s="282">
        <v>5004</v>
      </c>
      <c r="K6" s="32">
        <f>IFERROR(VLOOKUP(H6,名称!A:D,3,0),"")</f>
        <v>12</v>
      </c>
      <c r="L6" s="33">
        <v>1250</v>
      </c>
      <c r="M6" s="108">
        <v>46260</v>
      </c>
      <c r="N6" s="108">
        <f t="shared" si="1"/>
        <v>46258</v>
      </c>
      <c r="P6" s="275" t="s">
        <v>525</v>
      </c>
      <c r="Q6" s="30" t="s">
        <v>430</v>
      </c>
      <c r="R6" s="276" t="s">
        <v>463</v>
      </c>
      <c r="S6" s="275" t="s">
        <v>522</v>
      </c>
      <c r="T6" s="108" t="s">
        <v>452</v>
      </c>
      <c r="U6" s="108"/>
      <c r="V6" s="108"/>
      <c r="W6" s="30"/>
      <c r="X6" s="33"/>
      <c r="Y6" s="92">
        <v>2.215</v>
      </c>
      <c r="Z6" s="115">
        <f t="shared" si="2"/>
        <v>11083.86</v>
      </c>
      <c r="AA6" s="115">
        <f t="shared" si="3"/>
        <v>85899.92</v>
      </c>
      <c r="AB6" s="58"/>
      <c r="AC6" s="108"/>
      <c r="AD6" s="108"/>
      <c r="AE6" s="108" t="str">
        <f>IFERROR(VLOOKUP(H6,名称!A:D,4,0),"")</f>
        <v>RRM</v>
      </c>
      <c r="AF6" s="32"/>
      <c r="AG6" s="32"/>
      <c r="AH6" s="280" t="s">
        <v>527</v>
      </c>
      <c r="AI6" s="280" t="s">
        <v>420</v>
      </c>
      <c r="AJ6" s="134"/>
      <c r="AK6" s="280">
        <v>46206</v>
      </c>
      <c r="AL6" s="280">
        <v>46206</v>
      </c>
      <c r="AM6" s="134"/>
      <c r="AN6" s="33">
        <f t="shared" si="4"/>
        <v>131</v>
      </c>
      <c r="AO6" s="33" t="e">
        <f t="shared" si="5"/>
        <v>#VALUE!</v>
      </c>
    </row>
    <row r="7" s="15" customFormat="1" customHeight="1" spans="1:41">
      <c r="A7" s="108">
        <v>46108</v>
      </c>
      <c r="B7" s="43" t="str">
        <f ca="1" t="shared" si="0"/>
        <v/>
      </c>
      <c r="C7" s="109" t="s">
        <v>237</v>
      </c>
      <c r="D7" s="108" t="s">
        <v>427</v>
      </c>
      <c r="E7" s="109" t="s">
        <v>443</v>
      </c>
      <c r="F7" s="110">
        <v>10123487</v>
      </c>
      <c r="G7" s="110">
        <v>202608270087</v>
      </c>
      <c r="H7" s="30" t="s">
        <v>165</v>
      </c>
      <c r="I7" s="32" t="str">
        <f>IFERROR(VLOOKUP(H7,名称!A:C,2,0),"")</f>
        <v>沙盒建造三件套</v>
      </c>
      <c r="J7" s="31">
        <v>5000</v>
      </c>
      <c r="K7" s="32">
        <f>IFERROR(VLOOKUP(H7,名称!A:D,3,0),"")</f>
        <v>4</v>
      </c>
      <c r="L7" s="33">
        <f t="shared" ref="L7:L12" si="6">IFERROR((J7/K7),"")</f>
        <v>1250</v>
      </c>
      <c r="M7" s="108">
        <v>46267</v>
      </c>
      <c r="N7" s="108">
        <f t="shared" si="1"/>
        <v>46265</v>
      </c>
      <c r="O7" s="108"/>
      <c r="P7" s="275" t="s">
        <v>525</v>
      </c>
      <c r="Q7" s="30" t="s">
        <v>430</v>
      </c>
      <c r="R7" s="253" t="s">
        <v>528</v>
      </c>
      <c r="S7" s="108" t="s">
        <v>395</v>
      </c>
      <c r="T7" s="108" t="s">
        <v>452</v>
      </c>
      <c r="U7" s="108"/>
      <c r="V7" s="108"/>
      <c r="W7" s="30"/>
      <c r="X7" s="33"/>
      <c r="Y7" s="92">
        <v>2.542</v>
      </c>
      <c r="Z7" s="115">
        <f t="shared" si="2"/>
        <v>12710</v>
      </c>
      <c r="AA7" s="115">
        <f t="shared" si="3"/>
        <v>98502.5</v>
      </c>
      <c r="AB7" s="58"/>
      <c r="AC7" s="108"/>
      <c r="AD7" s="108"/>
      <c r="AE7" s="108" t="str">
        <f>IFERROR(VLOOKUP(H7,名称!A:D,4,0),"")</f>
        <v>RRM</v>
      </c>
      <c r="AF7" s="32"/>
      <c r="AG7" s="32"/>
      <c r="AH7" s="280" t="s">
        <v>529</v>
      </c>
      <c r="AI7" s="134"/>
      <c r="AJ7" s="134"/>
      <c r="AK7" s="134">
        <v>46214</v>
      </c>
      <c r="AL7" s="134">
        <v>46214</v>
      </c>
      <c r="AM7" s="134"/>
      <c r="AN7" s="33">
        <f t="shared" si="4"/>
        <v>159</v>
      </c>
      <c r="AO7" s="33" t="e">
        <f t="shared" si="5"/>
        <v>#VALUE!</v>
      </c>
    </row>
    <row r="8" s="15" customFormat="1" customHeight="1" spans="1:41">
      <c r="A8" s="108">
        <v>46108</v>
      </c>
      <c r="B8" s="43" t="str">
        <f ca="1" t="shared" si="0"/>
        <v/>
      </c>
      <c r="C8" s="109" t="s">
        <v>236</v>
      </c>
      <c r="D8" s="108" t="s">
        <v>442</v>
      </c>
      <c r="E8" s="109" t="s">
        <v>443</v>
      </c>
      <c r="F8" s="110">
        <v>10123464</v>
      </c>
      <c r="G8" s="110">
        <v>20219008</v>
      </c>
      <c r="H8" s="30" t="s">
        <v>165</v>
      </c>
      <c r="I8" s="32" t="str">
        <f>IFERROR(VLOOKUP(H8,名称!A:C,2,0),"")</f>
        <v>沙盒建造三件套</v>
      </c>
      <c r="J8" s="31">
        <v>720</v>
      </c>
      <c r="K8" s="32">
        <f>IFERROR(VLOOKUP(H8,名称!A:D,3,0),"")</f>
        <v>4</v>
      </c>
      <c r="L8" s="33">
        <f t="shared" si="6"/>
        <v>180</v>
      </c>
      <c r="M8" s="108">
        <v>46267</v>
      </c>
      <c r="N8" s="108">
        <f t="shared" si="1"/>
        <v>46265</v>
      </c>
      <c r="O8" s="108"/>
      <c r="P8" s="275" t="s">
        <v>525</v>
      </c>
      <c r="Q8" s="30" t="s">
        <v>430</v>
      </c>
      <c r="R8" s="253" t="s">
        <v>528</v>
      </c>
      <c r="S8" s="108"/>
      <c r="T8" s="108" t="s">
        <v>452</v>
      </c>
      <c r="U8" s="108"/>
      <c r="V8" s="108"/>
      <c r="W8" s="30"/>
      <c r="X8" s="33"/>
      <c r="Y8" s="92">
        <v>2.542</v>
      </c>
      <c r="Z8" s="115">
        <f t="shared" si="2"/>
        <v>1830.24</v>
      </c>
      <c r="AA8" s="115">
        <f t="shared" si="3"/>
        <v>14184.36</v>
      </c>
      <c r="AB8" s="58"/>
      <c r="AC8" s="108"/>
      <c r="AD8" s="108"/>
      <c r="AE8" s="108" t="str">
        <f>IFERROR(VLOOKUP(H8,名称!A:D,4,0),"")</f>
        <v>RRM</v>
      </c>
      <c r="AF8" s="32"/>
      <c r="AG8" s="32"/>
      <c r="AH8" s="280" t="s">
        <v>529</v>
      </c>
      <c r="AI8" s="134"/>
      <c r="AJ8" s="134"/>
      <c r="AK8" s="134">
        <v>46214</v>
      </c>
      <c r="AL8" s="134">
        <v>46214</v>
      </c>
      <c r="AM8" s="134"/>
      <c r="AN8" s="33">
        <f t="shared" si="4"/>
        <v>159</v>
      </c>
      <c r="AO8" s="33" t="e">
        <f t="shared" si="5"/>
        <v>#VALUE!</v>
      </c>
    </row>
    <row r="9" s="15" customFormat="1" customHeight="1" spans="1:41">
      <c r="A9" s="108">
        <v>46123</v>
      </c>
      <c r="B9" s="43" t="str">
        <f ca="1" t="shared" si="0"/>
        <v/>
      </c>
      <c r="C9" s="109" t="s">
        <v>236</v>
      </c>
      <c r="D9" s="108" t="s">
        <v>442</v>
      </c>
      <c r="E9" s="109" t="s">
        <v>443</v>
      </c>
      <c r="F9" s="30">
        <v>10125013</v>
      </c>
      <c r="G9" s="110">
        <v>20219061</v>
      </c>
      <c r="H9" s="30" t="s">
        <v>137</v>
      </c>
      <c r="I9" s="32" t="str">
        <f>IFERROR(VLOOKUP(H9,名称!A:C,2,0),"")</f>
        <v>JD 大铲斗挖掘机</v>
      </c>
      <c r="J9" s="31">
        <v>2000</v>
      </c>
      <c r="K9" s="32">
        <f>IFERROR(VLOOKUP(H9,名称!A:D,3,0),"")</f>
        <v>2</v>
      </c>
      <c r="L9" s="33">
        <f t="shared" si="6"/>
        <v>1000</v>
      </c>
      <c r="M9" s="108">
        <v>46267</v>
      </c>
      <c r="N9" s="108">
        <f t="shared" si="1"/>
        <v>46265</v>
      </c>
      <c r="O9" s="108"/>
      <c r="P9" s="275" t="s">
        <v>525</v>
      </c>
      <c r="Q9" s="30" t="s">
        <v>430</v>
      </c>
      <c r="R9" s="276" t="s">
        <v>463</v>
      </c>
      <c r="S9" s="108"/>
      <c r="T9" s="108" t="s">
        <v>452</v>
      </c>
      <c r="U9" s="108"/>
      <c r="V9" s="108"/>
      <c r="W9" s="30"/>
      <c r="X9" s="33"/>
      <c r="Y9" s="92">
        <v>4.081</v>
      </c>
      <c r="Z9" s="115">
        <f t="shared" si="2"/>
        <v>8162</v>
      </c>
      <c r="AA9" s="115">
        <f t="shared" si="3"/>
        <v>63255.5</v>
      </c>
      <c r="AB9" s="58"/>
      <c r="AC9" s="108"/>
      <c r="AD9" s="108"/>
      <c r="AE9" s="108" t="str">
        <f>IFERROR(VLOOKUP(H9,名称!A:D,4,0),"")</f>
        <v>RRM</v>
      </c>
      <c r="AF9" s="32"/>
      <c r="AG9" s="32"/>
      <c r="AH9" s="280" t="s">
        <v>526</v>
      </c>
      <c r="AI9" s="280" t="s">
        <v>420</v>
      </c>
      <c r="AJ9" s="134"/>
      <c r="AK9" s="280">
        <v>46206</v>
      </c>
      <c r="AL9" s="280">
        <v>46206</v>
      </c>
      <c r="AM9" s="134"/>
      <c r="AN9" s="33">
        <f t="shared" si="4"/>
        <v>144</v>
      </c>
      <c r="AO9" s="33" t="e">
        <f t="shared" si="5"/>
        <v>#VALUE!</v>
      </c>
    </row>
    <row r="10" s="15" customFormat="1" customHeight="1" spans="1:41">
      <c r="A10" s="108">
        <v>46129</v>
      </c>
      <c r="B10" s="43" t="str">
        <f ca="1" t="shared" si="0"/>
        <v/>
      </c>
      <c r="C10" s="109" t="s">
        <v>236</v>
      </c>
      <c r="D10" s="108" t="s">
        <v>442</v>
      </c>
      <c r="E10" s="109" t="s">
        <v>443</v>
      </c>
      <c r="F10" s="30">
        <v>10125013</v>
      </c>
      <c r="G10" s="110">
        <v>20219061</v>
      </c>
      <c r="H10" s="30" t="s">
        <v>139</v>
      </c>
      <c r="I10" s="32" t="str">
        <f>IFERROR(VLOOKUP(H10,名称!A:C,2,0),"")</f>
        <v>JD15 英寸大铲斗自卸卡车</v>
      </c>
      <c r="J10" s="282">
        <v>3000</v>
      </c>
      <c r="K10" s="32">
        <f>IFERROR(VLOOKUP(H10,名称!A:D,3,0),"")</f>
        <v>2</v>
      </c>
      <c r="L10" s="33">
        <f t="shared" si="6"/>
        <v>1500</v>
      </c>
      <c r="M10" s="108">
        <v>46267</v>
      </c>
      <c r="N10" s="108">
        <f t="shared" si="1"/>
        <v>46265</v>
      </c>
      <c r="O10" s="108"/>
      <c r="P10" s="275" t="s">
        <v>525</v>
      </c>
      <c r="Q10" s="30" t="s">
        <v>430</v>
      </c>
      <c r="R10" s="276" t="s">
        <v>463</v>
      </c>
      <c r="S10" s="275" t="s">
        <v>522</v>
      </c>
      <c r="T10" s="108" t="s">
        <v>452</v>
      </c>
      <c r="U10" s="108"/>
      <c r="V10" s="108"/>
      <c r="W10" s="30"/>
      <c r="X10" s="33"/>
      <c r="Y10" s="92">
        <v>4.131</v>
      </c>
      <c r="Z10" s="115">
        <f t="shared" si="2"/>
        <v>12393</v>
      </c>
      <c r="AA10" s="115">
        <f t="shared" si="3"/>
        <v>96045.75</v>
      </c>
      <c r="AB10" s="58"/>
      <c r="AC10" s="108"/>
      <c r="AD10" s="108"/>
      <c r="AE10" s="108" t="str">
        <f>IFERROR(VLOOKUP(H10,名称!A:D,4,0),"")</f>
        <v>RRM</v>
      </c>
      <c r="AF10" s="32"/>
      <c r="AG10" s="32"/>
      <c r="AH10" s="280" t="s">
        <v>526</v>
      </c>
      <c r="AI10" s="280" t="s">
        <v>420</v>
      </c>
      <c r="AJ10" s="134"/>
      <c r="AK10" s="280">
        <v>46206</v>
      </c>
      <c r="AL10" s="280">
        <v>46206</v>
      </c>
      <c r="AM10" s="134"/>
      <c r="AN10" s="33">
        <f t="shared" si="4"/>
        <v>138</v>
      </c>
      <c r="AO10" s="33" t="e">
        <f t="shared" si="5"/>
        <v>#VALUE!</v>
      </c>
    </row>
    <row r="11" s="15" customFormat="1" customHeight="1" spans="1:41">
      <c r="A11" s="108">
        <v>46105</v>
      </c>
      <c r="B11" s="43" t="str">
        <f ca="1" t="shared" si="0"/>
        <v/>
      </c>
      <c r="C11" s="109" t="s">
        <v>237</v>
      </c>
      <c r="D11" s="108" t="s">
        <v>427</v>
      </c>
      <c r="E11" s="109" t="s">
        <v>443</v>
      </c>
      <c r="F11" s="110">
        <v>10123136</v>
      </c>
      <c r="G11" s="110">
        <v>202607270116</v>
      </c>
      <c r="H11" s="30" t="s">
        <v>163</v>
      </c>
      <c r="I11" s="32" t="str">
        <f>IFERROR(VLOOKUP(H11,名称!A:C,2,0),"")</f>
        <v>工程玩具挖掘机</v>
      </c>
      <c r="J11" s="31">
        <v>5000</v>
      </c>
      <c r="K11" s="32">
        <f>IFERROR(VLOOKUP(H11,名称!A:D,3,0),"")</f>
        <v>2</v>
      </c>
      <c r="L11" s="33">
        <f t="shared" si="6"/>
        <v>2500</v>
      </c>
      <c r="M11" s="108">
        <v>46274</v>
      </c>
      <c r="N11" s="108">
        <f t="shared" si="1"/>
        <v>46272</v>
      </c>
      <c r="O11" s="108"/>
      <c r="P11" s="275" t="s">
        <v>525</v>
      </c>
      <c r="Q11" s="30" t="s">
        <v>430</v>
      </c>
      <c r="R11" s="253" t="s">
        <v>530</v>
      </c>
      <c r="S11" s="275" t="s">
        <v>531</v>
      </c>
      <c r="T11" s="108" t="s">
        <v>452</v>
      </c>
      <c r="U11" s="108"/>
      <c r="V11" s="108"/>
      <c r="W11" s="30"/>
      <c r="X11" s="33"/>
      <c r="Y11" s="92">
        <v>4.419</v>
      </c>
      <c r="Z11" s="115">
        <f t="shared" si="2"/>
        <v>22095</v>
      </c>
      <c r="AA11" s="115">
        <f t="shared" si="3"/>
        <v>171236.25</v>
      </c>
      <c r="AB11" s="283"/>
      <c r="AC11" s="108"/>
      <c r="AD11" s="108"/>
      <c r="AE11" s="108" t="str">
        <f>IFERROR(VLOOKUP(H11,名称!A:D,4,0),"")</f>
        <v>RRM</v>
      </c>
      <c r="AF11" s="32"/>
      <c r="AG11" s="32"/>
      <c r="AH11" s="280" t="s">
        <v>526</v>
      </c>
      <c r="AI11" s="134"/>
      <c r="AJ11" s="134"/>
      <c r="AK11" s="134">
        <v>46214</v>
      </c>
      <c r="AL11" s="280">
        <v>46219</v>
      </c>
      <c r="AM11" s="134"/>
      <c r="AN11" s="33">
        <f t="shared" si="4"/>
        <v>169</v>
      </c>
      <c r="AO11" s="33" t="e">
        <f t="shared" si="5"/>
        <v>#VALUE!</v>
      </c>
    </row>
    <row r="12" s="15" customFormat="1" customHeight="1" spans="1:41">
      <c r="A12" s="108">
        <v>46106</v>
      </c>
      <c r="B12" s="43" t="str">
        <f ca="1" t="shared" si="0"/>
        <v/>
      </c>
      <c r="C12" s="109" t="s">
        <v>236</v>
      </c>
      <c r="D12" s="108" t="s">
        <v>442</v>
      </c>
      <c r="E12" s="109" t="s">
        <v>443</v>
      </c>
      <c r="F12" s="110">
        <v>10123190</v>
      </c>
      <c r="G12" s="110">
        <v>20218996</v>
      </c>
      <c r="H12" s="30" t="s">
        <v>163</v>
      </c>
      <c r="I12" s="32" t="str">
        <f>IFERROR(VLOOKUP(H12,名称!A:C,2,0),"")</f>
        <v>工程玩具挖掘机</v>
      </c>
      <c r="J12" s="31">
        <v>600</v>
      </c>
      <c r="K12" s="32">
        <f>IFERROR(VLOOKUP(H12,名称!A:D,3,0),"")</f>
        <v>2</v>
      </c>
      <c r="L12" s="33">
        <f t="shared" si="6"/>
        <v>300</v>
      </c>
      <c r="M12" s="108">
        <v>46274</v>
      </c>
      <c r="N12" s="108">
        <f t="shared" si="1"/>
        <v>46272</v>
      </c>
      <c r="O12" s="108"/>
      <c r="P12" s="275" t="s">
        <v>525</v>
      </c>
      <c r="Q12" s="30" t="s">
        <v>430</v>
      </c>
      <c r="R12" s="253" t="s">
        <v>530</v>
      </c>
      <c r="S12" s="275" t="s">
        <v>531</v>
      </c>
      <c r="T12" s="108" t="s">
        <v>452</v>
      </c>
      <c r="U12" s="108"/>
      <c r="V12" s="108"/>
      <c r="W12" s="30"/>
      <c r="X12" s="33"/>
      <c r="Y12" s="92">
        <v>4.419</v>
      </c>
      <c r="Z12" s="115">
        <f t="shared" si="2"/>
        <v>2651.4</v>
      </c>
      <c r="AA12" s="115">
        <f t="shared" si="3"/>
        <v>20548.35</v>
      </c>
      <c r="AB12" s="58"/>
      <c r="AC12" s="108"/>
      <c r="AD12" s="108"/>
      <c r="AE12" s="108" t="str">
        <f>IFERROR(VLOOKUP(H12,名称!A:D,4,0),"")</f>
        <v>RRM</v>
      </c>
      <c r="AF12" s="32"/>
      <c r="AG12" s="32"/>
      <c r="AH12" s="280" t="s">
        <v>526</v>
      </c>
      <c r="AI12" s="134"/>
      <c r="AJ12" s="134"/>
      <c r="AK12" s="134">
        <v>46214</v>
      </c>
      <c r="AL12" s="280">
        <v>46219</v>
      </c>
      <c r="AM12" s="134"/>
      <c r="AN12" s="33">
        <f t="shared" si="4"/>
        <v>168</v>
      </c>
      <c r="AO12" s="33" t="e">
        <f t="shared" si="5"/>
        <v>#VALUE!</v>
      </c>
    </row>
    <row r="13" s="15" customFormat="1" customHeight="1" spans="1:41">
      <c r="A13" s="108">
        <v>46129</v>
      </c>
      <c r="B13" s="43" t="str">
        <f ca="1" t="shared" si="0"/>
        <v/>
      </c>
      <c r="C13" s="109" t="s">
        <v>237</v>
      </c>
      <c r="D13" s="108" t="s">
        <v>427</v>
      </c>
      <c r="E13" s="109" t="s">
        <v>532</v>
      </c>
      <c r="F13" s="110">
        <v>10125389</v>
      </c>
      <c r="G13" s="110" t="s">
        <v>294</v>
      </c>
      <c r="H13" s="30" t="s">
        <v>187</v>
      </c>
      <c r="I13" s="32" t="str">
        <f>IFERROR(VLOOKUP(H13,名称!A:C,2,0),"")</f>
        <v>工程玩具挖掘机</v>
      </c>
      <c r="J13" s="282">
        <v>5000</v>
      </c>
      <c r="K13" s="32">
        <f>IFERROR(VLOOKUP(H13,名称!A:D,3,0),"")</f>
        <v>2</v>
      </c>
      <c r="L13" s="33">
        <v>2500</v>
      </c>
      <c r="M13" s="108">
        <v>46274</v>
      </c>
      <c r="N13" s="108">
        <f t="shared" si="1"/>
        <v>46272</v>
      </c>
      <c r="O13" s="108"/>
      <c r="P13" s="275" t="s">
        <v>525</v>
      </c>
      <c r="Q13" s="30" t="s">
        <v>430</v>
      </c>
      <c r="R13" s="253" t="s">
        <v>530</v>
      </c>
      <c r="S13" s="108"/>
      <c r="T13" s="108" t="s">
        <v>452</v>
      </c>
      <c r="U13" s="108"/>
      <c r="V13" s="108"/>
      <c r="W13" s="30"/>
      <c r="X13" s="33"/>
      <c r="Y13" s="92">
        <v>4.419</v>
      </c>
      <c r="Z13" s="115">
        <f t="shared" si="2"/>
        <v>22095</v>
      </c>
      <c r="AA13" s="115">
        <f t="shared" si="3"/>
        <v>171236.25</v>
      </c>
      <c r="AB13" s="58"/>
      <c r="AC13" s="108"/>
      <c r="AD13" s="108"/>
      <c r="AE13" s="108" t="str">
        <f>IFERROR(VLOOKUP(H13,名称!A:D,4,0),"")</f>
        <v>RRM</v>
      </c>
      <c r="AF13" s="32"/>
      <c r="AG13" s="32"/>
      <c r="AH13" s="280">
        <v>46233</v>
      </c>
      <c r="AI13" s="134"/>
      <c r="AJ13" s="134"/>
      <c r="AK13" s="134">
        <v>46233</v>
      </c>
      <c r="AL13" s="134">
        <v>46233</v>
      </c>
      <c r="AM13" s="134"/>
      <c r="AN13" s="33">
        <f t="shared" si="4"/>
        <v>145</v>
      </c>
      <c r="AO13" s="33">
        <f t="shared" si="5"/>
        <v>41</v>
      </c>
    </row>
    <row r="14" s="15" customFormat="1" customHeight="1" spans="1:41">
      <c r="A14" s="108">
        <v>46129</v>
      </c>
      <c r="B14" s="43" t="str">
        <f ca="1" t="shared" si="0"/>
        <v/>
      </c>
      <c r="C14" s="109" t="s">
        <v>237</v>
      </c>
      <c r="D14" s="108" t="s">
        <v>427</v>
      </c>
      <c r="E14" s="109" t="s">
        <v>438</v>
      </c>
      <c r="F14" s="110">
        <v>10125372</v>
      </c>
      <c r="G14" s="110" t="s">
        <v>296</v>
      </c>
      <c r="H14" s="30" t="s">
        <v>193</v>
      </c>
      <c r="I14" s="32" t="str">
        <f>IFERROR(VLOOKUP(H14,名称!A:C,2,0),"")</f>
        <v> 沙河交通工具两件套</v>
      </c>
      <c r="J14" s="282">
        <v>5004</v>
      </c>
      <c r="K14" s="32">
        <f>IFERROR(VLOOKUP(H14,名称!A:D,3,0),"")</f>
        <v>12</v>
      </c>
      <c r="L14" s="33">
        <v>1250</v>
      </c>
      <c r="M14" s="108">
        <v>46274</v>
      </c>
      <c r="N14" s="108">
        <f t="shared" si="1"/>
        <v>46272</v>
      </c>
      <c r="O14" s="108"/>
      <c r="P14" s="275" t="s">
        <v>525</v>
      </c>
      <c r="Q14" s="30" t="s">
        <v>430</v>
      </c>
      <c r="R14" s="276" t="s">
        <v>463</v>
      </c>
      <c r="S14" s="275" t="s">
        <v>522</v>
      </c>
      <c r="T14" s="108" t="s">
        <v>452</v>
      </c>
      <c r="U14" s="108"/>
      <c r="V14" s="108"/>
      <c r="W14" s="30"/>
      <c r="X14" s="33"/>
      <c r="Y14" s="92">
        <v>2.215</v>
      </c>
      <c r="Z14" s="115">
        <f t="shared" si="2"/>
        <v>11083.86</v>
      </c>
      <c r="AA14" s="115">
        <f t="shared" si="3"/>
        <v>85899.92</v>
      </c>
      <c r="AB14" s="58"/>
      <c r="AC14" s="108"/>
      <c r="AD14" s="108"/>
      <c r="AE14" s="108" t="str">
        <f>IFERROR(VLOOKUP(H14,名称!A:D,4,0),"")</f>
        <v>RRM</v>
      </c>
      <c r="AF14" s="32"/>
      <c r="AG14" s="32"/>
      <c r="AH14" s="280" t="s">
        <v>527</v>
      </c>
      <c r="AI14" s="280" t="s">
        <v>420</v>
      </c>
      <c r="AJ14" s="134"/>
      <c r="AK14" s="280">
        <v>46206</v>
      </c>
      <c r="AL14" s="280">
        <v>46206</v>
      </c>
      <c r="AM14" s="134"/>
      <c r="AN14" s="33">
        <f t="shared" si="4"/>
        <v>145</v>
      </c>
      <c r="AO14" s="33" t="e">
        <f t="shared" si="5"/>
        <v>#VALUE!</v>
      </c>
    </row>
    <row r="15" s="15" customFormat="1" customHeight="1" spans="1:41">
      <c r="A15" s="108">
        <v>46129</v>
      </c>
      <c r="B15" s="43" t="str">
        <f ca="1" t="shared" si="0"/>
        <v/>
      </c>
      <c r="C15" s="109" t="s">
        <v>237</v>
      </c>
      <c r="D15" s="108" t="s">
        <v>427</v>
      </c>
      <c r="E15" s="109" t="s">
        <v>438</v>
      </c>
      <c r="F15" s="110">
        <v>10125372</v>
      </c>
      <c r="G15" s="110" t="s">
        <v>296</v>
      </c>
      <c r="H15" s="30" t="s">
        <v>193</v>
      </c>
      <c r="I15" s="32" t="str">
        <f>IFERROR(VLOOKUP(H15,名称!A:C,2,0),"")</f>
        <v> 沙河交通工具两件套</v>
      </c>
      <c r="J15" s="282">
        <v>4992</v>
      </c>
      <c r="K15" s="32">
        <f>IFERROR(VLOOKUP(H15,名称!A:D,3,0),"")</f>
        <v>12</v>
      </c>
      <c r="L15" s="33">
        <v>1250</v>
      </c>
      <c r="M15" s="108">
        <v>46274</v>
      </c>
      <c r="N15" s="108">
        <f t="shared" si="1"/>
        <v>46272</v>
      </c>
      <c r="O15" s="108"/>
      <c r="P15" s="275" t="s">
        <v>525</v>
      </c>
      <c r="Q15" s="30" t="s">
        <v>430</v>
      </c>
      <c r="R15" s="276" t="s">
        <v>463</v>
      </c>
      <c r="S15" s="275" t="s">
        <v>522</v>
      </c>
      <c r="T15" s="108" t="s">
        <v>452</v>
      </c>
      <c r="U15" s="108"/>
      <c r="V15" s="108"/>
      <c r="W15" s="30"/>
      <c r="X15" s="33"/>
      <c r="Y15" s="92">
        <v>2.215</v>
      </c>
      <c r="Z15" s="115">
        <f t="shared" si="2"/>
        <v>11057.28</v>
      </c>
      <c r="AA15" s="115">
        <f t="shared" si="3"/>
        <v>85693.92</v>
      </c>
      <c r="AB15" s="58"/>
      <c r="AC15" s="108"/>
      <c r="AD15" s="108"/>
      <c r="AE15" s="108" t="str">
        <f>IFERROR(VLOOKUP(H15,名称!A:D,4,0),"")</f>
        <v>RRM</v>
      </c>
      <c r="AF15" s="32"/>
      <c r="AG15" s="32"/>
      <c r="AH15" s="280" t="s">
        <v>527</v>
      </c>
      <c r="AI15" s="280" t="s">
        <v>420</v>
      </c>
      <c r="AJ15" s="134"/>
      <c r="AK15" s="280">
        <v>46206</v>
      </c>
      <c r="AL15" s="280">
        <v>46206</v>
      </c>
      <c r="AM15" s="134"/>
      <c r="AN15" s="33">
        <f t="shared" si="4"/>
        <v>145</v>
      </c>
      <c r="AO15" s="33" t="e">
        <f t="shared" si="5"/>
        <v>#VALUE!</v>
      </c>
    </row>
    <row r="16" s="15" customFormat="1" customHeight="1" spans="1:41">
      <c r="A16" s="108">
        <v>46130</v>
      </c>
      <c r="B16" s="43" t="str">
        <f ca="1" t="shared" si="0"/>
        <v>未</v>
      </c>
      <c r="C16" s="109" t="s">
        <v>237</v>
      </c>
      <c r="D16" s="108" t="s">
        <v>427</v>
      </c>
      <c r="E16" s="109" t="s">
        <v>443</v>
      </c>
      <c r="F16" s="110">
        <v>10125700</v>
      </c>
      <c r="G16" s="110" t="s">
        <v>298</v>
      </c>
      <c r="H16" s="30" t="s">
        <v>195</v>
      </c>
      <c r="I16" s="32" t="str">
        <f>IFERROR(VLOOKUP(H16,名称!A:C,2,0),"")</f>
        <v>农场朋友组合</v>
      </c>
      <c r="J16" s="282">
        <v>4400</v>
      </c>
      <c r="K16" s="32">
        <f>IFERROR(VLOOKUP(H16,名称!A:D,3,0),"")</f>
        <v>4</v>
      </c>
      <c r="L16" s="33">
        <v>1250</v>
      </c>
      <c r="M16" s="108">
        <v>46281</v>
      </c>
      <c r="N16" s="284">
        <f t="shared" si="1"/>
        <v>46279</v>
      </c>
      <c r="O16" s="108"/>
      <c r="P16" s="275" t="s">
        <v>525</v>
      </c>
      <c r="Q16" s="30" t="s">
        <v>430</v>
      </c>
      <c r="R16" s="30"/>
      <c r="S16" s="108"/>
      <c r="T16" s="108" t="s">
        <v>452</v>
      </c>
      <c r="U16" s="108"/>
      <c r="V16" s="108"/>
      <c r="W16" s="30"/>
      <c r="X16" s="33"/>
      <c r="Y16" s="92">
        <v>2.881</v>
      </c>
      <c r="Z16" s="115">
        <f t="shared" si="2"/>
        <v>12676.4</v>
      </c>
      <c r="AA16" s="115">
        <f t="shared" si="3"/>
        <v>98242.1</v>
      </c>
      <c r="AB16" s="58"/>
      <c r="AC16" s="108"/>
      <c r="AD16" s="108"/>
      <c r="AE16" s="108" t="str">
        <f>IFERROR(VLOOKUP(H16,名称!A:D,4,0),"")</f>
        <v>RRM</v>
      </c>
      <c r="AF16" s="32"/>
      <c r="AG16" s="32"/>
      <c r="AH16" s="280">
        <v>46233</v>
      </c>
      <c r="AI16" s="134"/>
      <c r="AJ16" s="134"/>
      <c r="AK16" s="134">
        <v>46233</v>
      </c>
      <c r="AL16" s="134">
        <v>46233</v>
      </c>
      <c r="AM16" s="134"/>
      <c r="AN16" s="33">
        <f t="shared" si="4"/>
        <v>151</v>
      </c>
      <c r="AO16" s="33">
        <f t="shared" si="5"/>
        <v>48</v>
      </c>
    </row>
    <row r="17" s="15" customFormat="1" customHeight="1" spans="1:42">
      <c r="A17" s="108">
        <v>46142</v>
      </c>
      <c r="B17" s="43" t="str">
        <f ca="1" t="shared" si="0"/>
        <v>未</v>
      </c>
      <c r="C17" s="109" t="s">
        <v>236</v>
      </c>
      <c r="D17" s="108" t="s">
        <v>442</v>
      </c>
      <c r="E17" s="109" t="s">
        <v>443</v>
      </c>
      <c r="F17" s="110">
        <v>10125362</v>
      </c>
      <c r="G17" s="30">
        <v>20219091</v>
      </c>
      <c r="H17" s="30" t="s">
        <v>195</v>
      </c>
      <c r="I17" s="32" t="str">
        <f>IFERROR(VLOOKUP(H17,名称!A:C,2,0),"")</f>
        <v>农场朋友组合</v>
      </c>
      <c r="J17" s="31">
        <v>600</v>
      </c>
      <c r="K17" s="32">
        <f>IFERROR(VLOOKUP(H17,名称!A:D,3,0),"")</f>
        <v>4</v>
      </c>
      <c r="L17" s="33">
        <v>1250</v>
      </c>
      <c r="M17" s="108">
        <v>46281</v>
      </c>
      <c r="N17" s="108">
        <f t="shared" si="1"/>
        <v>46279</v>
      </c>
      <c r="O17" s="108"/>
      <c r="P17" s="275" t="s">
        <v>525</v>
      </c>
      <c r="Q17" s="30" t="s">
        <v>430</v>
      </c>
      <c r="R17" s="30"/>
      <c r="S17" s="108"/>
      <c r="T17" s="108" t="s">
        <v>452</v>
      </c>
      <c r="U17" s="108"/>
      <c r="V17" s="108"/>
      <c r="W17" s="30"/>
      <c r="X17" s="33"/>
      <c r="Y17" s="92">
        <v>2.881</v>
      </c>
      <c r="Z17" s="115">
        <f t="shared" si="2"/>
        <v>1728.6</v>
      </c>
      <c r="AA17" s="115">
        <f t="shared" si="3"/>
        <v>13396.65</v>
      </c>
      <c r="AB17" s="108" t="s">
        <v>12</v>
      </c>
      <c r="AC17" s="108"/>
      <c r="AD17" s="134"/>
      <c r="AE17" s="108" t="str">
        <f>IFERROR(VLOOKUP(H17,名称!A:D,4,0),"")</f>
        <v>RRM</v>
      </c>
      <c r="AF17" s="32"/>
      <c r="AG17" s="32"/>
      <c r="AH17" s="280">
        <v>46233</v>
      </c>
      <c r="AI17" s="134"/>
      <c r="AJ17" s="134"/>
      <c r="AK17" s="134">
        <v>46233</v>
      </c>
      <c r="AL17" s="134">
        <v>46233</v>
      </c>
      <c r="AM17" s="134"/>
      <c r="AN17" s="33">
        <f t="shared" si="4"/>
        <v>139</v>
      </c>
      <c r="AO17" s="33">
        <f t="shared" si="5"/>
        <v>48</v>
      </c>
    </row>
    <row r="18" s="15" customFormat="1" customHeight="1" spans="1:42">
      <c r="A18" s="108">
        <v>46179</v>
      </c>
      <c r="B18" s="43" t="str">
        <f ca="1" t="shared" si="0"/>
        <v/>
      </c>
      <c r="C18" s="285" t="s">
        <v>236</v>
      </c>
      <c r="D18" s="108" t="s">
        <v>442</v>
      </c>
      <c r="E18" s="109" t="s">
        <v>533</v>
      </c>
      <c r="F18" s="30">
        <v>10129036</v>
      </c>
      <c r="G18" s="110">
        <v>20219196</v>
      </c>
      <c r="H18" s="30" t="s">
        <v>137</v>
      </c>
      <c r="I18" s="32" t="str">
        <f>IFERROR(VLOOKUP(H18,名称!A:C,2,0),"")</f>
        <v>JD 大铲斗挖掘机</v>
      </c>
      <c r="J18" s="31">
        <v>4000</v>
      </c>
      <c r="K18" s="32">
        <v>2</v>
      </c>
      <c r="L18" s="33">
        <f>IFERROR((J18/K18),"")</f>
        <v>2000</v>
      </c>
      <c r="M18" s="286">
        <v>46281</v>
      </c>
      <c r="N18" s="108">
        <f t="shared" si="1"/>
        <v>46279</v>
      </c>
      <c r="O18" s="108"/>
      <c r="P18" s="275" t="s">
        <v>525</v>
      </c>
      <c r="Q18" s="30" t="s">
        <v>430</v>
      </c>
      <c r="R18" s="276" t="s">
        <v>463</v>
      </c>
      <c r="S18" s="108"/>
      <c r="T18" s="108" t="s">
        <v>452</v>
      </c>
      <c r="U18" s="108"/>
      <c r="V18" s="108"/>
      <c r="W18" s="30"/>
      <c r="X18" s="33"/>
      <c r="Y18" s="92">
        <v>4.081</v>
      </c>
      <c r="Z18" s="115">
        <f t="shared" si="2"/>
        <v>16324</v>
      </c>
      <c r="AA18" s="115">
        <f t="shared" si="3"/>
        <v>126511</v>
      </c>
      <c r="AB18" s="58"/>
      <c r="AC18" s="108"/>
      <c r="AD18" s="108"/>
      <c r="AE18" s="108" t="str">
        <f>IFERROR(VLOOKUP(H18,名称!A:D,4,0),"")</f>
        <v>RRM</v>
      </c>
      <c r="AF18" s="32"/>
      <c r="AG18" s="32"/>
      <c r="AH18" s="280" t="s">
        <v>526</v>
      </c>
      <c r="AI18" s="280" t="s">
        <v>420</v>
      </c>
      <c r="AJ18" s="134"/>
      <c r="AK18" s="280">
        <v>46206</v>
      </c>
      <c r="AL18" s="280">
        <v>46206</v>
      </c>
      <c r="AM18" s="134"/>
      <c r="AN18" s="33">
        <f t="shared" si="4"/>
        <v>102</v>
      </c>
      <c r="AO18" s="33" t="e">
        <f t="shared" si="5"/>
        <v>#VALUE!</v>
      </c>
    </row>
    <row r="19" s="15" customFormat="1" customHeight="1" spans="1:42">
      <c r="A19" s="108">
        <v>46179</v>
      </c>
      <c r="B19" s="43" t="str">
        <f ca="1" t="shared" si="0"/>
        <v/>
      </c>
      <c r="C19" s="285" t="s">
        <v>236</v>
      </c>
      <c r="D19" s="108" t="s">
        <v>442</v>
      </c>
      <c r="E19" s="109" t="s">
        <v>533</v>
      </c>
      <c r="F19" s="30">
        <v>10129036</v>
      </c>
      <c r="G19" s="110">
        <v>20219196</v>
      </c>
      <c r="H19" s="30" t="s">
        <v>139</v>
      </c>
      <c r="I19" s="32" t="str">
        <f>IFERROR(VLOOKUP(H19,名称!A:C,2,0),"")</f>
        <v>JD15 英寸大铲斗自卸卡车</v>
      </c>
      <c r="J19" s="31">
        <v>4000</v>
      </c>
      <c r="K19" s="32">
        <v>2</v>
      </c>
      <c r="L19" s="33">
        <f>IFERROR((J19/K19),"")</f>
        <v>2000</v>
      </c>
      <c r="M19" s="286">
        <v>46281</v>
      </c>
      <c r="N19" s="108">
        <f t="shared" si="1"/>
        <v>46279</v>
      </c>
      <c r="O19" s="108"/>
      <c r="P19" s="275" t="s">
        <v>525</v>
      </c>
      <c r="Q19" s="30" t="s">
        <v>430</v>
      </c>
      <c r="R19" s="276" t="s">
        <v>463</v>
      </c>
      <c r="S19" s="275" t="s">
        <v>522</v>
      </c>
      <c r="T19" s="108" t="s">
        <v>452</v>
      </c>
      <c r="U19" s="108"/>
      <c r="V19" s="108"/>
      <c r="W19" s="30"/>
      <c r="X19" s="33"/>
      <c r="Y19" s="111">
        <v>4.131</v>
      </c>
      <c r="Z19" s="115">
        <f t="shared" si="2"/>
        <v>16524</v>
      </c>
      <c r="AA19" s="115">
        <f t="shared" si="3"/>
        <v>128061</v>
      </c>
      <c r="AB19" s="58"/>
      <c r="AC19" s="108"/>
      <c r="AD19" s="108"/>
      <c r="AE19" s="108" t="str">
        <f>IFERROR(VLOOKUP(H19,名称!A:D,4,0),"")</f>
        <v>RRM</v>
      </c>
      <c r="AF19" s="32"/>
      <c r="AG19" s="32"/>
      <c r="AH19" s="280" t="s">
        <v>526</v>
      </c>
      <c r="AI19" s="280" t="s">
        <v>420</v>
      </c>
      <c r="AJ19" s="134"/>
      <c r="AK19" s="280">
        <v>46206</v>
      </c>
      <c r="AL19" s="280">
        <v>46206</v>
      </c>
      <c r="AM19" s="134"/>
      <c r="AN19" s="33">
        <f t="shared" si="4"/>
        <v>102</v>
      </c>
      <c r="AO19" s="33" t="e">
        <f t="shared" si="5"/>
        <v>#VALUE!</v>
      </c>
    </row>
    <row r="20" s="15" customFormat="1" customHeight="1" spans="1:42">
      <c r="A20" s="108">
        <v>46179</v>
      </c>
      <c r="B20" s="43" t="str">
        <f ca="1" t="shared" si="0"/>
        <v/>
      </c>
      <c r="C20" s="285" t="s">
        <v>236</v>
      </c>
      <c r="D20" s="275" t="s">
        <v>442</v>
      </c>
      <c r="E20" s="109" t="s">
        <v>533</v>
      </c>
      <c r="F20" s="30">
        <v>10129036</v>
      </c>
      <c r="G20" s="110">
        <v>20219196</v>
      </c>
      <c r="H20" s="30" t="s">
        <v>126</v>
      </c>
      <c r="I20" s="32" t="str">
        <f>IFERROR(VLOOKUP(H20,名称!A:C,2,0),"")</f>
        <v>1#农场朋友混合</v>
      </c>
      <c r="J20" s="31">
        <v>3000</v>
      </c>
      <c r="K20" s="32">
        <v>4</v>
      </c>
      <c r="L20" s="33">
        <f>IFERROR((J20/K20),"")</f>
        <v>750</v>
      </c>
      <c r="M20" s="286">
        <v>46281</v>
      </c>
      <c r="N20" s="108">
        <f t="shared" si="1"/>
        <v>46279</v>
      </c>
      <c r="O20" s="108"/>
      <c r="P20" s="275" t="s">
        <v>525</v>
      </c>
      <c r="Q20" s="30" t="s">
        <v>430</v>
      </c>
      <c r="R20" s="262" t="s">
        <v>521</v>
      </c>
      <c r="S20" s="275" t="s">
        <v>522</v>
      </c>
      <c r="T20" s="108" t="s">
        <v>452</v>
      </c>
      <c r="U20" s="108"/>
      <c r="V20" s="108"/>
      <c r="W20" s="30"/>
      <c r="X20" s="33"/>
      <c r="Y20" s="92">
        <v>1.746</v>
      </c>
      <c r="Z20" s="115">
        <f t="shared" si="2"/>
        <v>5238</v>
      </c>
      <c r="AA20" s="115">
        <f t="shared" si="3"/>
        <v>40594.5</v>
      </c>
      <c r="AB20" s="58"/>
      <c r="AC20" s="108"/>
      <c r="AD20" s="108"/>
      <c r="AE20" s="108" t="str">
        <f>IFERROR(VLOOKUP(H20,名称!A:D,4,0),"")</f>
        <v>RRM</v>
      </c>
      <c r="AF20" s="32"/>
      <c r="AG20" s="32"/>
      <c r="AH20" s="280" t="s">
        <v>523</v>
      </c>
      <c r="AI20" s="280" t="s">
        <v>420</v>
      </c>
      <c r="AJ20" s="134"/>
      <c r="AK20" s="134">
        <v>46197</v>
      </c>
      <c r="AL20" s="280" t="s">
        <v>524</v>
      </c>
      <c r="AM20" s="134"/>
      <c r="AN20" s="33">
        <f t="shared" si="4"/>
        <v>102</v>
      </c>
      <c r="AO20" s="33" t="e">
        <f t="shared" si="5"/>
        <v>#VALUE!</v>
      </c>
      <c r="AP20" s="20"/>
    </row>
    <row r="21" s="15" customFormat="1" customHeight="1" spans="1:42">
      <c r="A21" s="108">
        <v>46185</v>
      </c>
      <c r="B21" s="43" t="str">
        <f ca="1" t="shared" si="0"/>
        <v/>
      </c>
      <c r="C21" s="109" t="s">
        <v>235</v>
      </c>
      <c r="D21" s="108" t="s">
        <v>421</v>
      </c>
      <c r="E21" s="109" t="s">
        <v>532</v>
      </c>
      <c r="F21" s="30">
        <v>10129303</v>
      </c>
      <c r="G21" s="110">
        <v>4500032948</v>
      </c>
      <c r="H21" s="30" t="s">
        <v>137</v>
      </c>
      <c r="I21" s="32" t="str">
        <f>IFERROR(VLOOKUP(H21,名称!A:C,2,0),"")</f>
        <v>JD 大铲斗挖掘机</v>
      </c>
      <c r="J21" s="282">
        <v>1800</v>
      </c>
      <c r="K21" s="32">
        <v>2</v>
      </c>
      <c r="L21" s="33">
        <f>IFERROR((J21/K21),"")</f>
        <v>900</v>
      </c>
      <c r="M21" s="108">
        <v>46281</v>
      </c>
      <c r="N21" s="108">
        <f t="shared" si="1"/>
        <v>46279</v>
      </c>
      <c r="O21" s="108"/>
      <c r="P21" s="275" t="s">
        <v>525</v>
      </c>
      <c r="Q21" s="30" t="s">
        <v>424</v>
      </c>
      <c r="R21" s="276" t="s">
        <v>463</v>
      </c>
      <c r="S21" s="108"/>
      <c r="T21" s="108" t="s">
        <v>452</v>
      </c>
      <c r="U21" s="108"/>
      <c r="V21" s="108"/>
      <c r="W21" s="30"/>
      <c r="X21" s="33"/>
      <c r="Y21" s="92">
        <v>4.081</v>
      </c>
      <c r="Z21" s="115">
        <f t="shared" si="2"/>
        <v>7345.8</v>
      </c>
      <c r="AA21" s="115">
        <f t="shared" si="3"/>
        <v>56929.95</v>
      </c>
      <c r="AB21" s="58"/>
      <c r="AC21" s="108"/>
      <c r="AD21" s="108"/>
      <c r="AE21" s="108" t="s">
        <v>128</v>
      </c>
      <c r="AF21" s="32"/>
      <c r="AG21" s="32"/>
      <c r="AH21" s="280" t="s">
        <v>526</v>
      </c>
      <c r="AI21" s="280" t="s">
        <v>420</v>
      </c>
      <c r="AJ21" s="134"/>
      <c r="AK21" s="280">
        <v>46206</v>
      </c>
      <c r="AL21" s="280">
        <v>46206</v>
      </c>
      <c r="AM21" s="134"/>
      <c r="AN21" s="33">
        <f t="shared" si="4"/>
        <v>96</v>
      </c>
      <c r="AO21" s="33" t="e">
        <f t="shared" si="5"/>
        <v>#VALUE!</v>
      </c>
    </row>
    <row r="22" s="15" customFormat="1" customHeight="1" spans="1:42">
      <c r="A22" s="108">
        <v>46129</v>
      </c>
      <c r="B22" s="43" t="str">
        <f ca="1" t="shared" si="0"/>
        <v>未</v>
      </c>
      <c r="C22" s="109" t="s">
        <v>236</v>
      </c>
      <c r="D22" s="108" t="s">
        <v>534</v>
      </c>
      <c r="E22" s="109" t="s">
        <v>443</v>
      </c>
      <c r="F22" s="30">
        <v>10125362</v>
      </c>
      <c r="G22" s="110">
        <v>20219091</v>
      </c>
      <c r="H22" s="30" t="s">
        <v>191</v>
      </c>
      <c r="I22" s="32" t="str">
        <f>IFERROR(VLOOKUP(H22,名称!A:C,2,0),"")</f>
        <v>沙河交通工具两件套</v>
      </c>
      <c r="J22" s="282">
        <v>3000</v>
      </c>
      <c r="K22" s="32">
        <v>4</v>
      </c>
      <c r="L22" s="33">
        <f>IFERROR((J22/K22),"")</f>
        <v>750</v>
      </c>
      <c r="M22" s="108">
        <v>46288</v>
      </c>
      <c r="N22" s="284">
        <f t="shared" si="1"/>
        <v>46286</v>
      </c>
      <c r="O22" s="108"/>
      <c r="P22" s="275" t="s">
        <v>525</v>
      </c>
      <c r="Q22" s="30" t="s">
        <v>430</v>
      </c>
      <c r="R22" s="30"/>
      <c r="S22" s="108"/>
      <c r="T22" s="108" t="s">
        <v>452</v>
      </c>
      <c r="U22" s="108"/>
      <c r="V22" s="108"/>
      <c r="W22" s="30"/>
      <c r="X22" s="33"/>
      <c r="Y22" s="92">
        <v>2.215</v>
      </c>
      <c r="Z22" s="115">
        <f t="shared" si="2"/>
        <v>6645</v>
      </c>
      <c r="AA22" s="115">
        <f t="shared" si="3"/>
        <v>51498.75</v>
      </c>
      <c r="AB22" s="58"/>
      <c r="AC22" s="108"/>
      <c r="AD22" s="108"/>
      <c r="AE22" s="108" t="str">
        <f>IFERROR(VLOOKUP(H22,名称!A:D,4,0),"")</f>
        <v>RRM</v>
      </c>
      <c r="AF22" s="32"/>
      <c r="AG22" s="32"/>
      <c r="AH22" s="280">
        <v>46242</v>
      </c>
      <c r="AI22" s="280" t="s">
        <v>420</v>
      </c>
      <c r="AJ22" s="134"/>
      <c r="AK22" s="280">
        <v>46206</v>
      </c>
      <c r="AL22" s="280">
        <v>46206</v>
      </c>
      <c r="AM22" s="134"/>
      <c r="AN22" s="33">
        <f t="shared" si="4"/>
        <v>159</v>
      </c>
      <c r="AO22" s="33">
        <f t="shared" si="5"/>
        <v>46</v>
      </c>
    </row>
    <row r="23" s="15" customFormat="1" customHeight="1" spans="1:42">
      <c r="A23" s="108">
        <v>46179</v>
      </c>
      <c r="B23" s="43" t="str">
        <f ca="1" t="shared" si="0"/>
        <v>未</v>
      </c>
      <c r="C23" s="287" t="s">
        <v>248</v>
      </c>
      <c r="D23" s="275" t="s">
        <v>535</v>
      </c>
      <c r="E23" s="109"/>
      <c r="F23" s="30">
        <v>4500032587</v>
      </c>
      <c r="G23" s="110"/>
      <c r="H23" s="30" t="s">
        <v>185</v>
      </c>
      <c r="I23" s="32" t="s">
        <v>536</v>
      </c>
      <c r="J23" s="31">
        <f>7002-3000</f>
        <v>4002</v>
      </c>
      <c r="K23" s="32">
        <v>3</v>
      </c>
      <c r="L23" s="33">
        <f t="shared" ref="L23:L45" si="7">IFERROR((J23/K23),"")</f>
        <v>1334</v>
      </c>
      <c r="M23" s="108">
        <v>46293</v>
      </c>
      <c r="N23" s="284">
        <f t="shared" si="1"/>
        <v>46291</v>
      </c>
      <c r="O23" s="108"/>
      <c r="P23" s="275" t="s">
        <v>473</v>
      </c>
      <c r="Q23" s="253" t="s">
        <v>424</v>
      </c>
      <c r="R23" s="30"/>
      <c r="S23" s="108"/>
      <c r="T23" s="275" t="s">
        <v>485</v>
      </c>
      <c r="U23" s="108"/>
      <c r="V23" s="108"/>
      <c r="W23" s="30"/>
      <c r="X23" s="33" t="s">
        <v>537</v>
      </c>
      <c r="Y23" s="92">
        <v>25.96</v>
      </c>
      <c r="Z23" s="115">
        <f t="shared" si="2"/>
        <v>103891.92</v>
      </c>
      <c r="AA23" s="115">
        <f t="shared" si="3"/>
        <v>805162.38</v>
      </c>
      <c r="AB23" s="58"/>
      <c r="AC23" s="108"/>
      <c r="AD23" s="108"/>
      <c r="AE23" s="108" t="str">
        <f>IFERROR(VLOOKUP(H23,名称!A:D,4,0),"")</f>
        <v>RRM</v>
      </c>
      <c r="AF23" s="32"/>
      <c r="AG23" s="32"/>
      <c r="AH23" s="134"/>
      <c r="AI23" s="134"/>
      <c r="AJ23" s="134"/>
      <c r="AK23" s="134"/>
      <c r="AL23" s="134"/>
      <c r="AM23" s="134"/>
      <c r="AN23" s="33">
        <f t="shared" si="4"/>
        <v>114</v>
      </c>
      <c r="AO23" s="33" t="e">
        <f>M23-#REF!</f>
        <v>#REF!</v>
      </c>
      <c r="AP23" s="20"/>
    </row>
    <row r="24" s="15" customFormat="1" customHeight="1" spans="1:42">
      <c r="A24" s="108">
        <v>46199</v>
      </c>
      <c r="B24" s="43" t="str">
        <f ca="1" t="shared" si="0"/>
        <v>未</v>
      </c>
      <c r="C24" s="285" t="s">
        <v>236</v>
      </c>
      <c r="D24" s="108" t="s">
        <v>538</v>
      </c>
      <c r="E24" s="109"/>
      <c r="F24" s="110">
        <v>20219232</v>
      </c>
      <c r="G24" s="110"/>
      <c r="H24" s="253" t="s">
        <v>314</v>
      </c>
      <c r="I24" s="288" t="s">
        <v>536</v>
      </c>
      <c r="J24" s="282">
        <v>4110</v>
      </c>
      <c r="K24" s="32">
        <v>3</v>
      </c>
      <c r="L24" s="33">
        <f t="shared" si="7"/>
        <v>1370</v>
      </c>
      <c r="M24" s="286">
        <v>46293</v>
      </c>
      <c r="N24" s="284">
        <f t="shared" si="1"/>
        <v>46291</v>
      </c>
      <c r="O24" s="108"/>
      <c r="P24" s="275"/>
      <c r="Q24" s="289" t="s">
        <v>469</v>
      </c>
      <c r="R24" s="30"/>
      <c r="S24" s="108"/>
      <c r="T24" s="275" t="s">
        <v>539</v>
      </c>
      <c r="U24" s="108"/>
      <c r="V24" s="108"/>
      <c r="W24" s="30"/>
      <c r="X24" s="290" t="s">
        <v>540</v>
      </c>
      <c r="Y24" s="111">
        <v>25.96</v>
      </c>
      <c r="Z24" s="115">
        <f t="shared" si="2"/>
        <v>106695.6</v>
      </c>
      <c r="AA24" s="115">
        <f t="shared" si="3"/>
        <v>826890.9</v>
      </c>
      <c r="AB24" s="58"/>
      <c r="AC24" s="108"/>
      <c r="AD24" s="108"/>
      <c r="AE24" s="275" t="s">
        <v>128</v>
      </c>
      <c r="AF24" s="32"/>
      <c r="AG24" s="32"/>
      <c r="AI24" s="134"/>
      <c r="AJ24" s="134"/>
      <c r="AK24" s="134"/>
      <c r="AL24" s="134"/>
      <c r="AM24" s="134"/>
      <c r="AN24" s="33">
        <f t="shared" si="4"/>
        <v>94</v>
      </c>
      <c r="AO24" s="33">
        <f>M24-AH23</f>
        <v>46293</v>
      </c>
    </row>
    <row r="25" s="15" customFormat="1" customHeight="1" spans="1:42">
      <c r="A25" s="108">
        <v>46172</v>
      </c>
      <c r="B25" s="43" t="str">
        <f ca="1" t="shared" si="0"/>
        <v>未</v>
      </c>
      <c r="C25" s="109" t="s">
        <v>237</v>
      </c>
      <c r="D25" s="108" t="s">
        <v>427</v>
      </c>
      <c r="E25" s="109" t="s">
        <v>438</v>
      </c>
      <c r="F25" s="30">
        <v>10128490</v>
      </c>
      <c r="G25" s="110" t="s">
        <v>304</v>
      </c>
      <c r="H25" s="30" t="s">
        <v>221</v>
      </c>
      <c r="I25" s="32" t="s">
        <v>541</v>
      </c>
      <c r="J25" s="282">
        <v>5000</v>
      </c>
      <c r="K25" s="32">
        <v>4</v>
      </c>
      <c r="L25" s="33">
        <f t="shared" si="7"/>
        <v>1250</v>
      </c>
      <c r="M25" s="286">
        <v>46295</v>
      </c>
      <c r="N25" s="284">
        <f t="shared" si="1"/>
        <v>46293</v>
      </c>
      <c r="O25" s="108"/>
      <c r="P25" s="275" t="s">
        <v>525</v>
      </c>
      <c r="Q25" s="30" t="s">
        <v>430</v>
      </c>
      <c r="R25" s="30"/>
      <c r="S25" s="108"/>
      <c r="T25" s="108" t="s">
        <v>452</v>
      </c>
      <c r="U25" s="108"/>
      <c r="V25" s="108"/>
      <c r="W25" s="30"/>
      <c r="X25" s="33"/>
      <c r="Y25" s="111">
        <v>0</v>
      </c>
      <c r="Z25" s="115">
        <f t="shared" si="2"/>
        <v>0</v>
      </c>
      <c r="AA25" s="115">
        <f t="shared" si="3"/>
        <v>0</v>
      </c>
      <c r="AB25" s="283"/>
      <c r="AC25" s="108"/>
      <c r="AD25" s="108"/>
      <c r="AE25" s="108" t="s">
        <v>128</v>
      </c>
      <c r="AF25" s="32"/>
      <c r="AG25" s="32"/>
      <c r="AH25" s="134">
        <v>46242</v>
      </c>
      <c r="AI25" s="280" t="s">
        <v>420</v>
      </c>
      <c r="AJ25" s="134"/>
      <c r="AK25" s="134">
        <v>46242</v>
      </c>
      <c r="AL25" s="134">
        <v>46242</v>
      </c>
      <c r="AM25" s="134"/>
      <c r="AN25" s="33">
        <f t="shared" si="4"/>
        <v>123</v>
      </c>
      <c r="AO25" s="33">
        <f t="shared" si="5"/>
        <v>53</v>
      </c>
    </row>
    <row r="26" s="15" customFormat="1" customHeight="1" spans="1:42">
      <c r="A26" s="108">
        <v>46172</v>
      </c>
      <c r="B26" s="43" t="str">
        <f ca="1" t="shared" si="0"/>
        <v>未</v>
      </c>
      <c r="C26" s="109" t="s">
        <v>236</v>
      </c>
      <c r="D26" s="108" t="s">
        <v>442</v>
      </c>
      <c r="E26" s="109" t="s">
        <v>443</v>
      </c>
      <c r="F26" s="30">
        <v>10128547</v>
      </c>
      <c r="G26" s="110">
        <v>20219183</v>
      </c>
      <c r="H26" s="30" t="s">
        <v>221</v>
      </c>
      <c r="I26" s="32" t="s">
        <v>541</v>
      </c>
      <c r="J26" s="282">
        <v>1000</v>
      </c>
      <c r="K26" s="32">
        <v>4</v>
      </c>
      <c r="L26" s="33">
        <f t="shared" si="7"/>
        <v>250</v>
      </c>
      <c r="M26" s="286">
        <v>46302</v>
      </c>
      <c r="N26" s="284">
        <f t="shared" si="1"/>
        <v>46300</v>
      </c>
      <c r="O26" s="108"/>
      <c r="P26" s="275" t="s">
        <v>542</v>
      </c>
      <c r="Q26" s="30" t="s">
        <v>430</v>
      </c>
      <c r="R26" s="30"/>
      <c r="S26" s="108"/>
      <c r="T26" s="108" t="s">
        <v>452</v>
      </c>
      <c r="U26" s="108"/>
      <c r="V26" s="108"/>
      <c r="W26" s="30"/>
      <c r="X26" s="33"/>
      <c r="Y26" s="111">
        <v>0</v>
      </c>
      <c r="Z26" s="115">
        <f t="shared" si="2"/>
        <v>0</v>
      </c>
      <c r="AA26" s="115">
        <f t="shared" si="3"/>
        <v>0</v>
      </c>
      <c r="AB26" s="283"/>
      <c r="AC26" s="108"/>
      <c r="AD26" s="108"/>
      <c r="AE26" s="108" t="s">
        <v>128</v>
      </c>
      <c r="AF26" s="32"/>
      <c r="AG26" s="32"/>
      <c r="AH26" s="134">
        <v>46242</v>
      </c>
      <c r="AI26" s="280" t="s">
        <v>420</v>
      </c>
      <c r="AJ26" s="134"/>
      <c r="AK26" s="134">
        <v>46242</v>
      </c>
      <c r="AL26" s="134">
        <v>46242</v>
      </c>
      <c r="AM26" s="134"/>
      <c r="AN26" s="33">
        <f t="shared" si="4"/>
        <v>130</v>
      </c>
      <c r="AO26" s="33">
        <f t="shared" si="5"/>
        <v>60</v>
      </c>
    </row>
    <row r="27" s="15" customFormat="1" customHeight="1" spans="1:42">
      <c r="A27" s="108">
        <v>46179</v>
      </c>
      <c r="B27" s="43" t="str">
        <f ca="1" t="shared" si="0"/>
        <v>未</v>
      </c>
      <c r="C27" s="285" t="s">
        <v>236</v>
      </c>
      <c r="D27" s="108" t="s">
        <v>442</v>
      </c>
      <c r="E27" s="109" t="s">
        <v>533</v>
      </c>
      <c r="F27" s="30">
        <v>10129036</v>
      </c>
      <c r="G27" s="110">
        <v>20219196</v>
      </c>
      <c r="H27" s="30" t="s">
        <v>222</v>
      </c>
      <c r="I27" s="32" t="s">
        <v>543</v>
      </c>
      <c r="J27" s="31">
        <v>1000</v>
      </c>
      <c r="K27" s="32">
        <v>2</v>
      </c>
      <c r="L27" s="33">
        <f t="shared" si="7"/>
        <v>500</v>
      </c>
      <c r="M27" s="286">
        <v>46302</v>
      </c>
      <c r="N27" s="284">
        <f t="shared" si="1"/>
        <v>46300</v>
      </c>
      <c r="O27" s="108"/>
      <c r="P27" s="275" t="s">
        <v>542</v>
      </c>
      <c r="Q27" s="30" t="s">
        <v>430</v>
      </c>
      <c r="R27" s="30"/>
      <c r="S27" s="108"/>
      <c r="T27" s="108" t="s">
        <v>452</v>
      </c>
      <c r="U27" s="108"/>
      <c r="V27" s="108"/>
      <c r="W27" s="30"/>
      <c r="X27" s="33"/>
      <c r="Y27" s="111">
        <v>4.944</v>
      </c>
      <c r="Z27" s="115">
        <f t="shared" si="2"/>
        <v>4944</v>
      </c>
      <c r="AA27" s="115">
        <f t="shared" si="3"/>
        <v>38316</v>
      </c>
      <c r="AB27" s="58"/>
      <c r="AC27" s="108"/>
      <c r="AD27" s="108"/>
      <c r="AE27" s="108" t="s">
        <v>128</v>
      </c>
      <c r="AF27" s="32"/>
      <c r="AG27" s="32"/>
      <c r="AH27" s="280" t="s">
        <v>544</v>
      </c>
      <c r="AI27" s="134"/>
      <c r="AJ27" s="134"/>
      <c r="AK27" s="134"/>
      <c r="AL27" s="134"/>
      <c r="AM27" s="134"/>
      <c r="AN27" s="33">
        <f t="shared" si="4"/>
        <v>123</v>
      </c>
      <c r="AO27" s="33" t="e">
        <f t="shared" si="5"/>
        <v>#VALUE!</v>
      </c>
    </row>
    <row r="28" s="15" customFormat="1" customHeight="1" spans="1:42">
      <c r="A28" s="108">
        <v>46182</v>
      </c>
      <c r="B28" s="43" t="str">
        <f ca="1" t="shared" si="0"/>
        <v>未</v>
      </c>
      <c r="C28" s="109" t="s">
        <v>237</v>
      </c>
      <c r="D28" s="108" t="s">
        <v>427</v>
      </c>
      <c r="E28" s="109" t="s">
        <v>438</v>
      </c>
      <c r="F28" s="30">
        <v>10129125</v>
      </c>
      <c r="G28" s="110" t="s">
        <v>545</v>
      </c>
      <c r="H28" s="291" t="s">
        <v>228</v>
      </c>
      <c r="I28" s="32" t="s">
        <v>543</v>
      </c>
      <c r="J28" s="292">
        <v>5000</v>
      </c>
      <c r="K28" s="32">
        <v>2</v>
      </c>
      <c r="L28" s="33">
        <f t="shared" si="7"/>
        <v>2500</v>
      </c>
      <c r="M28" s="286">
        <v>46302</v>
      </c>
      <c r="N28" s="284">
        <f t="shared" si="1"/>
        <v>46300</v>
      </c>
      <c r="O28" s="108"/>
      <c r="P28" s="275" t="s">
        <v>542</v>
      </c>
      <c r="Q28" s="30" t="s">
        <v>430</v>
      </c>
      <c r="R28" s="30"/>
      <c r="S28" s="108"/>
      <c r="T28" s="108" t="s">
        <v>452</v>
      </c>
      <c r="U28" s="108"/>
      <c r="V28" s="108"/>
      <c r="W28" s="30"/>
      <c r="X28" s="33"/>
      <c r="Y28" s="293">
        <v>4.944</v>
      </c>
      <c r="Z28" s="115">
        <f t="shared" si="2"/>
        <v>24720</v>
      </c>
      <c r="AA28" s="115">
        <f t="shared" si="3"/>
        <v>191580</v>
      </c>
      <c r="AB28" s="58"/>
      <c r="AC28" s="108"/>
      <c r="AD28" s="108"/>
      <c r="AE28" s="108" t="s">
        <v>128</v>
      </c>
      <c r="AF28" s="32"/>
      <c r="AG28" s="32"/>
      <c r="AH28" s="280" t="s">
        <v>544</v>
      </c>
      <c r="AI28" s="134"/>
      <c r="AJ28" s="134"/>
      <c r="AK28" s="134"/>
      <c r="AL28" s="134"/>
      <c r="AM28" s="134"/>
      <c r="AN28" s="33">
        <f t="shared" si="4"/>
        <v>120</v>
      </c>
      <c r="AO28" s="33" t="e">
        <f t="shared" si="5"/>
        <v>#VALUE!</v>
      </c>
    </row>
    <row r="29" s="15" customFormat="1" customHeight="1" spans="1:42">
      <c r="A29" s="108">
        <v>46182</v>
      </c>
      <c r="B29" s="43" t="str">
        <f ca="1" t="shared" si="0"/>
        <v>未</v>
      </c>
      <c r="C29" s="294" t="s">
        <v>237</v>
      </c>
      <c r="D29" s="108" t="s">
        <v>427</v>
      </c>
      <c r="E29" s="109" t="s">
        <v>443</v>
      </c>
      <c r="F29" s="30">
        <v>10129130</v>
      </c>
      <c r="G29" s="110" t="s">
        <v>310</v>
      </c>
      <c r="H29" s="291" t="s">
        <v>222</v>
      </c>
      <c r="I29" s="32" t="s">
        <v>543</v>
      </c>
      <c r="J29" s="292">
        <v>4000</v>
      </c>
      <c r="K29" s="32">
        <v>2</v>
      </c>
      <c r="L29" s="33">
        <f t="shared" si="7"/>
        <v>2000</v>
      </c>
      <c r="M29" s="286">
        <v>46302</v>
      </c>
      <c r="N29" s="284">
        <f t="shared" si="1"/>
        <v>46300</v>
      </c>
      <c r="O29" s="108"/>
      <c r="P29" s="275" t="s">
        <v>542</v>
      </c>
      <c r="Q29" s="30" t="s">
        <v>430</v>
      </c>
      <c r="R29" s="30"/>
      <c r="S29" s="108"/>
      <c r="T29" s="108" t="s">
        <v>452</v>
      </c>
      <c r="U29" s="108"/>
      <c r="V29" s="108"/>
      <c r="W29" s="30"/>
      <c r="X29" s="33"/>
      <c r="Y29" s="111">
        <v>4.944</v>
      </c>
      <c r="Z29" s="115">
        <f t="shared" si="2"/>
        <v>19776</v>
      </c>
      <c r="AA29" s="115">
        <f t="shared" si="3"/>
        <v>153264</v>
      </c>
      <c r="AB29" s="58"/>
      <c r="AC29" s="108"/>
      <c r="AD29" s="108"/>
      <c r="AE29" s="108" t="s">
        <v>128</v>
      </c>
      <c r="AF29" s="32"/>
      <c r="AG29" s="32"/>
      <c r="AH29" s="280" t="s">
        <v>544</v>
      </c>
      <c r="AI29" s="134"/>
      <c r="AJ29" s="134"/>
      <c r="AK29" s="134"/>
      <c r="AL29" s="134"/>
      <c r="AM29" s="134"/>
      <c r="AN29" s="33">
        <f t="shared" si="4"/>
        <v>120</v>
      </c>
      <c r="AO29" s="33" t="e">
        <f t="shared" si="5"/>
        <v>#VALUE!</v>
      </c>
    </row>
    <row r="30" s="15" customFormat="1" customHeight="1" spans="1:42">
      <c r="A30" s="108">
        <v>46150</v>
      </c>
      <c r="B30" s="43" t="str">
        <f ca="1" t="shared" si="0"/>
        <v>未</v>
      </c>
      <c r="C30" s="109"/>
      <c r="D30" s="108"/>
      <c r="E30" s="109"/>
      <c r="F30" s="110" t="s">
        <v>241</v>
      </c>
      <c r="G30" s="110"/>
      <c r="H30" s="30" t="s">
        <v>185</v>
      </c>
      <c r="I30" s="32" t="s">
        <v>536</v>
      </c>
      <c r="J30" s="31">
        <f>24992-300-4800-2130-4110-4002-3000</f>
        <v>6650</v>
      </c>
      <c r="K30" s="32">
        <f>IFERROR(VLOOKUP(H30,名称!A:D,3,0),"")</f>
        <v>3</v>
      </c>
      <c r="L30" s="33">
        <f t="shared" si="7"/>
        <v>2216.66666666667</v>
      </c>
      <c r="M30" s="108">
        <v>46309</v>
      </c>
      <c r="N30" s="284">
        <f t="shared" si="1"/>
        <v>46307</v>
      </c>
      <c r="O30" s="108"/>
      <c r="P30" s="108"/>
      <c r="Q30" s="253"/>
      <c r="R30" s="30"/>
      <c r="S30" s="108"/>
      <c r="T30" s="275"/>
      <c r="U30" s="108"/>
      <c r="V30" s="108"/>
      <c r="W30" s="30"/>
      <c r="X30" s="33" t="s">
        <v>546</v>
      </c>
      <c r="Y30" s="92"/>
      <c r="Z30" s="115">
        <f t="shared" si="2"/>
        <v>0</v>
      </c>
      <c r="AA30" s="115">
        <f t="shared" si="3"/>
        <v>0</v>
      </c>
      <c r="AB30" s="58"/>
      <c r="AC30" s="108"/>
      <c r="AD30" s="108"/>
      <c r="AE30" s="108" t="str">
        <f>IFERROR(VLOOKUP(H30,名称!A:D,4,0),"")</f>
        <v>RRM</v>
      </c>
      <c r="AF30" s="32"/>
      <c r="AG30" s="32"/>
      <c r="AH30" s="134"/>
      <c r="AI30" s="134"/>
      <c r="AJ30" s="134"/>
      <c r="AK30" s="134"/>
      <c r="AL30" s="134"/>
      <c r="AM30" s="134"/>
      <c r="AN30" s="33">
        <f t="shared" si="4"/>
        <v>159</v>
      </c>
      <c r="AO30" s="33">
        <f t="shared" si="5"/>
        <v>46309</v>
      </c>
    </row>
    <row r="31" s="15" customFormat="1" customHeight="1" spans="1:42">
      <c r="A31" s="108">
        <v>46141</v>
      </c>
      <c r="B31" s="43" t="str">
        <f ca="1" t="shared" si="0"/>
        <v>未</v>
      </c>
      <c r="C31" s="285" t="s">
        <v>258</v>
      </c>
      <c r="D31" s="108" t="s">
        <v>535</v>
      </c>
      <c r="E31" s="109"/>
      <c r="F31" s="110">
        <v>4500032736</v>
      </c>
      <c r="G31" s="110"/>
      <c r="H31" s="30" t="s">
        <v>185</v>
      </c>
      <c r="I31" s="32" t="s">
        <v>536</v>
      </c>
      <c r="J31" s="282">
        <v>2130</v>
      </c>
      <c r="K31" s="32">
        <f>IFERROR(VLOOKUP(H31,名称!A:D,3,0),"")</f>
        <v>3</v>
      </c>
      <c r="L31" s="33">
        <f t="shared" si="7"/>
        <v>710</v>
      </c>
      <c r="M31" s="108">
        <v>46310</v>
      </c>
      <c r="N31" s="108">
        <f t="shared" si="1"/>
        <v>46308</v>
      </c>
      <c r="O31" s="108"/>
      <c r="P31" s="295" t="s">
        <v>473</v>
      </c>
      <c r="Q31" s="253" t="s">
        <v>424</v>
      </c>
      <c r="R31" s="30"/>
      <c r="S31" s="108"/>
      <c r="T31" s="296" t="s">
        <v>547</v>
      </c>
      <c r="U31" s="108"/>
      <c r="V31" s="108"/>
      <c r="W31" s="30"/>
      <c r="X31" s="33" t="s">
        <v>537</v>
      </c>
      <c r="Y31" s="92">
        <v>25.96</v>
      </c>
      <c r="Z31" s="115">
        <f t="shared" si="2"/>
        <v>55294.8</v>
      </c>
      <c r="AA31" s="115">
        <f t="shared" si="3"/>
        <v>428534.7</v>
      </c>
      <c r="AB31" s="58"/>
      <c r="AC31" s="108"/>
      <c r="AD31" s="108"/>
      <c r="AE31" s="108" t="str">
        <f>IFERROR(VLOOKUP(H31,名称!A:D,4,0),"")</f>
        <v>RRM</v>
      </c>
      <c r="AF31" s="32"/>
      <c r="AG31" s="32"/>
      <c r="AH31" s="134"/>
      <c r="AI31" s="134"/>
      <c r="AJ31" s="134"/>
      <c r="AK31" s="134"/>
      <c r="AL31" s="134"/>
      <c r="AM31" s="134"/>
      <c r="AN31" s="33">
        <f t="shared" si="4"/>
        <v>169</v>
      </c>
      <c r="AO31" s="33">
        <f t="shared" si="5"/>
        <v>46310</v>
      </c>
    </row>
    <row r="32" s="15" customFormat="1" customHeight="1" spans="1:42">
      <c r="A32" s="108">
        <v>46179</v>
      </c>
      <c r="B32" s="43" t="str">
        <f ca="1" t="shared" si="0"/>
        <v>未</v>
      </c>
      <c r="C32" s="285" t="s">
        <v>236</v>
      </c>
      <c r="D32" s="108" t="s">
        <v>442</v>
      </c>
      <c r="E32" s="109" t="s">
        <v>533</v>
      </c>
      <c r="F32" s="30">
        <v>10129036</v>
      </c>
      <c r="G32" s="110">
        <v>20219196</v>
      </c>
      <c r="H32" s="30" t="s">
        <v>225</v>
      </c>
      <c r="I32" s="32" t="s">
        <v>548</v>
      </c>
      <c r="J32" s="31">
        <v>600</v>
      </c>
      <c r="K32" s="32">
        <v>4</v>
      </c>
      <c r="L32" s="33">
        <f t="shared" si="7"/>
        <v>150</v>
      </c>
      <c r="M32" s="286">
        <v>46316</v>
      </c>
      <c r="N32" s="108">
        <f t="shared" si="1"/>
        <v>46314</v>
      </c>
      <c r="O32" s="108"/>
      <c r="P32" s="275" t="s">
        <v>542</v>
      </c>
      <c r="Q32" s="30" t="s">
        <v>430</v>
      </c>
      <c r="R32" s="30"/>
      <c r="S32" s="275" t="s">
        <v>549</v>
      </c>
      <c r="T32" s="108" t="s">
        <v>452</v>
      </c>
      <c r="U32" s="108"/>
      <c r="V32" s="108"/>
      <c r="W32" s="30"/>
      <c r="X32" s="33"/>
      <c r="Y32" s="293">
        <v>5.774</v>
      </c>
      <c r="Z32" s="115">
        <f t="shared" si="2"/>
        <v>3464.4</v>
      </c>
      <c r="AA32" s="115">
        <f t="shared" si="3"/>
        <v>26849.1</v>
      </c>
      <c r="AB32" s="58"/>
      <c r="AC32" s="108"/>
      <c r="AD32" s="108"/>
      <c r="AE32" s="108" t="s">
        <v>128</v>
      </c>
      <c r="AF32" s="32"/>
      <c r="AG32" s="32"/>
      <c r="AH32" s="134"/>
      <c r="AI32" s="134"/>
      <c r="AJ32" s="134"/>
      <c r="AK32" s="134"/>
      <c r="AL32" s="134"/>
      <c r="AM32" s="134"/>
      <c r="AN32" s="33">
        <f t="shared" si="4"/>
        <v>137</v>
      </c>
      <c r="AO32" s="33">
        <f t="shared" si="5"/>
        <v>46316</v>
      </c>
    </row>
    <row r="33" s="15" customFormat="1" customHeight="1" spans="1:42">
      <c r="A33" s="108">
        <v>46182</v>
      </c>
      <c r="B33" s="43" t="str">
        <f ca="1" t="shared" si="0"/>
        <v>未</v>
      </c>
      <c r="C33" s="294" t="s">
        <v>237</v>
      </c>
      <c r="D33" s="108" t="s">
        <v>427</v>
      </c>
      <c r="E33" s="109" t="s">
        <v>443</v>
      </c>
      <c r="F33" s="30">
        <v>10129130</v>
      </c>
      <c r="G33" s="110" t="s">
        <v>310</v>
      </c>
      <c r="H33" s="30" t="s">
        <v>225</v>
      </c>
      <c r="I33" s="32" t="s">
        <v>548</v>
      </c>
      <c r="J33" s="282">
        <v>4400</v>
      </c>
      <c r="K33" s="32">
        <v>4</v>
      </c>
      <c r="L33" s="33">
        <f t="shared" si="7"/>
        <v>1100</v>
      </c>
      <c r="M33" s="286">
        <v>46316</v>
      </c>
      <c r="N33" s="108">
        <f t="shared" si="1"/>
        <v>46314</v>
      </c>
      <c r="O33" s="108"/>
      <c r="P33" s="275" t="s">
        <v>542</v>
      </c>
      <c r="Q33" s="30" t="s">
        <v>430</v>
      </c>
      <c r="R33" s="30"/>
      <c r="S33" s="275" t="s">
        <v>549</v>
      </c>
      <c r="T33" s="108" t="s">
        <v>452</v>
      </c>
      <c r="U33" s="108"/>
      <c r="V33" s="108"/>
      <c r="W33" s="30"/>
      <c r="X33" s="33"/>
      <c r="Y33" s="111">
        <v>5.774</v>
      </c>
      <c r="Z33" s="115">
        <f t="shared" si="2"/>
        <v>25405.6</v>
      </c>
      <c r="AA33" s="115">
        <f t="shared" si="3"/>
        <v>196893.4</v>
      </c>
      <c r="AB33" s="58"/>
      <c r="AC33" s="108"/>
      <c r="AD33" s="108"/>
      <c r="AE33" s="108" t="s">
        <v>128</v>
      </c>
      <c r="AF33" s="32"/>
      <c r="AG33" s="32"/>
      <c r="AH33" s="134"/>
      <c r="AI33" s="134"/>
      <c r="AJ33" s="134"/>
      <c r="AK33" s="134"/>
      <c r="AL33" s="134"/>
      <c r="AM33" s="134"/>
      <c r="AN33" s="33">
        <f t="shared" si="4"/>
        <v>134</v>
      </c>
      <c r="AO33" s="33">
        <f t="shared" si="5"/>
        <v>46316</v>
      </c>
    </row>
    <row r="34" s="15" customFormat="1" customHeight="1" spans="1:42">
      <c r="A34" s="108">
        <v>46186</v>
      </c>
      <c r="B34" s="43" t="str">
        <f ca="1" t="shared" si="0"/>
        <v>未</v>
      </c>
      <c r="C34" s="294" t="s">
        <v>235</v>
      </c>
      <c r="D34" s="108" t="s">
        <v>421</v>
      </c>
      <c r="E34" s="109" t="s">
        <v>532</v>
      </c>
      <c r="F34" s="30">
        <v>10129356</v>
      </c>
      <c r="G34" s="110">
        <v>4500032955</v>
      </c>
      <c r="H34" s="30" t="s">
        <v>225</v>
      </c>
      <c r="I34" s="32" t="s">
        <v>548</v>
      </c>
      <c r="J34" s="282">
        <v>2500</v>
      </c>
      <c r="K34" s="32">
        <v>4</v>
      </c>
      <c r="L34" s="33">
        <f t="shared" si="7"/>
        <v>625</v>
      </c>
      <c r="M34" s="108">
        <v>46323</v>
      </c>
      <c r="N34" s="108">
        <f t="shared" si="1"/>
        <v>46321</v>
      </c>
      <c r="O34" s="108"/>
      <c r="P34" s="275" t="s">
        <v>542</v>
      </c>
      <c r="Q34" s="30" t="s">
        <v>424</v>
      </c>
      <c r="R34" s="30"/>
      <c r="S34" s="108"/>
      <c r="T34" s="108" t="s">
        <v>452</v>
      </c>
      <c r="U34" s="108"/>
      <c r="V34" s="108"/>
      <c r="W34" s="30"/>
      <c r="X34" s="33"/>
      <c r="Y34" s="293">
        <v>5.774</v>
      </c>
      <c r="Z34" s="115">
        <f t="shared" si="2"/>
        <v>14435</v>
      </c>
      <c r="AA34" s="115">
        <f t="shared" si="3"/>
        <v>111871.25</v>
      </c>
      <c r="AB34" s="58"/>
      <c r="AC34" s="108"/>
      <c r="AD34" s="108"/>
      <c r="AE34" s="108" t="s">
        <v>128</v>
      </c>
      <c r="AF34" s="32"/>
      <c r="AG34" s="32"/>
      <c r="AH34" s="134"/>
      <c r="AI34" s="134"/>
      <c r="AJ34" s="134"/>
      <c r="AK34" s="134"/>
      <c r="AL34" s="134"/>
      <c r="AM34" s="134"/>
      <c r="AN34" s="33">
        <f t="shared" si="4"/>
        <v>137</v>
      </c>
      <c r="AO34" s="33">
        <f t="shared" si="5"/>
        <v>46323</v>
      </c>
    </row>
    <row r="35" s="15" customFormat="1" customHeight="1" spans="1:42">
      <c r="A35" s="108">
        <v>46186</v>
      </c>
      <c r="B35" s="43" t="str">
        <f ca="1" t="shared" si="0"/>
        <v>未</v>
      </c>
      <c r="C35" s="294" t="s">
        <v>235</v>
      </c>
      <c r="D35" s="108" t="s">
        <v>421</v>
      </c>
      <c r="E35" s="285" t="s">
        <v>438</v>
      </c>
      <c r="F35" s="30">
        <v>10129356</v>
      </c>
      <c r="G35" s="110">
        <v>4500032955</v>
      </c>
      <c r="H35" s="30" t="s">
        <v>225</v>
      </c>
      <c r="I35" s="32" t="s">
        <v>548</v>
      </c>
      <c r="J35" s="282">
        <v>2500</v>
      </c>
      <c r="K35" s="32">
        <v>4</v>
      </c>
      <c r="L35" s="33">
        <f t="shared" si="7"/>
        <v>625</v>
      </c>
      <c r="M35" s="108">
        <v>46323</v>
      </c>
      <c r="N35" s="284">
        <f t="shared" si="1"/>
        <v>46321</v>
      </c>
      <c r="O35" s="108"/>
      <c r="P35" s="275" t="s">
        <v>542</v>
      </c>
      <c r="Q35" s="30" t="s">
        <v>424</v>
      </c>
      <c r="R35" s="30"/>
      <c r="S35" s="108"/>
      <c r="T35" s="108" t="s">
        <v>452</v>
      </c>
      <c r="U35" s="108"/>
      <c r="V35" s="108"/>
      <c r="W35" s="30"/>
      <c r="X35" s="33"/>
      <c r="Y35" s="293">
        <v>5.774</v>
      </c>
      <c r="Z35" s="115">
        <f t="shared" si="2"/>
        <v>14435</v>
      </c>
      <c r="AA35" s="115">
        <f t="shared" si="3"/>
        <v>111871.25</v>
      </c>
      <c r="AB35" s="58"/>
      <c r="AC35" s="108"/>
      <c r="AD35" s="108"/>
      <c r="AE35" s="108" t="s">
        <v>128</v>
      </c>
      <c r="AF35" s="32"/>
      <c r="AG35" s="32"/>
      <c r="AH35" s="134"/>
      <c r="AI35" s="134"/>
      <c r="AJ35" s="134"/>
      <c r="AK35" s="134"/>
      <c r="AL35" s="134"/>
      <c r="AM35" s="134"/>
      <c r="AN35" s="33">
        <f t="shared" si="4"/>
        <v>137</v>
      </c>
      <c r="AO35" s="33">
        <f t="shared" si="5"/>
        <v>46323</v>
      </c>
    </row>
    <row r="36" s="15" customFormat="1" customHeight="1" spans="1:42">
      <c r="A36" s="108">
        <v>46206</v>
      </c>
      <c r="B36" s="43" t="str">
        <f ca="1" t="shared" si="0"/>
        <v>未</v>
      </c>
      <c r="C36" s="287" t="s">
        <v>299</v>
      </c>
      <c r="D36" s="275" t="s">
        <v>421</v>
      </c>
      <c r="E36" s="109" t="s">
        <v>532</v>
      </c>
      <c r="F36" s="30">
        <v>10131243</v>
      </c>
      <c r="G36" s="297">
        <v>4500033055</v>
      </c>
      <c r="H36" s="253" t="s">
        <v>225</v>
      </c>
      <c r="I36" s="32" t="s">
        <v>548</v>
      </c>
      <c r="J36" s="282">
        <v>1000</v>
      </c>
      <c r="K36" s="32">
        <v>4</v>
      </c>
      <c r="L36" s="33">
        <f t="shared" si="7"/>
        <v>250</v>
      </c>
      <c r="M36" s="108">
        <v>46337</v>
      </c>
      <c r="N36" s="284">
        <f t="shared" si="1"/>
        <v>46335</v>
      </c>
      <c r="O36" s="275"/>
      <c r="P36" s="108" t="s">
        <v>550</v>
      </c>
      <c r="Q36" s="30" t="s">
        <v>424</v>
      </c>
      <c r="R36" s="30"/>
      <c r="S36" s="108"/>
      <c r="T36" s="108" t="s">
        <v>452</v>
      </c>
      <c r="U36" s="108"/>
      <c r="V36" s="108"/>
      <c r="W36" s="30"/>
      <c r="X36" s="33"/>
      <c r="Y36" s="293">
        <v>5.774</v>
      </c>
      <c r="Z36" s="115">
        <f t="shared" si="2"/>
        <v>5774</v>
      </c>
      <c r="AA36" s="115">
        <f t="shared" si="3"/>
        <v>44748.5</v>
      </c>
      <c r="AB36" s="58"/>
      <c r="AC36" s="108"/>
      <c r="AD36" s="108"/>
      <c r="AE36" s="108" t="s">
        <v>128</v>
      </c>
      <c r="AF36" s="32"/>
      <c r="AG36" s="32"/>
      <c r="AH36" s="134"/>
      <c r="AI36" s="134"/>
      <c r="AJ36" s="134"/>
      <c r="AK36" s="134"/>
      <c r="AL36" s="134"/>
      <c r="AM36" s="134"/>
      <c r="AN36" s="33"/>
      <c r="AO36" s="33"/>
    </row>
    <row r="37" s="15" customFormat="1" customHeight="1" spans="1:42">
      <c r="A37" s="108">
        <v>46179</v>
      </c>
      <c r="B37" s="43" t="str">
        <f ca="1" t="shared" si="0"/>
        <v>未</v>
      </c>
      <c r="C37" s="285" t="s">
        <v>248</v>
      </c>
      <c r="D37" s="275" t="s">
        <v>535</v>
      </c>
      <c r="E37" s="109"/>
      <c r="F37" s="30">
        <v>4500032587</v>
      </c>
      <c r="G37" s="110"/>
      <c r="H37" s="30" t="s">
        <v>185</v>
      </c>
      <c r="I37" s="32" t="s">
        <v>536</v>
      </c>
      <c r="J37" s="31">
        <v>3000</v>
      </c>
      <c r="K37" s="32">
        <v>3</v>
      </c>
      <c r="L37" s="33">
        <f t="shared" si="7"/>
        <v>1000</v>
      </c>
      <c r="M37" s="108">
        <v>46354</v>
      </c>
      <c r="N37" s="108">
        <f t="shared" si="1"/>
        <v>46352</v>
      </c>
      <c r="O37" s="108"/>
      <c r="P37" s="296" t="s">
        <v>550</v>
      </c>
      <c r="Q37" s="253" t="s">
        <v>424</v>
      </c>
      <c r="R37" s="30"/>
      <c r="S37" s="108"/>
      <c r="T37" s="275" t="s">
        <v>485</v>
      </c>
      <c r="U37" s="108"/>
      <c r="V37" s="108"/>
      <c r="W37" s="30"/>
      <c r="X37" s="33" t="s">
        <v>537</v>
      </c>
      <c r="Y37" s="92">
        <v>25.96</v>
      </c>
      <c r="Z37" s="115">
        <f t="shared" si="2"/>
        <v>77880</v>
      </c>
      <c r="AA37" s="115">
        <f t="shared" si="3"/>
        <v>603570</v>
      </c>
      <c r="AB37" s="58"/>
      <c r="AC37" s="108"/>
      <c r="AD37" s="108"/>
      <c r="AE37" s="108" t="str">
        <f>IFERROR(VLOOKUP(H37,名称!A:D,4,0),"")</f>
        <v>RRM</v>
      </c>
      <c r="AF37" s="32"/>
      <c r="AG37" s="32"/>
      <c r="AH37" s="134"/>
      <c r="AI37" s="134"/>
      <c r="AJ37" s="134"/>
      <c r="AK37" s="134"/>
      <c r="AL37" s="134"/>
      <c r="AM37" s="134"/>
      <c r="AN37" s="33">
        <f>M37-A37</f>
        <v>175</v>
      </c>
      <c r="AO37" s="33">
        <f>M37-AH37</f>
        <v>46354</v>
      </c>
    </row>
    <row r="38" s="15" customFormat="1" customHeight="1" spans="1:42">
      <c r="A38" s="108">
        <v>46114</v>
      </c>
      <c r="B38" s="43" t="str">
        <f ca="1" t="shared" si="0"/>
        <v>未</v>
      </c>
      <c r="C38" s="294" t="s">
        <v>235</v>
      </c>
      <c r="D38" s="108" t="s">
        <v>535</v>
      </c>
      <c r="E38" s="109"/>
      <c r="F38" s="110">
        <v>4500032586</v>
      </c>
      <c r="G38" s="110"/>
      <c r="H38" s="30" t="s">
        <v>185</v>
      </c>
      <c r="I38" s="32" t="s">
        <v>536</v>
      </c>
      <c r="J38" s="282">
        <v>4800</v>
      </c>
      <c r="K38" s="32">
        <f>IFERROR(VLOOKUP(H38,名称!A:D,3,0),"")</f>
        <v>3</v>
      </c>
      <c r="L38" s="33">
        <f t="shared" si="7"/>
        <v>1600</v>
      </c>
      <c r="M38" s="108">
        <v>46391</v>
      </c>
      <c r="N38" s="284">
        <f t="shared" si="1"/>
        <v>46389</v>
      </c>
      <c r="O38" s="108"/>
      <c r="P38" s="275" t="s">
        <v>551</v>
      </c>
      <c r="Q38" s="253" t="s">
        <v>424</v>
      </c>
      <c r="R38" s="30"/>
      <c r="S38" s="108"/>
      <c r="T38" s="275" t="s">
        <v>485</v>
      </c>
      <c r="U38" s="108"/>
      <c r="V38" s="108"/>
      <c r="W38" s="253" t="s">
        <v>552</v>
      </c>
      <c r="X38" s="33" t="s">
        <v>537</v>
      </c>
      <c r="Y38" s="298">
        <v>25.96</v>
      </c>
      <c r="Z38" s="115">
        <f t="shared" si="2"/>
        <v>124608</v>
      </c>
      <c r="AA38" s="115">
        <f t="shared" si="3"/>
        <v>965712</v>
      </c>
      <c r="AB38" s="58"/>
      <c r="AC38" s="108"/>
      <c r="AD38" s="108"/>
      <c r="AE38" s="108" t="str">
        <f>IFERROR(VLOOKUP(H38,名称!A:D,4,0),"")</f>
        <v>RRM</v>
      </c>
      <c r="AF38" s="32"/>
      <c r="AG38" s="32"/>
      <c r="AH38" s="134"/>
      <c r="AI38" s="134"/>
      <c r="AJ38" s="134"/>
      <c r="AK38" s="134"/>
      <c r="AL38" s="134"/>
      <c r="AM38" s="134"/>
      <c r="AN38" s="33">
        <f>M38-A38</f>
        <v>277</v>
      </c>
      <c r="AO38" s="33">
        <f>M38-AH38</f>
        <v>46391</v>
      </c>
    </row>
    <row r="39" s="15" customFormat="1" customHeight="1" spans="1:42">
      <c r="A39" s="108">
        <v>46221</v>
      </c>
      <c r="B39" s="43"/>
      <c r="C39" s="287" t="s">
        <v>236</v>
      </c>
      <c r="D39" s="299" t="s">
        <v>442</v>
      </c>
      <c r="E39" s="300" t="s">
        <v>443</v>
      </c>
      <c r="F39" s="270">
        <v>10132947</v>
      </c>
      <c r="G39" s="297">
        <v>20219244</v>
      </c>
      <c r="H39" s="253" t="s">
        <v>209</v>
      </c>
      <c r="I39" s="301" t="s">
        <v>553</v>
      </c>
      <c r="J39" s="282">
        <v>2000</v>
      </c>
      <c r="K39" s="32">
        <v>4</v>
      </c>
      <c r="L39" s="33">
        <f t="shared" si="7"/>
        <v>500</v>
      </c>
      <c r="M39" s="108">
        <v>46309</v>
      </c>
      <c r="N39" s="284">
        <f t="shared" si="1"/>
        <v>46307</v>
      </c>
      <c r="O39" s="108"/>
      <c r="P39" s="275" t="s">
        <v>542</v>
      </c>
      <c r="Q39" s="253" t="s">
        <v>430</v>
      </c>
      <c r="R39" s="30"/>
      <c r="S39" s="108"/>
      <c r="T39" s="108"/>
      <c r="U39" s="108"/>
      <c r="V39" s="108"/>
      <c r="W39" s="30"/>
      <c r="X39" s="33"/>
      <c r="Y39" s="92">
        <v>2.26</v>
      </c>
      <c r="Z39" s="115">
        <f t="shared" si="2"/>
        <v>4520</v>
      </c>
      <c r="AA39" s="115">
        <f t="shared" si="3"/>
        <v>35030</v>
      </c>
      <c r="AB39" s="58"/>
      <c r="AC39" s="108"/>
      <c r="AD39" s="108"/>
      <c r="AE39" s="275" t="s">
        <v>128</v>
      </c>
      <c r="AF39" s="32"/>
      <c r="AG39" s="32"/>
      <c r="AH39" s="134"/>
      <c r="AI39" s="134"/>
      <c r="AJ39" s="134"/>
      <c r="AK39" s="134"/>
      <c r="AL39" s="134"/>
      <c r="AM39" s="134"/>
      <c r="AN39" s="33"/>
      <c r="AO39" s="33"/>
    </row>
    <row r="40" s="15" customFormat="1" customHeight="1" spans="1:42">
      <c r="A40" s="302">
        <v>46225</v>
      </c>
      <c r="B40" s="77"/>
      <c r="C40" s="300" t="s">
        <v>235</v>
      </c>
      <c r="D40" s="299" t="s">
        <v>421</v>
      </c>
      <c r="E40" s="300" t="s">
        <v>422</v>
      </c>
      <c r="F40" s="270">
        <v>10133076</v>
      </c>
      <c r="G40" s="297">
        <v>4500033113</v>
      </c>
      <c r="H40" s="253" t="s">
        <v>209</v>
      </c>
      <c r="I40" s="301" t="s">
        <v>553</v>
      </c>
      <c r="J40" s="282">
        <v>7200</v>
      </c>
      <c r="K40" s="32">
        <v>4</v>
      </c>
      <c r="L40" s="33">
        <f t="shared" si="7"/>
        <v>1800</v>
      </c>
      <c r="M40" s="108">
        <v>46316</v>
      </c>
      <c r="N40" s="284">
        <f t="shared" si="1"/>
        <v>46314</v>
      </c>
      <c r="O40" s="108"/>
      <c r="P40" s="275" t="s">
        <v>542</v>
      </c>
      <c r="Q40" s="253" t="s">
        <v>424</v>
      </c>
      <c r="R40" s="30"/>
      <c r="S40" s="108"/>
      <c r="T40" s="108"/>
      <c r="U40" s="108"/>
      <c r="V40" s="108"/>
      <c r="W40" s="30"/>
      <c r="X40" s="33"/>
      <c r="Y40" s="92">
        <v>2.26</v>
      </c>
      <c r="Z40" s="115">
        <f t="shared" si="2"/>
        <v>16272</v>
      </c>
      <c r="AA40" s="115">
        <f t="shared" si="3"/>
        <v>126108</v>
      </c>
      <c r="AB40" s="58"/>
      <c r="AC40" s="108"/>
      <c r="AD40" s="108"/>
      <c r="AE40" s="275" t="s">
        <v>128</v>
      </c>
      <c r="AF40" s="32"/>
      <c r="AG40" s="32"/>
      <c r="AH40" s="134"/>
      <c r="AI40" s="134"/>
      <c r="AJ40" s="134"/>
      <c r="AK40" s="134"/>
      <c r="AL40" s="134"/>
      <c r="AM40" s="134"/>
      <c r="AN40" s="33"/>
      <c r="AO40" s="33"/>
    </row>
    <row r="41" s="15" customFormat="1" customHeight="1" spans="1:42">
      <c r="A41" s="108">
        <v>46227</v>
      </c>
      <c r="B41" s="43"/>
      <c r="C41" s="269" t="s">
        <v>237</v>
      </c>
      <c r="D41" s="275" t="s">
        <v>427</v>
      </c>
      <c r="E41" s="285" t="s">
        <v>438</v>
      </c>
      <c r="F41" s="270">
        <v>10133459</v>
      </c>
      <c r="G41" s="297" t="s">
        <v>360</v>
      </c>
      <c r="H41" s="253" t="s">
        <v>193</v>
      </c>
      <c r="I41" s="32" t="str">
        <f>IFERROR(VLOOKUP(H41,名称!A:C,2,0),"")</f>
        <v> 沙河交通工具两件套</v>
      </c>
      <c r="J41" s="282">
        <v>10008</v>
      </c>
      <c r="K41" s="32">
        <v>12</v>
      </c>
      <c r="L41" s="33">
        <f t="shared" si="7"/>
        <v>834</v>
      </c>
      <c r="M41" s="108">
        <v>46323</v>
      </c>
      <c r="N41" s="284">
        <f t="shared" si="1"/>
        <v>46321</v>
      </c>
      <c r="O41" s="108"/>
      <c r="P41" s="275" t="s">
        <v>542</v>
      </c>
      <c r="Q41" s="253" t="s">
        <v>430</v>
      </c>
      <c r="R41" s="30"/>
      <c r="S41" s="108"/>
      <c r="T41" s="275" t="s">
        <v>452</v>
      </c>
      <c r="U41" s="108"/>
      <c r="V41" s="108"/>
      <c r="W41" s="30"/>
      <c r="X41" s="33"/>
      <c r="Y41" s="92">
        <v>2.215</v>
      </c>
      <c r="Z41" s="115">
        <f t="shared" si="2"/>
        <v>22167.72</v>
      </c>
      <c r="AA41" s="115">
        <f t="shared" si="3"/>
        <v>171799.83</v>
      </c>
      <c r="AB41" s="58"/>
      <c r="AC41" s="108"/>
      <c r="AD41" s="108"/>
      <c r="AE41" s="275" t="s">
        <v>128</v>
      </c>
      <c r="AF41" s="32"/>
      <c r="AG41" s="32"/>
      <c r="AH41" s="134"/>
      <c r="AI41" s="134"/>
      <c r="AJ41" s="134"/>
      <c r="AK41" s="134"/>
      <c r="AL41" s="134"/>
      <c r="AM41" s="134"/>
      <c r="AN41" s="33"/>
      <c r="AO41" s="33"/>
    </row>
    <row r="42" s="15" customFormat="1" customHeight="1" spans="1:42">
      <c r="A42" s="108">
        <v>46227</v>
      </c>
      <c r="B42" s="43"/>
      <c r="C42" s="269" t="s">
        <v>237</v>
      </c>
      <c r="D42" s="275" t="s">
        <v>427</v>
      </c>
      <c r="E42" s="285" t="s">
        <v>438</v>
      </c>
      <c r="F42" s="270">
        <v>10133459</v>
      </c>
      <c r="G42" s="297" t="s">
        <v>360</v>
      </c>
      <c r="H42" s="253" t="s">
        <v>191</v>
      </c>
      <c r="I42" s="32" t="str">
        <f>IFERROR(VLOOKUP(H42,名称!A:C,2,0),"")</f>
        <v>沙河交通工具两件套</v>
      </c>
      <c r="J42" s="282">
        <v>5000</v>
      </c>
      <c r="K42" s="32">
        <v>4</v>
      </c>
      <c r="L42" s="33">
        <f t="shared" si="7"/>
        <v>1250</v>
      </c>
      <c r="M42" s="108">
        <v>46323</v>
      </c>
      <c r="N42" s="284">
        <f t="shared" si="1"/>
        <v>46321</v>
      </c>
      <c r="O42" s="108"/>
      <c r="P42" s="275" t="s">
        <v>542</v>
      </c>
      <c r="Q42" s="253" t="s">
        <v>430</v>
      </c>
      <c r="R42" s="30"/>
      <c r="S42" s="108"/>
      <c r="T42" s="275" t="s">
        <v>452</v>
      </c>
      <c r="U42" s="108"/>
      <c r="V42" s="108"/>
      <c r="W42" s="30"/>
      <c r="X42" s="33"/>
      <c r="Y42" s="92">
        <v>2.215</v>
      </c>
      <c r="Z42" s="115">
        <f t="shared" si="2"/>
        <v>11075</v>
      </c>
      <c r="AA42" s="115">
        <f t="shared" si="3"/>
        <v>85831.25</v>
      </c>
      <c r="AB42" s="58"/>
      <c r="AC42" s="108"/>
      <c r="AD42" s="108"/>
      <c r="AE42" s="275" t="s">
        <v>128</v>
      </c>
      <c r="AF42" s="32"/>
      <c r="AG42" s="32"/>
      <c r="AH42" s="134"/>
      <c r="AI42" s="134"/>
      <c r="AJ42" s="134"/>
      <c r="AK42" s="134"/>
      <c r="AL42" s="134"/>
      <c r="AM42" s="134"/>
      <c r="AN42" s="33"/>
      <c r="AO42" s="33"/>
    </row>
    <row r="43" s="15" customFormat="1" customHeight="1" spans="1:42">
      <c r="A43" s="108">
        <v>46232</v>
      </c>
      <c r="B43" s="43"/>
      <c r="C43" s="287" t="s">
        <v>236</v>
      </c>
      <c r="D43" s="275" t="s">
        <v>442</v>
      </c>
      <c r="E43" s="285" t="s">
        <v>443</v>
      </c>
      <c r="F43" s="270">
        <v>10133690</v>
      </c>
      <c r="G43" s="297">
        <v>20219287</v>
      </c>
      <c r="H43" s="253" t="s">
        <v>226</v>
      </c>
      <c r="I43" s="288" t="s">
        <v>554</v>
      </c>
      <c r="J43" s="282">
        <v>1000</v>
      </c>
      <c r="K43" s="32">
        <v>4</v>
      </c>
      <c r="L43" s="33">
        <f t="shared" si="7"/>
        <v>250</v>
      </c>
      <c r="M43" s="108">
        <v>46330</v>
      </c>
      <c r="N43" s="284">
        <f t="shared" si="1"/>
        <v>46328</v>
      </c>
      <c r="O43" s="108"/>
      <c r="P43" s="275" t="s">
        <v>550</v>
      </c>
      <c r="Q43" s="253" t="s">
        <v>430</v>
      </c>
      <c r="R43" s="30"/>
      <c r="S43" s="108"/>
      <c r="T43" s="275" t="s">
        <v>452</v>
      </c>
      <c r="U43" s="108"/>
      <c r="V43" s="108"/>
      <c r="W43" s="30"/>
      <c r="X43" s="33"/>
      <c r="Y43" s="303">
        <v>2.503</v>
      </c>
      <c r="Z43" s="115">
        <f t="shared" si="2"/>
        <v>2503</v>
      </c>
      <c r="AA43" s="115">
        <f t="shared" si="3"/>
        <v>19398.25</v>
      </c>
      <c r="AB43" s="58"/>
      <c r="AC43" s="108"/>
      <c r="AD43" s="108"/>
      <c r="AE43" s="275" t="s">
        <v>128</v>
      </c>
      <c r="AF43" s="32"/>
      <c r="AG43" s="32"/>
      <c r="AH43" s="134"/>
      <c r="AI43" s="134"/>
      <c r="AJ43" s="134"/>
      <c r="AK43" s="134"/>
      <c r="AL43" s="134"/>
      <c r="AM43" s="134"/>
      <c r="AN43" s="33"/>
      <c r="AO43" s="33"/>
    </row>
    <row r="44" s="15" customFormat="1" ht="42.75" customHeight="1" spans="1:42">
      <c r="A44" s="108">
        <v>46233</v>
      </c>
      <c r="B44" s="43"/>
      <c r="C44" s="294" t="s">
        <v>235</v>
      </c>
      <c r="D44" s="275" t="s">
        <v>421</v>
      </c>
      <c r="E44" s="285" t="s">
        <v>428</v>
      </c>
      <c r="F44" s="270">
        <v>10133891</v>
      </c>
      <c r="G44" s="297">
        <v>4500033143</v>
      </c>
      <c r="H44" s="253" t="s">
        <v>227</v>
      </c>
      <c r="I44" s="288" t="s">
        <v>555</v>
      </c>
      <c r="J44" s="282">
        <v>3000</v>
      </c>
      <c r="K44" s="32">
        <v>4</v>
      </c>
      <c r="L44" s="33">
        <f t="shared" si="7"/>
        <v>750</v>
      </c>
      <c r="M44" s="108">
        <v>46337</v>
      </c>
      <c r="N44" s="284">
        <f t="shared" si="1"/>
        <v>46335</v>
      </c>
      <c r="O44" s="108"/>
      <c r="P44" s="108" t="s">
        <v>556</v>
      </c>
      <c r="Q44" s="253" t="s">
        <v>424</v>
      </c>
      <c r="R44" s="30"/>
      <c r="S44" s="108"/>
      <c r="T44" s="275" t="s">
        <v>557</v>
      </c>
      <c r="U44" s="108"/>
      <c r="V44" s="108"/>
      <c r="W44" s="30"/>
      <c r="X44" s="304" t="s">
        <v>558</v>
      </c>
      <c r="Y44" s="92">
        <v>5.702</v>
      </c>
      <c r="Z44" s="115">
        <f t="shared" si="2"/>
        <v>17106</v>
      </c>
      <c r="AA44" s="115">
        <f t="shared" si="3"/>
        <v>132571.5</v>
      </c>
      <c r="AB44" s="58"/>
      <c r="AC44" s="108"/>
      <c r="AD44" s="108"/>
      <c r="AE44" s="275" t="s">
        <v>128</v>
      </c>
      <c r="AF44" s="32"/>
      <c r="AG44" s="32"/>
      <c r="AH44" s="134"/>
      <c r="AI44" s="134"/>
      <c r="AJ44" s="134"/>
      <c r="AK44" s="134"/>
      <c r="AL44" s="134"/>
      <c r="AM44" s="134"/>
      <c r="AN44" s="33"/>
      <c r="AO44" s="33"/>
    </row>
    <row r="45" s="15" customFormat="1" customHeight="1" spans="1:42">
      <c r="A45" s="302">
        <v>46238</v>
      </c>
      <c r="B45" s="77"/>
      <c r="C45" s="300" t="s">
        <v>237</v>
      </c>
      <c r="D45" s="299" t="s">
        <v>427</v>
      </c>
      <c r="E45" s="300" t="s">
        <v>422</v>
      </c>
      <c r="F45" s="270">
        <v>10134547</v>
      </c>
      <c r="G45" s="297" t="s">
        <v>362</v>
      </c>
      <c r="H45" s="253" t="s">
        <v>226</v>
      </c>
      <c r="I45" s="288" t="s">
        <v>554</v>
      </c>
      <c r="J45" s="282">
        <v>5000</v>
      </c>
      <c r="K45" s="32">
        <v>4</v>
      </c>
      <c r="L45" s="33">
        <f t="shared" si="7"/>
        <v>1250</v>
      </c>
      <c r="M45" s="305">
        <v>46323</v>
      </c>
      <c r="N45" s="284">
        <f t="shared" si="1"/>
        <v>46321</v>
      </c>
      <c r="O45" s="306"/>
      <c r="P45" s="275" t="s">
        <v>550</v>
      </c>
      <c r="Q45" s="253" t="s">
        <v>430</v>
      </c>
      <c r="R45" s="307"/>
      <c r="S45" s="306"/>
      <c r="T45" s="275" t="s">
        <v>452</v>
      </c>
      <c r="U45" s="306"/>
      <c r="V45" s="306"/>
      <c r="W45" s="307"/>
      <c r="X45" s="308"/>
      <c r="Y45" s="303">
        <v>2.503</v>
      </c>
      <c r="Z45" s="115">
        <f t="shared" si="2"/>
        <v>12515</v>
      </c>
      <c r="AA45" s="115">
        <f t="shared" si="3"/>
        <v>96991.25</v>
      </c>
      <c r="AB45" s="85"/>
      <c r="AC45" s="306"/>
      <c r="AD45" s="306"/>
      <c r="AE45" s="275" t="s">
        <v>128</v>
      </c>
      <c r="AF45" s="309"/>
      <c r="AG45" s="309"/>
      <c r="AH45" s="310"/>
      <c r="AI45" s="311"/>
      <c r="AJ45" s="310"/>
      <c r="AK45" s="311"/>
      <c r="AL45" s="311"/>
      <c r="AM45" s="311"/>
      <c r="AN45" s="311"/>
      <c r="AO45" s="308"/>
      <c r="AP45" s="308"/>
    </row>
    <row r="46" s="15" customFormat="1" customHeight="1" spans="1:42">
      <c r="A46" s="108">
        <v>46239</v>
      </c>
      <c r="B46" s="43"/>
      <c r="C46" s="109"/>
      <c r="D46" s="109"/>
      <c r="E46" s="109"/>
      <c r="F46" s="253" t="s">
        <v>559</v>
      </c>
      <c r="G46" s="110"/>
      <c r="H46" s="253" t="s">
        <v>84</v>
      </c>
      <c r="I46" s="288" t="s">
        <v>560</v>
      </c>
      <c r="J46" s="31">
        <v>200</v>
      </c>
      <c r="K46" s="31">
        <v>6</v>
      </c>
      <c r="L46" s="33">
        <v>34</v>
      </c>
      <c r="M46" s="108">
        <v>46260</v>
      </c>
      <c r="N46" s="108">
        <v>46258</v>
      </c>
      <c r="O46" s="108"/>
      <c r="P46" s="30"/>
      <c r="Q46" s="30"/>
      <c r="R46" s="28"/>
      <c r="S46" s="108"/>
      <c r="T46" s="290"/>
      <c r="U46" s="30"/>
      <c r="W46" s="111"/>
      <c r="X46" s="290" t="s">
        <v>561</v>
      </c>
      <c r="Y46" s="115"/>
      <c r="Z46" s="58"/>
      <c r="AA46" s="108"/>
      <c r="AB46" s="33"/>
      <c r="AC46" s="108" t="str">
        <f>IFERROR(VLOOKUP(H46,[3]名称!A:D,4,0),"")</f>
        <v/>
      </c>
      <c r="AD46" s="108"/>
      <c r="AE46" s="41"/>
      <c r="AF46" s="41"/>
      <c r="AG46" s="41"/>
      <c r="AH46" s="41"/>
      <c r="AI46" s="41"/>
      <c r="AJ46" s="41"/>
      <c r="AK46" s="41"/>
    </row>
    <row r="47" s="15" customFormat="1" customHeight="1" spans="1:42">
      <c r="A47" s="108"/>
      <c r="B47" s="43"/>
      <c r="C47" s="294"/>
      <c r="D47" s="108"/>
      <c r="E47" s="109"/>
      <c r="F47" s="110"/>
      <c r="G47" s="110"/>
      <c r="H47" s="30"/>
      <c r="I47" s="32"/>
      <c r="J47" s="282"/>
      <c r="K47" s="32"/>
      <c r="L47" s="33"/>
      <c r="M47" s="108"/>
      <c r="N47" s="284"/>
      <c r="O47" s="108"/>
      <c r="P47" s="108"/>
      <c r="Q47" s="30"/>
      <c r="R47" s="30"/>
      <c r="S47" s="108"/>
      <c r="T47" s="108"/>
      <c r="U47" s="108"/>
      <c r="V47" s="108"/>
      <c r="W47" s="30"/>
      <c r="X47" s="33"/>
      <c r="Y47" s="92"/>
      <c r="Z47" s="115"/>
      <c r="AA47" s="115"/>
      <c r="AB47" s="58"/>
      <c r="AC47" s="108"/>
      <c r="AD47" s="108"/>
      <c r="AE47" s="108"/>
      <c r="AF47" s="32"/>
      <c r="AG47" s="32"/>
      <c r="AH47" s="134"/>
      <c r="AI47" s="134"/>
      <c r="AJ47" s="134"/>
      <c r="AK47" s="134"/>
      <c r="AL47" s="134"/>
      <c r="AM47" s="134"/>
      <c r="AN47" s="33"/>
      <c r="AO47" s="33"/>
    </row>
    <row r="48" s="15" customFormat="1" customHeight="1" spans="1:42">
      <c r="A48" s="108"/>
      <c r="B48" s="43"/>
      <c r="C48" s="294"/>
      <c r="D48" s="108"/>
      <c r="E48" s="109"/>
      <c r="F48" s="110"/>
      <c r="G48" s="110"/>
      <c r="H48" s="30"/>
      <c r="I48" s="32"/>
      <c r="J48" s="282"/>
      <c r="K48" s="32"/>
      <c r="L48" s="33"/>
      <c r="M48" s="108"/>
      <c r="N48" s="284"/>
      <c r="O48" s="108"/>
      <c r="P48" s="108"/>
      <c r="Q48" s="30"/>
      <c r="R48" s="30"/>
      <c r="S48" s="108"/>
      <c r="T48" s="108"/>
      <c r="U48" s="108"/>
      <c r="V48" s="108"/>
      <c r="W48" s="30"/>
      <c r="X48" s="33"/>
      <c r="Y48" s="92"/>
      <c r="Z48" s="115"/>
      <c r="AA48" s="115"/>
      <c r="AB48" s="58"/>
      <c r="AC48" s="108"/>
      <c r="AD48" s="108"/>
      <c r="AE48" s="108"/>
      <c r="AF48" s="32"/>
      <c r="AG48" s="32"/>
      <c r="AH48" s="134"/>
      <c r="AI48" s="134"/>
      <c r="AJ48" s="134"/>
      <c r="AK48" s="134"/>
      <c r="AL48" s="134"/>
      <c r="AM48" s="134"/>
      <c r="AN48" s="33"/>
      <c r="AO48" s="33"/>
    </row>
    <row r="49" s="15" customFormat="1" customHeight="1" spans="1:41">
      <c r="A49" s="113"/>
      <c r="B49" s="312"/>
      <c r="C49" s="30"/>
      <c r="D49" s="113"/>
      <c r="E49" s="30"/>
      <c r="F49" s="30"/>
      <c r="G49" s="110"/>
      <c r="H49" s="30"/>
      <c r="I49" s="30" t="s">
        <v>517</v>
      </c>
      <c r="J49" s="33">
        <f>SUM(J2:J23)</f>
        <v>79122</v>
      </c>
      <c r="K49" s="313"/>
      <c r="L49" s="313"/>
      <c r="M49" s="113"/>
      <c r="N49" s="113"/>
      <c r="O49" s="113"/>
      <c r="P49" s="113"/>
      <c r="Q49" s="30"/>
      <c r="R49" s="30"/>
      <c r="S49" s="113"/>
      <c r="T49" s="113"/>
      <c r="U49" s="113"/>
      <c r="V49" s="113"/>
      <c r="W49" s="30"/>
      <c r="X49" s="34"/>
      <c r="Y49" s="92"/>
      <c r="Z49" s="35">
        <f>SUM(Z2:Z48)</f>
        <v>904154.48</v>
      </c>
      <c r="AA49" s="35">
        <f>SUM(AA2:AA48)</f>
        <v>7007197.23</v>
      </c>
      <c r="AB49" s="58"/>
      <c r="AC49" s="113"/>
      <c r="AD49" s="113"/>
      <c r="AE49" s="113"/>
      <c r="AF49" s="30"/>
      <c r="AG49" s="30"/>
      <c r="AH49" s="314"/>
      <c r="AI49" s="314"/>
      <c r="AJ49" s="314"/>
      <c r="AK49" s="314"/>
      <c r="AL49" s="134"/>
      <c r="AM49" s="134"/>
      <c r="AN49" s="42"/>
      <c r="AO49" s="42"/>
    </row>
    <row r="50" customHeight="1" spans="1:41">
      <c r="H50" s="315"/>
      <c r="AN50" s="15"/>
      <c r="AO50" s="15"/>
    </row>
    <row r="51" customHeight="1" spans="1:41">
      <c r="AN51" s="15"/>
      <c r="AO51" s="15"/>
    </row>
    <row r="52" customHeight="1" spans="1:41">
      <c r="AN52" s="15"/>
      <c r="AO52" s="15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P52" etc:filterBottomFollowUsedRange="1">
    <extLst/>
  </autoFilter>
  <sortState ref="A2:AO44">
    <sortCondition ref="A1"/>
  </sortState>
  <conditionalFormatting sqref="AO45">
    <cfRule type="cellIs" dxfId="1" priority="2" operator="lessThan">
      <formula>90</formula>
    </cfRule>
  </conditionalFormatting>
  <conditionalFormatting sqref="AP45">
    <cfRule type="cellIs" dxfId="0" priority="1" operator="lessThan">
      <formula>55</formula>
    </cfRule>
  </conditionalFormatting>
  <conditionalFormatting sqref="AN2:AN3">
    <cfRule type="cellIs" dxfId="1" priority="282" operator="lessThan">
      <formula>90</formula>
    </cfRule>
  </conditionalFormatting>
  <conditionalFormatting sqref="AN4:AN37">
    <cfRule type="cellIs" dxfId="1" priority="162" operator="lessThan">
      <formula>90</formula>
    </cfRule>
  </conditionalFormatting>
  <conditionalFormatting sqref="AO2:AO3">
    <cfRule type="cellIs" dxfId="0" priority="281" operator="lessThan">
      <formula>55</formula>
    </cfRule>
  </conditionalFormatting>
  <conditionalFormatting sqref="AO4:AO37">
    <cfRule type="cellIs" dxfId="0" priority="161" operator="lessThan">
      <formula>55</formula>
    </cfRule>
  </conditionalFormatting>
  <conditionalFormatting sqref="AP22:AP44 AP46:AP48">
    <cfRule type="cellIs" dxfId="0" priority="3" operator="lessThan">
      <formula>55</formula>
    </cfRule>
  </conditionalFormatting>
  <conditionalFormatting sqref="AO38:AO44 AO46:AO48">
    <cfRule type="cellIs" dxfId="1" priority="4" operator="lessThan">
      <formula>90</formula>
    </cfRule>
  </conditionalFormatting>
  <pageMargins left="0.196527777777778" right="0.161111111111111" top="0.0152777777777778" bottom="0.354166666666667" header="0.156944444444444" footer="0.118055555555556"/>
  <pageSetup paperSize="9" scale="40" fitToHeight="0" orientation="landscape" horizontalDpi="600"/>
  <headerFooter>
    <oddFooter>&amp;C第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workbookViewId="0">
      <selection activeCell="M6" sqref="M6"/>
    </sheetView>
  </sheetViews>
  <sheetFormatPr defaultColWidth="8.1" defaultRowHeight="14.25"/>
  <cols>
    <col min="1" max="1" width="7.2" customWidth="1"/>
    <col min="2" max="4" width="12.6" customWidth="1"/>
    <col min="5" max="5" width="9" customWidth="1"/>
    <col min="6" max="6" width="14.4" customWidth="1"/>
    <col min="7" max="7" width="25.2" customWidth="1"/>
  </cols>
  <sheetData>
    <row r="1" s="223" customFormat="1" ht="38" customHeight="1" spans="1:7">
      <c r="A1" s="224" t="s">
        <v>562</v>
      </c>
      <c r="B1" s="224"/>
      <c r="C1" s="224"/>
      <c r="D1" s="224"/>
      <c r="E1" s="224"/>
      <c r="F1" s="224"/>
      <c r="G1" s="224"/>
    </row>
    <row r="2" s="223" customFormat="1" ht="28" customHeight="1" spans="1:7">
      <c r="A2" s="225" t="s">
        <v>563</v>
      </c>
      <c r="B2" s="225" t="s">
        <v>564</v>
      </c>
      <c r="C2" s="225" t="s">
        <v>203</v>
      </c>
      <c r="D2" s="225" t="s">
        <v>565</v>
      </c>
      <c r="E2" s="225" t="s">
        <v>566</v>
      </c>
      <c r="F2" s="225" t="s">
        <v>567</v>
      </c>
      <c r="G2" s="225" t="s">
        <v>400</v>
      </c>
    </row>
    <row r="3" s="223" customFormat="1" ht="22" customHeight="1" spans="1:7">
      <c r="A3" s="226">
        <v>1</v>
      </c>
      <c r="B3" s="227">
        <v>10118393</v>
      </c>
      <c r="C3" s="226" t="s">
        <v>48</v>
      </c>
      <c r="D3" s="228">
        <v>46092</v>
      </c>
      <c r="E3" s="226" t="s">
        <v>568</v>
      </c>
      <c r="F3" s="229">
        <f>D3-25</f>
        <v>46067</v>
      </c>
      <c r="G3" s="230" t="s">
        <v>569</v>
      </c>
    </row>
    <row r="4" s="223" customFormat="1" ht="22" customHeight="1" spans="1:7">
      <c r="A4" s="226">
        <v>2</v>
      </c>
      <c r="B4" s="227">
        <v>10120677</v>
      </c>
      <c r="C4" s="226" t="s">
        <v>136</v>
      </c>
      <c r="D4" s="226" t="s">
        <v>570</v>
      </c>
      <c r="E4" s="226" t="s">
        <v>568</v>
      </c>
      <c r="F4" s="229">
        <f t="shared" ref="F4:F42" si="0">D4-25</f>
        <v>46088</v>
      </c>
      <c r="G4" s="230" t="s">
        <v>571</v>
      </c>
    </row>
    <row r="5" s="223" customFormat="1" ht="22" customHeight="1" spans="1:7">
      <c r="A5" s="226">
        <v>3</v>
      </c>
      <c r="B5" s="227">
        <v>10116164</v>
      </c>
      <c r="C5" s="226" t="s">
        <v>39</v>
      </c>
      <c r="D5" s="226" t="s">
        <v>570</v>
      </c>
      <c r="E5" s="226" t="s">
        <v>568</v>
      </c>
      <c r="F5" s="229">
        <f t="shared" si="0"/>
        <v>46088</v>
      </c>
      <c r="G5" s="230" t="s">
        <v>572</v>
      </c>
    </row>
    <row r="6" s="223" customFormat="1" ht="22" customHeight="1" spans="1:7">
      <c r="A6" s="226">
        <v>4</v>
      </c>
      <c r="B6" s="227">
        <v>10118279</v>
      </c>
      <c r="C6" s="226" t="s">
        <v>573</v>
      </c>
      <c r="D6" s="226" t="s">
        <v>570</v>
      </c>
      <c r="E6" s="226" t="s">
        <v>568</v>
      </c>
      <c r="F6" s="229">
        <f t="shared" si="0"/>
        <v>46088</v>
      </c>
      <c r="G6" s="230" t="s">
        <v>572</v>
      </c>
    </row>
    <row r="7" s="223" customFormat="1" ht="22" customHeight="1" spans="1:7">
      <c r="A7" s="226">
        <v>5</v>
      </c>
      <c r="B7" s="227">
        <v>10120342</v>
      </c>
      <c r="C7" s="226" t="s">
        <v>115</v>
      </c>
      <c r="D7" s="226" t="s">
        <v>574</v>
      </c>
      <c r="E7" s="226" t="s">
        <v>568</v>
      </c>
      <c r="F7" s="229">
        <f t="shared" si="0"/>
        <v>46098</v>
      </c>
      <c r="G7" s="230" t="s">
        <v>575</v>
      </c>
    </row>
    <row r="8" s="223" customFormat="1" ht="22" customHeight="1" spans="1:7">
      <c r="A8" s="226">
        <v>6</v>
      </c>
      <c r="B8" s="227">
        <v>10118943</v>
      </c>
      <c r="C8" s="226" t="s">
        <v>576</v>
      </c>
      <c r="D8" s="226" t="s">
        <v>577</v>
      </c>
      <c r="E8" s="226" t="s">
        <v>578</v>
      </c>
      <c r="F8" s="229">
        <f t="shared" si="0"/>
        <v>46109</v>
      </c>
      <c r="G8" s="230" t="s">
        <v>572</v>
      </c>
    </row>
    <row r="9" s="223" customFormat="1" ht="22" customHeight="1" spans="1:7">
      <c r="A9" s="226">
        <v>7</v>
      </c>
      <c r="B9" s="227">
        <v>10119984</v>
      </c>
      <c r="C9" s="226" t="s">
        <v>113</v>
      </c>
      <c r="D9" s="226" t="s">
        <v>579</v>
      </c>
      <c r="E9" s="226" t="s">
        <v>568</v>
      </c>
      <c r="F9" s="229">
        <f t="shared" si="0"/>
        <v>46123</v>
      </c>
      <c r="G9" s="230" t="s">
        <v>580</v>
      </c>
    </row>
    <row r="10" s="223" customFormat="1" ht="22" customHeight="1" spans="1:7">
      <c r="A10" s="226">
        <v>8</v>
      </c>
      <c r="B10" s="227">
        <v>10119985</v>
      </c>
      <c r="C10" s="226" t="s">
        <v>105</v>
      </c>
      <c r="D10" s="226" t="s">
        <v>579</v>
      </c>
      <c r="E10" s="226" t="s">
        <v>568</v>
      </c>
      <c r="F10" s="229">
        <f t="shared" si="0"/>
        <v>46123</v>
      </c>
      <c r="G10" s="230" t="s">
        <v>581</v>
      </c>
    </row>
    <row r="11" s="223" customFormat="1" ht="22" customHeight="1" spans="1:7">
      <c r="A11" s="226">
        <v>9</v>
      </c>
      <c r="B11" s="227">
        <v>10119986</v>
      </c>
      <c r="C11" s="226" t="s">
        <v>107</v>
      </c>
      <c r="D11" s="226" t="s">
        <v>579</v>
      </c>
      <c r="E11" s="226" t="s">
        <v>568</v>
      </c>
      <c r="F11" s="229">
        <f t="shared" si="0"/>
        <v>46123</v>
      </c>
      <c r="G11" s="230" t="s">
        <v>581</v>
      </c>
    </row>
    <row r="12" s="223" customFormat="1" ht="22" customHeight="1" spans="1:7">
      <c r="A12" s="226">
        <v>10</v>
      </c>
      <c r="B12" s="227">
        <v>10116494</v>
      </c>
      <c r="C12" s="226" t="s">
        <v>120</v>
      </c>
      <c r="D12" s="226" t="s">
        <v>582</v>
      </c>
      <c r="E12" s="226" t="s">
        <v>568</v>
      </c>
      <c r="F12" s="229">
        <f t="shared" si="0"/>
        <v>46130</v>
      </c>
      <c r="G12" s="230" t="s">
        <v>583</v>
      </c>
    </row>
    <row r="13" s="223" customFormat="1" ht="22" customHeight="1" spans="1:7">
      <c r="A13" s="226">
        <v>11</v>
      </c>
      <c r="B13" s="227">
        <v>10116495</v>
      </c>
      <c r="C13" s="226" t="s">
        <v>118</v>
      </c>
      <c r="D13" s="226" t="s">
        <v>582</v>
      </c>
      <c r="E13" s="226" t="s">
        <v>568</v>
      </c>
      <c r="F13" s="229">
        <f t="shared" si="0"/>
        <v>46130</v>
      </c>
      <c r="G13" s="230" t="s">
        <v>583</v>
      </c>
    </row>
    <row r="14" s="223" customFormat="1" ht="22" customHeight="1" spans="1:7">
      <c r="A14" s="226">
        <v>12</v>
      </c>
      <c r="B14" s="227">
        <v>10121464</v>
      </c>
      <c r="C14" s="226" t="s">
        <v>88</v>
      </c>
      <c r="D14" s="226" t="s">
        <v>582</v>
      </c>
      <c r="E14" s="226" t="s">
        <v>568</v>
      </c>
      <c r="F14" s="229">
        <f t="shared" si="0"/>
        <v>46130</v>
      </c>
      <c r="G14" s="231" t="s">
        <v>584</v>
      </c>
    </row>
    <row r="15" s="223" customFormat="1" ht="22" customHeight="1" spans="1:7">
      <c r="A15" s="226">
        <v>13</v>
      </c>
      <c r="B15" s="227">
        <v>10122742</v>
      </c>
      <c r="C15" s="226" t="s">
        <v>81</v>
      </c>
      <c r="D15" s="226" t="s">
        <v>585</v>
      </c>
      <c r="E15" s="226" t="s">
        <v>578</v>
      </c>
      <c r="F15" s="229">
        <f t="shared" si="0"/>
        <v>46137</v>
      </c>
      <c r="G15" s="231" t="s">
        <v>586</v>
      </c>
    </row>
    <row r="16" s="223" customFormat="1" ht="22" customHeight="1" spans="1:7">
      <c r="A16" s="226">
        <v>14</v>
      </c>
      <c r="B16" s="227">
        <v>10125186</v>
      </c>
      <c r="C16" s="226" t="s">
        <v>148</v>
      </c>
      <c r="D16" s="226" t="s">
        <v>585</v>
      </c>
      <c r="E16" s="226" t="s">
        <v>568</v>
      </c>
      <c r="F16" s="229">
        <f t="shared" si="0"/>
        <v>46137</v>
      </c>
      <c r="G16" s="230" t="s">
        <v>583</v>
      </c>
    </row>
    <row r="17" s="223" customFormat="1" ht="22" customHeight="1" spans="1:7">
      <c r="A17" s="226">
        <v>15</v>
      </c>
      <c r="B17" s="227">
        <v>10125186</v>
      </c>
      <c r="C17" s="226" t="s">
        <v>144</v>
      </c>
      <c r="D17" s="226" t="s">
        <v>585</v>
      </c>
      <c r="E17" s="226" t="s">
        <v>568</v>
      </c>
      <c r="F17" s="229">
        <f t="shared" si="0"/>
        <v>46137</v>
      </c>
      <c r="G17" s="230" t="s">
        <v>583</v>
      </c>
    </row>
    <row r="18" s="223" customFormat="1" ht="22" customHeight="1" spans="1:7">
      <c r="A18" s="226">
        <v>16</v>
      </c>
      <c r="B18" s="227">
        <v>10122626</v>
      </c>
      <c r="C18" s="226" t="s">
        <v>155</v>
      </c>
      <c r="D18" s="226" t="s">
        <v>587</v>
      </c>
      <c r="E18" s="226" t="s">
        <v>568</v>
      </c>
      <c r="F18" s="229">
        <f t="shared" si="0"/>
        <v>46144</v>
      </c>
      <c r="G18" s="231" t="s">
        <v>588</v>
      </c>
    </row>
    <row r="19" s="223" customFormat="1" ht="22" customHeight="1" spans="1:7">
      <c r="A19" s="226">
        <v>17</v>
      </c>
      <c r="B19" s="227">
        <v>10122426</v>
      </c>
      <c r="C19" s="226" t="s">
        <v>156</v>
      </c>
      <c r="D19" s="226" t="s">
        <v>587</v>
      </c>
      <c r="E19" s="226" t="s">
        <v>578</v>
      </c>
      <c r="F19" s="229">
        <f t="shared" si="0"/>
        <v>46144</v>
      </c>
      <c r="G19" s="232" t="s">
        <v>588</v>
      </c>
    </row>
    <row r="20" s="223" customFormat="1" ht="22" customHeight="1" spans="1:7">
      <c r="A20" s="226">
        <v>18</v>
      </c>
      <c r="B20" s="227">
        <v>10122626</v>
      </c>
      <c r="C20" s="226" t="s">
        <v>160</v>
      </c>
      <c r="D20" s="226" t="s">
        <v>587</v>
      </c>
      <c r="E20" s="226" t="s">
        <v>568</v>
      </c>
      <c r="F20" s="229">
        <f t="shared" si="0"/>
        <v>46144</v>
      </c>
      <c r="G20" s="231" t="s">
        <v>589</v>
      </c>
    </row>
    <row r="21" s="223" customFormat="1" ht="22" customHeight="1" spans="1:7">
      <c r="A21" s="226">
        <v>19</v>
      </c>
      <c r="B21" s="227">
        <v>10121640</v>
      </c>
      <c r="C21" s="226" t="s">
        <v>141</v>
      </c>
      <c r="D21" s="226" t="s">
        <v>590</v>
      </c>
      <c r="E21" s="226" t="s">
        <v>568</v>
      </c>
      <c r="F21" s="229">
        <f t="shared" si="0"/>
        <v>46151</v>
      </c>
      <c r="G21" s="230" t="s">
        <v>591</v>
      </c>
    </row>
    <row r="22" s="223" customFormat="1" ht="22" customHeight="1" spans="1:7">
      <c r="A22" s="226">
        <v>20</v>
      </c>
      <c r="B22" s="227">
        <v>10122908</v>
      </c>
      <c r="C22" s="226" t="s">
        <v>161</v>
      </c>
      <c r="D22" s="226" t="s">
        <v>592</v>
      </c>
      <c r="E22" s="226" t="s">
        <v>568</v>
      </c>
      <c r="F22" s="229">
        <f t="shared" si="0"/>
        <v>46172</v>
      </c>
      <c r="G22" s="230" t="s">
        <v>593</v>
      </c>
    </row>
    <row r="23" s="223" customFormat="1" ht="22" customHeight="1" spans="1:7">
      <c r="A23" s="226">
        <v>21</v>
      </c>
      <c r="B23" s="227">
        <v>10119622</v>
      </c>
      <c r="C23" s="226" t="s">
        <v>142</v>
      </c>
      <c r="D23" s="226" t="s">
        <v>594</v>
      </c>
      <c r="E23" s="226" t="s">
        <v>568</v>
      </c>
      <c r="F23" s="229">
        <f t="shared" si="0"/>
        <v>46158</v>
      </c>
      <c r="G23" s="230" t="s">
        <v>583</v>
      </c>
    </row>
    <row r="24" s="223" customFormat="1" ht="22" customHeight="1" spans="1:7">
      <c r="A24" s="226">
        <v>22</v>
      </c>
      <c r="B24" s="227">
        <v>10123118</v>
      </c>
      <c r="C24" s="226" t="s">
        <v>158</v>
      </c>
      <c r="D24" s="226" t="s">
        <v>590</v>
      </c>
      <c r="E24" s="226" t="s">
        <v>568</v>
      </c>
      <c r="F24" s="229">
        <f t="shared" si="0"/>
        <v>46151</v>
      </c>
      <c r="G24" s="230" t="s">
        <v>595</v>
      </c>
    </row>
    <row r="25" s="223" customFormat="1" ht="22" customHeight="1" spans="1:7">
      <c r="A25" s="226">
        <v>23</v>
      </c>
      <c r="B25" s="227">
        <v>10122418</v>
      </c>
      <c r="C25" s="226" t="s">
        <v>26</v>
      </c>
      <c r="D25" s="226" t="s">
        <v>594</v>
      </c>
      <c r="E25" s="226" t="s">
        <v>578</v>
      </c>
      <c r="F25" s="229">
        <f t="shared" si="0"/>
        <v>46158</v>
      </c>
      <c r="G25" s="231" t="s">
        <v>596</v>
      </c>
    </row>
    <row r="26" s="223" customFormat="1" ht="22" customHeight="1" spans="1:7">
      <c r="A26" s="226">
        <v>24</v>
      </c>
      <c r="B26" s="227">
        <v>10122626</v>
      </c>
      <c r="C26" s="226" t="s">
        <v>154</v>
      </c>
      <c r="D26" s="226" t="s">
        <v>587</v>
      </c>
      <c r="E26" s="226" t="s">
        <v>568</v>
      </c>
      <c r="F26" s="229">
        <f t="shared" si="0"/>
        <v>46144</v>
      </c>
      <c r="G26" s="231" t="s">
        <v>597</v>
      </c>
    </row>
    <row r="27" s="223" customFormat="1" ht="22" customHeight="1" spans="1:7">
      <c r="A27" s="226">
        <v>25</v>
      </c>
      <c r="B27" s="227">
        <v>10122817</v>
      </c>
      <c r="C27" s="226" t="s">
        <v>31</v>
      </c>
      <c r="D27" s="226" t="s">
        <v>598</v>
      </c>
      <c r="E27" s="226" t="s">
        <v>568</v>
      </c>
      <c r="F27" s="229">
        <f t="shared" si="0"/>
        <v>46149</v>
      </c>
      <c r="G27" s="231" t="s">
        <v>599</v>
      </c>
    </row>
    <row r="28" s="223" customFormat="1" ht="22" customHeight="1" spans="1:7">
      <c r="A28" s="226">
        <v>26</v>
      </c>
      <c r="B28" s="227">
        <v>10122386</v>
      </c>
      <c r="C28" s="226" t="s">
        <v>35</v>
      </c>
      <c r="D28" s="226" t="s">
        <v>590</v>
      </c>
      <c r="E28" s="226" t="s">
        <v>568</v>
      </c>
      <c r="F28" s="229">
        <f t="shared" si="0"/>
        <v>46151</v>
      </c>
      <c r="G28" s="231" t="s">
        <v>600</v>
      </c>
    </row>
    <row r="29" s="223" customFormat="1" ht="22" customHeight="1" spans="1:7">
      <c r="A29" s="226">
        <v>27</v>
      </c>
      <c r="B29" s="227">
        <v>10122386</v>
      </c>
      <c r="C29" s="226" t="s">
        <v>29</v>
      </c>
      <c r="D29" s="226" t="s">
        <v>601</v>
      </c>
      <c r="E29" s="226" t="s">
        <v>568</v>
      </c>
      <c r="F29" s="229">
        <f t="shared" si="0"/>
        <v>46165</v>
      </c>
      <c r="G29" s="231" t="s">
        <v>602</v>
      </c>
    </row>
    <row r="30" s="223" customFormat="1" ht="22" customHeight="1" spans="1:7">
      <c r="A30" s="226">
        <v>28</v>
      </c>
      <c r="B30" s="227">
        <v>10119563</v>
      </c>
      <c r="C30" s="226" t="s">
        <v>62</v>
      </c>
      <c r="D30" s="226" t="s">
        <v>582</v>
      </c>
      <c r="E30" s="226" t="s">
        <v>568</v>
      </c>
      <c r="F30" s="229">
        <f t="shared" si="0"/>
        <v>46130</v>
      </c>
      <c r="G30" s="231" t="s">
        <v>603</v>
      </c>
    </row>
    <row r="31" s="223" customFormat="1" ht="22" customHeight="1" spans="1:7">
      <c r="A31" s="226">
        <v>29</v>
      </c>
      <c r="B31" s="233">
        <v>10123756</v>
      </c>
      <c r="C31" s="234" t="s">
        <v>95</v>
      </c>
      <c r="D31" s="234" t="s">
        <v>604</v>
      </c>
      <c r="E31" s="234" t="s">
        <v>568</v>
      </c>
      <c r="F31" s="229">
        <f t="shared" si="0"/>
        <v>46179</v>
      </c>
      <c r="G31" s="235" t="s">
        <v>605</v>
      </c>
    </row>
    <row r="32" s="223" customFormat="1" ht="22" customHeight="1" spans="1:7">
      <c r="A32" s="226">
        <v>30</v>
      </c>
      <c r="B32" s="233">
        <v>10116691</v>
      </c>
      <c r="C32" s="234" t="s">
        <v>126</v>
      </c>
      <c r="D32" s="234" t="s">
        <v>606</v>
      </c>
      <c r="E32" s="234" t="s">
        <v>568</v>
      </c>
      <c r="F32" s="229">
        <f t="shared" si="0"/>
        <v>46207</v>
      </c>
      <c r="G32" s="235" t="s">
        <v>607</v>
      </c>
    </row>
    <row r="33" s="223" customFormat="1" ht="22" customHeight="1" spans="1:11">
      <c r="A33" s="226">
        <v>31</v>
      </c>
      <c r="B33" s="233">
        <v>10121532</v>
      </c>
      <c r="C33" s="234" t="s">
        <v>14</v>
      </c>
      <c r="D33" s="234" t="s">
        <v>608</v>
      </c>
      <c r="E33" s="234" t="s">
        <v>578</v>
      </c>
      <c r="F33" s="229">
        <f t="shared" si="0"/>
        <v>46186</v>
      </c>
      <c r="G33" s="235" t="s">
        <v>476</v>
      </c>
    </row>
    <row r="34" s="223" customFormat="1" ht="22" customHeight="1" spans="1:11">
      <c r="A34" s="226">
        <v>32</v>
      </c>
      <c r="B34" s="236">
        <v>10123136</v>
      </c>
      <c r="C34" s="234" t="s">
        <v>163</v>
      </c>
      <c r="D34" s="234" t="s">
        <v>609</v>
      </c>
      <c r="E34" s="234" t="s">
        <v>568</v>
      </c>
      <c r="F34" s="229">
        <f t="shared" si="0"/>
        <v>46235</v>
      </c>
      <c r="G34" s="235" t="s">
        <v>610</v>
      </c>
    </row>
    <row r="35" s="223" customFormat="1" ht="22" customHeight="1" spans="1:11">
      <c r="A35" s="226">
        <v>33</v>
      </c>
      <c r="B35" s="233">
        <v>10123487</v>
      </c>
      <c r="C35" s="234" t="s">
        <v>165</v>
      </c>
      <c r="D35" s="234" t="s">
        <v>611</v>
      </c>
      <c r="E35" s="234" t="s">
        <v>568</v>
      </c>
      <c r="F35" s="229">
        <f t="shared" si="0"/>
        <v>46221</v>
      </c>
      <c r="G35" s="237" t="s">
        <v>467</v>
      </c>
    </row>
    <row r="36" s="223" customFormat="1" ht="22" customHeight="1" spans="1:11">
      <c r="A36" s="226">
        <v>34</v>
      </c>
      <c r="B36" s="233">
        <v>10118546</v>
      </c>
      <c r="C36" s="234" t="s">
        <v>137</v>
      </c>
      <c r="D36" s="238">
        <v>46253</v>
      </c>
      <c r="E36" s="234" t="s">
        <v>568</v>
      </c>
      <c r="F36" s="229">
        <f t="shared" si="0"/>
        <v>46228</v>
      </c>
      <c r="G36" s="237" t="s">
        <v>612</v>
      </c>
    </row>
    <row r="37" s="223" customFormat="1" ht="22" customHeight="1" spans="1:11">
      <c r="A37" s="226">
        <v>35</v>
      </c>
      <c r="B37" s="233">
        <v>10125945</v>
      </c>
      <c r="C37" s="234" t="s">
        <v>53</v>
      </c>
      <c r="D37" s="234" t="s">
        <v>613</v>
      </c>
      <c r="E37" s="234" t="s">
        <v>568</v>
      </c>
      <c r="F37" s="229">
        <f t="shared" si="0"/>
        <v>46214</v>
      </c>
      <c r="G37" s="235" t="s">
        <v>614</v>
      </c>
    </row>
    <row r="38" s="223" customFormat="1" ht="22" customHeight="1" spans="1:11">
      <c r="A38" s="226">
        <v>36</v>
      </c>
      <c r="B38" s="233">
        <v>10123059</v>
      </c>
      <c r="C38" s="234" t="s">
        <v>115</v>
      </c>
      <c r="D38" s="229">
        <v>46190</v>
      </c>
      <c r="E38" s="234" t="s">
        <v>568</v>
      </c>
      <c r="F38" s="229">
        <f t="shared" si="0"/>
        <v>46165</v>
      </c>
      <c r="G38" s="235" t="s">
        <v>605</v>
      </c>
    </row>
    <row r="39" s="223" customFormat="1" ht="22" customHeight="1" spans="1:11">
      <c r="A39" s="226">
        <v>37</v>
      </c>
      <c r="B39" s="233">
        <v>10116691</v>
      </c>
      <c r="C39" s="234" t="s">
        <v>126</v>
      </c>
      <c r="D39" s="229">
        <v>46232</v>
      </c>
      <c r="E39" s="234" t="s">
        <v>568</v>
      </c>
      <c r="F39" s="229">
        <f t="shared" si="0"/>
        <v>46207</v>
      </c>
      <c r="G39" s="237" t="s">
        <v>612</v>
      </c>
    </row>
    <row r="40" s="223" customFormat="1" ht="22" customHeight="1" spans="1:11">
      <c r="A40" s="226">
        <v>38</v>
      </c>
      <c r="B40" s="233">
        <v>10118546</v>
      </c>
      <c r="C40" s="234" t="s">
        <v>139</v>
      </c>
      <c r="D40" s="229">
        <v>46246</v>
      </c>
      <c r="E40" s="234" t="s">
        <v>568</v>
      </c>
      <c r="F40" s="229">
        <f t="shared" si="0"/>
        <v>46221</v>
      </c>
      <c r="G40" s="237" t="s">
        <v>612</v>
      </c>
    </row>
    <row r="41" s="223" customFormat="1" ht="22" customHeight="1" spans="1:11">
      <c r="A41" s="226">
        <v>39</v>
      </c>
      <c r="B41" s="233">
        <v>10125372</v>
      </c>
      <c r="C41" s="234" t="s">
        <v>193</v>
      </c>
      <c r="D41" s="229">
        <v>46260</v>
      </c>
      <c r="E41" s="234" t="s">
        <v>568</v>
      </c>
      <c r="F41" s="229">
        <f t="shared" si="0"/>
        <v>46235</v>
      </c>
      <c r="G41" s="237" t="s">
        <v>612</v>
      </c>
    </row>
    <row r="42" s="223" customFormat="1" ht="22" customHeight="1" spans="1:11">
      <c r="A42" s="226">
        <v>40</v>
      </c>
      <c r="B42" s="233">
        <v>10122386</v>
      </c>
      <c r="C42" s="234" t="s">
        <v>615</v>
      </c>
      <c r="D42" s="229">
        <v>46197</v>
      </c>
      <c r="E42" s="234" t="s">
        <v>568</v>
      </c>
      <c r="F42" s="229">
        <f t="shared" si="0"/>
        <v>46172</v>
      </c>
      <c r="G42" s="235" t="s">
        <v>616</v>
      </c>
      <c r="K42" s="239"/>
    </row>
    <row r="43" s="223" customFormat="1" ht="22" customHeight="1" spans="1:11">
      <c r="A43" s="226">
        <v>41</v>
      </c>
      <c r="B43" s="233">
        <v>10123705</v>
      </c>
      <c r="C43" s="234">
        <v>47399</v>
      </c>
      <c r="D43" s="229" t="s">
        <v>617</v>
      </c>
      <c r="E43" s="240" t="s">
        <v>578</v>
      </c>
      <c r="F43" s="229">
        <v>46228</v>
      </c>
      <c r="G43" s="235" t="s">
        <v>618</v>
      </c>
    </row>
    <row r="44" s="223" customFormat="1" ht="22" customHeight="1" spans="1:11">
      <c r="A44" s="226">
        <v>42</v>
      </c>
      <c r="B44" s="233">
        <v>10128336</v>
      </c>
      <c r="C44" s="240" t="s">
        <v>142</v>
      </c>
      <c r="D44" s="241" t="s">
        <v>619</v>
      </c>
      <c r="E44" s="240" t="s">
        <v>568</v>
      </c>
      <c r="F44" s="229">
        <v>46254</v>
      </c>
      <c r="G44" s="235" t="s">
        <v>620</v>
      </c>
    </row>
    <row r="45" s="223" customFormat="1" ht="22" customHeight="1" spans="1:11">
      <c r="A45" s="226">
        <v>43</v>
      </c>
      <c r="B45" s="233">
        <v>10127749</v>
      </c>
      <c r="C45" s="240" t="s">
        <v>102</v>
      </c>
      <c r="D45" s="241">
        <v>46330</v>
      </c>
      <c r="E45" s="240" t="s">
        <v>578</v>
      </c>
      <c r="F45" s="229">
        <v>46310</v>
      </c>
      <c r="G45" s="235" t="s">
        <v>395</v>
      </c>
    </row>
    <row r="46" s="223" customFormat="1" ht="22" customHeight="1" spans="1:11">
      <c r="A46" s="242">
        <v>44</v>
      </c>
      <c r="B46" s="233">
        <v>10130830</v>
      </c>
      <c r="C46" s="240" t="s">
        <v>213</v>
      </c>
      <c r="D46" s="229">
        <v>46295</v>
      </c>
      <c r="E46" s="240" t="s">
        <v>578</v>
      </c>
      <c r="F46" s="229">
        <v>46280</v>
      </c>
      <c r="G46" s="235" t="s">
        <v>395</v>
      </c>
    </row>
    <row r="47" s="223" customFormat="1" ht="22" customHeight="1" spans="1:11">
      <c r="A47" s="242">
        <v>45</v>
      </c>
      <c r="B47" s="233"/>
      <c r="C47" s="234"/>
      <c r="D47" s="229"/>
      <c r="E47" s="240"/>
      <c r="F47" s="229"/>
      <c r="G47" s="235"/>
    </row>
    <row r="48" s="223" customFormat="1" ht="22" customHeight="1" spans="1:11">
      <c r="A48" s="242">
        <v>46</v>
      </c>
      <c r="B48" s="233"/>
      <c r="C48" s="234"/>
      <c r="D48" s="229"/>
      <c r="E48" s="240"/>
      <c r="F48" s="229"/>
      <c r="G48" s="235"/>
    </row>
    <row r="49" s="223" customFormat="1" ht="22" customHeight="1" spans="1:7">
      <c r="A49" s="242">
        <v>47</v>
      </c>
      <c r="B49" s="233"/>
      <c r="C49" s="234"/>
      <c r="D49" s="229"/>
      <c r="E49" s="240"/>
      <c r="F49" s="229"/>
      <c r="G49" s="235"/>
    </row>
    <row r="50" s="223" customFormat="1" ht="22" customHeight="1" spans="1:7">
      <c r="A50" s="242">
        <v>48</v>
      </c>
      <c r="B50" s="233"/>
      <c r="C50" s="234"/>
      <c r="D50" s="229"/>
      <c r="E50" s="240"/>
      <c r="F50" s="229"/>
      <c r="G50" s="235"/>
    </row>
    <row r="51" customFormat="1" ht="60" customHeight="1" spans="1:7">
      <c r="A51" s="243" t="s">
        <v>621</v>
      </c>
      <c r="B51" s="244"/>
      <c r="C51" s="244"/>
      <c r="D51" s="244"/>
      <c r="E51" s="244"/>
    </row>
  </sheetData>
  <sheetProtection formatCells="0" formatColumns="0" formatRows="0" insertRows="0" insertColumns="0" insertHyperlinks="0" deleteColumns="0" deleteRows="0" sort="0" autoFilter="0" pivotTables="0"/>
  <mergeCells count="2">
    <mergeCell ref="A1:G1"/>
    <mergeCell ref="A51:E5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00FF"/>
    <pageSetUpPr fitToPage="1"/>
  </sheetPr>
  <dimension ref="A1:AS609"/>
  <sheetViews>
    <sheetView workbookViewId="0">
      <pane xSplit="12" ySplit="1" topLeftCell="AB507" activePane="bottomRight" state="frozen"/>
      <selection/>
      <selection pane="topRight"/>
      <selection pane="bottomLeft"/>
      <selection pane="bottomRight" activeCell="AA538" sqref="AA538"/>
    </sheetView>
  </sheetViews>
  <sheetFormatPr defaultColWidth="9" defaultRowHeight="25" customHeight="1"/>
  <cols>
    <col min="1" max="1" width="11.5" style="17" customWidth="1"/>
    <col min="2" max="2" width="6.625" style="17" hidden="1" customWidth="1"/>
    <col min="3" max="4" width="10.625" style="18" customWidth="1"/>
    <col min="5" max="5" width="8.625" style="18" customWidth="1"/>
    <col min="6" max="6" width="12.625" style="18" customWidth="1"/>
    <col min="7" max="7" width="12.625" style="19" customWidth="1"/>
    <col min="8" max="9" width="10.625" style="18" customWidth="1"/>
    <col min="10" max="10" width="6.625" style="20" customWidth="1"/>
    <col min="11" max="11" width="5.625" style="18" customWidth="1"/>
    <col min="12" max="12" width="6.625" style="20" customWidth="1"/>
    <col min="13" max="13" width="12.625" style="17" customWidth="1"/>
    <col min="14" max="14" width="13.9" style="17" customWidth="1"/>
    <col min="15" max="17" width="12.625" style="17" customWidth="1"/>
    <col min="18" max="19" width="10.625" style="18" customWidth="1"/>
    <col min="20" max="20" width="12.625" style="21" customWidth="1"/>
    <col min="21" max="21" width="12.625" style="17" customWidth="1"/>
    <col min="22" max="23" width="12.625" style="18" customWidth="1"/>
    <col min="24" max="24" width="15.625" style="20" customWidth="1"/>
    <col min="25" max="25" width="8.625" style="22" customWidth="1"/>
    <col min="26" max="27" width="12.625" style="23" customWidth="1"/>
    <col min="28" max="28" width="10.625" style="24" customWidth="1"/>
    <col min="29" max="30" width="10.625" style="17" customWidth="1"/>
    <col min="31" max="31" width="8.625" style="17" customWidth="1"/>
    <col min="32" max="32" width="10.625" style="17" customWidth="1"/>
    <col min="33" max="33" width="11.5" style="17" customWidth="1"/>
    <col min="34" max="40" width="11.5" style="91" customWidth="1"/>
    <col min="41" max="41" width="6.625" style="20" customWidth="1"/>
    <col min="42" max="16384" width="9" style="15"/>
  </cols>
  <sheetData>
    <row r="1" s="15" customFormat="1" customHeight="1" spans="1:45">
      <c r="A1" s="26" t="s">
        <v>384</v>
      </c>
      <c r="B1" s="27" t="s">
        <v>385</v>
      </c>
      <c r="C1" s="28" t="s">
        <v>200</v>
      </c>
      <c r="D1" s="26" t="s">
        <v>386</v>
      </c>
      <c r="E1" s="28" t="s">
        <v>387</v>
      </c>
      <c r="F1" s="28" t="s">
        <v>201</v>
      </c>
      <c r="G1" s="29" t="s">
        <v>202</v>
      </c>
      <c r="H1" s="28" t="s">
        <v>203</v>
      </c>
      <c r="I1" s="30" t="s">
        <v>197</v>
      </c>
      <c r="J1" s="31" t="s">
        <v>204</v>
      </c>
      <c r="K1" s="32" t="s">
        <v>388</v>
      </c>
      <c r="L1" s="33" t="s">
        <v>389</v>
      </c>
      <c r="M1" s="26" t="s">
        <v>205</v>
      </c>
      <c r="N1" s="26" t="s">
        <v>390</v>
      </c>
      <c r="O1" s="26" t="s">
        <v>391</v>
      </c>
      <c r="P1" s="26" t="s">
        <v>392</v>
      </c>
      <c r="Q1" s="28" t="s">
        <v>393</v>
      </c>
      <c r="R1" s="28" t="s">
        <v>394</v>
      </c>
      <c r="S1" s="26" t="s">
        <v>395</v>
      </c>
      <c r="T1" s="26" t="s">
        <v>396</v>
      </c>
      <c r="U1" s="26" t="s">
        <v>397</v>
      </c>
      <c r="V1" s="26" t="s">
        <v>398</v>
      </c>
      <c r="W1" s="28" t="s">
        <v>399</v>
      </c>
      <c r="X1" s="34" t="s">
        <v>400</v>
      </c>
      <c r="Y1" s="92" t="s">
        <v>231</v>
      </c>
      <c r="Z1" s="35" t="s">
        <v>232</v>
      </c>
      <c r="AA1" s="35" t="s">
        <v>233</v>
      </c>
      <c r="AB1" s="36" t="s">
        <v>401</v>
      </c>
      <c r="AC1" s="33" t="s">
        <v>402</v>
      </c>
      <c r="AD1" s="37" t="s">
        <v>403</v>
      </c>
      <c r="AE1" s="37" t="s">
        <v>234</v>
      </c>
      <c r="AF1" s="30" t="s">
        <v>404</v>
      </c>
      <c r="AG1" s="39" t="s">
        <v>622</v>
      </c>
      <c r="AH1" s="39" t="s">
        <v>623</v>
      </c>
      <c r="AI1" s="39" t="s">
        <v>406</v>
      </c>
      <c r="AJ1" s="39" t="s">
        <v>407</v>
      </c>
      <c r="AK1" s="40" t="s">
        <v>408</v>
      </c>
      <c r="AL1" s="39" t="s">
        <v>518</v>
      </c>
      <c r="AM1" s="39" t="s">
        <v>411</v>
      </c>
      <c r="AN1" s="39" t="s">
        <v>412</v>
      </c>
      <c r="AO1" s="41" t="s">
        <v>413</v>
      </c>
      <c r="AP1" s="41" t="s">
        <v>414</v>
      </c>
    </row>
    <row r="2" s="89" customFormat="1" hidden="1" customHeight="1" spans="1:45">
      <c r="A2" s="93">
        <v>45869</v>
      </c>
      <c r="B2" s="93" t="str">
        <f ca="1">IF(TODAY()&gt;=A2,IF(R2="","未",""),"")</f>
        <v/>
      </c>
      <c r="C2" s="95" t="s">
        <v>237</v>
      </c>
      <c r="D2" s="93" t="s">
        <v>427</v>
      </c>
      <c r="E2" s="95" t="s">
        <v>428</v>
      </c>
      <c r="F2" s="96">
        <v>10108291</v>
      </c>
      <c r="G2" s="96">
        <v>202520972529</v>
      </c>
      <c r="H2" s="97" t="s">
        <v>95</v>
      </c>
      <c r="I2" s="98" t="str">
        <f>IFERROR(VLOOKUP(H2,名称!A:C,2,0),"")</f>
        <v>宝箱马里奥</v>
      </c>
      <c r="J2" s="99">
        <f>6000-1500-2852+4</f>
        <v>1652</v>
      </c>
      <c r="K2" s="98">
        <f>IFERROR(VLOOKUP(H2,名称!A:D,3,0),"")</f>
        <v>4</v>
      </c>
      <c r="L2" s="100">
        <f t="shared" ref="L2:L65" si="0">IFERROR((J2/K2),"")</f>
        <v>413</v>
      </c>
      <c r="M2" s="93">
        <v>46015</v>
      </c>
      <c r="N2" s="93">
        <f>M2-2</f>
        <v>46013</v>
      </c>
      <c r="O2" s="93">
        <v>46017</v>
      </c>
      <c r="P2" s="93" t="s">
        <v>624</v>
      </c>
      <c r="Q2" s="97" t="s">
        <v>430</v>
      </c>
      <c r="R2" s="97" t="s">
        <v>625</v>
      </c>
      <c r="S2" s="93"/>
      <c r="T2" s="93"/>
      <c r="U2" s="93"/>
      <c r="V2" s="93"/>
      <c r="W2" s="97"/>
      <c r="X2" s="100"/>
      <c r="Y2" s="102">
        <v>2.205</v>
      </c>
      <c r="Z2" s="103">
        <f t="shared" ref="Z2:Z65" si="1">J2*Y2</f>
        <v>3642.66</v>
      </c>
      <c r="AA2" s="103">
        <f t="shared" ref="AA2:AA65" si="2">Z2*7.75</f>
        <v>28230.62</v>
      </c>
      <c r="AB2" s="58" t="s">
        <v>626</v>
      </c>
      <c r="AC2" s="93"/>
      <c r="AD2" s="93"/>
      <c r="AE2" s="93" t="str">
        <f>IFERROR(VLOOKUP(H2,名称!A:D,4,0),"")</f>
        <v>KIK</v>
      </c>
      <c r="AF2" s="98"/>
      <c r="AG2" s="105"/>
      <c r="AH2" s="105">
        <v>45987</v>
      </c>
      <c r="AI2" s="105">
        <v>45967</v>
      </c>
      <c r="AJ2" s="105"/>
      <c r="AK2" s="105"/>
      <c r="AL2" s="105"/>
      <c r="AM2" s="105"/>
      <c r="AN2" s="105">
        <v>45965</v>
      </c>
      <c r="AO2" s="106">
        <f>M2-A2</f>
        <v>146</v>
      </c>
      <c r="AP2" s="106">
        <f>M2-AI2</f>
        <v>48</v>
      </c>
    </row>
    <row r="3" s="89" customFormat="1" hidden="1" customHeight="1" spans="1:45">
      <c r="A3" s="93">
        <v>45869</v>
      </c>
      <c r="B3" s="93" t="str">
        <f ca="1">IF(TODAY()&gt;=A3,IF(R3="","未",""),"")</f>
        <v/>
      </c>
      <c r="C3" s="95" t="s">
        <v>237</v>
      </c>
      <c r="D3" s="93" t="s">
        <v>427</v>
      </c>
      <c r="E3" s="95" t="s">
        <v>428</v>
      </c>
      <c r="F3" s="96">
        <v>10108291</v>
      </c>
      <c r="G3" s="96">
        <v>202520972529</v>
      </c>
      <c r="H3" s="97" t="s">
        <v>122</v>
      </c>
      <c r="I3" s="98" t="str">
        <f>IFERROR(VLOOKUP(H3,名称!A:C,2,0),"")</f>
        <v>马里奥和他的蘑菇</v>
      </c>
      <c r="J3" s="99">
        <f>12000-4500-2898-3204+6</f>
        <v>1404</v>
      </c>
      <c r="K3" s="98">
        <f>IFERROR(VLOOKUP(H3,名称!A:D,3,0),"")</f>
        <v>6</v>
      </c>
      <c r="L3" s="100">
        <f t="shared" si="0"/>
        <v>234</v>
      </c>
      <c r="M3" s="93">
        <v>46015</v>
      </c>
      <c r="N3" s="93">
        <f>M3-2</f>
        <v>46013</v>
      </c>
      <c r="O3" s="93">
        <v>46015</v>
      </c>
      <c r="P3" s="93" t="s">
        <v>624</v>
      </c>
      <c r="Q3" s="97" t="s">
        <v>430</v>
      </c>
      <c r="R3" s="97" t="s">
        <v>627</v>
      </c>
      <c r="S3" s="93"/>
      <c r="T3" s="93"/>
      <c r="U3" s="93"/>
      <c r="V3" s="93"/>
      <c r="W3" s="97"/>
      <c r="X3" s="100" t="s">
        <v>628</v>
      </c>
      <c r="Y3" s="120">
        <v>1.413</v>
      </c>
      <c r="Z3" s="103">
        <f t="shared" si="1"/>
        <v>1983.85</v>
      </c>
      <c r="AA3" s="103">
        <f t="shared" si="2"/>
        <v>15374.84</v>
      </c>
      <c r="AB3" s="58" t="s">
        <v>626</v>
      </c>
      <c r="AC3" s="93"/>
      <c r="AD3" s="93"/>
      <c r="AE3" s="93" t="str">
        <f>IFERROR(VLOOKUP(H3,名称!A:D,4,0),"")</f>
        <v>KIK</v>
      </c>
      <c r="AF3" s="98"/>
      <c r="AG3" s="105"/>
      <c r="AH3" s="105">
        <v>45987</v>
      </c>
      <c r="AI3" s="105">
        <v>45967</v>
      </c>
      <c r="AJ3" s="105"/>
      <c r="AK3" s="105"/>
      <c r="AL3" s="105"/>
      <c r="AM3" s="105"/>
      <c r="AN3" s="105">
        <v>45965</v>
      </c>
      <c r="AO3" s="106">
        <f>M3-A3</f>
        <v>146</v>
      </c>
      <c r="AP3" s="106">
        <f>M3-AI3</f>
        <v>48</v>
      </c>
      <c r="AS3" s="107"/>
    </row>
    <row r="4" s="89" customFormat="1" hidden="1" customHeight="1" spans="1:45">
      <c r="A4" s="93">
        <v>45869</v>
      </c>
      <c r="B4" s="93" t="str">
        <f ca="1">IF(TODAY()&gt;=A4,IF(R4="","未",""),"")</f>
        <v/>
      </c>
      <c r="C4" s="95" t="s">
        <v>237</v>
      </c>
      <c r="D4" s="93" t="s">
        <v>427</v>
      </c>
      <c r="E4" s="95" t="s">
        <v>428</v>
      </c>
      <c r="F4" s="96">
        <v>10108291</v>
      </c>
      <c r="G4" s="96">
        <v>202520972529</v>
      </c>
      <c r="H4" s="97" t="s">
        <v>95</v>
      </c>
      <c r="I4" s="98" t="str">
        <f>IFERROR(VLOOKUP(H4,名称!A:C,2,0),"")</f>
        <v>宝箱马里奥</v>
      </c>
      <c r="J4" s="99">
        <v>1500</v>
      </c>
      <c r="K4" s="98">
        <f>IFERROR(VLOOKUP(H4,名称!A:D,3,0),"")</f>
        <v>4</v>
      </c>
      <c r="L4" s="100">
        <f t="shared" si="0"/>
        <v>375</v>
      </c>
      <c r="M4" s="93">
        <v>46015</v>
      </c>
      <c r="N4" s="93">
        <f>M4-2</f>
        <v>46013</v>
      </c>
      <c r="O4" s="93">
        <v>46020</v>
      </c>
      <c r="P4" s="93" t="s">
        <v>624</v>
      </c>
      <c r="Q4" s="97" t="s">
        <v>430</v>
      </c>
      <c r="R4" s="97" t="s">
        <v>625</v>
      </c>
      <c r="S4" s="93"/>
      <c r="T4" s="93"/>
      <c r="U4" s="93"/>
      <c r="V4" s="93"/>
      <c r="W4" s="97"/>
      <c r="X4" s="100"/>
      <c r="Y4" s="102">
        <v>2.205</v>
      </c>
      <c r="Z4" s="103">
        <f t="shared" si="1"/>
        <v>3307.5</v>
      </c>
      <c r="AA4" s="103">
        <f t="shared" si="2"/>
        <v>25633.13</v>
      </c>
      <c r="AB4" s="58" t="s">
        <v>626</v>
      </c>
      <c r="AC4" s="93"/>
      <c r="AD4" s="93"/>
      <c r="AE4" s="93" t="str">
        <f>IFERROR(VLOOKUP(H4,名称!A:D,4,0),"")</f>
        <v>KIK</v>
      </c>
      <c r="AF4" s="98"/>
      <c r="AG4" s="105"/>
      <c r="AH4" s="105">
        <v>45987</v>
      </c>
      <c r="AI4" s="105">
        <v>45967</v>
      </c>
      <c r="AJ4" s="105"/>
      <c r="AK4" s="105"/>
      <c r="AL4" s="105"/>
      <c r="AM4" s="105"/>
      <c r="AN4" s="105">
        <v>45965</v>
      </c>
      <c r="AO4" s="106">
        <f>M4-A4</f>
        <v>146</v>
      </c>
      <c r="AP4" s="106">
        <f>M4-AI4</f>
        <v>48</v>
      </c>
    </row>
    <row r="5" s="89" customFormat="1" hidden="1" customHeight="1" spans="1:45">
      <c r="A5" s="93">
        <v>45869</v>
      </c>
      <c r="B5" s="93" t="s">
        <v>467</v>
      </c>
      <c r="C5" s="95" t="s">
        <v>237</v>
      </c>
      <c r="D5" s="93" t="s">
        <v>427</v>
      </c>
      <c r="E5" s="95" t="s">
        <v>428</v>
      </c>
      <c r="F5" s="96">
        <v>10108291</v>
      </c>
      <c r="G5" s="96">
        <v>202520972529</v>
      </c>
      <c r="H5" s="97" t="s">
        <v>97</v>
      </c>
      <c r="I5" s="98" t="str">
        <f>IFERROR(VLOOKUP(H5,名称!A:C,2,0),"")</f>
        <v>管道马里奥</v>
      </c>
      <c r="J5" s="99">
        <v>2000</v>
      </c>
      <c r="K5" s="98">
        <f>IFERROR(VLOOKUP(H5,名称!A:D,3,0),"")</f>
        <v>4</v>
      </c>
      <c r="L5" s="100">
        <f t="shared" si="0"/>
        <v>500</v>
      </c>
      <c r="M5" s="93">
        <v>46029</v>
      </c>
      <c r="N5" s="93">
        <v>46027</v>
      </c>
      <c r="O5" s="93">
        <v>46031</v>
      </c>
      <c r="P5" s="93" t="s">
        <v>624</v>
      </c>
      <c r="Q5" s="97" t="s">
        <v>430</v>
      </c>
      <c r="R5" s="97" t="s">
        <v>625</v>
      </c>
      <c r="S5" s="93"/>
      <c r="T5" s="93"/>
      <c r="U5" s="93"/>
      <c r="V5" s="93"/>
      <c r="W5" s="97"/>
      <c r="X5" s="100"/>
      <c r="Y5" s="102">
        <v>3.362</v>
      </c>
      <c r="Z5" s="103">
        <f t="shared" si="1"/>
        <v>6724</v>
      </c>
      <c r="AA5" s="103">
        <f t="shared" si="2"/>
        <v>52111</v>
      </c>
      <c r="AB5" s="58" t="s">
        <v>629</v>
      </c>
      <c r="AC5" s="93"/>
      <c r="AD5" s="93"/>
      <c r="AE5" s="93" t="str">
        <f>IFERROR(VLOOKUP(H5,名称!A:D,4,0),"")</f>
        <v>KIK</v>
      </c>
      <c r="AF5" s="98"/>
      <c r="AG5" s="105"/>
      <c r="AH5" s="105">
        <v>45987</v>
      </c>
      <c r="AI5" s="105">
        <v>45967</v>
      </c>
      <c r="AJ5" s="105"/>
      <c r="AK5" s="105"/>
      <c r="AL5" s="105"/>
      <c r="AM5" s="105"/>
      <c r="AN5" s="105">
        <v>45965</v>
      </c>
      <c r="AO5" s="106">
        <v>160</v>
      </c>
      <c r="AP5" s="106">
        <v>62</v>
      </c>
      <c r="AS5" s="121"/>
    </row>
    <row r="6" s="89" customFormat="1" hidden="1" customHeight="1" spans="1:45">
      <c r="A6" s="93">
        <v>45869</v>
      </c>
      <c r="B6" s="93" t="s">
        <v>467</v>
      </c>
      <c r="C6" s="95" t="s">
        <v>237</v>
      </c>
      <c r="D6" s="93" t="s">
        <v>427</v>
      </c>
      <c r="E6" s="95" t="s">
        <v>428</v>
      </c>
      <c r="F6" s="96">
        <v>10108291</v>
      </c>
      <c r="G6" s="96">
        <v>202520972529</v>
      </c>
      <c r="H6" s="97" t="s">
        <v>122</v>
      </c>
      <c r="I6" s="98" t="str">
        <f>IFERROR(VLOOKUP(H6,名称!A:C,2,0),"")</f>
        <v>马里奥和他的蘑菇</v>
      </c>
      <c r="J6" s="99">
        <v>4500</v>
      </c>
      <c r="K6" s="98">
        <f>IFERROR(VLOOKUP(H6,名称!A:D,3,0),"")</f>
        <v>6</v>
      </c>
      <c r="L6" s="100">
        <f t="shared" si="0"/>
        <v>750</v>
      </c>
      <c r="M6" s="93">
        <v>46029</v>
      </c>
      <c r="N6" s="93">
        <v>46027</v>
      </c>
      <c r="O6" s="93">
        <v>46034</v>
      </c>
      <c r="P6" s="93" t="s">
        <v>624</v>
      </c>
      <c r="Q6" s="97" t="s">
        <v>430</v>
      </c>
      <c r="R6" s="97" t="s">
        <v>627</v>
      </c>
      <c r="S6" s="93"/>
      <c r="T6" s="93"/>
      <c r="U6" s="93"/>
      <c r="V6" s="93"/>
      <c r="W6" s="97"/>
      <c r="X6" s="100" t="s">
        <v>628</v>
      </c>
      <c r="Y6" s="120">
        <v>1.413</v>
      </c>
      <c r="Z6" s="103">
        <f t="shared" si="1"/>
        <v>6358.5</v>
      </c>
      <c r="AA6" s="103">
        <f t="shared" si="2"/>
        <v>49278.38</v>
      </c>
      <c r="AB6" s="58" t="s">
        <v>629</v>
      </c>
      <c r="AC6" s="93"/>
      <c r="AD6" s="93"/>
      <c r="AE6" s="93" t="str">
        <f>IFERROR(VLOOKUP(H6,名称!A:D,4,0),"")</f>
        <v>KIK</v>
      </c>
      <c r="AF6" s="98"/>
      <c r="AG6" s="105"/>
      <c r="AH6" s="105">
        <v>45987</v>
      </c>
      <c r="AI6" s="105">
        <v>45967</v>
      </c>
      <c r="AJ6" s="105"/>
      <c r="AK6" s="105"/>
      <c r="AL6" s="105"/>
      <c r="AM6" s="105"/>
      <c r="AN6" s="105">
        <v>45965</v>
      </c>
      <c r="AO6" s="106">
        <v>160</v>
      </c>
      <c r="AP6" s="106">
        <v>62</v>
      </c>
      <c r="AQ6" s="121"/>
      <c r="AR6" s="121"/>
      <c r="AS6" s="121"/>
    </row>
    <row r="7" s="89" customFormat="1" hidden="1" customHeight="1" spans="1:45">
      <c r="A7" s="93">
        <v>45772</v>
      </c>
      <c r="B7" s="93" t="s">
        <v>467</v>
      </c>
      <c r="C7" s="95" t="s">
        <v>235</v>
      </c>
      <c r="D7" s="93" t="s">
        <v>421</v>
      </c>
      <c r="E7" s="95" t="s">
        <v>438</v>
      </c>
      <c r="F7" s="96">
        <v>10100602</v>
      </c>
      <c r="G7" s="96">
        <v>4500031037</v>
      </c>
      <c r="H7" s="97">
        <v>47669</v>
      </c>
      <c r="I7" s="98" t="str">
        <f>IFERROR(VLOOKUP(H7,名称!A:C,2,0),"")</f>
        <v>动物车</v>
      </c>
      <c r="J7" s="99">
        <v>680</v>
      </c>
      <c r="K7" s="98">
        <f>IFERROR(VLOOKUP(H7,名称!A:D,3,0),"")</f>
        <v>4</v>
      </c>
      <c r="L7" s="100">
        <f t="shared" si="0"/>
        <v>170</v>
      </c>
      <c r="M7" s="93">
        <v>46015</v>
      </c>
      <c r="N7" s="93">
        <v>46013</v>
      </c>
      <c r="O7" s="93">
        <v>46014</v>
      </c>
      <c r="P7" s="93" t="s">
        <v>630</v>
      </c>
      <c r="Q7" s="97" t="s">
        <v>424</v>
      </c>
      <c r="R7" s="97" t="s">
        <v>631</v>
      </c>
      <c r="S7" s="93"/>
      <c r="T7" s="93" t="s">
        <v>632</v>
      </c>
      <c r="U7" s="93"/>
      <c r="V7" s="93"/>
      <c r="W7" s="97" t="s">
        <v>522</v>
      </c>
      <c r="X7" s="100"/>
      <c r="Y7" s="102">
        <v>4.906</v>
      </c>
      <c r="Z7" s="103">
        <f t="shared" si="1"/>
        <v>3336.08</v>
      </c>
      <c r="AA7" s="103">
        <f t="shared" si="2"/>
        <v>25854.62</v>
      </c>
      <c r="AB7" s="58" t="s">
        <v>633</v>
      </c>
      <c r="AC7" s="93"/>
      <c r="AD7" s="93"/>
      <c r="AE7" s="93" t="str">
        <f>IFERROR(VLOOKUP(H7,名称!A:D,4,0),"")</f>
        <v>KIK</v>
      </c>
      <c r="AF7" s="98"/>
      <c r="AG7" s="105"/>
      <c r="AH7" s="105"/>
      <c r="AI7" s="105">
        <v>45799</v>
      </c>
      <c r="AJ7" s="105">
        <v>45813</v>
      </c>
      <c r="AK7" s="105"/>
      <c r="AL7" s="105"/>
      <c r="AM7" s="105"/>
      <c r="AN7" s="105">
        <v>45799</v>
      </c>
      <c r="AO7" s="106">
        <v>243</v>
      </c>
      <c r="AP7" s="106">
        <v>216</v>
      </c>
      <c r="AS7" s="107"/>
    </row>
    <row r="8" s="89" customFormat="1" hidden="1" customHeight="1" spans="1:45">
      <c r="A8" s="93">
        <v>45862</v>
      </c>
      <c r="B8" s="93" t="s">
        <v>467</v>
      </c>
      <c r="C8" s="95" t="s">
        <v>235</v>
      </c>
      <c r="D8" s="93" t="s">
        <v>421</v>
      </c>
      <c r="E8" s="95" t="s">
        <v>422</v>
      </c>
      <c r="F8" s="96">
        <v>10107795</v>
      </c>
      <c r="G8" s="96">
        <v>4500031524</v>
      </c>
      <c r="H8" s="97" t="s">
        <v>89</v>
      </c>
      <c r="I8" s="98" t="str">
        <f>IFERROR(VLOOKUP(H8,名称!A:C,2,0),"")</f>
        <v>马里奥能量蘑菇吸塑混装</v>
      </c>
      <c r="J8" s="99">
        <v>7200</v>
      </c>
      <c r="K8" s="98">
        <f>IFERROR(VLOOKUP(H8,名称!A:D,3,0),"")</f>
        <v>6</v>
      </c>
      <c r="L8" s="100">
        <f t="shared" si="0"/>
        <v>1200</v>
      </c>
      <c r="M8" s="93">
        <v>46029</v>
      </c>
      <c r="N8" s="93">
        <v>46027</v>
      </c>
      <c r="O8" s="93"/>
      <c r="P8" s="93" t="s">
        <v>624</v>
      </c>
      <c r="Q8" s="97" t="s">
        <v>424</v>
      </c>
      <c r="R8" s="97" t="s">
        <v>627</v>
      </c>
      <c r="S8" s="93"/>
      <c r="T8" s="93"/>
      <c r="U8" s="93"/>
      <c r="V8" s="93"/>
      <c r="W8" s="97"/>
      <c r="X8" s="100" t="s">
        <v>634</v>
      </c>
      <c r="Y8" s="102">
        <v>1.377</v>
      </c>
      <c r="Z8" s="103">
        <f t="shared" si="1"/>
        <v>9914.4</v>
      </c>
      <c r="AA8" s="103">
        <f t="shared" si="2"/>
        <v>76836.6</v>
      </c>
      <c r="AB8" s="58" t="s">
        <v>633</v>
      </c>
      <c r="AC8" s="93"/>
      <c r="AD8" s="93"/>
      <c r="AE8" s="93" t="str">
        <f>IFERROR(VLOOKUP(H8,名称!A:D,4,0),"")</f>
        <v>KIK</v>
      </c>
      <c r="AF8" s="98"/>
      <c r="AG8" s="105"/>
      <c r="AH8" s="105">
        <v>45987</v>
      </c>
      <c r="AI8" s="105">
        <v>45967</v>
      </c>
      <c r="AJ8" s="105"/>
      <c r="AK8" s="105"/>
      <c r="AL8" s="105"/>
      <c r="AM8" s="105"/>
      <c r="AN8" s="105">
        <v>45965</v>
      </c>
      <c r="AO8" s="106">
        <v>167</v>
      </c>
      <c r="AP8" s="106">
        <v>62</v>
      </c>
      <c r="AQ8" s="107"/>
      <c r="AR8" s="107"/>
      <c r="AS8" s="107"/>
    </row>
    <row r="9" s="89" customFormat="1" hidden="1" customHeight="1" spans="1:45">
      <c r="A9" s="93">
        <v>45862</v>
      </c>
      <c r="B9" s="93" t="s">
        <v>467</v>
      </c>
      <c r="C9" s="95" t="s">
        <v>235</v>
      </c>
      <c r="D9" s="93" t="s">
        <v>421</v>
      </c>
      <c r="E9" s="95" t="s">
        <v>422</v>
      </c>
      <c r="F9" s="96">
        <v>10107796</v>
      </c>
      <c r="G9" s="96">
        <v>4500031525</v>
      </c>
      <c r="H9" s="97" t="s">
        <v>93</v>
      </c>
      <c r="I9" s="98" t="str">
        <f>IFERROR(VLOOKUP(H9,名称!A:C,2,0),"")</f>
        <v>能量蘑菇</v>
      </c>
      <c r="J9" s="99">
        <v>1398</v>
      </c>
      <c r="K9" s="98">
        <f>IFERROR(VLOOKUP(H9,名称!A:D,3,0),"")</f>
        <v>6</v>
      </c>
      <c r="L9" s="100">
        <f t="shared" si="0"/>
        <v>233</v>
      </c>
      <c r="M9" s="93">
        <v>46029</v>
      </c>
      <c r="N9" s="93">
        <v>46027</v>
      </c>
      <c r="O9" s="93">
        <v>46020</v>
      </c>
      <c r="P9" s="93" t="s">
        <v>624</v>
      </c>
      <c r="Q9" s="97" t="s">
        <v>424</v>
      </c>
      <c r="R9" s="97" t="s">
        <v>627</v>
      </c>
      <c r="S9" s="93"/>
      <c r="T9" s="93"/>
      <c r="U9" s="93"/>
      <c r="V9" s="93"/>
      <c r="W9" s="97"/>
      <c r="X9" s="100" t="s">
        <v>634</v>
      </c>
      <c r="Y9" s="102">
        <v>1.287</v>
      </c>
      <c r="Z9" s="103">
        <f t="shared" si="1"/>
        <v>1799.23</v>
      </c>
      <c r="AA9" s="103">
        <f t="shared" si="2"/>
        <v>13944.03</v>
      </c>
      <c r="AB9" s="58" t="s">
        <v>633</v>
      </c>
      <c r="AC9" s="93"/>
      <c r="AD9" s="93"/>
      <c r="AE9" s="93" t="str">
        <f>IFERROR(VLOOKUP(H9,名称!A:D,4,0),"")</f>
        <v>KIK</v>
      </c>
      <c r="AF9" s="98"/>
      <c r="AG9" s="105"/>
      <c r="AH9" s="105">
        <v>45987</v>
      </c>
      <c r="AI9" s="105">
        <v>45967</v>
      </c>
      <c r="AJ9" s="105"/>
      <c r="AK9" s="105"/>
      <c r="AL9" s="105"/>
      <c r="AM9" s="105"/>
      <c r="AN9" s="105">
        <v>45965</v>
      </c>
      <c r="AO9" s="106">
        <v>167</v>
      </c>
      <c r="AP9" s="106">
        <v>62</v>
      </c>
      <c r="AS9" s="89" t="s">
        <v>635</v>
      </c>
    </row>
    <row r="10" s="89" customFormat="1" hidden="1" customHeight="1" spans="1:45">
      <c r="A10" s="93">
        <v>45862</v>
      </c>
      <c r="B10" s="93" t="s">
        <v>467</v>
      </c>
      <c r="C10" s="95" t="s">
        <v>235</v>
      </c>
      <c r="D10" s="93" t="s">
        <v>421</v>
      </c>
      <c r="E10" s="95" t="s">
        <v>422</v>
      </c>
      <c r="F10" s="96">
        <v>10107796</v>
      </c>
      <c r="G10" s="96">
        <v>4500031525</v>
      </c>
      <c r="H10" s="97" t="s">
        <v>93</v>
      </c>
      <c r="I10" s="98" t="str">
        <f>IFERROR(VLOOKUP(H10,名称!A:C,2,0),"")</f>
        <v>能量蘑菇</v>
      </c>
      <c r="J10" s="99">
        <v>1602</v>
      </c>
      <c r="K10" s="98">
        <f>IFERROR(VLOOKUP(H10,名称!A:D,3,0),"")</f>
        <v>6</v>
      </c>
      <c r="L10" s="100">
        <f t="shared" si="0"/>
        <v>267</v>
      </c>
      <c r="M10" s="93">
        <v>46029</v>
      </c>
      <c r="N10" s="93">
        <v>46027</v>
      </c>
      <c r="O10" s="93"/>
      <c r="P10" s="93" t="s">
        <v>624</v>
      </c>
      <c r="Q10" s="97" t="s">
        <v>424</v>
      </c>
      <c r="R10" s="97" t="s">
        <v>627</v>
      </c>
      <c r="S10" s="93"/>
      <c r="T10" s="93"/>
      <c r="U10" s="93"/>
      <c r="V10" s="93"/>
      <c r="W10" s="97"/>
      <c r="X10" s="100" t="s">
        <v>634</v>
      </c>
      <c r="Y10" s="102">
        <v>1.287</v>
      </c>
      <c r="Z10" s="103">
        <f t="shared" si="1"/>
        <v>2061.77</v>
      </c>
      <c r="AA10" s="103">
        <f t="shared" si="2"/>
        <v>15978.72</v>
      </c>
      <c r="AB10" s="58" t="s">
        <v>633</v>
      </c>
      <c r="AC10" s="93"/>
      <c r="AD10" s="93"/>
      <c r="AE10" s="93" t="str">
        <f>IFERROR(VLOOKUP(H10,名称!A:D,4,0),"")</f>
        <v>KIK</v>
      </c>
      <c r="AF10" s="98"/>
      <c r="AG10" s="105"/>
      <c r="AH10" s="105">
        <v>45987</v>
      </c>
      <c r="AI10" s="105">
        <v>45967</v>
      </c>
      <c r="AJ10" s="105"/>
      <c r="AK10" s="105"/>
      <c r="AL10" s="105"/>
      <c r="AM10" s="105"/>
      <c r="AN10" s="105">
        <v>45965</v>
      </c>
      <c r="AO10" s="106">
        <v>167</v>
      </c>
      <c r="AP10" s="106">
        <v>62</v>
      </c>
      <c r="AS10" s="107"/>
    </row>
    <row r="11" s="89" customFormat="1" hidden="1" customHeight="1" spans="1:45">
      <c r="A11" s="93">
        <v>45862</v>
      </c>
      <c r="B11" s="93" t="s">
        <v>467</v>
      </c>
      <c r="C11" s="95" t="s">
        <v>235</v>
      </c>
      <c r="D11" s="93" t="s">
        <v>421</v>
      </c>
      <c r="E11" s="95" t="s">
        <v>422</v>
      </c>
      <c r="F11" s="96">
        <v>10107797</v>
      </c>
      <c r="G11" s="96">
        <v>4500031526</v>
      </c>
      <c r="H11" s="97" t="s">
        <v>95</v>
      </c>
      <c r="I11" s="98" t="str">
        <f>IFERROR(VLOOKUP(H11,名称!A:C,2,0),"")</f>
        <v>宝箱马里奥</v>
      </c>
      <c r="J11" s="99">
        <v>3352</v>
      </c>
      <c r="K11" s="98">
        <f>IFERROR(VLOOKUP(H11,名称!A:D,3,0),"")</f>
        <v>4</v>
      </c>
      <c r="L11" s="100">
        <f t="shared" si="0"/>
        <v>838</v>
      </c>
      <c r="M11" s="93">
        <v>46029</v>
      </c>
      <c r="N11" s="93">
        <v>46027</v>
      </c>
      <c r="O11" s="93">
        <v>46030</v>
      </c>
      <c r="P11" s="93" t="s">
        <v>624</v>
      </c>
      <c r="Q11" s="97" t="s">
        <v>424</v>
      </c>
      <c r="R11" s="97" t="s">
        <v>625</v>
      </c>
      <c r="S11" s="93"/>
      <c r="T11" s="93"/>
      <c r="U11" s="93"/>
      <c r="V11" s="93"/>
      <c r="W11" s="97"/>
      <c r="X11" s="100"/>
      <c r="Y11" s="102">
        <v>2.205</v>
      </c>
      <c r="Z11" s="103">
        <f t="shared" si="1"/>
        <v>7391.16</v>
      </c>
      <c r="AA11" s="103">
        <f t="shared" si="2"/>
        <v>57281.49</v>
      </c>
      <c r="AB11" s="58" t="s">
        <v>633</v>
      </c>
      <c r="AC11" s="93"/>
      <c r="AD11" s="93"/>
      <c r="AE11" s="93" t="str">
        <f>IFERROR(VLOOKUP(H11,名称!A:D,4,0),"")</f>
        <v>KIK</v>
      </c>
      <c r="AF11" s="98"/>
      <c r="AG11" s="105"/>
      <c r="AH11" s="105">
        <v>45987</v>
      </c>
      <c r="AI11" s="105">
        <v>45967</v>
      </c>
      <c r="AJ11" s="105"/>
      <c r="AK11" s="105"/>
      <c r="AL11" s="105"/>
      <c r="AM11" s="105"/>
      <c r="AN11" s="105">
        <v>45965</v>
      </c>
      <c r="AO11" s="106">
        <v>167</v>
      </c>
      <c r="AP11" s="106">
        <v>62</v>
      </c>
      <c r="AQ11" s="107"/>
      <c r="AR11" s="107"/>
      <c r="AS11" s="107"/>
    </row>
    <row r="12" s="89" customFormat="1" hidden="1" customHeight="1" spans="1:45">
      <c r="A12" s="93">
        <v>45862</v>
      </c>
      <c r="B12" s="93" t="s">
        <v>467</v>
      </c>
      <c r="C12" s="95" t="s">
        <v>235</v>
      </c>
      <c r="D12" s="93" t="s">
        <v>421</v>
      </c>
      <c r="E12" s="95" t="s">
        <v>422</v>
      </c>
      <c r="F12" s="96">
        <v>10107797</v>
      </c>
      <c r="G12" s="96">
        <v>4500031526</v>
      </c>
      <c r="H12" s="97" t="s">
        <v>95</v>
      </c>
      <c r="I12" s="98" t="str">
        <f>IFERROR(VLOOKUP(H12,名称!A:C,2,0),"")</f>
        <v>宝箱马里奥</v>
      </c>
      <c r="J12" s="99">
        <v>1500</v>
      </c>
      <c r="K12" s="98">
        <f>IFERROR(VLOOKUP(H12,名称!A:D,3,0),"")</f>
        <v>4</v>
      </c>
      <c r="L12" s="100">
        <f t="shared" si="0"/>
        <v>375</v>
      </c>
      <c r="M12" s="93">
        <v>46029</v>
      </c>
      <c r="N12" s="93">
        <v>46027</v>
      </c>
      <c r="O12" s="93">
        <v>46030</v>
      </c>
      <c r="P12" s="93" t="s">
        <v>624</v>
      </c>
      <c r="Q12" s="97" t="s">
        <v>424</v>
      </c>
      <c r="R12" s="97" t="s">
        <v>625</v>
      </c>
      <c r="S12" s="93"/>
      <c r="T12" s="93"/>
      <c r="U12" s="93"/>
      <c r="V12" s="93"/>
      <c r="W12" s="97"/>
      <c r="X12" s="100"/>
      <c r="Y12" s="102">
        <v>2.205</v>
      </c>
      <c r="Z12" s="103">
        <f t="shared" si="1"/>
        <v>3307.5</v>
      </c>
      <c r="AA12" s="103">
        <f t="shared" si="2"/>
        <v>25633.13</v>
      </c>
      <c r="AB12" s="58" t="s">
        <v>633</v>
      </c>
      <c r="AC12" s="93"/>
      <c r="AD12" s="93"/>
      <c r="AE12" s="93" t="str">
        <f>IFERROR(VLOOKUP(H12,名称!A:D,4,0),"")</f>
        <v>KIK</v>
      </c>
      <c r="AF12" s="98"/>
      <c r="AG12" s="105"/>
      <c r="AH12" s="105">
        <v>45987</v>
      </c>
      <c r="AI12" s="105">
        <v>45967</v>
      </c>
      <c r="AJ12" s="105"/>
      <c r="AK12" s="105"/>
      <c r="AL12" s="105"/>
      <c r="AM12" s="105"/>
      <c r="AN12" s="105">
        <v>45965</v>
      </c>
      <c r="AO12" s="106">
        <v>167</v>
      </c>
      <c r="AP12" s="106">
        <v>62</v>
      </c>
      <c r="AQ12" s="119"/>
      <c r="AR12" s="119"/>
      <c r="AS12" s="107"/>
    </row>
    <row r="13" s="89" customFormat="1" hidden="1" customHeight="1" spans="1:45">
      <c r="A13" s="93">
        <v>45862</v>
      </c>
      <c r="B13" s="93" t="s">
        <v>467</v>
      </c>
      <c r="C13" s="95" t="s">
        <v>235</v>
      </c>
      <c r="D13" s="93" t="s">
        <v>421</v>
      </c>
      <c r="E13" s="95" t="s">
        <v>422</v>
      </c>
      <c r="F13" s="96">
        <v>10107797</v>
      </c>
      <c r="G13" s="96">
        <v>4500031526</v>
      </c>
      <c r="H13" s="97" t="s">
        <v>95</v>
      </c>
      <c r="I13" s="98" t="str">
        <f>IFERROR(VLOOKUP(H13,名称!A:C,2,0),"")</f>
        <v>宝箱马里奥</v>
      </c>
      <c r="J13" s="99">
        <v>2948</v>
      </c>
      <c r="K13" s="98">
        <f>IFERROR(VLOOKUP(H13,名称!A:D,3,0),"")</f>
        <v>4</v>
      </c>
      <c r="L13" s="100">
        <f t="shared" si="0"/>
        <v>737</v>
      </c>
      <c r="M13" s="93">
        <v>46029</v>
      </c>
      <c r="N13" s="93">
        <v>46027</v>
      </c>
      <c r="O13" s="93">
        <v>46030</v>
      </c>
      <c r="P13" s="93" t="s">
        <v>624</v>
      </c>
      <c r="Q13" s="97" t="s">
        <v>424</v>
      </c>
      <c r="R13" s="97" t="s">
        <v>625</v>
      </c>
      <c r="S13" s="93"/>
      <c r="T13" s="93"/>
      <c r="U13" s="93"/>
      <c r="V13" s="93"/>
      <c r="W13" s="97"/>
      <c r="X13" s="100"/>
      <c r="Y13" s="102">
        <v>2.205</v>
      </c>
      <c r="Z13" s="103">
        <f t="shared" si="1"/>
        <v>6500.34</v>
      </c>
      <c r="AA13" s="103">
        <f t="shared" si="2"/>
        <v>50377.64</v>
      </c>
      <c r="AB13" s="58" t="s">
        <v>633</v>
      </c>
      <c r="AC13" s="93"/>
      <c r="AD13" s="93"/>
      <c r="AE13" s="93" t="str">
        <f>IFERROR(VLOOKUP(H13,名称!A:D,4,0),"")</f>
        <v>KIK</v>
      </c>
      <c r="AF13" s="98"/>
      <c r="AG13" s="105"/>
      <c r="AH13" s="105">
        <v>45987</v>
      </c>
      <c r="AI13" s="105">
        <v>45967</v>
      </c>
      <c r="AJ13" s="105"/>
      <c r="AK13" s="105"/>
      <c r="AL13" s="105"/>
      <c r="AM13" s="105"/>
      <c r="AN13" s="105">
        <v>45965</v>
      </c>
      <c r="AO13" s="106">
        <v>167</v>
      </c>
      <c r="AP13" s="106">
        <v>62</v>
      </c>
      <c r="AQ13" s="107"/>
      <c r="AR13" s="107"/>
      <c r="AS13" s="107"/>
    </row>
    <row r="14" s="89" customFormat="1" hidden="1" customHeight="1" spans="1:45">
      <c r="A14" s="93">
        <v>45862</v>
      </c>
      <c r="B14" s="93" t="s">
        <v>467</v>
      </c>
      <c r="C14" s="95" t="s">
        <v>235</v>
      </c>
      <c r="D14" s="93" t="s">
        <v>421</v>
      </c>
      <c r="E14" s="95" t="s">
        <v>422</v>
      </c>
      <c r="F14" s="96">
        <v>10107798</v>
      </c>
      <c r="G14" s="96">
        <v>4500031527</v>
      </c>
      <c r="H14" s="97" t="s">
        <v>99</v>
      </c>
      <c r="I14" s="98" t="str">
        <f>IFERROR(VLOOKUP(H14,名称!A:C,2,0),"")</f>
        <v>马里奥能量蘑菇密封盒混装</v>
      </c>
      <c r="J14" s="99">
        <v>4944</v>
      </c>
      <c r="K14" s="98">
        <f>IFERROR(VLOOKUP(H14,名称!A:D,3,0),"")</f>
        <v>6</v>
      </c>
      <c r="L14" s="100">
        <f t="shared" si="0"/>
        <v>824</v>
      </c>
      <c r="M14" s="93">
        <v>46029</v>
      </c>
      <c r="N14" s="93">
        <v>46027</v>
      </c>
      <c r="O14" s="93">
        <v>46030</v>
      </c>
      <c r="P14" s="93" t="s">
        <v>624</v>
      </c>
      <c r="Q14" s="97" t="s">
        <v>424</v>
      </c>
      <c r="R14" s="97" t="s">
        <v>625</v>
      </c>
      <c r="S14" s="93"/>
      <c r="T14" s="93"/>
      <c r="U14" s="93"/>
      <c r="V14" s="93"/>
      <c r="W14" s="97"/>
      <c r="X14" s="100" t="s">
        <v>634</v>
      </c>
      <c r="Y14" s="120">
        <v>2.339</v>
      </c>
      <c r="Z14" s="103">
        <f t="shared" si="1"/>
        <v>11564.02</v>
      </c>
      <c r="AA14" s="103">
        <f t="shared" si="2"/>
        <v>89621.16</v>
      </c>
      <c r="AB14" s="58" t="s">
        <v>633</v>
      </c>
      <c r="AC14" s="93"/>
      <c r="AD14" s="93"/>
      <c r="AE14" s="93" t="str">
        <f>IFERROR(VLOOKUP(H14,名称!A:D,4,0),"")</f>
        <v>KIK</v>
      </c>
      <c r="AF14" s="98"/>
      <c r="AG14" s="105"/>
      <c r="AH14" s="105">
        <v>45987</v>
      </c>
      <c r="AI14" s="105">
        <v>45967</v>
      </c>
      <c r="AJ14" s="105"/>
      <c r="AK14" s="105"/>
      <c r="AL14" s="105"/>
      <c r="AM14" s="105"/>
      <c r="AN14" s="105">
        <v>45965</v>
      </c>
      <c r="AO14" s="106">
        <v>167</v>
      </c>
      <c r="AP14" s="106">
        <v>62</v>
      </c>
      <c r="AS14" s="119"/>
    </row>
    <row r="15" s="89" customFormat="1" hidden="1" customHeight="1" spans="1:45">
      <c r="A15" s="93">
        <v>45862</v>
      </c>
      <c r="B15" s="93" t="s">
        <v>467</v>
      </c>
      <c r="C15" s="95" t="s">
        <v>235</v>
      </c>
      <c r="D15" s="93" t="s">
        <v>421</v>
      </c>
      <c r="E15" s="95" t="s">
        <v>422</v>
      </c>
      <c r="F15" s="96">
        <v>10107798</v>
      </c>
      <c r="G15" s="96">
        <v>4500031527</v>
      </c>
      <c r="H15" s="97" t="s">
        <v>97</v>
      </c>
      <c r="I15" s="98" t="str">
        <f>IFERROR(VLOOKUP(H15,名称!A:C,2,0),"")</f>
        <v>管道马里奥</v>
      </c>
      <c r="J15" s="99">
        <v>948</v>
      </c>
      <c r="K15" s="98">
        <f>IFERROR(VLOOKUP(H15,名称!A:D,3,0),"")</f>
        <v>4</v>
      </c>
      <c r="L15" s="100">
        <f t="shared" si="0"/>
        <v>237</v>
      </c>
      <c r="M15" s="93">
        <v>46029</v>
      </c>
      <c r="N15" s="93">
        <v>46027</v>
      </c>
      <c r="O15" s="93">
        <v>46029</v>
      </c>
      <c r="P15" s="93" t="s">
        <v>624</v>
      </c>
      <c r="Q15" s="97" t="s">
        <v>424</v>
      </c>
      <c r="R15" s="97" t="s">
        <v>625</v>
      </c>
      <c r="S15" s="93"/>
      <c r="T15" s="93"/>
      <c r="U15" s="93"/>
      <c r="V15" s="93"/>
      <c r="W15" s="97"/>
      <c r="X15" s="100"/>
      <c r="Y15" s="102">
        <v>3.362</v>
      </c>
      <c r="Z15" s="103">
        <f t="shared" si="1"/>
        <v>3187.18</v>
      </c>
      <c r="AA15" s="103">
        <f t="shared" si="2"/>
        <v>24700.65</v>
      </c>
      <c r="AB15" s="58" t="s">
        <v>633</v>
      </c>
      <c r="AC15" s="93"/>
      <c r="AD15" s="93"/>
      <c r="AE15" s="93" t="str">
        <f>IFERROR(VLOOKUP(H15,名称!A:D,4,0),"")</f>
        <v>KIK</v>
      </c>
      <c r="AF15" s="98"/>
      <c r="AG15" s="105"/>
      <c r="AH15" s="105">
        <v>45987</v>
      </c>
      <c r="AI15" s="105">
        <v>45967</v>
      </c>
      <c r="AJ15" s="105"/>
      <c r="AK15" s="105"/>
      <c r="AL15" s="105"/>
      <c r="AM15" s="105"/>
      <c r="AN15" s="105">
        <v>45965</v>
      </c>
      <c r="AO15" s="106">
        <v>167</v>
      </c>
      <c r="AP15" s="106">
        <v>62</v>
      </c>
      <c r="AQ15" s="119"/>
      <c r="AR15" s="119"/>
      <c r="AS15" s="89" t="s">
        <v>636</v>
      </c>
    </row>
    <row r="16" s="89" customFormat="1" hidden="1" customHeight="1" spans="1:45">
      <c r="A16" s="93">
        <v>45909</v>
      </c>
      <c r="B16" s="93" t="str">
        <f ca="1">IF(TODAY()&gt;=A16,IF(R16="","未",""),"")</f>
        <v/>
      </c>
      <c r="C16" s="95" t="s">
        <v>240</v>
      </c>
      <c r="D16" s="93" t="s">
        <v>637</v>
      </c>
      <c r="E16" s="95" t="s">
        <v>438</v>
      </c>
      <c r="F16" s="96">
        <v>10111031</v>
      </c>
      <c r="G16" s="96">
        <v>56709</v>
      </c>
      <c r="H16" s="97" t="s">
        <v>103</v>
      </c>
      <c r="I16" s="98" t="str">
        <f>IFERROR(VLOOKUP(H16,名称!A:C,2,0),"")</f>
        <v>锁匙</v>
      </c>
      <c r="J16" s="99">
        <v>5004</v>
      </c>
      <c r="K16" s="98">
        <f>IFERROR(VLOOKUP(H16,名称!A:D,3,0),"")</f>
        <v>36</v>
      </c>
      <c r="L16" s="100">
        <f t="shared" si="0"/>
        <v>139</v>
      </c>
      <c r="M16" s="93">
        <v>46029</v>
      </c>
      <c r="N16" s="93">
        <f>M16-2</f>
        <v>46027</v>
      </c>
      <c r="O16" s="93">
        <v>46000</v>
      </c>
      <c r="P16" s="93" t="s">
        <v>638</v>
      </c>
      <c r="Q16" s="97" t="s">
        <v>440</v>
      </c>
      <c r="R16" s="97" t="s">
        <v>639</v>
      </c>
      <c r="S16" s="93"/>
      <c r="T16" s="93"/>
      <c r="U16" s="93"/>
      <c r="V16" s="93"/>
      <c r="W16" s="97"/>
      <c r="X16" s="100"/>
      <c r="Y16" s="120">
        <v>0.399</v>
      </c>
      <c r="Z16" s="103">
        <f t="shared" si="1"/>
        <v>1996.6</v>
      </c>
      <c r="AA16" s="103">
        <f t="shared" si="2"/>
        <v>15473.65</v>
      </c>
      <c r="AB16" s="58" t="s">
        <v>633</v>
      </c>
      <c r="AC16" s="93"/>
      <c r="AD16" s="93"/>
      <c r="AE16" s="93" t="str">
        <f>IFERROR(VLOOKUP(H16,名称!A:D,4,0),"")</f>
        <v>KIK</v>
      </c>
      <c r="AF16" s="98"/>
      <c r="AG16" s="105"/>
      <c r="AH16" s="105">
        <v>45982</v>
      </c>
      <c r="AI16" s="105">
        <v>45957</v>
      </c>
      <c r="AJ16" s="105"/>
      <c r="AK16" s="105"/>
      <c r="AL16" s="105"/>
      <c r="AM16" s="105"/>
      <c r="AN16" s="105">
        <v>45953</v>
      </c>
      <c r="AO16" s="106">
        <f>M16-A16</f>
        <v>120</v>
      </c>
      <c r="AP16" s="106">
        <f>M16-AI16</f>
        <v>72</v>
      </c>
      <c r="AS16" s="107"/>
    </row>
    <row r="17" s="89" customFormat="1" hidden="1" customHeight="1" spans="1:45">
      <c r="A17" s="93">
        <v>45869</v>
      </c>
      <c r="B17" s="93" t="str">
        <f ca="1">IF(TODAY()&gt;=A17,IF(R17="","未",""),"")</f>
        <v/>
      </c>
      <c r="C17" s="95" t="s">
        <v>237</v>
      </c>
      <c r="D17" s="93" t="s">
        <v>427</v>
      </c>
      <c r="E17" s="95" t="s">
        <v>428</v>
      </c>
      <c r="F17" s="96">
        <v>10108291</v>
      </c>
      <c r="G17" s="96">
        <v>202520972529</v>
      </c>
      <c r="H17" s="97" t="s">
        <v>97</v>
      </c>
      <c r="I17" s="98" t="str">
        <f>IFERROR(VLOOKUP(H17,名称!A:C,2,0),"")</f>
        <v>管道马里奥</v>
      </c>
      <c r="J17" s="99">
        <f>8000-4000-2000-800</f>
        <v>1200</v>
      </c>
      <c r="K17" s="98">
        <f>IFERROR(VLOOKUP(H17,名称!A:D,3,0),"")</f>
        <v>4</v>
      </c>
      <c r="L17" s="100">
        <f t="shared" si="0"/>
        <v>300</v>
      </c>
      <c r="M17" s="93">
        <v>46043</v>
      </c>
      <c r="N17" s="93">
        <f>M17-2</f>
        <v>46041</v>
      </c>
      <c r="O17" s="93">
        <v>46050</v>
      </c>
      <c r="P17" s="93" t="s">
        <v>624</v>
      </c>
      <c r="Q17" s="97" t="s">
        <v>430</v>
      </c>
      <c r="R17" s="97" t="s">
        <v>625</v>
      </c>
      <c r="S17" s="93"/>
      <c r="T17" s="93"/>
      <c r="U17" s="93"/>
      <c r="V17" s="93"/>
      <c r="W17" s="97"/>
      <c r="X17" s="100"/>
      <c r="Y17" s="102">
        <v>3.362</v>
      </c>
      <c r="Z17" s="103">
        <f t="shared" si="1"/>
        <v>4034.4</v>
      </c>
      <c r="AA17" s="103">
        <f t="shared" si="2"/>
        <v>31266.6</v>
      </c>
      <c r="AB17" s="58" t="s">
        <v>640</v>
      </c>
      <c r="AC17" s="93"/>
      <c r="AD17" s="93"/>
      <c r="AE17" s="93" t="str">
        <f>IFERROR(VLOOKUP(H17,名称!A:D,4,0),"")</f>
        <v>KIK</v>
      </c>
      <c r="AF17" s="98"/>
      <c r="AG17" s="105"/>
      <c r="AH17" s="105">
        <v>45987</v>
      </c>
      <c r="AI17" s="105">
        <v>45967</v>
      </c>
      <c r="AJ17" s="105"/>
      <c r="AK17" s="105"/>
      <c r="AL17" s="105"/>
      <c r="AM17" s="105"/>
      <c r="AN17" s="105">
        <v>45965</v>
      </c>
      <c r="AO17" s="106">
        <f>M17-A17</f>
        <v>174</v>
      </c>
      <c r="AP17" s="106">
        <f>M17-AI17</f>
        <v>76</v>
      </c>
      <c r="AQ17" s="119"/>
      <c r="AR17" s="119"/>
      <c r="AS17" s="119"/>
    </row>
    <row r="18" s="89" customFormat="1" hidden="1" customHeight="1" spans="1:45">
      <c r="A18" s="93">
        <v>45869</v>
      </c>
      <c r="B18" s="93" t="str">
        <f ca="1">IF(TODAY()&gt;=A18,IF(R18="","未",""),"")</f>
        <v/>
      </c>
      <c r="C18" s="95" t="s">
        <v>237</v>
      </c>
      <c r="D18" s="93" t="s">
        <v>427</v>
      </c>
      <c r="E18" s="95" t="s">
        <v>428</v>
      </c>
      <c r="F18" s="96">
        <v>10108291</v>
      </c>
      <c r="G18" s="96">
        <v>202520972529</v>
      </c>
      <c r="H18" s="97" t="s">
        <v>122</v>
      </c>
      <c r="I18" s="98" t="str">
        <f>IFERROR(VLOOKUP(H18,名称!A:C,2,0),"")</f>
        <v>马里奥和他的蘑菇</v>
      </c>
      <c r="J18" s="99">
        <v>2898</v>
      </c>
      <c r="K18" s="98">
        <f>IFERROR(VLOOKUP(H18,名称!A:D,3,0),"")</f>
        <v>6</v>
      </c>
      <c r="L18" s="100">
        <f t="shared" si="0"/>
        <v>483</v>
      </c>
      <c r="M18" s="93">
        <v>46043</v>
      </c>
      <c r="N18" s="93">
        <f>M18-2</f>
        <v>46041</v>
      </c>
      <c r="O18" s="93">
        <v>46049</v>
      </c>
      <c r="P18" s="93" t="s">
        <v>624</v>
      </c>
      <c r="Q18" s="97" t="s">
        <v>430</v>
      </c>
      <c r="R18" s="97" t="s">
        <v>627</v>
      </c>
      <c r="S18" s="93"/>
      <c r="T18" s="93"/>
      <c r="U18" s="93"/>
      <c r="V18" s="93"/>
      <c r="W18" s="97"/>
      <c r="X18" s="100" t="s">
        <v>628</v>
      </c>
      <c r="Y18" s="120">
        <v>1.413</v>
      </c>
      <c r="Z18" s="103">
        <f t="shared" si="1"/>
        <v>4094.87</v>
      </c>
      <c r="AA18" s="103">
        <f t="shared" si="2"/>
        <v>31735.24</v>
      </c>
      <c r="AB18" s="58" t="s">
        <v>640</v>
      </c>
      <c r="AC18" s="93"/>
      <c r="AD18" s="93"/>
      <c r="AE18" s="93" t="str">
        <f>IFERROR(VLOOKUP(H18,名称!A:D,4,0),"")</f>
        <v>KIK</v>
      </c>
      <c r="AF18" s="98"/>
      <c r="AG18" s="105"/>
      <c r="AH18" s="105">
        <v>45987</v>
      </c>
      <c r="AI18" s="105">
        <v>45967</v>
      </c>
      <c r="AJ18" s="105"/>
      <c r="AK18" s="105"/>
      <c r="AL18" s="105"/>
      <c r="AM18" s="105"/>
      <c r="AN18" s="105">
        <v>45965</v>
      </c>
      <c r="AO18" s="106">
        <f>M18-A18</f>
        <v>174</v>
      </c>
      <c r="AP18" s="106">
        <f>M18-AI18</f>
        <v>76</v>
      </c>
    </row>
    <row r="19" s="89" customFormat="1" hidden="1" customHeight="1" spans="1:45">
      <c r="A19" s="93">
        <v>45869</v>
      </c>
      <c r="B19" s="93" t="str">
        <f ca="1">IF(TODAY()&gt;=A19,IF(R19="","未",""),"")</f>
        <v/>
      </c>
      <c r="C19" s="95" t="s">
        <v>237</v>
      </c>
      <c r="D19" s="93" t="s">
        <v>427</v>
      </c>
      <c r="E19" s="95" t="s">
        <v>428</v>
      </c>
      <c r="F19" s="96">
        <v>10108291</v>
      </c>
      <c r="G19" s="96">
        <v>202520972529</v>
      </c>
      <c r="H19" s="97" t="s">
        <v>97</v>
      </c>
      <c r="I19" s="98" t="str">
        <f>IFERROR(VLOOKUP(H19,名称!A:C,2,0),"")</f>
        <v>管道马里奥</v>
      </c>
      <c r="J19" s="99">
        <f>4000+800</f>
        <v>4800</v>
      </c>
      <c r="K19" s="98">
        <f>IFERROR(VLOOKUP(H19,名称!A:D,3,0),"")</f>
        <v>4</v>
      </c>
      <c r="L19" s="100">
        <f t="shared" si="0"/>
        <v>1200</v>
      </c>
      <c r="M19" s="93">
        <v>46043</v>
      </c>
      <c r="N19" s="93">
        <f>M19-2</f>
        <v>46041</v>
      </c>
      <c r="O19" s="93">
        <v>46050</v>
      </c>
      <c r="P19" s="93" t="s">
        <v>624</v>
      </c>
      <c r="Q19" s="97" t="s">
        <v>430</v>
      </c>
      <c r="R19" s="97" t="s">
        <v>625</v>
      </c>
      <c r="S19" s="93"/>
      <c r="T19" s="93"/>
      <c r="U19" s="93"/>
      <c r="V19" s="93"/>
      <c r="W19" s="97"/>
      <c r="X19" s="100"/>
      <c r="Y19" s="102">
        <v>3.362</v>
      </c>
      <c r="Z19" s="103">
        <f t="shared" si="1"/>
        <v>16137.6</v>
      </c>
      <c r="AA19" s="103">
        <f t="shared" si="2"/>
        <v>125066.4</v>
      </c>
      <c r="AB19" s="58" t="s">
        <v>640</v>
      </c>
      <c r="AC19" s="93"/>
      <c r="AD19" s="93"/>
      <c r="AE19" s="93" t="str">
        <f>IFERROR(VLOOKUP(H19,名称!A:D,4,0),"")</f>
        <v>KIK</v>
      </c>
      <c r="AF19" s="98"/>
      <c r="AG19" s="105"/>
      <c r="AH19" s="105">
        <v>45987</v>
      </c>
      <c r="AI19" s="105">
        <v>45967</v>
      </c>
      <c r="AJ19" s="105"/>
      <c r="AK19" s="105"/>
      <c r="AL19" s="105"/>
      <c r="AM19" s="105"/>
      <c r="AN19" s="105">
        <v>45965</v>
      </c>
      <c r="AO19" s="106">
        <f>M19-A19</f>
        <v>174</v>
      </c>
      <c r="AP19" s="106">
        <f>M19-AI19</f>
        <v>76</v>
      </c>
      <c r="AQ19" s="121"/>
      <c r="AR19" s="121"/>
      <c r="AS19" s="121"/>
    </row>
    <row r="20" s="89" customFormat="1" hidden="1" customHeight="1" spans="1:45">
      <c r="A20" s="93">
        <v>45862</v>
      </c>
      <c r="B20" s="93" t="str">
        <f ca="1">IF(TODAY()&gt;=A20,IF(R20="","未",""),"")</f>
        <v/>
      </c>
      <c r="C20" s="95" t="s">
        <v>235</v>
      </c>
      <c r="D20" s="93" t="s">
        <v>421</v>
      </c>
      <c r="E20" s="95" t="s">
        <v>422</v>
      </c>
      <c r="F20" s="96">
        <v>10107798</v>
      </c>
      <c r="G20" s="96">
        <v>4500031527</v>
      </c>
      <c r="H20" s="97" t="s">
        <v>97</v>
      </c>
      <c r="I20" s="98" t="str">
        <f>IFERROR(VLOOKUP(H20,名称!A:C,2,0),"")</f>
        <v>管道马里奥</v>
      </c>
      <c r="J20" s="99">
        <f>6000-1200-1000</f>
        <v>3800</v>
      </c>
      <c r="K20" s="98">
        <f>IFERROR(VLOOKUP(H20,名称!A:D,3,0),"")</f>
        <v>4</v>
      </c>
      <c r="L20" s="100">
        <f t="shared" si="0"/>
        <v>950</v>
      </c>
      <c r="M20" s="93">
        <v>46036</v>
      </c>
      <c r="N20" s="93">
        <f>M20-2</f>
        <v>46034</v>
      </c>
      <c r="O20" s="93">
        <v>46037</v>
      </c>
      <c r="P20" s="93" t="s">
        <v>624</v>
      </c>
      <c r="Q20" s="97" t="s">
        <v>424</v>
      </c>
      <c r="R20" s="97" t="s">
        <v>625</v>
      </c>
      <c r="S20" s="93"/>
      <c r="T20" s="93"/>
      <c r="U20" s="93"/>
      <c r="V20" s="93"/>
      <c r="W20" s="97"/>
      <c r="X20" s="100"/>
      <c r="Y20" s="102">
        <v>3.362</v>
      </c>
      <c r="Z20" s="103">
        <f t="shared" si="1"/>
        <v>12775.6</v>
      </c>
      <c r="AA20" s="103">
        <f t="shared" si="2"/>
        <v>99010.9</v>
      </c>
      <c r="AB20" s="58" t="s">
        <v>641</v>
      </c>
      <c r="AC20" s="93"/>
      <c r="AD20" s="93"/>
      <c r="AE20" s="93" t="str">
        <f>IFERROR(VLOOKUP(H20,名称!A:D,4,0),"")</f>
        <v>KIK</v>
      </c>
      <c r="AF20" s="98"/>
      <c r="AG20" s="105"/>
      <c r="AH20" s="105">
        <v>45987</v>
      </c>
      <c r="AI20" s="105">
        <v>45967</v>
      </c>
      <c r="AJ20" s="105"/>
      <c r="AK20" s="105"/>
      <c r="AL20" s="105"/>
      <c r="AM20" s="105"/>
      <c r="AN20" s="105">
        <v>45965</v>
      </c>
      <c r="AO20" s="106">
        <f>M20-A20</f>
        <v>174</v>
      </c>
      <c r="AP20" s="106">
        <f>M20-AI20</f>
        <v>69</v>
      </c>
      <c r="AQ20" s="107"/>
      <c r="AR20" s="107"/>
      <c r="AS20" s="107"/>
    </row>
    <row r="21" s="89" customFormat="1" hidden="1" customHeight="1" spans="1:45">
      <c r="A21" s="93">
        <v>45862</v>
      </c>
      <c r="B21" s="93" t="s">
        <v>467</v>
      </c>
      <c r="C21" s="95" t="s">
        <v>235</v>
      </c>
      <c r="D21" s="93" t="s">
        <v>421</v>
      </c>
      <c r="E21" s="95" t="s">
        <v>422</v>
      </c>
      <c r="F21" s="96">
        <v>10107797</v>
      </c>
      <c r="G21" s="96">
        <v>4500031526</v>
      </c>
      <c r="H21" s="97" t="s">
        <v>95</v>
      </c>
      <c r="I21" s="98" t="str">
        <f>IFERROR(VLOOKUP(H21,名称!A:C,2,0),"")</f>
        <v>宝箱马里奥</v>
      </c>
      <c r="J21" s="99">
        <v>52</v>
      </c>
      <c r="K21" s="98">
        <f>IFERROR(VLOOKUP(H21,名称!A:D,3,0),"")</f>
        <v>4</v>
      </c>
      <c r="L21" s="100">
        <f t="shared" si="0"/>
        <v>13</v>
      </c>
      <c r="M21" s="93">
        <v>46043</v>
      </c>
      <c r="N21" s="93">
        <v>46041</v>
      </c>
      <c r="O21" s="93">
        <v>46030</v>
      </c>
      <c r="P21" s="93" t="s">
        <v>624</v>
      </c>
      <c r="Q21" s="97" t="s">
        <v>424</v>
      </c>
      <c r="R21" s="97" t="s">
        <v>625</v>
      </c>
      <c r="S21" s="93"/>
      <c r="T21" s="93"/>
      <c r="U21" s="93"/>
      <c r="V21" s="93"/>
      <c r="W21" s="97"/>
      <c r="X21" s="100"/>
      <c r="Y21" s="102">
        <v>2.158</v>
      </c>
      <c r="Z21" s="103">
        <f t="shared" si="1"/>
        <v>112.22</v>
      </c>
      <c r="AA21" s="103">
        <f t="shared" si="2"/>
        <v>869.71</v>
      </c>
      <c r="AB21" s="58" t="s">
        <v>642</v>
      </c>
      <c r="AC21" s="93"/>
      <c r="AD21" s="93"/>
      <c r="AE21" s="93" t="str">
        <f>IFERROR(VLOOKUP(H21,名称!A:D,4,0),"")</f>
        <v>KIK</v>
      </c>
      <c r="AF21" s="98"/>
      <c r="AG21" s="105"/>
      <c r="AH21" s="105">
        <v>45987</v>
      </c>
      <c r="AI21" s="105">
        <v>45967</v>
      </c>
      <c r="AJ21" s="105"/>
      <c r="AK21" s="105"/>
      <c r="AL21" s="105"/>
      <c r="AM21" s="105"/>
      <c r="AN21" s="105">
        <v>45965</v>
      </c>
      <c r="AO21" s="106">
        <v>181</v>
      </c>
      <c r="AP21" s="106">
        <v>76</v>
      </c>
      <c r="AS21" s="119"/>
    </row>
    <row r="22" s="89" customFormat="1" hidden="1" customHeight="1" spans="1:45">
      <c r="A22" s="93">
        <v>45862</v>
      </c>
      <c r="B22" s="93" t="s">
        <v>467</v>
      </c>
      <c r="C22" s="95" t="s">
        <v>235</v>
      </c>
      <c r="D22" s="93" t="s">
        <v>421</v>
      </c>
      <c r="E22" s="95" t="s">
        <v>422</v>
      </c>
      <c r="F22" s="96">
        <v>10107798</v>
      </c>
      <c r="G22" s="96">
        <v>4500031527</v>
      </c>
      <c r="H22" s="97" t="s">
        <v>99</v>
      </c>
      <c r="I22" s="98" t="str">
        <f>IFERROR(VLOOKUP(H22,名称!A:C,2,0),"")</f>
        <v>马里奥能量蘑菇密封盒混装</v>
      </c>
      <c r="J22" s="99">
        <v>54</v>
      </c>
      <c r="K22" s="98">
        <f>IFERROR(VLOOKUP(H22,名称!A:D,3,0),"")</f>
        <v>6</v>
      </c>
      <c r="L22" s="100">
        <f t="shared" si="0"/>
        <v>9</v>
      </c>
      <c r="M22" s="93">
        <v>46043</v>
      </c>
      <c r="N22" s="93">
        <v>46041</v>
      </c>
      <c r="O22" s="93">
        <v>46030</v>
      </c>
      <c r="P22" s="93" t="s">
        <v>624</v>
      </c>
      <c r="Q22" s="97" t="s">
        <v>424</v>
      </c>
      <c r="R22" s="97" t="s">
        <v>625</v>
      </c>
      <c r="S22" s="93"/>
      <c r="T22" s="93"/>
      <c r="U22" s="93"/>
      <c r="V22" s="93"/>
      <c r="W22" s="97"/>
      <c r="X22" s="100" t="s">
        <v>634</v>
      </c>
      <c r="Y22" s="120">
        <v>2.299</v>
      </c>
      <c r="Z22" s="103">
        <f t="shared" si="1"/>
        <v>124.15</v>
      </c>
      <c r="AA22" s="103">
        <f t="shared" si="2"/>
        <v>962.16</v>
      </c>
      <c r="AB22" s="58" t="s">
        <v>642</v>
      </c>
      <c r="AC22" s="93"/>
      <c r="AD22" s="93"/>
      <c r="AE22" s="93" t="str">
        <f>IFERROR(VLOOKUP(H22,名称!A:D,4,0),"")</f>
        <v>KIK</v>
      </c>
      <c r="AF22" s="98"/>
      <c r="AG22" s="105"/>
      <c r="AH22" s="105">
        <v>45987</v>
      </c>
      <c r="AI22" s="105">
        <v>45967</v>
      </c>
      <c r="AJ22" s="105"/>
      <c r="AK22" s="105"/>
      <c r="AL22" s="105"/>
      <c r="AM22" s="105"/>
      <c r="AN22" s="105">
        <v>45965</v>
      </c>
      <c r="AO22" s="106">
        <v>181</v>
      </c>
      <c r="AP22" s="106">
        <v>76</v>
      </c>
      <c r="AQ22" s="119"/>
      <c r="AR22" s="119"/>
      <c r="AS22" s="89" t="s">
        <v>636</v>
      </c>
    </row>
    <row r="23" s="89" customFormat="1" hidden="1" customHeight="1" spans="1:45">
      <c r="A23" s="93">
        <v>45862</v>
      </c>
      <c r="B23" s="93" t="s">
        <v>467</v>
      </c>
      <c r="C23" s="95" t="s">
        <v>235</v>
      </c>
      <c r="D23" s="93" t="s">
        <v>421</v>
      </c>
      <c r="E23" s="95" t="s">
        <v>422</v>
      </c>
      <c r="F23" s="96">
        <v>10107798</v>
      </c>
      <c r="G23" s="96">
        <v>4500031527</v>
      </c>
      <c r="H23" s="97" t="s">
        <v>97</v>
      </c>
      <c r="I23" s="98" t="str">
        <f>IFERROR(VLOOKUP(H23,名称!A:C,2,0),"")</f>
        <v>管道马里奥</v>
      </c>
      <c r="J23" s="99">
        <v>52</v>
      </c>
      <c r="K23" s="98">
        <f>IFERROR(VLOOKUP(H23,名称!A:D,3,0),"")</f>
        <v>4</v>
      </c>
      <c r="L23" s="100">
        <f t="shared" si="0"/>
        <v>13</v>
      </c>
      <c r="M23" s="93">
        <v>46043</v>
      </c>
      <c r="N23" s="93">
        <v>46041</v>
      </c>
      <c r="O23" s="93">
        <v>46029</v>
      </c>
      <c r="P23" s="93" t="s">
        <v>624</v>
      </c>
      <c r="Q23" s="97" t="s">
        <v>424</v>
      </c>
      <c r="R23" s="97" t="s">
        <v>625</v>
      </c>
      <c r="S23" s="93"/>
      <c r="T23" s="93"/>
      <c r="U23" s="93"/>
      <c r="V23" s="93"/>
      <c r="W23" s="97"/>
      <c r="X23" s="100"/>
      <c r="Y23" s="102">
        <v>3.216</v>
      </c>
      <c r="Z23" s="103">
        <f t="shared" si="1"/>
        <v>167.23</v>
      </c>
      <c r="AA23" s="103">
        <f t="shared" si="2"/>
        <v>1296.03</v>
      </c>
      <c r="AB23" s="58" t="s">
        <v>642</v>
      </c>
      <c r="AC23" s="93"/>
      <c r="AD23" s="93"/>
      <c r="AE23" s="93" t="str">
        <f>IFERROR(VLOOKUP(H23,名称!A:D,4,0),"")</f>
        <v>KIK</v>
      </c>
      <c r="AF23" s="98"/>
      <c r="AG23" s="105"/>
      <c r="AH23" s="105">
        <v>45987</v>
      </c>
      <c r="AI23" s="105">
        <v>45967</v>
      </c>
      <c r="AJ23" s="105"/>
      <c r="AK23" s="105"/>
      <c r="AL23" s="105"/>
      <c r="AM23" s="105"/>
      <c r="AN23" s="105">
        <v>45965</v>
      </c>
      <c r="AO23" s="106">
        <v>181</v>
      </c>
      <c r="AP23" s="106">
        <v>76</v>
      </c>
      <c r="AS23" s="107"/>
    </row>
    <row r="24" s="89" customFormat="1" hidden="1" customHeight="1" spans="1:45">
      <c r="A24" s="93">
        <v>46035</v>
      </c>
      <c r="B24" s="93" t="str">
        <f ca="1">IF(TODAY()&gt;=A24,IF(R24="","未",""),"")</f>
        <v>未</v>
      </c>
      <c r="C24" s="95" t="s">
        <v>248</v>
      </c>
      <c r="D24" s="93" t="s">
        <v>421</v>
      </c>
      <c r="E24" s="95" t="s">
        <v>422</v>
      </c>
      <c r="F24" s="96">
        <v>10118930</v>
      </c>
      <c r="G24" s="96" t="s">
        <v>250</v>
      </c>
      <c r="H24" s="97" t="s">
        <v>64</v>
      </c>
      <c r="I24" s="98" t="str">
        <f>IFERROR(VLOOKUP(H24,名称!A:C,2,0),"")</f>
        <v>泡泡壶密封盒</v>
      </c>
      <c r="J24" s="99">
        <v>2</v>
      </c>
      <c r="K24" s="98">
        <f>IFERROR(VLOOKUP(H24,名称!A:D,3,0),"")</f>
        <v>4</v>
      </c>
      <c r="L24" s="100">
        <f t="shared" si="0"/>
        <v>0.5</v>
      </c>
      <c r="M24" s="93">
        <v>46038</v>
      </c>
      <c r="N24" s="93">
        <f>M24-2</f>
        <v>46036</v>
      </c>
      <c r="O24" s="93">
        <v>46037</v>
      </c>
      <c r="P24" s="93" t="s">
        <v>624</v>
      </c>
      <c r="Q24" s="97" t="s">
        <v>424</v>
      </c>
      <c r="R24" s="97"/>
      <c r="S24" s="93"/>
      <c r="T24" s="93"/>
      <c r="U24" s="93"/>
      <c r="V24" s="93"/>
      <c r="W24" s="97"/>
      <c r="X24" s="100"/>
      <c r="Y24" s="102">
        <v>2.258</v>
      </c>
      <c r="Z24" s="103">
        <f t="shared" si="1"/>
        <v>4.52</v>
      </c>
      <c r="AA24" s="103">
        <f t="shared" si="2"/>
        <v>35.03</v>
      </c>
      <c r="AB24" s="58" t="s">
        <v>643</v>
      </c>
      <c r="AC24" s="93"/>
      <c r="AD24" s="93"/>
      <c r="AE24" s="93" t="str">
        <f>IFERROR(VLOOKUP(H24,名称!A:D,4,0),"")</f>
        <v>KIK</v>
      </c>
      <c r="AF24" s="98"/>
      <c r="AG24" s="105"/>
      <c r="AH24" s="105"/>
      <c r="AI24" s="105"/>
      <c r="AJ24" s="105"/>
      <c r="AK24" s="105"/>
      <c r="AL24" s="105"/>
      <c r="AM24" s="105"/>
      <c r="AN24" s="105"/>
      <c r="AO24" s="106">
        <f>M24-A24</f>
        <v>3</v>
      </c>
      <c r="AP24" s="106">
        <f>M24-AI24</f>
        <v>46038</v>
      </c>
      <c r="AQ24" s="107"/>
      <c r="AR24" s="107"/>
      <c r="AS24" s="107"/>
    </row>
    <row r="25" s="89" customFormat="1" hidden="1" customHeight="1" spans="1:45">
      <c r="A25" s="93">
        <v>45869</v>
      </c>
      <c r="B25" s="93" t="s">
        <v>467</v>
      </c>
      <c r="C25" s="95" t="s">
        <v>237</v>
      </c>
      <c r="D25" s="93" t="s">
        <v>427</v>
      </c>
      <c r="E25" s="95" t="s">
        <v>428</v>
      </c>
      <c r="F25" s="96">
        <v>10108291</v>
      </c>
      <c r="G25" s="96">
        <v>202520972529</v>
      </c>
      <c r="H25" s="97" t="s">
        <v>122</v>
      </c>
      <c r="I25" s="98" t="str">
        <f>IFERROR(VLOOKUP(H25,名称!A:C,2,0),"")</f>
        <v>马里奥和他的蘑菇</v>
      </c>
      <c r="J25" s="99">
        <v>3204</v>
      </c>
      <c r="K25" s="98">
        <f>IFERROR(VLOOKUP(H25,名称!A:D,3,0),"")</f>
        <v>6</v>
      </c>
      <c r="L25" s="100">
        <f t="shared" si="0"/>
        <v>534</v>
      </c>
      <c r="M25" s="93">
        <v>46057</v>
      </c>
      <c r="N25" s="93">
        <v>46048</v>
      </c>
      <c r="O25" s="93">
        <v>46059</v>
      </c>
      <c r="P25" s="93" t="s">
        <v>624</v>
      </c>
      <c r="Q25" s="97" t="s">
        <v>430</v>
      </c>
      <c r="R25" s="97" t="s">
        <v>627</v>
      </c>
      <c r="S25" s="93"/>
      <c r="T25" s="93"/>
      <c r="U25" s="93"/>
      <c r="V25" s="93"/>
      <c r="W25" s="97"/>
      <c r="X25" s="100" t="s">
        <v>628</v>
      </c>
      <c r="Y25" s="120">
        <v>1.413</v>
      </c>
      <c r="Z25" s="103">
        <f t="shared" si="1"/>
        <v>4527.25</v>
      </c>
      <c r="AA25" s="103">
        <f t="shared" si="2"/>
        <v>35086.19</v>
      </c>
      <c r="AB25" s="58" t="s">
        <v>644</v>
      </c>
      <c r="AC25" s="93"/>
      <c r="AD25" s="93"/>
      <c r="AE25" s="93" t="str">
        <f>IFERROR(VLOOKUP(H25,名称!A:D,4,0),"")</f>
        <v>KIK</v>
      </c>
      <c r="AF25" s="98"/>
      <c r="AG25" s="105"/>
      <c r="AH25" s="105">
        <v>45987</v>
      </c>
      <c r="AI25" s="105">
        <v>45967</v>
      </c>
      <c r="AJ25" s="105"/>
      <c r="AK25" s="105"/>
      <c r="AL25" s="105"/>
      <c r="AM25" s="105"/>
      <c r="AN25" s="105">
        <v>45965</v>
      </c>
      <c r="AO25" s="106">
        <v>181</v>
      </c>
      <c r="AP25" s="106">
        <v>83</v>
      </c>
      <c r="AQ25" s="121"/>
      <c r="AR25" s="121"/>
      <c r="AS25" s="107"/>
    </row>
    <row r="26" s="89" customFormat="1" hidden="1" customHeight="1" spans="1:45">
      <c r="A26" s="93">
        <v>45869</v>
      </c>
      <c r="B26" s="93" t="s">
        <v>467</v>
      </c>
      <c r="C26" s="95" t="s">
        <v>237</v>
      </c>
      <c r="D26" s="93" t="s">
        <v>427</v>
      </c>
      <c r="E26" s="95" t="s">
        <v>428</v>
      </c>
      <c r="F26" s="96">
        <v>10108291</v>
      </c>
      <c r="G26" s="96">
        <v>202520972529</v>
      </c>
      <c r="H26" s="97" t="s">
        <v>95</v>
      </c>
      <c r="I26" s="98" t="str">
        <f>IFERROR(VLOOKUP(H26,名称!A:C,2,0),"")</f>
        <v>宝箱马里奥</v>
      </c>
      <c r="J26" s="99">
        <v>2852</v>
      </c>
      <c r="K26" s="98">
        <f>IFERROR(VLOOKUP(H26,名称!A:D,3,0),"")</f>
        <v>4</v>
      </c>
      <c r="L26" s="100">
        <f t="shared" si="0"/>
        <v>713</v>
      </c>
      <c r="M26" s="93">
        <v>46057</v>
      </c>
      <c r="N26" s="93">
        <v>46048</v>
      </c>
      <c r="O26" s="93">
        <v>46057</v>
      </c>
      <c r="P26" s="93" t="s">
        <v>624</v>
      </c>
      <c r="Q26" s="97" t="s">
        <v>430</v>
      </c>
      <c r="R26" s="97" t="s">
        <v>625</v>
      </c>
      <c r="S26" s="93"/>
      <c r="T26" s="93"/>
      <c r="U26" s="93"/>
      <c r="V26" s="93"/>
      <c r="W26" s="97"/>
      <c r="X26" s="100"/>
      <c r="Y26" s="102">
        <v>2.205</v>
      </c>
      <c r="Z26" s="103">
        <f t="shared" si="1"/>
        <v>6288.66</v>
      </c>
      <c r="AA26" s="103">
        <f t="shared" si="2"/>
        <v>48737.12</v>
      </c>
      <c r="AB26" s="58" t="s">
        <v>644</v>
      </c>
      <c r="AC26" s="93"/>
      <c r="AD26" s="93"/>
      <c r="AE26" s="93" t="str">
        <f>IFERROR(VLOOKUP(H26,名称!A:D,4,0),"")</f>
        <v>KIK</v>
      </c>
      <c r="AF26" s="98"/>
      <c r="AG26" s="105"/>
      <c r="AH26" s="105">
        <v>45987</v>
      </c>
      <c r="AI26" s="105">
        <v>45967</v>
      </c>
      <c r="AJ26" s="105"/>
      <c r="AK26" s="105"/>
      <c r="AL26" s="105"/>
      <c r="AM26" s="105"/>
      <c r="AN26" s="105">
        <v>45965</v>
      </c>
      <c r="AO26" s="106">
        <v>181</v>
      </c>
      <c r="AP26" s="106">
        <v>83</v>
      </c>
      <c r="AQ26" s="119"/>
      <c r="AR26" s="119"/>
      <c r="AS26" s="119"/>
    </row>
    <row r="27" s="89" customFormat="1" hidden="1" customHeight="1" spans="1:45">
      <c r="A27" s="93">
        <v>45869</v>
      </c>
      <c r="B27" s="93" t="s">
        <v>467</v>
      </c>
      <c r="C27" s="95" t="s">
        <v>237</v>
      </c>
      <c r="D27" s="93" t="s">
        <v>427</v>
      </c>
      <c r="E27" s="95" t="s">
        <v>428</v>
      </c>
      <c r="F27" s="96">
        <v>10108291</v>
      </c>
      <c r="G27" s="96">
        <v>202520972529</v>
      </c>
      <c r="H27" s="97" t="s">
        <v>124</v>
      </c>
      <c r="I27" s="98" t="str">
        <f>IFERROR(VLOOKUP(H27,名称!A:C,2,0),"")</f>
        <v>马里奥能量蘑菇吸塑混装</v>
      </c>
      <c r="J27" s="99">
        <v>1002</v>
      </c>
      <c r="K27" s="98">
        <f>IFERROR(VLOOKUP(H27,名称!A:D,3,0),"")</f>
        <v>6</v>
      </c>
      <c r="L27" s="100">
        <f t="shared" si="0"/>
        <v>167</v>
      </c>
      <c r="M27" s="93">
        <v>46057</v>
      </c>
      <c r="N27" s="93">
        <v>46055</v>
      </c>
      <c r="O27" s="93">
        <v>46064</v>
      </c>
      <c r="P27" s="93" t="s">
        <v>624</v>
      </c>
      <c r="Q27" s="97" t="s">
        <v>430</v>
      </c>
      <c r="R27" s="97" t="s">
        <v>627</v>
      </c>
      <c r="S27" s="93"/>
      <c r="T27" s="93"/>
      <c r="U27" s="93"/>
      <c r="V27" s="93"/>
      <c r="W27" s="97"/>
      <c r="X27" s="122" t="s">
        <v>645</v>
      </c>
      <c r="Y27" s="102">
        <v>1.311</v>
      </c>
      <c r="Z27" s="103">
        <f t="shared" si="1"/>
        <v>1313.62</v>
      </c>
      <c r="AA27" s="103">
        <f t="shared" si="2"/>
        <v>10180.56</v>
      </c>
      <c r="AB27" s="58" t="s">
        <v>646</v>
      </c>
      <c r="AC27" s="93"/>
      <c r="AD27" s="93"/>
      <c r="AE27" s="93" t="str">
        <f>IFERROR(VLOOKUP(H27,名称!A:D,4,0),"")</f>
        <v>KIK</v>
      </c>
      <c r="AF27" s="98"/>
      <c r="AG27" s="105"/>
      <c r="AH27" s="105">
        <v>45987</v>
      </c>
      <c r="AI27" s="105">
        <v>45967</v>
      </c>
      <c r="AJ27" s="105"/>
      <c r="AK27" s="105"/>
      <c r="AL27" s="105"/>
      <c r="AM27" s="105"/>
      <c r="AN27" s="105">
        <v>45965</v>
      </c>
      <c r="AO27" s="106">
        <v>188</v>
      </c>
      <c r="AP27" s="106">
        <v>90</v>
      </c>
      <c r="AQ27" s="119"/>
      <c r="AR27" s="119"/>
      <c r="AS27" s="119"/>
    </row>
    <row r="28" s="89" customFormat="1" hidden="1" customHeight="1" spans="1:45">
      <c r="A28" s="93">
        <v>45869</v>
      </c>
      <c r="B28" s="93" t="s">
        <v>467</v>
      </c>
      <c r="C28" s="95" t="s">
        <v>237</v>
      </c>
      <c r="D28" s="93" t="s">
        <v>427</v>
      </c>
      <c r="E28" s="95" t="s">
        <v>428</v>
      </c>
      <c r="F28" s="96">
        <v>10108291</v>
      </c>
      <c r="G28" s="96">
        <v>202520972529</v>
      </c>
      <c r="H28" s="97" t="s">
        <v>123</v>
      </c>
      <c r="I28" s="98" t="str">
        <f>IFERROR(VLOOKUP(H28,名称!A:C,2,0),"")</f>
        <v>能量蘑菇</v>
      </c>
      <c r="J28" s="99">
        <v>1800</v>
      </c>
      <c r="K28" s="98">
        <f>IFERROR(VLOOKUP(H28,名称!A:D,3,0),"")</f>
        <v>6</v>
      </c>
      <c r="L28" s="100">
        <f t="shared" si="0"/>
        <v>300</v>
      </c>
      <c r="M28" s="93">
        <v>46057</v>
      </c>
      <c r="N28" s="93">
        <v>46055</v>
      </c>
      <c r="O28" s="93">
        <v>46063</v>
      </c>
      <c r="P28" s="93" t="s">
        <v>624</v>
      </c>
      <c r="Q28" s="97" t="s">
        <v>430</v>
      </c>
      <c r="R28" s="97" t="s">
        <v>627</v>
      </c>
      <c r="S28" s="93"/>
      <c r="T28" s="93"/>
      <c r="U28" s="93"/>
      <c r="V28" s="93"/>
      <c r="W28" s="97"/>
      <c r="X28" s="100" t="s">
        <v>647</v>
      </c>
      <c r="Y28" s="120">
        <v>1.278</v>
      </c>
      <c r="Z28" s="103">
        <f t="shared" si="1"/>
        <v>2300.4</v>
      </c>
      <c r="AA28" s="103">
        <f t="shared" si="2"/>
        <v>17828.1</v>
      </c>
      <c r="AB28" s="58" t="s">
        <v>646</v>
      </c>
      <c r="AC28" s="93"/>
      <c r="AD28" s="93"/>
      <c r="AE28" s="93" t="str">
        <f>IFERROR(VLOOKUP(H28,名称!A:D,4,0),"")</f>
        <v>KIK</v>
      </c>
      <c r="AF28" s="98"/>
      <c r="AG28" s="105"/>
      <c r="AH28" s="105">
        <v>45987</v>
      </c>
      <c r="AI28" s="105">
        <v>45967</v>
      </c>
      <c r="AJ28" s="105"/>
      <c r="AK28" s="105"/>
      <c r="AL28" s="105"/>
      <c r="AM28" s="105"/>
      <c r="AN28" s="105">
        <v>45965</v>
      </c>
      <c r="AO28" s="106">
        <v>188</v>
      </c>
      <c r="AP28" s="106">
        <v>90</v>
      </c>
      <c r="AQ28" s="119"/>
      <c r="AR28" s="119"/>
      <c r="AS28" s="107"/>
    </row>
    <row r="29" s="89" customFormat="1" hidden="1" customHeight="1" spans="1:45">
      <c r="A29" s="93">
        <v>45850</v>
      </c>
      <c r="B29" s="93" t="s">
        <v>467</v>
      </c>
      <c r="C29" s="95" t="s">
        <v>236</v>
      </c>
      <c r="D29" s="93" t="s">
        <v>442</v>
      </c>
      <c r="E29" s="95" t="s">
        <v>519</v>
      </c>
      <c r="F29" s="96">
        <v>10107306</v>
      </c>
      <c r="G29" s="96">
        <v>20218498</v>
      </c>
      <c r="H29" s="97" t="s">
        <v>48</v>
      </c>
      <c r="I29" s="98" t="str">
        <f>IFERROR(VLOOKUP(H29,名称!A:C,2,0),"")</f>
        <v>布鲁伊家族杯子套装</v>
      </c>
      <c r="J29" s="99">
        <v>1800</v>
      </c>
      <c r="K29" s="98">
        <f>IFERROR(VLOOKUP(H29,名称!A:D,3,0),"")</f>
        <v>4</v>
      </c>
      <c r="L29" s="100">
        <f t="shared" si="0"/>
        <v>450</v>
      </c>
      <c r="M29" s="93">
        <v>46036</v>
      </c>
      <c r="N29" s="93">
        <v>46034</v>
      </c>
      <c r="O29" s="93">
        <v>45951</v>
      </c>
      <c r="P29" s="93" t="s">
        <v>648</v>
      </c>
      <c r="Q29" s="97" t="s">
        <v>430</v>
      </c>
      <c r="R29" s="97" t="s">
        <v>649</v>
      </c>
      <c r="S29" s="93"/>
      <c r="T29" s="93"/>
      <c r="U29" s="93"/>
      <c r="V29" s="93"/>
      <c r="W29" s="97" t="s">
        <v>522</v>
      </c>
      <c r="X29" s="100"/>
      <c r="Y29" s="102">
        <v>2.199</v>
      </c>
      <c r="Z29" s="103">
        <f t="shared" si="1"/>
        <v>3958.2</v>
      </c>
      <c r="AA29" s="103">
        <f t="shared" si="2"/>
        <v>30676.05</v>
      </c>
      <c r="AB29" s="58" t="s">
        <v>650</v>
      </c>
      <c r="AC29" s="93"/>
      <c r="AD29" s="93"/>
      <c r="AE29" s="93" t="str">
        <f>IFERROR(VLOOKUP(H29,名称!A:D,4,0),"")</f>
        <v>KIK</v>
      </c>
      <c r="AF29" s="98"/>
      <c r="AG29" s="105"/>
      <c r="AH29" s="105"/>
      <c r="AI29" s="105">
        <v>45869</v>
      </c>
      <c r="AJ29" s="105" t="s">
        <v>651</v>
      </c>
      <c r="AK29" s="105"/>
      <c r="AL29" s="105"/>
      <c r="AM29" s="105"/>
      <c r="AN29" s="105">
        <v>45863</v>
      </c>
      <c r="AO29" s="106">
        <v>186</v>
      </c>
      <c r="AP29" s="106" t="e">
        <v>#REF!</v>
      </c>
      <c r="AS29" s="107"/>
    </row>
    <row r="30" s="89" customFormat="1" hidden="1" customHeight="1" spans="1:45">
      <c r="A30" s="93">
        <v>45868</v>
      </c>
      <c r="B30" s="93" t="s">
        <v>467</v>
      </c>
      <c r="C30" s="95" t="s">
        <v>236</v>
      </c>
      <c r="D30" s="93" t="s">
        <v>442</v>
      </c>
      <c r="E30" s="95" t="s">
        <v>519</v>
      </c>
      <c r="F30" s="96">
        <v>10108133</v>
      </c>
      <c r="G30" s="96">
        <v>20218536</v>
      </c>
      <c r="H30" s="97" t="s">
        <v>53</v>
      </c>
      <c r="I30" s="98" t="str">
        <f>IFERROR(VLOOKUP(H30,名称!A:C,2,0),"")</f>
        <v>布鲁伊+宾果沐浴玩具混装</v>
      </c>
      <c r="J30" s="99">
        <v>3000</v>
      </c>
      <c r="K30" s="98">
        <f>IFERROR(VLOOKUP(H30,名称!A:D,3,0),"")</f>
        <v>6</v>
      </c>
      <c r="L30" s="100">
        <f t="shared" si="0"/>
        <v>500</v>
      </c>
      <c r="M30" s="93">
        <v>46036</v>
      </c>
      <c r="N30" s="93">
        <v>46034</v>
      </c>
      <c r="O30" s="93">
        <v>46034</v>
      </c>
      <c r="P30" s="93" t="s">
        <v>652</v>
      </c>
      <c r="Q30" s="97" t="s">
        <v>430</v>
      </c>
      <c r="R30" s="97" t="s">
        <v>653</v>
      </c>
      <c r="S30" s="93" t="s">
        <v>654</v>
      </c>
      <c r="T30" s="93"/>
      <c r="U30" s="93"/>
      <c r="V30" s="93"/>
      <c r="W30" s="97" t="s">
        <v>522</v>
      </c>
      <c r="X30" s="100"/>
      <c r="Y30" s="102">
        <v>1.398</v>
      </c>
      <c r="Z30" s="103">
        <f t="shared" si="1"/>
        <v>4194</v>
      </c>
      <c r="AA30" s="103">
        <f t="shared" si="2"/>
        <v>32503.5</v>
      </c>
      <c r="AB30" s="58" t="s">
        <v>650</v>
      </c>
      <c r="AC30" s="93"/>
      <c r="AD30" s="93"/>
      <c r="AE30" s="93" t="str">
        <f>IFERROR(VLOOKUP(H30,名称!A:D,4,0),"")</f>
        <v>KIK</v>
      </c>
      <c r="AF30" s="98"/>
      <c r="AG30" s="105"/>
      <c r="AH30" s="105"/>
      <c r="AI30" s="105">
        <v>45869</v>
      </c>
      <c r="AJ30" s="105"/>
      <c r="AK30" s="105"/>
      <c r="AL30" s="105"/>
      <c r="AM30" s="105"/>
      <c r="AN30" s="105"/>
      <c r="AO30" s="106">
        <v>168</v>
      </c>
      <c r="AP30" s="106">
        <v>167</v>
      </c>
      <c r="AS30" s="107"/>
    </row>
    <row r="31" s="89" customFormat="1" hidden="1" customHeight="1" spans="1:45">
      <c r="A31" s="93">
        <v>45882</v>
      </c>
      <c r="B31" s="93" t="s">
        <v>467</v>
      </c>
      <c r="C31" s="95" t="s">
        <v>236</v>
      </c>
      <c r="D31" s="93" t="s">
        <v>442</v>
      </c>
      <c r="E31" s="95" t="s">
        <v>519</v>
      </c>
      <c r="F31" s="96">
        <v>10109047</v>
      </c>
      <c r="G31" s="96">
        <v>20218559</v>
      </c>
      <c r="H31" s="97" t="s">
        <v>102</v>
      </c>
      <c r="I31" s="98" t="str">
        <f>IFERROR(VLOOKUP(H31,名称!A:C,2,0),"")</f>
        <v>杯子</v>
      </c>
      <c r="J31" s="99">
        <v>2502</v>
      </c>
      <c r="K31" s="98">
        <f>IFERROR(VLOOKUP(H31,名称!A:D,3,0),"")</f>
        <v>18</v>
      </c>
      <c r="L31" s="100">
        <f t="shared" si="0"/>
        <v>139</v>
      </c>
      <c r="M31" s="93">
        <v>46036</v>
      </c>
      <c r="N31" s="93">
        <v>46034</v>
      </c>
      <c r="O31" s="93">
        <v>46031</v>
      </c>
      <c r="P31" s="93" t="s">
        <v>655</v>
      </c>
      <c r="Q31" s="97" t="s">
        <v>430</v>
      </c>
      <c r="R31" s="97" t="s">
        <v>656</v>
      </c>
      <c r="S31" s="93"/>
      <c r="T31" s="93"/>
      <c r="U31" s="93"/>
      <c r="V31" s="93"/>
      <c r="W31" s="97"/>
      <c r="X31" s="100"/>
      <c r="Y31" s="102">
        <v>1.133</v>
      </c>
      <c r="Z31" s="103">
        <f t="shared" si="1"/>
        <v>2834.77</v>
      </c>
      <c r="AA31" s="103">
        <f t="shared" si="2"/>
        <v>21969.47</v>
      </c>
      <c r="AB31" s="58" t="s">
        <v>650</v>
      </c>
      <c r="AC31" s="93"/>
      <c r="AD31" s="93"/>
      <c r="AE31" s="93" t="str">
        <f>IFERROR(VLOOKUP(H31,名称!A:D,4,0),"")</f>
        <v>KIK</v>
      </c>
      <c r="AF31" s="98"/>
      <c r="AG31" s="105"/>
      <c r="AH31" s="105">
        <v>45980</v>
      </c>
      <c r="AI31" s="105">
        <v>45960</v>
      </c>
      <c r="AJ31" s="105"/>
      <c r="AK31" s="105"/>
      <c r="AL31" s="105"/>
      <c r="AM31" s="105"/>
      <c r="AN31" s="105">
        <v>45958</v>
      </c>
      <c r="AO31" s="106">
        <v>154</v>
      </c>
      <c r="AP31" s="106">
        <v>76</v>
      </c>
    </row>
    <row r="32" s="89" customFormat="1" hidden="1" customHeight="1" spans="1:45">
      <c r="A32" s="93">
        <v>45910</v>
      </c>
      <c r="B32" s="93" t="s">
        <v>467</v>
      </c>
      <c r="C32" s="95" t="s">
        <v>236</v>
      </c>
      <c r="D32" s="93" t="s">
        <v>442</v>
      </c>
      <c r="E32" s="95" t="s">
        <v>443</v>
      </c>
      <c r="F32" s="96">
        <v>10111036</v>
      </c>
      <c r="G32" s="96">
        <v>20218614</v>
      </c>
      <c r="H32" s="97" t="s">
        <v>95</v>
      </c>
      <c r="I32" s="98" t="str">
        <f>IFERROR(VLOOKUP(H32,名称!A:C,2,0),"")</f>
        <v>宝箱马里奥</v>
      </c>
      <c r="J32" s="99">
        <v>3200</v>
      </c>
      <c r="K32" s="98">
        <f>IFERROR(VLOOKUP(H32,名称!A:D,3,0),"")</f>
        <v>4</v>
      </c>
      <c r="L32" s="100">
        <f t="shared" si="0"/>
        <v>800</v>
      </c>
      <c r="M32" s="93">
        <v>46036</v>
      </c>
      <c r="N32" s="93">
        <v>46034</v>
      </c>
      <c r="O32" s="93">
        <v>46037</v>
      </c>
      <c r="P32" s="93" t="s">
        <v>624</v>
      </c>
      <c r="Q32" s="97" t="s">
        <v>430</v>
      </c>
      <c r="R32" s="97" t="s">
        <v>625</v>
      </c>
      <c r="S32" s="93"/>
      <c r="T32" s="93"/>
      <c r="U32" s="93"/>
      <c r="V32" s="93"/>
      <c r="W32" s="97"/>
      <c r="X32" s="100"/>
      <c r="Y32" s="102">
        <v>2.205</v>
      </c>
      <c r="Z32" s="103">
        <f t="shared" si="1"/>
        <v>7056</v>
      </c>
      <c r="AA32" s="103">
        <f t="shared" si="2"/>
        <v>54684</v>
      </c>
      <c r="AB32" s="58" t="s">
        <v>650</v>
      </c>
      <c r="AC32" s="93"/>
      <c r="AD32" s="93"/>
      <c r="AE32" s="93" t="str">
        <f>IFERROR(VLOOKUP(H32,名称!A:D,4,0),"")</f>
        <v>KIK</v>
      </c>
      <c r="AF32" s="98"/>
      <c r="AG32" s="105"/>
      <c r="AH32" s="105">
        <v>45987</v>
      </c>
      <c r="AI32" s="105">
        <v>45967</v>
      </c>
      <c r="AJ32" s="105"/>
      <c r="AK32" s="105"/>
      <c r="AL32" s="105"/>
      <c r="AM32" s="105"/>
      <c r="AN32" s="105"/>
      <c r="AO32" s="106">
        <v>126</v>
      </c>
      <c r="AP32" s="106">
        <v>69</v>
      </c>
      <c r="AQ32" s="107"/>
      <c r="AR32" s="107"/>
      <c r="AS32" s="107"/>
    </row>
    <row r="33" s="89" customFormat="1" hidden="1" customHeight="1" spans="1:45">
      <c r="A33" s="93">
        <v>45910</v>
      </c>
      <c r="B33" s="93" t="s">
        <v>467</v>
      </c>
      <c r="C33" s="95" t="s">
        <v>236</v>
      </c>
      <c r="D33" s="93" t="s">
        <v>442</v>
      </c>
      <c r="E33" s="95" t="s">
        <v>443</v>
      </c>
      <c r="F33" s="96">
        <v>10111036</v>
      </c>
      <c r="G33" s="96">
        <v>20218614</v>
      </c>
      <c r="H33" s="97" t="s">
        <v>97</v>
      </c>
      <c r="I33" s="98" t="str">
        <f>IFERROR(VLOOKUP(H33,名称!A:C,2,0),"")</f>
        <v>管道马里奥</v>
      </c>
      <c r="J33" s="99">
        <v>3200</v>
      </c>
      <c r="K33" s="98">
        <f>IFERROR(VLOOKUP(H33,名称!A:D,3,0),"")</f>
        <v>4</v>
      </c>
      <c r="L33" s="100">
        <f t="shared" si="0"/>
        <v>800</v>
      </c>
      <c r="M33" s="93">
        <v>46036</v>
      </c>
      <c r="N33" s="93">
        <v>46034</v>
      </c>
      <c r="O33" s="93">
        <v>46044</v>
      </c>
      <c r="P33" s="93" t="s">
        <v>624</v>
      </c>
      <c r="Q33" s="97" t="s">
        <v>430</v>
      </c>
      <c r="R33" s="97" t="s">
        <v>627</v>
      </c>
      <c r="S33" s="93"/>
      <c r="T33" s="93"/>
      <c r="U33" s="93"/>
      <c r="V33" s="93"/>
      <c r="W33" s="97"/>
      <c r="X33" s="100"/>
      <c r="Y33" s="102">
        <v>3.362</v>
      </c>
      <c r="Z33" s="103">
        <f t="shared" si="1"/>
        <v>10758.4</v>
      </c>
      <c r="AA33" s="103">
        <f t="shared" si="2"/>
        <v>83377.6</v>
      </c>
      <c r="AB33" s="58" t="s">
        <v>650</v>
      </c>
      <c r="AC33" s="93"/>
      <c r="AD33" s="93"/>
      <c r="AE33" s="93" t="str">
        <f>IFERROR(VLOOKUP(H33,名称!A:D,4,0),"")</f>
        <v>KIK</v>
      </c>
      <c r="AF33" s="98"/>
      <c r="AG33" s="105"/>
      <c r="AH33" s="105">
        <v>45987</v>
      </c>
      <c r="AI33" s="105">
        <v>45967</v>
      </c>
      <c r="AJ33" s="105"/>
      <c r="AK33" s="105"/>
      <c r="AL33" s="105"/>
      <c r="AM33" s="105"/>
      <c r="AN33" s="105"/>
      <c r="AO33" s="106">
        <v>126</v>
      </c>
      <c r="AP33" s="106">
        <v>69</v>
      </c>
      <c r="AQ33" s="107"/>
      <c r="AR33" s="107"/>
      <c r="AS33" s="107"/>
    </row>
    <row r="34" s="89" customFormat="1" hidden="1" customHeight="1" spans="1:45">
      <c r="A34" s="93">
        <v>45950</v>
      </c>
      <c r="B34" s="93" t="str">
        <f ca="1">IF(TODAY()&gt;=A34,IF(R34="","未",""),"")</f>
        <v>未</v>
      </c>
      <c r="C34" s="95"/>
      <c r="D34" s="93"/>
      <c r="E34" s="95"/>
      <c r="F34" s="96">
        <v>4500142654</v>
      </c>
      <c r="G34" s="96"/>
      <c r="H34" s="97" t="s">
        <v>104</v>
      </c>
      <c r="I34" s="98" t="str">
        <f>IFERROR(VLOOKUP(H34,名称!A:C,2,0),"")</f>
        <v>泡泡壶</v>
      </c>
      <c r="J34" s="99">
        <v>8100</v>
      </c>
      <c r="K34" s="98">
        <f>IFERROR(VLOOKUP(H34,名称!A:D,3,0),"")</f>
        <v>4</v>
      </c>
      <c r="L34" s="100">
        <f t="shared" si="0"/>
        <v>2025</v>
      </c>
      <c r="M34" s="93">
        <v>46021</v>
      </c>
      <c r="N34" s="93">
        <f>M34-2</f>
        <v>46019</v>
      </c>
      <c r="O34" s="93"/>
      <c r="P34" s="93" t="s">
        <v>657</v>
      </c>
      <c r="Q34" s="97"/>
      <c r="R34" s="97"/>
      <c r="S34" s="93"/>
      <c r="T34" s="93"/>
      <c r="U34" s="93"/>
      <c r="V34" s="93"/>
      <c r="W34" s="97"/>
      <c r="X34" s="100" t="s">
        <v>658</v>
      </c>
      <c r="Y34" s="102">
        <v>2.354</v>
      </c>
      <c r="Z34" s="103">
        <f t="shared" si="1"/>
        <v>19067.4</v>
      </c>
      <c r="AA34" s="103">
        <f t="shared" si="2"/>
        <v>147772.35</v>
      </c>
      <c r="AB34" s="58" t="s">
        <v>659</v>
      </c>
      <c r="AC34" s="93"/>
      <c r="AD34" s="93"/>
      <c r="AE34" s="93" t="str">
        <f>IFERROR(VLOOKUP(H34,名称!A:D,4,0),"")</f>
        <v>KIK</v>
      </c>
      <c r="AF34" s="98"/>
      <c r="AG34" s="105"/>
      <c r="AH34" s="105">
        <v>46000</v>
      </c>
      <c r="AI34" s="105">
        <v>45974</v>
      </c>
      <c r="AJ34" s="105"/>
      <c r="AK34" s="105"/>
      <c r="AL34" s="105">
        <v>45967</v>
      </c>
      <c r="AM34" s="105"/>
      <c r="AN34" s="105">
        <v>45973</v>
      </c>
      <c r="AO34" s="106">
        <f>M34-A34</f>
        <v>71</v>
      </c>
      <c r="AP34" s="106">
        <f>M34-AI34</f>
        <v>47</v>
      </c>
      <c r="AQ34" s="107"/>
      <c r="AR34" s="107"/>
      <c r="AS34" s="107"/>
    </row>
    <row r="35" s="89" customFormat="1" hidden="1" customHeight="1" spans="1:45">
      <c r="A35" s="93">
        <v>46028</v>
      </c>
      <c r="B35" s="93" t="s">
        <v>660</v>
      </c>
      <c r="C35" s="95" t="s">
        <v>236</v>
      </c>
      <c r="D35" s="93" t="s">
        <v>442</v>
      </c>
      <c r="E35" s="95" t="s">
        <v>443</v>
      </c>
      <c r="F35" s="96">
        <v>10118438</v>
      </c>
      <c r="G35" s="96" t="s">
        <v>246</v>
      </c>
      <c r="H35" s="97" t="s">
        <v>97</v>
      </c>
      <c r="I35" s="98" t="str">
        <f>IFERROR(VLOOKUP(H35,名称!A:C,2,0),"")</f>
        <v>管道马里奥</v>
      </c>
      <c r="J35" s="99">
        <v>4</v>
      </c>
      <c r="K35" s="98">
        <f>IFERROR(VLOOKUP(H35,名称!A:D,3,0),"")</f>
        <v>4</v>
      </c>
      <c r="L35" s="100">
        <f t="shared" si="0"/>
        <v>1</v>
      </c>
      <c r="M35" s="93">
        <v>46050</v>
      </c>
      <c r="N35" s="93">
        <v>46048</v>
      </c>
      <c r="O35" s="93"/>
      <c r="P35" s="93" t="s">
        <v>624</v>
      </c>
      <c r="Q35" s="97" t="s">
        <v>430</v>
      </c>
      <c r="R35" s="97"/>
      <c r="S35" s="93"/>
      <c r="T35" s="93"/>
      <c r="U35" s="93"/>
      <c r="V35" s="93"/>
      <c r="W35" s="97"/>
      <c r="X35" s="100" t="s">
        <v>661</v>
      </c>
      <c r="Y35" s="102">
        <v>3.216</v>
      </c>
      <c r="Z35" s="103">
        <f t="shared" si="1"/>
        <v>12.86</v>
      </c>
      <c r="AA35" s="103">
        <f t="shared" si="2"/>
        <v>99.67</v>
      </c>
      <c r="AB35" s="58" t="s">
        <v>662</v>
      </c>
      <c r="AC35" s="93"/>
      <c r="AD35" s="93"/>
      <c r="AE35" s="93" t="str">
        <f>IFERROR(VLOOKUP(H35,名称!A:D,4,0),"")</f>
        <v>KIK</v>
      </c>
      <c r="AF35" s="98"/>
      <c r="AG35" s="105"/>
      <c r="AH35" s="105"/>
      <c r="AI35" s="105"/>
      <c r="AJ35" s="105"/>
      <c r="AK35" s="105"/>
      <c r="AL35" s="105"/>
      <c r="AM35" s="105"/>
      <c r="AN35" s="105"/>
      <c r="AO35" s="106">
        <v>22</v>
      </c>
      <c r="AP35" s="106">
        <v>46050</v>
      </c>
      <c r="AQ35" s="107"/>
      <c r="AR35" s="107"/>
      <c r="AS35" s="107"/>
    </row>
    <row r="36" s="89" customFormat="1" hidden="1" customHeight="1" spans="1:45">
      <c r="A36" s="93">
        <v>46028</v>
      </c>
      <c r="B36" s="93" t="s">
        <v>660</v>
      </c>
      <c r="C36" s="95" t="s">
        <v>236</v>
      </c>
      <c r="D36" s="93" t="s">
        <v>442</v>
      </c>
      <c r="E36" s="95" t="s">
        <v>443</v>
      </c>
      <c r="F36" s="96">
        <v>10118438</v>
      </c>
      <c r="G36" s="96" t="s">
        <v>246</v>
      </c>
      <c r="H36" s="97" t="s">
        <v>124</v>
      </c>
      <c r="I36" s="98" t="str">
        <f>IFERROR(VLOOKUP(H36,名称!A:C,2,0),"")</f>
        <v>马里奥能量蘑菇吸塑混装</v>
      </c>
      <c r="J36" s="99">
        <v>6</v>
      </c>
      <c r="K36" s="98">
        <f>IFERROR(VLOOKUP(H36,名称!A:D,3,0),"")</f>
        <v>6</v>
      </c>
      <c r="L36" s="100">
        <f t="shared" si="0"/>
        <v>1</v>
      </c>
      <c r="M36" s="93">
        <v>46057</v>
      </c>
      <c r="N36" s="93">
        <v>46055</v>
      </c>
      <c r="O36" s="93"/>
      <c r="P36" s="93" t="s">
        <v>624</v>
      </c>
      <c r="Q36" s="97" t="s">
        <v>430</v>
      </c>
      <c r="R36" s="97"/>
      <c r="S36" s="93"/>
      <c r="T36" s="93"/>
      <c r="U36" s="93"/>
      <c r="V36" s="93"/>
      <c r="W36" s="97"/>
      <c r="X36" s="100" t="s">
        <v>661</v>
      </c>
      <c r="Y36" s="102">
        <v>1.271</v>
      </c>
      <c r="Z36" s="103">
        <f t="shared" si="1"/>
        <v>7.63</v>
      </c>
      <c r="AA36" s="103">
        <f t="shared" si="2"/>
        <v>59.13</v>
      </c>
      <c r="AB36" s="58" t="s">
        <v>662</v>
      </c>
      <c r="AC36" s="93"/>
      <c r="AD36" s="93"/>
      <c r="AE36" s="93" t="str">
        <f>IFERROR(VLOOKUP(H36,名称!A:D,4,0),"")</f>
        <v>KIK</v>
      </c>
      <c r="AF36" s="98"/>
      <c r="AG36" s="105"/>
      <c r="AH36" s="105"/>
      <c r="AI36" s="105"/>
      <c r="AJ36" s="105"/>
      <c r="AK36" s="105"/>
      <c r="AL36" s="105"/>
      <c r="AM36" s="105"/>
      <c r="AN36" s="105"/>
      <c r="AO36" s="106">
        <v>29</v>
      </c>
      <c r="AP36" s="106">
        <v>46057</v>
      </c>
      <c r="AQ36" s="107"/>
      <c r="AR36" s="107"/>
      <c r="AS36" s="107"/>
    </row>
    <row r="37" s="89" customFormat="1" hidden="1" customHeight="1" spans="1:45">
      <c r="A37" s="93">
        <v>46028</v>
      </c>
      <c r="B37" s="93" t="s">
        <v>660</v>
      </c>
      <c r="C37" s="95" t="s">
        <v>236</v>
      </c>
      <c r="D37" s="93" t="s">
        <v>442</v>
      </c>
      <c r="E37" s="95" t="s">
        <v>443</v>
      </c>
      <c r="F37" s="96">
        <v>10118438</v>
      </c>
      <c r="G37" s="96" t="s">
        <v>246</v>
      </c>
      <c r="H37" s="97" t="s">
        <v>95</v>
      </c>
      <c r="I37" s="98" t="str">
        <f>IFERROR(VLOOKUP(H37,名称!A:C,2,0),"")</f>
        <v>宝箱马里奥</v>
      </c>
      <c r="J37" s="99">
        <v>4</v>
      </c>
      <c r="K37" s="98">
        <f>IFERROR(VLOOKUP(H37,名称!A:D,3,0),"")</f>
        <v>4</v>
      </c>
      <c r="L37" s="100">
        <f t="shared" si="0"/>
        <v>1</v>
      </c>
      <c r="M37" s="93">
        <v>46050</v>
      </c>
      <c r="N37" s="93">
        <v>46048</v>
      </c>
      <c r="O37" s="93"/>
      <c r="P37" s="93" t="s">
        <v>624</v>
      </c>
      <c r="Q37" s="97" t="s">
        <v>430</v>
      </c>
      <c r="R37" s="97"/>
      <c r="S37" s="93"/>
      <c r="T37" s="93"/>
      <c r="U37" s="93"/>
      <c r="V37" s="93"/>
      <c r="W37" s="97"/>
      <c r="X37" s="100" t="s">
        <v>661</v>
      </c>
      <c r="Y37" s="102">
        <v>2.158</v>
      </c>
      <c r="Z37" s="103">
        <f t="shared" si="1"/>
        <v>8.63</v>
      </c>
      <c r="AA37" s="103">
        <f t="shared" si="2"/>
        <v>66.88</v>
      </c>
      <c r="AB37" s="58" t="s">
        <v>662</v>
      </c>
      <c r="AC37" s="93"/>
      <c r="AD37" s="93"/>
      <c r="AE37" s="93" t="str">
        <f>IFERROR(VLOOKUP(H37,名称!A:D,4,0),"")</f>
        <v>KIK</v>
      </c>
      <c r="AF37" s="98"/>
      <c r="AG37" s="105"/>
      <c r="AH37" s="105"/>
      <c r="AI37" s="105"/>
      <c r="AJ37" s="105"/>
      <c r="AK37" s="105"/>
      <c r="AL37" s="105"/>
      <c r="AM37" s="105"/>
      <c r="AN37" s="105"/>
      <c r="AO37" s="106">
        <v>22</v>
      </c>
      <c r="AP37" s="106">
        <v>46050</v>
      </c>
      <c r="AQ37" s="107"/>
      <c r="AR37" s="107"/>
      <c r="AS37" s="107"/>
    </row>
    <row r="38" s="89" customFormat="1" hidden="1" customHeight="1" spans="1:45">
      <c r="A38" s="93">
        <v>46032</v>
      </c>
      <c r="B38" s="93" t="s">
        <v>660</v>
      </c>
      <c r="C38" s="95" t="s">
        <v>248</v>
      </c>
      <c r="D38" s="93" t="s">
        <v>421</v>
      </c>
      <c r="E38" s="95" t="s">
        <v>422</v>
      </c>
      <c r="F38" s="96">
        <v>10118881</v>
      </c>
      <c r="G38" s="96" t="s">
        <v>249</v>
      </c>
      <c r="H38" s="97" t="s">
        <v>97</v>
      </c>
      <c r="I38" s="98" t="str">
        <f>IFERROR(VLOOKUP(H38,名称!A:C,2,0),"")</f>
        <v>管道马里奥</v>
      </c>
      <c r="J38" s="99">
        <v>27</v>
      </c>
      <c r="K38" s="98">
        <f>IFERROR(VLOOKUP(H38,名称!A:D,3,0),"")</f>
        <v>4</v>
      </c>
      <c r="L38" s="100">
        <f t="shared" si="0"/>
        <v>6.75</v>
      </c>
      <c r="M38" s="93">
        <v>46050</v>
      </c>
      <c r="N38" s="93">
        <v>46048</v>
      </c>
      <c r="O38" s="93">
        <v>46052</v>
      </c>
      <c r="P38" s="93" t="s">
        <v>624</v>
      </c>
      <c r="Q38" s="97" t="s">
        <v>424</v>
      </c>
      <c r="R38" s="97"/>
      <c r="S38" s="93"/>
      <c r="T38" s="93"/>
      <c r="U38" s="93"/>
      <c r="V38" s="93"/>
      <c r="W38" s="97"/>
      <c r="X38" s="123" t="s">
        <v>663</v>
      </c>
      <c r="Y38" s="102">
        <v>3.216</v>
      </c>
      <c r="Z38" s="103">
        <f t="shared" si="1"/>
        <v>86.83</v>
      </c>
      <c r="AA38" s="103">
        <f t="shared" si="2"/>
        <v>672.93</v>
      </c>
      <c r="AB38" s="58" t="s">
        <v>664</v>
      </c>
      <c r="AC38" s="93"/>
      <c r="AD38" s="93"/>
      <c r="AE38" s="93" t="str">
        <f>IFERROR(VLOOKUP(H38,名称!A:D,4,0),"")</f>
        <v>KIK</v>
      </c>
      <c r="AF38" s="98"/>
      <c r="AG38" s="105"/>
      <c r="AH38" s="105"/>
      <c r="AI38" s="105"/>
      <c r="AJ38" s="105"/>
      <c r="AK38" s="105"/>
      <c r="AL38" s="105"/>
      <c r="AM38" s="105"/>
      <c r="AN38" s="105"/>
      <c r="AO38" s="106">
        <v>18</v>
      </c>
      <c r="AP38" s="106">
        <v>46050</v>
      </c>
      <c r="AQ38" s="107"/>
      <c r="AR38" s="107"/>
      <c r="AS38" s="107"/>
    </row>
    <row r="39" s="89" customFormat="1" hidden="1" customHeight="1" spans="1:45">
      <c r="A39" s="93">
        <v>46032</v>
      </c>
      <c r="B39" s="93" t="s">
        <v>660</v>
      </c>
      <c r="C39" s="95" t="s">
        <v>248</v>
      </c>
      <c r="D39" s="93" t="s">
        <v>421</v>
      </c>
      <c r="E39" s="95" t="s">
        <v>422</v>
      </c>
      <c r="F39" s="96">
        <v>10118881</v>
      </c>
      <c r="G39" s="96" t="s">
        <v>249</v>
      </c>
      <c r="H39" s="97" t="s">
        <v>91</v>
      </c>
      <c r="I39" s="98" t="str">
        <f>IFERROR(VLOOKUP(H39,名称!A:C,2,0),"")</f>
        <v>马里奥和他的蘑菇</v>
      </c>
      <c r="J39" s="99">
        <v>27</v>
      </c>
      <c r="K39" s="98">
        <f>IFERROR(VLOOKUP(H39,名称!A:D,3,0),"")</f>
        <v>6</v>
      </c>
      <c r="L39" s="100">
        <f t="shared" si="0"/>
        <v>4.5</v>
      </c>
      <c r="M39" s="93">
        <v>46050</v>
      </c>
      <c r="N39" s="93">
        <v>46048</v>
      </c>
      <c r="O39" s="93">
        <v>46052</v>
      </c>
      <c r="P39" s="93" t="s">
        <v>624</v>
      </c>
      <c r="Q39" s="97" t="s">
        <v>424</v>
      </c>
      <c r="R39" s="97"/>
      <c r="S39" s="93"/>
      <c r="T39" s="93"/>
      <c r="U39" s="93"/>
      <c r="V39" s="93"/>
      <c r="W39" s="97"/>
      <c r="X39" s="123" t="s">
        <v>663</v>
      </c>
      <c r="Y39" s="102">
        <v>1.382</v>
      </c>
      <c r="Z39" s="103">
        <f t="shared" si="1"/>
        <v>37.31</v>
      </c>
      <c r="AA39" s="103">
        <f t="shared" si="2"/>
        <v>289.15</v>
      </c>
      <c r="AB39" s="58" t="s">
        <v>664</v>
      </c>
      <c r="AC39" s="93"/>
      <c r="AD39" s="93"/>
      <c r="AE39" s="93" t="str">
        <f>IFERROR(VLOOKUP(H39,名称!A:D,4,0),"")</f>
        <v>KIK</v>
      </c>
      <c r="AF39" s="98"/>
      <c r="AG39" s="105"/>
      <c r="AH39" s="105"/>
      <c r="AI39" s="105"/>
      <c r="AJ39" s="105"/>
      <c r="AK39" s="105"/>
      <c r="AL39" s="105"/>
      <c r="AM39" s="105"/>
      <c r="AN39" s="105"/>
      <c r="AO39" s="106">
        <v>18</v>
      </c>
      <c r="AP39" s="106">
        <v>46050</v>
      </c>
      <c r="AQ39" s="107"/>
      <c r="AR39" s="107"/>
      <c r="AS39" s="107"/>
    </row>
    <row r="40" s="89" customFormat="1" hidden="1" customHeight="1" spans="1:45">
      <c r="A40" s="93">
        <v>46032</v>
      </c>
      <c r="B40" s="93" t="s">
        <v>660</v>
      </c>
      <c r="C40" s="95" t="s">
        <v>248</v>
      </c>
      <c r="D40" s="93" t="s">
        <v>421</v>
      </c>
      <c r="E40" s="95" t="s">
        <v>422</v>
      </c>
      <c r="F40" s="96">
        <v>10118881</v>
      </c>
      <c r="G40" s="96" t="s">
        <v>249</v>
      </c>
      <c r="H40" s="97" t="s">
        <v>93</v>
      </c>
      <c r="I40" s="98" t="str">
        <f>IFERROR(VLOOKUP(H40,名称!A:C,2,0),"")</f>
        <v>能量蘑菇</v>
      </c>
      <c r="J40" s="99">
        <v>27</v>
      </c>
      <c r="K40" s="98">
        <f>IFERROR(VLOOKUP(H40,名称!A:D,3,0),"")</f>
        <v>6</v>
      </c>
      <c r="L40" s="100">
        <f t="shared" si="0"/>
        <v>4.5</v>
      </c>
      <c r="M40" s="93">
        <v>46050</v>
      </c>
      <c r="N40" s="93">
        <v>46048</v>
      </c>
      <c r="O40" s="93">
        <v>46052</v>
      </c>
      <c r="P40" s="93" t="s">
        <v>624</v>
      </c>
      <c r="Q40" s="97" t="s">
        <v>424</v>
      </c>
      <c r="R40" s="97"/>
      <c r="S40" s="93"/>
      <c r="T40" s="93"/>
      <c r="U40" s="93"/>
      <c r="V40" s="93"/>
      <c r="W40" s="97"/>
      <c r="X40" s="123" t="s">
        <v>663</v>
      </c>
      <c r="Y40" s="102">
        <v>1.247</v>
      </c>
      <c r="Z40" s="103">
        <f t="shared" si="1"/>
        <v>33.67</v>
      </c>
      <c r="AA40" s="103">
        <f t="shared" si="2"/>
        <v>260.94</v>
      </c>
      <c r="AB40" s="58" t="s">
        <v>664</v>
      </c>
      <c r="AC40" s="93"/>
      <c r="AD40" s="93"/>
      <c r="AE40" s="93" t="str">
        <f>IFERROR(VLOOKUP(H40,名称!A:D,4,0),"")</f>
        <v>KIK</v>
      </c>
      <c r="AF40" s="98"/>
      <c r="AG40" s="105"/>
      <c r="AH40" s="105"/>
      <c r="AI40" s="105"/>
      <c r="AJ40" s="105"/>
      <c r="AK40" s="105"/>
      <c r="AL40" s="105"/>
      <c r="AM40" s="105"/>
      <c r="AN40" s="105"/>
      <c r="AO40" s="106">
        <v>18</v>
      </c>
      <c r="AP40" s="106">
        <v>46050</v>
      </c>
      <c r="AQ40" s="107"/>
      <c r="AR40" s="107"/>
      <c r="AS40" s="107"/>
    </row>
    <row r="41" s="89" customFormat="1" hidden="1" customHeight="1" spans="1:45">
      <c r="A41" s="93">
        <v>46032</v>
      </c>
      <c r="B41" s="93" t="s">
        <v>660</v>
      </c>
      <c r="C41" s="95" t="s">
        <v>248</v>
      </c>
      <c r="D41" s="93" t="s">
        <v>421</v>
      </c>
      <c r="E41" s="95" t="s">
        <v>422</v>
      </c>
      <c r="F41" s="96">
        <v>10118881</v>
      </c>
      <c r="G41" s="96" t="s">
        <v>249</v>
      </c>
      <c r="H41" s="97" t="s">
        <v>95</v>
      </c>
      <c r="I41" s="98" t="str">
        <f>IFERROR(VLOOKUP(H41,名称!A:C,2,0),"")</f>
        <v>宝箱马里奥</v>
      </c>
      <c r="J41" s="99">
        <v>27</v>
      </c>
      <c r="K41" s="98">
        <f>IFERROR(VLOOKUP(H41,名称!A:D,3,0),"")</f>
        <v>4</v>
      </c>
      <c r="L41" s="100">
        <f t="shared" si="0"/>
        <v>6.75</v>
      </c>
      <c r="M41" s="93">
        <v>46050</v>
      </c>
      <c r="N41" s="93">
        <v>46048</v>
      </c>
      <c r="O41" s="93">
        <v>46052</v>
      </c>
      <c r="P41" s="93" t="s">
        <v>624</v>
      </c>
      <c r="Q41" s="97" t="s">
        <v>424</v>
      </c>
      <c r="R41" s="97"/>
      <c r="S41" s="93"/>
      <c r="T41" s="93"/>
      <c r="U41" s="93"/>
      <c r="V41" s="93"/>
      <c r="W41" s="97"/>
      <c r="X41" s="123" t="s">
        <v>663</v>
      </c>
      <c r="Y41" s="102">
        <v>2.158</v>
      </c>
      <c r="Z41" s="103">
        <f t="shared" si="1"/>
        <v>58.27</v>
      </c>
      <c r="AA41" s="103">
        <f t="shared" si="2"/>
        <v>451.59</v>
      </c>
      <c r="AB41" s="58" t="s">
        <v>664</v>
      </c>
      <c r="AC41" s="93"/>
      <c r="AD41" s="93"/>
      <c r="AE41" s="93" t="str">
        <f>IFERROR(VLOOKUP(H41,名称!A:D,4,0),"")</f>
        <v>KIK</v>
      </c>
      <c r="AF41" s="98"/>
      <c r="AG41" s="105"/>
      <c r="AH41" s="105"/>
      <c r="AI41" s="105"/>
      <c r="AJ41" s="105"/>
      <c r="AK41" s="105"/>
      <c r="AL41" s="105"/>
      <c r="AM41" s="105"/>
      <c r="AN41" s="105"/>
      <c r="AO41" s="106">
        <v>18</v>
      </c>
      <c r="AP41" s="106">
        <v>46050</v>
      </c>
      <c r="AQ41" s="107"/>
      <c r="AR41" s="107"/>
      <c r="AS41" s="107"/>
    </row>
    <row r="42" s="89" customFormat="1" hidden="1" customHeight="1" spans="1:45">
      <c r="A42" s="93">
        <v>45862</v>
      </c>
      <c r="B42" s="93" t="s">
        <v>467</v>
      </c>
      <c r="C42" s="95" t="s">
        <v>235</v>
      </c>
      <c r="D42" s="93" t="s">
        <v>421</v>
      </c>
      <c r="E42" s="95" t="s">
        <v>422</v>
      </c>
      <c r="F42" s="96">
        <v>10107797</v>
      </c>
      <c r="G42" s="96">
        <v>4500031526</v>
      </c>
      <c r="H42" s="97" t="s">
        <v>95</v>
      </c>
      <c r="I42" s="98" t="str">
        <f>IFERROR(VLOOKUP(H42,名称!A:C,2,0),"")</f>
        <v>宝箱马里奥</v>
      </c>
      <c r="J42" s="99">
        <v>172</v>
      </c>
      <c r="K42" s="98">
        <f>IFERROR(VLOOKUP(H42,名称!A:D,3,0),"")</f>
        <v>4</v>
      </c>
      <c r="L42" s="100">
        <f t="shared" si="0"/>
        <v>43</v>
      </c>
      <c r="M42" s="93">
        <v>46057</v>
      </c>
      <c r="N42" s="93">
        <v>46055</v>
      </c>
      <c r="O42" s="93">
        <v>46055</v>
      </c>
      <c r="P42" s="93" t="s">
        <v>624</v>
      </c>
      <c r="Q42" s="97" t="s">
        <v>424</v>
      </c>
      <c r="R42" s="97" t="s">
        <v>625</v>
      </c>
      <c r="S42" s="93"/>
      <c r="T42" s="93"/>
      <c r="U42" s="93"/>
      <c r="V42" s="93"/>
      <c r="W42" s="97"/>
      <c r="X42" s="100"/>
      <c r="Y42" s="102">
        <v>2.158</v>
      </c>
      <c r="Z42" s="103">
        <f t="shared" si="1"/>
        <v>371.18</v>
      </c>
      <c r="AA42" s="103">
        <f t="shared" si="2"/>
        <v>2876.65</v>
      </c>
      <c r="AB42" s="58" t="s">
        <v>665</v>
      </c>
      <c r="AC42" s="93"/>
      <c r="AD42" s="93"/>
      <c r="AE42" s="93" t="str">
        <f>IFERROR(VLOOKUP(H42,名称!A:D,4,0),"")</f>
        <v>KIK</v>
      </c>
      <c r="AF42" s="98"/>
      <c r="AG42" s="105"/>
      <c r="AH42" s="105">
        <v>45987</v>
      </c>
      <c r="AI42" s="105">
        <v>45967</v>
      </c>
      <c r="AJ42" s="105"/>
      <c r="AK42" s="105"/>
      <c r="AL42" s="105"/>
      <c r="AM42" s="105"/>
      <c r="AN42" s="105">
        <v>45965</v>
      </c>
      <c r="AO42" s="106">
        <v>195</v>
      </c>
      <c r="AP42" s="106">
        <v>90</v>
      </c>
      <c r="AQ42" s="107"/>
      <c r="AR42" s="107"/>
      <c r="AS42" s="107"/>
    </row>
    <row r="43" s="89" customFormat="1" hidden="1" customHeight="1" spans="1:45">
      <c r="A43" s="93">
        <v>45862</v>
      </c>
      <c r="B43" s="93" t="s">
        <v>467</v>
      </c>
      <c r="C43" s="95" t="s">
        <v>235</v>
      </c>
      <c r="D43" s="93" t="s">
        <v>421</v>
      </c>
      <c r="E43" s="95" t="s">
        <v>422</v>
      </c>
      <c r="F43" s="96">
        <v>10107798</v>
      </c>
      <c r="G43" s="96">
        <v>4500031527</v>
      </c>
      <c r="H43" s="97" t="s">
        <v>97</v>
      </c>
      <c r="I43" s="98" t="str">
        <f>IFERROR(VLOOKUP(H43,名称!A:C,2,0),"")</f>
        <v>管道马里奥</v>
      </c>
      <c r="J43" s="99">
        <v>172</v>
      </c>
      <c r="K43" s="98">
        <f>IFERROR(VLOOKUP(H43,名称!A:D,3,0),"")</f>
        <v>4</v>
      </c>
      <c r="L43" s="100">
        <f t="shared" si="0"/>
        <v>43</v>
      </c>
      <c r="M43" s="93">
        <v>46057</v>
      </c>
      <c r="N43" s="93">
        <v>46055</v>
      </c>
      <c r="O43" s="93">
        <v>46051</v>
      </c>
      <c r="P43" s="93" t="s">
        <v>624</v>
      </c>
      <c r="Q43" s="97" t="s">
        <v>424</v>
      </c>
      <c r="R43" s="97" t="s">
        <v>625</v>
      </c>
      <c r="S43" s="93"/>
      <c r="T43" s="93"/>
      <c r="U43" s="93"/>
      <c r="V43" s="93"/>
      <c r="W43" s="97"/>
      <c r="X43" s="100"/>
      <c r="Y43" s="120">
        <v>3.216</v>
      </c>
      <c r="Z43" s="103">
        <f t="shared" si="1"/>
        <v>553.15</v>
      </c>
      <c r="AA43" s="103">
        <f t="shared" si="2"/>
        <v>4286.91</v>
      </c>
      <c r="AB43" s="58" t="s">
        <v>665</v>
      </c>
      <c r="AC43" s="93"/>
      <c r="AD43" s="93"/>
      <c r="AE43" s="93" t="str">
        <f>IFERROR(VLOOKUP(H43,名称!A:D,4,0),"")</f>
        <v>KIK</v>
      </c>
      <c r="AF43" s="98"/>
      <c r="AG43" s="105"/>
      <c r="AH43" s="105">
        <v>45987</v>
      </c>
      <c r="AI43" s="105">
        <v>45967</v>
      </c>
      <c r="AJ43" s="105"/>
      <c r="AK43" s="105"/>
      <c r="AL43" s="105"/>
      <c r="AM43" s="105"/>
      <c r="AN43" s="105">
        <v>45965</v>
      </c>
      <c r="AO43" s="106">
        <v>195</v>
      </c>
      <c r="AP43" s="106">
        <v>90</v>
      </c>
      <c r="AQ43" s="107"/>
      <c r="AR43" s="107"/>
      <c r="AS43" s="107"/>
    </row>
    <row r="44" s="89" customFormat="1" hidden="1" customHeight="1" spans="1:45">
      <c r="A44" s="93">
        <v>46053</v>
      </c>
      <c r="B44" s="93" t="str">
        <f ca="1" t="shared" ref="B44:B51" si="3">IF(TODAY()&gt;=A44,IF(R44="","未",""),"")</f>
        <v>未</v>
      </c>
      <c r="C44" s="95" t="s">
        <v>248</v>
      </c>
      <c r="D44" s="93" t="s">
        <v>421</v>
      </c>
      <c r="E44" s="95" t="s">
        <v>422</v>
      </c>
      <c r="F44" s="96">
        <v>10120258</v>
      </c>
      <c r="G44" s="96" t="s">
        <v>254</v>
      </c>
      <c r="H44" s="97" t="s">
        <v>89</v>
      </c>
      <c r="I44" s="98" t="str">
        <f>IFERROR(VLOOKUP(H44,名称!A:C,2,0),"")</f>
        <v>马里奥能量蘑菇吸塑混装</v>
      </c>
      <c r="J44" s="99">
        <v>2</v>
      </c>
      <c r="K44" s="98">
        <f>IFERROR(VLOOKUP(H44,名称!A:D,3,0),"")</f>
        <v>6</v>
      </c>
      <c r="L44" s="100">
        <f t="shared" si="0"/>
        <v>0.333333333333333</v>
      </c>
      <c r="M44" s="93">
        <v>46058</v>
      </c>
      <c r="N44" s="93">
        <f t="shared" ref="N44:N51" si="4">M44-2</f>
        <v>46056</v>
      </c>
      <c r="O44" s="93"/>
      <c r="P44" s="93" t="s">
        <v>624</v>
      </c>
      <c r="Q44" s="97" t="s">
        <v>430</v>
      </c>
      <c r="R44" s="97"/>
      <c r="S44" s="93"/>
      <c r="T44" s="93"/>
      <c r="U44" s="93"/>
      <c r="V44" s="93"/>
      <c r="W44" s="97"/>
      <c r="X44" s="100" t="s">
        <v>666</v>
      </c>
      <c r="Y44" s="102">
        <v>1.337</v>
      </c>
      <c r="Z44" s="103">
        <f t="shared" si="1"/>
        <v>2.67</v>
      </c>
      <c r="AA44" s="103">
        <f t="shared" si="2"/>
        <v>20.69</v>
      </c>
      <c r="AB44" s="58" t="s">
        <v>667</v>
      </c>
      <c r="AC44" s="93"/>
      <c r="AD44" s="93"/>
      <c r="AE44" s="93" t="str">
        <f>IFERROR(VLOOKUP(H44,名称!A:D,4,0),"")</f>
        <v>KIK</v>
      </c>
      <c r="AF44" s="98"/>
      <c r="AG44" s="105"/>
      <c r="AH44" s="105"/>
      <c r="AI44" s="105"/>
      <c r="AJ44" s="105"/>
      <c r="AK44" s="105"/>
      <c r="AL44" s="105"/>
      <c r="AM44" s="105"/>
      <c r="AN44" s="105"/>
      <c r="AO44" s="106">
        <f t="shared" ref="AO44:AO51" si="5">M44-A44</f>
        <v>5</v>
      </c>
      <c r="AP44" s="106">
        <f t="shared" ref="AP44:AP51" si="6">M44-AI44</f>
        <v>46058</v>
      </c>
    </row>
    <row r="45" s="89" customFormat="1" hidden="1" customHeight="1" spans="1:45">
      <c r="A45" s="93">
        <v>46053</v>
      </c>
      <c r="B45" s="93" t="str">
        <f ca="1" t="shared" si="3"/>
        <v>未</v>
      </c>
      <c r="C45" s="95" t="s">
        <v>248</v>
      </c>
      <c r="D45" s="93" t="s">
        <v>421</v>
      </c>
      <c r="E45" s="95" t="s">
        <v>422</v>
      </c>
      <c r="F45" s="96">
        <v>10120258</v>
      </c>
      <c r="G45" s="96" t="s">
        <v>254</v>
      </c>
      <c r="H45" s="97" t="s">
        <v>97</v>
      </c>
      <c r="I45" s="98" t="str">
        <f>IFERROR(VLOOKUP(H45,名称!A:C,2,0),"")</f>
        <v>管道马里奥</v>
      </c>
      <c r="J45" s="99">
        <v>2</v>
      </c>
      <c r="K45" s="98">
        <f>IFERROR(VLOOKUP(H45,名称!A:D,3,0),"")</f>
        <v>4</v>
      </c>
      <c r="L45" s="100">
        <f t="shared" si="0"/>
        <v>0.5</v>
      </c>
      <c r="M45" s="93">
        <v>46058</v>
      </c>
      <c r="N45" s="93">
        <f t="shared" si="4"/>
        <v>46056</v>
      </c>
      <c r="O45" s="93"/>
      <c r="P45" s="93" t="s">
        <v>624</v>
      </c>
      <c r="Q45" s="97" t="s">
        <v>430</v>
      </c>
      <c r="R45" s="97"/>
      <c r="S45" s="93"/>
      <c r="T45" s="93"/>
      <c r="U45" s="93"/>
      <c r="V45" s="93"/>
      <c r="W45" s="97"/>
      <c r="X45" s="100" t="s">
        <v>666</v>
      </c>
      <c r="Y45" s="102">
        <v>3.216</v>
      </c>
      <c r="Z45" s="103">
        <f t="shared" si="1"/>
        <v>6.43</v>
      </c>
      <c r="AA45" s="103">
        <f t="shared" si="2"/>
        <v>49.83</v>
      </c>
      <c r="AB45" s="58" t="s">
        <v>667</v>
      </c>
      <c r="AC45" s="93"/>
      <c r="AD45" s="93"/>
      <c r="AE45" s="93" t="str">
        <f>IFERROR(VLOOKUP(H45,名称!A:D,4,0),"")</f>
        <v>KIK</v>
      </c>
      <c r="AF45" s="98"/>
      <c r="AG45" s="105"/>
      <c r="AH45" s="105"/>
      <c r="AI45" s="105"/>
      <c r="AJ45" s="105"/>
      <c r="AK45" s="105"/>
      <c r="AL45" s="105"/>
      <c r="AM45" s="105"/>
      <c r="AN45" s="105"/>
      <c r="AO45" s="106">
        <f t="shared" si="5"/>
        <v>5</v>
      </c>
      <c r="AP45" s="106">
        <f t="shared" si="6"/>
        <v>46058</v>
      </c>
      <c r="AQ45" s="117"/>
      <c r="AR45" s="117"/>
      <c r="AS45" s="117"/>
    </row>
    <row r="46" s="89" customFormat="1" hidden="1" customHeight="1" spans="1:45">
      <c r="A46" s="93">
        <v>46053</v>
      </c>
      <c r="B46" s="93" t="str">
        <f ca="1" t="shared" si="3"/>
        <v>未</v>
      </c>
      <c r="C46" s="95" t="s">
        <v>248</v>
      </c>
      <c r="D46" s="93" t="s">
        <v>421</v>
      </c>
      <c r="E46" s="95" t="s">
        <v>422</v>
      </c>
      <c r="F46" s="96">
        <v>10120258</v>
      </c>
      <c r="G46" s="96" t="s">
        <v>254</v>
      </c>
      <c r="H46" s="97" t="s">
        <v>141</v>
      </c>
      <c r="I46" s="98" t="str">
        <f>IFERROR(VLOOKUP(H46,名称!A:C,2,0),"")</f>
        <v>马里奥能量蘑菇密封盒混装</v>
      </c>
      <c r="J46" s="99">
        <v>2</v>
      </c>
      <c r="K46" s="98">
        <f>IFERROR(VLOOKUP(H46,名称!A:D,3,0),"")</f>
        <v>6</v>
      </c>
      <c r="L46" s="100">
        <f t="shared" si="0"/>
        <v>0.333333333333333</v>
      </c>
      <c r="M46" s="93">
        <v>46058</v>
      </c>
      <c r="N46" s="93">
        <f t="shared" si="4"/>
        <v>46056</v>
      </c>
      <c r="O46" s="93"/>
      <c r="P46" s="93" t="s">
        <v>624</v>
      </c>
      <c r="Q46" s="97" t="s">
        <v>430</v>
      </c>
      <c r="R46" s="97"/>
      <c r="S46" s="93"/>
      <c r="T46" s="93"/>
      <c r="U46" s="93"/>
      <c r="V46" s="93"/>
      <c r="W46" s="97"/>
      <c r="X46" s="100" t="s">
        <v>666</v>
      </c>
      <c r="Y46" s="102">
        <v>2.357</v>
      </c>
      <c r="Z46" s="103">
        <f t="shared" si="1"/>
        <v>4.71</v>
      </c>
      <c r="AA46" s="103">
        <f t="shared" si="2"/>
        <v>36.5</v>
      </c>
      <c r="AB46" s="58" t="s">
        <v>667</v>
      </c>
      <c r="AC46" s="93"/>
      <c r="AD46" s="93"/>
      <c r="AE46" s="93" t="str">
        <f>IFERROR(VLOOKUP(H46,名称!A:D,4,0),"")</f>
        <v>KIK</v>
      </c>
      <c r="AF46" s="98"/>
      <c r="AG46" s="105"/>
      <c r="AH46" s="105"/>
      <c r="AI46" s="105"/>
      <c r="AJ46" s="105"/>
      <c r="AK46" s="105"/>
      <c r="AL46" s="105"/>
      <c r="AM46" s="105"/>
      <c r="AN46" s="105"/>
      <c r="AO46" s="106">
        <f t="shared" si="5"/>
        <v>5</v>
      </c>
      <c r="AP46" s="106">
        <f t="shared" si="6"/>
        <v>46058</v>
      </c>
    </row>
    <row r="47" s="89" customFormat="1" hidden="1" customHeight="1" spans="1:45">
      <c r="A47" s="93">
        <v>46053</v>
      </c>
      <c r="B47" s="93" t="str">
        <f ca="1" t="shared" si="3"/>
        <v>未</v>
      </c>
      <c r="C47" s="95" t="s">
        <v>248</v>
      </c>
      <c r="D47" s="93" t="s">
        <v>421</v>
      </c>
      <c r="E47" s="95" t="s">
        <v>422</v>
      </c>
      <c r="F47" s="96">
        <v>10120258</v>
      </c>
      <c r="G47" s="96" t="s">
        <v>254</v>
      </c>
      <c r="H47" s="97" t="s">
        <v>95</v>
      </c>
      <c r="I47" s="98" t="str">
        <f>IFERROR(VLOOKUP(H47,名称!A:C,2,0),"")</f>
        <v>宝箱马里奥</v>
      </c>
      <c r="J47" s="99">
        <v>2</v>
      </c>
      <c r="K47" s="98">
        <f>IFERROR(VLOOKUP(H47,名称!A:D,3,0),"")</f>
        <v>4</v>
      </c>
      <c r="L47" s="100">
        <f t="shared" si="0"/>
        <v>0.5</v>
      </c>
      <c r="M47" s="93">
        <v>46058</v>
      </c>
      <c r="N47" s="93">
        <f t="shared" si="4"/>
        <v>46056</v>
      </c>
      <c r="O47" s="93"/>
      <c r="P47" s="93" t="s">
        <v>624</v>
      </c>
      <c r="Q47" s="97" t="s">
        <v>430</v>
      </c>
      <c r="R47" s="97"/>
      <c r="S47" s="93"/>
      <c r="T47" s="93"/>
      <c r="U47" s="93"/>
      <c r="V47" s="93"/>
      <c r="W47" s="97"/>
      <c r="X47" s="100" t="s">
        <v>666</v>
      </c>
      <c r="Y47" s="102">
        <v>2.158</v>
      </c>
      <c r="Z47" s="103">
        <f t="shared" si="1"/>
        <v>4.32</v>
      </c>
      <c r="AA47" s="103">
        <f t="shared" si="2"/>
        <v>33.48</v>
      </c>
      <c r="AB47" s="58" t="s">
        <v>667</v>
      </c>
      <c r="AC47" s="93"/>
      <c r="AD47" s="93"/>
      <c r="AE47" s="93" t="str">
        <f>IFERROR(VLOOKUP(H47,名称!A:D,4,0),"")</f>
        <v>KIK</v>
      </c>
      <c r="AF47" s="98"/>
      <c r="AG47" s="105"/>
      <c r="AH47" s="105"/>
      <c r="AI47" s="105"/>
      <c r="AJ47" s="105"/>
      <c r="AK47" s="105"/>
      <c r="AL47" s="105"/>
      <c r="AM47" s="105"/>
      <c r="AN47" s="105"/>
      <c r="AO47" s="106">
        <f t="shared" si="5"/>
        <v>5</v>
      </c>
      <c r="AP47" s="106">
        <f t="shared" si="6"/>
        <v>46058</v>
      </c>
    </row>
    <row r="48" s="89" customFormat="1" hidden="1" customHeight="1" spans="1:45">
      <c r="A48" s="93">
        <v>46053</v>
      </c>
      <c r="B48" s="93" t="str">
        <f ca="1" t="shared" si="3"/>
        <v>未</v>
      </c>
      <c r="C48" s="95" t="s">
        <v>248</v>
      </c>
      <c r="D48" s="93" t="s">
        <v>421</v>
      </c>
      <c r="E48" s="95" t="s">
        <v>422</v>
      </c>
      <c r="F48" s="96">
        <v>10120266</v>
      </c>
      <c r="G48" s="96" t="s">
        <v>253</v>
      </c>
      <c r="H48" s="97" t="s">
        <v>89</v>
      </c>
      <c r="I48" s="98" t="str">
        <f>IFERROR(VLOOKUP(H48,名称!A:C,2,0),"")</f>
        <v>马里奥能量蘑菇吸塑混装</v>
      </c>
      <c r="J48" s="99">
        <v>2</v>
      </c>
      <c r="K48" s="98">
        <f>IFERROR(VLOOKUP(H48,名称!A:D,3,0),"")</f>
        <v>6</v>
      </c>
      <c r="L48" s="100">
        <f t="shared" si="0"/>
        <v>0.333333333333333</v>
      </c>
      <c r="M48" s="93">
        <v>46058</v>
      </c>
      <c r="N48" s="93">
        <f t="shared" si="4"/>
        <v>46056</v>
      </c>
      <c r="O48" s="93"/>
      <c r="P48" s="93" t="s">
        <v>624</v>
      </c>
      <c r="Q48" s="97" t="s">
        <v>430</v>
      </c>
      <c r="R48" s="97"/>
      <c r="S48" s="93"/>
      <c r="T48" s="93"/>
      <c r="U48" s="93"/>
      <c r="V48" s="93"/>
      <c r="W48" s="97"/>
      <c r="X48" s="100" t="s">
        <v>668</v>
      </c>
      <c r="Y48" s="102">
        <v>1.337</v>
      </c>
      <c r="Z48" s="103">
        <f t="shared" si="1"/>
        <v>2.67</v>
      </c>
      <c r="AA48" s="103">
        <f t="shared" si="2"/>
        <v>20.69</v>
      </c>
      <c r="AB48" s="58" t="s">
        <v>669</v>
      </c>
      <c r="AC48" s="93"/>
      <c r="AD48" s="93"/>
      <c r="AE48" s="93" t="str">
        <f>IFERROR(VLOOKUP(H48,名称!A:D,4,0),"")</f>
        <v>KIK</v>
      </c>
      <c r="AF48" s="98"/>
      <c r="AG48" s="105"/>
      <c r="AH48" s="105"/>
      <c r="AI48" s="105"/>
      <c r="AJ48" s="105"/>
      <c r="AK48" s="105"/>
      <c r="AL48" s="105"/>
      <c r="AM48" s="105"/>
      <c r="AN48" s="105"/>
      <c r="AO48" s="106">
        <f t="shared" si="5"/>
        <v>5</v>
      </c>
      <c r="AP48" s="106">
        <f t="shared" si="6"/>
        <v>46058</v>
      </c>
    </row>
    <row r="49" s="89" customFormat="1" hidden="1" customHeight="1" spans="1:45">
      <c r="A49" s="93">
        <v>46053</v>
      </c>
      <c r="B49" s="93" t="str">
        <f ca="1" t="shared" si="3"/>
        <v>未</v>
      </c>
      <c r="C49" s="95" t="s">
        <v>248</v>
      </c>
      <c r="D49" s="93" t="s">
        <v>421</v>
      </c>
      <c r="E49" s="95" t="s">
        <v>422</v>
      </c>
      <c r="F49" s="96">
        <v>10120266</v>
      </c>
      <c r="G49" s="96" t="s">
        <v>253</v>
      </c>
      <c r="H49" s="97" t="s">
        <v>97</v>
      </c>
      <c r="I49" s="98" t="str">
        <f>IFERROR(VLOOKUP(H49,名称!A:C,2,0),"")</f>
        <v>管道马里奥</v>
      </c>
      <c r="J49" s="99">
        <v>2</v>
      </c>
      <c r="K49" s="98">
        <f>IFERROR(VLOOKUP(H49,名称!A:D,3,0),"")</f>
        <v>4</v>
      </c>
      <c r="L49" s="100">
        <f t="shared" si="0"/>
        <v>0.5</v>
      </c>
      <c r="M49" s="93">
        <v>46058</v>
      </c>
      <c r="N49" s="93">
        <f t="shared" si="4"/>
        <v>46056</v>
      </c>
      <c r="O49" s="93"/>
      <c r="P49" s="93" t="s">
        <v>624</v>
      </c>
      <c r="Q49" s="97" t="s">
        <v>430</v>
      </c>
      <c r="R49" s="97"/>
      <c r="S49" s="93"/>
      <c r="T49" s="93"/>
      <c r="U49" s="93"/>
      <c r="V49" s="93"/>
      <c r="W49" s="97"/>
      <c r="X49" s="100" t="s">
        <v>668</v>
      </c>
      <c r="Y49" s="102">
        <v>3.216</v>
      </c>
      <c r="Z49" s="103">
        <f t="shared" si="1"/>
        <v>6.43</v>
      </c>
      <c r="AA49" s="103">
        <f t="shared" si="2"/>
        <v>49.83</v>
      </c>
      <c r="AB49" s="58" t="s">
        <v>669</v>
      </c>
      <c r="AC49" s="93"/>
      <c r="AD49" s="93"/>
      <c r="AE49" s="93" t="str">
        <f>IFERROR(VLOOKUP(H49,名称!A:D,4,0),"")</f>
        <v>KIK</v>
      </c>
      <c r="AF49" s="98"/>
      <c r="AG49" s="105"/>
      <c r="AH49" s="105"/>
      <c r="AI49" s="105"/>
      <c r="AJ49" s="105"/>
      <c r="AK49" s="105"/>
      <c r="AL49" s="105"/>
      <c r="AM49" s="105"/>
      <c r="AN49" s="105"/>
      <c r="AO49" s="106">
        <f t="shared" si="5"/>
        <v>5</v>
      </c>
      <c r="AP49" s="106">
        <f t="shared" si="6"/>
        <v>46058</v>
      </c>
      <c r="AQ49" s="117"/>
      <c r="AR49" s="117"/>
      <c r="AS49" s="117"/>
    </row>
    <row r="50" s="89" customFormat="1" hidden="1" customHeight="1" spans="1:45">
      <c r="A50" s="93">
        <v>46053</v>
      </c>
      <c r="B50" s="93" t="str">
        <f ca="1" t="shared" si="3"/>
        <v>未</v>
      </c>
      <c r="C50" s="95" t="s">
        <v>248</v>
      </c>
      <c r="D50" s="93" t="s">
        <v>421</v>
      </c>
      <c r="E50" s="95" t="s">
        <v>422</v>
      </c>
      <c r="F50" s="96">
        <v>10120266</v>
      </c>
      <c r="G50" s="96" t="s">
        <v>253</v>
      </c>
      <c r="H50" s="97" t="s">
        <v>141</v>
      </c>
      <c r="I50" s="98" t="str">
        <f>IFERROR(VLOOKUP(H50,名称!A:C,2,0),"")</f>
        <v>马里奥能量蘑菇密封盒混装</v>
      </c>
      <c r="J50" s="99">
        <v>2</v>
      </c>
      <c r="K50" s="98">
        <f>IFERROR(VLOOKUP(H50,名称!A:D,3,0),"")</f>
        <v>6</v>
      </c>
      <c r="L50" s="100">
        <f t="shared" si="0"/>
        <v>0.333333333333333</v>
      </c>
      <c r="M50" s="93">
        <v>46058</v>
      </c>
      <c r="N50" s="93">
        <f t="shared" si="4"/>
        <v>46056</v>
      </c>
      <c r="O50" s="93"/>
      <c r="P50" s="93" t="s">
        <v>624</v>
      </c>
      <c r="Q50" s="97" t="s">
        <v>430</v>
      </c>
      <c r="R50" s="97"/>
      <c r="S50" s="93"/>
      <c r="T50" s="93"/>
      <c r="U50" s="93"/>
      <c r="V50" s="93"/>
      <c r="W50" s="97"/>
      <c r="X50" s="100" t="s">
        <v>668</v>
      </c>
      <c r="Y50" s="102">
        <v>2.357</v>
      </c>
      <c r="Z50" s="103">
        <f t="shared" si="1"/>
        <v>4.71</v>
      </c>
      <c r="AA50" s="103">
        <f t="shared" si="2"/>
        <v>36.5</v>
      </c>
      <c r="AB50" s="58" t="s">
        <v>669</v>
      </c>
      <c r="AC50" s="93"/>
      <c r="AD50" s="93"/>
      <c r="AE50" s="93" t="str">
        <f>IFERROR(VLOOKUP(H50,名称!A:D,4,0),"")</f>
        <v>KIK</v>
      </c>
      <c r="AF50" s="98"/>
      <c r="AG50" s="105"/>
      <c r="AH50" s="105"/>
      <c r="AI50" s="105"/>
      <c r="AJ50" s="105"/>
      <c r="AK50" s="105"/>
      <c r="AL50" s="105"/>
      <c r="AM50" s="105"/>
      <c r="AN50" s="105"/>
      <c r="AO50" s="106">
        <f t="shared" si="5"/>
        <v>5</v>
      </c>
      <c r="AP50" s="106">
        <f t="shared" si="6"/>
        <v>46058</v>
      </c>
      <c r="AQ50" s="107"/>
      <c r="AR50" s="107"/>
      <c r="AS50" s="107"/>
    </row>
    <row r="51" s="89" customFormat="1" hidden="1" customHeight="1" spans="1:45">
      <c r="A51" s="93">
        <v>46053</v>
      </c>
      <c r="B51" s="93" t="str">
        <f ca="1" t="shared" si="3"/>
        <v>未</v>
      </c>
      <c r="C51" s="95" t="s">
        <v>248</v>
      </c>
      <c r="D51" s="93" t="s">
        <v>421</v>
      </c>
      <c r="E51" s="95" t="s">
        <v>422</v>
      </c>
      <c r="F51" s="96">
        <v>10120266</v>
      </c>
      <c r="G51" s="96" t="s">
        <v>253</v>
      </c>
      <c r="H51" s="97" t="s">
        <v>95</v>
      </c>
      <c r="I51" s="98" t="str">
        <f>IFERROR(VLOOKUP(H51,名称!A:C,2,0),"")</f>
        <v>宝箱马里奥</v>
      </c>
      <c r="J51" s="99">
        <v>2</v>
      </c>
      <c r="K51" s="98">
        <f>IFERROR(VLOOKUP(H51,名称!A:D,3,0),"")</f>
        <v>4</v>
      </c>
      <c r="L51" s="100">
        <f t="shared" si="0"/>
        <v>0.5</v>
      </c>
      <c r="M51" s="93">
        <v>46058</v>
      </c>
      <c r="N51" s="93">
        <f t="shared" si="4"/>
        <v>46056</v>
      </c>
      <c r="O51" s="93"/>
      <c r="P51" s="93" t="s">
        <v>624</v>
      </c>
      <c r="Q51" s="97" t="s">
        <v>430</v>
      </c>
      <c r="R51" s="97"/>
      <c r="S51" s="93"/>
      <c r="T51" s="93"/>
      <c r="U51" s="93"/>
      <c r="V51" s="93"/>
      <c r="W51" s="97"/>
      <c r="X51" s="100" t="s">
        <v>668</v>
      </c>
      <c r="Y51" s="102">
        <v>2.158</v>
      </c>
      <c r="Z51" s="103">
        <f t="shared" si="1"/>
        <v>4.32</v>
      </c>
      <c r="AA51" s="103">
        <f t="shared" si="2"/>
        <v>33.48</v>
      </c>
      <c r="AB51" s="58" t="s">
        <v>669</v>
      </c>
      <c r="AC51" s="93"/>
      <c r="AD51" s="93"/>
      <c r="AE51" s="93" t="str">
        <f>IFERROR(VLOOKUP(H51,名称!A:D,4,0),"")</f>
        <v>KIK</v>
      </c>
      <c r="AF51" s="98"/>
      <c r="AG51" s="105"/>
      <c r="AH51" s="105"/>
      <c r="AI51" s="105"/>
      <c r="AJ51" s="105"/>
      <c r="AK51" s="105"/>
      <c r="AL51" s="105"/>
      <c r="AM51" s="105"/>
      <c r="AN51" s="105"/>
      <c r="AO51" s="106">
        <f t="shared" si="5"/>
        <v>5</v>
      </c>
      <c r="AP51" s="106">
        <f t="shared" si="6"/>
        <v>46058</v>
      </c>
      <c r="AQ51" s="107"/>
      <c r="AR51" s="107"/>
      <c r="AS51" s="107"/>
    </row>
    <row r="52" s="89" customFormat="1" hidden="1" customHeight="1" spans="1:45">
      <c r="A52" s="93">
        <v>45869</v>
      </c>
      <c r="B52" s="93" t="s">
        <v>467</v>
      </c>
      <c r="C52" s="95" t="s">
        <v>237</v>
      </c>
      <c r="D52" s="93" t="s">
        <v>427</v>
      </c>
      <c r="E52" s="95" t="s">
        <v>428</v>
      </c>
      <c r="F52" s="96">
        <v>10108291</v>
      </c>
      <c r="G52" s="96">
        <v>202520972529</v>
      </c>
      <c r="H52" s="97" t="s">
        <v>125</v>
      </c>
      <c r="I52" s="98" t="str">
        <f>IFERROR(VLOOKUP(H52,名称!A:C,2,0),"")</f>
        <v>马里奥能量蘑菇密封盒混装</v>
      </c>
      <c r="J52" s="99">
        <v>6000</v>
      </c>
      <c r="K52" s="98">
        <f>IFERROR(VLOOKUP(H52,名称!A:D,3,0),"")</f>
        <v>6</v>
      </c>
      <c r="L52" s="100">
        <f t="shared" si="0"/>
        <v>1000</v>
      </c>
      <c r="M52" s="93">
        <v>46057</v>
      </c>
      <c r="N52" s="93">
        <v>46055</v>
      </c>
      <c r="O52" s="93">
        <v>46065</v>
      </c>
      <c r="P52" s="93" t="s">
        <v>624</v>
      </c>
      <c r="Q52" s="97" t="s">
        <v>430</v>
      </c>
      <c r="R52" s="97" t="s">
        <v>627</v>
      </c>
      <c r="S52" s="93"/>
      <c r="T52" s="93"/>
      <c r="U52" s="93"/>
      <c r="V52" s="93"/>
      <c r="W52" s="97"/>
      <c r="X52" s="122" t="s">
        <v>670</v>
      </c>
      <c r="Y52" s="120">
        <v>2.33</v>
      </c>
      <c r="Z52" s="103">
        <f t="shared" si="1"/>
        <v>13980</v>
      </c>
      <c r="AA52" s="103">
        <f t="shared" si="2"/>
        <v>108345</v>
      </c>
      <c r="AB52" s="58" t="s">
        <v>646</v>
      </c>
      <c r="AC52" s="93"/>
      <c r="AD52" s="93"/>
      <c r="AE52" s="93" t="str">
        <f>IFERROR(VLOOKUP(H52,名称!A:D,4,0),"")</f>
        <v>KIK</v>
      </c>
      <c r="AF52" s="98"/>
      <c r="AG52" s="105"/>
      <c r="AH52" s="105">
        <v>45987</v>
      </c>
      <c r="AI52" s="105">
        <v>45967</v>
      </c>
      <c r="AJ52" s="105"/>
      <c r="AK52" s="105"/>
      <c r="AL52" s="105"/>
      <c r="AM52" s="105"/>
      <c r="AN52" s="105">
        <v>45965</v>
      </c>
      <c r="AO52" s="106">
        <v>188</v>
      </c>
      <c r="AP52" s="106">
        <v>90</v>
      </c>
      <c r="AQ52" s="119"/>
      <c r="AR52" s="119"/>
      <c r="AS52" s="107"/>
    </row>
    <row r="53" s="89" customFormat="1" hidden="1" customHeight="1" spans="1:45">
      <c r="A53" s="93">
        <v>45869</v>
      </c>
      <c r="B53" s="93" t="str">
        <f ca="1">IF(TODAY()&gt;=A53,IF(R53="","未",""),"")</f>
        <v/>
      </c>
      <c r="C53" s="95" t="s">
        <v>237</v>
      </c>
      <c r="D53" s="93" t="s">
        <v>427</v>
      </c>
      <c r="E53" s="95" t="s">
        <v>428</v>
      </c>
      <c r="F53" s="96">
        <v>10108291</v>
      </c>
      <c r="G53" s="96">
        <v>202520972529</v>
      </c>
      <c r="H53" s="97" t="s">
        <v>123</v>
      </c>
      <c r="I53" s="98" t="str">
        <f>IFERROR(VLOOKUP(H53,名称!A:C,2,0),"")</f>
        <v>能量蘑菇</v>
      </c>
      <c r="J53" s="99">
        <f>3000-1800</f>
        <v>1200</v>
      </c>
      <c r="K53" s="98">
        <f>IFERROR(VLOOKUP(H53,名称!A:D,3,0),"")</f>
        <v>6</v>
      </c>
      <c r="L53" s="100">
        <f t="shared" si="0"/>
        <v>200</v>
      </c>
      <c r="M53" s="93">
        <v>46092</v>
      </c>
      <c r="N53" s="93">
        <f>M53-2</f>
        <v>46090</v>
      </c>
      <c r="O53" s="93">
        <v>46063</v>
      </c>
      <c r="P53" s="93" t="s">
        <v>624</v>
      </c>
      <c r="Q53" s="97" t="s">
        <v>430</v>
      </c>
      <c r="R53" s="97" t="s">
        <v>627</v>
      </c>
      <c r="S53" s="93"/>
      <c r="T53" s="93"/>
      <c r="U53" s="93"/>
      <c r="V53" s="93"/>
      <c r="W53" s="97"/>
      <c r="X53" s="100" t="s">
        <v>647</v>
      </c>
      <c r="Y53" s="120">
        <v>1.278</v>
      </c>
      <c r="Z53" s="103">
        <f t="shared" si="1"/>
        <v>1533.6</v>
      </c>
      <c r="AA53" s="103">
        <f t="shared" si="2"/>
        <v>11885.4</v>
      </c>
      <c r="AB53" s="58" t="s">
        <v>671</v>
      </c>
      <c r="AC53" s="93"/>
      <c r="AD53" s="93"/>
      <c r="AE53" s="93" t="str">
        <f>IFERROR(VLOOKUP(H53,名称!A:D,4,0),"")</f>
        <v>KIK</v>
      </c>
      <c r="AF53" s="98"/>
      <c r="AG53" s="105"/>
      <c r="AH53" s="105">
        <v>45987</v>
      </c>
      <c r="AI53" s="105">
        <v>45967</v>
      </c>
      <c r="AJ53" s="105"/>
      <c r="AK53" s="105"/>
      <c r="AL53" s="105"/>
      <c r="AM53" s="105"/>
      <c r="AN53" s="105">
        <v>45965</v>
      </c>
      <c r="AO53" s="106">
        <f>M53-A53</f>
        <v>223</v>
      </c>
      <c r="AP53" s="106">
        <f>M53-AI53</f>
        <v>125</v>
      </c>
      <c r="AQ53" s="121"/>
      <c r="AR53" s="121"/>
      <c r="AS53" s="121"/>
    </row>
    <row r="54" s="89" customFormat="1" hidden="1" customHeight="1" spans="1:45">
      <c r="A54" s="93">
        <v>45937</v>
      </c>
      <c r="B54" s="93" t="str">
        <f ca="1">IF(TODAY()&gt;=A54,IF(R54="","未",""),"")</f>
        <v/>
      </c>
      <c r="C54" s="95" t="s">
        <v>237</v>
      </c>
      <c r="D54" s="93" t="s">
        <v>427</v>
      </c>
      <c r="E54" s="95" t="s">
        <v>672</v>
      </c>
      <c r="F54" s="96">
        <v>10112345</v>
      </c>
      <c r="G54" s="96">
        <v>202527370027</v>
      </c>
      <c r="H54" s="97" t="s">
        <v>88</v>
      </c>
      <c r="I54" s="98" t="str">
        <f>IFERROR(VLOOKUP(H54,名称!A:C,2,0),"")</f>
        <v>杯子</v>
      </c>
      <c r="J54" s="99">
        <v>10008</v>
      </c>
      <c r="K54" s="98">
        <f>IFERROR(VLOOKUP(H54,名称!A:D,3,0),"")</f>
        <v>18</v>
      </c>
      <c r="L54" s="100">
        <f t="shared" si="0"/>
        <v>556</v>
      </c>
      <c r="M54" s="93">
        <v>46015</v>
      </c>
      <c r="N54" s="93">
        <f>M54-2</f>
        <v>46013</v>
      </c>
      <c r="O54" s="93">
        <v>46020</v>
      </c>
      <c r="P54" s="93" t="s">
        <v>638</v>
      </c>
      <c r="Q54" s="97" t="s">
        <v>430</v>
      </c>
      <c r="R54" s="97" t="s">
        <v>639</v>
      </c>
      <c r="S54" s="93"/>
      <c r="T54" s="93"/>
      <c r="U54" s="93"/>
      <c r="V54" s="93"/>
      <c r="W54" s="97"/>
      <c r="X54" s="100"/>
      <c r="Y54" s="102">
        <v>0.963</v>
      </c>
      <c r="Z54" s="103">
        <f t="shared" si="1"/>
        <v>9637.7</v>
      </c>
      <c r="AA54" s="103">
        <f t="shared" si="2"/>
        <v>74692.18</v>
      </c>
      <c r="AB54" s="58" t="s">
        <v>626</v>
      </c>
      <c r="AC54" s="93"/>
      <c r="AD54" s="93"/>
      <c r="AE54" s="93" t="str">
        <f>IFERROR(VLOOKUP(H54,名称!A:D,4,0),"")</f>
        <v>KIK</v>
      </c>
      <c r="AF54" s="98"/>
      <c r="AG54" s="105"/>
      <c r="AH54" s="105">
        <v>45982</v>
      </c>
      <c r="AI54" s="105">
        <v>45957</v>
      </c>
      <c r="AJ54" s="105"/>
      <c r="AK54" s="105"/>
      <c r="AL54" s="105"/>
      <c r="AM54" s="105"/>
      <c r="AN54" s="105">
        <v>45955</v>
      </c>
      <c r="AO54" s="106">
        <f>M54-A54</f>
        <v>78</v>
      </c>
      <c r="AP54" s="106">
        <f>M54-AI54</f>
        <v>58</v>
      </c>
      <c r="AQ54" s="121"/>
      <c r="AR54" s="121"/>
      <c r="AS54" s="107"/>
    </row>
    <row r="55" s="89" customFormat="1" hidden="1" customHeight="1" spans="1:45">
      <c r="A55" s="93">
        <v>45937</v>
      </c>
      <c r="B55" s="93" t="str">
        <f ca="1">IF(TODAY()&gt;=A55,IF(R55="","未",""),"")</f>
        <v/>
      </c>
      <c r="C55" s="95" t="s">
        <v>237</v>
      </c>
      <c r="D55" s="93" t="s">
        <v>427</v>
      </c>
      <c r="E55" s="95" t="s">
        <v>672</v>
      </c>
      <c r="F55" s="96">
        <v>10112350</v>
      </c>
      <c r="G55" s="96">
        <v>202527370034</v>
      </c>
      <c r="H55" s="97" t="s">
        <v>102</v>
      </c>
      <c r="I55" s="98" t="str">
        <f>IFERROR(VLOOKUP(H55,名称!A:C,2,0),"")</f>
        <v>杯子</v>
      </c>
      <c r="J55" s="99">
        <v>5004</v>
      </c>
      <c r="K55" s="98">
        <f>IFERROR(VLOOKUP(H55,名称!A:D,3,0),"")</f>
        <v>18</v>
      </c>
      <c r="L55" s="100">
        <f t="shared" si="0"/>
        <v>278</v>
      </c>
      <c r="M55" s="93">
        <v>46015</v>
      </c>
      <c r="N55" s="93">
        <f>M55-2</f>
        <v>46013</v>
      </c>
      <c r="O55" s="93">
        <v>46021</v>
      </c>
      <c r="P55" s="93" t="s">
        <v>638</v>
      </c>
      <c r="Q55" s="97" t="s">
        <v>430</v>
      </c>
      <c r="R55" s="97" t="s">
        <v>656</v>
      </c>
      <c r="S55" s="93"/>
      <c r="T55" s="93"/>
      <c r="U55" s="93"/>
      <c r="V55" s="93"/>
      <c r="W55" s="97"/>
      <c r="X55" s="97"/>
      <c r="Y55" s="102">
        <v>1.133</v>
      </c>
      <c r="Z55" s="103">
        <f t="shared" si="1"/>
        <v>5669.53</v>
      </c>
      <c r="AA55" s="103">
        <f t="shared" si="2"/>
        <v>43938.86</v>
      </c>
      <c r="AB55" s="58" t="s">
        <v>626</v>
      </c>
      <c r="AC55" s="93"/>
      <c r="AD55" s="93"/>
      <c r="AE55" s="93" t="str">
        <f>IFERROR(VLOOKUP(H55,名称!A:D,4,0),"")</f>
        <v>KIK</v>
      </c>
      <c r="AF55" s="98"/>
      <c r="AG55" s="105"/>
      <c r="AH55" s="105">
        <v>45980</v>
      </c>
      <c r="AI55" s="105">
        <v>45960</v>
      </c>
      <c r="AJ55" s="105"/>
      <c r="AK55" s="105"/>
      <c r="AL55" s="105"/>
      <c r="AM55" s="105"/>
      <c r="AN55" s="105">
        <v>45958</v>
      </c>
      <c r="AO55" s="106">
        <f>N55-A55</f>
        <v>76</v>
      </c>
      <c r="AP55" s="106">
        <f>N55-AI55</f>
        <v>53</v>
      </c>
      <c r="AQ55" s="107"/>
      <c r="AR55" s="107"/>
      <c r="AS55" s="107"/>
    </row>
    <row r="56" s="89" customFormat="1" hidden="1" customHeight="1" spans="1:45">
      <c r="A56" s="93">
        <v>45940</v>
      </c>
      <c r="B56" s="93" t="str">
        <f ca="1">IF(TODAY()&gt;=A56,IF(R56="","未",""),"")</f>
        <v/>
      </c>
      <c r="C56" s="95" t="s">
        <v>237</v>
      </c>
      <c r="D56" s="95" t="s">
        <v>427</v>
      </c>
      <c r="E56" s="95" t="s">
        <v>438</v>
      </c>
      <c r="F56" s="97">
        <v>10112725</v>
      </c>
      <c r="G56" s="96">
        <v>202528170303</v>
      </c>
      <c r="H56" s="97" t="s">
        <v>35</v>
      </c>
      <c r="I56" s="98" t="str">
        <f>IFERROR(VLOOKUP(H56,名称!A:C,2,0),"")</f>
        <v>1:16拖车厢</v>
      </c>
      <c r="J56" s="99">
        <v>600</v>
      </c>
      <c r="K56" s="98">
        <f>IFERROR(VLOOKUP(H56,名称!A:D,3,0),"")</f>
        <v>2</v>
      </c>
      <c r="L56" s="100">
        <f t="shared" si="0"/>
        <v>300</v>
      </c>
      <c r="M56" s="93">
        <v>46092</v>
      </c>
      <c r="N56" s="93">
        <f>M56-2</f>
        <v>46090</v>
      </c>
      <c r="O56" s="93" t="s">
        <v>673</v>
      </c>
      <c r="P56" s="93" t="s">
        <v>624</v>
      </c>
      <c r="Q56" s="97" t="s">
        <v>430</v>
      </c>
      <c r="R56" s="124" t="s">
        <v>674</v>
      </c>
      <c r="S56" s="97" t="s">
        <v>675</v>
      </c>
      <c r="T56" s="97"/>
      <c r="U56" s="97"/>
      <c r="V56" s="97"/>
      <c r="W56" s="93"/>
      <c r="X56" s="100"/>
      <c r="Y56" s="120">
        <v>22.9</v>
      </c>
      <c r="Z56" s="103">
        <f t="shared" si="1"/>
        <v>13740</v>
      </c>
      <c r="AA56" s="103">
        <f t="shared" si="2"/>
        <v>106485</v>
      </c>
      <c r="AB56" s="58" t="s">
        <v>671</v>
      </c>
      <c r="AC56" s="93"/>
      <c r="AD56" s="100"/>
      <c r="AE56" s="93" t="str">
        <f>IFERROR(VLOOKUP(H56,名称!A:D,4,0),"")</f>
        <v>KIK</v>
      </c>
      <c r="AF56" s="98"/>
      <c r="AG56" s="105"/>
      <c r="AH56" s="105">
        <v>46000</v>
      </c>
      <c r="AI56" s="105">
        <v>45974</v>
      </c>
      <c r="AJ56" s="105"/>
      <c r="AK56" s="105"/>
      <c r="AL56" s="105"/>
      <c r="AM56" s="105"/>
      <c r="AN56" s="105">
        <v>45973</v>
      </c>
      <c r="AO56" s="106">
        <f>M56-A56</f>
        <v>152</v>
      </c>
      <c r="AP56" s="106">
        <f>M56-AI56</f>
        <v>118</v>
      </c>
      <c r="AQ56" s="121"/>
      <c r="AR56" s="121"/>
      <c r="AS56" s="121"/>
    </row>
    <row r="57" s="89" customFormat="1" hidden="1" customHeight="1" spans="1:45">
      <c r="A57" s="93">
        <v>45940</v>
      </c>
      <c r="B57" s="93" t="s">
        <v>467</v>
      </c>
      <c r="C57" s="95" t="s">
        <v>237</v>
      </c>
      <c r="D57" s="95" t="s">
        <v>427</v>
      </c>
      <c r="E57" s="95" t="s">
        <v>438</v>
      </c>
      <c r="F57" s="97">
        <v>10112725</v>
      </c>
      <c r="G57" s="96">
        <v>202528170303</v>
      </c>
      <c r="H57" s="97" t="s">
        <v>35</v>
      </c>
      <c r="I57" s="98" t="s">
        <v>676</v>
      </c>
      <c r="J57" s="99">
        <v>1900</v>
      </c>
      <c r="K57" s="98">
        <v>2</v>
      </c>
      <c r="L57" s="100">
        <v>950</v>
      </c>
      <c r="M57" s="93">
        <v>46113</v>
      </c>
      <c r="N57" s="93">
        <v>46111</v>
      </c>
      <c r="O57" s="93">
        <v>46111</v>
      </c>
      <c r="P57" s="93" t="s">
        <v>624</v>
      </c>
      <c r="Q57" s="97" t="s">
        <v>430</v>
      </c>
      <c r="R57" s="124" t="s">
        <v>674</v>
      </c>
      <c r="S57" s="125" t="s">
        <v>677</v>
      </c>
      <c r="T57" s="97"/>
      <c r="U57" s="97"/>
      <c r="V57" s="97"/>
      <c r="W57" s="93"/>
      <c r="X57" s="100"/>
      <c r="Y57" s="120">
        <v>22.9</v>
      </c>
      <c r="Z57" s="103">
        <f t="shared" si="1"/>
        <v>43510</v>
      </c>
      <c r="AA57" s="103">
        <f t="shared" si="2"/>
        <v>337202.5</v>
      </c>
      <c r="AB57" s="58" t="s">
        <v>678</v>
      </c>
      <c r="AC57" s="93"/>
      <c r="AD57" s="100"/>
      <c r="AE57" s="93" t="s">
        <v>12</v>
      </c>
      <c r="AF57" s="98"/>
      <c r="AG57" s="105"/>
      <c r="AH57" s="105">
        <v>46000</v>
      </c>
      <c r="AI57" s="105">
        <v>45974</v>
      </c>
      <c r="AJ57" s="105"/>
      <c r="AK57" s="105"/>
      <c r="AL57" s="105"/>
      <c r="AM57" s="105"/>
      <c r="AN57" s="105"/>
      <c r="AO57" s="105">
        <v>45973</v>
      </c>
      <c r="AP57" s="100">
        <v>173</v>
      </c>
      <c r="AQ57" s="126">
        <v>139</v>
      </c>
      <c r="AR57" s="121"/>
      <c r="AS57" s="121"/>
    </row>
    <row r="58" s="89" customFormat="1" hidden="1" customHeight="1" spans="1:45">
      <c r="A58" s="93">
        <v>45941</v>
      </c>
      <c r="B58" s="93" t="str">
        <f ca="1">IF(TODAY()&gt;=A58,IF(R58="","未",""),"")</f>
        <v/>
      </c>
      <c r="C58" s="95" t="s">
        <v>237</v>
      </c>
      <c r="D58" s="93" t="s">
        <v>427</v>
      </c>
      <c r="E58" s="95" t="s">
        <v>438</v>
      </c>
      <c r="F58" s="96">
        <v>10112827</v>
      </c>
      <c r="G58" s="96">
        <v>202528270053</v>
      </c>
      <c r="H58" s="97" t="s">
        <v>31</v>
      </c>
      <c r="I58" s="98" t="str">
        <f>IFERROR(VLOOKUP(H58,名称!A:C,2,0),"")</f>
        <v>1:16收割机</v>
      </c>
      <c r="J58" s="99">
        <f>2500-300-120</f>
        <v>2080</v>
      </c>
      <c r="K58" s="98">
        <f>IFERROR(VLOOKUP(H58,名称!A:D,3,0),"")</f>
        <v>1</v>
      </c>
      <c r="L58" s="100">
        <f>IFERROR((J58/K58),"")</f>
        <v>2080</v>
      </c>
      <c r="M58" s="93">
        <v>46092</v>
      </c>
      <c r="N58" s="93">
        <f>M58-2</f>
        <v>46090</v>
      </c>
      <c r="O58" s="93" t="s">
        <v>679</v>
      </c>
      <c r="P58" s="93" t="s">
        <v>680</v>
      </c>
      <c r="Q58" s="97" t="s">
        <v>430</v>
      </c>
      <c r="R58" s="97" t="s">
        <v>681</v>
      </c>
      <c r="S58" s="93"/>
      <c r="T58" s="93" t="s">
        <v>452</v>
      </c>
      <c r="U58" s="93"/>
      <c r="V58" s="93"/>
      <c r="W58" s="97"/>
      <c r="X58" s="100"/>
      <c r="Y58" s="102">
        <v>29.801</v>
      </c>
      <c r="Z58" s="103">
        <f t="shared" si="1"/>
        <v>61986.08</v>
      </c>
      <c r="AA58" s="103">
        <f t="shared" si="2"/>
        <v>480392.12</v>
      </c>
      <c r="AB58" s="58" t="s">
        <v>682</v>
      </c>
      <c r="AC58" s="93"/>
      <c r="AD58" s="93"/>
      <c r="AE58" s="93" t="str">
        <f>IFERROR(VLOOKUP(H58,名称!A:D,4,0),"")</f>
        <v>KIK</v>
      </c>
      <c r="AF58" s="98"/>
      <c r="AG58" s="105"/>
      <c r="AH58" s="105"/>
      <c r="AI58" s="105">
        <v>45785</v>
      </c>
      <c r="AJ58" s="105"/>
      <c r="AK58" s="105"/>
      <c r="AL58" s="105"/>
      <c r="AM58" s="105"/>
      <c r="AN58" s="105">
        <v>46000</v>
      </c>
      <c r="AO58" s="106">
        <f>M58-A58</f>
        <v>151</v>
      </c>
      <c r="AP58" s="106">
        <f>M58-AI58</f>
        <v>307</v>
      </c>
      <c r="AQ58" s="121"/>
      <c r="AR58" s="121"/>
      <c r="AS58" s="121"/>
    </row>
    <row r="59" s="89" customFormat="1" hidden="1" customHeight="1" spans="1:45">
      <c r="A59" s="93">
        <v>45953</v>
      </c>
      <c r="B59" s="93" t="s">
        <v>467</v>
      </c>
      <c r="C59" s="95" t="s">
        <v>237</v>
      </c>
      <c r="D59" s="93" t="s">
        <v>427</v>
      </c>
      <c r="E59" s="95" t="s">
        <v>428</v>
      </c>
      <c r="F59" s="96">
        <v>10113666</v>
      </c>
      <c r="G59" s="96">
        <v>202529470439</v>
      </c>
      <c r="H59" s="97" t="s">
        <v>97</v>
      </c>
      <c r="I59" s="98" t="str">
        <f>IFERROR(VLOOKUP(H59,名称!A:C,2,0),"")</f>
        <v>管道马里奥</v>
      </c>
      <c r="J59" s="99">
        <v>5000</v>
      </c>
      <c r="K59" s="98">
        <f>IFERROR(VLOOKUP(H59,名称!A:D,3,0),"")</f>
        <v>4</v>
      </c>
      <c r="L59" s="100">
        <f>IFERROR((J59/K59),"")</f>
        <v>1250</v>
      </c>
      <c r="M59" s="93">
        <v>46057</v>
      </c>
      <c r="N59" s="93">
        <v>46048</v>
      </c>
      <c r="O59" s="93">
        <v>46057</v>
      </c>
      <c r="P59" s="93" t="s">
        <v>624</v>
      </c>
      <c r="Q59" s="97" t="s">
        <v>430</v>
      </c>
      <c r="R59" s="97" t="s">
        <v>625</v>
      </c>
      <c r="S59" s="93"/>
      <c r="T59" s="93"/>
      <c r="U59" s="93"/>
      <c r="V59" s="93"/>
      <c r="W59" s="97"/>
      <c r="X59" s="100"/>
      <c r="Y59" s="102">
        <v>3.362</v>
      </c>
      <c r="Z59" s="103">
        <f t="shared" si="1"/>
        <v>16810</v>
      </c>
      <c r="AA59" s="103">
        <f t="shared" si="2"/>
        <v>130277.5</v>
      </c>
      <c r="AB59" s="58" t="s">
        <v>644</v>
      </c>
      <c r="AC59" s="93"/>
      <c r="AD59" s="93"/>
      <c r="AE59" s="93" t="str">
        <f>IFERROR(VLOOKUP(H59,名称!A:D,4,0),"")</f>
        <v>KIK</v>
      </c>
      <c r="AF59" s="98"/>
      <c r="AG59" s="105"/>
      <c r="AH59" s="105">
        <v>46000</v>
      </c>
      <c r="AI59" s="105">
        <v>45974</v>
      </c>
      <c r="AJ59" s="105"/>
      <c r="AK59" s="105"/>
      <c r="AL59" s="105"/>
      <c r="AM59" s="105"/>
      <c r="AN59" s="105">
        <v>45973</v>
      </c>
      <c r="AO59" s="106">
        <v>97</v>
      </c>
      <c r="AP59" s="106">
        <v>76</v>
      </c>
      <c r="AQ59" s="107"/>
      <c r="AR59" s="107"/>
      <c r="AS59" s="107"/>
    </row>
    <row r="60" s="89" customFormat="1" hidden="1" customHeight="1" spans="1:45">
      <c r="A60" s="93">
        <v>45960</v>
      </c>
      <c r="B60" s="93" t="s">
        <v>467</v>
      </c>
      <c r="C60" s="95" t="s">
        <v>237</v>
      </c>
      <c r="D60" s="93" t="s">
        <v>427</v>
      </c>
      <c r="E60" s="95" t="s">
        <v>428</v>
      </c>
      <c r="F60" s="96">
        <v>10113972</v>
      </c>
      <c r="G60" s="96">
        <v>202530170067</v>
      </c>
      <c r="H60" s="97" t="s">
        <v>48</v>
      </c>
      <c r="I60" s="98" t="str">
        <f>IFERROR(VLOOKUP(H60,名称!A:C,2,0),"")</f>
        <v>布鲁伊家族杯子套装</v>
      </c>
      <c r="J60" s="99">
        <v>10000</v>
      </c>
      <c r="K60" s="98">
        <f>IFERROR(VLOOKUP(H60,名称!A:D,3,0),"")</f>
        <v>4</v>
      </c>
      <c r="L60" s="100">
        <f>IFERROR((J60/K60),"")</f>
        <v>2500</v>
      </c>
      <c r="M60" s="93">
        <v>46029</v>
      </c>
      <c r="N60" s="93">
        <v>46027</v>
      </c>
      <c r="O60" s="93"/>
      <c r="P60" s="93" t="s">
        <v>624</v>
      </c>
      <c r="Q60" s="97" t="s">
        <v>430</v>
      </c>
      <c r="R60" s="97" t="s">
        <v>639</v>
      </c>
      <c r="S60" s="93" t="s">
        <v>683</v>
      </c>
      <c r="T60" s="93"/>
      <c r="U60" s="93"/>
      <c r="V60" s="93"/>
      <c r="W60" s="97"/>
      <c r="X60" s="100"/>
      <c r="Y60" s="102">
        <v>2.199</v>
      </c>
      <c r="Z60" s="103">
        <f t="shared" si="1"/>
        <v>21990</v>
      </c>
      <c r="AA60" s="103">
        <f t="shared" si="2"/>
        <v>170422.5</v>
      </c>
      <c r="AB60" s="58" t="s">
        <v>629</v>
      </c>
      <c r="AC60" s="93"/>
      <c r="AD60" s="93"/>
      <c r="AE60" s="93" t="str">
        <f>IFERROR(VLOOKUP(H60,名称!A:D,4,0),"")</f>
        <v>KIK</v>
      </c>
      <c r="AF60" s="98"/>
      <c r="AG60" s="105"/>
      <c r="AH60" s="105">
        <v>46000</v>
      </c>
      <c r="AI60" s="105">
        <v>45974</v>
      </c>
      <c r="AJ60" s="105"/>
      <c r="AK60" s="105"/>
      <c r="AL60" s="105"/>
      <c r="AM60" s="105"/>
      <c r="AN60" s="105">
        <v>45973</v>
      </c>
      <c r="AO60" s="106">
        <v>69</v>
      </c>
      <c r="AP60" s="106">
        <v>55</v>
      </c>
      <c r="AQ60" s="107"/>
      <c r="AR60" s="107"/>
      <c r="AS60" s="107"/>
    </row>
    <row r="61" s="89" customFormat="1" hidden="1" customHeight="1" spans="1:45">
      <c r="A61" s="93">
        <v>45862</v>
      </c>
      <c r="B61" s="93" t="s">
        <v>467</v>
      </c>
      <c r="C61" s="95" t="s">
        <v>235</v>
      </c>
      <c r="D61" s="93" t="s">
        <v>421</v>
      </c>
      <c r="E61" s="95" t="s">
        <v>422</v>
      </c>
      <c r="F61" s="96">
        <v>10107799</v>
      </c>
      <c r="G61" s="96">
        <v>4500031528</v>
      </c>
      <c r="H61" s="97" t="s">
        <v>95</v>
      </c>
      <c r="I61" s="98" t="str">
        <f>IFERROR(VLOOKUP(H61,名称!A:C,2,0),"")</f>
        <v>宝箱马里奥</v>
      </c>
      <c r="J61" s="99">
        <v>1000</v>
      </c>
      <c r="K61" s="98">
        <f>IFERROR(VLOOKUP(H61,名称!A:D,3,0),"")</f>
        <v>4</v>
      </c>
      <c r="L61" s="100">
        <f t="shared" si="0"/>
        <v>250</v>
      </c>
      <c r="M61" s="93">
        <v>46071</v>
      </c>
      <c r="N61" s="93">
        <v>46055</v>
      </c>
      <c r="O61" s="93">
        <v>46055</v>
      </c>
      <c r="P61" s="93" t="s">
        <v>624</v>
      </c>
      <c r="Q61" s="97" t="s">
        <v>424</v>
      </c>
      <c r="R61" s="97" t="s">
        <v>625</v>
      </c>
      <c r="S61" s="93"/>
      <c r="T61" s="93"/>
      <c r="U61" s="93"/>
      <c r="V61" s="93"/>
      <c r="W61" s="97"/>
      <c r="X61" s="100"/>
      <c r="Y61" s="102">
        <v>2.205</v>
      </c>
      <c r="Z61" s="103">
        <f t="shared" si="1"/>
        <v>2205</v>
      </c>
      <c r="AA61" s="103">
        <f t="shared" si="2"/>
        <v>17088.75</v>
      </c>
      <c r="AB61" s="58" t="s">
        <v>684</v>
      </c>
      <c r="AC61" s="93"/>
      <c r="AD61" s="93"/>
      <c r="AE61" s="93" t="str">
        <f>IFERROR(VLOOKUP(H61,名称!A:D,4,0),"")</f>
        <v>KIK</v>
      </c>
      <c r="AF61" s="98"/>
      <c r="AG61" s="105"/>
      <c r="AH61" s="105">
        <v>45987</v>
      </c>
      <c r="AI61" s="105">
        <v>45967</v>
      </c>
      <c r="AJ61" s="105"/>
      <c r="AK61" s="105"/>
      <c r="AL61" s="105"/>
      <c r="AM61" s="105"/>
      <c r="AN61" s="105">
        <v>45965</v>
      </c>
      <c r="AO61" s="106">
        <v>195</v>
      </c>
      <c r="AP61" s="106">
        <v>90</v>
      </c>
    </row>
    <row r="62" s="89" customFormat="1" hidden="1" customHeight="1" spans="1:45">
      <c r="A62" s="93">
        <v>45862</v>
      </c>
      <c r="B62" s="93" t="s">
        <v>467</v>
      </c>
      <c r="C62" s="95" t="s">
        <v>235</v>
      </c>
      <c r="D62" s="93" t="s">
        <v>421</v>
      </c>
      <c r="E62" s="95" t="s">
        <v>422</v>
      </c>
      <c r="F62" s="96">
        <v>10107799</v>
      </c>
      <c r="G62" s="96">
        <v>4500031528</v>
      </c>
      <c r="H62" s="97" t="s">
        <v>89</v>
      </c>
      <c r="I62" s="98" t="str">
        <f>IFERROR(VLOOKUP(H62,名称!A:C,2,0),"")</f>
        <v>马里奥能量蘑菇吸塑混装</v>
      </c>
      <c r="J62" s="99">
        <v>1500</v>
      </c>
      <c r="K62" s="98">
        <f>IFERROR(VLOOKUP(H62,名称!A:D,3,0),"")</f>
        <v>6</v>
      </c>
      <c r="L62" s="100">
        <f t="shared" si="0"/>
        <v>250</v>
      </c>
      <c r="M62" s="93">
        <v>46071</v>
      </c>
      <c r="N62" s="93">
        <v>46055</v>
      </c>
      <c r="O62" s="93">
        <v>46052</v>
      </c>
      <c r="P62" s="93" t="s">
        <v>624</v>
      </c>
      <c r="Q62" s="97" t="s">
        <v>424</v>
      </c>
      <c r="R62" s="97" t="s">
        <v>627</v>
      </c>
      <c r="S62" s="93"/>
      <c r="T62" s="93"/>
      <c r="U62" s="93"/>
      <c r="V62" s="93"/>
      <c r="W62" s="97"/>
      <c r="X62" s="100" t="s">
        <v>634</v>
      </c>
      <c r="Y62" s="102">
        <v>1.377</v>
      </c>
      <c r="Z62" s="103">
        <f t="shared" si="1"/>
        <v>2065.5</v>
      </c>
      <c r="AA62" s="103">
        <f t="shared" si="2"/>
        <v>16007.63</v>
      </c>
      <c r="AB62" s="58" t="s">
        <v>684</v>
      </c>
      <c r="AC62" s="93"/>
      <c r="AD62" s="93"/>
      <c r="AE62" s="93" t="str">
        <f>IFERROR(VLOOKUP(H62,名称!A:D,4,0),"")</f>
        <v>KIK</v>
      </c>
      <c r="AF62" s="98"/>
      <c r="AG62" s="105"/>
      <c r="AH62" s="105">
        <v>45987</v>
      </c>
      <c r="AI62" s="105">
        <v>45967</v>
      </c>
      <c r="AJ62" s="105"/>
      <c r="AK62" s="105"/>
      <c r="AL62" s="105"/>
      <c r="AM62" s="105"/>
      <c r="AN62" s="105">
        <v>45965</v>
      </c>
      <c r="AO62" s="106">
        <v>195</v>
      </c>
      <c r="AP62" s="106">
        <v>90</v>
      </c>
      <c r="AQ62" s="119"/>
      <c r="AR62" s="119"/>
      <c r="AS62" s="119"/>
    </row>
    <row r="63" s="89" customFormat="1" hidden="1" customHeight="1" spans="1:45">
      <c r="A63" s="93">
        <v>45862</v>
      </c>
      <c r="B63" s="93" t="s">
        <v>467</v>
      </c>
      <c r="C63" s="95" t="s">
        <v>235</v>
      </c>
      <c r="D63" s="93" t="s">
        <v>421</v>
      </c>
      <c r="E63" s="95" t="s">
        <v>422</v>
      </c>
      <c r="F63" s="96">
        <v>10107799</v>
      </c>
      <c r="G63" s="96">
        <v>4500031528</v>
      </c>
      <c r="H63" s="97" t="s">
        <v>97</v>
      </c>
      <c r="I63" s="98" t="str">
        <f>IFERROR(VLOOKUP(H63,名称!A:C,2,0),"")</f>
        <v>管道马里奥</v>
      </c>
      <c r="J63" s="99">
        <v>1500</v>
      </c>
      <c r="K63" s="98">
        <f>IFERROR(VLOOKUP(H63,名称!A:D,3,0),"")</f>
        <v>4</v>
      </c>
      <c r="L63" s="100">
        <f t="shared" si="0"/>
        <v>375</v>
      </c>
      <c r="M63" s="93">
        <v>46071</v>
      </c>
      <c r="N63" s="93">
        <v>46055</v>
      </c>
      <c r="O63" s="93">
        <v>46045</v>
      </c>
      <c r="P63" s="93" t="s">
        <v>624</v>
      </c>
      <c r="Q63" s="97" t="s">
        <v>424</v>
      </c>
      <c r="R63" s="97" t="s">
        <v>625</v>
      </c>
      <c r="S63" s="93"/>
      <c r="T63" s="93"/>
      <c r="U63" s="93"/>
      <c r="V63" s="93"/>
      <c r="W63" s="97"/>
      <c r="X63" s="100"/>
      <c r="Y63" s="102">
        <v>3.362</v>
      </c>
      <c r="Z63" s="103">
        <f t="shared" si="1"/>
        <v>5043</v>
      </c>
      <c r="AA63" s="103">
        <f t="shared" si="2"/>
        <v>39083.25</v>
      </c>
      <c r="AB63" s="58" t="s">
        <v>684</v>
      </c>
      <c r="AC63" s="93"/>
      <c r="AD63" s="93"/>
      <c r="AE63" s="93" t="str">
        <f>IFERROR(VLOOKUP(H63,名称!A:D,4,0),"")</f>
        <v>KIK</v>
      </c>
      <c r="AF63" s="98"/>
      <c r="AG63" s="105"/>
      <c r="AH63" s="105">
        <v>45987</v>
      </c>
      <c r="AI63" s="105">
        <v>45967</v>
      </c>
      <c r="AJ63" s="105"/>
      <c r="AK63" s="105"/>
      <c r="AL63" s="105"/>
      <c r="AM63" s="105"/>
      <c r="AN63" s="105">
        <v>45965</v>
      </c>
      <c r="AO63" s="106">
        <v>195</v>
      </c>
      <c r="AP63" s="106">
        <v>90</v>
      </c>
      <c r="AQ63" s="107"/>
      <c r="AR63" s="107"/>
      <c r="AS63" s="107"/>
    </row>
    <row r="64" s="89" customFormat="1" hidden="1" customHeight="1" spans="1:45">
      <c r="A64" s="93">
        <v>45960</v>
      </c>
      <c r="B64" s="93" t="s">
        <v>467</v>
      </c>
      <c r="C64" s="95" t="s">
        <v>235</v>
      </c>
      <c r="D64" s="93" t="s">
        <v>421</v>
      </c>
      <c r="E64" s="95" t="s">
        <v>446</v>
      </c>
      <c r="F64" s="96">
        <v>10113959</v>
      </c>
      <c r="G64" s="96">
        <v>4500031877</v>
      </c>
      <c r="H64" s="97" t="s">
        <v>97</v>
      </c>
      <c r="I64" s="98" t="str">
        <f>IFERROR(VLOOKUP(H64,名称!A:C,2,0),"")</f>
        <v>管道马里奥</v>
      </c>
      <c r="J64" s="99">
        <v>1000</v>
      </c>
      <c r="K64" s="98">
        <f>IFERROR(VLOOKUP(H64,名称!A:D,3,0),"")</f>
        <v>4</v>
      </c>
      <c r="L64" s="100">
        <f t="shared" si="0"/>
        <v>250</v>
      </c>
      <c r="M64" s="93">
        <v>46071</v>
      </c>
      <c r="N64" s="93">
        <v>46055</v>
      </c>
      <c r="O64" s="93">
        <v>46045</v>
      </c>
      <c r="P64" s="93" t="s">
        <v>624</v>
      </c>
      <c r="Q64" s="97" t="s">
        <v>424</v>
      </c>
      <c r="R64" s="97" t="s">
        <v>625</v>
      </c>
      <c r="S64" s="93"/>
      <c r="T64" s="93"/>
      <c r="U64" s="93"/>
      <c r="V64" s="93"/>
      <c r="W64" s="97"/>
      <c r="X64" s="100"/>
      <c r="Y64" s="102">
        <v>3.362</v>
      </c>
      <c r="Z64" s="103">
        <f t="shared" si="1"/>
        <v>3362</v>
      </c>
      <c r="AA64" s="103">
        <f t="shared" si="2"/>
        <v>26055.5</v>
      </c>
      <c r="AB64" s="58" t="s">
        <v>684</v>
      </c>
      <c r="AC64" s="93"/>
      <c r="AD64" s="93"/>
      <c r="AE64" s="93" t="str">
        <f>IFERROR(VLOOKUP(H64,名称!A:D,4,0),"")</f>
        <v>KIK</v>
      </c>
      <c r="AF64" s="98"/>
      <c r="AG64" s="105"/>
      <c r="AH64" s="105">
        <v>46000</v>
      </c>
      <c r="AI64" s="105">
        <v>45974</v>
      </c>
      <c r="AJ64" s="105"/>
      <c r="AK64" s="105"/>
      <c r="AL64" s="105"/>
      <c r="AM64" s="105"/>
      <c r="AN64" s="105">
        <v>45973</v>
      </c>
      <c r="AO64" s="106">
        <v>97</v>
      </c>
      <c r="AP64" s="106">
        <v>83</v>
      </c>
      <c r="AQ64" s="107"/>
      <c r="AR64" s="107"/>
      <c r="AS64" s="107"/>
    </row>
    <row r="65" s="89" customFormat="1" hidden="1" customHeight="1" spans="1:45">
      <c r="A65" s="93">
        <v>45910</v>
      </c>
      <c r="B65" s="93" t="s">
        <v>467</v>
      </c>
      <c r="C65" s="95" t="s">
        <v>236</v>
      </c>
      <c r="D65" s="93" t="s">
        <v>442</v>
      </c>
      <c r="E65" s="95" t="s">
        <v>443</v>
      </c>
      <c r="F65" s="96">
        <v>10111036</v>
      </c>
      <c r="G65" s="96">
        <v>20218614</v>
      </c>
      <c r="H65" s="97" t="s">
        <v>124</v>
      </c>
      <c r="I65" s="98" t="str">
        <f>IFERROR(VLOOKUP(H65,名称!A:C,2,0),"")</f>
        <v>马里奥能量蘑菇吸塑混装</v>
      </c>
      <c r="J65" s="99">
        <v>3204</v>
      </c>
      <c r="K65" s="98">
        <f>IFERROR(VLOOKUP(H65,名称!A:D,3,0),"")</f>
        <v>6</v>
      </c>
      <c r="L65" s="100">
        <f t="shared" si="0"/>
        <v>534</v>
      </c>
      <c r="M65" s="93">
        <v>46078</v>
      </c>
      <c r="N65" s="93">
        <v>46055</v>
      </c>
      <c r="O65" s="93">
        <v>46060</v>
      </c>
      <c r="P65" s="93" t="s">
        <v>624</v>
      </c>
      <c r="Q65" s="97" t="s">
        <v>430</v>
      </c>
      <c r="R65" s="97" t="s">
        <v>627</v>
      </c>
      <c r="S65" s="93"/>
      <c r="T65" s="93"/>
      <c r="U65" s="93"/>
      <c r="V65" s="93"/>
      <c r="W65" s="97"/>
      <c r="X65" s="122" t="s">
        <v>645</v>
      </c>
      <c r="Y65" s="102">
        <v>1.311</v>
      </c>
      <c r="Z65" s="103">
        <f t="shared" si="1"/>
        <v>4200.44</v>
      </c>
      <c r="AA65" s="103">
        <f t="shared" si="2"/>
        <v>32553.41</v>
      </c>
      <c r="AB65" s="58" t="s">
        <v>685</v>
      </c>
      <c r="AC65" s="93"/>
      <c r="AD65" s="93"/>
      <c r="AE65" s="93" t="str">
        <f>IFERROR(VLOOKUP(H65,名称!A:D,4,0),"")</f>
        <v>KIK</v>
      </c>
      <c r="AF65" s="98"/>
      <c r="AG65" s="105"/>
      <c r="AH65" s="105">
        <v>45987</v>
      </c>
      <c r="AI65" s="105">
        <v>45967</v>
      </c>
      <c r="AJ65" s="105"/>
      <c r="AK65" s="105"/>
      <c r="AL65" s="105"/>
      <c r="AM65" s="105"/>
      <c r="AN65" s="105"/>
      <c r="AO65" s="106">
        <v>147</v>
      </c>
      <c r="AP65" s="106">
        <v>90</v>
      </c>
      <c r="AQ65" s="107"/>
      <c r="AR65" s="107"/>
      <c r="AS65" s="107"/>
    </row>
    <row r="66" s="89" customFormat="1" hidden="1" customHeight="1" spans="1:45">
      <c r="A66" s="93">
        <v>45981</v>
      </c>
      <c r="B66" s="93" t="s">
        <v>467</v>
      </c>
      <c r="C66" s="95" t="s">
        <v>236</v>
      </c>
      <c r="D66" s="93" t="s">
        <v>442</v>
      </c>
      <c r="E66" s="95" t="s">
        <v>443</v>
      </c>
      <c r="F66" s="96">
        <v>10115166</v>
      </c>
      <c r="G66" s="96">
        <v>20218779</v>
      </c>
      <c r="H66" s="97" t="s">
        <v>115</v>
      </c>
      <c r="I66" s="98" t="str">
        <f>IFERROR(VLOOKUP(H66,名称!A:C,2,0),"")</f>
        <v>布鲁伊混装</v>
      </c>
      <c r="J66" s="99">
        <v>1200</v>
      </c>
      <c r="K66" s="98">
        <f>IFERROR(VLOOKUP(H66,名称!A:D,3,0),"")</f>
        <v>4</v>
      </c>
      <c r="L66" s="100">
        <f t="shared" ref="L66:L129" si="7">IFERROR((J66/K66),"")</f>
        <v>300</v>
      </c>
      <c r="M66" s="93">
        <v>46078</v>
      </c>
      <c r="N66" s="93">
        <v>46055</v>
      </c>
      <c r="O66" s="93">
        <v>46062</v>
      </c>
      <c r="P66" s="93" t="s">
        <v>686</v>
      </c>
      <c r="Q66" s="97" t="s">
        <v>430</v>
      </c>
      <c r="R66" s="97" t="s">
        <v>687</v>
      </c>
      <c r="S66" s="93"/>
      <c r="T66" s="93"/>
      <c r="U66" s="93"/>
      <c r="V66" s="93"/>
      <c r="W66" s="97"/>
      <c r="X66" s="100"/>
      <c r="Y66" s="102">
        <v>2.204</v>
      </c>
      <c r="Z66" s="103">
        <f t="shared" ref="Z66:Z129" si="8">J66*Y66</f>
        <v>2644.8</v>
      </c>
      <c r="AA66" s="103">
        <f t="shared" ref="AA66:AA129" si="9">Z66*7.75</f>
        <v>20497.2</v>
      </c>
      <c r="AB66" s="58" t="s">
        <v>685</v>
      </c>
      <c r="AC66" s="93"/>
      <c r="AD66" s="93"/>
      <c r="AE66" s="93" t="str">
        <f>IFERROR(VLOOKUP(H66,名称!A:D,4,0),"")</f>
        <v>KIK</v>
      </c>
      <c r="AF66" s="98"/>
      <c r="AG66" s="105"/>
      <c r="AH66" s="105">
        <v>46021</v>
      </c>
      <c r="AI66" s="105">
        <v>46002</v>
      </c>
      <c r="AJ66" s="105"/>
      <c r="AK66" s="105"/>
      <c r="AL66" s="105"/>
      <c r="AM66" s="105"/>
      <c r="AN66" s="105">
        <v>45994</v>
      </c>
      <c r="AO66" s="106">
        <v>76</v>
      </c>
      <c r="AP66" s="106">
        <v>55</v>
      </c>
      <c r="AQ66" s="107"/>
      <c r="AR66" s="107"/>
      <c r="AS66" s="107"/>
    </row>
    <row r="67" s="89" customFormat="1" hidden="1" customHeight="1" spans="1:45">
      <c r="A67" s="93">
        <v>45960</v>
      </c>
      <c r="B67" s="93" t="s">
        <v>467</v>
      </c>
      <c r="C67" s="95" t="s">
        <v>237</v>
      </c>
      <c r="D67" s="93" t="s">
        <v>427</v>
      </c>
      <c r="E67" s="95" t="s">
        <v>428</v>
      </c>
      <c r="F67" s="96">
        <v>10113975</v>
      </c>
      <c r="G67" s="96">
        <v>202530170411</v>
      </c>
      <c r="H67" s="97" t="s">
        <v>88</v>
      </c>
      <c r="I67" s="98" t="str">
        <f>IFERROR(VLOOKUP(H67,名称!A:C,2,0),"")</f>
        <v>杯子</v>
      </c>
      <c r="J67" s="99">
        <v>8208</v>
      </c>
      <c r="K67" s="98">
        <f>IFERROR(VLOOKUP(H67,名称!A:D,3,0),"")</f>
        <v>18</v>
      </c>
      <c r="L67" s="100">
        <f t="shared" si="7"/>
        <v>456</v>
      </c>
      <c r="M67" s="93">
        <v>46057</v>
      </c>
      <c r="N67" s="93">
        <v>46048</v>
      </c>
      <c r="O67" s="93">
        <v>46051</v>
      </c>
      <c r="P67" s="93" t="s">
        <v>624</v>
      </c>
      <c r="Q67" s="97" t="s">
        <v>430</v>
      </c>
      <c r="R67" s="97" t="s">
        <v>639</v>
      </c>
      <c r="S67" s="93"/>
      <c r="T67" s="93"/>
      <c r="U67" s="93"/>
      <c r="V67" s="93"/>
      <c r="W67" s="97"/>
      <c r="X67" s="100"/>
      <c r="Y67" s="102">
        <v>0.963</v>
      </c>
      <c r="Z67" s="103">
        <f t="shared" si="8"/>
        <v>7904.3</v>
      </c>
      <c r="AA67" s="103">
        <f t="shared" si="9"/>
        <v>61258.33</v>
      </c>
      <c r="AB67" s="58" t="s">
        <v>644</v>
      </c>
      <c r="AC67" s="93"/>
      <c r="AD67" s="93"/>
      <c r="AE67" s="93" t="str">
        <f>IFERROR(VLOOKUP(H67,名称!A:D,4,0),"")</f>
        <v>KIK</v>
      </c>
      <c r="AF67" s="98"/>
      <c r="AG67" s="105"/>
      <c r="AH67" s="105">
        <v>46009</v>
      </c>
      <c r="AI67" s="105">
        <v>45986</v>
      </c>
      <c r="AJ67" s="105"/>
      <c r="AK67" s="105"/>
      <c r="AL67" s="105"/>
      <c r="AM67" s="105"/>
      <c r="AN67" s="105">
        <v>45980</v>
      </c>
      <c r="AO67" s="106">
        <v>90</v>
      </c>
      <c r="AP67" s="106">
        <v>64</v>
      </c>
      <c r="AQ67" s="107"/>
      <c r="AR67" s="107"/>
      <c r="AS67" s="107"/>
    </row>
    <row r="68" s="89" customFormat="1" hidden="1" customHeight="1" spans="1:45">
      <c r="A68" s="93">
        <v>45960</v>
      </c>
      <c r="B68" s="93" t="s">
        <v>660</v>
      </c>
      <c r="C68" s="95" t="s">
        <v>237</v>
      </c>
      <c r="D68" s="93" t="s">
        <v>427</v>
      </c>
      <c r="E68" s="95" t="s">
        <v>438</v>
      </c>
      <c r="F68" s="96">
        <v>10113960</v>
      </c>
      <c r="G68" s="96">
        <v>202530170064</v>
      </c>
      <c r="H68" s="97">
        <v>47674</v>
      </c>
      <c r="I68" s="98" t="str">
        <f>IFERROR(VLOOKUP(H68,名称!A:C,2,0),"")</f>
        <v>JD LNS圆轮拖拉机</v>
      </c>
      <c r="J68" s="99">
        <v>5000</v>
      </c>
      <c r="K68" s="98">
        <f>IFERROR(VLOOKUP(H68,名称!A:D,3,0),"")</f>
        <v>2</v>
      </c>
      <c r="L68" s="100">
        <f t="shared" si="7"/>
        <v>2500</v>
      </c>
      <c r="M68" s="93">
        <v>46057</v>
      </c>
      <c r="N68" s="93">
        <v>46048</v>
      </c>
      <c r="O68" s="93">
        <v>46050</v>
      </c>
      <c r="P68" s="93" t="s">
        <v>624</v>
      </c>
      <c r="Q68" s="97" t="s">
        <v>430</v>
      </c>
      <c r="R68" s="97"/>
      <c r="S68" s="93"/>
      <c r="T68" s="93" t="s">
        <v>452</v>
      </c>
      <c r="U68" s="93"/>
      <c r="V68" s="93"/>
      <c r="W68" s="97"/>
      <c r="X68" s="100"/>
      <c r="Y68" s="102">
        <v>5.225</v>
      </c>
      <c r="Z68" s="103">
        <f t="shared" si="8"/>
        <v>26125</v>
      </c>
      <c r="AA68" s="103">
        <f t="shared" si="9"/>
        <v>202468.75</v>
      </c>
      <c r="AB68" s="58" t="s">
        <v>688</v>
      </c>
      <c r="AC68" s="93"/>
      <c r="AD68" s="93"/>
      <c r="AE68" s="93" t="str">
        <f>IFERROR(VLOOKUP(H68,名称!A:D,4,0),"")</f>
        <v>KIK</v>
      </c>
      <c r="AF68" s="98"/>
      <c r="AG68" s="105"/>
      <c r="AH68" s="105">
        <v>46009</v>
      </c>
      <c r="AI68" s="105">
        <v>45986</v>
      </c>
      <c r="AJ68" s="105"/>
      <c r="AK68" s="105"/>
      <c r="AL68" s="105"/>
      <c r="AM68" s="105"/>
      <c r="AN68" s="105">
        <v>45993</v>
      </c>
      <c r="AO68" s="106">
        <v>90</v>
      </c>
      <c r="AP68" s="106">
        <v>64</v>
      </c>
      <c r="AQ68" s="107"/>
      <c r="AR68" s="107"/>
      <c r="AS68" s="107"/>
    </row>
    <row r="69" s="89" customFormat="1" hidden="1" customHeight="1" spans="1:45">
      <c r="A69" s="93">
        <v>45960</v>
      </c>
      <c r="B69" s="93" t="s">
        <v>467</v>
      </c>
      <c r="C69" s="95" t="s">
        <v>237</v>
      </c>
      <c r="D69" s="93" t="s">
        <v>427</v>
      </c>
      <c r="E69" s="95" t="s">
        <v>428</v>
      </c>
      <c r="F69" s="96">
        <v>10113975</v>
      </c>
      <c r="G69" s="96">
        <v>202530170411</v>
      </c>
      <c r="H69" s="97" t="s">
        <v>88</v>
      </c>
      <c r="I69" s="98" t="str">
        <f>IFERROR(VLOOKUP(H69,名称!A:C,2,0),"")</f>
        <v>杯子</v>
      </c>
      <c r="J69" s="99">
        <v>1800</v>
      </c>
      <c r="K69" s="98">
        <f>IFERROR(VLOOKUP(H69,名称!A:D,3,0),"")</f>
        <v>18</v>
      </c>
      <c r="L69" s="100">
        <f t="shared" si="7"/>
        <v>100</v>
      </c>
      <c r="M69" s="93">
        <v>46057</v>
      </c>
      <c r="N69" s="93">
        <v>46048</v>
      </c>
      <c r="O69" s="93">
        <v>46051</v>
      </c>
      <c r="P69" s="93" t="s">
        <v>624</v>
      </c>
      <c r="Q69" s="97" t="s">
        <v>430</v>
      </c>
      <c r="R69" s="97" t="s">
        <v>639</v>
      </c>
      <c r="S69" s="93"/>
      <c r="T69" s="93"/>
      <c r="U69" s="93"/>
      <c r="V69" s="93"/>
      <c r="W69" s="97"/>
      <c r="X69" s="100"/>
      <c r="Y69" s="102">
        <v>0.963</v>
      </c>
      <c r="Z69" s="103">
        <f t="shared" si="8"/>
        <v>1733.4</v>
      </c>
      <c r="AA69" s="103">
        <f t="shared" si="9"/>
        <v>13433.85</v>
      </c>
      <c r="AB69" s="58" t="s">
        <v>688</v>
      </c>
      <c r="AC69" s="93"/>
      <c r="AD69" s="93"/>
      <c r="AE69" s="93" t="str">
        <f>IFERROR(VLOOKUP(H69,名称!A:D,4,0),"")</f>
        <v>KIK</v>
      </c>
      <c r="AF69" s="98"/>
      <c r="AG69" s="105"/>
      <c r="AH69" s="105">
        <v>46009</v>
      </c>
      <c r="AI69" s="105">
        <v>45986</v>
      </c>
      <c r="AJ69" s="105"/>
      <c r="AK69" s="105"/>
      <c r="AL69" s="105"/>
      <c r="AM69" s="105"/>
      <c r="AN69" s="105">
        <v>45980</v>
      </c>
      <c r="AO69" s="106">
        <v>90</v>
      </c>
      <c r="AP69" s="106">
        <v>64</v>
      </c>
      <c r="AQ69" s="107"/>
      <c r="AR69" s="107"/>
      <c r="AS69" s="107"/>
    </row>
    <row r="70" s="89" customFormat="1" hidden="1" customHeight="1" spans="1:45">
      <c r="A70" s="93">
        <v>45961</v>
      </c>
      <c r="B70" s="93" t="s">
        <v>467</v>
      </c>
      <c r="C70" s="95" t="s">
        <v>237</v>
      </c>
      <c r="D70" s="93" t="s">
        <v>427</v>
      </c>
      <c r="E70" s="95" t="s">
        <v>428</v>
      </c>
      <c r="F70" s="96">
        <v>10113988</v>
      </c>
      <c r="G70" s="96">
        <v>202530170069</v>
      </c>
      <c r="H70" s="97" t="s">
        <v>122</v>
      </c>
      <c r="I70" s="98" t="str">
        <f>IFERROR(VLOOKUP(H70,名称!A:C,2,0),"")</f>
        <v>马里奥和他的蘑菇</v>
      </c>
      <c r="J70" s="99">
        <v>396</v>
      </c>
      <c r="K70" s="98">
        <f>IFERROR(VLOOKUP(H70,名称!A:D,3,0),"")</f>
        <v>6</v>
      </c>
      <c r="L70" s="100">
        <f t="shared" si="7"/>
        <v>66</v>
      </c>
      <c r="M70" s="93">
        <v>46057</v>
      </c>
      <c r="N70" s="93">
        <v>46048</v>
      </c>
      <c r="O70" s="93">
        <v>46059</v>
      </c>
      <c r="P70" s="93" t="s">
        <v>624</v>
      </c>
      <c r="Q70" s="97" t="s">
        <v>430</v>
      </c>
      <c r="R70" s="97" t="s">
        <v>627</v>
      </c>
      <c r="S70" s="93"/>
      <c r="T70" s="93"/>
      <c r="U70" s="93"/>
      <c r="V70" s="93"/>
      <c r="W70" s="97"/>
      <c r="X70" s="100" t="s">
        <v>628</v>
      </c>
      <c r="Y70" s="120">
        <v>1.413</v>
      </c>
      <c r="Z70" s="103">
        <f t="shared" si="8"/>
        <v>559.55</v>
      </c>
      <c r="AA70" s="103">
        <f t="shared" si="9"/>
        <v>4336.51</v>
      </c>
      <c r="AB70" s="58" t="s">
        <v>644</v>
      </c>
      <c r="AC70" s="93"/>
      <c r="AD70" s="93"/>
      <c r="AE70" s="93" t="str">
        <f>IFERROR(VLOOKUP(H70,名称!A:D,4,0),"")</f>
        <v>KIK</v>
      </c>
      <c r="AF70" s="98"/>
      <c r="AG70" s="105"/>
      <c r="AH70" s="105">
        <v>45987</v>
      </c>
      <c r="AI70" s="105">
        <v>45967</v>
      </c>
      <c r="AJ70" s="105"/>
      <c r="AK70" s="105"/>
      <c r="AL70" s="105"/>
      <c r="AM70" s="105"/>
      <c r="AN70" s="105">
        <v>45965</v>
      </c>
      <c r="AO70" s="106">
        <v>89</v>
      </c>
      <c r="AP70" s="106">
        <v>83</v>
      </c>
      <c r="AQ70" s="107"/>
      <c r="AR70" s="107"/>
      <c r="AS70" s="107"/>
    </row>
    <row r="71" s="89" customFormat="1" hidden="1" customHeight="1" spans="1:45">
      <c r="A71" s="93">
        <v>45961</v>
      </c>
      <c r="B71" s="93" t="str">
        <f ca="1">IF(TODAY()&gt;=A71,IF(R71="","未",""),"")</f>
        <v>未</v>
      </c>
      <c r="C71" s="95" t="s">
        <v>237</v>
      </c>
      <c r="D71" s="93" t="s">
        <v>427</v>
      </c>
      <c r="E71" s="95" t="s">
        <v>443</v>
      </c>
      <c r="F71" s="96">
        <v>10114215</v>
      </c>
      <c r="G71" s="96">
        <v>202530370199</v>
      </c>
      <c r="H71" s="97" t="s">
        <v>20</v>
      </c>
      <c r="I71" s="98" t="str">
        <f>IFERROR(VLOOKUP(H71,名称!A:C,2,0),"")</f>
        <v>挖土机</v>
      </c>
      <c r="J71" s="99">
        <v>1600</v>
      </c>
      <c r="K71" s="98">
        <f>IFERROR(VLOOKUP(H71,名称!A:D,3,0),"")</f>
        <v>2</v>
      </c>
      <c r="L71" s="100">
        <f t="shared" si="7"/>
        <v>800</v>
      </c>
      <c r="M71" s="93">
        <v>46057</v>
      </c>
      <c r="N71" s="93">
        <f>M71-2</f>
        <v>46055</v>
      </c>
      <c r="O71" s="93">
        <v>46057</v>
      </c>
      <c r="P71" s="93" t="s">
        <v>686</v>
      </c>
      <c r="Q71" s="97" t="s">
        <v>430</v>
      </c>
      <c r="R71" s="97"/>
      <c r="S71" s="93"/>
      <c r="T71" s="93" t="s">
        <v>452</v>
      </c>
      <c r="U71" s="93"/>
      <c r="V71" s="93"/>
      <c r="W71" s="97"/>
      <c r="X71" s="100"/>
      <c r="Y71" s="102">
        <v>11.9</v>
      </c>
      <c r="Z71" s="103">
        <f t="shared" si="8"/>
        <v>19040</v>
      </c>
      <c r="AA71" s="103">
        <f t="shared" si="9"/>
        <v>147560</v>
      </c>
      <c r="AB71" s="58" t="s">
        <v>689</v>
      </c>
      <c r="AC71" s="93"/>
      <c r="AD71" s="93"/>
      <c r="AE71" s="93" t="str">
        <f>IFERROR(VLOOKUP(H71,名称!A:D,4,0),"")</f>
        <v>KIK</v>
      </c>
      <c r="AF71" s="98"/>
      <c r="AG71" s="105"/>
      <c r="AH71" s="105">
        <v>46008</v>
      </c>
      <c r="AI71" s="105">
        <v>45988</v>
      </c>
      <c r="AJ71" s="105"/>
      <c r="AK71" s="105"/>
      <c r="AL71" s="105">
        <v>45988</v>
      </c>
      <c r="AM71" s="105"/>
      <c r="AN71" s="105">
        <v>45987</v>
      </c>
      <c r="AO71" s="106">
        <f>M71-A71</f>
        <v>96</v>
      </c>
      <c r="AP71" s="106">
        <f>M71-AI71</f>
        <v>69</v>
      </c>
      <c r="AQ71" s="107"/>
      <c r="AR71" s="107"/>
      <c r="AS71" s="107"/>
    </row>
    <row r="72" s="89" customFormat="1" hidden="1" customHeight="1" spans="1:45">
      <c r="A72" s="93">
        <v>45961</v>
      </c>
      <c r="B72" s="93" t="s">
        <v>467</v>
      </c>
      <c r="C72" s="95" t="s">
        <v>237</v>
      </c>
      <c r="D72" s="93" t="s">
        <v>427</v>
      </c>
      <c r="E72" s="95" t="s">
        <v>428</v>
      </c>
      <c r="F72" s="96">
        <v>10113988</v>
      </c>
      <c r="G72" s="96">
        <v>202530170069</v>
      </c>
      <c r="H72" s="97" t="s">
        <v>123</v>
      </c>
      <c r="I72" s="98" t="str">
        <f>IFERROR(VLOOKUP(H72,名称!A:C,2,0),"")</f>
        <v>能量蘑菇</v>
      </c>
      <c r="J72" s="99">
        <v>600</v>
      </c>
      <c r="K72" s="98">
        <f>IFERROR(VLOOKUP(H72,名称!A:D,3,0),"")</f>
        <v>6</v>
      </c>
      <c r="L72" s="100">
        <f t="shared" si="7"/>
        <v>100</v>
      </c>
      <c r="M72" s="93">
        <v>46057</v>
      </c>
      <c r="N72" s="93">
        <v>46055</v>
      </c>
      <c r="O72" s="93">
        <v>46063</v>
      </c>
      <c r="P72" s="93" t="s">
        <v>624</v>
      </c>
      <c r="Q72" s="97" t="s">
        <v>430</v>
      </c>
      <c r="R72" s="97" t="s">
        <v>627</v>
      </c>
      <c r="S72" s="93"/>
      <c r="T72" s="93"/>
      <c r="U72" s="93"/>
      <c r="V72" s="93"/>
      <c r="W72" s="97"/>
      <c r="X72" s="100" t="s">
        <v>647</v>
      </c>
      <c r="Y72" s="120">
        <v>1.278</v>
      </c>
      <c r="Z72" s="103">
        <f t="shared" si="8"/>
        <v>766.8</v>
      </c>
      <c r="AA72" s="103">
        <f t="shared" si="9"/>
        <v>5942.7</v>
      </c>
      <c r="AB72" s="58" t="s">
        <v>646</v>
      </c>
      <c r="AC72" s="93"/>
      <c r="AD72" s="93"/>
      <c r="AE72" s="93" t="str">
        <f>IFERROR(VLOOKUP(H72,名称!A:D,4,0),"")</f>
        <v>KIK</v>
      </c>
      <c r="AF72" s="98"/>
      <c r="AG72" s="105"/>
      <c r="AH72" s="105">
        <v>45987</v>
      </c>
      <c r="AI72" s="105">
        <v>45967</v>
      </c>
      <c r="AJ72" s="105"/>
      <c r="AK72" s="105"/>
      <c r="AL72" s="105"/>
      <c r="AM72" s="105"/>
      <c r="AN72" s="105">
        <v>45965</v>
      </c>
      <c r="AO72" s="106">
        <v>96</v>
      </c>
      <c r="AP72" s="106">
        <v>90</v>
      </c>
      <c r="AQ72" s="107"/>
      <c r="AR72" s="107"/>
      <c r="AS72" s="107"/>
    </row>
    <row r="73" s="89" customFormat="1" hidden="1" customHeight="1" spans="1:45">
      <c r="A73" s="93">
        <v>45961</v>
      </c>
      <c r="B73" s="93" t="s">
        <v>467</v>
      </c>
      <c r="C73" s="95" t="s">
        <v>237</v>
      </c>
      <c r="D73" s="93" t="s">
        <v>427</v>
      </c>
      <c r="E73" s="95" t="s">
        <v>428</v>
      </c>
      <c r="F73" s="96">
        <v>10113988</v>
      </c>
      <c r="G73" s="96">
        <v>202530170069</v>
      </c>
      <c r="H73" s="97" t="s">
        <v>125</v>
      </c>
      <c r="I73" s="98" t="str">
        <f>IFERROR(VLOOKUP(H73,名称!A:C,2,0),"")</f>
        <v>马里奥能量蘑菇密封盒混装</v>
      </c>
      <c r="J73" s="99">
        <v>504</v>
      </c>
      <c r="K73" s="98">
        <f>IFERROR(VLOOKUP(H73,名称!A:D,3,0),"")</f>
        <v>6</v>
      </c>
      <c r="L73" s="100">
        <f t="shared" si="7"/>
        <v>84</v>
      </c>
      <c r="M73" s="93">
        <v>46057</v>
      </c>
      <c r="N73" s="93">
        <v>46055</v>
      </c>
      <c r="O73" s="93">
        <v>46064</v>
      </c>
      <c r="P73" s="93" t="s">
        <v>624</v>
      </c>
      <c r="Q73" s="97" t="s">
        <v>430</v>
      </c>
      <c r="R73" s="97" t="s">
        <v>627</v>
      </c>
      <c r="S73" s="93"/>
      <c r="T73" s="93"/>
      <c r="U73" s="93"/>
      <c r="V73" s="93"/>
      <c r="W73" s="97"/>
      <c r="X73" s="122" t="s">
        <v>690</v>
      </c>
      <c r="Y73" s="120">
        <v>2.33</v>
      </c>
      <c r="Z73" s="103">
        <f t="shared" si="8"/>
        <v>1174.32</v>
      </c>
      <c r="AA73" s="103">
        <f t="shared" si="9"/>
        <v>9100.98</v>
      </c>
      <c r="AB73" s="58" t="s">
        <v>646</v>
      </c>
      <c r="AC73" s="93"/>
      <c r="AD73" s="93"/>
      <c r="AE73" s="93" t="str">
        <f>IFERROR(VLOOKUP(H73,名称!A:D,4,0),"")</f>
        <v>KIK</v>
      </c>
      <c r="AF73" s="98"/>
      <c r="AG73" s="105"/>
      <c r="AH73" s="105">
        <v>45987</v>
      </c>
      <c r="AI73" s="105">
        <v>45967</v>
      </c>
      <c r="AJ73" s="105"/>
      <c r="AK73" s="105"/>
      <c r="AL73" s="105"/>
      <c r="AM73" s="105"/>
      <c r="AN73" s="105">
        <v>45965</v>
      </c>
      <c r="AO73" s="106">
        <v>96</v>
      </c>
      <c r="AP73" s="106">
        <v>90</v>
      </c>
      <c r="AQ73" s="107"/>
      <c r="AR73" s="107"/>
      <c r="AS73" s="107"/>
    </row>
    <row r="74" s="89" customFormat="1" hidden="1" customHeight="1" spans="1:45">
      <c r="A74" s="93">
        <v>45862</v>
      </c>
      <c r="B74" s="93" t="str">
        <f ca="1" t="shared" ref="B74:B129" si="10">IF(TODAY()&gt;=A74,IF(R74="","未",""),"")</f>
        <v/>
      </c>
      <c r="C74" s="95" t="s">
        <v>235</v>
      </c>
      <c r="D74" s="93" t="s">
        <v>421</v>
      </c>
      <c r="E74" s="95" t="s">
        <v>422</v>
      </c>
      <c r="F74" s="96">
        <v>10107797</v>
      </c>
      <c r="G74" s="96">
        <v>4500031526</v>
      </c>
      <c r="H74" s="97" t="s">
        <v>95</v>
      </c>
      <c r="I74" s="98" t="str">
        <f>IFERROR(VLOOKUP(H74,名称!A:C,2,0),"")</f>
        <v>宝箱马里奥</v>
      </c>
      <c r="J74" s="99">
        <f>2148-172</f>
        <v>1976</v>
      </c>
      <c r="K74" s="98">
        <f>IFERROR(VLOOKUP(H74,名称!A:D,3,0),"")</f>
        <v>4</v>
      </c>
      <c r="L74" s="100">
        <f t="shared" si="7"/>
        <v>494</v>
      </c>
      <c r="M74" s="93">
        <v>46078</v>
      </c>
      <c r="N74" s="93">
        <f t="shared" ref="N74:N129" si="11">M74-2</f>
        <v>46076</v>
      </c>
      <c r="O74" s="93">
        <v>46055</v>
      </c>
      <c r="P74" s="93" t="s">
        <v>624</v>
      </c>
      <c r="Q74" s="97" t="s">
        <v>424</v>
      </c>
      <c r="R74" s="97" t="s">
        <v>625</v>
      </c>
      <c r="S74" s="93"/>
      <c r="T74" s="93"/>
      <c r="U74" s="93"/>
      <c r="V74" s="93"/>
      <c r="W74" s="97"/>
      <c r="X74" s="100"/>
      <c r="Y74" s="102">
        <v>2.205</v>
      </c>
      <c r="Z74" s="103">
        <f t="shared" si="8"/>
        <v>4357.08</v>
      </c>
      <c r="AA74" s="103">
        <f t="shared" si="9"/>
        <v>33767.37</v>
      </c>
      <c r="AB74" s="58" t="s">
        <v>691</v>
      </c>
      <c r="AC74" s="93"/>
      <c r="AD74" s="93"/>
      <c r="AE74" s="93" t="str">
        <f>IFERROR(VLOOKUP(H74,名称!A:D,4,0),"")</f>
        <v>KIK</v>
      </c>
      <c r="AF74" s="98"/>
      <c r="AG74" s="105"/>
      <c r="AH74" s="105">
        <v>45987</v>
      </c>
      <c r="AI74" s="105">
        <v>45967</v>
      </c>
      <c r="AJ74" s="105"/>
      <c r="AK74" s="105"/>
      <c r="AL74" s="105"/>
      <c r="AM74" s="105"/>
      <c r="AN74" s="105">
        <v>45965</v>
      </c>
      <c r="AO74" s="106">
        <f t="shared" ref="AO74:AO115" si="12">M74-A74</f>
        <v>216</v>
      </c>
      <c r="AP74" s="106">
        <f t="shared" ref="AP74:AP115" si="13">M74-AI74</f>
        <v>111</v>
      </c>
      <c r="AS74" s="107"/>
    </row>
    <row r="75" s="89" customFormat="1" hidden="1" customHeight="1" spans="1:45">
      <c r="A75" s="93">
        <v>45862</v>
      </c>
      <c r="B75" s="93" t="str">
        <f ca="1" t="shared" si="10"/>
        <v/>
      </c>
      <c r="C75" s="95" t="s">
        <v>235</v>
      </c>
      <c r="D75" s="93" t="s">
        <v>421</v>
      </c>
      <c r="E75" s="95" t="s">
        <v>422</v>
      </c>
      <c r="F75" s="96">
        <v>10107798</v>
      </c>
      <c r="G75" s="96">
        <v>4500031527</v>
      </c>
      <c r="H75" s="97" t="s">
        <v>97</v>
      </c>
      <c r="I75" s="98" t="str">
        <f>IFERROR(VLOOKUP(H75,名称!A:C,2,0),"")</f>
        <v>管道马里奥</v>
      </c>
      <c r="J75" s="99">
        <f>1200-172</f>
        <v>1028</v>
      </c>
      <c r="K75" s="98">
        <f>IFERROR(VLOOKUP(H75,名称!A:D,3,0),"")</f>
        <v>4</v>
      </c>
      <c r="L75" s="100">
        <f t="shared" si="7"/>
        <v>257</v>
      </c>
      <c r="M75" s="93">
        <v>46078</v>
      </c>
      <c r="N75" s="93">
        <f t="shared" si="11"/>
        <v>46076</v>
      </c>
      <c r="O75" s="93">
        <v>46051</v>
      </c>
      <c r="P75" s="93" t="s">
        <v>624</v>
      </c>
      <c r="Q75" s="97" t="s">
        <v>424</v>
      </c>
      <c r="R75" s="97" t="s">
        <v>625</v>
      </c>
      <c r="S75" s="93"/>
      <c r="T75" s="93"/>
      <c r="U75" s="93"/>
      <c r="V75" s="93"/>
      <c r="W75" s="97"/>
      <c r="X75" s="100"/>
      <c r="Y75" s="102">
        <v>3.362</v>
      </c>
      <c r="Z75" s="103">
        <f t="shared" si="8"/>
        <v>3456.14</v>
      </c>
      <c r="AA75" s="103">
        <f t="shared" si="9"/>
        <v>26785.09</v>
      </c>
      <c r="AB75" s="58" t="s">
        <v>691</v>
      </c>
      <c r="AC75" s="93"/>
      <c r="AD75" s="93"/>
      <c r="AE75" s="93" t="str">
        <f>IFERROR(VLOOKUP(H75,名称!A:D,4,0),"")</f>
        <v>KIK</v>
      </c>
      <c r="AF75" s="98"/>
      <c r="AG75" s="105"/>
      <c r="AH75" s="105">
        <v>45987</v>
      </c>
      <c r="AI75" s="105">
        <v>45967</v>
      </c>
      <c r="AJ75" s="105"/>
      <c r="AK75" s="105"/>
      <c r="AL75" s="105"/>
      <c r="AM75" s="105"/>
      <c r="AN75" s="105">
        <v>45965</v>
      </c>
      <c r="AO75" s="106">
        <f t="shared" si="12"/>
        <v>216</v>
      </c>
      <c r="AP75" s="106">
        <f t="shared" si="13"/>
        <v>111</v>
      </c>
      <c r="AQ75" s="107"/>
      <c r="AR75" s="107"/>
      <c r="AS75" s="107"/>
    </row>
    <row r="76" s="89" customFormat="1" hidden="1" customHeight="1" spans="1:45">
      <c r="A76" s="93">
        <v>45862</v>
      </c>
      <c r="B76" s="93" t="str">
        <f ca="1" t="shared" si="10"/>
        <v/>
      </c>
      <c r="C76" s="95" t="s">
        <v>235</v>
      </c>
      <c r="D76" s="93" t="s">
        <v>421</v>
      </c>
      <c r="E76" s="95" t="s">
        <v>422</v>
      </c>
      <c r="F76" s="96">
        <v>10107796</v>
      </c>
      <c r="G76" s="96">
        <v>4500031525</v>
      </c>
      <c r="H76" s="97" t="s">
        <v>91</v>
      </c>
      <c r="I76" s="98" t="str">
        <f>IFERROR(VLOOKUP(H76,名称!A:C,2,0),"")</f>
        <v>马里奥和他的蘑菇</v>
      </c>
      <c r="J76" s="99">
        <f>3600-396</f>
        <v>3204</v>
      </c>
      <c r="K76" s="98">
        <f>IFERROR(VLOOKUP(H76,名称!A:D,3,0),"")</f>
        <v>6</v>
      </c>
      <c r="L76" s="100">
        <f t="shared" si="7"/>
        <v>534</v>
      </c>
      <c r="M76" s="93">
        <v>46078</v>
      </c>
      <c r="N76" s="93">
        <f t="shared" si="11"/>
        <v>46076</v>
      </c>
      <c r="O76" s="93">
        <v>46051</v>
      </c>
      <c r="P76" s="93" t="s">
        <v>624</v>
      </c>
      <c r="Q76" s="97" t="s">
        <v>424</v>
      </c>
      <c r="R76" s="97" t="s">
        <v>627</v>
      </c>
      <c r="S76" s="93"/>
      <c r="T76" s="93"/>
      <c r="U76" s="93"/>
      <c r="V76" s="93"/>
      <c r="W76" s="97"/>
      <c r="X76" s="100"/>
      <c r="Y76" s="102">
        <v>1.422</v>
      </c>
      <c r="Z76" s="103">
        <f t="shared" si="8"/>
        <v>4556.09</v>
      </c>
      <c r="AA76" s="103">
        <f t="shared" si="9"/>
        <v>35309.7</v>
      </c>
      <c r="AB76" s="58" t="s">
        <v>691</v>
      </c>
      <c r="AC76" s="93"/>
      <c r="AD76" s="93"/>
      <c r="AE76" s="93" t="str">
        <f>IFERROR(VLOOKUP(H76,名称!A:D,4,0),"")</f>
        <v>KIK</v>
      </c>
      <c r="AF76" s="98"/>
      <c r="AG76" s="105"/>
      <c r="AH76" s="105">
        <v>45987</v>
      </c>
      <c r="AI76" s="105">
        <v>45967</v>
      </c>
      <c r="AJ76" s="105"/>
      <c r="AK76" s="105"/>
      <c r="AL76" s="105"/>
      <c r="AM76" s="105"/>
      <c r="AN76" s="105">
        <v>45965</v>
      </c>
      <c r="AO76" s="106">
        <f t="shared" si="12"/>
        <v>216</v>
      </c>
      <c r="AP76" s="106">
        <f t="shared" si="13"/>
        <v>111</v>
      </c>
      <c r="AQ76" s="107"/>
      <c r="AR76" s="107"/>
      <c r="AS76" s="107"/>
    </row>
    <row r="77" s="89" customFormat="1" hidden="1" customHeight="1" spans="1:45">
      <c r="A77" s="93">
        <v>45772</v>
      </c>
      <c r="B77" s="93" t="str">
        <f ca="1" t="shared" si="10"/>
        <v/>
      </c>
      <c r="C77" s="95" t="s">
        <v>235</v>
      </c>
      <c r="D77" s="93" t="s">
        <v>421</v>
      </c>
      <c r="E77" s="95" t="s">
        <v>438</v>
      </c>
      <c r="F77" s="96">
        <v>10100602</v>
      </c>
      <c r="G77" s="96">
        <v>4500031037</v>
      </c>
      <c r="H77" s="97">
        <v>47669</v>
      </c>
      <c r="I77" s="98" t="str">
        <f>IFERROR(VLOOKUP(H77,名称!A:C,2,0),"")</f>
        <v>动物车</v>
      </c>
      <c r="J77" s="99">
        <f>1500-680</f>
        <v>820</v>
      </c>
      <c r="K77" s="98">
        <f>IFERROR(VLOOKUP(H77,名称!A:D,3,0),"")</f>
        <v>4</v>
      </c>
      <c r="L77" s="100">
        <f t="shared" si="7"/>
        <v>205</v>
      </c>
      <c r="M77" s="93">
        <v>46078</v>
      </c>
      <c r="N77" s="93">
        <f t="shared" si="11"/>
        <v>46076</v>
      </c>
      <c r="O77" s="93">
        <v>46014</v>
      </c>
      <c r="P77" s="93" t="s">
        <v>630</v>
      </c>
      <c r="Q77" s="97" t="s">
        <v>424</v>
      </c>
      <c r="R77" s="97" t="s">
        <v>631</v>
      </c>
      <c r="S77" s="93"/>
      <c r="T77" s="93" t="s">
        <v>632</v>
      </c>
      <c r="U77" s="93"/>
      <c r="V77" s="93"/>
      <c r="W77" s="97" t="s">
        <v>522</v>
      </c>
      <c r="X77" s="100"/>
      <c r="Y77" s="102">
        <v>4.906</v>
      </c>
      <c r="Z77" s="103">
        <f t="shared" si="8"/>
        <v>4022.92</v>
      </c>
      <c r="AA77" s="103">
        <f t="shared" si="9"/>
        <v>31177.63</v>
      </c>
      <c r="AB77" s="58" t="s">
        <v>691</v>
      </c>
      <c r="AC77" s="93"/>
      <c r="AD77" s="93"/>
      <c r="AE77" s="93" t="str">
        <f>IFERROR(VLOOKUP(H77,名称!A:D,4,0),"")</f>
        <v>KIK</v>
      </c>
      <c r="AF77" s="98"/>
      <c r="AG77" s="105"/>
      <c r="AH77" s="105"/>
      <c r="AI77" s="105">
        <v>45799</v>
      </c>
      <c r="AJ77" s="105">
        <v>45813</v>
      </c>
      <c r="AK77" s="105"/>
      <c r="AL77" s="105"/>
      <c r="AM77" s="105"/>
      <c r="AN77" s="105">
        <v>45799</v>
      </c>
      <c r="AO77" s="106">
        <f t="shared" si="12"/>
        <v>306</v>
      </c>
      <c r="AP77" s="106">
        <f t="shared" si="13"/>
        <v>279</v>
      </c>
      <c r="AQ77" s="107"/>
      <c r="AR77" s="107"/>
      <c r="AS77" s="107"/>
    </row>
    <row r="78" s="89" customFormat="1" hidden="1" customHeight="1" spans="1:45">
      <c r="A78" s="93">
        <v>45862</v>
      </c>
      <c r="B78" s="93" t="str">
        <f ca="1" t="shared" si="10"/>
        <v/>
      </c>
      <c r="C78" s="95" t="s">
        <v>235</v>
      </c>
      <c r="D78" s="93" t="s">
        <v>421</v>
      </c>
      <c r="E78" s="95" t="s">
        <v>422</v>
      </c>
      <c r="F78" s="96">
        <v>10107795</v>
      </c>
      <c r="G78" s="96">
        <v>4500031524</v>
      </c>
      <c r="H78" s="97" t="s">
        <v>89</v>
      </c>
      <c r="I78" s="98" t="str">
        <f>IFERROR(VLOOKUP(H78,名称!A:C,2,0),"")</f>
        <v>马里奥能量蘑菇吸塑混装</v>
      </c>
      <c r="J78" s="99">
        <f>2802-600</f>
        <v>2202</v>
      </c>
      <c r="K78" s="98">
        <f>IFERROR(VLOOKUP(H78,名称!A:D,3,0),"")</f>
        <v>6</v>
      </c>
      <c r="L78" s="100">
        <f t="shared" si="7"/>
        <v>367</v>
      </c>
      <c r="M78" s="93">
        <v>46078</v>
      </c>
      <c r="N78" s="93">
        <f t="shared" si="11"/>
        <v>46076</v>
      </c>
      <c r="O78" s="93">
        <v>46056</v>
      </c>
      <c r="P78" s="93" t="s">
        <v>624</v>
      </c>
      <c r="Q78" s="97" t="s">
        <v>424</v>
      </c>
      <c r="R78" s="97" t="s">
        <v>627</v>
      </c>
      <c r="S78" s="93"/>
      <c r="T78" s="93"/>
      <c r="U78" s="93"/>
      <c r="V78" s="93"/>
      <c r="W78" s="97"/>
      <c r="X78" s="100" t="s">
        <v>634</v>
      </c>
      <c r="Y78" s="102">
        <v>1.377</v>
      </c>
      <c r="Z78" s="103">
        <f t="shared" si="8"/>
        <v>3032.15</v>
      </c>
      <c r="AA78" s="103">
        <f t="shared" si="9"/>
        <v>23499.16</v>
      </c>
      <c r="AB78" s="58" t="s">
        <v>691</v>
      </c>
      <c r="AC78" s="93"/>
      <c r="AD78" s="93"/>
      <c r="AE78" s="93" t="str">
        <f>IFERROR(VLOOKUP(H78,名称!A:D,4,0),"")</f>
        <v>KIK</v>
      </c>
      <c r="AF78" s="98"/>
      <c r="AG78" s="105"/>
      <c r="AH78" s="105">
        <v>45987</v>
      </c>
      <c r="AI78" s="105">
        <v>45967</v>
      </c>
      <c r="AJ78" s="105"/>
      <c r="AK78" s="105"/>
      <c r="AL78" s="105"/>
      <c r="AM78" s="105"/>
      <c r="AN78" s="105">
        <v>45965</v>
      </c>
      <c r="AO78" s="106">
        <f t="shared" si="12"/>
        <v>216</v>
      </c>
      <c r="AP78" s="106">
        <f t="shared" si="13"/>
        <v>111</v>
      </c>
      <c r="AS78" s="117" t="s">
        <v>635</v>
      </c>
    </row>
    <row r="79" s="89" customFormat="1" hidden="1" customHeight="1" spans="1:45">
      <c r="A79" s="93">
        <v>45960</v>
      </c>
      <c r="B79" s="93" t="str">
        <f ca="1" t="shared" si="10"/>
        <v/>
      </c>
      <c r="C79" s="95" t="s">
        <v>235</v>
      </c>
      <c r="D79" s="93" t="s">
        <v>421</v>
      </c>
      <c r="E79" s="95" t="s">
        <v>446</v>
      </c>
      <c r="F79" s="96">
        <v>10113958</v>
      </c>
      <c r="G79" s="96">
        <v>4500031876</v>
      </c>
      <c r="H79" s="97" t="s">
        <v>97</v>
      </c>
      <c r="I79" s="98" t="str">
        <f>IFERROR(VLOOKUP(H79,名称!A:C,2,0),"")</f>
        <v>管道马里奥</v>
      </c>
      <c r="J79" s="99">
        <v>4000</v>
      </c>
      <c r="K79" s="98">
        <f>IFERROR(VLOOKUP(H79,名称!A:D,3,0),"")</f>
        <v>4</v>
      </c>
      <c r="L79" s="100">
        <f t="shared" si="7"/>
        <v>1000</v>
      </c>
      <c r="M79" s="93">
        <v>46078</v>
      </c>
      <c r="N79" s="93">
        <f t="shared" si="11"/>
        <v>46076</v>
      </c>
      <c r="O79" s="93">
        <v>46057</v>
      </c>
      <c r="P79" s="93" t="s">
        <v>624</v>
      </c>
      <c r="Q79" s="97" t="s">
        <v>692</v>
      </c>
      <c r="R79" s="97" t="s">
        <v>625</v>
      </c>
      <c r="S79" s="93"/>
      <c r="T79" s="93"/>
      <c r="U79" s="93"/>
      <c r="V79" s="93"/>
      <c r="W79" s="97"/>
      <c r="X79" s="100"/>
      <c r="Y79" s="102">
        <v>3.362</v>
      </c>
      <c r="Z79" s="103">
        <f t="shared" si="8"/>
        <v>13448</v>
      </c>
      <c r="AA79" s="103">
        <f t="shared" si="9"/>
        <v>104222</v>
      </c>
      <c r="AB79" s="58" t="s">
        <v>691</v>
      </c>
      <c r="AC79" s="93"/>
      <c r="AD79" s="93"/>
      <c r="AE79" s="93" t="str">
        <f>IFERROR(VLOOKUP(H79,名称!A:D,4,0),"")</f>
        <v>KIK</v>
      </c>
      <c r="AF79" s="98"/>
      <c r="AG79" s="105"/>
      <c r="AH79" s="105">
        <v>46000</v>
      </c>
      <c r="AI79" s="105">
        <v>45974</v>
      </c>
      <c r="AJ79" s="105"/>
      <c r="AK79" s="105"/>
      <c r="AL79" s="105"/>
      <c r="AM79" s="105"/>
      <c r="AN79" s="105">
        <v>45973</v>
      </c>
      <c r="AO79" s="106">
        <f t="shared" si="12"/>
        <v>118</v>
      </c>
      <c r="AP79" s="106">
        <f t="shared" si="13"/>
        <v>104</v>
      </c>
      <c r="AQ79" s="107"/>
      <c r="AR79" s="107"/>
      <c r="AS79" s="107"/>
    </row>
    <row r="80" s="89" customFormat="1" hidden="1" customHeight="1" spans="1:45">
      <c r="A80" s="93">
        <v>46077</v>
      </c>
      <c r="B80" s="93" t="str">
        <f ca="1" t="shared" si="10"/>
        <v>未</v>
      </c>
      <c r="C80" s="95" t="s">
        <v>248</v>
      </c>
      <c r="D80" s="93" t="s">
        <v>421</v>
      </c>
      <c r="E80" s="95" t="s">
        <v>422</v>
      </c>
      <c r="F80" s="96">
        <v>10120863</v>
      </c>
      <c r="G80" s="96" t="s">
        <v>255</v>
      </c>
      <c r="H80" s="97" t="s">
        <v>89</v>
      </c>
      <c r="I80" s="98" t="str">
        <f>IFERROR(VLOOKUP(H80,名称!A:C,2,0),"")</f>
        <v>马里奥能量蘑菇吸塑混装</v>
      </c>
      <c r="J80" s="99">
        <v>1</v>
      </c>
      <c r="K80" s="98">
        <f>IFERROR(VLOOKUP(H80,名称!A:D,3,0),"")</f>
        <v>6</v>
      </c>
      <c r="L80" s="100">
        <f t="shared" si="7"/>
        <v>0.166666666666667</v>
      </c>
      <c r="M80" s="93">
        <v>46066</v>
      </c>
      <c r="N80" s="93">
        <f t="shared" si="11"/>
        <v>46064</v>
      </c>
      <c r="O80" s="93">
        <v>46065</v>
      </c>
      <c r="P80" s="93" t="s">
        <v>686</v>
      </c>
      <c r="Q80" s="97" t="s">
        <v>424</v>
      </c>
      <c r="R80" s="97"/>
      <c r="S80" s="93"/>
      <c r="T80" s="93"/>
      <c r="U80" s="93"/>
      <c r="V80" s="93"/>
      <c r="W80" s="97"/>
      <c r="X80" s="123" t="s">
        <v>693</v>
      </c>
      <c r="Y80" s="102">
        <v>1.337</v>
      </c>
      <c r="Z80" s="103">
        <f t="shared" si="8"/>
        <v>1.34</v>
      </c>
      <c r="AA80" s="103">
        <f t="shared" si="9"/>
        <v>10.39</v>
      </c>
      <c r="AB80" s="58" t="s">
        <v>694</v>
      </c>
      <c r="AC80" s="93"/>
      <c r="AD80" s="93"/>
      <c r="AE80" s="93" t="str">
        <f>IFERROR(VLOOKUP(H80,名称!A:D,4,0),"")</f>
        <v>KIK</v>
      </c>
      <c r="AF80" s="98"/>
      <c r="AG80" s="105"/>
      <c r="AH80" s="105"/>
      <c r="AI80" s="105"/>
      <c r="AJ80" s="105"/>
      <c r="AK80" s="105"/>
      <c r="AL80" s="105"/>
      <c r="AM80" s="105"/>
      <c r="AN80" s="105"/>
      <c r="AO80" s="106">
        <f t="shared" si="12"/>
        <v>-11</v>
      </c>
      <c r="AP80" s="106">
        <f t="shared" si="13"/>
        <v>46066</v>
      </c>
      <c r="AQ80" s="107"/>
      <c r="AR80" s="107"/>
      <c r="AS80" s="107"/>
    </row>
    <row r="81" s="89" customFormat="1" hidden="1" customHeight="1" spans="1:45">
      <c r="A81" s="93">
        <v>46077</v>
      </c>
      <c r="B81" s="93" t="str">
        <f ca="1" t="shared" si="10"/>
        <v>未</v>
      </c>
      <c r="C81" s="95" t="s">
        <v>248</v>
      </c>
      <c r="D81" s="93" t="s">
        <v>421</v>
      </c>
      <c r="E81" s="95" t="s">
        <v>422</v>
      </c>
      <c r="F81" s="96">
        <v>10120863</v>
      </c>
      <c r="G81" s="96" t="s">
        <v>255</v>
      </c>
      <c r="H81" s="97" t="s">
        <v>95</v>
      </c>
      <c r="I81" s="98" t="str">
        <f>IFERROR(VLOOKUP(H81,名称!A:C,2,0),"")</f>
        <v>宝箱马里奥</v>
      </c>
      <c r="J81" s="99">
        <v>1</v>
      </c>
      <c r="K81" s="98">
        <f>IFERROR(VLOOKUP(H81,名称!A:D,3,0),"")</f>
        <v>4</v>
      </c>
      <c r="L81" s="100">
        <f t="shared" si="7"/>
        <v>0.25</v>
      </c>
      <c r="M81" s="93">
        <v>46066</v>
      </c>
      <c r="N81" s="93">
        <f t="shared" si="11"/>
        <v>46064</v>
      </c>
      <c r="O81" s="93">
        <v>46065</v>
      </c>
      <c r="P81" s="93" t="s">
        <v>686</v>
      </c>
      <c r="Q81" s="97" t="s">
        <v>424</v>
      </c>
      <c r="R81" s="97"/>
      <c r="S81" s="93"/>
      <c r="T81" s="93"/>
      <c r="U81" s="93"/>
      <c r="V81" s="93"/>
      <c r="W81" s="97"/>
      <c r="X81" s="123" t="s">
        <v>693</v>
      </c>
      <c r="Y81" s="102">
        <v>2.158</v>
      </c>
      <c r="Z81" s="103">
        <f t="shared" si="8"/>
        <v>2.16</v>
      </c>
      <c r="AA81" s="103">
        <f t="shared" si="9"/>
        <v>16.74</v>
      </c>
      <c r="AB81" s="58" t="s">
        <v>694</v>
      </c>
      <c r="AC81" s="93"/>
      <c r="AD81" s="93"/>
      <c r="AE81" s="93" t="str">
        <f>IFERROR(VLOOKUP(H81,名称!A:D,4,0),"")</f>
        <v>KIK</v>
      </c>
      <c r="AF81" s="98"/>
      <c r="AG81" s="105"/>
      <c r="AH81" s="105"/>
      <c r="AI81" s="105"/>
      <c r="AJ81" s="105"/>
      <c r="AK81" s="105"/>
      <c r="AL81" s="105"/>
      <c r="AM81" s="105"/>
      <c r="AN81" s="105"/>
      <c r="AO81" s="106">
        <f t="shared" si="12"/>
        <v>-11</v>
      </c>
      <c r="AP81" s="106">
        <f t="shared" si="13"/>
        <v>46066</v>
      </c>
      <c r="AS81" s="107"/>
    </row>
    <row r="82" s="89" customFormat="1" hidden="1" customHeight="1" spans="1:45">
      <c r="A82" s="93">
        <v>46077</v>
      </c>
      <c r="B82" s="93" t="str">
        <f ca="1" t="shared" si="10"/>
        <v>未</v>
      </c>
      <c r="C82" s="95" t="s">
        <v>248</v>
      </c>
      <c r="D82" s="93" t="s">
        <v>421</v>
      </c>
      <c r="E82" s="95" t="s">
        <v>422</v>
      </c>
      <c r="F82" s="96">
        <v>10120863</v>
      </c>
      <c r="G82" s="96" t="s">
        <v>255</v>
      </c>
      <c r="H82" s="97" t="s">
        <v>97</v>
      </c>
      <c r="I82" s="98" t="str">
        <f>IFERROR(VLOOKUP(H82,名称!A:C,2,0),"")</f>
        <v>管道马里奥</v>
      </c>
      <c r="J82" s="99">
        <v>1</v>
      </c>
      <c r="K82" s="98">
        <f>IFERROR(VLOOKUP(H82,名称!A:D,3,0),"")</f>
        <v>4</v>
      </c>
      <c r="L82" s="100">
        <f t="shared" si="7"/>
        <v>0.25</v>
      </c>
      <c r="M82" s="93">
        <v>46066</v>
      </c>
      <c r="N82" s="93">
        <f t="shared" si="11"/>
        <v>46064</v>
      </c>
      <c r="O82" s="93">
        <v>46065</v>
      </c>
      <c r="P82" s="93" t="s">
        <v>686</v>
      </c>
      <c r="Q82" s="97" t="s">
        <v>424</v>
      </c>
      <c r="R82" s="97"/>
      <c r="S82" s="93"/>
      <c r="T82" s="93"/>
      <c r="U82" s="93"/>
      <c r="V82" s="93"/>
      <c r="W82" s="97"/>
      <c r="X82" s="123" t="s">
        <v>693</v>
      </c>
      <c r="Y82" s="102">
        <v>3.216</v>
      </c>
      <c r="Z82" s="103">
        <f t="shared" si="8"/>
        <v>3.22</v>
      </c>
      <c r="AA82" s="103">
        <f t="shared" si="9"/>
        <v>24.96</v>
      </c>
      <c r="AB82" s="58" t="s">
        <v>694</v>
      </c>
      <c r="AC82" s="93"/>
      <c r="AD82" s="93"/>
      <c r="AE82" s="93" t="str">
        <f>IFERROR(VLOOKUP(H82,名称!A:D,4,0),"")</f>
        <v>KIK</v>
      </c>
      <c r="AF82" s="98"/>
      <c r="AG82" s="105"/>
      <c r="AH82" s="105"/>
      <c r="AI82" s="105"/>
      <c r="AJ82" s="105"/>
      <c r="AK82" s="105"/>
      <c r="AL82" s="105"/>
      <c r="AM82" s="105"/>
      <c r="AN82" s="105"/>
      <c r="AO82" s="106">
        <f t="shared" si="12"/>
        <v>-11</v>
      </c>
      <c r="AP82" s="106">
        <f t="shared" si="13"/>
        <v>46066</v>
      </c>
      <c r="AQ82" s="107"/>
      <c r="AR82" s="107"/>
      <c r="AS82" s="107"/>
    </row>
    <row r="83" s="89" customFormat="1" hidden="1" customHeight="1" spans="1:45">
      <c r="A83" s="93">
        <v>46077</v>
      </c>
      <c r="B83" s="93" t="str">
        <f ca="1" t="shared" si="10"/>
        <v>未</v>
      </c>
      <c r="C83" s="95" t="s">
        <v>248</v>
      </c>
      <c r="D83" s="93" t="s">
        <v>421</v>
      </c>
      <c r="E83" s="95" t="s">
        <v>422</v>
      </c>
      <c r="F83" s="96">
        <v>10120863</v>
      </c>
      <c r="G83" s="96" t="s">
        <v>255</v>
      </c>
      <c r="H83" s="97" t="s">
        <v>141</v>
      </c>
      <c r="I83" s="98" t="str">
        <f>IFERROR(VLOOKUP(H83,名称!A:C,2,0),"")</f>
        <v>马里奥能量蘑菇密封盒混装</v>
      </c>
      <c r="J83" s="99">
        <v>1</v>
      </c>
      <c r="K83" s="98">
        <f>IFERROR(VLOOKUP(H83,名称!A:D,3,0),"")</f>
        <v>6</v>
      </c>
      <c r="L83" s="100">
        <f t="shared" si="7"/>
        <v>0.166666666666667</v>
      </c>
      <c r="M83" s="93">
        <v>46066</v>
      </c>
      <c r="N83" s="93">
        <f t="shared" si="11"/>
        <v>46064</v>
      </c>
      <c r="O83" s="93">
        <v>46065</v>
      </c>
      <c r="P83" s="93" t="s">
        <v>686</v>
      </c>
      <c r="Q83" s="97" t="s">
        <v>424</v>
      </c>
      <c r="R83" s="97"/>
      <c r="S83" s="93"/>
      <c r="T83" s="93"/>
      <c r="U83" s="93"/>
      <c r="V83" s="93"/>
      <c r="W83" s="97"/>
      <c r="X83" s="123" t="s">
        <v>693</v>
      </c>
      <c r="Y83" s="102">
        <v>2.357</v>
      </c>
      <c r="Z83" s="103">
        <f t="shared" si="8"/>
        <v>2.36</v>
      </c>
      <c r="AA83" s="103">
        <f t="shared" si="9"/>
        <v>18.29</v>
      </c>
      <c r="AB83" s="58" t="s">
        <v>694</v>
      </c>
      <c r="AC83" s="93"/>
      <c r="AD83" s="93"/>
      <c r="AE83" s="93" t="str">
        <f>IFERROR(VLOOKUP(H83,名称!A:D,4,0),"")</f>
        <v>KIK</v>
      </c>
      <c r="AF83" s="98"/>
      <c r="AG83" s="105"/>
      <c r="AH83" s="105"/>
      <c r="AI83" s="105"/>
      <c r="AJ83" s="105"/>
      <c r="AK83" s="105"/>
      <c r="AL83" s="105"/>
      <c r="AM83" s="105"/>
      <c r="AN83" s="105"/>
      <c r="AO83" s="106">
        <f t="shared" si="12"/>
        <v>-11</v>
      </c>
      <c r="AP83" s="106">
        <f t="shared" si="13"/>
        <v>46066</v>
      </c>
      <c r="AQ83" s="107"/>
      <c r="AR83" s="107"/>
      <c r="AS83" s="107"/>
    </row>
    <row r="84" s="89" customFormat="1" hidden="1" customHeight="1" spans="1:45">
      <c r="A84" s="93">
        <v>46002</v>
      </c>
      <c r="B84" s="93" t="str">
        <f ca="1" t="shared" si="10"/>
        <v/>
      </c>
      <c r="C84" s="95" t="s">
        <v>242</v>
      </c>
      <c r="D84" s="93" t="s">
        <v>465</v>
      </c>
      <c r="E84" s="95" t="s">
        <v>466</v>
      </c>
      <c r="F84" s="96">
        <v>10116820</v>
      </c>
      <c r="G84" s="549" t="s">
        <v>243</v>
      </c>
      <c r="H84" s="97" t="s">
        <v>130</v>
      </c>
      <c r="I84" s="98" t="str">
        <f>IFERROR(VLOOKUP(H84,名称!A:C,2,0),"")</f>
        <v>管道马里奥</v>
      </c>
      <c r="J84" s="99">
        <v>40</v>
      </c>
      <c r="K84" s="98">
        <f>IFERROR(VLOOKUP(H84,名称!A:D,3,0),"")</f>
        <v>4</v>
      </c>
      <c r="L84" s="100">
        <f t="shared" si="7"/>
        <v>10</v>
      </c>
      <c r="M84" s="93">
        <v>46083</v>
      </c>
      <c r="N84" s="93">
        <f t="shared" si="11"/>
        <v>46081</v>
      </c>
      <c r="O84" s="93">
        <v>46091</v>
      </c>
      <c r="P84" s="93" t="s">
        <v>695</v>
      </c>
      <c r="Q84" s="97" t="s">
        <v>469</v>
      </c>
      <c r="R84" s="97" t="s">
        <v>696</v>
      </c>
      <c r="S84" s="93"/>
      <c r="T84" s="93"/>
      <c r="U84" s="93"/>
      <c r="V84" s="93"/>
      <c r="W84" s="97"/>
      <c r="X84" s="100" t="s">
        <v>697</v>
      </c>
      <c r="Y84" s="102">
        <v>3.703</v>
      </c>
      <c r="Z84" s="103">
        <f t="shared" si="8"/>
        <v>148.12</v>
      </c>
      <c r="AA84" s="103">
        <f t="shared" si="9"/>
        <v>1147.93</v>
      </c>
      <c r="AB84" s="58" t="s">
        <v>698</v>
      </c>
      <c r="AC84" s="93"/>
      <c r="AD84" s="93"/>
      <c r="AE84" s="93" t="str">
        <f>IFERROR(VLOOKUP(H84,名称!A:D,4,0),"")</f>
        <v>KIK</v>
      </c>
      <c r="AF84" s="98"/>
      <c r="AG84" s="105"/>
      <c r="AH84" s="105">
        <v>46044</v>
      </c>
      <c r="AI84" s="105">
        <v>46027</v>
      </c>
      <c r="AJ84" s="105"/>
      <c r="AK84" s="127">
        <v>46027</v>
      </c>
      <c r="AL84" s="105"/>
      <c r="AM84" s="105"/>
      <c r="AN84" s="105">
        <v>46020</v>
      </c>
      <c r="AO84" s="106">
        <f t="shared" si="12"/>
        <v>81</v>
      </c>
      <c r="AP84" s="106">
        <f t="shared" si="13"/>
        <v>56</v>
      </c>
      <c r="AQ84" s="107"/>
      <c r="AR84" s="107"/>
      <c r="AS84" s="107"/>
    </row>
    <row r="85" s="89" customFormat="1" hidden="1" customHeight="1" spans="1:45">
      <c r="A85" s="93">
        <v>46002</v>
      </c>
      <c r="B85" s="93" t="str">
        <f ca="1" t="shared" si="10"/>
        <v/>
      </c>
      <c r="C85" s="95" t="s">
        <v>242</v>
      </c>
      <c r="D85" s="93" t="s">
        <v>465</v>
      </c>
      <c r="E85" s="95" t="s">
        <v>466</v>
      </c>
      <c r="F85" s="96">
        <v>10116820</v>
      </c>
      <c r="G85" s="549" t="s">
        <v>243</v>
      </c>
      <c r="H85" s="550" t="s">
        <v>133</v>
      </c>
      <c r="I85" s="98" t="str">
        <f>IFERROR(VLOOKUP(H85,名称!A:C,2,0),"")</f>
        <v>能量蘑菇</v>
      </c>
      <c r="J85" s="99">
        <v>48</v>
      </c>
      <c r="K85" s="98">
        <f>IFERROR(VLOOKUP(H85,名称!A:D,3,0),"")</f>
        <v>6</v>
      </c>
      <c r="L85" s="100">
        <f t="shared" si="7"/>
        <v>8</v>
      </c>
      <c r="M85" s="93">
        <v>46083</v>
      </c>
      <c r="N85" s="93">
        <f t="shared" si="11"/>
        <v>46081</v>
      </c>
      <c r="O85" s="93">
        <v>46085</v>
      </c>
      <c r="P85" s="93" t="s">
        <v>695</v>
      </c>
      <c r="Q85" s="97" t="s">
        <v>469</v>
      </c>
      <c r="R85" s="97" t="s">
        <v>699</v>
      </c>
      <c r="S85" s="93"/>
      <c r="T85" s="93"/>
      <c r="U85" s="93"/>
      <c r="V85" s="93"/>
      <c r="W85" s="97"/>
      <c r="X85" s="100" t="s">
        <v>697</v>
      </c>
      <c r="Y85" s="102">
        <v>1.322</v>
      </c>
      <c r="Z85" s="103">
        <f t="shared" si="8"/>
        <v>63.46</v>
      </c>
      <c r="AA85" s="103">
        <f t="shared" si="9"/>
        <v>491.82</v>
      </c>
      <c r="AB85" s="58" t="s">
        <v>698</v>
      </c>
      <c r="AC85" s="93"/>
      <c r="AD85" s="93"/>
      <c r="AE85" s="93" t="str">
        <f>IFERROR(VLOOKUP(H85,名称!A:D,4,0),"")</f>
        <v>KIK</v>
      </c>
      <c r="AF85" s="98"/>
      <c r="AG85" s="105"/>
      <c r="AH85" s="105">
        <v>46044</v>
      </c>
      <c r="AI85" s="105">
        <v>46027</v>
      </c>
      <c r="AJ85" s="105"/>
      <c r="AK85" s="127">
        <v>46027</v>
      </c>
      <c r="AL85" s="105"/>
      <c r="AM85" s="105"/>
      <c r="AN85" s="105">
        <v>46020</v>
      </c>
      <c r="AO85" s="106">
        <f t="shared" si="12"/>
        <v>81</v>
      </c>
      <c r="AP85" s="106">
        <f t="shared" si="13"/>
        <v>56</v>
      </c>
      <c r="AQ85" s="107"/>
      <c r="AR85" s="107"/>
      <c r="AS85" s="107"/>
    </row>
    <row r="86" s="89" customFormat="1" hidden="1" customHeight="1" spans="1:45">
      <c r="A86" s="93">
        <v>46002</v>
      </c>
      <c r="B86" s="93" t="str">
        <f ca="1" t="shared" si="10"/>
        <v/>
      </c>
      <c r="C86" s="95" t="s">
        <v>242</v>
      </c>
      <c r="D86" s="93" t="s">
        <v>465</v>
      </c>
      <c r="E86" s="95" t="s">
        <v>466</v>
      </c>
      <c r="F86" s="96">
        <v>10116820</v>
      </c>
      <c r="G86" s="549" t="s">
        <v>243</v>
      </c>
      <c r="H86" s="97" t="s">
        <v>131</v>
      </c>
      <c r="I86" s="98" t="str">
        <f>IFERROR(VLOOKUP(H86,名称!A:C,2,0),"")</f>
        <v>宝箱马里奥</v>
      </c>
      <c r="J86" s="99">
        <v>48</v>
      </c>
      <c r="K86" s="98">
        <f>IFERROR(VLOOKUP(H86,名称!A:D,3,0),"")</f>
        <v>4</v>
      </c>
      <c r="L86" s="100">
        <f t="shared" si="7"/>
        <v>12</v>
      </c>
      <c r="M86" s="93">
        <v>46083</v>
      </c>
      <c r="N86" s="93">
        <f t="shared" si="11"/>
        <v>46081</v>
      </c>
      <c r="O86" s="93">
        <v>46091</v>
      </c>
      <c r="P86" s="93" t="s">
        <v>695</v>
      </c>
      <c r="Q86" s="97" t="s">
        <v>469</v>
      </c>
      <c r="R86" s="97" t="s">
        <v>696</v>
      </c>
      <c r="S86" s="93"/>
      <c r="T86" s="93"/>
      <c r="U86" s="93"/>
      <c r="V86" s="93"/>
      <c r="W86" s="97"/>
      <c r="X86" s="100" t="s">
        <v>697</v>
      </c>
      <c r="Y86" s="102">
        <v>2.418</v>
      </c>
      <c r="Z86" s="103">
        <f t="shared" si="8"/>
        <v>116.06</v>
      </c>
      <c r="AA86" s="103">
        <f t="shared" si="9"/>
        <v>899.47</v>
      </c>
      <c r="AB86" s="58" t="s">
        <v>698</v>
      </c>
      <c r="AC86" s="93"/>
      <c r="AD86" s="93"/>
      <c r="AE86" s="93" t="str">
        <f>IFERROR(VLOOKUP(H86,名称!A:D,4,0),"")</f>
        <v>KIK</v>
      </c>
      <c r="AF86" s="98"/>
      <c r="AG86" s="105"/>
      <c r="AH86" s="105">
        <v>46044</v>
      </c>
      <c r="AI86" s="105">
        <v>46027</v>
      </c>
      <c r="AJ86" s="105"/>
      <c r="AK86" s="127">
        <v>46027</v>
      </c>
      <c r="AL86" s="105"/>
      <c r="AM86" s="105"/>
      <c r="AN86" s="105">
        <v>46020</v>
      </c>
      <c r="AO86" s="106">
        <f t="shared" si="12"/>
        <v>81</v>
      </c>
      <c r="AP86" s="106">
        <f t="shared" si="13"/>
        <v>56</v>
      </c>
      <c r="AQ86" s="107"/>
      <c r="AR86" s="107"/>
      <c r="AS86" s="107"/>
    </row>
    <row r="87" s="89" customFormat="1" hidden="1" customHeight="1" spans="1:45">
      <c r="A87" s="93">
        <v>46002</v>
      </c>
      <c r="B87" s="93" t="str">
        <f ca="1" t="shared" si="10"/>
        <v/>
      </c>
      <c r="C87" s="95" t="s">
        <v>242</v>
      </c>
      <c r="D87" s="93" t="s">
        <v>465</v>
      </c>
      <c r="E87" s="95" t="s">
        <v>466</v>
      </c>
      <c r="F87" s="96">
        <v>10116820</v>
      </c>
      <c r="G87" s="549" t="s">
        <v>243</v>
      </c>
      <c r="H87" s="97" t="s">
        <v>132</v>
      </c>
      <c r="I87" s="98" t="str">
        <f>IFERROR(VLOOKUP(H87,名称!A:C,2,0),"")</f>
        <v>马里奥和他的蘑菇</v>
      </c>
      <c r="J87" s="99">
        <v>48</v>
      </c>
      <c r="K87" s="98">
        <f>IFERROR(VLOOKUP(H87,名称!A:D,3,0),"")</f>
        <v>6</v>
      </c>
      <c r="L87" s="100">
        <f t="shared" si="7"/>
        <v>8</v>
      </c>
      <c r="M87" s="93">
        <v>46083</v>
      </c>
      <c r="N87" s="93">
        <f t="shared" si="11"/>
        <v>46081</v>
      </c>
      <c r="O87" s="93">
        <v>46090</v>
      </c>
      <c r="P87" s="93" t="s">
        <v>695</v>
      </c>
      <c r="Q87" s="97" t="s">
        <v>469</v>
      </c>
      <c r="R87" s="97" t="s">
        <v>696</v>
      </c>
      <c r="S87" s="93"/>
      <c r="T87" s="93"/>
      <c r="U87" s="93"/>
      <c r="V87" s="93"/>
      <c r="W87" s="97"/>
      <c r="X87" s="100" t="s">
        <v>697</v>
      </c>
      <c r="Y87" s="102">
        <v>1.46</v>
      </c>
      <c r="Z87" s="103">
        <f t="shared" si="8"/>
        <v>70.08</v>
      </c>
      <c r="AA87" s="103">
        <f t="shared" si="9"/>
        <v>543.12</v>
      </c>
      <c r="AB87" s="58" t="s">
        <v>698</v>
      </c>
      <c r="AC87" s="93"/>
      <c r="AD87" s="93"/>
      <c r="AE87" s="93" t="str">
        <f>IFERROR(VLOOKUP(H87,名称!A:D,4,0),"")</f>
        <v>KIK</v>
      </c>
      <c r="AF87" s="98"/>
      <c r="AG87" s="105"/>
      <c r="AH87" s="105">
        <v>46044</v>
      </c>
      <c r="AI87" s="105">
        <v>46027</v>
      </c>
      <c r="AJ87" s="105"/>
      <c r="AK87" s="127">
        <v>46027</v>
      </c>
      <c r="AL87" s="105"/>
      <c r="AM87" s="105"/>
      <c r="AN87" s="105">
        <v>46020</v>
      </c>
      <c r="AO87" s="106">
        <f t="shared" si="12"/>
        <v>81</v>
      </c>
      <c r="AP87" s="106">
        <f t="shared" si="13"/>
        <v>56</v>
      </c>
      <c r="AQ87" s="107"/>
      <c r="AR87" s="107"/>
      <c r="AS87" s="107"/>
    </row>
    <row r="88" s="89" customFormat="1" hidden="1" customHeight="1" spans="1:45">
      <c r="A88" s="93">
        <v>46002</v>
      </c>
      <c r="B88" s="93" t="str">
        <f ca="1" t="shared" si="10"/>
        <v/>
      </c>
      <c r="C88" s="95" t="s">
        <v>242</v>
      </c>
      <c r="D88" s="93" t="s">
        <v>465</v>
      </c>
      <c r="E88" s="95" t="s">
        <v>466</v>
      </c>
      <c r="F88" s="96">
        <v>10116820</v>
      </c>
      <c r="G88" s="549" t="s">
        <v>243</v>
      </c>
      <c r="H88" s="550" t="s">
        <v>133</v>
      </c>
      <c r="I88" s="98" t="str">
        <f>IFERROR(VLOOKUP(H88,名称!A:C,2,0),"")</f>
        <v>能量蘑菇</v>
      </c>
      <c r="J88" s="99">
        <v>1524</v>
      </c>
      <c r="K88" s="98">
        <f>IFERROR(VLOOKUP(H88,名称!A:D,3,0),"")</f>
        <v>6</v>
      </c>
      <c r="L88" s="100">
        <f t="shared" si="7"/>
        <v>254</v>
      </c>
      <c r="M88" s="93">
        <v>46083</v>
      </c>
      <c r="N88" s="93">
        <f t="shared" si="11"/>
        <v>46081</v>
      </c>
      <c r="O88" s="93">
        <v>46085</v>
      </c>
      <c r="P88" s="93" t="s">
        <v>695</v>
      </c>
      <c r="Q88" s="97" t="s">
        <v>469</v>
      </c>
      <c r="R88" s="97" t="s">
        <v>699</v>
      </c>
      <c r="S88" s="93"/>
      <c r="T88" s="93"/>
      <c r="U88" s="93"/>
      <c r="V88" s="93"/>
      <c r="W88" s="97"/>
      <c r="X88" s="100" t="s">
        <v>697</v>
      </c>
      <c r="Y88" s="102">
        <v>1.322</v>
      </c>
      <c r="Z88" s="103">
        <f t="shared" si="8"/>
        <v>2014.73</v>
      </c>
      <c r="AA88" s="103">
        <f t="shared" si="9"/>
        <v>15614.16</v>
      </c>
      <c r="AB88" s="58" t="s">
        <v>698</v>
      </c>
      <c r="AC88" s="93"/>
      <c r="AD88" s="93"/>
      <c r="AE88" s="93" t="str">
        <f>IFERROR(VLOOKUP(H88,名称!A:D,4,0),"")</f>
        <v>KIK</v>
      </c>
      <c r="AF88" s="98"/>
      <c r="AG88" s="105"/>
      <c r="AH88" s="105">
        <v>46044</v>
      </c>
      <c r="AI88" s="105">
        <v>46027</v>
      </c>
      <c r="AJ88" s="105"/>
      <c r="AK88" s="127">
        <v>46027</v>
      </c>
      <c r="AL88" s="105"/>
      <c r="AM88" s="105"/>
      <c r="AN88" s="105">
        <v>46020</v>
      </c>
      <c r="AO88" s="106">
        <f t="shared" si="12"/>
        <v>81</v>
      </c>
      <c r="AP88" s="106">
        <f t="shared" si="13"/>
        <v>56</v>
      </c>
      <c r="AQ88" s="107"/>
      <c r="AR88" s="107"/>
      <c r="AS88" s="107"/>
    </row>
    <row r="89" s="89" customFormat="1" hidden="1" customHeight="1" spans="1:45">
      <c r="A89" s="93">
        <v>46002</v>
      </c>
      <c r="B89" s="93" t="str">
        <f ca="1" t="shared" si="10"/>
        <v/>
      </c>
      <c r="C89" s="95" t="s">
        <v>242</v>
      </c>
      <c r="D89" s="93" t="s">
        <v>465</v>
      </c>
      <c r="E89" s="95" t="s">
        <v>466</v>
      </c>
      <c r="F89" s="96">
        <v>10116820</v>
      </c>
      <c r="G89" s="549" t="s">
        <v>243</v>
      </c>
      <c r="H89" s="97" t="s">
        <v>131</v>
      </c>
      <c r="I89" s="98" t="str">
        <f>IFERROR(VLOOKUP(H89,名称!A:C,2,0),"")</f>
        <v>宝箱马里奥</v>
      </c>
      <c r="J89" s="99">
        <v>1524</v>
      </c>
      <c r="K89" s="98">
        <f>IFERROR(VLOOKUP(H89,名称!A:D,3,0),"")</f>
        <v>4</v>
      </c>
      <c r="L89" s="100">
        <f t="shared" si="7"/>
        <v>381</v>
      </c>
      <c r="M89" s="93">
        <v>46083</v>
      </c>
      <c r="N89" s="93">
        <f t="shared" si="11"/>
        <v>46081</v>
      </c>
      <c r="O89" s="93">
        <v>46091</v>
      </c>
      <c r="P89" s="93" t="s">
        <v>695</v>
      </c>
      <c r="Q89" s="97" t="s">
        <v>469</v>
      </c>
      <c r="R89" s="97" t="s">
        <v>696</v>
      </c>
      <c r="S89" s="93"/>
      <c r="T89" s="93"/>
      <c r="U89" s="93"/>
      <c r="V89" s="93"/>
      <c r="W89" s="97"/>
      <c r="X89" s="100" t="s">
        <v>697</v>
      </c>
      <c r="Y89" s="102">
        <v>2.418</v>
      </c>
      <c r="Z89" s="103">
        <f t="shared" si="8"/>
        <v>3685.03</v>
      </c>
      <c r="AA89" s="103">
        <f t="shared" si="9"/>
        <v>28558.98</v>
      </c>
      <c r="AB89" s="58" t="s">
        <v>698</v>
      </c>
      <c r="AC89" s="93"/>
      <c r="AD89" s="93"/>
      <c r="AE89" s="93" t="str">
        <f>IFERROR(VLOOKUP(H89,名称!A:D,4,0),"")</f>
        <v>KIK</v>
      </c>
      <c r="AF89" s="98"/>
      <c r="AG89" s="105"/>
      <c r="AH89" s="105">
        <v>46044</v>
      </c>
      <c r="AI89" s="105">
        <v>46027</v>
      </c>
      <c r="AJ89" s="105"/>
      <c r="AK89" s="127">
        <v>46027</v>
      </c>
      <c r="AL89" s="105"/>
      <c r="AM89" s="105"/>
      <c r="AN89" s="105">
        <v>46020</v>
      </c>
      <c r="AO89" s="106">
        <f t="shared" si="12"/>
        <v>81</v>
      </c>
      <c r="AP89" s="106">
        <f t="shared" si="13"/>
        <v>56</v>
      </c>
      <c r="AQ89" s="107"/>
      <c r="AR89" s="107"/>
      <c r="AS89" s="107"/>
    </row>
    <row r="90" s="89" customFormat="1" hidden="1" customHeight="1" spans="1:45">
      <c r="A90" s="93">
        <v>46002</v>
      </c>
      <c r="B90" s="93" t="str">
        <f ca="1" t="shared" si="10"/>
        <v/>
      </c>
      <c r="C90" s="95" t="s">
        <v>242</v>
      </c>
      <c r="D90" s="93" t="s">
        <v>465</v>
      </c>
      <c r="E90" s="95" t="s">
        <v>466</v>
      </c>
      <c r="F90" s="96">
        <v>10116820</v>
      </c>
      <c r="G90" s="549" t="s">
        <v>243</v>
      </c>
      <c r="H90" s="97" t="s">
        <v>132</v>
      </c>
      <c r="I90" s="98" t="str">
        <f>IFERROR(VLOOKUP(H90,名称!A:C,2,0),"")</f>
        <v>马里奥和他的蘑菇</v>
      </c>
      <c r="J90" s="99">
        <v>1524</v>
      </c>
      <c r="K90" s="98">
        <f>IFERROR(VLOOKUP(H90,名称!A:D,3,0),"")</f>
        <v>6</v>
      </c>
      <c r="L90" s="100">
        <f t="shared" si="7"/>
        <v>254</v>
      </c>
      <c r="M90" s="93">
        <v>46083</v>
      </c>
      <c r="N90" s="93">
        <f t="shared" si="11"/>
        <v>46081</v>
      </c>
      <c r="O90" s="93">
        <v>46090</v>
      </c>
      <c r="P90" s="93" t="s">
        <v>695</v>
      </c>
      <c r="Q90" s="97" t="s">
        <v>469</v>
      </c>
      <c r="R90" s="97" t="s">
        <v>696</v>
      </c>
      <c r="S90" s="93"/>
      <c r="T90" s="93"/>
      <c r="U90" s="93"/>
      <c r="V90" s="93"/>
      <c r="W90" s="97"/>
      <c r="X90" s="100" t="s">
        <v>697</v>
      </c>
      <c r="Y90" s="102">
        <v>1.46</v>
      </c>
      <c r="Z90" s="103">
        <f t="shared" si="8"/>
        <v>2225.04</v>
      </c>
      <c r="AA90" s="103">
        <f t="shared" si="9"/>
        <v>17244.06</v>
      </c>
      <c r="AB90" s="58" t="s">
        <v>698</v>
      </c>
      <c r="AC90" s="93"/>
      <c r="AD90" s="93"/>
      <c r="AE90" s="93" t="str">
        <f>IFERROR(VLOOKUP(H90,名称!A:D,4,0),"")</f>
        <v>KIK</v>
      </c>
      <c r="AF90" s="98"/>
      <c r="AG90" s="105"/>
      <c r="AH90" s="105">
        <v>46044</v>
      </c>
      <c r="AI90" s="105">
        <v>46027</v>
      </c>
      <c r="AJ90" s="105"/>
      <c r="AK90" s="127">
        <v>46027</v>
      </c>
      <c r="AL90" s="105"/>
      <c r="AM90" s="105"/>
      <c r="AN90" s="105">
        <v>46020</v>
      </c>
      <c r="AO90" s="106">
        <f t="shared" si="12"/>
        <v>81</v>
      </c>
      <c r="AP90" s="106">
        <f t="shared" si="13"/>
        <v>56</v>
      </c>
      <c r="AQ90" s="107"/>
      <c r="AR90" s="107"/>
      <c r="AS90" s="107"/>
    </row>
    <row r="91" s="89" customFormat="1" hidden="1" customHeight="1" spans="1:45">
      <c r="A91" s="93">
        <v>46002</v>
      </c>
      <c r="B91" s="93" t="str">
        <f ca="1" t="shared" si="10"/>
        <v/>
      </c>
      <c r="C91" s="95" t="s">
        <v>242</v>
      </c>
      <c r="D91" s="93" t="s">
        <v>465</v>
      </c>
      <c r="E91" s="95" t="s">
        <v>466</v>
      </c>
      <c r="F91" s="96">
        <v>10116820</v>
      </c>
      <c r="G91" s="549" t="s">
        <v>243</v>
      </c>
      <c r="H91" s="97" t="s">
        <v>130</v>
      </c>
      <c r="I91" s="98" t="str">
        <f>IFERROR(VLOOKUP(H91,名称!A:C,2,0),"")</f>
        <v>管道马里奥</v>
      </c>
      <c r="J91" s="99">
        <v>1836</v>
      </c>
      <c r="K91" s="98">
        <f>IFERROR(VLOOKUP(H91,名称!A:D,3,0),"")</f>
        <v>4</v>
      </c>
      <c r="L91" s="100">
        <f t="shared" si="7"/>
        <v>459</v>
      </c>
      <c r="M91" s="93">
        <v>46083</v>
      </c>
      <c r="N91" s="93">
        <f t="shared" si="11"/>
        <v>46081</v>
      </c>
      <c r="O91" s="93">
        <v>46091</v>
      </c>
      <c r="P91" s="93" t="s">
        <v>695</v>
      </c>
      <c r="Q91" s="97" t="s">
        <v>469</v>
      </c>
      <c r="R91" s="97" t="s">
        <v>696</v>
      </c>
      <c r="S91" s="93"/>
      <c r="T91" s="93"/>
      <c r="U91" s="93"/>
      <c r="V91" s="93"/>
      <c r="W91" s="97"/>
      <c r="X91" s="100" t="s">
        <v>697</v>
      </c>
      <c r="Y91" s="102">
        <v>3.703</v>
      </c>
      <c r="Z91" s="103">
        <f t="shared" si="8"/>
        <v>6798.71</v>
      </c>
      <c r="AA91" s="103">
        <f t="shared" si="9"/>
        <v>52690</v>
      </c>
      <c r="AB91" s="58" t="s">
        <v>698</v>
      </c>
      <c r="AC91" s="93"/>
      <c r="AD91" s="93"/>
      <c r="AE91" s="93" t="str">
        <f>IFERROR(VLOOKUP(H91,名称!A:D,4,0),"")</f>
        <v>KIK</v>
      </c>
      <c r="AF91" s="98"/>
      <c r="AG91" s="105"/>
      <c r="AH91" s="105">
        <v>46044</v>
      </c>
      <c r="AI91" s="105">
        <v>46027</v>
      </c>
      <c r="AJ91" s="105"/>
      <c r="AK91" s="127">
        <v>46027</v>
      </c>
      <c r="AL91" s="105"/>
      <c r="AM91" s="105"/>
      <c r="AN91" s="105">
        <v>46020</v>
      </c>
      <c r="AO91" s="106">
        <f t="shared" si="12"/>
        <v>81</v>
      </c>
      <c r="AP91" s="106">
        <f t="shared" si="13"/>
        <v>56</v>
      </c>
      <c r="AQ91" s="107"/>
      <c r="AR91" s="107"/>
      <c r="AS91" s="107"/>
    </row>
    <row r="92" s="89" customFormat="1" hidden="1" customHeight="1" spans="1:45">
      <c r="A92" s="93">
        <v>45997</v>
      </c>
      <c r="B92" s="93" t="str">
        <f ca="1" t="shared" si="10"/>
        <v/>
      </c>
      <c r="C92" s="95" t="s">
        <v>235</v>
      </c>
      <c r="D92" s="93" t="s">
        <v>421</v>
      </c>
      <c r="E92" s="95" t="s">
        <v>422</v>
      </c>
      <c r="F92" s="96">
        <v>10115934</v>
      </c>
      <c r="G92" s="96">
        <v>4500031985</v>
      </c>
      <c r="H92" s="97" t="s">
        <v>97</v>
      </c>
      <c r="I92" s="98" t="str">
        <f>IFERROR(VLOOKUP(H92,名称!A:C,2,0),"")</f>
        <v>管道马里奥</v>
      </c>
      <c r="J92" s="99">
        <f>2500-600-600</f>
        <v>1300</v>
      </c>
      <c r="K92" s="98">
        <f>IFERROR(VLOOKUP(H92,名称!A:D,3,0),"")</f>
        <v>4</v>
      </c>
      <c r="L92" s="100">
        <f t="shared" si="7"/>
        <v>325</v>
      </c>
      <c r="M92" s="93">
        <v>46092</v>
      </c>
      <c r="N92" s="93">
        <f t="shared" si="11"/>
        <v>46090</v>
      </c>
      <c r="O92" s="93"/>
      <c r="P92" s="93" t="s">
        <v>680</v>
      </c>
      <c r="Q92" s="97" t="s">
        <v>692</v>
      </c>
      <c r="R92" s="97" t="s">
        <v>700</v>
      </c>
      <c r="S92" s="93"/>
      <c r="T92" s="93"/>
      <c r="U92" s="93"/>
      <c r="V92" s="93"/>
      <c r="W92" s="97"/>
      <c r="X92" s="100"/>
      <c r="Y92" s="102">
        <v>3.43</v>
      </c>
      <c r="Z92" s="103">
        <f t="shared" si="8"/>
        <v>4459</v>
      </c>
      <c r="AA92" s="103">
        <f t="shared" si="9"/>
        <v>34557.25</v>
      </c>
      <c r="AB92" s="58" t="s">
        <v>701</v>
      </c>
      <c r="AC92" s="93"/>
      <c r="AD92" s="93"/>
      <c r="AE92" s="93" t="str">
        <f>IFERROR(VLOOKUP(H92,名称!A:D,4,0),"")</f>
        <v>KIK</v>
      </c>
      <c r="AF92" s="98"/>
      <c r="AG92" s="105"/>
      <c r="AH92" s="105">
        <v>46044</v>
      </c>
      <c r="AI92" s="105">
        <v>46021</v>
      </c>
      <c r="AJ92" s="105"/>
      <c r="AK92" s="105"/>
      <c r="AL92" s="105"/>
      <c r="AM92" s="105"/>
      <c r="AN92" s="105"/>
      <c r="AO92" s="106">
        <f t="shared" si="12"/>
        <v>95</v>
      </c>
      <c r="AP92" s="106">
        <f t="shared" si="13"/>
        <v>71</v>
      </c>
      <c r="AQ92" s="107"/>
      <c r="AR92" s="107"/>
      <c r="AS92" s="107"/>
    </row>
    <row r="93" s="89" customFormat="1" hidden="1" customHeight="1" spans="1:45">
      <c r="A93" s="93">
        <v>45961</v>
      </c>
      <c r="B93" s="93" t="s">
        <v>467</v>
      </c>
      <c r="C93" s="95" t="s">
        <v>237</v>
      </c>
      <c r="D93" s="93" t="s">
        <v>427</v>
      </c>
      <c r="E93" s="95" t="s">
        <v>443</v>
      </c>
      <c r="F93" s="96">
        <v>10114215</v>
      </c>
      <c r="G93" s="96">
        <v>202530370199</v>
      </c>
      <c r="H93" s="97" t="s">
        <v>20</v>
      </c>
      <c r="I93" s="98" t="str">
        <f>IFERROR(VLOOKUP(H93,名称!A:C,2,0),"")</f>
        <v>挖土机</v>
      </c>
      <c r="J93" s="99">
        <v>550</v>
      </c>
      <c r="K93" s="98">
        <f>IFERROR(VLOOKUP(H93,名称!A:D,3,0),"")</f>
        <v>2</v>
      </c>
      <c r="L93" s="100">
        <f t="shared" si="7"/>
        <v>275</v>
      </c>
      <c r="M93" s="93">
        <v>46057</v>
      </c>
      <c r="N93" s="93">
        <v>46055</v>
      </c>
      <c r="O93" s="93">
        <v>46057</v>
      </c>
      <c r="P93" s="93" t="s">
        <v>686</v>
      </c>
      <c r="Q93" s="97" t="s">
        <v>430</v>
      </c>
      <c r="R93" s="124" t="s">
        <v>674</v>
      </c>
      <c r="S93" s="93"/>
      <c r="T93" s="93" t="s">
        <v>452</v>
      </c>
      <c r="U93" s="93"/>
      <c r="V93" s="93"/>
      <c r="W93" s="97"/>
      <c r="X93" s="100"/>
      <c r="Y93" s="102">
        <v>11.9</v>
      </c>
      <c r="Z93" s="103">
        <f t="shared" si="8"/>
        <v>6545</v>
      </c>
      <c r="AA93" s="103">
        <f t="shared" si="9"/>
        <v>50723.75</v>
      </c>
      <c r="AB93" s="58" t="s">
        <v>646</v>
      </c>
      <c r="AC93" s="93"/>
      <c r="AD93" s="93"/>
      <c r="AE93" s="93" t="str">
        <f>IFERROR(VLOOKUP(H93,名称!A:D,4,0),"")</f>
        <v>KIK</v>
      </c>
      <c r="AF93" s="98"/>
      <c r="AG93" s="105"/>
      <c r="AH93" s="105">
        <v>46008</v>
      </c>
      <c r="AI93" s="105">
        <v>45988</v>
      </c>
      <c r="AJ93" s="105"/>
      <c r="AK93" s="105"/>
      <c r="AL93" s="105">
        <v>45988</v>
      </c>
      <c r="AM93" s="105"/>
      <c r="AN93" s="105">
        <v>45987</v>
      </c>
      <c r="AO93" s="106">
        <v>96</v>
      </c>
      <c r="AP93" s="106">
        <v>69</v>
      </c>
      <c r="AQ93" s="119"/>
      <c r="AR93" s="119"/>
      <c r="AS93" s="119"/>
    </row>
    <row r="94" s="89" customFormat="1" hidden="1" customHeight="1" spans="1:45">
      <c r="A94" s="93">
        <v>45961</v>
      </c>
      <c r="B94" s="93" t="str">
        <f ca="1" t="shared" si="10"/>
        <v/>
      </c>
      <c r="C94" s="95" t="s">
        <v>237</v>
      </c>
      <c r="D94" s="93" t="s">
        <v>427</v>
      </c>
      <c r="E94" s="95" t="s">
        <v>443</v>
      </c>
      <c r="F94" s="96">
        <v>10114215</v>
      </c>
      <c r="G94" s="96">
        <v>202530370199</v>
      </c>
      <c r="H94" s="97" t="s">
        <v>20</v>
      </c>
      <c r="I94" s="98" t="str">
        <f>IFERROR(VLOOKUP(H94,名称!A:C,2,0),"")</f>
        <v>挖土机</v>
      </c>
      <c r="J94" s="99">
        <f>2500-1600-550</f>
        <v>350</v>
      </c>
      <c r="K94" s="98">
        <f>IFERROR(VLOOKUP(H94,名称!A:D,3,0),"")</f>
        <v>2</v>
      </c>
      <c r="L94" s="100">
        <f t="shared" si="7"/>
        <v>175</v>
      </c>
      <c r="M94" s="93">
        <v>46092</v>
      </c>
      <c r="N94" s="93">
        <f t="shared" si="11"/>
        <v>46090</v>
      </c>
      <c r="O94" s="93">
        <v>46057</v>
      </c>
      <c r="P94" s="93" t="s">
        <v>686</v>
      </c>
      <c r="Q94" s="97" t="s">
        <v>430</v>
      </c>
      <c r="R94" s="124" t="s">
        <v>674</v>
      </c>
      <c r="S94" s="93"/>
      <c r="T94" s="93" t="s">
        <v>452</v>
      </c>
      <c r="U94" s="93"/>
      <c r="V94" s="93"/>
      <c r="W94" s="97"/>
      <c r="X94" s="100"/>
      <c r="Y94" s="102">
        <v>11.9</v>
      </c>
      <c r="Z94" s="103">
        <f t="shared" si="8"/>
        <v>4165</v>
      </c>
      <c r="AA94" s="103">
        <f t="shared" si="9"/>
        <v>32278.75</v>
      </c>
      <c r="AB94" s="58" t="s">
        <v>702</v>
      </c>
      <c r="AC94" s="93"/>
      <c r="AD94" s="93"/>
      <c r="AE94" s="93" t="str">
        <f>IFERROR(VLOOKUP(H94,名称!A:D,4,0),"")</f>
        <v>KIK</v>
      </c>
      <c r="AF94" s="98"/>
      <c r="AG94" s="105"/>
      <c r="AH94" s="105">
        <v>46008</v>
      </c>
      <c r="AI94" s="105">
        <v>45988</v>
      </c>
      <c r="AJ94" s="105"/>
      <c r="AK94" s="105"/>
      <c r="AL94" s="105">
        <v>45988</v>
      </c>
      <c r="AM94" s="105"/>
      <c r="AN94" s="105">
        <v>45987</v>
      </c>
      <c r="AO94" s="106">
        <f t="shared" si="12"/>
        <v>131</v>
      </c>
      <c r="AP94" s="106">
        <f t="shared" si="13"/>
        <v>104</v>
      </c>
    </row>
    <row r="95" s="89" customFormat="1" hidden="1" customHeight="1" spans="1:45">
      <c r="A95" s="93">
        <v>45975</v>
      </c>
      <c r="B95" s="93" t="str">
        <f ca="1" t="shared" si="10"/>
        <v/>
      </c>
      <c r="C95" s="95" t="s">
        <v>237</v>
      </c>
      <c r="D95" s="93" t="s">
        <v>427</v>
      </c>
      <c r="E95" s="95" t="s">
        <v>438</v>
      </c>
      <c r="F95" s="96">
        <v>10114974</v>
      </c>
      <c r="G95" s="96">
        <v>202531670061</v>
      </c>
      <c r="H95" s="97" t="s">
        <v>109</v>
      </c>
      <c r="I95" s="98" t="str">
        <f>IFERROR(VLOOKUP(H95,名称!A:C,2,0),"")</f>
        <v>红色铲车</v>
      </c>
      <c r="J95" s="99">
        <v>4640</v>
      </c>
      <c r="K95" s="98">
        <f>IFERROR(VLOOKUP(H95,名称!A:D,3,0),"")</f>
        <v>4</v>
      </c>
      <c r="L95" s="100">
        <f t="shared" si="7"/>
        <v>1160</v>
      </c>
      <c r="M95" s="93">
        <v>46092</v>
      </c>
      <c r="N95" s="93">
        <f t="shared" si="11"/>
        <v>46090</v>
      </c>
      <c r="O95" s="93">
        <v>46093</v>
      </c>
      <c r="P95" s="93" t="s">
        <v>680</v>
      </c>
      <c r="Q95" s="97" t="s">
        <v>430</v>
      </c>
      <c r="R95" s="97" t="s">
        <v>703</v>
      </c>
      <c r="S95" s="93"/>
      <c r="T95" s="93"/>
      <c r="U95" s="93"/>
      <c r="V95" s="93"/>
      <c r="W95" s="97"/>
      <c r="X95" s="100" t="s">
        <v>704</v>
      </c>
      <c r="Y95" s="102">
        <v>3.886</v>
      </c>
      <c r="Z95" s="103">
        <f t="shared" si="8"/>
        <v>18031.04</v>
      </c>
      <c r="AA95" s="103">
        <f t="shared" si="9"/>
        <v>139740.56</v>
      </c>
      <c r="AB95" s="58" t="s">
        <v>705</v>
      </c>
      <c r="AC95" s="93"/>
      <c r="AD95" s="93"/>
      <c r="AE95" s="93" t="str">
        <f>IFERROR(VLOOKUP(H95,名称!A:D,4,0),"")</f>
        <v>KIK</v>
      </c>
      <c r="AF95" s="98"/>
      <c r="AG95" s="105"/>
      <c r="AH95" s="105">
        <v>46062</v>
      </c>
      <c r="AI95" s="105">
        <v>46038</v>
      </c>
      <c r="AJ95" s="105"/>
      <c r="AK95" s="105"/>
      <c r="AL95" s="105"/>
      <c r="AM95" s="105"/>
      <c r="AN95" s="105">
        <v>46029</v>
      </c>
      <c r="AO95" s="106">
        <f t="shared" si="12"/>
        <v>117</v>
      </c>
      <c r="AP95" s="106">
        <f t="shared" si="13"/>
        <v>54</v>
      </c>
    </row>
    <row r="96" s="89" customFormat="1" hidden="1" customHeight="1" spans="1:45">
      <c r="A96" s="93">
        <v>45975</v>
      </c>
      <c r="B96" s="93" t="str">
        <f ca="1" t="shared" si="10"/>
        <v/>
      </c>
      <c r="C96" s="95" t="s">
        <v>237</v>
      </c>
      <c r="D96" s="93" t="s">
        <v>427</v>
      </c>
      <c r="E96" s="95" t="s">
        <v>438</v>
      </c>
      <c r="F96" s="96">
        <v>10114974</v>
      </c>
      <c r="G96" s="96">
        <v>202531670061</v>
      </c>
      <c r="H96" s="97" t="s">
        <v>111</v>
      </c>
      <c r="I96" s="98" t="str">
        <f>IFERROR(VLOOKUP(H96,名称!A:C,2,0),"")</f>
        <v>黄色铲车</v>
      </c>
      <c r="J96" s="99">
        <v>4760</v>
      </c>
      <c r="K96" s="98">
        <f>IFERROR(VLOOKUP(H96,名称!A:D,3,0),"")</f>
        <v>4</v>
      </c>
      <c r="L96" s="100">
        <f t="shared" si="7"/>
        <v>1190</v>
      </c>
      <c r="M96" s="93">
        <v>46092</v>
      </c>
      <c r="N96" s="93">
        <f t="shared" si="11"/>
        <v>46090</v>
      </c>
      <c r="O96" s="93">
        <v>46092</v>
      </c>
      <c r="P96" s="93" t="s">
        <v>680</v>
      </c>
      <c r="Q96" s="97" t="s">
        <v>430</v>
      </c>
      <c r="R96" s="97" t="s">
        <v>703</v>
      </c>
      <c r="S96" s="93"/>
      <c r="T96" s="93" t="s">
        <v>452</v>
      </c>
      <c r="U96" s="93"/>
      <c r="V96" s="93"/>
      <c r="W96" s="97"/>
      <c r="X96" s="100"/>
      <c r="Y96" s="102">
        <v>3.816</v>
      </c>
      <c r="Z96" s="103">
        <f t="shared" si="8"/>
        <v>18164.16</v>
      </c>
      <c r="AA96" s="103">
        <f t="shared" si="9"/>
        <v>140772.24</v>
      </c>
      <c r="AB96" s="58" t="s">
        <v>705</v>
      </c>
      <c r="AC96" s="93"/>
      <c r="AD96" s="93"/>
      <c r="AE96" s="93" t="str">
        <f>IFERROR(VLOOKUP(H96,名称!A:D,4,0),"")</f>
        <v>KIK</v>
      </c>
      <c r="AF96" s="98"/>
      <c r="AG96" s="105"/>
      <c r="AH96" s="105">
        <v>46062</v>
      </c>
      <c r="AI96" s="105">
        <v>46038</v>
      </c>
      <c r="AJ96" s="105"/>
      <c r="AK96" s="105"/>
      <c r="AL96" s="105"/>
      <c r="AM96" s="105"/>
      <c r="AN96" s="105">
        <v>46029</v>
      </c>
      <c r="AO96" s="106">
        <f t="shared" si="12"/>
        <v>117</v>
      </c>
      <c r="AP96" s="106">
        <f t="shared" si="13"/>
        <v>54</v>
      </c>
    </row>
    <row r="97" s="89" customFormat="1" hidden="1" customHeight="1" spans="1:45">
      <c r="A97" s="93">
        <v>45975</v>
      </c>
      <c r="B97" s="93" t="str">
        <f ca="1" t="shared" si="10"/>
        <v/>
      </c>
      <c r="C97" s="95" t="s">
        <v>237</v>
      </c>
      <c r="D97" s="93" t="s">
        <v>427</v>
      </c>
      <c r="E97" s="95" t="s">
        <v>438</v>
      </c>
      <c r="F97" s="96">
        <v>10114974</v>
      </c>
      <c r="G97" s="96">
        <v>202531670061</v>
      </c>
      <c r="H97" s="97" t="s">
        <v>113</v>
      </c>
      <c r="I97" s="98" t="str">
        <f>IFERROR(VLOOKUP(H97,名称!A:C,2,0),"")</f>
        <v>绿色铲车</v>
      </c>
      <c r="J97" s="99">
        <v>4280</v>
      </c>
      <c r="K97" s="98">
        <f>IFERROR(VLOOKUP(H97,名称!A:D,3,0),"")</f>
        <v>2</v>
      </c>
      <c r="L97" s="100">
        <f t="shared" si="7"/>
        <v>2140</v>
      </c>
      <c r="M97" s="93">
        <v>46092</v>
      </c>
      <c r="N97" s="93">
        <f t="shared" si="11"/>
        <v>46090</v>
      </c>
      <c r="O97" s="93">
        <v>46094</v>
      </c>
      <c r="P97" s="93" t="s">
        <v>680</v>
      </c>
      <c r="Q97" s="97" t="s">
        <v>430</v>
      </c>
      <c r="R97" s="97" t="s">
        <v>703</v>
      </c>
      <c r="S97" s="93"/>
      <c r="T97" s="93" t="s">
        <v>452</v>
      </c>
      <c r="U97" s="93"/>
      <c r="V97" s="93"/>
      <c r="W97" s="97"/>
      <c r="X97" s="100"/>
      <c r="Y97" s="102">
        <v>6.154</v>
      </c>
      <c r="Z97" s="103">
        <f t="shared" si="8"/>
        <v>26339.12</v>
      </c>
      <c r="AA97" s="103">
        <f t="shared" si="9"/>
        <v>204128.18</v>
      </c>
      <c r="AB97" s="58" t="s">
        <v>705</v>
      </c>
      <c r="AC97" s="93"/>
      <c r="AD97" s="93"/>
      <c r="AE97" s="93" t="str">
        <f>IFERROR(VLOOKUP(H97,名称!A:D,4,0),"")</f>
        <v>KIK</v>
      </c>
      <c r="AF97" s="98"/>
      <c r="AG97" s="105"/>
      <c r="AH97" s="105">
        <v>46062</v>
      </c>
      <c r="AI97" s="105">
        <v>46038</v>
      </c>
      <c r="AJ97" s="105"/>
      <c r="AK97" s="105"/>
      <c r="AL97" s="105"/>
      <c r="AM97" s="105"/>
      <c r="AN97" s="105">
        <v>46029</v>
      </c>
      <c r="AO97" s="106">
        <f t="shared" si="12"/>
        <v>117</v>
      </c>
      <c r="AP97" s="106">
        <f t="shared" si="13"/>
        <v>54</v>
      </c>
    </row>
    <row r="98" s="89" customFormat="1" hidden="1" customHeight="1" spans="1:45">
      <c r="A98" s="93">
        <v>45975</v>
      </c>
      <c r="B98" s="93" t="s">
        <v>467</v>
      </c>
      <c r="C98" s="95" t="s">
        <v>237</v>
      </c>
      <c r="D98" s="93" t="s">
        <v>427</v>
      </c>
      <c r="E98" s="95" t="s">
        <v>438</v>
      </c>
      <c r="F98" s="96">
        <v>10114976</v>
      </c>
      <c r="G98" s="96">
        <v>202531670068</v>
      </c>
      <c r="H98" s="97" t="s">
        <v>105</v>
      </c>
      <c r="I98" s="98" t="s">
        <v>706</v>
      </c>
      <c r="J98" s="99">
        <v>3000</v>
      </c>
      <c r="K98" s="98">
        <v>4</v>
      </c>
      <c r="L98" s="100">
        <v>750</v>
      </c>
      <c r="M98" s="93">
        <v>46113</v>
      </c>
      <c r="N98" s="93">
        <v>46111</v>
      </c>
      <c r="O98" s="93">
        <v>46111</v>
      </c>
      <c r="P98" s="93" t="s">
        <v>680</v>
      </c>
      <c r="Q98" s="97" t="s">
        <v>430</v>
      </c>
      <c r="R98" s="97" t="s">
        <v>707</v>
      </c>
      <c r="S98" s="93"/>
      <c r="T98" s="93" t="s">
        <v>452</v>
      </c>
      <c r="U98" s="93"/>
      <c r="V98" s="93"/>
      <c r="W98" s="97"/>
      <c r="X98" s="100"/>
      <c r="Y98" s="102">
        <v>2.994</v>
      </c>
      <c r="Z98" s="103">
        <f t="shared" si="8"/>
        <v>8982</v>
      </c>
      <c r="AA98" s="103">
        <f t="shared" si="9"/>
        <v>69610.5</v>
      </c>
      <c r="AB98" s="58" t="s">
        <v>708</v>
      </c>
      <c r="AC98" s="93"/>
      <c r="AD98" s="93"/>
      <c r="AE98" s="93" t="s">
        <v>12</v>
      </c>
      <c r="AF98" s="98"/>
      <c r="AG98" s="105"/>
      <c r="AH98" s="105">
        <v>46062</v>
      </c>
      <c r="AI98" s="105">
        <v>46038</v>
      </c>
      <c r="AJ98" s="105">
        <v>46059</v>
      </c>
      <c r="AK98" s="105"/>
      <c r="AL98" s="105"/>
      <c r="AM98" s="105"/>
      <c r="AN98" s="105"/>
      <c r="AO98" s="105">
        <v>46029</v>
      </c>
      <c r="AP98" s="100">
        <v>138</v>
      </c>
      <c r="AQ98" s="128">
        <v>75</v>
      </c>
    </row>
    <row r="99" s="89" customFormat="1" hidden="1" customHeight="1" spans="1:45">
      <c r="A99" s="93">
        <v>45975</v>
      </c>
      <c r="B99" s="93" t="s">
        <v>467</v>
      </c>
      <c r="C99" s="95" t="s">
        <v>237</v>
      </c>
      <c r="D99" s="93" t="s">
        <v>427</v>
      </c>
      <c r="E99" s="95" t="s">
        <v>438</v>
      </c>
      <c r="F99" s="96">
        <v>10114976</v>
      </c>
      <c r="G99" s="96">
        <v>202531670068</v>
      </c>
      <c r="H99" s="97" t="s">
        <v>107</v>
      </c>
      <c r="I99" s="98" t="s">
        <v>709</v>
      </c>
      <c r="J99" s="99">
        <v>3000</v>
      </c>
      <c r="K99" s="98">
        <v>4</v>
      </c>
      <c r="L99" s="100">
        <v>750</v>
      </c>
      <c r="M99" s="93">
        <v>46113</v>
      </c>
      <c r="N99" s="93">
        <v>46111</v>
      </c>
      <c r="O99" s="93">
        <v>46111</v>
      </c>
      <c r="P99" s="93" t="s">
        <v>680</v>
      </c>
      <c r="Q99" s="97" t="s">
        <v>430</v>
      </c>
      <c r="R99" s="97" t="s">
        <v>707</v>
      </c>
      <c r="S99" s="93"/>
      <c r="T99" s="93" t="s">
        <v>452</v>
      </c>
      <c r="U99" s="93"/>
      <c r="V99" s="93"/>
      <c r="W99" s="97"/>
      <c r="X99" s="100"/>
      <c r="Y99" s="102">
        <v>4.956</v>
      </c>
      <c r="Z99" s="103">
        <f t="shared" si="8"/>
        <v>14868</v>
      </c>
      <c r="AA99" s="103">
        <f t="shared" si="9"/>
        <v>115227</v>
      </c>
      <c r="AB99" s="58" t="s">
        <v>708</v>
      </c>
      <c r="AC99" s="93"/>
      <c r="AD99" s="93"/>
      <c r="AE99" s="93" t="s">
        <v>12</v>
      </c>
      <c r="AF99" s="98"/>
      <c r="AG99" s="105"/>
      <c r="AH99" s="105">
        <v>46062</v>
      </c>
      <c r="AI99" s="105">
        <v>46038</v>
      </c>
      <c r="AJ99" s="105">
        <v>46059</v>
      </c>
      <c r="AK99" s="105"/>
      <c r="AL99" s="105"/>
      <c r="AM99" s="105"/>
      <c r="AN99" s="105"/>
      <c r="AO99" s="105">
        <v>46029</v>
      </c>
      <c r="AP99" s="100">
        <v>138</v>
      </c>
      <c r="AQ99" s="128">
        <v>75</v>
      </c>
    </row>
    <row r="100" s="89" customFormat="1" hidden="1" customHeight="1" spans="1:45">
      <c r="A100" s="93">
        <v>45981</v>
      </c>
      <c r="B100" s="93" t="str">
        <f ca="1">IF(TODAY()&gt;=A100,IF(R100="","未",""),"")</f>
        <v>未</v>
      </c>
      <c r="C100" s="95" t="s">
        <v>237</v>
      </c>
      <c r="D100" s="93" t="s">
        <v>427</v>
      </c>
      <c r="E100" s="95" t="s">
        <v>428</v>
      </c>
      <c r="F100" s="96">
        <v>10115213</v>
      </c>
      <c r="G100" s="96">
        <v>202532270054</v>
      </c>
      <c r="H100" s="97" t="s">
        <v>50</v>
      </c>
      <c r="I100" s="98" t="str">
        <f>IFERROR(VLOOKUP(H100,名称!A:C,2,0),"")</f>
        <v>布鲁伊家族沐浴玩具</v>
      </c>
      <c r="J100" s="99">
        <f>5000-600</f>
        <v>4400</v>
      </c>
      <c r="K100" s="98">
        <f>IFERROR(VLOOKUP(H100,名称!A:D,3,0),"")</f>
        <v>2</v>
      </c>
      <c r="L100" s="100">
        <f t="shared" ref="L100:L105" si="14">IFERROR((J100/K100),"")</f>
        <v>2200</v>
      </c>
      <c r="M100" s="93">
        <v>46043</v>
      </c>
      <c r="N100" s="93">
        <f>M100-2</f>
        <v>46041</v>
      </c>
      <c r="O100" s="93">
        <v>46044</v>
      </c>
      <c r="P100" s="93" t="s">
        <v>624</v>
      </c>
      <c r="Q100" s="97" t="s">
        <v>430</v>
      </c>
      <c r="R100" s="97"/>
      <c r="S100" s="93"/>
      <c r="T100" s="93"/>
      <c r="U100" s="93"/>
      <c r="V100" s="93"/>
      <c r="W100" s="97"/>
      <c r="X100" s="100"/>
      <c r="Y100" s="102">
        <v>2.218</v>
      </c>
      <c r="Z100" s="103">
        <f t="shared" si="8"/>
        <v>9759.2</v>
      </c>
      <c r="AA100" s="103">
        <f t="shared" si="9"/>
        <v>75633.8</v>
      </c>
      <c r="AB100" s="58" t="s">
        <v>640</v>
      </c>
      <c r="AC100" s="93"/>
      <c r="AD100" s="93"/>
      <c r="AE100" s="93" t="str">
        <f>IFERROR(VLOOKUP(H100,名称!A:D,4,0),"")</f>
        <v>KIK</v>
      </c>
      <c r="AF100" s="98"/>
      <c r="AG100" s="105"/>
      <c r="AH100" s="105">
        <v>46022</v>
      </c>
      <c r="AI100" s="105">
        <v>45995</v>
      </c>
      <c r="AJ100" s="105"/>
      <c r="AK100" s="105"/>
      <c r="AL100" s="105"/>
      <c r="AM100" s="105"/>
      <c r="AN100" s="105">
        <v>45994</v>
      </c>
      <c r="AO100" s="106">
        <f>M100-A100</f>
        <v>62</v>
      </c>
      <c r="AP100" s="106">
        <f>M100-AI100</f>
        <v>48</v>
      </c>
      <c r="AS100" s="119"/>
    </row>
    <row r="101" s="89" customFormat="1" hidden="1" customHeight="1" spans="1:45">
      <c r="A101" s="93">
        <v>45981</v>
      </c>
      <c r="B101" s="93" t="s">
        <v>660</v>
      </c>
      <c r="C101" s="95" t="s">
        <v>237</v>
      </c>
      <c r="D101" s="93" t="s">
        <v>427</v>
      </c>
      <c r="E101" s="95" t="s">
        <v>428</v>
      </c>
      <c r="F101" s="96">
        <v>10115150</v>
      </c>
      <c r="G101" s="96">
        <v>202530170065</v>
      </c>
      <c r="H101" s="97" t="s">
        <v>115</v>
      </c>
      <c r="I101" s="98" t="str">
        <f>IFERROR(VLOOKUP(H101,名称!A:C,2,0),"")</f>
        <v>布鲁伊混装</v>
      </c>
      <c r="J101" s="99">
        <v>5000</v>
      </c>
      <c r="K101" s="98">
        <f>IFERROR(VLOOKUP(H101,名称!A:D,3,0),"")</f>
        <v>4</v>
      </c>
      <c r="L101" s="100">
        <f t="shared" si="14"/>
        <v>1250</v>
      </c>
      <c r="M101" s="93">
        <v>46057</v>
      </c>
      <c r="N101" s="93">
        <v>46055</v>
      </c>
      <c r="O101" s="93">
        <v>46064</v>
      </c>
      <c r="P101" s="93" t="s">
        <v>686</v>
      </c>
      <c r="Q101" s="97" t="s">
        <v>430</v>
      </c>
      <c r="R101" s="97"/>
      <c r="S101" s="93"/>
      <c r="T101" s="93"/>
      <c r="U101" s="93"/>
      <c r="V101" s="93"/>
      <c r="W101" s="97"/>
      <c r="X101" s="100"/>
      <c r="Y101" s="102">
        <v>2.204</v>
      </c>
      <c r="Z101" s="103">
        <f t="shared" si="8"/>
        <v>11020</v>
      </c>
      <c r="AA101" s="103">
        <f t="shared" si="9"/>
        <v>85405</v>
      </c>
      <c r="AB101" s="58" t="s">
        <v>646</v>
      </c>
      <c r="AC101" s="93"/>
      <c r="AD101" s="93"/>
      <c r="AE101" s="93" t="str">
        <f>IFERROR(VLOOKUP(H101,名称!A:D,4,0),"")</f>
        <v>KIK</v>
      </c>
      <c r="AF101" s="98"/>
      <c r="AG101" s="105"/>
      <c r="AH101" s="105">
        <v>46021</v>
      </c>
      <c r="AI101" s="105">
        <v>46002</v>
      </c>
      <c r="AJ101" s="105"/>
      <c r="AK101" s="105"/>
      <c r="AL101" s="105"/>
      <c r="AM101" s="105"/>
      <c r="AN101" s="105">
        <v>45994</v>
      </c>
      <c r="AO101" s="106">
        <v>76</v>
      </c>
      <c r="AP101" s="106">
        <v>55</v>
      </c>
      <c r="AQ101" s="119"/>
      <c r="AR101" s="119"/>
      <c r="AS101" s="119"/>
    </row>
    <row r="102" s="89" customFormat="1" hidden="1" customHeight="1" spans="1:45">
      <c r="A102" s="93">
        <v>45987</v>
      </c>
      <c r="B102" s="93" t="str">
        <f ca="1">IF(TODAY()&gt;=A102,IF(R102="","未",""),"")</f>
        <v/>
      </c>
      <c r="C102" s="95" t="s">
        <v>237</v>
      </c>
      <c r="D102" s="93" t="s">
        <v>427</v>
      </c>
      <c r="E102" s="95" t="s">
        <v>428</v>
      </c>
      <c r="F102" s="96">
        <v>10115579</v>
      </c>
      <c r="G102" s="96">
        <v>202532872357</v>
      </c>
      <c r="H102" s="97" t="s">
        <v>122</v>
      </c>
      <c r="I102" s="98" t="str">
        <f>IFERROR(VLOOKUP(H102,名称!A:C,2,0),"")</f>
        <v>马里奥和他的蘑菇</v>
      </c>
      <c r="J102" s="99">
        <v>2502</v>
      </c>
      <c r="K102" s="98">
        <f>IFERROR(VLOOKUP(H102,名称!A:D,3,0),"")</f>
        <v>6</v>
      </c>
      <c r="L102" s="100">
        <f t="shared" si="14"/>
        <v>417</v>
      </c>
      <c r="M102" s="93">
        <v>46092</v>
      </c>
      <c r="N102" s="93">
        <f>M102-2</f>
        <v>46090</v>
      </c>
      <c r="O102" s="93">
        <v>46093</v>
      </c>
      <c r="P102" s="93" t="s">
        <v>624</v>
      </c>
      <c r="Q102" s="97" t="s">
        <v>430</v>
      </c>
      <c r="R102" s="97" t="s">
        <v>627</v>
      </c>
      <c r="S102" s="93"/>
      <c r="T102" s="93"/>
      <c r="U102" s="93"/>
      <c r="V102" s="93"/>
      <c r="W102" s="97"/>
      <c r="X102" s="100" t="s">
        <v>628</v>
      </c>
      <c r="Y102" s="102">
        <v>1.442</v>
      </c>
      <c r="Z102" s="103">
        <f t="shared" si="8"/>
        <v>3607.88</v>
      </c>
      <c r="AA102" s="103">
        <f t="shared" si="9"/>
        <v>27961.07</v>
      </c>
      <c r="AB102" s="58" t="s">
        <v>702</v>
      </c>
      <c r="AC102" s="93"/>
      <c r="AD102" s="93"/>
      <c r="AE102" s="93" t="str">
        <f>IFERROR(VLOOKUP(H102,名称!A:D,4,0),"")</f>
        <v>KIK</v>
      </c>
      <c r="AF102" s="98"/>
      <c r="AG102" s="105"/>
      <c r="AH102" s="105">
        <v>46045</v>
      </c>
      <c r="AI102" s="105">
        <v>46010</v>
      </c>
      <c r="AJ102" s="105"/>
      <c r="AK102" s="105"/>
      <c r="AL102" s="105"/>
      <c r="AM102" s="105"/>
      <c r="AN102" s="105">
        <v>46006</v>
      </c>
      <c r="AO102" s="106">
        <f>M102-A102</f>
        <v>105</v>
      </c>
      <c r="AP102" s="106">
        <f>M102-AI102</f>
        <v>82</v>
      </c>
    </row>
    <row r="103" s="89" customFormat="1" hidden="1" customHeight="1" spans="1:45">
      <c r="A103" s="93">
        <v>45987</v>
      </c>
      <c r="B103" s="93" t="str">
        <f ca="1">IF(TODAY()&gt;=A103,IF(R103="","未",""),"")</f>
        <v/>
      </c>
      <c r="C103" s="95" t="s">
        <v>237</v>
      </c>
      <c r="D103" s="93" t="s">
        <v>427</v>
      </c>
      <c r="E103" s="95" t="s">
        <v>428</v>
      </c>
      <c r="F103" s="96">
        <v>10115579</v>
      </c>
      <c r="G103" s="96">
        <v>202532872357</v>
      </c>
      <c r="H103" s="97" t="s">
        <v>123</v>
      </c>
      <c r="I103" s="98" t="str">
        <f>IFERROR(VLOOKUP(H103,名称!A:C,2,0),"")</f>
        <v>能量蘑菇</v>
      </c>
      <c r="J103" s="99">
        <f>5004-1800</f>
        <v>3204</v>
      </c>
      <c r="K103" s="98">
        <f>IFERROR(VLOOKUP(H103,名称!A:D,3,0),"")</f>
        <v>6</v>
      </c>
      <c r="L103" s="100">
        <f t="shared" si="14"/>
        <v>534</v>
      </c>
      <c r="M103" s="93">
        <v>46092</v>
      </c>
      <c r="N103" s="93">
        <f>M103-2</f>
        <v>46090</v>
      </c>
      <c r="O103" s="93">
        <v>46094</v>
      </c>
      <c r="P103" s="93" t="s">
        <v>624</v>
      </c>
      <c r="Q103" s="97" t="s">
        <v>430</v>
      </c>
      <c r="R103" s="97" t="s">
        <v>627</v>
      </c>
      <c r="S103" s="93"/>
      <c r="T103" s="93"/>
      <c r="U103" s="93"/>
      <c r="V103" s="93"/>
      <c r="W103" s="97"/>
      <c r="X103" s="100" t="s">
        <v>647</v>
      </c>
      <c r="Y103" s="120">
        <v>1.304</v>
      </c>
      <c r="Z103" s="103">
        <f t="shared" si="8"/>
        <v>4178.02</v>
      </c>
      <c r="AA103" s="103">
        <f t="shared" si="9"/>
        <v>32379.66</v>
      </c>
      <c r="AB103" s="58" t="s">
        <v>702</v>
      </c>
      <c r="AC103" s="93"/>
      <c r="AD103" s="93"/>
      <c r="AE103" s="93" t="str">
        <f>IFERROR(VLOOKUP(H103,名称!A:D,4,0),"")</f>
        <v>KIK</v>
      </c>
      <c r="AF103" s="98"/>
      <c r="AG103" s="105"/>
      <c r="AH103" s="105">
        <v>46045</v>
      </c>
      <c r="AI103" s="105">
        <v>46010</v>
      </c>
      <c r="AJ103" s="105"/>
      <c r="AK103" s="105"/>
      <c r="AL103" s="105"/>
      <c r="AM103" s="105"/>
      <c r="AN103" s="105">
        <v>46006</v>
      </c>
      <c r="AO103" s="106">
        <f>M103-A103</f>
        <v>105</v>
      </c>
      <c r="AP103" s="106">
        <f>M103-AI103</f>
        <v>82</v>
      </c>
      <c r="AQ103" s="121"/>
      <c r="AR103" s="121"/>
      <c r="AS103" s="121"/>
    </row>
    <row r="104" s="89" customFormat="1" hidden="1" customHeight="1" spans="1:45">
      <c r="A104" s="93">
        <v>45987</v>
      </c>
      <c r="B104" s="93" t="str">
        <f ca="1">IF(TODAY()&gt;=A104,IF(R104="","未",""),"")</f>
        <v/>
      </c>
      <c r="C104" s="95" t="s">
        <v>237</v>
      </c>
      <c r="D104" s="93" t="s">
        <v>427</v>
      </c>
      <c r="E104" s="95" t="s">
        <v>428</v>
      </c>
      <c r="F104" s="96">
        <v>10115577</v>
      </c>
      <c r="G104" s="96">
        <v>202532872355</v>
      </c>
      <c r="H104" s="97" t="s">
        <v>95</v>
      </c>
      <c r="I104" s="98" t="str">
        <f>IFERROR(VLOOKUP(H104,名称!A:C,2,0),"")</f>
        <v>宝箱马里奥</v>
      </c>
      <c r="J104" s="99">
        <f>5000-480</f>
        <v>4520</v>
      </c>
      <c r="K104" s="98">
        <f>IFERROR(VLOOKUP(H104,名称!A:D,3,0),"")</f>
        <v>4</v>
      </c>
      <c r="L104" s="100">
        <f t="shared" si="14"/>
        <v>1130</v>
      </c>
      <c r="M104" s="93">
        <v>46092</v>
      </c>
      <c r="N104" s="93">
        <f>M104-2</f>
        <v>46090</v>
      </c>
      <c r="O104" s="93">
        <v>46091</v>
      </c>
      <c r="P104" s="93" t="s">
        <v>624</v>
      </c>
      <c r="Q104" s="97" t="s">
        <v>430</v>
      </c>
      <c r="R104" s="97" t="s">
        <v>625</v>
      </c>
      <c r="S104" s="93"/>
      <c r="T104" s="93"/>
      <c r="U104" s="93"/>
      <c r="V104" s="93"/>
      <c r="W104" s="97"/>
      <c r="X104" s="100"/>
      <c r="Y104" s="102">
        <v>2.205</v>
      </c>
      <c r="Z104" s="103">
        <f t="shared" si="8"/>
        <v>9966.6</v>
      </c>
      <c r="AA104" s="103">
        <f t="shared" si="9"/>
        <v>77241.15</v>
      </c>
      <c r="AB104" s="58" t="s">
        <v>702</v>
      </c>
      <c r="AC104" s="93"/>
      <c r="AD104" s="93"/>
      <c r="AE104" s="93" t="str">
        <f>IFERROR(VLOOKUP(H104,名称!A:D,4,0),"")</f>
        <v>KIK</v>
      </c>
      <c r="AF104" s="98"/>
      <c r="AG104" s="105"/>
      <c r="AH104" s="105">
        <v>46045</v>
      </c>
      <c r="AI104" s="105">
        <v>46010</v>
      </c>
      <c r="AJ104" s="105"/>
      <c r="AK104" s="105"/>
      <c r="AL104" s="105"/>
      <c r="AM104" s="105"/>
      <c r="AN104" s="105">
        <v>46006</v>
      </c>
      <c r="AO104" s="106">
        <f>M104-A104</f>
        <v>105</v>
      </c>
      <c r="AP104" s="106">
        <f>M104-AI104</f>
        <v>82</v>
      </c>
    </row>
    <row r="105" s="89" customFormat="1" hidden="1" customHeight="1" spans="1:45">
      <c r="A105" s="93">
        <v>45987</v>
      </c>
      <c r="B105" s="93" t="str">
        <f ca="1">IF(TODAY()&gt;=A105,IF(R105="","未",""),"")</f>
        <v/>
      </c>
      <c r="C105" s="95" t="s">
        <v>237</v>
      </c>
      <c r="D105" s="93" t="s">
        <v>427</v>
      </c>
      <c r="E105" s="95" t="s">
        <v>428</v>
      </c>
      <c r="F105" s="96">
        <v>10115579</v>
      </c>
      <c r="G105" s="96">
        <v>202532872357</v>
      </c>
      <c r="H105" s="97" t="s">
        <v>122</v>
      </c>
      <c r="I105" s="98" t="str">
        <f>IFERROR(VLOOKUP(H105,名称!A:C,2,0),"")</f>
        <v>马里奥和他的蘑菇</v>
      </c>
      <c r="J105" s="99">
        <f>5004-2502</f>
        <v>2502</v>
      </c>
      <c r="K105" s="98">
        <f>IFERROR(VLOOKUP(H105,名称!A:D,3,0),"")</f>
        <v>6</v>
      </c>
      <c r="L105" s="100">
        <f t="shared" si="14"/>
        <v>417</v>
      </c>
      <c r="M105" s="93">
        <v>46092</v>
      </c>
      <c r="N105" s="93">
        <f>M105-2</f>
        <v>46090</v>
      </c>
      <c r="O105" s="93">
        <v>46093</v>
      </c>
      <c r="P105" s="93" t="s">
        <v>624</v>
      </c>
      <c r="Q105" s="97" t="s">
        <v>430</v>
      </c>
      <c r="R105" s="97" t="s">
        <v>627</v>
      </c>
      <c r="S105" s="93"/>
      <c r="T105" s="93"/>
      <c r="U105" s="93"/>
      <c r="V105" s="93"/>
      <c r="W105" s="97"/>
      <c r="X105" s="100" t="s">
        <v>628</v>
      </c>
      <c r="Y105" s="102">
        <v>1.442</v>
      </c>
      <c r="Z105" s="103">
        <f t="shared" si="8"/>
        <v>3607.88</v>
      </c>
      <c r="AA105" s="103">
        <f t="shared" si="9"/>
        <v>27961.07</v>
      </c>
      <c r="AB105" s="58" t="s">
        <v>671</v>
      </c>
      <c r="AC105" s="93"/>
      <c r="AD105" s="93"/>
      <c r="AE105" s="93" t="str">
        <f>IFERROR(VLOOKUP(H105,名称!A:D,4,0),"")</f>
        <v>KIK</v>
      </c>
      <c r="AF105" s="98"/>
      <c r="AG105" s="105"/>
      <c r="AH105" s="105">
        <v>46045</v>
      </c>
      <c r="AI105" s="105">
        <v>46010</v>
      </c>
      <c r="AJ105" s="105"/>
      <c r="AK105" s="105"/>
      <c r="AL105" s="105"/>
      <c r="AM105" s="105"/>
      <c r="AN105" s="105">
        <v>46006</v>
      </c>
      <c r="AO105" s="106">
        <f>M105-A105</f>
        <v>105</v>
      </c>
      <c r="AP105" s="106">
        <f>M105-AI105</f>
        <v>82</v>
      </c>
    </row>
    <row r="106" s="89" customFormat="1" hidden="1" customHeight="1" spans="1:45">
      <c r="A106" s="93">
        <v>45994</v>
      </c>
      <c r="B106" s="93" t="s">
        <v>467</v>
      </c>
      <c r="C106" s="95" t="s">
        <v>237</v>
      </c>
      <c r="D106" s="93" t="s">
        <v>427</v>
      </c>
      <c r="E106" s="95" t="s">
        <v>438</v>
      </c>
      <c r="F106" s="96">
        <v>10116164</v>
      </c>
      <c r="G106" s="96">
        <v>202533572277</v>
      </c>
      <c r="H106" s="97" t="s">
        <v>39</v>
      </c>
      <c r="I106" s="98" t="s">
        <v>710</v>
      </c>
      <c r="J106" s="99">
        <v>2500</v>
      </c>
      <c r="K106" s="98">
        <v>2</v>
      </c>
      <c r="L106" s="100">
        <v>1250</v>
      </c>
      <c r="M106" s="93">
        <v>46113</v>
      </c>
      <c r="N106" s="93">
        <v>46111</v>
      </c>
      <c r="O106" s="93">
        <v>46112</v>
      </c>
      <c r="P106" s="93" t="s">
        <v>680</v>
      </c>
      <c r="Q106" s="97" t="s">
        <v>430</v>
      </c>
      <c r="R106" s="97" t="s">
        <v>711</v>
      </c>
      <c r="S106" s="93"/>
      <c r="T106" s="93"/>
      <c r="U106" s="93"/>
      <c r="V106" s="93"/>
      <c r="W106" s="97"/>
      <c r="X106" s="100"/>
      <c r="Y106" s="102">
        <v>30.536</v>
      </c>
      <c r="Z106" s="103">
        <f t="shared" si="8"/>
        <v>76340</v>
      </c>
      <c r="AA106" s="103">
        <f t="shared" si="9"/>
        <v>591635</v>
      </c>
      <c r="AB106" s="58" t="s">
        <v>708</v>
      </c>
      <c r="AC106" s="93"/>
      <c r="AD106" s="93"/>
      <c r="AE106" s="93" t="s">
        <v>12</v>
      </c>
      <c r="AF106" s="98"/>
      <c r="AG106" s="105"/>
      <c r="AH106" s="105">
        <v>46021</v>
      </c>
      <c r="AI106" s="105">
        <v>46003</v>
      </c>
      <c r="AJ106" s="105"/>
      <c r="AK106" s="105"/>
      <c r="AL106" s="105"/>
      <c r="AM106" s="105"/>
      <c r="AN106" s="105"/>
      <c r="AO106" s="105"/>
      <c r="AP106" s="100">
        <v>119</v>
      </c>
      <c r="AQ106" s="128">
        <v>110</v>
      </c>
    </row>
    <row r="107" s="89" customFormat="1" hidden="1" customHeight="1" spans="1:45">
      <c r="A107" s="93">
        <v>45995</v>
      </c>
      <c r="B107" s="93" t="s">
        <v>660</v>
      </c>
      <c r="C107" s="95" t="s">
        <v>237</v>
      </c>
      <c r="D107" s="93" t="s">
        <v>427</v>
      </c>
      <c r="E107" s="95" t="s">
        <v>428</v>
      </c>
      <c r="F107" s="96">
        <v>10116269</v>
      </c>
      <c r="G107" s="96">
        <v>202533670077</v>
      </c>
      <c r="H107" s="97" t="s">
        <v>55</v>
      </c>
      <c r="I107" s="98" t="str">
        <f>IFERROR(VLOOKUP(H107,名称!A:C,2,0),"")</f>
        <v>布鲁伊沐浴玩具</v>
      </c>
      <c r="J107" s="99">
        <v>5004</v>
      </c>
      <c r="K107" s="98">
        <f>IFERROR(VLOOKUP(H107,名称!A:D,3,0),"")</f>
        <v>6</v>
      </c>
      <c r="L107" s="100">
        <f>IFERROR((J107/K107),"")</f>
        <v>834</v>
      </c>
      <c r="M107" s="93">
        <v>46057</v>
      </c>
      <c r="N107" s="93">
        <v>46048</v>
      </c>
      <c r="O107" s="93">
        <v>46052</v>
      </c>
      <c r="P107" s="93" t="s">
        <v>686</v>
      </c>
      <c r="Q107" s="97" t="s">
        <v>430</v>
      </c>
      <c r="R107" s="97"/>
      <c r="S107" s="93"/>
      <c r="T107" s="93"/>
      <c r="U107" s="93"/>
      <c r="V107" s="93"/>
      <c r="W107" s="97"/>
      <c r="X107" s="100"/>
      <c r="Y107" s="102">
        <v>1.413</v>
      </c>
      <c r="Z107" s="103">
        <f t="shared" si="8"/>
        <v>7070.65</v>
      </c>
      <c r="AA107" s="103">
        <f t="shared" si="9"/>
        <v>54797.54</v>
      </c>
      <c r="AB107" s="58" t="s">
        <v>688</v>
      </c>
      <c r="AC107" s="93"/>
      <c r="AD107" s="93"/>
      <c r="AE107" s="93" t="str">
        <f>IFERROR(VLOOKUP(H107,名称!A:D,4,0),"")</f>
        <v>KIK</v>
      </c>
      <c r="AF107" s="98"/>
      <c r="AG107" s="105"/>
      <c r="AH107" s="105">
        <v>46024</v>
      </c>
      <c r="AI107" s="105">
        <v>46009</v>
      </c>
      <c r="AJ107" s="105"/>
      <c r="AK107" s="105"/>
      <c r="AL107" s="105"/>
      <c r="AM107" s="105"/>
      <c r="AN107" s="105">
        <v>46007</v>
      </c>
      <c r="AO107" s="106">
        <v>55</v>
      </c>
      <c r="AP107" s="106">
        <v>41</v>
      </c>
      <c r="AQ107" s="119"/>
      <c r="AR107" s="119"/>
      <c r="AS107" s="119"/>
    </row>
    <row r="108" s="89" customFormat="1" hidden="1" customHeight="1" spans="1:45">
      <c r="A108" s="93">
        <v>46002</v>
      </c>
      <c r="B108" s="93" t="str">
        <f ca="1">IF(TODAY()&gt;=A108,IF(R108="","未",""),"")</f>
        <v/>
      </c>
      <c r="C108" s="95" t="s">
        <v>237</v>
      </c>
      <c r="D108" s="93" t="s">
        <v>427</v>
      </c>
      <c r="E108" s="95" t="s">
        <v>428</v>
      </c>
      <c r="F108" s="96">
        <v>10116824</v>
      </c>
      <c r="G108" s="96">
        <v>202534370053</v>
      </c>
      <c r="H108" s="97" t="s">
        <v>129</v>
      </c>
      <c r="I108" s="98" t="str">
        <f>IFERROR(VLOOKUP(H108,名称!A:C,2,0),"")</f>
        <v>锁匙</v>
      </c>
      <c r="J108" s="99">
        <v>20016</v>
      </c>
      <c r="K108" s="98">
        <f>IFERROR(VLOOKUP(H108,名称!A:D,3,0),"")</f>
        <v>36</v>
      </c>
      <c r="L108" s="100">
        <f>IFERROR((J108/K108),"")</f>
        <v>556</v>
      </c>
      <c r="M108" s="93">
        <v>46092</v>
      </c>
      <c r="N108" s="93">
        <f>M108-2</f>
        <v>46090</v>
      </c>
      <c r="O108" s="93">
        <v>46094</v>
      </c>
      <c r="P108" s="93" t="s">
        <v>686</v>
      </c>
      <c r="Q108" s="97" t="s">
        <v>430</v>
      </c>
      <c r="R108" s="97" t="s">
        <v>712</v>
      </c>
      <c r="S108" s="93"/>
      <c r="T108" s="93"/>
      <c r="U108" s="93"/>
      <c r="V108" s="93"/>
      <c r="W108" s="97"/>
      <c r="X108" s="100"/>
      <c r="Y108" s="120">
        <v>0.324</v>
      </c>
      <c r="Z108" s="103">
        <f t="shared" si="8"/>
        <v>6485.18</v>
      </c>
      <c r="AA108" s="103">
        <f t="shared" si="9"/>
        <v>50260.15</v>
      </c>
      <c r="AB108" s="58" t="s">
        <v>671</v>
      </c>
      <c r="AC108" s="93"/>
      <c r="AD108" s="93"/>
      <c r="AE108" s="93" t="str">
        <f>IFERROR(VLOOKUP(H108,名称!A:D,4,0),"")</f>
        <v>KIK</v>
      </c>
      <c r="AF108" s="98"/>
      <c r="AG108" s="105"/>
      <c r="AH108" s="105">
        <v>46031</v>
      </c>
      <c r="AI108" s="105">
        <v>46016</v>
      </c>
      <c r="AJ108" s="105"/>
      <c r="AK108" s="105"/>
      <c r="AL108" s="105"/>
      <c r="AM108" s="105"/>
      <c r="AN108" s="105"/>
      <c r="AO108" s="106">
        <f>M108-A108</f>
        <v>90</v>
      </c>
      <c r="AP108" s="106">
        <f>M108-AI108</f>
        <v>76</v>
      </c>
      <c r="AQ108" s="121"/>
      <c r="AR108" s="121"/>
      <c r="AS108" s="121"/>
    </row>
    <row r="109" s="89" customFormat="1" hidden="1" customHeight="1" spans="1:45">
      <c r="A109" s="93">
        <v>46002</v>
      </c>
      <c r="B109" s="93" t="str">
        <f ca="1">IF(TODAY()&gt;=A109,IF(R109="","未",""),"")</f>
        <v/>
      </c>
      <c r="C109" s="95" t="s">
        <v>237</v>
      </c>
      <c r="D109" s="93" t="s">
        <v>427</v>
      </c>
      <c r="E109" s="95" t="s">
        <v>428</v>
      </c>
      <c r="F109" s="96">
        <v>10116827</v>
      </c>
      <c r="G109" s="96">
        <v>202534370058</v>
      </c>
      <c r="H109" s="97" t="s">
        <v>115</v>
      </c>
      <c r="I109" s="98" t="str">
        <f>IFERROR(VLOOKUP(H109,名称!A:C,2,0),"")</f>
        <v>布鲁伊混装</v>
      </c>
      <c r="J109" s="99">
        <f>5000-1000</f>
        <v>4000</v>
      </c>
      <c r="K109" s="98">
        <f>IFERROR(VLOOKUP(H109,名称!A:D,3,0),"")</f>
        <v>4</v>
      </c>
      <c r="L109" s="100">
        <f>IFERROR((J109/K109),"")</f>
        <v>1000</v>
      </c>
      <c r="M109" s="93">
        <v>46092</v>
      </c>
      <c r="N109" s="93">
        <f>M109-2</f>
        <v>46090</v>
      </c>
      <c r="O109" s="93"/>
      <c r="P109" s="93" t="s">
        <v>680</v>
      </c>
      <c r="Q109" s="97" t="s">
        <v>430</v>
      </c>
      <c r="R109" s="97" t="s">
        <v>687</v>
      </c>
      <c r="S109" s="93"/>
      <c r="T109" s="93"/>
      <c r="U109" s="93"/>
      <c r="V109" s="93"/>
      <c r="W109" s="97"/>
      <c r="X109" s="100"/>
      <c r="Y109" s="102">
        <v>2.204</v>
      </c>
      <c r="Z109" s="103">
        <f t="shared" si="8"/>
        <v>8816</v>
      </c>
      <c r="AA109" s="103">
        <f t="shared" si="9"/>
        <v>68324</v>
      </c>
      <c r="AB109" s="58" t="s">
        <v>705</v>
      </c>
      <c r="AC109" s="93"/>
      <c r="AD109" s="93"/>
      <c r="AE109" s="93" t="str">
        <f>IFERROR(VLOOKUP(H109,名称!A:D,4,0),"")</f>
        <v>KIK</v>
      </c>
      <c r="AF109" s="98"/>
      <c r="AG109" s="105"/>
      <c r="AH109" s="105">
        <v>46031</v>
      </c>
      <c r="AI109" s="105">
        <v>46016</v>
      </c>
      <c r="AJ109" s="105"/>
      <c r="AK109" s="105"/>
      <c r="AL109" s="105"/>
      <c r="AM109" s="105"/>
      <c r="AN109" s="105"/>
      <c r="AO109" s="106">
        <f>M109-A109</f>
        <v>90</v>
      </c>
      <c r="AP109" s="106">
        <f>M109-AI109</f>
        <v>76</v>
      </c>
      <c r="AQ109" s="121"/>
      <c r="AR109" s="121"/>
      <c r="AS109" s="121"/>
    </row>
    <row r="110" s="89" customFormat="1" hidden="1" customHeight="1" spans="1:45">
      <c r="A110" s="93">
        <v>46010</v>
      </c>
      <c r="B110" s="93" t="str">
        <f ca="1">IF(TODAY()&gt;=A110,IF(R110="","未",""),"")</f>
        <v/>
      </c>
      <c r="C110" s="95" t="s">
        <v>237</v>
      </c>
      <c r="D110" s="93" t="s">
        <v>427</v>
      </c>
      <c r="E110" s="95" t="s">
        <v>428</v>
      </c>
      <c r="F110" s="96">
        <v>10117456</v>
      </c>
      <c r="G110" s="96">
        <v>202535170055</v>
      </c>
      <c r="H110" s="97" t="s">
        <v>88</v>
      </c>
      <c r="I110" s="98" t="str">
        <f>IFERROR(VLOOKUP(H110,名称!A:C,2,0),"")</f>
        <v>杯子</v>
      </c>
      <c r="J110" s="99">
        <v>20016</v>
      </c>
      <c r="K110" s="98">
        <f>IFERROR(VLOOKUP(H110,名称!A:D,3,0),"")</f>
        <v>18</v>
      </c>
      <c r="L110" s="100">
        <f>IFERROR((J110/K110),"")</f>
        <v>1112</v>
      </c>
      <c r="M110" s="93">
        <v>46092</v>
      </c>
      <c r="N110" s="93">
        <f>M110-2</f>
        <v>46090</v>
      </c>
      <c r="O110" s="93">
        <v>46079</v>
      </c>
      <c r="P110" s="93" t="s">
        <v>686</v>
      </c>
      <c r="Q110" s="97" t="s">
        <v>430</v>
      </c>
      <c r="R110" s="97" t="s">
        <v>713</v>
      </c>
      <c r="S110" s="93"/>
      <c r="T110" s="93"/>
      <c r="U110" s="93"/>
      <c r="V110" s="93"/>
      <c r="W110" s="97"/>
      <c r="X110" s="100"/>
      <c r="Y110" s="102">
        <v>0.963</v>
      </c>
      <c r="Z110" s="103">
        <f t="shared" si="8"/>
        <v>19275.41</v>
      </c>
      <c r="AA110" s="103">
        <f t="shared" si="9"/>
        <v>149384.43</v>
      </c>
      <c r="AB110" s="58" t="s">
        <v>702</v>
      </c>
      <c r="AC110" s="93"/>
      <c r="AD110" s="93"/>
      <c r="AE110" s="93" t="str">
        <f>IFERROR(VLOOKUP(H110,名称!A:D,4,0),"")</f>
        <v>KIK</v>
      </c>
      <c r="AF110" s="98"/>
      <c r="AG110" s="105"/>
      <c r="AH110" s="105">
        <v>46044</v>
      </c>
      <c r="AI110" s="105">
        <v>46021</v>
      </c>
      <c r="AJ110" s="105"/>
      <c r="AK110" s="105"/>
      <c r="AL110" s="105"/>
      <c r="AM110" s="105"/>
      <c r="AN110" s="105">
        <v>46018</v>
      </c>
      <c r="AO110" s="106">
        <f>M110-A110</f>
        <v>82</v>
      </c>
      <c r="AP110" s="106">
        <f>M110-AI110</f>
        <v>71</v>
      </c>
      <c r="AQ110" s="121"/>
      <c r="AR110" s="121"/>
      <c r="AS110" s="121"/>
    </row>
    <row r="111" s="89" customFormat="1" hidden="1" customHeight="1" spans="1:45">
      <c r="A111" s="93">
        <v>46077</v>
      </c>
      <c r="B111" s="93" t="str">
        <f ca="1" t="shared" si="10"/>
        <v/>
      </c>
      <c r="C111" s="95" t="s">
        <v>248</v>
      </c>
      <c r="D111" s="93" t="s">
        <v>421</v>
      </c>
      <c r="E111" s="95" t="s">
        <v>446</v>
      </c>
      <c r="F111" s="96">
        <v>10120977</v>
      </c>
      <c r="G111" s="96" t="s">
        <v>256</v>
      </c>
      <c r="H111" s="97" t="s">
        <v>113</v>
      </c>
      <c r="I111" s="98" t="str">
        <f>IFERROR(VLOOKUP(H111,名称!A:C,2,0),"")</f>
        <v>绿色铲车</v>
      </c>
      <c r="J111" s="99">
        <v>9</v>
      </c>
      <c r="K111" s="98">
        <f>IFERROR(VLOOKUP(H111,名称!A:D,3,0),"")</f>
        <v>2</v>
      </c>
      <c r="L111" s="100">
        <f t="shared" si="7"/>
        <v>4.5</v>
      </c>
      <c r="M111" s="93">
        <v>46092</v>
      </c>
      <c r="N111" s="93">
        <f t="shared" si="11"/>
        <v>46090</v>
      </c>
      <c r="O111" s="93">
        <v>46094</v>
      </c>
      <c r="P111" s="93" t="s">
        <v>680</v>
      </c>
      <c r="Q111" s="97" t="s">
        <v>424</v>
      </c>
      <c r="R111" s="97" t="s">
        <v>703</v>
      </c>
      <c r="S111" s="93"/>
      <c r="T111" s="93" t="s">
        <v>452</v>
      </c>
      <c r="U111" s="93"/>
      <c r="V111" s="93"/>
      <c r="W111" s="97"/>
      <c r="X111" s="123" t="s">
        <v>693</v>
      </c>
      <c r="Y111" s="102">
        <v>5.9</v>
      </c>
      <c r="Z111" s="103">
        <f t="shared" si="8"/>
        <v>53.1</v>
      </c>
      <c r="AA111" s="103">
        <f t="shared" si="9"/>
        <v>411.53</v>
      </c>
      <c r="AB111" s="58" t="s">
        <v>714</v>
      </c>
      <c r="AC111" s="93"/>
      <c r="AD111" s="93"/>
      <c r="AE111" s="93" t="str">
        <f>IFERROR(VLOOKUP(H111,名称!A:D,4,0),"")</f>
        <v>KIK</v>
      </c>
      <c r="AF111" s="98"/>
      <c r="AG111" s="105"/>
      <c r="AH111" s="105"/>
      <c r="AI111" s="105"/>
      <c r="AJ111" s="105"/>
      <c r="AK111" s="105"/>
      <c r="AL111" s="105"/>
      <c r="AM111" s="105"/>
      <c r="AN111" s="105"/>
      <c r="AO111" s="106">
        <f t="shared" si="12"/>
        <v>15</v>
      </c>
      <c r="AP111" s="106">
        <f t="shared" si="13"/>
        <v>46092</v>
      </c>
    </row>
    <row r="112" s="89" customFormat="1" hidden="1" customHeight="1" spans="1:45">
      <c r="A112" s="93">
        <v>46088</v>
      </c>
      <c r="B112" s="93" t="str">
        <f ca="1" t="shared" si="10"/>
        <v/>
      </c>
      <c r="C112" s="95" t="s">
        <v>248</v>
      </c>
      <c r="D112" s="93" t="s">
        <v>421</v>
      </c>
      <c r="E112" s="95" t="s">
        <v>422</v>
      </c>
      <c r="F112" s="96">
        <v>10121649</v>
      </c>
      <c r="G112" s="96" t="s">
        <v>257</v>
      </c>
      <c r="H112" s="97" t="s">
        <v>89</v>
      </c>
      <c r="I112" s="98" t="str">
        <f>IFERROR(VLOOKUP(H112,名称!A:C,2,0),"")</f>
        <v>马里奥能量蘑菇吸塑混装</v>
      </c>
      <c r="J112" s="99">
        <v>4</v>
      </c>
      <c r="K112" s="98">
        <f>IFERROR(VLOOKUP(H112,名称!A:D,3,0),"")</f>
        <v>6</v>
      </c>
      <c r="L112" s="100">
        <f t="shared" si="7"/>
        <v>0.666666666666667</v>
      </c>
      <c r="M112" s="93">
        <v>46094</v>
      </c>
      <c r="N112" s="93">
        <f t="shared" si="11"/>
        <v>46092</v>
      </c>
      <c r="O112" s="93">
        <v>46108</v>
      </c>
      <c r="P112" s="93" t="s">
        <v>680</v>
      </c>
      <c r="Q112" s="97" t="s">
        <v>424</v>
      </c>
      <c r="R112" s="97" t="s">
        <v>700</v>
      </c>
      <c r="S112" s="93"/>
      <c r="T112" s="93"/>
      <c r="U112" s="93"/>
      <c r="V112" s="93"/>
      <c r="W112" s="97"/>
      <c r="X112" s="100"/>
      <c r="Y112" s="102">
        <v>1.337</v>
      </c>
      <c r="Z112" s="103">
        <f t="shared" si="8"/>
        <v>5.35</v>
      </c>
      <c r="AA112" s="103">
        <f t="shared" si="9"/>
        <v>41.46</v>
      </c>
      <c r="AB112" s="58" t="s">
        <v>715</v>
      </c>
      <c r="AC112" s="93"/>
      <c r="AD112" s="93"/>
      <c r="AE112" s="93" t="str">
        <f>IFERROR(VLOOKUP(H112,名称!A:D,4,0),"")</f>
        <v>KIK</v>
      </c>
      <c r="AF112" s="98"/>
      <c r="AG112" s="105"/>
      <c r="AH112" s="105"/>
      <c r="AI112" s="105"/>
      <c r="AJ112" s="105"/>
      <c r="AK112" s="105"/>
      <c r="AL112" s="105"/>
      <c r="AM112" s="105"/>
      <c r="AN112" s="105"/>
      <c r="AO112" s="106">
        <f t="shared" si="12"/>
        <v>6</v>
      </c>
      <c r="AP112" s="106">
        <f t="shared" si="13"/>
        <v>46094</v>
      </c>
    </row>
    <row r="113" s="89" customFormat="1" hidden="1" customHeight="1" spans="1:43">
      <c r="A113" s="93">
        <v>46088</v>
      </c>
      <c r="B113" s="93" t="str">
        <f ca="1" t="shared" si="10"/>
        <v/>
      </c>
      <c r="C113" s="95" t="s">
        <v>248</v>
      </c>
      <c r="D113" s="93" t="s">
        <v>421</v>
      </c>
      <c r="E113" s="95" t="s">
        <v>422</v>
      </c>
      <c r="F113" s="96">
        <v>10121649</v>
      </c>
      <c r="G113" s="96" t="s">
        <v>257</v>
      </c>
      <c r="H113" s="97" t="s">
        <v>95</v>
      </c>
      <c r="I113" s="98" t="str">
        <f>IFERROR(VLOOKUP(H113,名称!A:C,2,0),"")</f>
        <v>宝箱马里奥</v>
      </c>
      <c r="J113" s="99">
        <v>4</v>
      </c>
      <c r="K113" s="98">
        <f>IFERROR(VLOOKUP(H113,名称!A:D,3,0),"")</f>
        <v>4</v>
      </c>
      <c r="L113" s="100">
        <f t="shared" si="7"/>
        <v>1</v>
      </c>
      <c r="M113" s="93">
        <v>46094</v>
      </c>
      <c r="N113" s="93">
        <f t="shared" si="11"/>
        <v>46092</v>
      </c>
      <c r="O113" s="93">
        <v>46108</v>
      </c>
      <c r="P113" s="93" t="s">
        <v>680</v>
      </c>
      <c r="Q113" s="97" t="s">
        <v>424</v>
      </c>
      <c r="R113" s="97" t="s">
        <v>700</v>
      </c>
      <c r="S113" s="93"/>
      <c r="T113" s="93"/>
      <c r="U113" s="93"/>
      <c r="V113" s="93"/>
      <c r="W113" s="97"/>
      <c r="X113" s="100"/>
      <c r="Y113" s="102">
        <v>2.158</v>
      </c>
      <c r="Z113" s="103">
        <f t="shared" si="8"/>
        <v>8.63</v>
      </c>
      <c r="AA113" s="103">
        <f t="shared" si="9"/>
        <v>66.88</v>
      </c>
      <c r="AB113" s="58" t="s">
        <v>715</v>
      </c>
      <c r="AC113" s="93"/>
      <c r="AD113" s="93"/>
      <c r="AE113" s="93" t="str">
        <f>IFERROR(VLOOKUP(H113,名称!A:D,4,0),"")</f>
        <v>KIK</v>
      </c>
      <c r="AF113" s="98"/>
      <c r="AG113" s="105"/>
      <c r="AH113" s="105"/>
      <c r="AI113" s="105"/>
      <c r="AJ113" s="105"/>
      <c r="AK113" s="105"/>
      <c r="AL113" s="105"/>
      <c r="AM113" s="105"/>
      <c r="AN113" s="105"/>
      <c r="AO113" s="106">
        <f t="shared" si="12"/>
        <v>6</v>
      </c>
      <c r="AP113" s="106">
        <f t="shared" si="13"/>
        <v>46094</v>
      </c>
    </row>
    <row r="114" s="89" customFormat="1" hidden="1" customHeight="1" spans="1:43">
      <c r="A114" s="93">
        <v>46088</v>
      </c>
      <c r="B114" s="93" t="str">
        <f ca="1" t="shared" si="10"/>
        <v/>
      </c>
      <c r="C114" s="95" t="s">
        <v>248</v>
      </c>
      <c r="D114" s="93" t="s">
        <v>421</v>
      </c>
      <c r="E114" s="95" t="s">
        <v>422</v>
      </c>
      <c r="F114" s="96">
        <v>10121649</v>
      </c>
      <c r="G114" s="96" t="s">
        <v>257</v>
      </c>
      <c r="H114" s="97" t="s">
        <v>97</v>
      </c>
      <c r="I114" s="98" t="str">
        <f>IFERROR(VLOOKUP(H114,名称!A:C,2,0),"")</f>
        <v>管道马里奥</v>
      </c>
      <c r="J114" s="99">
        <v>4</v>
      </c>
      <c r="K114" s="98">
        <f>IFERROR(VLOOKUP(H114,名称!A:D,3,0),"")</f>
        <v>4</v>
      </c>
      <c r="L114" s="100">
        <f t="shared" si="7"/>
        <v>1</v>
      </c>
      <c r="M114" s="93">
        <v>46094</v>
      </c>
      <c r="N114" s="93">
        <f t="shared" si="11"/>
        <v>46092</v>
      </c>
      <c r="O114" s="93">
        <v>46108</v>
      </c>
      <c r="P114" s="93" t="s">
        <v>680</v>
      </c>
      <c r="Q114" s="97" t="s">
        <v>424</v>
      </c>
      <c r="R114" s="97" t="s">
        <v>700</v>
      </c>
      <c r="S114" s="93"/>
      <c r="T114" s="93"/>
      <c r="U114" s="93"/>
      <c r="V114" s="93"/>
      <c r="W114" s="97"/>
      <c r="X114" s="100"/>
      <c r="Y114" s="102">
        <v>3.216</v>
      </c>
      <c r="Z114" s="103">
        <f t="shared" si="8"/>
        <v>12.86</v>
      </c>
      <c r="AA114" s="103">
        <f t="shared" si="9"/>
        <v>99.67</v>
      </c>
      <c r="AB114" s="58" t="s">
        <v>715</v>
      </c>
      <c r="AC114" s="93"/>
      <c r="AD114" s="93"/>
      <c r="AE114" s="93" t="str">
        <f>IFERROR(VLOOKUP(H114,名称!A:D,4,0),"")</f>
        <v>KIK</v>
      </c>
      <c r="AF114" s="98"/>
      <c r="AG114" s="105"/>
      <c r="AH114" s="105"/>
      <c r="AI114" s="105"/>
      <c r="AJ114" s="105"/>
      <c r="AK114" s="105"/>
      <c r="AL114" s="105"/>
      <c r="AM114" s="105"/>
      <c r="AN114" s="105"/>
      <c r="AO114" s="106">
        <f t="shared" si="12"/>
        <v>6</v>
      </c>
      <c r="AP114" s="106">
        <f t="shared" si="13"/>
        <v>46094</v>
      </c>
    </row>
    <row r="115" s="89" customFormat="1" hidden="1" customHeight="1" spans="1:43">
      <c r="A115" s="93">
        <v>46088</v>
      </c>
      <c r="B115" s="93" t="str">
        <f ca="1" t="shared" si="10"/>
        <v/>
      </c>
      <c r="C115" s="95" t="s">
        <v>248</v>
      </c>
      <c r="D115" s="93" t="s">
        <v>421</v>
      </c>
      <c r="E115" s="95" t="s">
        <v>422</v>
      </c>
      <c r="F115" s="96">
        <v>10121649</v>
      </c>
      <c r="G115" s="96" t="s">
        <v>257</v>
      </c>
      <c r="H115" s="97" t="s">
        <v>141</v>
      </c>
      <c r="I115" s="98" t="str">
        <f>IFERROR(VLOOKUP(H115,名称!A:C,2,0),"")</f>
        <v>马里奥能量蘑菇密封盒混装</v>
      </c>
      <c r="J115" s="99">
        <v>4</v>
      </c>
      <c r="K115" s="98">
        <f>IFERROR(VLOOKUP(H115,名称!A:D,3,0),"")</f>
        <v>6</v>
      </c>
      <c r="L115" s="100">
        <f t="shared" si="7"/>
        <v>0.666666666666667</v>
      </c>
      <c r="M115" s="93">
        <v>46094</v>
      </c>
      <c r="N115" s="93">
        <f t="shared" si="11"/>
        <v>46092</v>
      </c>
      <c r="O115" s="93">
        <v>46108</v>
      </c>
      <c r="P115" s="93" t="s">
        <v>680</v>
      </c>
      <c r="Q115" s="97" t="s">
        <v>424</v>
      </c>
      <c r="R115" s="97" t="s">
        <v>700</v>
      </c>
      <c r="S115" s="93"/>
      <c r="T115" s="93"/>
      <c r="U115" s="93"/>
      <c r="V115" s="93"/>
      <c r="W115" s="97"/>
      <c r="X115" s="100"/>
      <c r="Y115" s="102">
        <v>2.357</v>
      </c>
      <c r="Z115" s="103">
        <f t="shared" si="8"/>
        <v>9.43</v>
      </c>
      <c r="AA115" s="103">
        <f t="shared" si="9"/>
        <v>73.08</v>
      </c>
      <c r="AB115" s="58" t="s">
        <v>715</v>
      </c>
      <c r="AC115" s="93"/>
      <c r="AD115" s="93"/>
      <c r="AE115" s="93" t="str">
        <f>IFERROR(VLOOKUP(H115,名称!A:D,4,0),"")</f>
        <v>KIK</v>
      </c>
      <c r="AF115" s="98"/>
      <c r="AG115" s="105"/>
      <c r="AH115" s="105"/>
      <c r="AI115" s="105"/>
      <c r="AJ115" s="105"/>
      <c r="AK115" s="105"/>
      <c r="AL115" s="105"/>
      <c r="AM115" s="105"/>
      <c r="AN115" s="105"/>
      <c r="AO115" s="106">
        <f t="shared" si="12"/>
        <v>6</v>
      </c>
      <c r="AP115" s="106">
        <f t="shared" si="13"/>
        <v>46094</v>
      </c>
    </row>
    <row r="116" s="89" customFormat="1" hidden="1" customHeight="1" spans="1:43">
      <c r="A116" s="93">
        <v>45944</v>
      </c>
      <c r="B116" s="93" t="str">
        <f ca="1" t="shared" si="10"/>
        <v/>
      </c>
      <c r="C116" s="95" t="s">
        <v>236</v>
      </c>
      <c r="D116" s="93" t="s">
        <v>442</v>
      </c>
      <c r="E116" s="95" t="s">
        <v>443</v>
      </c>
      <c r="F116" s="96">
        <v>10112872</v>
      </c>
      <c r="G116" s="96">
        <v>20218687</v>
      </c>
      <c r="H116" s="97" t="s">
        <v>31</v>
      </c>
      <c r="I116" s="98" t="str">
        <f>IFERROR(VLOOKUP(H116,名称!A:C,2,0),"")</f>
        <v>1:16收割机</v>
      </c>
      <c r="J116" s="99">
        <v>120</v>
      </c>
      <c r="K116" s="98">
        <f>IFERROR(VLOOKUP(H116,名称!A:D,3,0),"")</f>
        <v>1</v>
      </c>
      <c r="L116" s="100">
        <f t="shared" si="7"/>
        <v>120</v>
      </c>
      <c r="M116" s="93">
        <v>46113</v>
      </c>
      <c r="N116" s="93">
        <f t="shared" si="11"/>
        <v>46111</v>
      </c>
      <c r="O116" s="93" t="s">
        <v>679</v>
      </c>
      <c r="P116" s="93" t="s">
        <v>680</v>
      </c>
      <c r="Q116" s="97" t="s">
        <v>430</v>
      </c>
      <c r="R116" s="97" t="s">
        <v>681</v>
      </c>
      <c r="S116" s="93"/>
      <c r="T116" s="93" t="s">
        <v>452</v>
      </c>
      <c r="U116" s="93"/>
      <c r="V116" s="93"/>
      <c r="W116" s="97"/>
      <c r="X116" s="100"/>
      <c r="Y116" s="102">
        <v>29.801</v>
      </c>
      <c r="Z116" s="103">
        <f t="shared" si="8"/>
        <v>3576.12</v>
      </c>
      <c r="AA116" s="103">
        <f t="shared" si="9"/>
        <v>27714.93</v>
      </c>
      <c r="AB116" s="58" t="s">
        <v>716</v>
      </c>
      <c r="AC116" s="93"/>
      <c r="AD116" s="93"/>
      <c r="AE116" s="93" t="str">
        <f>IFERROR(VLOOKUP(H116,名称!A:D,4,0),"")</f>
        <v>KIK</v>
      </c>
      <c r="AF116" s="98"/>
      <c r="AG116" s="105"/>
      <c r="AH116" s="105"/>
      <c r="AI116" s="105">
        <v>45785</v>
      </c>
      <c r="AJ116" s="105"/>
      <c r="AK116" s="105"/>
      <c r="AL116" s="105"/>
      <c r="AM116" s="105"/>
      <c r="AN116" s="105"/>
      <c r="AO116" s="105">
        <v>46000</v>
      </c>
      <c r="AP116" s="100">
        <f t="shared" ref="AP116:AP129" si="15">M116-A116</f>
        <v>169</v>
      </c>
      <c r="AQ116" s="100">
        <f t="shared" ref="AQ116:AQ129" si="16">M116-AI116</f>
        <v>328</v>
      </c>
    </row>
    <row r="117" s="89" customFormat="1" hidden="1" customHeight="1" spans="1:43">
      <c r="A117" s="93">
        <v>45975</v>
      </c>
      <c r="B117" s="93" t="str">
        <f ca="1" t="shared" si="10"/>
        <v/>
      </c>
      <c r="C117" s="95" t="s">
        <v>236</v>
      </c>
      <c r="D117" s="93" t="s">
        <v>442</v>
      </c>
      <c r="E117" s="95" t="s">
        <v>443</v>
      </c>
      <c r="F117" s="96">
        <v>10114959</v>
      </c>
      <c r="G117" s="96">
        <v>20218755</v>
      </c>
      <c r="H117" s="97" t="s">
        <v>109</v>
      </c>
      <c r="I117" s="98" t="str">
        <f>IFERROR(VLOOKUP(H117,名称!A:C,2,0),"")</f>
        <v>红色铲车</v>
      </c>
      <c r="J117" s="99">
        <f>360+60</f>
        <v>420</v>
      </c>
      <c r="K117" s="98">
        <f>IFERROR(VLOOKUP(H117,名称!A:D,3,0),"")</f>
        <v>4</v>
      </c>
      <c r="L117" s="100">
        <f t="shared" si="7"/>
        <v>105</v>
      </c>
      <c r="M117" s="93">
        <v>46113</v>
      </c>
      <c r="N117" s="93">
        <f t="shared" si="11"/>
        <v>46111</v>
      </c>
      <c r="O117" s="93">
        <v>46093</v>
      </c>
      <c r="P117" s="93" t="s">
        <v>680</v>
      </c>
      <c r="Q117" s="97" t="s">
        <v>430</v>
      </c>
      <c r="R117" s="97" t="s">
        <v>703</v>
      </c>
      <c r="S117" s="93"/>
      <c r="T117" s="93"/>
      <c r="U117" s="93"/>
      <c r="V117" s="93"/>
      <c r="W117" s="97"/>
      <c r="X117" s="100" t="s">
        <v>704</v>
      </c>
      <c r="Y117" s="102">
        <v>3.886</v>
      </c>
      <c r="Z117" s="103">
        <f t="shared" si="8"/>
        <v>1632.12</v>
      </c>
      <c r="AA117" s="103">
        <f t="shared" si="9"/>
        <v>12648.93</v>
      </c>
      <c r="AB117" s="58" t="s">
        <v>716</v>
      </c>
      <c r="AC117" s="93"/>
      <c r="AD117" s="93"/>
      <c r="AE117" s="93" t="str">
        <f>IFERROR(VLOOKUP(H117,名称!A:D,4,0),"")</f>
        <v>KIK</v>
      </c>
      <c r="AF117" s="98"/>
      <c r="AG117" s="105"/>
      <c r="AH117" s="105">
        <v>46062</v>
      </c>
      <c r="AI117" s="105">
        <v>46038</v>
      </c>
      <c r="AJ117" s="105"/>
      <c r="AK117" s="105"/>
      <c r="AL117" s="105"/>
      <c r="AM117" s="105"/>
      <c r="AN117" s="105"/>
      <c r="AO117" s="105">
        <v>46029</v>
      </c>
      <c r="AP117" s="100">
        <f t="shared" si="15"/>
        <v>138</v>
      </c>
      <c r="AQ117" s="100">
        <f t="shared" si="16"/>
        <v>75</v>
      </c>
    </row>
    <row r="118" s="89" customFormat="1" hidden="1" customHeight="1" spans="1:43">
      <c r="A118" s="93">
        <v>45975</v>
      </c>
      <c r="B118" s="93" t="str">
        <f ca="1" t="shared" si="10"/>
        <v/>
      </c>
      <c r="C118" s="95" t="s">
        <v>236</v>
      </c>
      <c r="D118" s="93" t="s">
        <v>442</v>
      </c>
      <c r="E118" s="95" t="s">
        <v>443</v>
      </c>
      <c r="F118" s="96">
        <v>10114959</v>
      </c>
      <c r="G118" s="96">
        <v>20218755</v>
      </c>
      <c r="H118" s="97" t="s">
        <v>111</v>
      </c>
      <c r="I118" s="98" t="str">
        <f>IFERROR(VLOOKUP(H118,名称!A:C,2,0),"")</f>
        <v>黄色铲车</v>
      </c>
      <c r="J118" s="99">
        <v>240</v>
      </c>
      <c r="K118" s="98">
        <f>IFERROR(VLOOKUP(H118,名称!A:D,3,0),"")</f>
        <v>4</v>
      </c>
      <c r="L118" s="100">
        <f t="shared" si="7"/>
        <v>60</v>
      </c>
      <c r="M118" s="93">
        <v>46113</v>
      </c>
      <c r="N118" s="93">
        <f t="shared" si="11"/>
        <v>46111</v>
      </c>
      <c r="O118" s="93">
        <v>46092</v>
      </c>
      <c r="P118" s="93" t="s">
        <v>680</v>
      </c>
      <c r="Q118" s="97" t="s">
        <v>430</v>
      </c>
      <c r="R118" s="97" t="s">
        <v>703</v>
      </c>
      <c r="S118" s="93"/>
      <c r="T118" s="93" t="s">
        <v>452</v>
      </c>
      <c r="U118" s="93"/>
      <c r="V118" s="93"/>
      <c r="W118" s="97"/>
      <c r="X118" s="100"/>
      <c r="Y118" s="102">
        <v>3.816</v>
      </c>
      <c r="Z118" s="103">
        <f t="shared" si="8"/>
        <v>915.84</v>
      </c>
      <c r="AA118" s="103">
        <f t="shared" si="9"/>
        <v>7097.76</v>
      </c>
      <c r="AB118" s="58" t="s">
        <v>716</v>
      </c>
      <c r="AC118" s="93"/>
      <c r="AD118" s="93"/>
      <c r="AE118" s="93" t="str">
        <f>IFERROR(VLOOKUP(H118,名称!A:D,4,0),"")</f>
        <v>KIK</v>
      </c>
      <c r="AF118" s="98"/>
      <c r="AG118" s="105"/>
      <c r="AH118" s="105">
        <v>46062</v>
      </c>
      <c r="AI118" s="105">
        <v>46038</v>
      </c>
      <c r="AJ118" s="105"/>
      <c r="AK118" s="105"/>
      <c r="AL118" s="105"/>
      <c r="AM118" s="105"/>
      <c r="AN118" s="105"/>
      <c r="AO118" s="105">
        <v>46029</v>
      </c>
      <c r="AP118" s="100">
        <f t="shared" si="15"/>
        <v>138</v>
      </c>
      <c r="AQ118" s="100">
        <f t="shared" si="16"/>
        <v>75</v>
      </c>
    </row>
    <row r="119" s="89" customFormat="1" hidden="1" customHeight="1" spans="1:43">
      <c r="A119" s="93">
        <v>45975</v>
      </c>
      <c r="B119" s="93" t="str">
        <f ca="1" t="shared" si="10"/>
        <v/>
      </c>
      <c r="C119" s="95" t="s">
        <v>236</v>
      </c>
      <c r="D119" s="93" t="s">
        <v>442</v>
      </c>
      <c r="E119" s="95" t="s">
        <v>443</v>
      </c>
      <c r="F119" s="96">
        <v>10114959</v>
      </c>
      <c r="G119" s="96">
        <v>20218755</v>
      </c>
      <c r="H119" s="97" t="s">
        <v>113</v>
      </c>
      <c r="I119" s="98" t="str">
        <f>IFERROR(VLOOKUP(H119,名称!A:C,2,0),"")</f>
        <v>绿色铲车</v>
      </c>
      <c r="J119" s="99">
        <v>720</v>
      </c>
      <c r="K119" s="98">
        <f>IFERROR(VLOOKUP(H119,名称!A:D,3,0),"")</f>
        <v>2</v>
      </c>
      <c r="L119" s="100">
        <f t="shared" si="7"/>
        <v>360</v>
      </c>
      <c r="M119" s="93">
        <v>46113</v>
      </c>
      <c r="N119" s="93">
        <f t="shared" si="11"/>
        <v>46111</v>
      </c>
      <c r="O119" s="93">
        <v>46094</v>
      </c>
      <c r="P119" s="93" t="s">
        <v>680</v>
      </c>
      <c r="Q119" s="97" t="s">
        <v>430</v>
      </c>
      <c r="R119" s="97" t="s">
        <v>703</v>
      </c>
      <c r="S119" s="93"/>
      <c r="T119" s="93" t="s">
        <v>452</v>
      </c>
      <c r="U119" s="93"/>
      <c r="V119" s="93"/>
      <c r="W119" s="97"/>
      <c r="X119" s="100"/>
      <c r="Y119" s="102">
        <v>6.154</v>
      </c>
      <c r="Z119" s="103">
        <f t="shared" si="8"/>
        <v>4430.88</v>
      </c>
      <c r="AA119" s="103">
        <f t="shared" si="9"/>
        <v>34339.32</v>
      </c>
      <c r="AB119" s="58" t="s">
        <v>716</v>
      </c>
      <c r="AC119" s="93"/>
      <c r="AD119" s="93"/>
      <c r="AE119" s="93" t="str">
        <f>IFERROR(VLOOKUP(H119,名称!A:D,4,0),"")</f>
        <v>KIK</v>
      </c>
      <c r="AF119" s="98"/>
      <c r="AG119" s="105"/>
      <c r="AH119" s="105">
        <v>46062</v>
      </c>
      <c r="AI119" s="105">
        <v>46038</v>
      </c>
      <c r="AJ119" s="105"/>
      <c r="AK119" s="105"/>
      <c r="AL119" s="105"/>
      <c r="AM119" s="105"/>
      <c r="AN119" s="105"/>
      <c r="AO119" s="105">
        <v>46029</v>
      </c>
      <c r="AP119" s="100">
        <f t="shared" si="15"/>
        <v>138</v>
      </c>
      <c r="AQ119" s="100">
        <f t="shared" si="16"/>
        <v>75</v>
      </c>
    </row>
    <row r="120" s="89" customFormat="1" hidden="1" customHeight="1" spans="1:43">
      <c r="A120" s="93">
        <v>45975</v>
      </c>
      <c r="B120" s="93" t="str">
        <f ca="1" t="shared" si="10"/>
        <v/>
      </c>
      <c r="C120" s="95" t="s">
        <v>236</v>
      </c>
      <c r="D120" s="93" t="s">
        <v>442</v>
      </c>
      <c r="E120" s="95" t="s">
        <v>443</v>
      </c>
      <c r="F120" s="96">
        <v>10114959</v>
      </c>
      <c r="G120" s="96">
        <v>20218755</v>
      </c>
      <c r="H120" s="97" t="s">
        <v>105</v>
      </c>
      <c r="I120" s="98" t="str">
        <f>IFERROR(VLOOKUP(H120,名称!A:C,2,0),"")</f>
        <v>农场男孩套装</v>
      </c>
      <c r="J120" s="99">
        <v>2000</v>
      </c>
      <c r="K120" s="98">
        <f>IFERROR(VLOOKUP(H120,名称!A:D,3,0),"")</f>
        <v>4</v>
      </c>
      <c r="L120" s="100">
        <f t="shared" si="7"/>
        <v>500</v>
      </c>
      <c r="M120" s="93">
        <v>46113</v>
      </c>
      <c r="N120" s="93">
        <f t="shared" si="11"/>
        <v>46111</v>
      </c>
      <c r="O120" s="93">
        <v>46111</v>
      </c>
      <c r="P120" s="93" t="s">
        <v>680</v>
      </c>
      <c r="Q120" s="97" t="s">
        <v>430</v>
      </c>
      <c r="R120" s="97" t="s">
        <v>707</v>
      </c>
      <c r="S120" s="93"/>
      <c r="T120" s="93" t="s">
        <v>452</v>
      </c>
      <c r="U120" s="93"/>
      <c r="V120" s="93"/>
      <c r="W120" s="97"/>
      <c r="X120" s="100"/>
      <c r="Y120" s="102">
        <v>2.994</v>
      </c>
      <c r="Z120" s="103">
        <f t="shared" si="8"/>
        <v>5988</v>
      </c>
      <c r="AA120" s="103">
        <f t="shared" si="9"/>
        <v>46407</v>
      </c>
      <c r="AB120" s="58" t="s">
        <v>716</v>
      </c>
      <c r="AC120" s="93"/>
      <c r="AD120" s="93"/>
      <c r="AE120" s="93" t="str">
        <f>IFERROR(VLOOKUP(H120,名称!A:D,4,0),"")</f>
        <v>KIK</v>
      </c>
      <c r="AF120" s="98"/>
      <c r="AG120" s="105"/>
      <c r="AH120" s="105">
        <v>46062</v>
      </c>
      <c r="AI120" s="105">
        <v>46038</v>
      </c>
      <c r="AJ120" s="105">
        <v>46059</v>
      </c>
      <c r="AK120" s="105"/>
      <c r="AL120" s="105"/>
      <c r="AM120" s="105"/>
      <c r="AN120" s="105"/>
      <c r="AO120" s="105">
        <v>46029</v>
      </c>
      <c r="AP120" s="100">
        <f t="shared" si="15"/>
        <v>138</v>
      </c>
      <c r="AQ120" s="100">
        <f t="shared" si="16"/>
        <v>75</v>
      </c>
    </row>
    <row r="121" s="89" customFormat="1" hidden="1" customHeight="1" spans="1:43">
      <c r="A121" s="93">
        <v>45941</v>
      </c>
      <c r="B121" s="93" t="str">
        <f ca="1" t="shared" si="10"/>
        <v/>
      </c>
      <c r="C121" s="95" t="s">
        <v>236</v>
      </c>
      <c r="D121" s="93" t="s">
        <v>442</v>
      </c>
      <c r="E121" s="95" t="s">
        <v>443</v>
      </c>
      <c r="F121" s="96">
        <v>10112821</v>
      </c>
      <c r="G121" s="96">
        <v>20218672</v>
      </c>
      <c r="H121" s="97" t="s">
        <v>53</v>
      </c>
      <c r="I121" s="98" t="str">
        <f>IFERROR(VLOOKUP(H121,名称!A:C,2,0),"")</f>
        <v>布鲁伊+宾果沐浴玩具混装</v>
      </c>
      <c r="J121" s="99">
        <v>3000</v>
      </c>
      <c r="K121" s="98">
        <f>IFERROR(VLOOKUP(H121,名称!A:D,3,0),"")</f>
        <v>6</v>
      </c>
      <c r="L121" s="100">
        <f t="shared" si="7"/>
        <v>500</v>
      </c>
      <c r="M121" s="93">
        <v>46113</v>
      </c>
      <c r="N121" s="93">
        <f t="shared" si="11"/>
        <v>46111</v>
      </c>
      <c r="O121" s="93">
        <v>46090</v>
      </c>
      <c r="P121" s="93" t="s">
        <v>680</v>
      </c>
      <c r="Q121" s="97" t="s">
        <v>430</v>
      </c>
      <c r="R121" s="97" t="s">
        <v>696</v>
      </c>
      <c r="S121" s="93"/>
      <c r="T121" s="93"/>
      <c r="U121" s="93"/>
      <c r="V121" s="93"/>
      <c r="W121" s="97"/>
      <c r="X121" s="100"/>
      <c r="Y121" s="102">
        <v>1.398</v>
      </c>
      <c r="Z121" s="103">
        <f t="shared" si="8"/>
        <v>4194</v>
      </c>
      <c r="AA121" s="103">
        <f t="shared" si="9"/>
        <v>32503.5</v>
      </c>
      <c r="AB121" s="58" t="s">
        <v>716</v>
      </c>
      <c r="AC121" s="93"/>
      <c r="AD121" s="93"/>
      <c r="AE121" s="93" t="str">
        <f>IFERROR(VLOOKUP(H121,名称!A:D,4,0),"")</f>
        <v>KIK</v>
      </c>
      <c r="AF121" s="98"/>
      <c r="AG121" s="105"/>
      <c r="AH121" s="105"/>
      <c r="AI121" s="105">
        <v>45911</v>
      </c>
      <c r="AJ121" s="105"/>
      <c r="AK121" s="105"/>
      <c r="AL121" s="105"/>
      <c r="AM121" s="105"/>
      <c r="AN121" s="105"/>
      <c r="AO121" s="105"/>
      <c r="AP121" s="100">
        <f t="shared" si="15"/>
        <v>172</v>
      </c>
      <c r="AQ121" s="100">
        <f t="shared" si="16"/>
        <v>202</v>
      </c>
    </row>
    <row r="122" s="89" customFormat="1" hidden="1" customHeight="1" spans="1:43">
      <c r="A122" s="93">
        <v>45882</v>
      </c>
      <c r="B122" s="93" t="str">
        <f ca="1" t="shared" si="10"/>
        <v/>
      </c>
      <c r="C122" s="95" t="s">
        <v>236</v>
      </c>
      <c r="D122" s="93" t="s">
        <v>442</v>
      </c>
      <c r="E122" s="95" t="s">
        <v>519</v>
      </c>
      <c r="F122" s="96">
        <v>10109048</v>
      </c>
      <c r="G122" s="96">
        <v>20218578</v>
      </c>
      <c r="H122" s="97" t="s">
        <v>102</v>
      </c>
      <c r="I122" s="98" t="str">
        <f>IFERROR(VLOOKUP(H122,名称!A:C,2,0),"")</f>
        <v>杯子</v>
      </c>
      <c r="J122" s="99">
        <v>2502</v>
      </c>
      <c r="K122" s="98">
        <f>IFERROR(VLOOKUP(H122,名称!A:D,3,0),"")</f>
        <v>18</v>
      </c>
      <c r="L122" s="100">
        <f t="shared" si="7"/>
        <v>139</v>
      </c>
      <c r="M122" s="93">
        <v>46113</v>
      </c>
      <c r="N122" s="93">
        <f t="shared" si="11"/>
        <v>46111</v>
      </c>
      <c r="O122" s="93">
        <v>46084</v>
      </c>
      <c r="P122" s="93" t="s">
        <v>655</v>
      </c>
      <c r="Q122" s="97" t="s">
        <v>430</v>
      </c>
      <c r="R122" s="97" t="s">
        <v>656</v>
      </c>
      <c r="S122" s="93"/>
      <c r="T122" s="93"/>
      <c r="U122" s="93"/>
      <c r="V122" s="93"/>
      <c r="W122" s="97"/>
      <c r="X122" s="100"/>
      <c r="Y122" s="102">
        <v>1.133</v>
      </c>
      <c r="Z122" s="103">
        <f t="shared" si="8"/>
        <v>2834.77</v>
      </c>
      <c r="AA122" s="103">
        <f t="shared" si="9"/>
        <v>21969.47</v>
      </c>
      <c r="AB122" s="58" t="s">
        <v>716</v>
      </c>
      <c r="AC122" s="93"/>
      <c r="AD122" s="93"/>
      <c r="AE122" s="93" t="str">
        <f>IFERROR(VLOOKUP(H122,名称!A:D,4,0),"")</f>
        <v>KIK</v>
      </c>
      <c r="AF122" s="98"/>
      <c r="AG122" s="105"/>
      <c r="AH122" s="105">
        <v>45980</v>
      </c>
      <c r="AI122" s="105">
        <v>45960</v>
      </c>
      <c r="AJ122" s="105"/>
      <c r="AK122" s="105"/>
      <c r="AL122" s="105"/>
      <c r="AM122" s="105"/>
      <c r="AN122" s="105"/>
      <c r="AO122" s="105">
        <v>45958</v>
      </c>
      <c r="AP122" s="100">
        <f t="shared" si="15"/>
        <v>231</v>
      </c>
      <c r="AQ122" s="100">
        <f t="shared" si="16"/>
        <v>153</v>
      </c>
    </row>
    <row r="123" s="89" customFormat="1" hidden="1" customHeight="1" spans="1:43">
      <c r="A123" s="93">
        <v>46028</v>
      </c>
      <c r="B123" s="93" t="str">
        <f ca="1" t="shared" si="10"/>
        <v/>
      </c>
      <c r="C123" s="95" t="s">
        <v>236</v>
      </c>
      <c r="D123" s="93" t="s">
        <v>442</v>
      </c>
      <c r="E123" s="95" t="s">
        <v>443</v>
      </c>
      <c r="F123" s="96">
        <v>10118385</v>
      </c>
      <c r="G123" s="96">
        <v>20218848</v>
      </c>
      <c r="H123" s="97" t="s">
        <v>102</v>
      </c>
      <c r="I123" s="98" t="str">
        <f>IFERROR(VLOOKUP(H123,名称!A:C,2,0),"")</f>
        <v>杯子</v>
      </c>
      <c r="J123" s="99">
        <v>2502</v>
      </c>
      <c r="K123" s="98">
        <f>IFERROR(VLOOKUP(H123,名称!A:D,3,0),"")</f>
        <v>18</v>
      </c>
      <c r="L123" s="100">
        <f t="shared" si="7"/>
        <v>139</v>
      </c>
      <c r="M123" s="93">
        <v>46113</v>
      </c>
      <c r="N123" s="93">
        <f t="shared" si="11"/>
        <v>46111</v>
      </c>
      <c r="O123" s="93">
        <v>46093</v>
      </c>
      <c r="P123" s="93" t="s">
        <v>717</v>
      </c>
      <c r="Q123" s="97" t="s">
        <v>430</v>
      </c>
      <c r="R123" s="97" t="s">
        <v>718</v>
      </c>
      <c r="S123" s="93"/>
      <c r="T123" s="93"/>
      <c r="U123" s="93"/>
      <c r="V123" s="93"/>
      <c r="W123" s="97"/>
      <c r="X123" s="100" t="s">
        <v>719</v>
      </c>
      <c r="Y123" s="102">
        <v>1.133</v>
      </c>
      <c r="Z123" s="103">
        <f t="shared" si="8"/>
        <v>2834.77</v>
      </c>
      <c r="AA123" s="103">
        <f t="shared" si="9"/>
        <v>21969.47</v>
      </c>
      <c r="AB123" s="58" t="s">
        <v>716</v>
      </c>
      <c r="AC123" s="93"/>
      <c r="AD123" s="93"/>
      <c r="AE123" s="93" t="str">
        <f>IFERROR(VLOOKUP(H123,名称!A:D,4,0),"")</f>
        <v>KIK</v>
      </c>
      <c r="AF123" s="98"/>
      <c r="AG123" s="105"/>
      <c r="AH123" s="105">
        <v>46067</v>
      </c>
      <c r="AI123" s="105">
        <v>46044</v>
      </c>
      <c r="AJ123" s="105"/>
      <c r="AK123" s="105"/>
      <c r="AL123" s="105"/>
      <c r="AM123" s="105"/>
      <c r="AN123" s="105"/>
      <c r="AO123" s="105"/>
      <c r="AP123" s="100">
        <f t="shared" si="15"/>
        <v>85</v>
      </c>
      <c r="AQ123" s="100">
        <f t="shared" si="16"/>
        <v>69</v>
      </c>
    </row>
    <row r="124" s="89" customFormat="1" hidden="1" customHeight="1" spans="1:43">
      <c r="A124" s="93">
        <v>45975</v>
      </c>
      <c r="B124" s="93" t="str">
        <f ca="1" t="shared" si="10"/>
        <v/>
      </c>
      <c r="C124" s="95" t="s">
        <v>236</v>
      </c>
      <c r="D124" s="93" t="s">
        <v>442</v>
      </c>
      <c r="E124" s="95" t="s">
        <v>443</v>
      </c>
      <c r="F124" s="96">
        <v>10114959</v>
      </c>
      <c r="G124" s="96">
        <v>20218755</v>
      </c>
      <c r="H124" s="97" t="s">
        <v>107</v>
      </c>
      <c r="I124" s="98" t="str">
        <f>IFERROR(VLOOKUP(H124,名称!A:C,2,0),"")</f>
        <v>农场女孩套装</v>
      </c>
      <c r="J124" s="99">
        <v>2000</v>
      </c>
      <c r="K124" s="98">
        <f>IFERROR(VLOOKUP(H124,名称!A:D,3,0),"")</f>
        <v>4</v>
      </c>
      <c r="L124" s="100">
        <f t="shared" si="7"/>
        <v>500</v>
      </c>
      <c r="M124" s="93">
        <v>46113</v>
      </c>
      <c r="N124" s="93">
        <f t="shared" si="11"/>
        <v>46111</v>
      </c>
      <c r="O124" s="93">
        <v>46111</v>
      </c>
      <c r="P124" s="93" t="s">
        <v>680</v>
      </c>
      <c r="Q124" s="97" t="s">
        <v>430</v>
      </c>
      <c r="R124" s="97" t="s">
        <v>707</v>
      </c>
      <c r="S124" s="93"/>
      <c r="T124" s="93" t="s">
        <v>452</v>
      </c>
      <c r="U124" s="93"/>
      <c r="V124" s="93"/>
      <c r="W124" s="97"/>
      <c r="X124" s="100"/>
      <c r="Y124" s="102">
        <v>4.956</v>
      </c>
      <c r="Z124" s="103">
        <f t="shared" si="8"/>
        <v>9912</v>
      </c>
      <c r="AA124" s="103">
        <f t="shared" si="9"/>
        <v>76818</v>
      </c>
      <c r="AB124" s="58" t="s">
        <v>716</v>
      </c>
      <c r="AC124" s="93"/>
      <c r="AD124" s="93"/>
      <c r="AE124" s="93" t="str">
        <f>IFERROR(VLOOKUP(H124,名称!A:D,4,0),"")</f>
        <v>KIK</v>
      </c>
      <c r="AF124" s="98"/>
      <c r="AG124" s="105"/>
      <c r="AH124" s="105">
        <v>46062</v>
      </c>
      <c r="AI124" s="105">
        <v>46038</v>
      </c>
      <c r="AJ124" s="105">
        <v>46059</v>
      </c>
      <c r="AK124" s="105"/>
      <c r="AL124" s="105"/>
      <c r="AM124" s="105"/>
      <c r="AN124" s="105"/>
      <c r="AO124" s="105">
        <v>46029</v>
      </c>
      <c r="AP124" s="100">
        <f t="shared" si="15"/>
        <v>138</v>
      </c>
      <c r="AQ124" s="100">
        <f t="shared" si="16"/>
        <v>75</v>
      </c>
    </row>
    <row r="125" s="89" customFormat="1" hidden="1" customHeight="1" spans="1:43">
      <c r="A125" s="93">
        <v>46028</v>
      </c>
      <c r="B125" s="93" t="str">
        <f ca="1" t="shared" si="10"/>
        <v/>
      </c>
      <c r="C125" s="95" t="s">
        <v>236</v>
      </c>
      <c r="D125" s="93" t="s">
        <v>442</v>
      </c>
      <c r="E125" s="95" t="s">
        <v>443</v>
      </c>
      <c r="F125" s="96">
        <v>10118392</v>
      </c>
      <c r="G125" s="96">
        <v>20218859</v>
      </c>
      <c r="H125" s="97" t="s">
        <v>48</v>
      </c>
      <c r="I125" s="98" t="str">
        <f>IFERROR(VLOOKUP(H125,名称!A:C,2,0),"")</f>
        <v>布鲁伊家族杯子套装</v>
      </c>
      <c r="J125" s="99">
        <v>3000</v>
      </c>
      <c r="K125" s="98">
        <f>IFERROR(VLOOKUP(H125,名称!A:D,3,0),"")</f>
        <v>4</v>
      </c>
      <c r="L125" s="100">
        <f t="shared" si="7"/>
        <v>750</v>
      </c>
      <c r="M125" s="93">
        <v>46113</v>
      </c>
      <c r="N125" s="93">
        <f t="shared" si="11"/>
        <v>46111</v>
      </c>
      <c r="O125" s="93">
        <v>46092</v>
      </c>
      <c r="P125" s="93" t="s">
        <v>680</v>
      </c>
      <c r="Q125" s="97" t="s">
        <v>430</v>
      </c>
      <c r="R125" s="97" t="s">
        <v>696</v>
      </c>
      <c r="S125" s="93"/>
      <c r="T125" s="93"/>
      <c r="U125" s="93"/>
      <c r="V125" s="93"/>
      <c r="W125" s="97"/>
      <c r="X125" s="100"/>
      <c r="Y125" s="102">
        <v>2.199</v>
      </c>
      <c r="Z125" s="103">
        <f t="shared" si="8"/>
        <v>6597</v>
      </c>
      <c r="AA125" s="103">
        <f t="shared" si="9"/>
        <v>51126.75</v>
      </c>
      <c r="AB125" s="58" t="s">
        <v>716</v>
      </c>
      <c r="AC125" s="93"/>
      <c r="AD125" s="93"/>
      <c r="AE125" s="93" t="str">
        <f>IFERROR(VLOOKUP(H125,名称!A:D,4,0),"")</f>
        <v>KIK</v>
      </c>
      <c r="AF125" s="98"/>
      <c r="AG125" s="105"/>
      <c r="AH125" s="105">
        <v>46067</v>
      </c>
      <c r="AI125" s="105">
        <v>46044</v>
      </c>
      <c r="AJ125" s="105"/>
      <c r="AK125" s="105"/>
      <c r="AL125" s="105"/>
      <c r="AM125" s="105"/>
      <c r="AN125" s="105"/>
      <c r="AO125" s="105"/>
      <c r="AP125" s="100">
        <f t="shared" si="15"/>
        <v>85</v>
      </c>
      <c r="AQ125" s="100">
        <f t="shared" si="16"/>
        <v>69</v>
      </c>
    </row>
    <row r="126" s="89" customFormat="1" hidden="1" customHeight="1" spans="1:43">
      <c r="A126" s="93">
        <v>46109</v>
      </c>
      <c r="B126" s="93" t="str">
        <f ca="1" t="shared" si="10"/>
        <v/>
      </c>
      <c r="C126" s="95" t="s">
        <v>236</v>
      </c>
      <c r="D126" s="93" t="s">
        <v>442</v>
      </c>
      <c r="E126" s="95" t="s">
        <v>519</v>
      </c>
      <c r="F126" s="96">
        <v>10123469</v>
      </c>
      <c r="G126" s="96">
        <v>20219017</v>
      </c>
      <c r="H126" s="97" t="s">
        <v>95</v>
      </c>
      <c r="I126" s="98" t="str">
        <f>IFERROR(VLOOKUP(H126,名称!A:C,2,0),"")</f>
        <v>宝箱马里奥</v>
      </c>
      <c r="J126" s="99">
        <v>4000</v>
      </c>
      <c r="K126" s="98">
        <f>IFERROR(VLOOKUP(H126,名称!A:D,3,0),"")</f>
        <v>4</v>
      </c>
      <c r="L126" s="100">
        <f t="shared" si="7"/>
        <v>1000</v>
      </c>
      <c r="M126" s="93">
        <v>46113</v>
      </c>
      <c r="N126" s="93">
        <f t="shared" si="11"/>
        <v>46111</v>
      </c>
      <c r="O126" s="93">
        <v>46114</v>
      </c>
      <c r="P126" s="93" t="s">
        <v>680</v>
      </c>
      <c r="Q126" s="97" t="s">
        <v>430</v>
      </c>
      <c r="R126" s="97" t="s">
        <v>720</v>
      </c>
      <c r="S126" s="93"/>
      <c r="T126" s="93"/>
      <c r="U126" s="93"/>
      <c r="V126" s="93"/>
      <c r="W126" s="97"/>
      <c r="X126" s="100"/>
      <c r="Y126" s="102">
        <v>2.205</v>
      </c>
      <c r="Z126" s="103">
        <f t="shared" si="8"/>
        <v>8820</v>
      </c>
      <c r="AA126" s="103">
        <f t="shared" si="9"/>
        <v>68355</v>
      </c>
      <c r="AB126" s="58" t="s">
        <v>716</v>
      </c>
      <c r="AC126" s="93"/>
      <c r="AD126" s="93"/>
      <c r="AE126" s="93" t="str">
        <f>IFERROR(VLOOKUP(H126,名称!A:D,4,0),"")</f>
        <v>KIK</v>
      </c>
      <c r="AF126" s="98"/>
      <c r="AG126" s="105"/>
      <c r="AH126" s="105"/>
      <c r="AI126" s="105" t="s">
        <v>721</v>
      </c>
      <c r="AJ126" s="105"/>
      <c r="AK126" s="105"/>
      <c r="AL126" s="105"/>
      <c r="AM126" s="105"/>
      <c r="AN126" s="105"/>
      <c r="AO126" s="105"/>
      <c r="AP126" s="100">
        <f t="shared" si="15"/>
        <v>4</v>
      </c>
      <c r="AQ126" s="100" t="e">
        <f t="shared" si="16"/>
        <v>#VALUE!</v>
      </c>
    </row>
    <row r="127" s="89" customFormat="1" hidden="1" customHeight="1" spans="1:43">
      <c r="A127" s="93">
        <v>46109</v>
      </c>
      <c r="B127" s="93" t="str">
        <f ca="1" t="shared" si="10"/>
        <v/>
      </c>
      <c r="C127" s="95" t="s">
        <v>236</v>
      </c>
      <c r="D127" s="93" t="s">
        <v>442</v>
      </c>
      <c r="E127" s="95" t="s">
        <v>519</v>
      </c>
      <c r="F127" s="96">
        <v>10123469</v>
      </c>
      <c r="G127" s="96">
        <v>20219017</v>
      </c>
      <c r="H127" s="97" t="s">
        <v>97</v>
      </c>
      <c r="I127" s="98" t="str">
        <f>IFERROR(VLOOKUP(H127,名称!A:C,2,0),"")</f>
        <v>管道马里奥</v>
      </c>
      <c r="J127" s="99">
        <v>2000</v>
      </c>
      <c r="K127" s="98">
        <f>IFERROR(VLOOKUP(H127,名称!A:D,3,0),"")</f>
        <v>4</v>
      </c>
      <c r="L127" s="100">
        <f t="shared" si="7"/>
        <v>500</v>
      </c>
      <c r="M127" s="93">
        <v>46113</v>
      </c>
      <c r="N127" s="93">
        <f t="shared" si="11"/>
        <v>46111</v>
      </c>
      <c r="O127" s="93">
        <v>46108</v>
      </c>
      <c r="P127" s="93" t="s">
        <v>680</v>
      </c>
      <c r="Q127" s="97" t="s">
        <v>430</v>
      </c>
      <c r="R127" s="97" t="s">
        <v>720</v>
      </c>
      <c r="S127" s="93"/>
      <c r="T127" s="93"/>
      <c r="U127" s="93"/>
      <c r="V127" s="93"/>
      <c r="W127" s="97"/>
      <c r="X127" s="100"/>
      <c r="Y127" s="102">
        <v>3.43</v>
      </c>
      <c r="Z127" s="103">
        <f t="shared" si="8"/>
        <v>6860</v>
      </c>
      <c r="AA127" s="103">
        <f t="shared" si="9"/>
        <v>53165</v>
      </c>
      <c r="AB127" s="58" t="s">
        <v>716</v>
      </c>
      <c r="AC127" s="93"/>
      <c r="AD127" s="93"/>
      <c r="AE127" s="93" t="str">
        <f>IFERROR(VLOOKUP(H127,名称!A:D,4,0),"")</f>
        <v>KIK</v>
      </c>
      <c r="AF127" s="98"/>
      <c r="AG127" s="105"/>
      <c r="AH127" s="105"/>
      <c r="AI127" s="105" t="s">
        <v>721</v>
      </c>
      <c r="AJ127" s="105"/>
      <c r="AK127" s="105"/>
      <c r="AL127" s="105"/>
      <c r="AM127" s="105"/>
      <c r="AN127" s="105"/>
      <c r="AO127" s="105"/>
      <c r="AP127" s="100">
        <f t="shared" si="15"/>
        <v>4</v>
      </c>
      <c r="AQ127" s="100" t="e">
        <f t="shared" si="16"/>
        <v>#VALUE!</v>
      </c>
    </row>
    <row r="128" s="89" customFormat="1" hidden="1" customHeight="1" spans="1:43">
      <c r="A128" s="93">
        <v>46028</v>
      </c>
      <c r="B128" s="93" t="str">
        <f ca="1" t="shared" si="10"/>
        <v/>
      </c>
      <c r="C128" s="95" t="s">
        <v>236</v>
      </c>
      <c r="D128" s="93" t="s">
        <v>442</v>
      </c>
      <c r="E128" s="95" t="s">
        <v>443</v>
      </c>
      <c r="F128" s="96">
        <v>10118387</v>
      </c>
      <c r="G128" s="96">
        <v>20218850</v>
      </c>
      <c r="H128" s="97" t="s">
        <v>102</v>
      </c>
      <c r="I128" s="98" t="str">
        <f>IFERROR(VLOOKUP(H128,名称!A:C,2,0),"")</f>
        <v>杯子</v>
      </c>
      <c r="J128" s="99">
        <v>2502</v>
      </c>
      <c r="K128" s="98">
        <f>IFERROR(VLOOKUP(H128,名称!A:D,3,0),"")</f>
        <v>18</v>
      </c>
      <c r="L128" s="100">
        <f t="shared" si="7"/>
        <v>139</v>
      </c>
      <c r="M128" s="93">
        <v>46113</v>
      </c>
      <c r="N128" s="93">
        <f t="shared" si="11"/>
        <v>46111</v>
      </c>
      <c r="O128" s="93">
        <v>46114</v>
      </c>
      <c r="P128" s="93" t="s">
        <v>423</v>
      </c>
      <c r="Q128" s="97" t="s">
        <v>430</v>
      </c>
      <c r="R128" s="97" t="s">
        <v>722</v>
      </c>
      <c r="S128" s="93"/>
      <c r="T128" s="93"/>
      <c r="U128" s="93"/>
      <c r="V128" s="93"/>
      <c r="W128" s="97"/>
      <c r="X128" s="100" t="s">
        <v>719</v>
      </c>
      <c r="Y128" s="102">
        <v>1.133</v>
      </c>
      <c r="Z128" s="103">
        <f t="shared" si="8"/>
        <v>2834.77</v>
      </c>
      <c r="AA128" s="103">
        <f t="shared" si="9"/>
        <v>21969.47</v>
      </c>
      <c r="AB128" s="58" t="s">
        <v>716</v>
      </c>
      <c r="AC128" s="93"/>
      <c r="AD128" s="93"/>
      <c r="AE128" s="93" t="str">
        <f>IFERROR(VLOOKUP(H128,名称!A:D,4,0),"")</f>
        <v>KIK</v>
      </c>
      <c r="AF128" s="98"/>
      <c r="AG128" s="105"/>
      <c r="AH128" s="105">
        <v>46067</v>
      </c>
      <c r="AI128" s="105">
        <v>46044</v>
      </c>
      <c r="AJ128" s="105"/>
      <c r="AK128" s="105"/>
      <c r="AL128" s="105"/>
      <c r="AM128" s="105"/>
      <c r="AN128" s="105"/>
      <c r="AO128" s="105"/>
      <c r="AP128" s="100">
        <f t="shared" si="15"/>
        <v>85</v>
      </c>
      <c r="AQ128" s="100">
        <f t="shared" si="16"/>
        <v>69</v>
      </c>
    </row>
    <row r="129" s="89" customFormat="1" hidden="1" customHeight="1" spans="1:45">
      <c r="A129" s="93">
        <v>46028</v>
      </c>
      <c r="B129" s="93" t="str">
        <f ca="1" t="shared" si="10"/>
        <v/>
      </c>
      <c r="C129" s="95" t="s">
        <v>236</v>
      </c>
      <c r="D129" s="93" t="s">
        <v>442</v>
      </c>
      <c r="E129" s="95" t="s">
        <v>443</v>
      </c>
      <c r="F129" s="96">
        <v>10118388</v>
      </c>
      <c r="G129" s="96">
        <v>20218852</v>
      </c>
      <c r="H129" s="97" t="s">
        <v>102</v>
      </c>
      <c r="I129" s="98" t="str">
        <f>IFERROR(VLOOKUP(H129,名称!A:C,2,0),"")</f>
        <v>杯子</v>
      </c>
      <c r="J129" s="99">
        <v>2502</v>
      </c>
      <c r="K129" s="98">
        <f>IFERROR(VLOOKUP(H129,名称!A:D,3,0),"")</f>
        <v>18</v>
      </c>
      <c r="L129" s="100">
        <f t="shared" si="7"/>
        <v>139</v>
      </c>
      <c r="M129" s="93">
        <v>46113</v>
      </c>
      <c r="N129" s="93">
        <f t="shared" si="11"/>
        <v>46111</v>
      </c>
      <c r="O129" s="93">
        <v>46114</v>
      </c>
      <c r="P129" s="93" t="s">
        <v>435</v>
      </c>
      <c r="Q129" s="97" t="s">
        <v>430</v>
      </c>
      <c r="R129" s="97" t="s">
        <v>722</v>
      </c>
      <c r="S129" s="93"/>
      <c r="T129" s="93"/>
      <c r="U129" s="93"/>
      <c r="V129" s="93"/>
      <c r="W129" s="97"/>
      <c r="X129" s="100" t="s">
        <v>719</v>
      </c>
      <c r="Y129" s="102">
        <v>1.133</v>
      </c>
      <c r="Z129" s="103">
        <f t="shared" si="8"/>
        <v>2834.77</v>
      </c>
      <c r="AA129" s="103">
        <f t="shared" si="9"/>
        <v>21969.47</v>
      </c>
      <c r="AB129" s="58" t="s">
        <v>716</v>
      </c>
      <c r="AC129" s="93"/>
      <c r="AD129" s="93"/>
      <c r="AE129" s="93" t="str">
        <f>IFERROR(VLOOKUP(H129,名称!A:D,4,0),"")</f>
        <v>KIK</v>
      </c>
      <c r="AF129" s="98"/>
      <c r="AG129" s="105"/>
      <c r="AH129" s="105">
        <v>46067</v>
      </c>
      <c r="AI129" s="105">
        <v>46044</v>
      </c>
      <c r="AJ129" s="105"/>
      <c r="AK129" s="105"/>
      <c r="AL129" s="105"/>
      <c r="AM129" s="105"/>
      <c r="AN129" s="105"/>
      <c r="AO129" s="105"/>
      <c r="AP129" s="100">
        <f t="shared" si="15"/>
        <v>85</v>
      </c>
      <c r="AQ129" s="100">
        <f t="shared" si="16"/>
        <v>69</v>
      </c>
    </row>
    <row r="130" s="89" customFormat="1" hidden="1" customHeight="1" spans="1:45">
      <c r="A130" s="93">
        <v>46026</v>
      </c>
      <c r="B130" s="93" t="s">
        <v>467</v>
      </c>
      <c r="C130" s="95" t="s">
        <v>237</v>
      </c>
      <c r="D130" s="93" t="s">
        <v>427</v>
      </c>
      <c r="E130" s="95" t="s">
        <v>438</v>
      </c>
      <c r="F130" s="96">
        <v>10118279</v>
      </c>
      <c r="G130" s="96">
        <v>202536470026</v>
      </c>
      <c r="H130" s="97">
        <v>47669</v>
      </c>
      <c r="I130" s="98" t="s">
        <v>723</v>
      </c>
      <c r="J130" s="99">
        <v>5000</v>
      </c>
      <c r="K130" s="98">
        <v>4</v>
      </c>
      <c r="L130" s="100">
        <v>1250</v>
      </c>
      <c r="M130" s="93">
        <v>46113</v>
      </c>
      <c r="N130" s="93">
        <v>46111</v>
      </c>
      <c r="O130" s="93">
        <v>46113</v>
      </c>
      <c r="P130" s="93" t="s">
        <v>717</v>
      </c>
      <c r="Q130" s="97" t="s">
        <v>430</v>
      </c>
      <c r="R130" s="97" t="s">
        <v>724</v>
      </c>
      <c r="S130" s="93" t="s">
        <v>725</v>
      </c>
      <c r="T130" s="93" t="s">
        <v>452</v>
      </c>
      <c r="U130" s="93"/>
      <c r="V130" s="93"/>
      <c r="W130" s="97"/>
      <c r="X130" s="100"/>
      <c r="Y130" s="102">
        <v>4.906</v>
      </c>
      <c r="Z130" s="103">
        <f t="shared" ref="Z130:Z163" si="17">J130*Y130</f>
        <v>24530</v>
      </c>
      <c r="AA130" s="103">
        <f t="shared" ref="AA130:AA163" si="18">Z130*7.75</f>
        <v>190107.5</v>
      </c>
      <c r="AB130" s="58" t="s">
        <v>708</v>
      </c>
      <c r="AC130" s="93"/>
      <c r="AD130" s="93"/>
      <c r="AE130" s="93" t="s">
        <v>12</v>
      </c>
      <c r="AF130" s="98"/>
      <c r="AG130" s="105"/>
      <c r="AH130" s="105">
        <v>46092</v>
      </c>
      <c r="AI130" s="105">
        <v>46051</v>
      </c>
      <c r="AJ130" s="105">
        <v>46059</v>
      </c>
      <c r="AK130" s="105"/>
      <c r="AL130" s="105"/>
      <c r="AM130" s="105"/>
      <c r="AN130" s="105"/>
      <c r="AO130" s="105"/>
      <c r="AP130" s="100">
        <v>87</v>
      </c>
      <c r="AQ130" s="100">
        <v>62</v>
      </c>
    </row>
    <row r="131" s="89" customFormat="1" hidden="1" customHeight="1" spans="1:45">
      <c r="A131" s="93">
        <v>46028</v>
      </c>
      <c r="B131" s="93" t="s">
        <v>467</v>
      </c>
      <c r="C131" s="95" t="s">
        <v>237</v>
      </c>
      <c r="D131" s="93" t="s">
        <v>726</v>
      </c>
      <c r="E131" s="95" t="s">
        <v>727</v>
      </c>
      <c r="F131" s="96">
        <v>10120677</v>
      </c>
      <c r="G131" s="96" t="s">
        <v>247</v>
      </c>
      <c r="H131" s="97" t="s">
        <v>136</v>
      </c>
      <c r="I131" s="98" t="s">
        <v>728</v>
      </c>
      <c r="J131" s="99">
        <v>1492</v>
      </c>
      <c r="K131" s="98">
        <v>2</v>
      </c>
      <c r="L131" s="100">
        <v>3503</v>
      </c>
      <c r="M131" s="93">
        <v>46113</v>
      </c>
      <c r="N131" s="93">
        <v>46111</v>
      </c>
      <c r="O131" s="93"/>
      <c r="P131" s="93" t="s">
        <v>729</v>
      </c>
      <c r="Q131" s="97" t="s">
        <v>469</v>
      </c>
      <c r="R131" s="97" t="s">
        <v>696</v>
      </c>
      <c r="S131" s="93"/>
      <c r="T131" s="93" t="s">
        <v>452</v>
      </c>
      <c r="U131" s="93"/>
      <c r="V131" s="93"/>
      <c r="W131" s="97"/>
      <c r="X131" s="100"/>
      <c r="Y131" s="102">
        <v>4.837</v>
      </c>
      <c r="Z131" s="103">
        <f t="shared" si="17"/>
        <v>7216.8</v>
      </c>
      <c r="AA131" s="103">
        <f t="shared" si="18"/>
        <v>55930.2</v>
      </c>
      <c r="AB131" s="58" t="s">
        <v>730</v>
      </c>
      <c r="AC131" s="93"/>
      <c r="AD131" s="93"/>
      <c r="AE131" s="93" t="s">
        <v>12</v>
      </c>
      <c r="AF131" s="98"/>
      <c r="AG131" s="105"/>
      <c r="AH131" s="105">
        <v>46092</v>
      </c>
      <c r="AI131" s="105">
        <v>46051</v>
      </c>
      <c r="AJ131" s="105"/>
      <c r="AK131" s="105"/>
      <c r="AL131" s="105"/>
      <c r="AM131" s="105"/>
      <c r="AN131" s="105"/>
      <c r="AO131" s="105"/>
      <c r="AP131" s="100">
        <v>85</v>
      </c>
      <c r="AQ131" s="100">
        <v>62</v>
      </c>
      <c r="AR131" s="117"/>
      <c r="AS131" s="117"/>
    </row>
    <row r="132" s="89" customFormat="1" hidden="1" customHeight="1" spans="1:45">
      <c r="A132" s="93">
        <v>46028</v>
      </c>
      <c r="B132" s="93"/>
      <c r="C132" s="95" t="s">
        <v>237</v>
      </c>
      <c r="D132" s="93" t="s">
        <v>726</v>
      </c>
      <c r="E132" s="95" t="s">
        <v>727</v>
      </c>
      <c r="F132" s="96">
        <v>10120677</v>
      </c>
      <c r="G132" s="96" t="s">
        <v>247</v>
      </c>
      <c r="H132" s="97" t="s">
        <v>136</v>
      </c>
      <c r="I132" s="98" t="s">
        <v>728</v>
      </c>
      <c r="J132" s="99">
        <v>2498</v>
      </c>
      <c r="K132" s="98">
        <v>2</v>
      </c>
      <c r="L132" s="100">
        <v>3503</v>
      </c>
      <c r="M132" s="93">
        <v>46113</v>
      </c>
      <c r="N132" s="93">
        <v>46111</v>
      </c>
      <c r="O132" s="93"/>
      <c r="P132" s="93" t="s">
        <v>729</v>
      </c>
      <c r="Q132" s="97" t="s">
        <v>469</v>
      </c>
      <c r="R132" s="97" t="s">
        <v>696</v>
      </c>
      <c r="S132" s="93"/>
      <c r="T132" s="93" t="s">
        <v>452</v>
      </c>
      <c r="U132" s="93"/>
      <c r="V132" s="93"/>
      <c r="W132" s="97"/>
      <c r="X132" s="100"/>
      <c r="Y132" s="102">
        <v>4.837</v>
      </c>
      <c r="Z132" s="103">
        <f t="shared" si="17"/>
        <v>12082.83</v>
      </c>
      <c r="AA132" s="103">
        <f t="shared" si="18"/>
        <v>93641.93</v>
      </c>
      <c r="AB132" s="58" t="s">
        <v>731</v>
      </c>
      <c r="AC132" s="93"/>
      <c r="AD132" s="93"/>
      <c r="AE132" s="93" t="s">
        <v>12</v>
      </c>
      <c r="AF132" s="98"/>
      <c r="AG132" s="105"/>
      <c r="AH132" s="105">
        <v>46092</v>
      </c>
      <c r="AI132" s="105">
        <v>46051</v>
      </c>
      <c r="AJ132" s="105"/>
      <c r="AK132" s="105"/>
      <c r="AL132" s="105"/>
      <c r="AM132" s="105"/>
      <c r="AN132" s="105"/>
      <c r="AO132" s="105"/>
      <c r="AP132" s="100">
        <v>85</v>
      </c>
      <c r="AQ132" s="100">
        <v>62</v>
      </c>
      <c r="AR132" s="117"/>
      <c r="AS132" s="117"/>
    </row>
    <row r="133" s="89" customFormat="1" hidden="1" customHeight="1" spans="1:45">
      <c r="A133" s="93">
        <v>46028</v>
      </c>
      <c r="B133" s="93"/>
      <c r="C133" s="95" t="s">
        <v>237</v>
      </c>
      <c r="D133" s="93" t="s">
        <v>726</v>
      </c>
      <c r="E133" s="95" t="s">
        <v>727</v>
      </c>
      <c r="F133" s="96">
        <v>10120677</v>
      </c>
      <c r="G133" s="96" t="s">
        <v>247</v>
      </c>
      <c r="H133" s="97" t="s">
        <v>136</v>
      </c>
      <c r="I133" s="98" t="s">
        <v>728</v>
      </c>
      <c r="J133" s="99">
        <v>1978</v>
      </c>
      <c r="K133" s="98">
        <v>2</v>
      </c>
      <c r="L133" s="100">
        <v>3503</v>
      </c>
      <c r="M133" s="93">
        <v>46113</v>
      </c>
      <c r="N133" s="93">
        <v>46111</v>
      </c>
      <c r="O133" s="93"/>
      <c r="P133" s="93" t="s">
        <v>729</v>
      </c>
      <c r="Q133" s="97" t="s">
        <v>469</v>
      </c>
      <c r="R133" s="97" t="s">
        <v>696</v>
      </c>
      <c r="S133" s="93"/>
      <c r="T133" s="93" t="s">
        <v>452</v>
      </c>
      <c r="U133" s="93"/>
      <c r="V133" s="93"/>
      <c r="W133" s="97"/>
      <c r="X133" s="100"/>
      <c r="Y133" s="102">
        <v>4.837</v>
      </c>
      <c r="Z133" s="103">
        <f t="shared" si="17"/>
        <v>9567.59</v>
      </c>
      <c r="AA133" s="103">
        <f t="shared" si="18"/>
        <v>74148.82</v>
      </c>
      <c r="AB133" s="58" t="s">
        <v>732</v>
      </c>
      <c r="AC133" s="93"/>
      <c r="AD133" s="93"/>
      <c r="AE133" s="93" t="s">
        <v>12</v>
      </c>
      <c r="AF133" s="98"/>
      <c r="AG133" s="105"/>
      <c r="AH133" s="105">
        <v>46092</v>
      </c>
      <c r="AI133" s="105">
        <v>46051</v>
      </c>
      <c r="AJ133" s="105"/>
      <c r="AK133" s="105"/>
      <c r="AL133" s="105"/>
      <c r="AM133" s="105"/>
      <c r="AN133" s="105"/>
      <c r="AO133" s="105"/>
      <c r="AP133" s="100">
        <v>85</v>
      </c>
      <c r="AQ133" s="100">
        <v>62</v>
      </c>
      <c r="AR133" s="117"/>
      <c r="AS133" s="117"/>
    </row>
    <row r="134" s="89" customFormat="1" hidden="1" customHeight="1" spans="1:45">
      <c r="A134" s="93">
        <v>46028</v>
      </c>
      <c r="B134" s="93"/>
      <c r="C134" s="95" t="s">
        <v>237</v>
      </c>
      <c r="D134" s="93" t="s">
        <v>726</v>
      </c>
      <c r="E134" s="95" t="s">
        <v>727</v>
      </c>
      <c r="F134" s="96">
        <v>10120677</v>
      </c>
      <c r="G134" s="96" t="s">
        <v>247</v>
      </c>
      <c r="H134" s="97" t="s">
        <v>136</v>
      </c>
      <c r="I134" s="98" t="s">
        <v>728</v>
      </c>
      <c r="J134" s="99">
        <v>2830</v>
      </c>
      <c r="K134" s="98">
        <v>2</v>
      </c>
      <c r="L134" s="100">
        <v>3503</v>
      </c>
      <c r="M134" s="93">
        <v>46113</v>
      </c>
      <c r="N134" s="93">
        <v>46111</v>
      </c>
      <c r="O134" s="93"/>
      <c r="P134" s="93" t="s">
        <v>729</v>
      </c>
      <c r="Q134" s="97" t="s">
        <v>469</v>
      </c>
      <c r="R134" s="97" t="s">
        <v>696</v>
      </c>
      <c r="S134" s="93"/>
      <c r="T134" s="93" t="s">
        <v>452</v>
      </c>
      <c r="U134" s="93"/>
      <c r="V134" s="93"/>
      <c r="W134" s="97"/>
      <c r="X134" s="100"/>
      <c r="Y134" s="102">
        <v>4.837</v>
      </c>
      <c r="Z134" s="103">
        <f t="shared" si="17"/>
        <v>13688.71</v>
      </c>
      <c r="AA134" s="103">
        <f t="shared" si="18"/>
        <v>106087.5</v>
      </c>
      <c r="AB134" s="58" t="s">
        <v>733</v>
      </c>
      <c r="AC134" s="93"/>
      <c r="AD134" s="93"/>
      <c r="AE134" s="93" t="s">
        <v>12</v>
      </c>
      <c r="AF134" s="98"/>
      <c r="AG134" s="105"/>
      <c r="AH134" s="105">
        <v>46092</v>
      </c>
      <c r="AI134" s="105">
        <v>46051</v>
      </c>
      <c r="AJ134" s="105"/>
      <c r="AK134" s="105"/>
      <c r="AL134" s="105"/>
      <c r="AM134" s="105"/>
      <c r="AN134" s="105"/>
      <c r="AO134" s="105"/>
      <c r="AP134" s="100">
        <v>85</v>
      </c>
      <c r="AQ134" s="100">
        <v>62</v>
      </c>
      <c r="AR134" s="117"/>
      <c r="AS134" s="117"/>
    </row>
    <row r="135" s="89" customFormat="1" hidden="1" customHeight="1" spans="1:45">
      <c r="A135" s="93">
        <v>46028</v>
      </c>
      <c r="B135" s="93"/>
      <c r="C135" s="95" t="s">
        <v>237</v>
      </c>
      <c r="D135" s="93" t="s">
        <v>726</v>
      </c>
      <c r="E135" s="95" t="s">
        <v>727</v>
      </c>
      <c r="F135" s="96">
        <v>10120677</v>
      </c>
      <c r="G135" s="96" t="s">
        <v>247</v>
      </c>
      <c r="H135" s="97" t="s">
        <v>136</v>
      </c>
      <c r="I135" s="98" t="s">
        <v>728</v>
      </c>
      <c r="J135" s="99">
        <v>1978</v>
      </c>
      <c r="K135" s="98">
        <v>2</v>
      </c>
      <c r="L135" s="100">
        <v>3503</v>
      </c>
      <c r="M135" s="93">
        <v>46113</v>
      </c>
      <c r="N135" s="93">
        <v>46111</v>
      </c>
      <c r="O135" s="93"/>
      <c r="P135" s="93" t="s">
        <v>729</v>
      </c>
      <c r="Q135" s="97" t="s">
        <v>469</v>
      </c>
      <c r="R135" s="97" t="s">
        <v>696</v>
      </c>
      <c r="S135" s="93"/>
      <c r="T135" s="93" t="s">
        <v>452</v>
      </c>
      <c r="U135" s="93"/>
      <c r="V135" s="93"/>
      <c r="W135" s="97"/>
      <c r="X135" s="100"/>
      <c r="Y135" s="102">
        <v>4.837</v>
      </c>
      <c r="Z135" s="103">
        <f t="shared" si="17"/>
        <v>9567.59</v>
      </c>
      <c r="AA135" s="103">
        <f t="shared" si="18"/>
        <v>74148.82</v>
      </c>
      <c r="AB135" s="58" t="s">
        <v>734</v>
      </c>
      <c r="AC135" s="93"/>
      <c r="AD135" s="93"/>
      <c r="AE135" s="93" t="s">
        <v>12</v>
      </c>
      <c r="AF135" s="98"/>
      <c r="AG135" s="105"/>
      <c r="AH135" s="105">
        <v>46092</v>
      </c>
      <c r="AI135" s="105">
        <v>46051</v>
      </c>
      <c r="AJ135" s="105"/>
      <c r="AK135" s="105"/>
      <c r="AL135" s="105"/>
      <c r="AM135" s="105"/>
      <c r="AN135" s="105"/>
      <c r="AO135" s="105"/>
      <c r="AP135" s="100">
        <v>85</v>
      </c>
      <c r="AQ135" s="100">
        <v>62</v>
      </c>
    </row>
    <row r="136" s="89" customFormat="1" hidden="1" customHeight="1" spans="1:45">
      <c r="A136" s="93">
        <v>46016</v>
      </c>
      <c r="B136" s="93" t="str">
        <f ca="1" t="shared" ref="B136:B142" si="19">IF(TODAY()&gt;=A136,IF(R136="","未",""),"")</f>
        <v/>
      </c>
      <c r="C136" s="95" t="s">
        <v>245</v>
      </c>
      <c r="D136" s="93" t="s">
        <v>735</v>
      </c>
      <c r="E136" s="95" t="s">
        <v>446</v>
      </c>
      <c r="F136" s="96">
        <v>10119863</v>
      </c>
      <c r="G136" s="96">
        <v>4500032099</v>
      </c>
      <c r="H136" s="97" t="s">
        <v>134</v>
      </c>
      <c r="I136" s="98" t="str">
        <f>IFERROR(VLOOKUP(H136,名称!A:C,2,0),"")</f>
        <v>布鲁伊批量装</v>
      </c>
      <c r="J136" s="99">
        <v>10008</v>
      </c>
      <c r="K136" s="98">
        <f>IFERROR(VLOOKUP(H136,名称!A:D,3,0),"")</f>
        <v>24</v>
      </c>
      <c r="L136" s="100">
        <f t="shared" ref="L136:L142" si="20">IFERROR((J136/K136),"")</f>
        <v>417</v>
      </c>
      <c r="M136" s="93">
        <v>46106</v>
      </c>
      <c r="N136" s="93">
        <f t="shared" ref="N136:N142" si="21">M136-2</f>
        <v>46104</v>
      </c>
      <c r="O136" s="93">
        <v>46113</v>
      </c>
      <c r="P136" s="93" t="s">
        <v>680</v>
      </c>
      <c r="Q136" s="97" t="s">
        <v>424</v>
      </c>
      <c r="R136" s="97" t="s">
        <v>736</v>
      </c>
      <c r="S136" s="93"/>
      <c r="T136" s="93"/>
      <c r="U136" s="93"/>
      <c r="V136" s="93"/>
      <c r="W136" s="97"/>
      <c r="X136" s="100"/>
      <c r="Y136" s="102">
        <v>0.88</v>
      </c>
      <c r="Z136" s="103">
        <f t="shared" si="17"/>
        <v>8807.04</v>
      </c>
      <c r="AA136" s="103">
        <f t="shared" si="18"/>
        <v>68254.56</v>
      </c>
      <c r="AB136" s="58" t="s">
        <v>737</v>
      </c>
      <c r="AC136" s="93"/>
      <c r="AD136" s="93"/>
      <c r="AE136" s="93" t="str">
        <f>IFERROR(VLOOKUP(H136,名称!A:D,4,0),"")</f>
        <v>KIK</v>
      </c>
      <c r="AF136" s="98"/>
      <c r="AG136" s="105"/>
      <c r="AH136" s="105">
        <v>46092</v>
      </c>
      <c r="AI136" s="105">
        <v>46059</v>
      </c>
      <c r="AJ136" s="105"/>
      <c r="AK136" s="105"/>
      <c r="AL136" s="105"/>
      <c r="AM136" s="105"/>
      <c r="AN136" s="105"/>
      <c r="AO136" s="105"/>
      <c r="AP136" s="100">
        <f t="shared" ref="AP136:AP142" si="22">M136-A136</f>
        <v>90</v>
      </c>
      <c r="AQ136" s="100">
        <f t="shared" ref="AQ136:AQ142" si="23">M136-AI136</f>
        <v>47</v>
      </c>
    </row>
    <row r="137" s="89" customFormat="1" hidden="1" customHeight="1" spans="1:45">
      <c r="A137" s="93">
        <v>45997</v>
      </c>
      <c r="B137" s="93" t="str">
        <f ca="1" t="shared" si="19"/>
        <v/>
      </c>
      <c r="C137" s="95" t="s">
        <v>235</v>
      </c>
      <c r="D137" s="93" t="s">
        <v>421</v>
      </c>
      <c r="E137" s="95" t="s">
        <v>422</v>
      </c>
      <c r="F137" s="96">
        <v>10115934</v>
      </c>
      <c r="G137" s="96">
        <v>4500031985</v>
      </c>
      <c r="H137" s="97" t="s">
        <v>97</v>
      </c>
      <c r="I137" s="98" t="str">
        <f>IFERROR(VLOOKUP(H137,名称!A:C,2,0),"")</f>
        <v>管道马里奥</v>
      </c>
      <c r="J137" s="99">
        <v>600</v>
      </c>
      <c r="K137" s="98">
        <f>IFERROR(VLOOKUP(H137,名称!A:D,3,0),"")</f>
        <v>4</v>
      </c>
      <c r="L137" s="100">
        <f t="shared" si="20"/>
        <v>150</v>
      </c>
      <c r="M137" s="93">
        <v>46113</v>
      </c>
      <c r="N137" s="93">
        <f t="shared" si="21"/>
        <v>46111</v>
      </c>
      <c r="O137" s="93">
        <v>46092</v>
      </c>
      <c r="P137" s="93" t="s">
        <v>680</v>
      </c>
      <c r="Q137" s="97" t="s">
        <v>692</v>
      </c>
      <c r="R137" s="97" t="s">
        <v>700</v>
      </c>
      <c r="S137" s="93"/>
      <c r="T137" s="93"/>
      <c r="U137" s="93"/>
      <c r="V137" s="93"/>
      <c r="W137" s="97"/>
      <c r="X137" s="100"/>
      <c r="Y137" s="102">
        <v>3.43</v>
      </c>
      <c r="Z137" s="103">
        <f t="shared" si="17"/>
        <v>2058</v>
      </c>
      <c r="AA137" s="103">
        <f t="shared" si="18"/>
        <v>15949.5</v>
      </c>
      <c r="AB137" s="58" t="s">
        <v>738</v>
      </c>
      <c r="AC137" s="93"/>
      <c r="AD137" s="93"/>
      <c r="AE137" s="93" t="str">
        <f>IFERROR(VLOOKUP(H137,名称!A:D,4,0),"")</f>
        <v>KIK</v>
      </c>
      <c r="AF137" s="98"/>
      <c r="AG137" s="105"/>
      <c r="AH137" s="105">
        <v>46044</v>
      </c>
      <c r="AI137" s="105">
        <v>46021</v>
      </c>
      <c r="AJ137" s="105"/>
      <c r="AK137" s="105"/>
      <c r="AL137" s="105"/>
      <c r="AM137" s="105"/>
      <c r="AN137" s="105"/>
      <c r="AO137" s="105"/>
      <c r="AP137" s="100">
        <f t="shared" si="22"/>
        <v>116</v>
      </c>
      <c r="AQ137" s="100">
        <f t="shared" si="23"/>
        <v>92</v>
      </c>
    </row>
    <row r="138" s="89" customFormat="1" hidden="1" customHeight="1" spans="1:45">
      <c r="A138" s="93">
        <v>45997</v>
      </c>
      <c r="B138" s="93" t="str">
        <f ca="1" t="shared" si="19"/>
        <v/>
      </c>
      <c r="C138" s="95" t="s">
        <v>235</v>
      </c>
      <c r="D138" s="93" t="s">
        <v>421</v>
      </c>
      <c r="E138" s="95" t="s">
        <v>422</v>
      </c>
      <c r="F138" s="96">
        <v>10115934</v>
      </c>
      <c r="G138" s="96">
        <v>4500031985</v>
      </c>
      <c r="H138" s="97" t="s">
        <v>97</v>
      </c>
      <c r="I138" s="98" t="str">
        <f>IFERROR(VLOOKUP(H138,名称!A:C,2,0),"")</f>
        <v>管道马里奥</v>
      </c>
      <c r="J138" s="99">
        <f>2500-2000</f>
        <v>500</v>
      </c>
      <c r="K138" s="98">
        <f>IFERROR(VLOOKUP(H138,名称!A:D,3,0),"")</f>
        <v>4</v>
      </c>
      <c r="L138" s="100">
        <f t="shared" si="20"/>
        <v>125</v>
      </c>
      <c r="M138" s="93">
        <v>46113</v>
      </c>
      <c r="N138" s="93">
        <f t="shared" si="21"/>
        <v>46111</v>
      </c>
      <c r="O138" s="93">
        <v>46122</v>
      </c>
      <c r="P138" s="93" t="s">
        <v>680</v>
      </c>
      <c r="Q138" s="97" t="s">
        <v>692</v>
      </c>
      <c r="R138" s="97" t="s">
        <v>700</v>
      </c>
      <c r="S138" s="93"/>
      <c r="T138" s="93"/>
      <c r="U138" s="93"/>
      <c r="V138" s="93"/>
      <c r="W138" s="97"/>
      <c r="X138" s="100"/>
      <c r="Y138" s="102">
        <v>3.43</v>
      </c>
      <c r="Z138" s="103">
        <f t="shared" si="17"/>
        <v>1715</v>
      </c>
      <c r="AA138" s="103">
        <f t="shared" si="18"/>
        <v>13291.25</v>
      </c>
      <c r="AB138" s="58" t="s">
        <v>738</v>
      </c>
      <c r="AC138" s="93"/>
      <c r="AD138" s="93"/>
      <c r="AE138" s="93" t="str">
        <f>IFERROR(VLOOKUP(H138,名称!A:D,4,0),"")</f>
        <v>KIK</v>
      </c>
      <c r="AF138" s="98"/>
      <c r="AG138" s="105"/>
      <c r="AH138" s="105">
        <v>46044</v>
      </c>
      <c r="AI138" s="105">
        <v>46021</v>
      </c>
      <c r="AJ138" s="105"/>
      <c r="AK138" s="105"/>
      <c r="AL138" s="105"/>
      <c r="AM138" s="105"/>
      <c r="AN138" s="105"/>
      <c r="AO138" s="105"/>
      <c r="AP138" s="100">
        <f t="shared" si="22"/>
        <v>116</v>
      </c>
      <c r="AQ138" s="100">
        <f t="shared" si="23"/>
        <v>92</v>
      </c>
    </row>
    <row r="139" s="89" customFormat="1" hidden="1" customHeight="1" spans="1:45">
      <c r="A139" s="93">
        <v>45997</v>
      </c>
      <c r="B139" s="93" t="str">
        <f ca="1" t="shared" si="19"/>
        <v/>
      </c>
      <c r="C139" s="95" t="s">
        <v>235</v>
      </c>
      <c r="D139" s="93" t="s">
        <v>421</v>
      </c>
      <c r="E139" s="95" t="s">
        <v>422</v>
      </c>
      <c r="F139" s="96">
        <v>10115934</v>
      </c>
      <c r="G139" s="96">
        <v>4500031985</v>
      </c>
      <c r="H139" s="97" t="s">
        <v>95</v>
      </c>
      <c r="I139" s="98" t="str">
        <f>IFERROR(VLOOKUP(H139,名称!A:C,2,0),"")</f>
        <v>宝箱马里奥</v>
      </c>
      <c r="J139" s="99">
        <v>3600</v>
      </c>
      <c r="K139" s="98">
        <f>IFERROR(VLOOKUP(H139,名称!A:D,3,0),"")</f>
        <v>4</v>
      </c>
      <c r="L139" s="100">
        <f t="shared" si="20"/>
        <v>900</v>
      </c>
      <c r="M139" s="93">
        <v>46113</v>
      </c>
      <c r="N139" s="93">
        <f t="shared" si="21"/>
        <v>46111</v>
      </c>
      <c r="O139" s="93">
        <v>46112</v>
      </c>
      <c r="P139" s="93" t="s">
        <v>680</v>
      </c>
      <c r="Q139" s="97" t="s">
        <v>692</v>
      </c>
      <c r="R139" s="97" t="s">
        <v>700</v>
      </c>
      <c r="S139" s="93"/>
      <c r="T139" s="93"/>
      <c r="U139" s="93"/>
      <c r="V139" s="93"/>
      <c r="W139" s="97"/>
      <c r="X139" s="100"/>
      <c r="Y139" s="102">
        <v>2.205</v>
      </c>
      <c r="Z139" s="103">
        <f t="shared" si="17"/>
        <v>7938</v>
      </c>
      <c r="AA139" s="103">
        <f t="shared" si="18"/>
        <v>61519.5</v>
      </c>
      <c r="AB139" s="58" t="s">
        <v>738</v>
      </c>
      <c r="AC139" s="93"/>
      <c r="AD139" s="93"/>
      <c r="AE139" s="93" t="str">
        <f>IFERROR(VLOOKUP(H139,名称!A:D,4,0),"")</f>
        <v>KIK</v>
      </c>
      <c r="AF139" s="98"/>
      <c r="AG139" s="105"/>
      <c r="AH139" s="105">
        <v>46044</v>
      </c>
      <c r="AI139" s="105">
        <v>46021</v>
      </c>
      <c r="AJ139" s="105"/>
      <c r="AK139" s="105"/>
      <c r="AL139" s="105"/>
      <c r="AM139" s="105"/>
      <c r="AN139" s="105"/>
      <c r="AO139" s="105"/>
      <c r="AP139" s="100">
        <f t="shared" si="22"/>
        <v>116</v>
      </c>
      <c r="AQ139" s="100">
        <f t="shared" si="23"/>
        <v>92</v>
      </c>
    </row>
    <row r="140" s="89" customFormat="1" hidden="1" customHeight="1" spans="1:45">
      <c r="A140" s="93">
        <v>45997</v>
      </c>
      <c r="B140" s="93" t="str">
        <f ca="1" t="shared" si="19"/>
        <v/>
      </c>
      <c r="C140" s="95" t="s">
        <v>235</v>
      </c>
      <c r="D140" s="93" t="s">
        <v>421</v>
      </c>
      <c r="E140" s="95" t="s">
        <v>422</v>
      </c>
      <c r="F140" s="96">
        <v>10115934</v>
      </c>
      <c r="G140" s="96">
        <v>4500031985</v>
      </c>
      <c r="H140" s="97" t="s">
        <v>95</v>
      </c>
      <c r="I140" s="98" t="str">
        <f>IFERROR(VLOOKUP(H140,名称!A:C,2,0),"")</f>
        <v>宝箱马里奥</v>
      </c>
      <c r="J140" s="99">
        <f>5400-4000</f>
        <v>1400</v>
      </c>
      <c r="K140" s="98">
        <f>IFERROR(VLOOKUP(H140,名称!A:D,3,0),"")</f>
        <v>4</v>
      </c>
      <c r="L140" s="100">
        <f t="shared" si="20"/>
        <v>350</v>
      </c>
      <c r="M140" s="93">
        <v>46113</v>
      </c>
      <c r="N140" s="93">
        <f t="shared" si="21"/>
        <v>46111</v>
      </c>
      <c r="O140" s="93">
        <v>46114</v>
      </c>
      <c r="P140" s="93" t="s">
        <v>680</v>
      </c>
      <c r="Q140" s="97" t="s">
        <v>692</v>
      </c>
      <c r="R140" s="97" t="s">
        <v>700</v>
      </c>
      <c r="S140" s="93"/>
      <c r="T140" s="93"/>
      <c r="U140" s="93"/>
      <c r="V140" s="93"/>
      <c r="W140" s="97"/>
      <c r="X140" s="100"/>
      <c r="Y140" s="102">
        <v>2.205</v>
      </c>
      <c r="Z140" s="103">
        <f t="shared" si="17"/>
        <v>3087</v>
      </c>
      <c r="AA140" s="103">
        <f t="shared" si="18"/>
        <v>23924.25</v>
      </c>
      <c r="AB140" s="58" t="s">
        <v>738</v>
      </c>
      <c r="AC140" s="93"/>
      <c r="AD140" s="93"/>
      <c r="AE140" s="93" t="str">
        <f>IFERROR(VLOOKUP(H140,名称!A:D,4,0),"")</f>
        <v>KIK</v>
      </c>
      <c r="AF140" s="98"/>
      <c r="AG140" s="105"/>
      <c r="AH140" s="105">
        <v>46044</v>
      </c>
      <c r="AI140" s="105">
        <v>46021</v>
      </c>
      <c r="AJ140" s="105"/>
      <c r="AK140" s="105"/>
      <c r="AL140" s="105"/>
      <c r="AM140" s="105"/>
      <c r="AN140" s="105"/>
      <c r="AO140" s="105"/>
      <c r="AP140" s="100">
        <f t="shared" si="22"/>
        <v>116</v>
      </c>
      <c r="AQ140" s="100">
        <f t="shared" si="23"/>
        <v>92</v>
      </c>
    </row>
    <row r="141" s="89" customFormat="1" hidden="1" customHeight="1" spans="1:45">
      <c r="A141" s="93">
        <v>45997</v>
      </c>
      <c r="B141" s="93" t="str">
        <f ca="1" t="shared" si="19"/>
        <v/>
      </c>
      <c r="C141" s="95" t="s">
        <v>235</v>
      </c>
      <c r="D141" s="93" t="s">
        <v>421</v>
      </c>
      <c r="E141" s="95" t="s">
        <v>422</v>
      </c>
      <c r="F141" s="96">
        <v>10115935</v>
      </c>
      <c r="G141" s="96">
        <v>4500031986</v>
      </c>
      <c r="H141" s="97" t="s">
        <v>91</v>
      </c>
      <c r="I141" s="98" t="str">
        <f>IFERROR(VLOOKUP(H141,名称!A:C,2,0),"")</f>
        <v>马里奥和他的蘑菇</v>
      </c>
      <c r="J141" s="99">
        <f>2100-480</f>
        <v>1620</v>
      </c>
      <c r="K141" s="98">
        <f>IFERROR(VLOOKUP(H141,名称!A:D,3,0),"")</f>
        <v>6</v>
      </c>
      <c r="L141" s="100">
        <f t="shared" si="20"/>
        <v>270</v>
      </c>
      <c r="M141" s="93">
        <v>46113</v>
      </c>
      <c r="N141" s="93">
        <f t="shared" si="21"/>
        <v>46111</v>
      </c>
      <c r="O141" s="93">
        <v>46108</v>
      </c>
      <c r="P141" s="93" t="s">
        <v>680</v>
      </c>
      <c r="Q141" s="97" t="s">
        <v>692</v>
      </c>
      <c r="R141" s="97" t="s">
        <v>700</v>
      </c>
      <c r="S141" s="93"/>
      <c r="T141" s="93"/>
      <c r="U141" s="93"/>
      <c r="V141" s="93"/>
      <c r="W141" s="97"/>
      <c r="X141" s="100"/>
      <c r="Y141" s="102">
        <v>1.451</v>
      </c>
      <c r="Z141" s="103">
        <f t="shared" si="17"/>
        <v>2350.62</v>
      </c>
      <c r="AA141" s="103">
        <f t="shared" si="18"/>
        <v>18217.31</v>
      </c>
      <c r="AB141" s="58" t="s">
        <v>738</v>
      </c>
      <c r="AC141" s="93"/>
      <c r="AD141" s="93"/>
      <c r="AE141" s="93" t="str">
        <f>IFERROR(VLOOKUP(H141,名称!A:D,4,0),"")</f>
        <v>KIK</v>
      </c>
      <c r="AF141" s="98"/>
      <c r="AG141" s="105"/>
      <c r="AH141" s="105">
        <v>46044</v>
      </c>
      <c r="AI141" s="105">
        <v>46021</v>
      </c>
      <c r="AJ141" s="105"/>
      <c r="AK141" s="105"/>
      <c r="AL141" s="105"/>
      <c r="AM141" s="105"/>
      <c r="AN141" s="105"/>
      <c r="AO141" s="105"/>
      <c r="AP141" s="100">
        <f t="shared" si="22"/>
        <v>116</v>
      </c>
      <c r="AQ141" s="100">
        <f t="shared" si="23"/>
        <v>92</v>
      </c>
    </row>
    <row r="142" s="89" customFormat="1" hidden="1" customHeight="1" spans="1:45">
      <c r="A142" s="93">
        <v>45997</v>
      </c>
      <c r="B142" s="93" t="str">
        <f ca="1" t="shared" si="19"/>
        <v/>
      </c>
      <c r="C142" s="95" t="s">
        <v>235</v>
      </c>
      <c r="D142" s="93" t="s">
        <v>421</v>
      </c>
      <c r="E142" s="95" t="s">
        <v>422</v>
      </c>
      <c r="F142" s="96">
        <v>10115935</v>
      </c>
      <c r="G142" s="96">
        <v>4500031986</v>
      </c>
      <c r="H142" s="97" t="s">
        <v>153</v>
      </c>
      <c r="I142" s="98" t="str">
        <f>IFERROR(VLOOKUP(H142,名称!A:C,2,0),"")</f>
        <v>能量蘑菇</v>
      </c>
      <c r="J142" s="99">
        <v>1500</v>
      </c>
      <c r="K142" s="98">
        <f>IFERROR(VLOOKUP(H142,名称!A:D,3,0),"")</f>
        <v>6</v>
      </c>
      <c r="L142" s="100">
        <f t="shared" si="20"/>
        <v>250</v>
      </c>
      <c r="M142" s="93">
        <v>46113</v>
      </c>
      <c r="N142" s="93">
        <f t="shared" si="21"/>
        <v>46111</v>
      </c>
      <c r="O142" s="93">
        <v>46122</v>
      </c>
      <c r="P142" s="93" t="s">
        <v>680</v>
      </c>
      <c r="Q142" s="97" t="s">
        <v>692</v>
      </c>
      <c r="R142" s="97" t="s">
        <v>700</v>
      </c>
      <c r="S142" s="93"/>
      <c r="T142" s="93"/>
      <c r="U142" s="93"/>
      <c r="V142" s="93"/>
      <c r="W142" s="97"/>
      <c r="X142" s="100" t="s">
        <v>739</v>
      </c>
      <c r="Y142" s="102">
        <v>1.324</v>
      </c>
      <c r="Z142" s="103">
        <f t="shared" si="17"/>
        <v>1986</v>
      </c>
      <c r="AA142" s="103">
        <f t="shared" si="18"/>
        <v>15391.5</v>
      </c>
      <c r="AB142" s="58" t="s">
        <v>738</v>
      </c>
      <c r="AC142" s="93"/>
      <c r="AD142" s="93"/>
      <c r="AE142" s="93" t="str">
        <f>IFERROR(VLOOKUP(H142,名称!A:D,4,0),"")</f>
        <v>KIK</v>
      </c>
      <c r="AF142" s="98"/>
      <c r="AG142" s="105"/>
      <c r="AH142" s="105">
        <v>46044</v>
      </c>
      <c r="AI142" s="105">
        <v>46021</v>
      </c>
      <c r="AJ142" s="105"/>
      <c r="AK142" s="105"/>
      <c r="AL142" s="105"/>
      <c r="AM142" s="105"/>
      <c r="AN142" s="105"/>
      <c r="AO142" s="105"/>
      <c r="AP142" s="100">
        <f t="shared" si="22"/>
        <v>116</v>
      </c>
      <c r="AQ142" s="100">
        <f t="shared" si="23"/>
        <v>92</v>
      </c>
    </row>
    <row r="143" s="117" customFormat="1" hidden="1" customHeight="1" spans="1:45">
      <c r="A143" s="93">
        <v>46028</v>
      </c>
      <c r="B143" s="93"/>
      <c r="C143" s="95" t="s">
        <v>237</v>
      </c>
      <c r="D143" s="93" t="s">
        <v>726</v>
      </c>
      <c r="E143" s="95" t="s">
        <v>727</v>
      </c>
      <c r="F143" s="96">
        <v>10120677</v>
      </c>
      <c r="G143" s="96" t="s">
        <v>247</v>
      </c>
      <c r="H143" s="97" t="s">
        <v>136</v>
      </c>
      <c r="I143" s="98" t="s">
        <v>728</v>
      </c>
      <c r="J143" s="99">
        <v>1720</v>
      </c>
      <c r="K143" s="98">
        <v>2</v>
      </c>
      <c r="L143" s="100">
        <v>3503</v>
      </c>
      <c r="M143" s="93">
        <v>46113</v>
      </c>
      <c r="N143" s="93">
        <v>46111</v>
      </c>
      <c r="O143" s="93"/>
      <c r="P143" s="93" t="s">
        <v>729</v>
      </c>
      <c r="Q143" s="97" t="s">
        <v>469</v>
      </c>
      <c r="R143" s="97" t="s">
        <v>696</v>
      </c>
      <c r="S143" s="93"/>
      <c r="T143" s="93" t="s">
        <v>452</v>
      </c>
      <c r="U143" s="93"/>
      <c r="V143" s="93"/>
      <c r="W143" s="97"/>
      <c r="X143" s="100"/>
      <c r="Y143" s="102">
        <v>4.837</v>
      </c>
      <c r="Z143" s="103">
        <f t="shared" si="17"/>
        <v>8319.64</v>
      </c>
      <c r="AA143" s="103">
        <f t="shared" si="18"/>
        <v>64477.21</v>
      </c>
      <c r="AB143" s="58" t="s">
        <v>740</v>
      </c>
      <c r="AC143" s="93"/>
      <c r="AD143" s="93"/>
      <c r="AE143" s="93" t="s">
        <v>12</v>
      </c>
      <c r="AF143" s="98"/>
      <c r="AG143" s="105"/>
      <c r="AH143" s="105">
        <v>46092</v>
      </c>
      <c r="AI143" s="105">
        <v>46051</v>
      </c>
      <c r="AJ143" s="105"/>
      <c r="AK143" s="105"/>
      <c r="AL143" s="105"/>
      <c r="AM143" s="105"/>
      <c r="AN143" s="105"/>
      <c r="AO143" s="105"/>
      <c r="AP143" s="100">
        <v>85</v>
      </c>
      <c r="AQ143" s="126">
        <v>62</v>
      </c>
      <c r="AR143" s="121"/>
      <c r="AS143" s="121"/>
    </row>
    <row r="144" s="117" customFormat="1" hidden="1" customHeight="1" spans="1:45">
      <c r="A144" s="93">
        <v>46028</v>
      </c>
      <c r="B144" s="93"/>
      <c r="C144" s="95" t="s">
        <v>237</v>
      </c>
      <c r="D144" s="93" t="s">
        <v>726</v>
      </c>
      <c r="E144" s="95" t="s">
        <v>727</v>
      </c>
      <c r="F144" s="96">
        <v>10120677</v>
      </c>
      <c r="G144" s="96" t="s">
        <v>247</v>
      </c>
      <c r="H144" s="97" t="s">
        <v>136</v>
      </c>
      <c r="I144" s="98" t="s">
        <v>728</v>
      </c>
      <c r="J144" s="99">
        <v>1774</v>
      </c>
      <c r="K144" s="98">
        <v>2</v>
      </c>
      <c r="L144" s="100">
        <v>3503</v>
      </c>
      <c r="M144" s="93">
        <v>46113</v>
      </c>
      <c r="N144" s="93">
        <v>46111</v>
      </c>
      <c r="O144" s="93"/>
      <c r="P144" s="93" t="s">
        <v>729</v>
      </c>
      <c r="Q144" s="97" t="s">
        <v>469</v>
      </c>
      <c r="R144" s="97" t="s">
        <v>696</v>
      </c>
      <c r="S144" s="93"/>
      <c r="T144" s="93" t="s">
        <v>452</v>
      </c>
      <c r="U144" s="93"/>
      <c r="V144" s="93"/>
      <c r="W144" s="97"/>
      <c r="X144" s="100"/>
      <c r="Y144" s="102">
        <v>4.837</v>
      </c>
      <c r="Z144" s="103">
        <f t="shared" si="17"/>
        <v>8580.84</v>
      </c>
      <c r="AA144" s="103">
        <f t="shared" si="18"/>
        <v>66501.51</v>
      </c>
      <c r="AB144" s="58" t="s">
        <v>741</v>
      </c>
      <c r="AC144" s="93"/>
      <c r="AD144" s="93"/>
      <c r="AE144" s="93" t="s">
        <v>12</v>
      </c>
      <c r="AF144" s="98"/>
      <c r="AG144" s="105"/>
      <c r="AH144" s="105">
        <v>46092</v>
      </c>
      <c r="AI144" s="105">
        <v>46051</v>
      </c>
      <c r="AJ144" s="105"/>
      <c r="AK144" s="105"/>
      <c r="AL144" s="105"/>
      <c r="AM144" s="105"/>
      <c r="AN144" s="105"/>
      <c r="AO144" s="105"/>
      <c r="AP144" s="100">
        <v>85</v>
      </c>
      <c r="AQ144" s="126">
        <v>62</v>
      </c>
      <c r="AR144" s="121"/>
      <c r="AS144" s="121"/>
    </row>
    <row r="145" s="117" customFormat="1" hidden="1" customHeight="1" spans="1:45">
      <c r="A145" s="93">
        <v>46028</v>
      </c>
      <c r="B145" s="93"/>
      <c r="C145" s="95" t="s">
        <v>237</v>
      </c>
      <c r="D145" s="93" t="s">
        <v>726</v>
      </c>
      <c r="E145" s="95" t="s">
        <v>727</v>
      </c>
      <c r="F145" s="96">
        <v>10120677</v>
      </c>
      <c r="G145" s="96" t="s">
        <v>247</v>
      </c>
      <c r="H145" s="97" t="s">
        <v>136</v>
      </c>
      <c r="I145" s="98" t="s">
        <v>728</v>
      </c>
      <c r="J145" s="99">
        <v>3288</v>
      </c>
      <c r="K145" s="98">
        <v>2</v>
      </c>
      <c r="L145" s="100">
        <v>3503</v>
      </c>
      <c r="M145" s="93">
        <v>46113</v>
      </c>
      <c r="N145" s="93">
        <v>46111</v>
      </c>
      <c r="O145" s="93"/>
      <c r="P145" s="93" t="s">
        <v>729</v>
      </c>
      <c r="Q145" s="97" t="s">
        <v>469</v>
      </c>
      <c r="R145" s="97" t="s">
        <v>696</v>
      </c>
      <c r="S145" s="93"/>
      <c r="T145" s="93" t="s">
        <v>452</v>
      </c>
      <c r="U145" s="93"/>
      <c r="V145" s="93"/>
      <c r="W145" s="97"/>
      <c r="X145" s="100"/>
      <c r="Y145" s="102">
        <v>4.837</v>
      </c>
      <c r="Z145" s="103">
        <f t="shared" si="17"/>
        <v>15904.06</v>
      </c>
      <c r="AA145" s="103">
        <f t="shared" si="18"/>
        <v>123256.47</v>
      </c>
      <c r="AB145" s="58" t="s">
        <v>742</v>
      </c>
      <c r="AC145" s="93"/>
      <c r="AD145" s="93"/>
      <c r="AE145" s="93" t="s">
        <v>12</v>
      </c>
      <c r="AF145" s="98"/>
      <c r="AG145" s="105"/>
      <c r="AH145" s="105">
        <v>46092</v>
      </c>
      <c r="AI145" s="105">
        <v>46051</v>
      </c>
      <c r="AJ145" s="105"/>
      <c r="AK145" s="105"/>
      <c r="AL145" s="105"/>
      <c r="AM145" s="105"/>
      <c r="AN145" s="105"/>
      <c r="AO145" s="105"/>
      <c r="AP145" s="100">
        <v>85</v>
      </c>
      <c r="AQ145" s="126">
        <v>62</v>
      </c>
      <c r="AR145" s="121"/>
      <c r="AS145" s="121"/>
    </row>
    <row r="146" s="117" customFormat="1" hidden="1" customHeight="1" spans="1:45">
      <c r="A146" s="93">
        <v>46028</v>
      </c>
      <c r="B146" s="93"/>
      <c r="C146" s="95" t="s">
        <v>237</v>
      </c>
      <c r="D146" s="93" t="s">
        <v>726</v>
      </c>
      <c r="E146" s="95" t="s">
        <v>727</v>
      </c>
      <c r="F146" s="96">
        <v>10120677</v>
      </c>
      <c r="G146" s="96" t="s">
        <v>247</v>
      </c>
      <c r="H146" s="97" t="s">
        <v>136</v>
      </c>
      <c r="I146" s="98" t="s">
        <v>728</v>
      </c>
      <c r="J146" s="99">
        <v>2070</v>
      </c>
      <c r="K146" s="98">
        <v>2</v>
      </c>
      <c r="L146" s="100">
        <v>3503</v>
      </c>
      <c r="M146" s="93">
        <v>46113</v>
      </c>
      <c r="N146" s="93">
        <v>46111</v>
      </c>
      <c r="O146" s="93"/>
      <c r="P146" s="93" t="s">
        <v>729</v>
      </c>
      <c r="Q146" s="97" t="s">
        <v>469</v>
      </c>
      <c r="R146" s="97" t="s">
        <v>696</v>
      </c>
      <c r="S146" s="93"/>
      <c r="T146" s="93" t="s">
        <v>452</v>
      </c>
      <c r="U146" s="93"/>
      <c r="V146" s="93"/>
      <c r="W146" s="97"/>
      <c r="X146" s="100"/>
      <c r="Y146" s="102">
        <v>4.837</v>
      </c>
      <c r="Z146" s="103">
        <f t="shared" si="17"/>
        <v>10012.59</v>
      </c>
      <c r="AA146" s="103">
        <f t="shared" si="18"/>
        <v>77597.57</v>
      </c>
      <c r="AB146" s="58" t="s">
        <v>743</v>
      </c>
      <c r="AC146" s="93"/>
      <c r="AD146" s="93"/>
      <c r="AE146" s="93" t="s">
        <v>12</v>
      </c>
      <c r="AF146" s="98"/>
      <c r="AG146" s="105"/>
      <c r="AH146" s="105">
        <v>46092</v>
      </c>
      <c r="AI146" s="105">
        <v>46051</v>
      </c>
      <c r="AJ146" s="105"/>
      <c r="AK146" s="105"/>
      <c r="AL146" s="105"/>
      <c r="AM146" s="105"/>
      <c r="AN146" s="105"/>
      <c r="AO146" s="105"/>
      <c r="AP146" s="100">
        <v>85</v>
      </c>
      <c r="AQ146" s="126">
        <v>62</v>
      </c>
      <c r="AR146" s="121"/>
      <c r="AS146" s="121"/>
    </row>
    <row r="147" s="117" customFormat="1" hidden="1" customHeight="1" spans="1:45">
      <c r="A147" s="93">
        <v>46028</v>
      </c>
      <c r="B147" s="93"/>
      <c r="C147" s="95" t="s">
        <v>237</v>
      </c>
      <c r="D147" s="93" t="s">
        <v>726</v>
      </c>
      <c r="E147" s="95" t="s">
        <v>727</v>
      </c>
      <c r="F147" s="96">
        <v>10120677</v>
      </c>
      <c r="G147" s="96" t="s">
        <v>247</v>
      </c>
      <c r="H147" s="97" t="s">
        <v>136</v>
      </c>
      <c r="I147" s="98" t="s">
        <v>728</v>
      </c>
      <c r="J147" s="99">
        <v>1642</v>
      </c>
      <c r="K147" s="98">
        <v>2</v>
      </c>
      <c r="L147" s="100">
        <v>3503</v>
      </c>
      <c r="M147" s="93">
        <v>46113</v>
      </c>
      <c r="N147" s="93">
        <v>46111</v>
      </c>
      <c r="O147" s="93"/>
      <c r="P147" s="93" t="s">
        <v>729</v>
      </c>
      <c r="Q147" s="97" t="s">
        <v>469</v>
      </c>
      <c r="R147" s="97" t="s">
        <v>696</v>
      </c>
      <c r="S147" s="93"/>
      <c r="T147" s="93" t="s">
        <v>452</v>
      </c>
      <c r="U147" s="93"/>
      <c r="V147" s="93"/>
      <c r="W147" s="97"/>
      <c r="X147" s="100"/>
      <c r="Y147" s="102">
        <v>4.837</v>
      </c>
      <c r="Z147" s="103">
        <f t="shared" si="17"/>
        <v>7942.35</v>
      </c>
      <c r="AA147" s="103">
        <f t="shared" si="18"/>
        <v>61553.21</v>
      </c>
      <c r="AB147" s="58" t="s">
        <v>744</v>
      </c>
      <c r="AC147" s="93"/>
      <c r="AD147" s="93"/>
      <c r="AE147" s="93" t="s">
        <v>12</v>
      </c>
      <c r="AF147" s="98"/>
      <c r="AG147" s="105"/>
      <c r="AH147" s="105">
        <v>46092</v>
      </c>
      <c r="AI147" s="105">
        <v>46051</v>
      </c>
      <c r="AJ147" s="105"/>
      <c r="AK147" s="105"/>
      <c r="AL147" s="105"/>
      <c r="AM147" s="105"/>
      <c r="AN147" s="105"/>
      <c r="AO147" s="105"/>
      <c r="AP147" s="100">
        <v>85</v>
      </c>
      <c r="AQ147" s="126">
        <v>62</v>
      </c>
      <c r="AR147" s="121"/>
      <c r="AS147" s="121"/>
    </row>
    <row r="148" s="117" customFormat="1" hidden="1" customHeight="1" spans="1:45">
      <c r="A148" s="93">
        <v>46028</v>
      </c>
      <c r="B148" s="93"/>
      <c r="C148" s="95" t="s">
        <v>237</v>
      </c>
      <c r="D148" s="93" t="s">
        <v>726</v>
      </c>
      <c r="E148" s="95" t="s">
        <v>727</v>
      </c>
      <c r="F148" s="96">
        <v>10120677</v>
      </c>
      <c r="G148" s="96" t="s">
        <v>247</v>
      </c>
      <c r="H148" s="97" t="s">
        <v>136</v>
      </c>
      <c r="I148" s="98" t="s">
        <v>728</v>
      </c>
      <c r="J148" s="99">
        <v>2148</v>
      </c>
      <c r="K148" s="98">
        <v>2</v>
      </c>
      <c r="L148" s="100">
        <v>3503</v>
      </c>
      <c r="M148" s="93">
        <v>46113</v>
      </c>
      <c r="N148" s="93">
        <v>46111</v>
      </c>
      <c r="O148" s="93"/>
      <c r="P148" s="93" t="s">
        <v>729</v>
      </c>
      <c r="Q148" s="97" t="s">
        <v>469</v>
      </c>
      <c r="R148" s="97" t="s">
        <v>696</v>
      </c>
      <c r="S148" s="93"/>
      <c r="T148" s="93" t="s">
        <v>452</v>
      </c>
      <c r="U148" s="93"/>
      <c r="V148" s="93"/>
      <c r="W148" s="97"/>
      <c r="X148" s="100"/>
      <c r="Y148" s="102">
        <v>4.837</v>
      </c>
      <c r="Z148" s="103">
        <f t="shared" si="17"/>
        <v>10389.88</v>
      </c>
      <c r="AA148" s="103">
        <f t="shared" si="18"/>
        <v>80521.57</v>
      </c>
      <c r="AB148" s="58" t="s">
        <v>745</v>
      </c>
      <c r="AC148" s="93"/>
      <c r="AD148" s="93"/>
      <c r="AE148" s="93" t="s">
        <v>12</v>
      </c>
      <c r="AF148" s="98"/>
      <c r="AG148" s="105"/>
      <c r="AH148" s="105">
        <v>46092</v>
      </c>
      <c r="AI148" s="105">
        <v>46051</v>
      </c>
      <c r="AJ148" s="105"/>
      <c r="AK148" s="105"/>
      <c r="AL148" s="105"/>
      <c r="AM148" s="105"/>
      <c r="AN148" s="105"/>
      <c r="AO148" s="105"/>
      <c r="AP148" s="100">
        <v>85</v>
      </c>
      <c r="AQ148" s="126">
        <v>62</v>
      </c>
    </row>
    <row r="149" s="117" customFormat="1" hidden="1" customHeight="1" spans="1:45">
      <c r="A149" s="93">
        <v>46028</v>
      </c>
      <c r="B149" s="93"/>
      <c r="C149" s="95" t="s">
        <v>237</v>
      </c>
      <c r="D149" s="93" t="s">
        <v>726</v>
      </c>
      <c r="E149" s="95" t="s">
        <v>727</v>
      </c>
      <c r="F149" s="96">
        <v>10120677</v>
      </c>
      <c r="G149" s="96" t="s">
        <v>247</v>
      </c>
      <c r="H149" s="97" t="s">
        <v>136</v>
      </c>
      <c r="I149" s="98" t="s">
        <v>728</v>
      </c>
      <c r="J149" s="99">
        <v>2128</v>
      </c>
      <c r="K149" s="98">
        <v>2</v>
      </c>
      <c r="L149" s="100">
        <v>3503</v>
      </c>
      <c r="M149" s="93">
        <v>46113</v>
      </c>
      <c r="N149" s="93">
        <v>46111</v>
      </c>
      <c r="O149" s="93"/>
      <c r="P149" s="93" t="s">
        <v>729</v>
      </c>
      <c r="Q149" s="97" t="s">
        <v>469</v>
      </c>
      <c r="R149" s="97" t="s">
        <v>696</v>
      </c>
      <c r="S149" s="93"/>
      <c r="T149" s="93" t="s">
        <v>452</v>
      </c>
      <c r="U149" s="93"/>
      <c r="V149" s="93"/>
      <c r="W149" s="97"/>
      <c r="X149" s="100"/>
      <c r="Y149" s="102">
        <v>4.837</v>
      </c>
      <c r="Z149" s="103">
        <f t="shared" si="17"/>
        <v>10293.14</v>
      </c>
      <c r="AA149" s="103">
        <f t="shared" si="18"/>
        <v>79771.84</v>
      </c>
      <c r="AB149" s="58" t="s">
        <v>746</v>
      </c>
      <c r="AC149" s="93"/>
      <c r="AD149" s="93"/>
      <c r="AE149" s="93" t="s">
        <v>12</v>
      </c>
      <c r="AF149" s="98"/>
      <c r="AG149" s="105"/>
      <c r="AH149" s="105">
        <v>46092</v>
      </c>
      <c r="AI149" s="105">
        <v>46051</v>
      </c>
      <c r="AJ149" s="105"/>
      <c r="AK149" s="105"/>
      <c r="AL149" s="105"/>
      <c r="AM149" s="105"/>
      <c r="AN149" s="105"/>
      <c r="AO149" s="105"/>
      <c r="AP149" s="100">
        <v>85</v>
      </c>
      <c r="AQ149" s="126">
        <v>62</v>
      </c>
    </row>
    <row r="150" s="117" customFormat="1" hidden="1" customHeight="1" spans="1:45">
      <c r="A150" s="93">
        <v>46028</v>
      </c>
      <c r="B150" s="93"/>
      <c r="C150" s="95" t="s">
        <v>237</v>
      </c>
      <c r="D150" s="93" t="s">
        <v>726</v>
      </c>
      <c r="E150" s="95" t="s">
        <v>727</v>
      </c>
      <c r="F150" s="96">
        <v>10120677</v>
      </c>
      <c r="G150" s="96" t="s">
        <v>247</v>
      </c>
      <c r="H150" s="97" t="s">
        <v>136</v>
      </c>
      <c r="I150" s="98" t="s">
        <v>728</v>
      </c>
      <c r="J150" s="99">
        <v>1916</v>
      </c>
      <c r="K150" s="98">
        <v>2</v>
      </c>
      <c r="L150" s="100">
        <v>3503</v>
      </c>
      <c r="M150" s="93">
        <v>46113</v>
      </c>
      <c r="N150" s="93">
        <v>46111</v>
      </c>
      <c r="O150" s="93"/>
      <c r="P150" s="93" t="s">
        <v>729</v>
      </c>
      <c r="Q150" s="97" t="s">
        <v>469</v>
      </c>
      <c r="R150" s="97" t="s">
        <v>696</v>
      </c>
      <c r="S150" s="93"/>
      <c r="T150" s="93" t="s">
        <v>452</v>
      </c>
      <c r="U150" s="93"/>
      <c r="V150" s="93"/>
      <c r="W150" s="97"/>
      <c r="X150" s="100"/>
      <c r="Y150" s="102">
        <v>4.837</v>
      </c>
      <c r="Z150" s="103">
        <f t="shared" si="17"/>
        <v>9267.69</v>
      </c>
      <c r="AA150" s="103">
        <f t="shared" si="18"/>
        <v>71824.6</v>
      </c>
      <c r="AB150" s="58" t="s">
        <v>747</v>
      </c>
      <c r="AC150" s="93"/>
      <c r="AD150" s="93"/>
      <c r="AE150" s="93" t="s">
        <v>12</v>
      </c>
      <c r="AF150" s="98"/>
      <c r="AG150" s="105"/>
      <c r="AH150" s="105">
        <v>46092</v>
      </c>
      <c r="AI150" s="105">
        <v>46051</v>
      </c>
      <c r="AJ150" s="105"/>
      <c r="AK150" s="105"/>
      <c r="AL150" s="105"/>
      <c r="AM150" s="105"/>
      <c r="AN150" s="105"/>
      <c r="AO150" s="105"/>
      <c r="AP150" s="100">
        <v>85</v>
      </c>
      <c r="AQ150" s="126">
        <v>62</v>
      </c>
    </row>
    <row r="151" s="117" customFormat="1" hidden="1" customHeight="1" spans="1:45">
      <c r="A151" s="93">
        <v>46028</v>
      </c>
      <c r="B151" s="93"/>
      <c r="C151" s="95" t="s">
        <v>237</v>
      </c>
      <c r="D151" s="93" t="s">
        <v>726</v>
      </c>
      <c r="E151" s="95" t="s">
        <v>727</v>
      </c>
      <c r="F151" s="96">
        <v>10120677</v>
      </c>
      <c r="G151" s="96" t="s">
        <v>247</v>
      </c>
      <c r="H151" s="97" t="s">
        <v>136</v>
      </c>
      <c r="I151" s="98" t="s">
        <v>728</v>
      </c>
      <c r="J151" s="99">
        <v>790</v>
      </c>
      <c r="K151" s="98">
        <v>2</v>
      </c>
      <c r="L151" s="100">
        <v>3503</v>
      </c>
      <c r="M151" s="93">
        <v>46113</v>
      </c>
      <c r="N151" s="93">
        <v>46111</v>
      </c>
      <c r="O151" s="93"/>
      <c r="P151" s="93" t="s">
        <v>729</v>
      </c>
      <c r="Q151" s="97" t="s">
        <v>469</v>
      </c>
      <c r="R151" s="97" t="s">
        <v>696</v>
      </c>
      <c r="S151" s="93"/>
      <c r="T151" s="93" t="s">
        <v>452</v>
      </c>
      <c r="U151" s="93"/>
      <c r="V151" s="93"/>
      <c r="W151" s="97"/>
      <c r="X151" s="100"/>
      <c r="Y151" s="102">
        <v>4.837</v>
      </c>
      <c r="Z151" s="103">
        <f t="shared" si="17"/>
        <v>3821.23</v>
      </c>
      <c r="AA151" s="103">
        <f t="shared" si="18"/>
        <v>29614.53</v>
      </c>
      <c r="AB151" s="58" t="s">
        <v>748</v>
      </c>
      <c r="AC151" s="93"/>
      <c r="AD151" s="93"/>
      <c r="AE151" s="93" t="s">
        <v>12</v>
      </c>
      <c r="AF151" s="98"/>
      <c r="AG151" s="105"/>
      <c r="AH151" s="105">
        <v>46092</v>
      </c>
      <c r="AI151" s="105">
        <v>46051</v>
      </c>
      <c r="AJ151" s="105"/>
      <c r="AK151" s="105"/>
      <c r="AL151" s="105"/>
      <c r="AM151" s="105"/>
      <c r="AN151" s="105"/>
      <c r="AO151" s="105"/>
      <c r="AP151" s="100">
        <v>85</v>
      </c>
      <c r="AQ151" s="126">
        <v>62</v>
      </c>
    </row>
    <row r="152" s="117" customFormat="1" hidden="1" customHeight="1" spans="1:45">
      <c r="A152" s="93">
        <v>46028</v>
      </c>
      <c r="B152" s="93"/>
      <c r="C152" s="95" t="s">
        <v>237</v>
      </c>
      <c r="D152" s="93" t="s">
        <v>726</v>
      </c>
      <c r="E152" s="95" t="s">
        <v>727</v>
      </c>
      <c r="F152" s="96">
        <v>10120677</v>
      </c>
      <c r="G152" s="96" t="s">
        <v>247</v>
      </c>
      <c r="H152" s="97" t="s">
        <v>136</v>
      </c>
      <c r="I152" s="98" t="s">
        <v>728</v>
      </c>
      <c r="J152" s="99">
        <v>2846</v>
      </c>
      <c r="K152" s="98">
        <v>2</v>
      </c>
      <c r="L152" s="100">
        <v>3503</v>
      </c>
      <c r="M152" s="93">
        <v>46113</v>
      </c>
      <c r="N152" s="93">
        <v>46111</v>
      </c>
      <c r="O152" s="93"/>
      <c r="P152" s="93" t="s">
        <v>729</v>
      </c>
      <c r="Q152" s="97" t="s">
        <v>469</v>
      </c>
      <c r="R152" s="97" t="s">
        <v>696</v>
      </c>
      <c r="S152" s="93"/>
      <c r="T152" s="93" t="s">
        <v>452</v>
      </c>
      <c r="U152" s="93"/>
      <c r="V152" s="93"/>
      <c r="W152" s="97"/>
      <c r="X152" s="100"/>
      <c r="Y152" s="102">
        <v>4.837</v>
      </c>
      <c r="Z152" s="103">
        <f t="shared" si="17"/>
        <v>13766.1</v>
      </c>
      <c r="AA152" s="103">
        <f t="shared" si="18"/>
        <v>106687.28</v>
      </c>
      <c r="AB152" s="58" t="s">
        <v>749</v>
      </c>
      <c r="AC152" s="93"/>
      <c r="AD152" s="93"/>
      <c r="AE152" s="93" t="s">
        <v>12</v>
      </c>
      <c r="AF152" s="98"/>
      <c r="AG152" s="105"/>
      <c r="AH152" s="105">
        <v>46092</v>
      </c>
      <c r="AI152" s="105">
        <v>46051</v>
      </c>
      <c r="AJ152" s="105"/>
      <c r="AK152" s="105"/>
      <c r="AL152" s="105"/>
      <c r="AM152" s="105"/>
      <c r="AN152" s="105"/>
      <c r="AO152" s="105"/>
      <c r="AP152" s="100">
        <v>85</v>
      </c>
      <c r="AQ152" s="126">
        <v>62</v>
      </c>
    </row>
    <row r="153" s="117" customFormat="1" hidden="1" customHeight="1" spans="1:45">
      <c r="A153" s="93">
        <v>46028</v>
      </c>
      <c r="B153" s="93"/>
      <c r="C153" s="95" t="s">
        <v>237</v>
      </c>
      <c r="D153" s="93" t="s">
        <v>726</v>
      </c>
      <c r="E153" s="95" t="s">
        <v>727</v>
      </c>
      <c r="F153" s="96">
        <v>10120677</v>
      </c>
      <c r="G153" s="96" t="s">
        <v>247</v>
      </c>
      <c r="H153" s="97" t="s">
        <v>136</v>
      </c>
      <c r="I153" s="98" t="s">
        <v>728</v>
      </c>
      <c r="J153" s="99">
        <v>1482</v>
      </c>
      <c r="K153" s="98">
        <v>2</v>
      </c>
      <c r="L153" s="100">
        <v>3503</v>
      </c>
      <c r="M153" s="93">
        <v>46113</v>
      </c>
      <c r="N153" s="93">
        <v>46111</v>
      </c>
      <c r="O153" s="93"/>
      <c r="P153" s="93" t="s">
        <v>729</v>
      </c>
      <c r="Q153" s="97" t="s">
        <v>469</v>
      </c>
      <c r="R153" s="97" t="s">
        <v>696</v>
      </c>
      <c r="S153" s="93"/>
      <c r="T153" s="93" t="s">
        <v>452</v>
      </c>
      <c r="U153" s="93"/>
      <c r="V153" s="93"/>
      <c r="W153" s="97"/>
      <c r="X153" s="100"/>
      <c r="Y153" s="102">
        <v>4.837</v>
      </c>
      <c r="Z153" s="103">
        <f t="shared" si="17"/>
        <v>7168.43</v>
      </c>
      <c r="AA153" s="103">
        <f t="shared" si="18"/>
        <v>55555.33</v>
      </c>
      <c r="AB153" s="58" t="s">
        <v>750</v>
      </c>
      <c r="AC153" s="93"/>
      <c r="AD153" s="93"/>
      <c r="AE153" s="93" t="s">
        <v>12</v>
      </c>
      <c r="AF153" s="98"/>
      <c r="AG153" s="105"/>
      <c r="AH153" s="105">
        <v>46092</v>
      </c>
      <c r="AI153" s="105">
        <v>46051</v>
      </c>
      <c r="AJ153" s="105"/>
      <c r="AK153" s="105"/>
      <c r="AL153" s="105"/>
      <c r="AM153" s="105"/>
      <c r="AN153" s="105"/>
      <c r="AO153" s="105"/>
      <c r="AP153" s="100">
        <v>85</v>
      </c>
      <c r="AQ153" s="126">
        <v>62</v>
      </c>
    </row>
    <row r="154" s="117" customFormat="1" hidden="1" customHeight="1" spans="1:45">
      <c r="A154" s="93">
        <v>46028</v>
      </c>
      <c r="B154" s="93"/>
      <c r="C154" s="95" t="s">
        <v>237</v>
      </c>
      <c r="D154" s="93" t="s">
        <v>726</v>
      </c>
      <c r="E154" s="95" t="s">
        <v>727</v>
      </c>
      <c r="F154" s="96">
        <v>10120677</v>
      </c>
      <c r="G154" s="96" t="s">
        <v>247</v>
      </c>
      <c r="H154" s="97" t="s">
        <v>136</v>
      </c>
      <c r="I154" s="98" t="s">
        <v>728</v>
      </c>
      <c r="J154" s="99">
        <v>830</v>
      </c>
      <c r="K154" s="98">
        <v>2</v>
      </c>
      <c r="L154" s="100">
        <v>3503</v>
      </c>
      <c r="M154" s="93">
        <v>46113</v>
      </c>
      <c r="N154" s="93">
        <v>46111</v>
      </c>
      <c r="O154" s="93"/>
      <c r="P154" s="93" t="s">
        <v>729</v>
      </c>
      <c r="Q154" s="97" t="s">
        <v>469</v>
      </c>
      <c r="R154" s="97" t="s">
        <v>696</v>
      </c>
      <c r="S154" s="93"/>
      <c r="T154" s="93" t="s">
        <v>452</v>
      </c>
      <c r="U154" s="93"/>
      <c r="V154" s="93"/>
      <c r="W154" s="97"/>
      <c r="X154" s="100"/>
      <c r="Y154" s="102">
        <v>4.837</v>
      </c>
      <c r="Z154" s="103">
        <f t="shared" si="17"/>
        <v>4014.71</v>
      </c>
      <c r="AA154" s="103">
        <f t="shared" si="18"/>
        <v>31114</v>
      </c>
      <c r="AB154" s="58" t="s">
        <v>751</v>
      </c>
      <c r="AC154" s="93"/>
      <c r="AD154" s="93"/>
      <c r="AE154" s="93" t="s">
        <v>12</v>
      </c>
      <c r="AF154" s="98"/>
      <c r="AG154" s="105"/>
      <c r="AH154" s="105">
        <v>46092</v>
      </c>
      <c r="AI154" s="105">
        <v>46051</v>
      </c>
      <c r="AJ154" s="105"/>
      <c r="AK154" s="105"/>
      <c r="AL154" s="105"/>
      <c r="AM154" s="105"/>
      <c r="AN154" s="105"/>
      <c r="AO154" s="105"/>
      <c r="AP154" s="100">
        <v>85</v>
      </c>
      <c r="AQ154" s="126">
        <v>62</v>
      </c>
    </row>
    <row r="155" s="117" customFormat="1" hidden="1" customHeight="1" spans="1:45">
      <c r="A155" s="93">
        <v>46028</v>
      </c>
      <c r="B155" s="93"/>
      <c r="C155" s="95" t="s">
        <v>237</v>
      </c>
      <c r="D155" s="93" t="s">
        <v>726</v>
      </c>
      <c r="E155" s="95" t="s">
        <v>727</v>
      </c>
      <c r="F155" s="96">
        <v>10120677</v>
      </c>
      <c r="G155" s="96" t="s">
        <v>247</v>
      </c>
      <c r="H155" s="97" t="s">
        <v>136</v>
      </c>
      <c r="I155" s="98" t="s">
        <v>728</v>
      </c>
      <c r="J155" s="99">
        <v>2142</v>
      </c>
      <c r="K155" s="98">
        <v>2</v>
      </c>
      <c r="L155" s="100">
        <v>3503</v>
      </c>
      <c r="M155" s="93">
        <v>46113</v>
      </c>
      <c r="N155" s="93">
        <v>46111</v>
      </c>
      <c r="O155" s="93"/>
      <c r="P155" s="93" t="s">
        <v>729</v>
      </c>
      <c r="Q155" s="97" t="s">
        <v>469</v>
      </c>
      <c r="R155" s="97" t="s">
        <v>696</v>
      </c>
      <c r="S155" s="93"/>
      <c r="T155" s="93" t="s">
        <v>452</v>
      </c>
      <c r="U155" s="93"/>
      <c r="V155" s="93"/>
      <c r="W155" s="97"/>
      <c r="X155" s="100"/>
      <c r="Y155" s="102">
        <v>4.837</v>
      </c>
      <c r="Z155" s="103">
        <f t="shared" si="17"/>
        <v>10360.85</v>
      </c>
      <c r="AA155" s="103">
        <f t="shared" si="18"/>
        <v>80296.59</v>
      </c>
      <c r="AB155" s="58" t="s">
        <v>752</v>
      </c>
      <c r="AC155" s="93"/>
      <c r="AD155" s="93"/>
      <c r="AE155" s="93" t="s">
        <v>12</v>
      </c>
      <c r="AF155" s="98"/>
      <c r="AG155" s="105"/>
      <c r="AH155" s="105">
        <v>46092</v>
      </c>
      <c r="AI155" s="105">
        <v>46051</v>
      </c>
      <c r="AJ155" s="105"/>
      <c r="AK155" s="105"/>
      <c r="AL155" s="105"/>
      <c r="AM155" s="105"/>
      <c r="AN155" s="105"/>
      <c r="AO155" s="105"/>
      <c r="AP155" s="100">
        <v>85</v>
      </c>
      <c r="AQ155" s="126">
        <v>62</v>
      </c>
    </row>
    <row r="156" s="117" customFormat="1" hidden="1" customHeight="1" spans="1:45">
      <c r="A156" s="93">
        <v>46028</v>
      </c>
      <c r="B156" s="93"/>
      <c r="C156" s="95" t="s">
        <v>237</v>
      </c>
      <c r="D156" s="93" t="s">
        <v>726</v>
      </c>
      <c r="E156" s="95" t="s">
        <v>727</v>
      </c>
      <c r="F156" s="96">
        <v>10120677</v>
      </c>
      <c r="G156" s="96" t="s">
        <v>247</v>
      </c>
      <c r="H156" s="97" t="s">
        <v>136</v>
      </c>
      <c r="I156" s="98" t="s">
        <v>728</v>
      </c>
      <c r="J156" s="99">
        <v>2518</v>
      </c>
      <c r="K156" s="98">
        <v>2</v>
      </c>
      <c r="L156" s="100">
        <v>3503</v>
      </c>
      <c r="M156" s="93">
        <v>46113</v>
      </c>
      <c r="N156" s="93">
        <v>46111</v>
      </c>
      <c r="O156" s="93"/>
      <c r="P156" s="93" t="s">
        <v>729</v>
      </c>
      <c r="Q156" s="97" t="s">
        <v>469</v>
      </c>
      <c r="R156" s="97" t="s">
        <v>696</v>
      </c>
      <c r="S156" s="93"/>
      <c r="T156" s="93" t="s">
        <v>452</v>
      </c>
      <c r="U156" s="93"/>
      <c r="V156" s="93"/>
      <c r="W156" s="97"/>
      <c r="X156" s="100"/>
      <c r="Y156" s="102">
        <v>4.837</v>
      </c>
      <c r="Z156" s="103">
        <f t="shared" si="17"/>
        <v>12179.57</v>
      </c>
      <c r="AA156" s="103">
        <f t="shared" si="18"/>
        <v>94391.67</v>
      </c>
      <c r="AB156" s="58" t="s">
        <v>753</v>
      </c>
      <c r="AC156" s="93"/>
      <c r="AD156" s="93"/>
      <c r="AE156" s="93" t="s">
        <v>12</v>
      </c>
      <c r="AF156" s="98"/>
      <c r="AG156" s="105"/>
      <c r="AH156" s="105">
        <v>46092</v>
      </c>
      <c r="AI156" s="105">
        <v>46051</v>
      </c>
      <c r="AJ156" s="105"/>
      <c r="AK156" s="105"/>
      <c r="AL156" s="105"/>
      <c r="AM156" s="105"/>
      <c r="AN156" s="105"/>
      <c r="AO156" s="105"/>
      <c r="AP156" s="100">
        <v>85</v>
      </c>
      <c r="AQ156" s="126">
        <v>62</v>
      </c>
    </row>
    <row r="157" s="117" customFormat="1" hidden="1" customHeight="1" spans="1:45">
      <c r="A157" s="93">
        <v>46028</v>
      </c>
      <c r="B157" s="93"/>
      <c r="C157" s="95" t="s">
        <v>237</v>
      </c>
      <c r="D157" s="93" t="s">
        <v>726</v>
      </c>
      <c r="E157" s="95" t="s">
        <v>727</v>
      </c>
      <c r="F157" s="96">
        <v>10120677</v>
      </c>
      <c r="G157" s="96" t="s">
        <v>247</v>
      </c>
      <c r="H157" s="97" t="s">
        <v>136</v>
      </c>
      <c r="I157" s="98" t="s">
        <v>728</v>
      </c>
      <c r="J157" s="99">
        <v>1390</v>
      </c>
      <c r="K157" s="98">
        <v>2</v>
      </c>
      <c r="L157" s="100">
        <v>3503</v>
      </c>
      <c r="M157" s="93">
        <v>46113</v>
      </c>
      <c r="N157" s="93">
        <v>46111</v>
      </c>
      <c r="O157" s="93"/>
      <c r="P157" s="93" t="s">
        <v>729</v>
      </c>
      <c r="Q157" s="97" t="s">
        <v>469</v>
      </c>
      <c r="R157" s="97" t="s">
        <v>696</v>
      </c>
      <c r="S157" s="93"/>
      <c r="T157" s="93" t="s">
        <v>452</v>
      </c>
      <c r="U157" s="93"/>
      <c r="V157" s="93"/>
      <c r="W157" s="97"/>
      <c r="X157" s="100"/>
      <c r="Y157" s="102">
        <v>4.837</v>
      </c>
      <c r="Z157" s="103">
        <f t="shared" si="17"/>
        <v>6723.43</v>
      </c>
      <c r="AA157" s="103">
        <f t="shared" si="18"/>
        <v>52106.58</v>
      </c>
      <c r="AB157" s="58" t="s">
        <v>754</v>
      </c>
      <c r="AC157" s="93"/>
      <c r="AD157" s="93"/>
      <c r="AE157" s="93" t="s">
        <v>12</v>
      </c>
      <c r="AF157" s="98"/>
      <c r="AG157" s="105"/>
      <c r="AH157" s="105">
        <v>46092</v>
      </c>
      <c r="AI157" s="105">
        <v>46051</v>
      </c>
      <c r="AJ157" s="105"/>
      <c r="AK157" s="105"/>
      <c r="AL157" s="105"/>
      <c r="AM157" s="105"/>
      <c r="AN157" s="105"/>
      <c r="AO157" s="105"/>
      <c r="AP157" s="100">
        <v>85</v>
      </c>
      <c r="AQ157" s="126">
        <v>62</v>
      </c>
    </row>
    <row r="158" s="117" customFormat="1" hidden="1" customHeight="1" spans="1:45">
      <c r="A158" s="93">
        <v>46028</v>
      </c>
      <c r="B158" s="93"/>
      <c r="C158" s="95" t="s">
        <v>237</v>
      </c>
      <c r="D158" s="93" t="s">
        <v>726</v>
      </c>
      <c r="E158" s="95" t="s">
        <v>727</v>
      </c>
      <c r="F158" s="96">
        <v>10120677</v>
      </c>
      <c r="G158" s="96" t="s">
        <v>247</v>
      </c>
      <c r="H158" s="97" t="s">
        <v>136</v>
      </c>
      <c r="I158" s="98" t="s">
        <v>728</v>
      </c>
      <c r="J158" s="99">
        <v>956</v>
      </c>
      <c r="K158" s="98">
        <v>2</v>
      </c>
      <c r="L158" s="100">
        <v>3503</v>
      </c>
      <c r="M158" s="93">
        <v>46113</v>
      </c>
      <c r="N158" s="93">
        <v>46111</v>
      </c>
      <c r="O158" s="93"/>
      <c r="P158" s="93" t="s">
        <v>729</v>
      </c>
      <c r="Q158" s="97" t="s">
        <v>469</v>
      </c>
      <c r="R158" s="97" t="s">
        <v>696</v>
      </c>
      <c r="S158" s="93"/>
      <c r="T158" s="93" t="s">
        <v>452</v>
      </c>
      <c r="U158" s="93"/>
      <c r="V158" s="93"/>
      <c r="W158" s="97"/>
      <c r="X158" s="100"/>
      <c r="Y158" s="102">
        <v>4.837</v>
      </c>
      <c r="Z158" s="103">
        <f t="shared" si="17"/>
        <v>4624.17</v>
      </c>
      <c r="AA158" s="103">
        <f t="shared" si="18"/>
        <v>35837.32</v>
      </c>
      <c r="AB158" s="58" t="s">
        <v>755</v>
      </c>
      <c r="AC158" s="93"/>
      <c r="AD158" s="93"/>
      <c r="AE158" s="93" t="s">
        <v>12</v>
      </c>
      <c r="AF158" s="98"/>
      <c r="AG158" s="105"/>
      <c r="AH158" s="105">
        <v>46092</v>
      </c>
      <c r="AI158" s="105">
        <v>46051</v>
      </c>
      <c r="AJ158" s="105"/>
      <c r="AK158" s="105"/>
      <c r="AL158" s="105"/>
      <c r="AM158" s="105"/>
      <c r="AN158" s="105"/>
      <c r="AO158" s="105"/>
      <c r="AP158" s="100">
        <v>85</v>
      </c>
      <c r="AQ158" s="126">
        <v>62</v>
      </c>
    </row>
    <row r="159" s="117" customFormat="1" hidden="1" customHeight="1" spans="1:45">
      <c r="A159" s="93">
        <v>46032</v>
      </c>
      <c r="B159" s="93" t="str">
        <f ca="1">IF(TODAY()&gt;=A159,IF(R159="","未",""),"")</f>
        <v/>
      </c>
      <c r="C159" s="95" t="s">
        <v>237</v>
      </c>
      <c r="D159" s="93" t="s">
        <v>427</v>
      </c>
      <c r="E159" s="95" t="s">
        <v>428</v>
      </c>
      <c r="F159" s="96">
        <v>10118802</v>
      </c>
      <c r="G159" s="96">
        <v>202600770053</v>
      </c>
      <c r="H159" s="97" t="s">
        <v>48</v>
      </c>
      <c r="I159" s="98" t="str">
        <f>IFERROR(VLOOKUP(H159,名称!A:C,2,0),"")</f>
        <v>布鲁伊家族杯子套装</v>
      </c>
      <c r="J159" s="99">
        <v>2268</v>
      </c>
      <c r="K159" s="98">
        <f>IFERROR(VLOOKUP(H159,名称!A:D,3,0),"")</f>
        <v>4</v>
      </c>
      <c r="L159" s="100">
        <f>IFERROR((J159/K159),"")</f>
        <v>567</v>
      </c>
      <c r="M159" s="93">
        <v>46092</v>
      </c>
      <c r="N159" s="93">
        <f>M159-2</f>
        <v>46090</v>
      </c>
      <c r="O159" s="93"/>
      <c r="P159" s="93" t="s">
        <v>680</v>
      </c>
      <c r="Q159" s="97" t="s">
        <v>430</v>
      </c>
      <c r="R159" s="97" t="s">
        <v>712</v>
      </c>
      <c r="S159" s="93" t="s">
        <v>756</v>
      </c>
      <c r="T159" s="93"/>
      <c r="U159" s="93"/>
      <c r="V159" s="93"/>
      <c r="W159" s="97"/>
      <c r="X159" s="100"/>
      <c r="Y159" s="102">
        <v>2.199</v>
      </c>
      <c r="Z159" s="103">
        <f t="shared" si="17"/>
        <v>4987.33</v>
      </c>
      <c r="AA159" s="103">
        <f t="shared" si="18"/>
        <v>38651.81</v>
      </c>
      <c r="AB159" s="58" t="s">
        <v>705</v>
      </c>
      <c r="AC159" s="93"/>
      <c r="AD159" s="93"/>
      <c r="AE159" s="93" t="str">
        <f>IFERROR(VLOOKUP(H159,名称!A:D,4,0),"")</f>
        <v>KIK</v>
      </c>
      <c r="AF159" s="98"/>
      <c r="AG159" s="105"/>
      <c r="AH159" s="105">
        <v>46092</v>
      </c>
      <c r="AI159" s="105">
        <v>46051</v>
      </c>
      <c r="AJ159" s="105"/>
      <c r="AK159" s="105"/>
      <c r="AL159" s="105"/>
      <c r="AM159" s="105"/>
      <c r="AN159" s="105"/>
      <c r="AO159" s="106">
        <f>M159-A159</f>
        <v>60</v>
      </c>
      <c r="AP159" s="106">
        <f>M159-AI159</f>
        <v>41</v>
      </c>
      <c r="AQ159" s="89"/>
    </row>
    <row r="160" s="117" customFormat="1" hidden="1" customHeight="1" spans="1:45">
      <c r="A160" s="93">
        <v>46032</v>
      </c>
      <c r="B160" s="93" t="s">
        <v>467</v>
      </c>
      <c r="C160" s="95" t="s">
        <v>237</v>
      </c>
      <c r="D160" s="93" t="s">
        <v>427</v>
      </c>
      <c r="E160" s="95" t="s">
        <v>428</v>
      </c>
      <c r="F160" s="96">
        <v>10118802</v>
      </c>
      <c r="G160" s="96">
        <v>202600770053</v>
      </c>
      <c r="H160" s="97" t="s">
        <v>48</v>
      </c>
      <c r="I160" s="98" t="s">
        <v>757</v>
      </c>
      <c r="J160" s="99">
        <v>1732</v>
      </c>
      <c r="K160" s="98">
        <v>4</v>
      </c>
      <c r="L160" s="100">
        <v>433</v>
      </c>
      <c r="M160" s="93">
        <v>46092</v>
      </c>
      <c r="N160" s="93">
        <v>46090</v>
      </c>
      <c r="O160" s="93">
        <v>46092</v>
      </c>
      <c r="P160" s="93" t="s">
        <v>680</v>
      </c>
      <c r="Q160" s="97" t="s">
        <v>430</v>
      </c>
      <c r="R160" s="97" t="s">
        <v>736</v>
      </c>
      <c r="S160" s="93" t="s">
        <v>758</v>
      </c>
      <c r="T160" s="93"/>
      <c r="U160" s="93"/>
      <c r="V160" s="93"/>
      <c r="W160" s="97"/>
      <c r="X160" s="100"/>
      <c r="Y160" s="102">
        <v>2.199</v>
      </c>
      <c r="Z160" s="103">
        <f t="shared" si="17"/>
        <v>3808.67</v>
      </c>
      <c r="AA160" s="103">
        <f t="shared" si="18"/>
        <v>29517.19</v>
      </c>
      <c r="AB160" s="58" t="s">
        <v>678</v>
      </c>
      <c r="AC160" s="93"/>
      <c r="AD160" s="93"/>
      <c r="AE160" s="93" t="s">
        <v>12</v>
      </c>
      <c r="AF160" s="98"/>
      <c r="AG160" s="105"/>
      <c r="AH160" s="105">
        <v>46092</v>
      </c>
      <c r="AI160" s="105">
        <v>46051</v>
      </c>
      <c r="AJ160" s="105"/>
      <c r="AK160" s="105"/>
      <c r="AL160" s="105"/>
      <c r="AM160" s="105"/>
      <c r="AN160" s="105"/>
      <c r="AO160" s="105"/>
      <c r="AP160" s="100">
        <v>60</v>
      </c>
      <c r="AQ160" s="126">
        <v>41</v>
      </c>
    </row>
    <row r="161" s="117" customFormat="1" hidden="1" customHeight="1" spans="1:43">
      <c r="A161" s="93">
        <v>46046</v>
      </c>
      <c r="B161" s="93" t="str">
        <f ca="1">IF(TODAY()&gt;=A161,IF(R161="","未",""),"")</f>
        <v/>
      </c>
      <c r="C161" s="95" t="s">
        <v>237</v>
      </c>
      <c r="D161" s="93" t="s">
        <v>427</v>
      </c>
      <c r="E161" s="95" t="s">
        <v>438</v>
      </c>
      <c r="F161" s="96">
        <v>10119724</v>
      </c>
      <c r="G161" s="96" t="s">
        <v>252</v>
      </c>
      <c r="H161" s="97" t="s">
        <v>111</v>
      </c>
      <c r="I161" s="98" t="str">
        <f>IFERROR(VLOOKUP(H161,名称!A:C,2,0),"")</f>
        <v>黄色铲车</v>
      </c>
      <c r="J161" s="99">
        <v>4</v>
      </c>
      <c r="K161" s="98">
        <f>IFERROR(VLOOKUP(H161,名称!A:D,3,0),"")</f>
        <v>4</v>
      </c>
      <c r="L161" s="100">
        <f>IFERROR((J161/K161),"")</f>
        <v>1</v>
      </c>
      <c r="M161" s="93">
        <v>46092</v>
      </c>
      <c r="N161" s="93">
        <f>M161-2</f>
        <v>46090</v>
      </c>
      <c r="O161" s="93">
        <v>46092</v>
      </c>
      <c r="P161" s="93" t="s">
        <v>680</v>
      </c>
      <c r="Q161" s="97" t="s">
        <v>430</v>
      </c>
      <c r="R161" s="97" t="s">
        <v>703</v>
      </c>
      <c r="S161" s="93"/>
      <c r="T161" s="93" t="s">
        <v>452</v>
      </c>
      <c r="U161" s="93"/>
      <c r="V161" s="93"/>
      <c r="W161" s="97"/>
      <c r="X161" s="123" t="s">
        <v>759</v>
      </c>
      <c r="Y161" s="102">
        <v>3.727</v>
      </c>
      <c r="Z161" s="103">
        <f t="shared" si="17"/>
        <v>14.91</v>
      </c>
      <c r="AA161" s="103">
        <f t="shared" si="18"/>
        <v>115.55</v>
      </c>
      <c r="AB161" s="58" t="s">
        <v>760</v>
      </c>
      <c r="AC161" s="93"/>
      <c r="AD161" s="93"/>
      <c r="AE161" s="93" t="str">
        <f>IFERROR(VLOOKUP(H161,名称!A:D,4,0),"")</f>
        <v>KIK</v>
      </c>
      <c r="AF161" s="98"/>
      <c r="AG161" s="105"/>
      <c r="AH161" s="105"/>
      <c r="AI161" s="105"/>
      <c r="AJ161" s="105"/>
      <c r="AK161" s="105"/>
      <c r="AL161" s="105"/>
      <c r="AM161" s="105"/>
      <c r="AN161" s="105"/>
      <c r="AO161" s="106">
        <f>M161-A161</f>
        <v>46</v>
      </c>
      <c r="AP161" s="106">
        <f>M161-AI161</f>
        <v>46092</v>
      </c>
      <c r="AQ161" s="89"/>
    </row>
    <row r="162" s="117" customFormat="1" hidden="1" customHeight="1" spans="1:43">
      <c r="A162" s="93">
        <v>46046</v>
      </c>
      <c r="B162" s="93" t="str">
        <f ca="1">IF(TODAY()&gt;=A162,IF(R162="","未",""),"")</f>
        <v/>
      </c>
      <c r="C162" s="95" t="s">
        <v>237</v>
      </c>
      <c r="D162" s="93" t="s">
        <v>427</v>
      </c>
      <c r="E162" s="95" t="s">
        <v>438</v>
      </c>
      <c r="F162" s="96">
        <v>10119724</v>
      </c>
      <c r="G162" s="96" t="s">
        <v>252</v>
      </c>
      <c r="H162" s="97" t="s">
        <v>113</v>
      </c>
      <c r="I162" s="98" t="str">
        <f>IFERROR(VLOOKUP(H162,名称!A:C,2,0),"")</f>
        <v>绿色铲车</v>
      </c>
      <c r="J162" s="99">
        <v>2</v>
      </c>
      <c r="K162" s="98">
        <f>IFERROR(VLOOKUP(H162,名称!A:D,3,0),"")</f>
        <v>2</v>
      </c>
      <c r="L162" s="100">
        <f>IFERROR((J162/K162),"")</f>
        <v>1</v>
      </c>
      <c r="M162" s="93">
        <v>46092</v>
      </c>
      <c r="N162" s="93">
        <f>M162-2</f>
        <v>46090</v>
      </c>
      <c r="O162" s="93">
        <v>46094</v>
      </c>
      <c r="P162" s="93" t="s">
        <v>680</v>
      </c>
      <c r="Q162" s="97" t="s">
        <v>430</v>
      </c>
      <c r="R162" s="97" t="s">
        <v>703</v>
      </c>
      <c r="S162" s="93"/>
      <c r="T162" s="93" t="s">
        <v>452</v>
      </c>
      <c r="U162" s="93"/>
      <c r="V162" s="93"/>
      <c r="W162" s="97"/>
      <c r="X162" s="123" t="s">
        <v>759</v>
      </c>
      <c r="Y162" s="102">
        <v>5.9</v>
      </c>
      <c r="Z162" s="103">
        <f t="shared" si="17"/>
        <v>11.8</v>
      </c>
      <c r="AA162" s="103">
        <f t="shared" si="18"/>
        <v>91.45</v>
      </c>
      <c r="AB162" s="58" t="s">
        <v>760</v>
      </c>
      <c r="AC162" s="93"/>
      <c r="AD162" s="93"/>
      <c r="AE162" s="93" t="str">
        <f>IFERROR(VLOOKUP(H162,名称!A:D,4,0),"")</f>
        <v>KIK</v>
      </c>
      <c r="AF162" s="98"/>
      <c r="AG162" s="105"/>
      <c r="AH162" s="105"/>
      <c r="AI162" s="105"/>
      <c r="AJ162" s="105"/>
      <c r="AK162" s="105"/>
      <c r="AL162" s="105"/>
      <c r="AM162" s="105"/>
      <c r="AN162" s="105"/>
      <c r="AO162" s="106">
        <f>M162-A162</f>
        <v>46</v>
      </c>
      <c r="AP162" s="106">
        <f>M162-AI162</f>
        <v>46092</v>
      </c>
      <c r="AQ162" s="89"/>
    </row>
    <row r="163" s="117" customFormat="1" hidden="1" customHeight="1" spans="1:43">
      <c r="A163" s="93">
        <v>46046</v>
      </c>
      <c r="B163" s="93" t="str">
        <f ca="1">IF(TODAY()&gt;=A163,IF(R163="","未",""),"")</f>
        <v/>
      </c>
      <c r="C163" s="95" t="s">
        <v>237</v>
      </c>
      <c r="D163" s="93" t="s">
        <v>427</v>
      </c>
      <c r="E163" s="95" t="s">
        <v>438</v>
      </c>
      <c r="F163" s="96">
        <v>10119724</v>
      </c>
      <c r="G163" s="96" t="s">
        <v>252</v>
      </c>
      <c r="H163" s="97" t="s">
        <v>109</v>
      </c>
      <c r="I163" s="98" t="str">
        <f>IFERROR(VLOOKUP(H163,名称!A:C,2,0),"")</f>
        <v>红色铲车</v>
      </c>
      <c r="J163" s="99">
        <v>4</v>
      </c>
      <c r="K163" s="98">
        <f>IFERROR(VLOOKUP(H163,名称!A:D,3,0),"")</f>
        <v>4</v>
      </c>
      <c r="L163" s="100">
        <f>IFERROR((J163/K163),"")</f>
        <v>1</v>
      </c>
      <c r="M163" s="93">
        <v>46092</v>
      </c>
      <c r="N163" s="93">
        <f>M163-2</f>
        <v>46090</v>
      </c>
      <c r="O163" s="93">
        <v>46093</v>
      </c>
      <c r="P163" s="93" t="s">
        <v>680</v>
      </c>
      <c r="Q163" s="97" t="s">
        <v>430</v>
      </c>
      <c r="R163" s="97" t="s">
        <v>703</v>
      </c>
      <c r="S163" s="93"/>
      <c r="T163" s="93"/>
      <c r="U163" s="93"/>
      <c r="V163" s="93"/>
      <c r="W163" s="97"/>
      <c r="X163" s="123" t="s">
        <v>759</v>
      </c>
      <c r="Y163" s="102">
        <v>3.796</v>
      </c>
      <c r="Z163" s="103">
        <f t="shared" si="17"/>
        <v>15.18</v>
      </c>
      <c r="AA163" s="103">
        <f t="shared" si="18"/>
        <v>117.65</v>
      </c>
      <c r="AB163" s="58" t="s">
        <v>760</v>
      </c>
      <c r="AC163" s="93"/>
      <c r="AD163" s="93"/>
      <c r="AE163" s="93" t="str">
        <f>IFERROR(VLOOKUP(H163,名称!A:D,4,0),"")</f>
        <v>KIK</v>
      </c>
      <c r="AF163" s="98"/>
      <c r="AG163" s="105"/>
      <c r="AH163" s="105"/>
      <c r="AI163" s="105"/>
      <c r="AJ163" s="105"/>
      <c r="AK163" s="105"/>
      <c r="AL163" s="105"/>
      <c r="AM163" s="105"/>
      <c r="AN163" s="105"/>
      <c r="AO163" s="106">
        <f>M163-A163</f>
        <v>46</v>
      </c>
      <c r="AP163" s="106">
        <f>M163-AI163</f>
        <v>46092</v>
      </c>
      <c r="AQ163" s="89"/>
    </row>
    <row r="164" s="89" customFormat="1" hidden="1" customHeight="1" spans="1:43">
      <c r="A164" s="93">
        <v>45997</v>
      </c>
      <c r="B164" s="93" t="s">
        <v>467</v>
      </c>
      <c r="C164" s="95" t="s">
        <v>235</v>
      </c>
      <c r="D164" s="93" t="s">
        <v>421</v>
      </c>
      <c r="E164" s="95" t="s">
        <v>422</v>
      </c>
      <c r="F164" s="96">
        <v>10115935</v>
      </c>
      <c r="G164" s="96">
        <v>4500031986</v>
      </c>
      <c r="H164" s="97" t="s">
        <v>141</v>
      </c>
      <c r="I164" s="98" t="s">
        <v>761</v>
      </c>
      <c r="J164" s="99">
        <v>600</v>
      </c>
      <c r="K164" s="98">
        <v>6</v>
      </c>
      <c r="L164" s="100">
        <v>100</v>
      </c>
      <c r="M164" s="93">
        <v>46113</v>
      </c>
      <c r="N164" s="93">
        <v>46111</v>
      </c>
      <c r="O164" s="93"/>
      <c r="P164" s="93" t="s">
        <v>680</v>
      </c>
      <c r="Q164" s="97" t="s">
        <v>692</v>
      </c>
      <c r="R164" s="97" t="s">
        <v>700</v>
      </c>
      <c r="S164" s="93"/>
      <c r="T164" s="93"/>
      <c r="U164" s="93"/>
      <c r="V164" s="93"/>
      <c r="W164" s="97"/>
      <c r="X164" s="100" t="s">
        <v>739</v>
      </c>
      <c r="Y164" s="120">
        <v>2.398</v>
      </c>
      <c r="Z164" s="103">
        <v>1438.8</v>
      </c>
      <c r="AA164" s="103">
        <v>11150.7</v>
      </c>
      <c r="AB164" s="58" t="s">
        <v>762</v>
      </c>
      <c r="AC164" s="93"/>
      <c r="AD164" s="93"/>
      <c r="AE164" s="93" t="s">
        <v>12</v>
      </c>
      <c r="AF164" s="98"/>
      <c r="AG164" s="105"/>
      <c r="AH164" s="105">
        <v>46044</v>
      </c>
      <c r="AI164" s="105">
        <v>46021</v>
      </c>
      <c r="AJ164" s="105"/>
      <c r="AK164" s="105"/>
      <c r="AL164" s="105"/>
      <c r="AM164" s="105"/>
      <c r="AN164" s="105"/>
      <c r="AO164" s="105"/>
      <c r="AP164" s="100">
        <v>116</v>
      </c>
      <c r="AQ164" s="100">
        <v>92</v>
      </c>
    </row>
    <row r="165" s="89" customFormat="1" hidden="1" customHeight="1" spans="1:43">
      <c r="A165" s="93">
        <v>45997</v>
      </c>
      <c r="B165" s="93" t="s">
        <v>467</v>
      </c>
      <c r="C165" s="95" t="s">
        <v>235</v>
      </c>
      <c r="D165" s="93" t="s">
        <v>421</v>
      </c>
      <c r="E165" s="95" t="s">
        <v>422</v>
      </c>
      <c r="F165" s="96">
        <v>10115935</v>
      </c>
      <c r="G165" s="96">
        <v>4500031986</v>
      </c>
      <c r="H165" s="97" t="s">
        <v>141</v>
      </c>
      <c r="I165" s="98" t="s">
        <v>761</v>
      </c>
      <c r="J165" s="99">
        <v>1800</v>
      </c>
      <c r="K165" s="98">
        <v>6</v>
      </c>
      <c r="L165" s="100">
        <v>300</v>
      </c>
      <c r="M165" s="93">
        <v>46113</v>
      </c>
      <c r="N165" s="93">
        <v>46111</v>
      </c>
      <c r="O165" s="93"/>
      <c r="P165" s="93" t="s">
        <v>680</v>
      </c>
      <c r="Q165" s="97" t="s">
        <v>692</v>
      </c>
      <c r="R165" s="97" t="s">
        <v>700</v>
      </c>
      <c r="S165" s="93"/>
      <c r="T165" s="93"/>
      <c r="U165" s="93"/>
      <c r="V165" s="93"/>
      <c r="W165" s="97"/>
      <c r="X165" s="100" t="s">
        <v>739</v>
      </c>
      <c r="Y165" s="120">
        <v>2.398</v>
      </c>
      <c r="Z165" s="103">
        <v>4316.4</v>
      </c>
      <c r="AA165" s="103">
        <v>33452.1</v>
      </c>
      <c r="AB165" s="58" t="s">
        <v>762</v>
      </c>
      <c r="AC165" s="93"/>
      <c r="AD165" s="93"/>
      <c r="AE165" s="93" t="s">
        <v>12</v>
      </c>
      <c r="AF165" s="98"/>
      <c r="AG165" s="105"/>
      <c r="AH165" s="105">
        <v>46044</v>
      </c>
      <c r="AI165" s="105">
        <v>46021</v>
      </c>
      <c r="AJ165" s="105"/>
      <c r="AK165" s="105"/>
      <c r="AL165" s="105"/>
      <c r="AM165" s="105"/>
      <c r="AN165" s="105"/>
      <c r="AO165" s="105"/>
      <c r="AP165" s="100">
        <v>116</v>
      </c>
      <c r="AQ165" s="100">
        <v>92</v>
      </c>
    </row>
    <row r="166" s="89" customFormat="1" hidden="1" customHeight="1" spans="1:43">
      <c r="A166" s="93">
        <v>46038</v>
      </c>
      <c r="B166" s="93" t="s">
        <v>467</v>
      </c>
      <c r="C166" s="95" t="s">
        <v>248</v>
      </c>
      <c r="D166" s="93" t="s">
        <v>421</v>
      </c>
      <c r="E166" s="95" t="s">
        <v>422</v>
      </c>
      <c r="F166" s="96">
        <v>10119190</v>
      </c>
      <c r="G166" s="96">
        <v>4500032133</v>
      </c>
      <c r="H166" s="97" t="s">
        <v>62</v>
      </c>
      <c r="I166" s="98" t="s">
        <v>483</v>
      </c>
      <c r="J166" s="99">
        <v>4100</v>
      </c>
      <c r="K166" s="98">
        <v>4</v>
      </c>
      <c r="L166" s="100">
        <v>1025</v>
      </c>
      <c r="M166" s="93">
        <v>46127</v>
      </c>
      <c r="N166" s="93">
        <v>46125</v>
      </c>
      <c r="O166" s="93">
        <v>46122</v>
      </c>
      <c r="P166" s="93" t="s">
        <v>717</v>
      </c>
      <c r="Q166" s="97" t="s">
        <v>424</v>
      </c>
      <c r="R166" s="97" t="s">
        <v>763</v>
      </c>
      <c r="S166" s="93"/>
      <c r="T166" s="93"/>
      <c r="U166" s="93"/>
      <c r="V166" s="93"/>
      <c r="W166" s="97"/>
      <c r="X166" s="100"/>
      <c r="Y166" s="102">
        <v>3.243</v>
      </c>
      <c r="Z166" s="103">
        <v>13296.3</v>
      </c>
      <c r="AA166" s="103">
        <v>103046.33</v>
      </c>
      <c r="AB166" s="58" t="s">
        <v>762</v>
      </c>
      <c r="AC166" s="93"/>
      <c r="AD166" s="93"/>
      <c r="AE166" s="93" t="s">
        <v>12</v>
      </c>
      <c r="AF166" s="98"/>
      <c r="AG166" s="105"/>
      <c r="AH166" s="105">
        <v>46092</v>
      </c>
      <c r="AI166" s="105">
        <v>46059</v>
      </c>
      <c r="AJ166" s="105"/>
      <c r="AK166" s="105"/>
      <c r="AL166" s="105"/>
      <c r="AM166" s="105"/>
      <c r="AN166" s="105"/>
      <c r="AO166" s="105"/>
      <c r="AP166" s="100">
        <v>89</v>
      </c>
      <c r="AQ166" s="100">
        <v>68</v>
      </c>
    </row>
    <row r="167" s="89" customFormat="1" hidden="1" customHeight="1" spans="1:43">
      <c r="A167" s="93">
        <v>46038</v>
      </c>
      <c r="B167" s="93" t="s">
        <v>467</v>
      </c>
      <c r="C167" s="95" t="s">
        <v>248</v>
      </c>
      <c r="D167" s="93" t="s">
        <v>421</v>
      </c>
      <c r="E167" s="95" t="s">
        <v>422</v>
      </c>
      <c r="F167" s="96">
        <v>10119190</v>
      </c>
      <c r="G167" s="96">
        <v>4500032133</v>
      </c>
      <c r="H167" s="97" t="s">
        <v>64</v>
      </c>
      <c r="I167" s="98" t="s">
        <v>764</v>
      </c>
      <c r="J167" s="99">
        <v>3420</v>
      </c>
      <c r="K167" s="98">
        <v>4</v>
      </c>
      <c r="L167" s="100">
        <v>855</v>
      </c>
      <c r="M167" s="93">
        <v>46127</v>
      </c>
      <c r="N167" s="93">
        <v>46125</v>
      </c>
      <c r="O167" s="93"/>
      <c r="P167" s="93" t="s">
        <v>717</v>
      </c>
      <c r="Q167" s="97" t="s">
        <v>424</v>
      </c>
      <c r="R167" s="97" t="s">
        <v>763</v>
      </c>
      <c r="S167" s="93"/>
      <c r="T167" s="93"/>
      <c r="U167" s="93"/>
      <c r="V167" s="93"/>
      <c r="W167" s="97"/>
      <c r="X167" s="100"/>
      <c r="Y167" s="102">
        <v>2.364</v>
      </c>
      <c r="Z167" s="103">
        <v>8084.88</v>
      </c>
      <c r="AA167" s="103">
        <v>62657.82</v>
      </c>
      <c r="AB167" s="58" t="s">
        <v>762</v>
      </c>
      <c r="AC167" s="93"/>
      <c r="AD167" s="93"/>
      <c r="AE167" s="93" t="s">
        <v>12</v>
      </c>
      <c r="AF167" s="98"/>
      <c r="AG167" s="105"/>
      <c r="AH167" s="105">
        <v>46092</v>
      </c>
      <c r="AI167" s="105">
        <v>46059</v>
      </c>
      <c r="AJ167" s="105"/>
      <c r="AK167" s="105"/>
      <c r="AL167" s="105"/>
      <c r="AM167" s="105"/>
      <c r="AN167" s="105"/>
      <c r="AO167" s="105"/>
      <c r="AP167" s="100">
        <v>89</v>
      </c>
      <c r="AQ167" s="100">
        <v>68</v>
      </c>
    </row>
    <row r="168" s="89" customFormat="1" hidden="1" customHeight="1" spans="1:43">
      <c r="A168" s="93">
        <v>46046</v>
      </c>
      <c r="B168" s="93" t="str">
        <f ca="1" t="shared" ref="B168:B182" si="24">IF(TODAY()&gt;=A168,IF(R168="","未",""),"")</f>
        <v/>
      </c>
      <c r="C168" s="95" t="s">
        <v>237</v>
      </c>
      <c r="D168" s="93" t="s">
        <v>427</v>
      </c>
      <c r="E168" s="95" t="s">
        <v>438</v>
      </c>
      <c r="F168" s="96">
        <v>10119724</v>
      </c>
      <c r="G168" s="96" t="s">
        <v>252</v>
      </c>
      <c r="H168" s="97" t="s">
        <v>107</v>
      </c>
      <c r="I168" s="98" t="str">
        <f>IFERROR(VLOOKUP(H168,名称!A:C,2,0),"")</f>
        <v>农场女孩套装</v>
      </c>
      <c r="J168" s="99">
        <v>4</v>
      </c>
      <c r="K168" s="98">
        <f>IFERROR(VLOOKUP(H168,名称!A:D,3,0),"")</f>
        <v>4</v>
      </c>
      <c r="L168" s="100">
        <f t="shared" ref="L168:L188" si="25">IFERROR((J168/K168),"")</f>
        <v>1</v>
      </c>
      <c r="M168" s="93">
        <v>46113</v>
      </c>
      <c r="N168" s="93">
        <f t="shared" ref="N168:N188" si="26">M168-2</f>
        <v>46111</v>
      </c>
      <c r="O168" s="93">
        <v>46108</v>
      </c>
      <c r="P168" s="93" t="s">
        <v>680</v>
      </c>
      <c r="Q168" s="97" t="s">
        <v>430</v>
      </c>
      <c r="R168" s="97" t="s">
        <v>707</v>
      </c>
      <c r="S168" s="93"/>
      <c r="T168" s="93" t="s">
        <v>452</v>
      </c>
      <c r="U168" s="93"/>
      <c r="V168" s="93"/>
      <c r="W168" s="97"/>
      <c r="X168" s="123" t="s">
        <v>759</v>
      </c>
      <c r="Y168" s="102">
        <v>4.809</v>
      </c>
      <c r="Z168" s="103">
        <f t="shared" ref="Z168:Z188" si="27">J168*Y168</f>
        <v>19.24</v>
      </c>
      <c r="AA168" s="103">
        <f t="shared" ref="AA168:AA188" si="28">Z168*7.75</f>
        <v>149.11</v>
      </c>
      <c r="AB168" s="58" t="s">
        <v>765</v>
      </c>
      <c r="AC168" s="93"/>
      <c r="AD168" s="93"/>
      <c r="AE168" s="93" t="str">
        <f>IFERROR(VLOOKUP(H168,名称!A:D,4,0),"")</f>
        <v>KIK</v>
      </c>
      <c r="AF168" s="98"/>
      <c r="AG168" s="105"/>
      <c r="AH168" s="105"/>
      <c r="AI168" s="105"/>
      <c r="AJ168" s="105"/>
      <c r="AK168" s="105"/>
      <c r="AL168" s="105"/>
      <c r="AM168" s="105"/>
      <c r="AN168" s="105"/>
      <c r="AO168" s="105"/>
      <c r="AP168" s="100">
        <f t="shared" ref="AP168:AP206" si="29">M168-A168</f>
        <v>67</v>
      </c>
      <c r="AQ168" s="100">
        <f t="shared" ref="AQ168:AQ206" si="30">M168-AI168</f>
        <v>46113</v>
      </c>
    </row>
    <row r="169" s="89" customFormat="1" hidden="1" customHeight="1" spans="1:43">
      <c r="A169" s="93">
        <v>46046</v>
      </c>
      <c r="B169" s="93" t="str">
        <f ca="1" t="shared" si="24"/>
        <v/>
      </c>
      <c r="C169" s="95" t="s">
        <v>237</v>
      </c>
      <c r="D169" s="93" t="s">
        <v>427</v>
      </c>
      <c r="E169" s="95" t="s">
        <v>438</v>
      </c>
      <c r="F169" s="96">
        <v>10119724</v>
      </c>
      <c r="G169" s="96" t="s">
        <v>252</v>
      </c>
      <c r="H169" s="97" t="s">
        <v>105</v>
      </c>
      <c r="I169" s="98" t="str">
        <f>IFERROR(VLOOKUP(H169,名称!A:C,2,0),"")</f>
        <v>农场男孩套装</v>
      </c>
      <c r="J169" s="99">
        <v>4</v>
      </c>
      <c r="K169" s="98">
        <f>IFERROR(VLOOKUP(H169,名称!A:D,3,0),"")</f>
        <v>4</v>
      </c>
      <c r="L169" s="100">
        <f t="shared" si="25"/>
        <v>1</v>
      </c>
      <c r="M169" s="93">
        <v>46113</v>
      </c>
      <c r="N169" s="93">
        <f t="shared" si="26"/>
        <v>46111</v>
      </c>
      <c r="O169" s="93">
        <v>46108</v>
      </c>
      <c r="P169" s="93" t="s">
        <v>680</v>
      </c>
      <c r="Q169" s="97" t="s">
        <v>430</v>
      </c>
      <c r="R169" s="97" t="s">
        <v>707</v>
      </c>
      <c r="S169" s="93"/>
      <c r="T169" s="93" t="s">
        <v>452</v>
      </c>
      <c r="U169" s="93"/>
      <c r="V169" s="93"/>
      <c r="W169" s="97"/>
      <c r="X169" s="123" t="s">
        <v>759</v>
      </c>
      <c r="Y169" s="102">
        <v>2.903</v>
      </c>
      <c r="Z169" s="103">
        <f t="shared" si="27"/>
        <v>11.61</v>
      </c>
      <c r="AA169" s="103">
        <f t="shared" si="28"/>
        <v>89.98</v>
      </c>
      <c r="AB169" s="58" t="s">
        <v>765</v>
      </c>
      <c r="AC169" s="93"/>
      <c r="AD169" s="93"/>
      <c r="AE169" s="93" t="str">
        <f>IFERROR(VLOOKUP(H169,名称!A:D,4,0),"")</f>
        <v>KIK</v>
      </c>
      <c r="AF169" s="98"/>
      <c r="AG169" s="105"/>
      <c r="AH169" s="105"/>
      <c r="AI169" s="105"/>
      <c r="AJ169" s="105"/>
      <c r="AK169" s="105"/>
      <c r="AL169" s="105"/>
      <c r="AM169" s="105"/>
      <c r="AN169" s="105"/>
      <c r="AO169" s="105"/>
      <c r="AP169" s="100">
        <f t="shared" si="29"/>
        <v>67</v>
      </c>
      <c r="AQ169" s="100">
        <f t="shared" si="30"/>
        <v>46113</v>
      </c>
    </row>
    <row r="170" s="89" customFormat="1" hidden="1" customHeight="1" spans="1:43">
      <c r="A170" s="93">
        <v>46044</v>
      </c>
      <c r="B170" s="93" t="str">
        <f ca="1" t="shared" si="24"/>
        <v/>
      </c>
      <c r="C170" s="95" t="s">
        <v>236</v>
      </c>
      <c r="D170" s="93" t="s">
        <v>442</v>
      </c>
      <c r="E170" s="95" t="s">
        <v>443</v>
      </c>
      <c r="F170" s="96">
        <v>10119563</v>
      </c>
      <c r="G170" s="96">
        <v>20218876</v>
      </c>
      <c r="H170" s="97" t="s">
        <v>62</v>
      </c>
      <c r="I170" s="98" t="str">
        <f>IFERROR(VLOOKUP(H170,名称!A:C,2,0),"")</f>
        <v>泡泡壶</v>
      </c>
      <c r="J170" s="129">
        <v>1900</v>
      </c>
      <c r="K170" s="98">
        <f>IFERROR(VLOOKUP(H170,名称!A:D,3,0),"")</f>
        <v>4</v>
      </c>
      <c r="L170" s="100">
        <f t="shared" si="25"/>
        <v>475</v>
      </c>
      <c r="M170" s="130">
        <v>46134</v>
      </c>
      <c r="N170" s="130">
        <f t="shared" si="26"/>
        <v>46132</v>
      </c>
      <c r="O170" s="93">
        <v>46129</v>
      </c>
      <c r="P170" s="93" t="s">
        <v>717</v>
      </c>
      <c r="Q170" s="97" t="s">
        <v>430</v>
      </c>
      <c r="R170" s="97" t="s">
        <v>763</v>
      </c>
      <c r="S170" s="93"/>
      <c r="T170" s="93"/>
      <c r="U170" s="93"/>
      <c r="V170" s="93"/>
      <c r="W170" s="97"/>
      <c r="X170" s="100"/>
      <c r="Y170" s="102">
        <v>3.243</v>
      </c>
      <c r="Z170" s="103">
        <f t="shared" si="27"/>
        <v>6161.7</v>
      </c>
      <c r="AA170" s="103">
        <f t="shared" si="28"/>
        <v>47753.18</v>
      </c>
      <c r="AB170" s="58" t="s">
        <v>766</v>
      </c>
      <c r="AC170" s="93"/>
      <c r="AD170" s="93"/>
      <c r="AE170" s="93" t="str">
        <f>IFERROR(VLOOKUP(H170,名称!A:D,4,0),"")</f>
        <v>KIK</v>
      </c>
      <c r="AF170" s="98"/>
      <c r="AG170" s="105"/>
      <c r="AH170" s="105">
        <v>46092</v>
      </c>
      <c r="AI170" s="105">
        <v>46059</v>
      </c>
      <c r="AJ170" s="105"/>
      <c r="AK170" s="105"/>
      <c r="AL170" s="105"/>
      <c r="AM170" s="105">
        <v>46139</v>
      </c>
      <c r="AN170" s="105"/>
      <c r="AO170" s="105"/>
      <c r="AP170" s="100">
        <f t="shared" si="29"/>
        <v>90</v>
      </c>
      <c r="AQ170" s="100">
        <f t="shared" si="30"/>
        <v>75</v>
      </c>
    </row>
    <row r="171" s="89" customFormat="1" hidden="1" customHeight="1" spans="1:43">
      <c r="A171" s="93">
        <v>46056</v>
      </c>
      <c r="B171" s="93" t="str">
        <f ca="1" t="shared" si="24"/>
        <v/>
      </c>
      <c r="C171" s="95" t="s">
        <v>248</v>
      </c>
      <c r="D171" s="93" t="s">
        <v>421</v>
      </c>
      <c r="E171" s="95" t="s">
        <v>438</v>
      </c>
      <c r="F171" s="96">
        <v>10120342</v>
      </c>
      <c r="G171" s="96">
        <v>4500032249</v>
      </c>
      <c r="H171" s="97" t="s">
        <v>115</v>
      </c>
      <c r="I171" s="98" t="str">
        <f>IFERROR(VLOOKUP(H171,名称!A:C,2,0),"")</f>
        <v>布鲁伊混装</v>
      </c>
      <c r="J171" s="99">
        <v>1000</v>
      </c>
      <c r="K171" s="98">
        <f>IFERROR(VLOOKUP(H171,名称!A:D,3,0),"")</f>
        <v>4</v>
      </c>
      <c r="L171" s="100">
        <f t="shared" si="25"/>
        <v>250</v>
      </c>
      <c r="M171" s="93">
        <v>46134</v>
      </c>
      <c r="N171" s="93">
        <f t="shared" si="26"/>
        <v>46132</v>
      </c>
      <c r="O171" s="93">
        <v>46094</v>
      </c>
      <c r="P171" s="93" t="s">
        <v>680</v>
      </c>
      <c r="Q171" s="97" t="s">
        <v>424</v>
      </c>
      <c r="R171" s="97" t="s">
        <v>696</v>
      </c>
      <c r="S171" s="93"/>
      <c r="T171" s="93"/>
      <c r="U171" s="93"/>
      <c r="V171" s="93"/>
      <c r="W171" s="97"/>
      <c r="X171" s="100"/>
      <c r="Y171" s="102">
        <v>2.204</v>
      </c>
      <c r="Z171" s="103">
        <f t="shared" si="27"/>
        <v>2204</v>
      </c>
      <c r="AA171" s="103">
        <f t="shared" si="28"/>
        <v>17081</v>
      </c>
      <c r="AB171" s="58" t="s">
        <v>767</v>
      </c>
      <c r="AC171" s="93"/>
      <c r="AD171" s="93"/>
      <c r="AE171" s="93" t="str">
        <f>IFERROR(VLOOKUP(H171,名称!A:D,4,0),"")</f>
        <v>KIK</v>
      </c>
      <c r="AF171" s="98"/>
      <c r="AG171" s="105"/>
      <c r="AH171" s="105">
        <v>46031</v>
      </c>
      <c r="AI171" s="105">
        <v>46016</v>
      </c>
      <c r="AJ171" s="105"/>
      <c r="AK171" s="105"/>
      <c r="AL171" s="105"/>
      <c r="AM171" s="105">
        <v>46139</v>
      </c>
      <c r="AN171" s="105"/>
      <c r="AO171" s="105"/>
      <c r="AP171" s="100">
        <f t="shared" si="29"/>
        <v>78</v>
      </c>
      <c r="AQ171" s="100">
        <f t="shared" si="30"/>
        <v>118</v>
      </c>
    </row>
    <row r="172" s="89" customFormat="1" hidden="1" customHeight="1" spans="1:43">
      <c r="A172" s="93">
        <v>46056</v>
      </c>
      <c r="B172" s="93" t="str">
        <f ca="1" t="shared" si="24"/>
        <v/>
      </c>
      <c r="C172" s="95" t="s">
        <v>248</v>
      </c>
      <c r="D172" s="93" t="s">
        <v>421</v>
      </c>
      <c r="E172" s="95" t="s">
        <v>438</v>
      </c>
      <c r="F172" s="96">
        <v>10120342</v>
      </c>
      <c r="G172" s="96">
        <v>4500032249</v>
      </c>
      <c r="H172" s="97" t="s">
        <v>48</v>
      </c>
      <c r="I172" s="98" t="str">
        <f>IFERROR(VLOOKUP(H172,名称!A:C,2,0),"")</f>
        <v>布鲁伊家族杯子套装</v>
      </c>
      <c r="J172" s="99">
        <v>1000</v>
      </c>
      <c r="K172" s="98">
        <f>IFERROR(VLOOKUP(H172,名称!A:D,3,0),"")</f>
        <v>4</v>
      </c>
      <c r="L172" s="100">
        <f t="shared" si="25"/>
        <v>250</v>
      </c>
      <c r="M172" s="93">
        <v>46134</v>
      </c>
      <c r="N172" s="93">
        <f t="shared" si="26"/>
        <v>46132</v>
      </c>
      <c r="O172" s="93">
        <v>46092</v>
      </c>
      <c r="P172" s="93" t="s">
        <v>680</v>
      </c>
      <c r="Q172" s="97" t="s">
        <v>424</v>
      </c>
      <c r="R172" s="97" t="s">
        <v>736</v>
      </c>
      <c r="S172" s="93"/>
      <c r="T172" s="93"/>
      <c r="U172" s="93"/>
      <c r="V172" s="93"/>
      <c r="W172" s="97"/>
      <c r="X172" s="100"/>
      <c r="Y172" s="102">
        <v>2.199</v>
      </c>
      <c r="Z172" s="103">
        <f t="shared" si="27"/>
        <v>2199</v>
      </c>
      <c r="AA172" s="103">
        <f t="shared" si="28"/>
        <v>17042.25</v>
      </c>
      <c r="AB172" s="58" t="s">
        <v>767</v>
      </c>
      <c r="AC172" s="93"/>
      <c r="AD172" s="93"/>
      <c r="AE172" s="93" t="str">
        <f>IFERROR(VLOOKUP(H172,名称!A:D,4,0),"")</f>
        <v>KIK</v>
      </c>
      <c r="AF172" s="98"/>
      <c r="AG172" s="105"/>
      <c r="AH172" s="105">
        <v>46092</v>
      </c>
      <c r="AI172" s="105">
        <v>46051</v>
      </c>
      <c r="AJ172" s="105"/>
      <c r="AK172" s="105"/>
      <c r="AL172" s="105"/>
      <c r="AM172" s="105"/>
      <c r="AN172" s="105"/>
      <c r="AO172" s="105"/>
      <c r="AP172" s="100">
        <f t="shared" si="29"/>
        <v>78</v>
      </c>
      <c r="AQ172" s="100">
        <f t="shared" si="30"/>
        <v>83</v>
      </c>
    </row>
    <row r="173" s="89" customFormat="1" hidden="1" customHeight="1" spans="1:43">
      <c r="A173" s="93">
        <v>46099</v>
      </c>
      <c r="B173" s="93" t="str">
        <f ca="1" t="shared" si="24"/>
        <v/>
      </c>
      <c r="C173" s="95" t="s">
        <v>248</v>
      </c>
      <c r="D173" s="93" t="s">
        <v>421</v>
      </c>
      <c r="E173" s="95" t="s">
        <v>438</v>
      </c>
      <c r="F173" s="96">
        <v>10122567</v>
      </c>
      <c r="G173" s="96">
        <v>4500032455</v>
      </c>
      <c r="H173" s="97" t="s">
        <v>141</v>
      </c>
      <c r="I173" s="98" t="str">
        <f>IFERROR(VLOOKUP(H173,名称!A:C,2,0),"")</f>
        <v>马里奥能量蘑菇密封盒混装</v>
      </c>
      <c r="J173" s="99">
        <v>1200</v>
      </c>
      <c r="K173" s="98">
        <f>IFERROR(VLOOKUP(H173,名称!A:D,3,0),"")</f>
        <v>6</v>
      </c>
      <c r="L173" s="100">
        <f t="shared" si="25"/>
        <v>200</v>
      </c>
      <c r="M173" s="93">
        <v>46134</v>
      </c>
      <c r="N173" s="93">
        <f t="shared" si="26"/>
        <v>46132</v>
      </c>
      <c r="O173" s="93">
        <v>46127</v>
      </c>
      <c r="P173" s="93" t="s">
        <v>680</v>
      </c>
      <c r="Q173" s="97" t="s">
        <v>424</v>
      </c>
      <c r="R173" s="97" t="s">
        <v>711</v>
      </c>
      <c r="S173" s="93"/>
      <c r="T173" s="93"/>
      <c r="U173" s="93"/>
      <c r="V173" s="93"/>
      <c r="W173" s="97"/>
      <c r="X173" s="100"/>
      <c r="Y173" s="102">
        <v>2.398</v>
      </c>
      <c r="Z173" s="103">
        <f t="shared" si="27"/>
        <v>2877.6</v>
      </c>
      <c r="AA173" s="103">
        <f t="shared" si="28"/>
        <v>22301.4</v>
      </c>
      <c r="AB173" s="58" t="s">
        <v>767</v>
      </c>
      <c r="AC173" s="93"/>
      <c r="AD173" s="93"/>
      <c r="AE173" s="93" t="str">
        <f>IFERROR(VLOOKUP(H173,名称!A:D,4,0),"")</f>
        <v>KIK</v>
      </c>
      <c r="AF173" s="98"/>
      <c r="AG173" s="105"/>
      <c r="AH173" s="105"/>
      <c r="AI173" s="105" t="s">
        <v>721</v>
      </c>
      <c r="AJ173" s="105"/>
      <c r="AK173" s="105"/>
      <c r="AL173" s="105"/>
      <c r="AM173" s="105">
        <v>46134</v>
      </c>
      <c r="AN173" s="105"/>
      <c r="AO173" s="105"/>
      <c r="AP173" s="100">
        <f t="shared" si="29"/>
        <v>35</v>
      </c>
      <c r="AQ173" s="100" t="e">
        <f t="shared" si="30"/>
        <v>#VALUE!</v>
      </c>
    </row>
    <row r="174" s="89" customFormat="1" hidden="1" customHeight="1" spans="1:43">
      <c r="A174" s="93">
        <v>46099</v>
      </c>
      <c r="B174" s="93" t="str">
        <f ca="1" t="shared" si="24"/>
        <v/>
      </c>
      <c r="C174" s="95" t="s">
        <v>248</v>
      </c>
      <c r="D174" s="93" t="s">
        <v>421</v>
      </c>
      <c r="E174" s="95" t="s">
        <v>438</v>
      </c>
      <c r="F174" s="96">
        <v>10122567</v>
      </c>
      <c r="G174" s="96">
        <v>4500032455</v>
      </c>
      <c r="H174" s="97" t="s">
        <v>91</v>
      </c>
      <c r="I174" s="98" t="str">
        <f>IFERROR(VLOOKUP(H174,名称!A:C,2,0),"")</f>
        <v>马里奥和他的蘑菇</v>
      </c>
      <c r="J174" s="99">
        <v>480</v>
      </c>
      <c r="K174" s="98">
        <f>IFERROR(VLOOKUP(H174,名称!A:D,3,0),"")</f>
        <v>6</v>
      </c>
      <c r="L174" s="100">
        <f t="shared" si="25"/>
        <v>80</v>
      </c>
      <c r="M174" s="93">
        <v>46134</v>
      </c>
      <c r="N174" s="93">
        <f t="shared" si="26"/>
        <v>46132</v>
      </c>
      <c r="O174" s="93">
        <v>46108</v>
      </c>
      <c r="P174" s="93" t="s">
        <v>680</v>
      </c>
      <c r="Q174" s="97" t="s">
        <v>424</v>
      </c>
      <c r="R174" s="97" t="s">
        <v>711</v>
      </c>
      <c r="S174" s="93"/>
      <c r="T174" s="93"/>
      <c r="U174" s="93"/>
      <c r="V174" s="93"/>
      <c r="W174" s="97"/>
      <c r="X174" s="100"/>
      <c r="Y174" s="102">
        <v>1.451</v>
      </c>
      <c r="Z174" s="103">
        <f t="shared" si="27"/>
        <v>696.48</v>
      </c>
      <c r="AA174" s="103">
        <f t="shared" si="28"/>
        <v>5397.72</v>
      </c>
      <c r="AB174" s="58" t="s">
        <v>767</v>
      </c>
      <c r="AC174" s="93"/>
      <c r="AD174" s="93"/>
      <c r="AE174" s="93" t="str">
        <f>IFERROR(VLOOKUP(H174,名称!A:D,4,0),"")</f>
        <v>KIK</v>
      </c>
      <c r="AF174" s="98"/>
      <c r="AG174" s="105"/>
      <c r="AH174" s="105"/>
      <c r="AI174" s="105" t="s">
        <v>721</v>
      </c>
      <c r="AJ174" s="105"/>
      <c r="AK174" s="105"/>
      <c r="AL174" s="105"/>
      <c r="AM174" s="105">
        <v>46134</v>
      </c>
      <c r="AN174" s="105"/>
      <c r="AO174" s="105"/>
      <c r="AP174" s="100">
        <f t="shared" si="29"/>
        <v>35</v>
      </c>
      <c r="AQ174" s="100" t="e">
        <f t="shared" si="30"/>
        <v>#VALUE!</v>
      </c>
    </row>
    <row r="175" s="89" customFormat="1" hidden="1" customHeight="1" spans="1:43">
      <c r="A175" s="93">
        <v>46099</v>
      </c>
      <c r="B175" s="93" t="str">
        <f ca="1" t="shared" si="24"/>
        <v/>
      </c>
      <c r="C175" s="95" t="s">
        <v>248</v>
      </c>
      <c r="D175" s="93" t="s">
        <v>421</v>
      </c>
      <c r="E175" s="95" t="s">
        <v>438</v>
      </c>
      <c r="F175" s="96">
        <v>10122567</v>
      </c>
      <c r="G175" s="96">
        <v>4500032455</v>
      </c>
      <c r="H175" s="97" t="s">
        <v>97</v>
      </c>
      <c r="I175" s="98" t="str">
        <f>IFERROR(VLOOKUP(H175,名称!A:C,2,0),"")</f>
        <v>管道马里奥</v>
      </c>
      <c r="J175" s="99">
        <v>600</v>
      </c>
      <c r="K175" s="98">
        <f>IFERROR(VLOOKUP(H175,名称!A:D,3,0),"")</f>
        <v>4</v>
      </c>
      <c r="L175" s="100">
        <f t="shared" si="25"/>
        <v>150</v>
      </c>
      <c r="M175" s="93">
        <v>46134</v>
      </c>
      <c r="N175" s="93">
        <f t="shared" si="26"/>
        <v>46132</v>
      </c>
      <c r="O175" s="93">
        <v>46108</v>
      </c>
      <c r="P175" s="93" t="s">
        <v>680</v>
      </c>
      <c r="Q175" s="97" t="s">
        <v>424</v>
      </c>
      <c r="R175" s="97" t="s">
        <v>711</v>
      </c>
      <c r="S175" s="93"/>
      <c r="T175" s="93"/>
      <c r="U175" s="93"/>
      <c r="V175" s="93"/>
      <c r="W175" s="97"/>
      <c r="X175" s="100"/>
      <c r="Y175" s="102">
        <v>3.43</v>
      </c>
      <c r="Z175" s="103">
        <f t="shared" si="27"/>
        <v>2058</v>
      </c>
      <c r="AA175" s="103">
        <f t="shared" si="28"/>
        <v>15949.5</v>
      </c>
      <c r="AB175" s="58" t="s">
        <v>767</v>
      </c>
      <c r="AC175" s="93"/>
      <c r="AD175" s="93"/>
      <c r="AE175" s="93" t="str">
        <f>IFERROR(VLOOKUP(H175,名称!A:D,4,0),"")</f>
        <v>KIK</v>
      </c>
      <c r="AF175" s="98"/>
      <c r="AG175" s="105"/>
      <c r="AH175" s="105"/>
      <c r="AI175" s="105" t="s">
        <v>721</v>
      </c>
      <c r="AJ175" s="105"/>
      <c r="AK175" s="105"/>
      <c r="AL175" s="105"/>
      <c r="AM175" s="105">
        <v>46134</v>
      </c>
      <c r="AN175" s="105"/>
      <c r="AO175" s="105"/>
      <c r="AP175" s="100">
        <f t="shared" si="29"/>
        <v>35</v>
      </c>
      <c r="AQ175" s="100" t="e">
        <f t="shared" si="30"/>
        <v>#VALUE!</v>
      </c>
    </row>
    <row r="176" s="89" customFormat="1" hidden="1" customHeight="1" spans="1:43">
      <c r="A176" s="93">
        <v>46099</v>
      </c>
      <c r="B176" s="93" t="str">
        <f ca="1" t="shared" si="24"/>
        <v/>
      </c>
      <c r="C176" s="95" t="s">
        <v>248</v>
      </c>
      <c r="D176" s="93" t="s">
        <v>421</v>
      </c>
      <c r="E176" s="95" t="s">
        <v>438</v>
      </c>
      <c r="F176" s="96">
        <v>10122567</v>
      </c>
      <c r="G176" s="96">
        <v>4500032455</v>
      </c>
      <c r="H176" s="97" t="s">
        <v>95</v>
      </c>
      <c r="I176" s="98" t="str">
        <f>IFERROR(VLOOKUP(H176,名称!A:C,2,0),"")</f>
        <v>宝箱马里奥</v>
      </c>
      <c r="J176" s="99">
        <v>480</v>
      </c>
      <c r="K176" s="98">
        <f>IFERROR(VLOOKUP(H176,名称!A:D,3,0),"")</f>
        <v>4</v>
      </c>
      <c r="L176" s="100">
        <f t="shared" si="25"/>
        <v>120</v>
      </c>
      <c r="M176" s="93">
        <v>46134</v>
      </c>
      <c r="N176" s="93">
        <f t="shared" si="26"/>
        <v>46132</v>
      </c>
      <c r="O176" s="93">
        <v>46113</v>
      </c>
      <c r="P176" s="93" t="s">
        <v>680</v>
      </c>
      <c r="Q176" s="97" t="s">
        <v>424</v>
      </c>
      <c r="R176" s="97" t="s">
        <v>711</v>
      </c>
      <c r="S176" s="93"/>
      <c r="T176" s="93"/>
      <c r="U176" s="93"/>
      <c r="V176" s="93"/>
      <c r="W176" s="97"/>
      <c r="X176" s="100"/>
      <c r="Y176" s="102">
        <v>2.205</v>
      </c>
      <c r="Z176" s="103">
        <f t="shared" si="27"/>
        <v>1058.4</v>
      </c>
      <c r="AA176" s="103">
        <f t="shared" si="28"/>
        <v>8202.6</v>
      </c>
      <c r="AB176" s="58" t="s">
        <v>767</v>
      </c>
      <c r="AC176" s="93"/>
      <c r="AD176" s="93"/>
      <c r="AE176" s="93" t="str">
        <f>IFERROR(VLOOKUP(H176,名称!A:D,4,0),"")</f>
        <v>KIK</v>
      </c>
      <c r="AF176" s="98"/>
      <c r="AG176" s="105"/>
      <c r="AH176" s="105"/>
      <c r="AI176" s="105" t="s">
        <v>721</v>
      </c>
      <c r="AJ176" s="105"/>
      <c r="AK176" s="105"/>
      <c r="AL176" s="105"/>
      <c r="AM176" s="105">
        <v>46134</v>
      </c>
      <c r="AN176" s="105"/>
      <c r="AO176" s="105"/>
      <c r="AP176" s="100">
        <f t="shared" si="29"/>
        <v>35</v>
      </c>
      <c r="AQ176" s="100" t="e">
        <f t="shared" si="30"/>
        <v>#VALUE!</v>
      </c>
    </row>
    <row r="177" s="89" customFormat="1" hidden="1" customHeight="1" spans="1:43">
      <c r="A177" s="93">
        <v>46099</v>
      </c>
      <c r="B177" s="93" t="str">
        <f ca="1" t="shared" si="24"/>
        <v/>
      </c>
      <c r="C177" s="95" t="s">
        <v>248</v>
      </c>
      <c r="D177" s="93" t="s">
        <v>421</v>
      </c>
      <c r="E177" s="95" t="s">
        <v>438</v>
      </c>
      <c r="F177" s="96">
        <v>10122567</v>
      </c>
      <c r="G177" s="96">
        <v>4500032455</v>
      </c>
      <c r="H177" s="97" t="s">
        <v>89</v>
      </c>
      <c r="I177" s="98" t="str">
        <f>IFERROR(VLOOKUP(H177,名称!A:C,2,0),"")</f>
        <v>马里奥能量蘑菇吸塑混装</v>
      </c>
      <c r="J177" s="99">
        <v>600</v>
      </c>
      <c r="K177" s="98">
        <f>IFERROR(VLOOKUP(H177,名称!A:D,3,0),"")</f>
        <v>6</v>
      </c>
      <c r="L177" s="100">
        <f t="shared" si="25"/>
        <v>100</v>
      </c>
      <c r="M177" s="93">
        <v>46134</v>
      </c>
      <c r="N177" s="93">
        <f t="shared" si="26"/>
        <v>46132</v>
      </c>
      <c r="O177" s="93">
        <v>46113</v>
      </c>
      <c r="P177" s="93" t="s">
        <v>680</v>
      </c>
      <c r="Q177" s="97" t="s">
        <v>424</v>
      </c>
      <c r="R177" s="97" t="s">
        <v>711</v>
      </c>
      <c r="S177" s="93"/>
      <c r="T177" s="93"/>
      <c r="U177" s="93"/>
      <c r="V177" s="93"/>
      <c r="W177" s="97"/>
      <c r="X177" s="100"/>
      <c r="Y177" s="102">
        <v>1.377</v>
      </c>
      <c r="Z177" s="103">
        <f t="shared" si="27"/>
        <v>826.2</v>
      </c>
      <c r="AA177" s="103">
        <f t="shared" si="28"/>
        <v>6403.05</v>
      </c>
      <c r="AB177" s="58" t="s">
        <v>767</v>
      </c>
      <c r="AC177" s="93"/>
      <c r="AD177" s="93"/>
      <c r="AE177" s="93" t="str">
        <f>IFERROR(VLOOKUP(H177,名称!A:D,4,0),"")</f>
        <v>KIK</v>
      </c>
      <c r="AF177" s="98"/>
      <c r="AG177" s="105"/>
      <c r="AH177" s="105"/>
      <c r="AI177" s="105" t="s">
        <v>721</v>
      </c>
      <c r="AJ177" s="105"/>
      <c r="AK177" s="105"/>
      <c r="AL177" s="105"/>
      <c r="AM177" s="105">
        <v>46134</v>
      </c>
      <c r="AN177" s="105"/>
      <c r="AO177" s="105"/>
      <c r="AP177" s="100">
        <f t="shared" si="29"/>
        <v>35</v>
      </c>
      <c r="AQ177" s="100" t="e">
        <f t="shared" si="30"/>
        <v>#VALUE!</v>
      </c>
    </row>
    <row r="178" s="89" customFormat="1" hidden="1" customHeight="1" spans="1:43">
      <c r="A178" s="93">
        <v>46099</v>
      </c>
      <c r="B178" s="93" t="str">
        <f ca="1" t="shared" si="24"/>
        <v/>
      </c>
      <c r="C178" s="95" t="s">
        <v>248</v>
      </c>
      <c r="D178" s="93" t="s">
        <v>421</v>
      </c>
      <c r="E178" s="95" t="s">
        <v>438</v>
      </c>
      <c r="F178" s="96">
        <v>10122567</v>
      </c>
      <c r="G178" s="96">
        <v>4500032455</v>
      </c>
      <c r="H178" s="97" t="s">
        <v>50</v>
      </c>
      <c r="I178" s="98" t="str">
        <f>IFERROR(VLOOKUP(H178,名称!A:C,2,0),"")</f>
        <v>布鲁伊家族沐浴玩具</v>
      </c>
      <c r="J178" s="99">
        <v>600</v>
      </c>
      <c r="K178" s="98">
        <f>IFERROR(VLOOKUP(H178,名称!A:D,3,0),"")</f>
        <v>2</v>
      </c>
      <c r="L178" s="100">
        <f t="shared" si="25"/>
        <v>300</v>
      </c>
      <c r="M178" s="93">
        <v>46120</v>
      </c>
      <c r="N178" s="93">
        <f t="shared" si="26"/>
        <v>46118</v>
      </c>
      <c r="O178" s="93">
        <v>46113</v>
      </c>
      <c r="P178" s="93" t="s">
        <v>680</v>
      </c>
      <c r="Q178" s="97" t="s">
        <v>424</v>
      </c>
      <c r="R178" s="97" t="s">
        <v>711</v>
      </c>
      <c r="S178" s="93"/>
      <c r="T178" s="93"/>
      <c r="U178" s="93"/>
      <c r="V178" s="93"/>
      <c r="W178" s="97"/>
      <c r="X178" s="100"/>
      <c r="Y178" s="102">
        <v>2.218</v>
      </c>
      <c r="Z178" s="103">
        <f t="shared" si="27"/>
        <v>1330.8</v>
      </c>
      <c r="AA178" s="103">
        <f t="shared" si="28"/>
        <v>10313.7</v>
      </c>
      <c r="AB178" s="58" t="s">
        <v>767</v>
      </c>
      <c r="AC178" s="93"/>
      <c r="AD178" s="93"/>
      <c r="AE178" s="93" t="str">
        <f>IFERROR(VLOOKUP(H178,名称!A:D,4,0),"")</f>
        <v>KIK</v>
      </c>
      <c r="AF178" s="98"/>
      <c r="AG178" s="105"/>
      <c r="AH178" s="105"/>
      <c r="AI178" s="105" t="s">
        <v>721</v>
      </c>
      <c r="AJ178" s="105"/>
      <c r="AK178" s="105"/>
      <c r="AL178" s="105"/>
      <c r="AM178" s="105"/>
      <c r="AN178" s="105"/>
      <c r="AO178" s="105"/>
      <c r="AP178" s="100">
        <f t="shared" si="29"/>
        <v>21</v>
      </c>
      <c r="AQ178" s="100" t="e">
        <f t="shared" si="30"/>
        <v>#VALUE!</v>
      </c>
    </row>
    <row r="179" s="89" customFormat="1" hidden="1" customHeight="1" spans="1:43">
      <c r="A179" s="93">
        <v>46102</v>
      </c>
      <c r="B179" s="93" t="str">
        <f ca="1" t="shared" si="24"/>
        <v/>
      </c>
      <c r="C179" s="95" t="s">
        <v>248</v>
      </c>
      <c r="D179" s="93" t="s">
        <v>421</v>
      </c>
      <c r="E179" s="95" t="s">
        <v>438</v>
      </c>
      <c r="F179" s="96">
        <v>10122974</v>
      </c>
      <c r="G179" s="96">
        <v>4500032502</v>
      </c>
      <c r="H179" s="97" t="s">
        <v>62</v>
      </c>
      <c r="I179" s="98" t="str">
        <f>IFERROR(VLOOKUP(H179,名称!A:C,2,0),"")</f>
        <v>泡泡壶</v>
      </c>
      <c r="J179" s="99">
        <v>900</v>
      </c>
      <c r="K179" s="98">
        <f>IFERROR(VLOOKUP(H179,名称!A:D,3,0),"")</f>
        <v>4</v>
      </c>
      <c r="L179" s="100">
        <f t="shared" si="25"/>
        <v>225</v>
      </c>
      <c r="M179" s="93">
        <v>46134</v>
      </c>
      <c r="N179" s="93">
        <f t="shared" si="26"/>
        <v>46132</v>
      </c>
      <c r="O179" s="93">
        <v>46129</v>
      </c>
      <c r="P179" s="93" t="s">
        <v>717</v>
      </c>
      <c r="Q179" s="97" t="s">
        <v>424</v>
      </c>
      <c r="R179" s="97" t="s">
        <v>763</v>
      </c>
      <c r="S179" s="93"/>
      <c r="T179" s="93"/>
      <c r="U179" s="93"/>
      <c r="V179" s="93"/>
      <c r="W179" s="97"/>
      <c r="X179" s="100"/>
      <c r="Y179" s="102">
        <v>3.243</v>
      </c>
      <c r="Z179" s="103">
        <f t="shared" si="27"/>
        <v>2918.7</v>
      </c>
      <c r="AA179" s="103">
        <f t="shared" si="28"/>
        <v>22619.93</v>
      </c>
      <c r="AB179" s="58" t="s">
        <v>767</v>
      </c>
      <c r="AC179" s="93"/>
      <c r="AD179" s="93"/>
      <c r="AE179" s="93" t="str">
        <f>IFERROR(VLOOKUP(H179,名称!A:D,4,0),"")</f>
        <v>KIK</v>
      </c>
      <c r="AF179" s="98"/>
      <c r="AG179" s="105"/>
      <c r="AH179" s="105">
        <v>46092</v>
      </c>
      <c r="AI179" s="105">
        <v>46059</v>
      </c>
      <c r="AJ179" s="105"/>
      <c r="AK179" s="105"/>
      <c r="AL179" s="105"/>
      <c r="AM179" s="105">
        <v>46139</v>
      </c>
      <c r="AN179" s="105"/>
      <c r="AO179" s="105"/>
      <c r="AP179" s="100">
        <f t="shared" si="29"/>
        <v>32</v>
      </c>
      <c r="AQ179" s="100">
        <f t="shared" si="30"/>
        <v>75</v>
      </c>
    </row>
    <row r="180" s="89" customFormat="1" hidden="1" customHeight="1" spans="1:43">
      <c r="A180" s="93">
        <v>45997</v>
      </c>
      <c r="B180" s="93" t="str">
        <f ca="1" t="shared" si="24"/>
        <v/>
      </c>
      <c r="C180" s="95" t="s">
        <v>235</v>
      </c>
      <c r="D180" s="93" t="s">
        <v>421</v>
      </c>
      <c r="E180" s="95" t="s">
        <v>768</v>
      </c>
      <c r="F180" s="96">
        <v>10115937</v>
      </c>
      <c r="G180" s="96">
        <v>4500031987</v>
      </c>
      <c r="H180" s="97" t="s">
        <v>95</v>
      </c>
      <c r="I180" s="98" t="str">
        <f>IFERROR(VLOOKUP(H180,名称!A:C,2,0),"")</f>
        <v>宝箱马里奥</v>
      </c>
      <c r="J180" s="99">
        <v>1000</v>
      </c>
      <c r="K180" s="98">
        <f>IFERROR(VLOOKUP(H180,名称!A:D,3,0),"")</f>
        <v>4</v>
      </c>
      <c r="L180" s="100">
        <f t="shared" si="25"/>
        <v>250</v>
      </c>
      <c r="M180" s="93">
        <v>46134</v>
      </c>
      <c r="N180" s="93">
        <f t="shared" si="26"/>
        <v>46132</v>
      </c>
      <c r="O180" s="93">
        <v>46108</v>
      </c>
      <c r="P180" s="93" t="s">
        <v>680</v>
      </c>
      <c r="Q180" s="97" t="s">
        <v>692</v>
      </c>
      <c r="R180" s="97" t="s">
        <v>700</v>
      </c>
      <c r="S180" s="93"/>
      <c r="T180" s="93"/>
      <c r="U180" s="93"/>
      <c r="V180" s="93"/>
      <c r="W180" s="97"/>
      <c r="X180" s="100"/>
      <c r="Y180" s="102">
        <v>2.205</v>
      </c>
      <c r="Z180" s="103">
        <f t="shared" si="27"/>
        <v>2205</v>
      </c>
      <c r="AA180" s="103">
        <f t="shared" si="28"/>
        <v>17088.75</v>
      </c>
      <c r="AB180" s="58" t="s">
        <v>767</v>
      </c>
      <c r="AC180" s="93"/>
      <c r="AD180" s="93"/>
      <c r="AE180" s="93" t="str">
        <f>IFERROR(VLOOKUP(H180,名称!A:D,4,0),"")</f>
        <v>KIK</v>
      </c>
      <c r="AF180" s="98"/>
      <c r="AG180" s="105"/>
      <c r="AH180" s="105">
        <v>46044</v>
      </c>
      <c r="AI180" s="105">
        <v>46021</v>
      </c>
      <c r="AJ180" s="105"/>
      <c r="AK180" s="105"/>
      <c r="AL180" s="105"/>
      <c r="AM180" s="105">
        <v>46134</v>
      </c>
      <c r="AN180" s="105"/>
      <c r="AO180" s="105"/>
      <c r="AP180" s="100">
        <f t="shared" si="29"/>
        <v>137</v>
      </c>
      <c r="AQ180" s="100">
        <f t="shared" si="30"/>
        <v>113</v>
      </c>
    </row>
    <row r="181" s="89" customFormat="1" hidden="1" customHeight="1" spans="1:43">
      <c r="A181" s="93">
        <v>46038</v>
      </c>
      <c r="B181" s="93" t="str">
        <f ca="1" t="shared" si="24"/>
        <v/>
      </c>
      <c r="C181" s="95" t="s">
        <v>248</v>
      </c>
      <c r="D181" s="93" t="s">
        <v>421</v>
      </c>
      <c r="E181" s="95" t="s">
        <v>422</v>
      </c>
      <c r="F181" s="96">
        <v>10119190</v>
      </c>
      <c r="G181" s="96">
        <v>4500032133</v>
      </c>
      <c r="H181" s="97" t="s">
        <v>64</v>
      </c>
      <c r="I181" s="98" t="str">
        <f>IFERROR(VLOOKUP(H181,名称!A:C,2,0),"")</f>
        <v>泡泡壶密封盒</v>
      </c>
      <c r="J181" s="99">
        <f>5000-3420</f>
        <v>1580</v>
      </c>
      <c r="K181" s="98">
        <f>IFERROR(VLOOKUP(H181,名称!A:D,3,0),"")</f>
        <v>4</v>
      </c>
      <c r="L181" s="100">
        <f t="shared" si="25"/>
        <v>395</v>
      </c>
      <c r="M181" s="130">
        <v>46134</v>
      </c>
      <c r="N181" s="130">
        <f t="shared" si="26"/>
        <v>46132</v>
      </c>
      <c r="O181" s="93">
        <v>46129</v>
      </c>
      <c r="P181" s="93" t="s">
        <v>717</v>
      </c>
      <c r="Q181" s="97" t="s">
        <v>424</v>
      </c>
      <c r="R181" s="97" t="s">
        <v>763</v>
      </c>
      <c r="S181" s="93"/>
      <c r="T181" s="93"/>
      <c r="U181" s="93"/>
      <c r="V181" s="93"/>
      <c r="W181" s="97"/>
      <c r="X181" s="100" t="s">
        <v>769</v>
      </c>
      <c r="Y181" s="102">
        <v>2.364</v>
      </c>
      <c r="Z181" s="103">
        <f t="shared" si="27"/>
        <v>3735.12</v>
      </c>
      <c r="AA181" s="103">
        <f t="shared" si="28"/>
        <v>28947.18</v>
      </c>
      <c r="AB181" s="58" t="s">
        <v>770</v>
      </c>
      <c r="AC181" s="93"/>
      <c r="AD181" s="93"/>
      <c r="AE181" s="93" t="str">
        <f>IFERROR(VLOOKUP(H181,名称!A:D,4,0),"")</f>
        <v>KIK</v>
      </c>
      <c r="AF181" s="98"/>
      <c r="AG181" s="105"/>
      <c r="AH181" s="105">
        <v>46092</v>
      </c>
      <c r="AI181" s="105">
        <v>46059</v>
      </c>
      <c r="AJ181" s="105"/>
      <c r="AK181" s="105"/>
      <c r="AL181" s="105"/>
      <c r="AM181" s="105">
        <v>46134</v>
      </c>
      <c r="AN181" s="105"/>
      <c r="AO181" s="105"/>
      <c r="AP181" s="100">
        <f t="shared" si="29"/>
        <v>96</v>
      </c>
      <c r="AQ181" s="100">
        <f t="shared" si="30"/>
        <v>75</v>
      </c>
    </row>
    <row r="182" s="89" customFormat="1" hidden="1" customHeight="1" spans="1:43">
      <c r="A182" s="93">
        <v>46039</v>
      </c>
      <c r="B182" s="93" t="str">
        <f ca="1" t="shared" si="24"/>
        <v/>
      </c>
      <c r="C182" s="95" t="s">
        <v>248</v>
      </c>
      <c r="D182" s="93" t="s">
        <v>421</v>
      </c>
      <c r="E182" s="95" t="s">
        <v>422</v>
      </c>
      <c r="F182" s="96">
        <v>10119222</v>
      </c>
      <c r="G182" s="96">
        <v>4500032139</v>
      </c>
      <c r="H182" s="97" t="s">
        <v>95</v>
      </c>
      <c r="I182" s="98" t="str">
        <f>IFERROR(VLOOKUP(H182,名称!A:C,2,0),"")</f>
        <v>宝箱马里奥</v>
      </c>
      <c r="J182" s="99">
        <f>5000-480</f>
        <v>4520</v>
      </c>
      <c r="K182" s="98">
        <f>IFERROR(VLOOKUP(H182,名称!A:D,3,0),"")</f>
        <v>4</v>
      </c>
      <c r="L182" s="100">
        <f t="shared" si="25"/>
        <v>1130</v>
      </c>
      <c r="M182" s="93">
        <v>46134</v>
      </c>
      <c r="N182" s="93">
        <f t="shared" si="26"/>
        <v>46132</v>
      </c>
      <c r="O182" s="93">
        <v>46134</v>
      </c>
      <c r="P182" s="93" t="s">
        <v>717</v>
      </c>
      <c r="Q182" s="97" t="s">
        <v>424</v>
      </c>
      <c r="R182" s="97" t="s">
        <v>700</v>
      </c>
      <c r="S182" s="93"/>
      <c r="T182" s="93"/>
      <c r="U182" s="93"/>
      <c r="V182" s="93"/>
      <c r="W182" s="97"/>
      <c r="X182" s="100"/>
      <c r="Y182" s="102">
        <v>2.25</v>
      </c>
      <c r="Z182" s="103">
        <f t="shared" si="27"/>
        <v>10170</v>
      </c>
      <c r="AA182" s="103">
        <f t="shared" si="28"/>
        <v>78817.5</v>
      </c>
      <c r="AB182" s="58" t="s">
        <v>770</v>
      </c>
      <c r="AC182" s="93"/>
      <c r="AD182" s="93"/>
      <c r="AE182" s="93" t="str">
        <f>IFERROR(VLOOKUP(H182,名称!A:D,4,0),"")</f>
        <v>KIK</v>
      </c>
      <c r="AF182" s="98"/>
      <c r="AG182" s="105"/>
      <c r="AH182" s="105">
        <v>46092</v>
      </c>
      <c r="AI182" s="105">
        <v>46059</v>
      </c>
      <c r="AJ182" s="105"/>
      <c r="AK182" s="105"/>
      <c r="AL182" s="105"/>
      <c r="AM182" s="105"/>
      <c r="AN182" s="105"/>
      <c r="AO182" s="105"/>
      <c r="AP182" s="100">
        <f t="shared" si="29"/>
        <v>95</v>
      </c>
      <c r="AQ182" s="100">
        <f t="shared" si="30"/>
        <v>75</v>
      </c>
    </row>
    <row r="183" s="89" customFormat="1" hidden="1" customHeight="1" spans="1:43">
      <c r="A183" s="93">
        <v>46129</v>
      </c>
      <c r="B183" s="93"/>
      <c r="C183" s="95" t="s">
        <v>248</v>
      </c>
      <c r="D183" s="93" t="s">
        <v>421</v>
      </c>
      <c r="E183" s="95" t="s">
        <v>446</v>
      </c>
      <c r="F183" s="96">
        <v>10125104</v>
      </c>
      <c r="G183" s="96" t="s">
        <v>291</v>
      </c>
      <c r="H183" s="97" t="s">
        <v>113</v>
      </c>
      <c r="I183" s="98" t="str">
        <f>IFERROR(VLOOKUP(H183,名称!A:C,2,0),"")</f>
        <v>绿色铲车</v>
      </c>
      <c r="J183" s="99">
        <v>11</v>
      </c>
      <c r="K183" s="98">
        <f>IFERROR(VLOOKUP(H183,名称!A:D,3,0),"")</f>
        <v>2</v>
      </c>
      <c r="L183" s="100">
        <f t="shared" si="25"/>
        <v>5.5</v>
      </c>
      <c r="M183" s="93">
        <v>46140</v>
      </c>
      <c r="N183" s="93">
        <f t="shared" si="26"/>
        <v>46138</v>
      </c>
      <c r="O183" s="93">
        <v>46136</v>
      </c>
      <c r="P183" s="93" t="s">
        <v>717</v>
      </c>
      <c r="Q183" s="97" t="s">
        <v>424</v>
      </c>
      <c r="R183" s="97" t="s">
        <v>771</v>
      </c>
      <c r="S183" s="93"/>
      <c r="T183" s="93" t="s">
        <v>452</v>
      </c>
      <c r="U183" s="93"/>
      <c r="V183" s="93"/>
      <c r="W183" s="97"/>
      <c r="X183" s="100"/>
      <c r="Y183" s="102">
        <v>5.9</v>
      </c>
      <c r="Z183" s="103">
        <f t="shared" si="27"/>
        <v>64.9</v>
      </c>
      <c r="AA183" s="103">
        <f t="shared" si="28"/>
        <v>502.98</v>
      </c>
      <c r="AB183" s="58" t="s">
        <v>772</v>
      </c>
      <c r="AC183" s="93"/>
      <c r="AD183" s="93"/>
      <c r="AE183" s="93" t="str">
        <f>IFERROR(VLOOKUP(H183,名称!A:D,4,0),"")</f>
        <v>KIK</v>
      </c>
      <c r="AF183" s="98"/>
      <c r="AG183" s="105"/>
      <c r="AH183" s="105"/>
      <c r="AI183" s="105"/>
      <c r="AJ183" s="105"/>
      <c r="AK183" s="105"/>
      <c r="AL183" s="105"/>
      <c r="AM183" s="105"/>
      <c r="AN183" s="105"/>
      <c r="AO183" s="105"/>
      <c r="AP183" s="100">
        <f t="shared" si="29"/>
        <v>11</v>
      </c>
      <c r="AQ183" s="100">
        <f t="shared" si="30"/>
        <v>46140</v>
      </c>
    </row>
    <row r="184" s="89" customFormat="1" hidden="1" customHeight="1" spans="1:43">
      <c r="A184" s="93">
        <v>46049</v>
      </c>
      <c r="B184" s="93" t="str">
        <f ca="1">IF(TODAY()&gt;=A184,IF(R184="","未",""),"")</f>
        <v/>
      </c>
      <c r="C184" s="95" t="s">
        <v>237</v>
      </c>
      <c r="D184" s="93" t="s">
        <v>427</v>
      </c>
      <c r="E184" s="95" t="s">
        <v>438</v>
      </c>
      <c r="F184" s="96">
        <v>10119914</v>
      </c>
      <c r="G184" s="96">
        <v>202602370019</v>
      </c>
      <c r="H184" s="97" t="s">
        <v>107</v>
      </c>
      <c r="I184" s="98" t="str">
        <f>IFERROR(VLOOKUP(H184,名称!A:C,2,0),"")</f>
        <v>农场女孩套装</v>
      </c>
      <c r="J184" s="99">
        <v>5000</v>
      </c>
      <c r="K184" s="98">
        <f>IFERROR(VLOOKUP(H184,名称!A:D,3,0),"")</f>
        <v>4</v>
      </c>
      <c r="L184" s="100">
        <f t="shared" si="25"/>
        <v>1250</v>
      </c>
      <c r="M184" s="93">
        <v>46155</v>
      </c>
      <c r="N184" s="93">
        <f t="shared" si="26"/>
        <v>46153</v>
      </c>
      <c r="O184" s="93"/>
      <c r="P184" s="93" t="s">
        <v>423</v>
      </c>
      <c r="Q184" s="97" t="s">
        <v>430</v>
      </c>
      <c r="R184" s="97" t="s">
        <v>718</v>
      </c>
      <c r="S184" s="93"/>
      <c r="T184" s="93" t="s">
        <v>452</v>
      </c>
      <c r="U184" s="93"/>
      <c r="V184" s="93"/>
      <c r="W184" s="97"/>
      <c r="X184" s="100"/>
      <c r="Y184" s="102">
        <v>4.857</v>
      </c>
      <c r="Z184" s="103">
        <f t="shared" si="27"/>
        <v>24285</v>
      </c>
      <c r="AA184" s="103">
        <f t="shared" si="28"/>
        <v>188208.75</v>
      </c>
      <c r="AB184" s="58" t="s">
        <v>773</v>
      </c>
      <c r="AC184" s="93"/>
      <c r="AD184" s="93"/>
      <c r="AE184" s="93" t="str">
        <f>IFERROR(VLOOKUP(H184,名称!A:D,4,0),"")</f>
        <v>KIK</v>
      </c>
      <c r="AF184" s="98"/>
      <c r="AG184" s="105"/>
      <c r="AH184" s="105"/>
      <c r="AI184" s="105">
        <v>46045</v>
      </c>
      <c r="AJ184" s="105">
        <v>46107</v>
      </c>
      <c r="AK184" s="105"/>
      <c r="AL184" s="105" t="s">
        <v>420</v>
      </c>
      <c r="AM184" s="105" t="s">
        <v>420</v>
      </c>
      <c r="AN184" s="105"/>
      <c r="AO184" s="105">
        <v>46088</v>
      </c>
      <c r="AP184" s="100">
        <f t="shared" si="29"/>
        <v>106</v>
      </c>
      <c r="AQ184" s="100">
        <f t="shared" si="30"/>
        <v>110</v>
      </c>
    </row>
    <row r="185" s="89" customFormat="1" hidden="1" customHeight="1" spans="1:43">
      <c r="A185" s="93">
        <v>46049</v>
      </c>
      <c r="B185" s="93" t="str">
        <f ca="1">IF(TODAY()&gt;=A185,IF(R185="","未",""),"")</f>
        <v/>
      </c>
      <c r="C185" s="95" t="s">
        <v>237</v>
      </c>
      <c r="D185" s="93" t="s">
        <v>427</v>
      </c>
      <c r="E185" s="95" t="s">
        <v>438</v>
      </c>
      <c r="F185" s="96">
        <v>10119914</v>
      </c>
      <c r="G185" s="96">
        <v>202602370019</v>
      </c>
      <c r="H185" s="97" t="s">
        <v>105</v>
      </c>
      <c r="I185" s="98" t="str">
        <f>IFERROR(VLOOKUP(H185,名称!A:C,2,0),"")</f>
        <v>农场男孩套装</v>
      </c>
      <c r="J185" s="99">
        <v>1800</v>
      </c>
      <c r="K185" s="98">
        <f>IFERROR(VLOOKUP(H185,名称!A:D,3,0),"")</f>
        <v>4</v>
      </c>
      <c r="L185" s="100">
        <f t="shared" si="25"/>
        <v>450</v>
      </c>
      <c r="M185" s="93">
        <v>46155</v>
      </c>
      <c r="N185" s="93">
        <f t="shared" si="26"/>
        <v>46153</v>
      </c>
      <c r="O185" s="93"/>
      <c r="P185" s="93" t="s">
        <v>423</v>
      </c>
      <c r="Q185" s="97" t="s">
        <v>430</v>
      </c>
      <c r="R185" s="97" t="s">
        <v>718</v>
      </c>
      <c r="S185" s="93"/>
      <c r="T185" s="93" t="s">
        <v>452</v>
      </c>
      <c r="U185" s="93"/>
      <c r="V185" s="93"/>
      <c r="W185" s="97"/>
      <c r="X185" s="100"/>
      <c r="Y185" s="102">
        <v>2.934</v>
      </c>
      <c r="Z185" s="103">
        <f t="shared" si="27"/>
        <v>5281.2</v>
      </c>
      <c r="AA185" s="103">
        <f t="shared" si="28"/>
        <v>40929.3</v>
      </c>
      <c r="AB185" s="58" t="s">
        <v>773</v>
      </c>
      <c r="AC185" s="93"/>
      <c r="AD185" s="93"/>
      <c r="AE185" s="93" t="str">
        <f>IFERROR(VLOOKUP(H185,名称!A:D,4,0),"")</f>
        <v>KIK</v>
      </c>
      <c r="AF185" s="98"/>
      <c r="AG185" s="105"/>
      <c r="AH185" s="105"/>
      <c r="AI185" s="105">
        <v>46094</v>
      </c>
      <c r="AJ185" s="105">
        <v>46107</v>
      </c>
      <c r="AK185" s="105"/>
      <c r="AL185" s="105" t="s">
        <v>420</v>
      </c>
      <c r="AM185" s="105" t="s">
        <v>420</v>
      </c>
      <c r="AN185" s="105"/>
      <c r="AO185" s="105">
        <v>46088</v>
      </c>
      <c r="AP185" s="100">
        <f t="shared" si="29"/>
        <v>106</v>
      </c>
      <c r="AQ185" s="100">
        <f t="shared" si="30"/>
        <v>61</v>
      </c>
    </row>
    <row r="186" s="89" customFormat="1" hidden="1" customHeight="1" spans="1:43">
      <c r="A186" s="93">
        <v>46058</v>
      </c>
      <c r="B186" s="93" t="str">
        <f ca="1">IF(TODAY()&gt;=A186,IF(R186="","未",""),"")</f>
        <v/>
      </c>
      <c r="C186" s="95" t="s">
        <v>237</v>
      </c>
      <c r="D186" s="93" t="s">
        <v>427</v>
      </c>
      <c r="E186" s="95" t="s">
        <v>428</v>
      </c>
      <c r="F186" s="96">
        <v>10120561</v>
      </c>
      <c r="G186" s="96">
        <v>202603470034</v>
      </c>
      <c r="H186" s="97" t="s">
        <v>48</v>
      </c>
      <c r="I186" s="98" t="str">
        <f>IFERROR(VLOOKUP(H186,名称!A:C,2,0),"")</f>
        <v>布鲁伊家族杯子套装</v>
      </c>
      <c r="J186" s="99">
        <v>8000</v>
      </c>
      <c r="K186" s="98">
        <f>IFERROR(VLOOKUP(H186,名称!A:D,3,0),"")</f>
        <v>4</v>
      </c>
      <c r="L186" s="100">
        <f t="shared" si="25"/>
        <v>2000</v>
      </c>
      <c r="M186" s="93">
        <v>46141</v>
      </c>
      <c r="N186" s="93">
        <f t="shared" si="26"/>
        <v>46139</v>
      </c>
      <c r="O186" s="93">
        <v>46127</v>
      </c>
      <c r="P186" s="93" t="s">
        <v>717</v>
      </c>
      <c r="Q186" s="97" t="s">
        <v>430</v>
      </c>
      <c r="R186" s="97" t="s">
        <v>696</v>
      </c>
      <c r="S186" s="93"/>
      <c r="T186" s="93"/>
      <c r="U186" s="93"/>
      <c r="V186" s="93"/>
      <c r="W186" s="97"/>
      <c r="X186" s="100"/>
      <c r="Y186" s="102">
        <v>2.199</v>
      </c>
      <c r="Z186" s="103">
        <f t="shared" si="27"/>
        <v>17592</v>
      </c>
      <c r="AA186" s="103">
        <f t="shared" si="28"/>
        <v>136338</v>
      </c>
      <c r="AB186" s="58" t="s">
        <v>774</v>
      </c>
      <c r="AC186" s="93"/>
      <c r="AD186" s="93"/>
      <c r="AE186" s="93" t="str">
        <f>IFERROR(VLOOKUP(H186,名称!A:D,4,0),"")</f>
        <v>KIK</v>
      </c>
      <c r="AF186" s="98"/>
      <c r="AG186" s="105"/>
      <c r="AH186" s="105"/>
      <c r="AI186" s="105">
        <v>46094</v>
      </c>
      <c r="AJ186" s="105"/>
      <c r="AK186" s="105"/>
      <c r="AL186" s="105"/>
      <c r="AM186" s="105"/>
      <c r="AN186" s="105"/>
      <c r="AO186" s="105">
        <v>46092</v>
      </c>
      <c r="AP186" s="100">
        <f t="shared" si="29"/>
        <v>83</v>
      </c>
      <c r="AQ186" s="100">
        <f t="shared" si="30"/>
        <v>47</v>
      </c>
    </row>
    <row r="187" s="89" customFormat="1" hidden="1" customHeight="1" spans="1:43">
      <c r="A187" s="93">
        <v>46058</v>
      </c>
      <c r="B187" s="93" t="str">
        <f ca="1">IF(TODAY()&gt;=A187,IF(R187="","未",""),"")</f>
        <v/>
      </c>
      <c r="C187" s="95" t="s">
        <v>237</v>
      </c>
      <c r="D187" s="93" t="s">
        <v>427</v>
      </c>
      <c r="E187" s="95" t="s">
        <v>428</v>
      </c>
      <c r="F187" s="96">
        <v>10120561</v>
      </c>
      <c r="G187" s="96">
        <v>202603470034</v>
      </c>
      <c r="H187" s="97" t="s">
        <v>48</v>
      </c>
      <c r="I187" s="98" t="str">
        <f>IFERROR(VLOOKUP(H187,名称!A:C,2,0),"")</f>
        <v>布鲁伊家族杯子套装</v>
      </c>
      <c r="J187" s="99">
        <v>2000</v>
      </c>
      <c r="K187" s="98">
        <f>IFERROR(VLOOKUP(H187,名称!A:D,3,0),"")</f>
        <v>4</v>
      </c>
      <c r="L187" s="100">
        <f t="shared" si="25"/>
        <v>500</v>
      </c>
      <c r="M187" s="93">
        <v>46155</v>
      </c>
      <c r="N187" s="93">
        <f t="shared" si="26"/>
        <v>46153</v>
      </c>
      <c r="O187" s="93">
        <v>46127</v>
      </c>
      <c r="P187" s="93" t="s">
        <v>717</v>
      </c>
      <c r="Q187" s="97" t="s">
        <v>430</v>
      </c>
      <c r="R187" s="97" t="s">
        <v>696</v>
      </c>
      <c r="S187" s="93"/>
      <c r="T187" s="93"/>
      <c r="U187" s="93"/>
      <c r="V187" s="93"/>
      <c r="W187" s="97"/>
      <c r="X187" s="100"/>
      <c r="Y187" s="102">
        <v>2.199</v>
      </c>
      <c r="Z187" s="103">
        <f t="shared" si="27"/>
        <v>4398</v>
      </c>
      <c r="AA187" s="103">
        <f t="shared" si="28"/>
        <v>34084.5</v>
      </c>
      <c r="AB187" s="58" t="s">
        <v>773</v>
      </c>
      <c r="AC187" s="93"/>
      <c r="AD187" s="93"/>
      <c r="AE187" s="93" t="str">
        <f>IFERROR(VLOOKUP(H187,名称!A:D,4,0),"")</f>
        <v>KIK</v>
      </c>
      <c r="AF187" s="98"/>
      <c r="AG187" s="105"/>
      <c r="AH187" s="105"/>
      <c r="AI187" s="105">
        <v>46094</v>
      </c>
      <c r="AJ187" s="105"/>
      <c r="AK187" s="105"/>
      <c r="AL187" s="105"/>
      <c r="AM187" s="105"/>
      <c r="AN187" s="105"/>
      <c r="AO187" s="105">
        <v>46092</v>
      </c>
      <c r="AP187" s="100">
        <f t="shared" si="29"/>
        <v>97</v>
      </c>
      <c r="AQ187" s="100">
        <f t="shared" si="30"/>
        <v>61</v>
      </c>
    </row>
    <row r="188" s="89" customFormat="1" hidden="1" customHeight="1" spans="1:43">
      <c r="A188" s="93">
        <v>46058</v>
      </c>
      <c r="B188" s="93" t="str">
        <f ca="1">IF(TODAY()&gt;=A188,IF(R188="","未",""),"")</f>
        <v/>
      </c>
      <c r="C188" s="95" t="s">
        <v>237</v>
      </c>
      <c r="D188" s="93" t="s">
        <v>427</v>
      </c>
      <c r="E188" s="95" t="s">
        <v>428</v>
      </c>
      <c r="F188" s="96">
        <v>10120572</v>
      </c>
      <c r="G188" s="96">
        <v>202603470468</v>
      </c>
      <c r="H188" s="97" t="s">
        <v>141</v>
      </c>
      <c r="I188" s="98" t="str">
        <f>IFERROR(VLOOKUP(H188,名称!A:C,2,0),"")</f>
        <v>马里奥能量蘑菇密封盒混装</v>
      </c>
      <c r="J188" s="131">
        <v>3180</v>
      </c>
      <c r="K188" s="98">
        <f>IFERROR(VLOOKUP(H188,名称!A:D,3,0),"")</f>
        <v>6</v>
      </c>
      <c r="L188" s="100">
        <f t="shared" si="25"/>
        <v>530</v>
      </c>
      <c r="M188" s="93">
        <v>46155</v>
      </c>
      <c r="N188" s="93">
        <f t="shared" si="26"/>
        <v>46153</v>
      </c>
      <c r="O188" s="93"/>
      <c r="P188" s="93" t="s">
        <v>717</v>
      </c>
      <c r="Q188" s="97" t="s">
        <v>430</v>
      </c>
      <c r="R188" s="97" t="s">
        <v>700</v>
      </c>
      <c r="S188" s="93" t="s">
        <v>775</v>
      </c>
      <c r="T188" s="93"/>
      <c r="U188" s="93"/>
      <c r="V188" s="93"/>
      <c r="W188" s="97"/>
      <c r="X188" s="100"/>
      <c r="Y188" s="102">
        <v>2.398</v>
      </c>
      <c r="Z188" s="103">
        <f t="shared" si="27"/>
        <v>7625.64</v>
      </c>
      <c r="AA188" s="103">
        <f t="shared" si="28"/>
        <v>59098.71</v>
      </c>
      <c r="AB188" s="58" t="s">
        <v>773</v>
      </c>
      <c r="AC188" s="93"/>
      <c r="AD188" s="93"/>
      <c r="AE188" s="93" t="str">
        <f>IFERROR(VLOOKUP(H188,名称!A:D,4,0),"")</f>
        <v>KIK</v>
      </c>
      <c r="AF188" s="98"/>
      <c r="AG188" s="105"/>
      <c r="AH188" s="105"/>
      <c r="AI188" s="105">
        <v>46101</v>
      </c>
      <c r="AJ188" s="105"/>
      <c r="AK188" s="105"/>
      <c r="AL188" s="105"/>
      <c r="AM188" s="105">
        <v>46134</v>
      </c>
      <c r="AN188" s="105"/>
      <c r="AO188" s="105">
        <v>46094</v>
      </c>
      <c r="AP188" s="100">
        <f t="shared" si="29"/>
        <v>97</v>
      </c>
      <c r="AQ188" s="100">
        <f t="shared" si="30"/>
        <v>54</v>
      </c>
    </row>
    <row r="189" s="89" customFormat="1" hidden="1" customHeight="1" spans="1:43">
      <c r="A189" s="93">
        <v>46077</v>
      </c>
      <c r="B189" s="93" t="s">
        <v>660</v>
      </c>
      <c r="C189" s="95" t="s">
        <v>237</v>
      </c>
      <c r="D189" s="93" t="s">
        <v>427</v>
      </c>
      <c r="E189" s="95" t="s">
        <v>422</v>
      </c>
      <c r="F189" s="96">
        <v>10120987</v>
      </c>
      <c r="G189" s="96">
        <v>202604870031</v>
      </c>
      <c r="H189" s="97" t="s">
        <v>88</v>
      </c>
      <c r="I189" s="98" t="str">
        <f>IFERROR(VLOOKUP(H189,名称!A:C,2,0),"")</f>
        <v>杯子</v>
      </c>
      <c r="J189" s="99">
        <v>10008</v>
      </c>
      <c r="K189" s="98">
        <v>18</v>
      </c>
      <c r="L189" s="100">
        <v>556</v>
      </c>
      <c r="M189" s="93">
        <v>46141</v>
      </c>
      <c r="N189" s="93">
        <v>46139</v>
      </c>
      <c r="O189" s="93">
        <v>46134</v>
      </c>
      <c r="P189" s="93" t="s">
        <v>717</v>
      </c>
      <c r="Q189" s="97" t="s">
        <v>430</v>
      </c>
      <c r="R189" s="97" t="s">
        <v>776</v>
      </c>
      <c r="S189" s="93" t="s">
        <v>775</v>
      </c>
      <c r="T189" s="93"/>
      <c r="U189" s="93"/>
      <c r="V189" s="93"/>
      <c r="W189" s="97"/>
      <c r="X189" s="100"/>
      <c r="Y189" s="102">
        <v>0.963</v>
      </c>
      <c r="Z189" s="103">
        <v>9637.7</v>
      </c>
      <c r="AA189" s="103">
        <v>74692.18</v>
      </c>
      <c r="AB189" s="58" t="s">
        <v>774</v>
      </c>
      <c r="AC189" s="98"/>
      <c r="AD189" s="105"/>
      <c r="AE189" s="93" t="s">
        <v>12</v>
      </c>
      <c r="AF189" s="105">
        <v>46101</v>
      </c>
      <c r="AG189" s="105"/>
      <c r="AH189" s="105"/>
      <c r="AI189" s="105">
        <v>46101</v>
      </c>
      <c r="AJ189" s="105"/>
      <c r="AK189" s="105"/>
      <c r="AL189" s="105"/>
      <c r="AM189" s="100"/>
      <c r="AN189" s="100"/>
      <c r="AO189" s="105">
        <v>46099</v>
      </c>
      <c r="AP189" s="100">
        <f t="shared" si="29"/>
        <v>64</v>
      </c>
      <c r="AQ189" s="100">
        <f t="shared" si="30"/>
        <v>40</v>
      </c>
    </row>
    <row r="190" s="89" customFormat="1" hidden="1" customHeight="1" spans="1:43">
      <c r="A190" s="93">
        <v>46002</v>
      </c>
      <c r="B190" s="93" t="str">
        <f ca="1" t="shared" ref="B190:B206" si="31">IF(TODAY()&gt;=A190,IF(R190="","未",""),"")</f>
        <v/>
      </c>
      <c r="C190" s="95" t="s">
        <v>242</v>
      </c>
      <c r="D190" s="93" t="s">
        <v>465</v>
      </c>
      <c r="E190" s="95" t="s">
        <v>466</v>
      </c>
      <c r="F190" s="96">
        <v>10116820</v>
      </c>
      <c r="G190" s="96" t="s">
        <v>243</v>
      </c>
      <c r="H190" s="97" t="s">
        <v>132</v>
      </c>
      <c r="I190" s="98" t="str">
        <f>IFERROR(VLOOKUP(H190,名称!A:C,2,0),"")</f>
        <v>马里奥和他的蘑菇</v>
      </c>
      <c r="J190" s="99">
        <v>4500</v>
      </c>
      <c r="K190" s="98">
        <f>IFERROR(VLOOKUP(H190,名称!A:D,3,0),"")</f>
        <v>6</v>
      </c>
      <c r="L190" s="100">
        <f t="shared" ref="L190:L206" si="32">IFERROR((J190/K190),"")</f>
        <v>750</v>
      </c>
      <c r="M190" s="93">
        <v>46153</v>
      </c>
      <c r="N190" s="93">
        <f t="shared" ref="N186:N193" si="33">M190-2</f>
        <v>46151</v>
      </c>
      <c r="O190" s="93">
        <v>46090</v>
      </c>
      <c r="P190" s="93" t="s">
        <v>695</v>
      </c>
      <c r="Q190" s="97" t="s">
        <v>777</v>
      </c>
      <c r="R190" s="97" t="s">
        <v>696</v>
      </c>
      <c r="S190" s="93"/>
      <c r="T190" s="93"/>
      <c r="U190" s="93"/>
      <c r="V190" s="93"/>
      <c r="W190" s="97"/>
      <c r="X190" s="100" t="s">
        <v>697</v>
      </c>
      <c r="Y190" s="102">
        <v>1.46</v>
      </c>
      <c r="Z190" s="103">
        <f t="shared" ref="Z190:Z206" si="34">J190*Y190</f>
        <v>6570</v>
      </c>
      <c r="AA190" s="103">
        <f t="shared" ref="AA190:AA206" si="35">Z190*7.75</f>
        <v>50917.5</v>
      </c>
      <c r="AB190" s="58" t="s">
        <v>778</v>
      </c>
      <c r="AC190" s="93"/>
      <c r="AD190" s="93"/>
      <c r="AE190" s="93" t="str">
        <f>IFERROR(VLOOKUP(H190,名称!A:D,4,0),"")</f>
        <v>KIK</v>
      </c>
      <c r="AF190" s="98"/>
      <c r="AG190" s="105"/>
      <c r="AH190" s="105">
        <v>46044</v>
      </c>
      <c r="AI190" s="105">
        <v>46027</v>
      </c>
      <c r="AJ190" s="105"/>
      <c r="AK190" s="105"/>
      <c r="AL190" s="105"/>
      <c r="AM190" s="105"/>
      <c r="AN190" s="105"/>
      <c r="AO190" s="105">
        <v>46020</v>
      </c>
      <c r="AP190" s="100">
        <f t="shared" si="29"/>
        <v>151</v>
      </c>
      <c r="AQ190" s="100">
        <f t="shared" si="30"/>
        <v>126</v>
      </c>
    </row>
    <row r="191" s="89" customFormat="1" hidden="1" customHeight="1" spans="1:43">
      <c r="A191" s="93">
        <v>46002</v>
      </c>
      <c r="B191" s="93" t="str">
        <f ca="1" t="shared" si="31"/>
        <v/>
      </c>
      <c r="C191" s="95" t="s">
        <v>242</v>
      </c>
      <c r="D191" s="93" t="s">
        <v>465</v>
      </c>
      <c r="E191" s="95" t="s">
        <v>466</v>
      </c>
      <c r="F191" s="96">
        <v>10116820</v>
      </c>
      <c r="G191" s="96" t="s">
        <v>243</v>
      </c>
      <c r="H191" s="97" t="s">
        <v>131</v>
      </c>
      <c r="I191" s="98" t="str">
        <f>IFERROR(VLOOKUP(H191,名称!A:C,2,0),"")</f>
        <v>宝箱马里奥</v>
      </c>
      <c r="J191" s="99">
        <v>4500</v>
      </c>
      <c r="K191" s="98">
        <f>IFERROR(VLOOKUP(H191,名称!A:D,3,0),"")</f>
        <v>4</v>
      </c>
      <c r="L191" s="100">
        <f t="shared" si="32"/>
        <v>1125</v>
      </c>
      <c r="M191" s="93">
        <v>46153</v>
      </c>
      <c r="N191" s="93">
        <f t="shared" si="33"/>
        <v>46151</v>
      </c>
      <c r="O191" s="93">
        <v>46091</v>
      </c>
      <c r="P191" s="93" t="s">
        <v>695</v>
      </c>
      <c r="Q191" s="97" t="s">
        <v>777</v>
      </c>
      <c r="R191" s="97" t="s">
        <v>696</v>
      </c>
      <c r="S191" s="93"/>
      <c r="T191" s="93"/>
      <c r="U191" s="93"/>
      <c r="V191" s="93"/>
      <c r="W191" s="97"/>
      <c r="X191" s="100" t="s">
        <v>697</v>
      </c>
      <c r="Y191" s="102">
        <v>2.418</v>
      </c>
      <c r="Z191" s="103">
        <f t="shared" si="34"/>
        <v>10881</v>
      </c>
      <c r="AA191" s="103">
        <f t="shared" si="35"/>
        <v>84327.75</v>
      </c>
      <c r="AB191" s="58" t="s">
        <v>778</v>
      </c>
      <c r="AC191" s="93"/>
      <c r="AD191" s="93"/>
      <c r="AE191" s="93" t="str">
        <f>IFERROR(VLOOKUP(H191,名称!A:D,4,0),"")</f>
        <v>KIK</v>
      </c>
      <c r="AF191" s="98"/>
      <c r="AG191" s="105"/>
      <c r="AH191" s="105">
        <v>46044</v>
      </c>
      <c r="AI191" s="105">
        <v>46027</v>
      </c>
      <c r="AJ191" s="105"/>
      <c r="AK191" s="105"/>
      <c r="AL191" s="105"/>
      <c r="AM191" s="105"/>
      <c r="AN191" s="105"/>
      <c r="AO191" s="105">
        <v>46020</v>
      </c>
      <c r="AP191" s="100">
        <f t="shared" si="29"/>
        <v>151</v>
      </c>
      <c r="AQ191" s="100">
        <f t="shared" si="30"/>
        <v>126</v>
      </c>
    </row>
    <row r="192" s="89" customFormat="1" hidden="1" customHeight="1" spans="1:43">
      <c r="A192" s="93">
        <v>46002</v>
      </c>
      <c r="B192" s="93" t="str">
        <f ca="1" t="shared" si="31"/>
        <v/>
      </c>
      <c r="C192" s="95" t="s">
        <v>242</v>
      </c>
      <c r="D192" s="93" t="s">
        <v>465</v>
      </c>
      <c r="E192" s="95" t="s">
        <v>466</v>
      </c>
      <c r="F192" s="96">
        <v>10116820</v>
      </c>
      <c r="G192" s="96" t="s">
        <v>243</v>
      </c>
      <c r="H192" s="97" t="s">
        <v>130</v>
      </c>
      <c r="I192" s="98" t="str">
        <f>IFERROR(VLOOKUP(H192,名称!A:C,2,0),"")</f>
        <v>管道马里奥</v>
      </c>
      <c r="J192" s="99">
        <v>4500</v>
      </c>
      <c r="K192" s="98">
        <f>IFERROR(VLOOKUP(H192,名称!A:D,3,0),"")</f>
        <v>4</v>
      </c>
      <c r="L192" s="100">
        <f t="shared" si="32"/>
        <v>1125</v>
      </c>
      <c r="M192" s="93">
        <v>46153</v>
      </c>
      <c r="N192" s="93">
        <f t="shared" si="33"/>
        <v>46151</v>
      </c>
      <c r="O192" s="93">
        <v>46091</v>
      </c>
      <c r="P192" s="93" t="s">
        <v>695</v>
      </c>
      <c r="Q192" s="97" t="s">
        <v>777</v>
      </c>
      <c r="R192" s="97" t="s">
        <v>696</v>
      </c>
      <c r="S192" s="93"/>
      <c r="T192" s="93"/>
      <c r="U192" s="93"/>
      <c r="V192" s="93"/>
      <c r="W192" s="97"/>
      <c r="X192" s="100" t="s">
        <v>697</v>
      </c>
      <c r="Y192" s="102">
        <v>3.703</v>
      </c>
      <c r="Z192" s="103">
        <f t="shared" si="34"/>
        <v>16663.5</v>
      </c>
      <c r="AA192" s="103">
        <f t="shared" si="35"/>
        <v>129142.13</v>
      </c>
      <c r="AB192" s="58" t="s">
        <v>778</v>
      </c>
      <c r="AC192" s="93"/>
      <c r="AD192" s="93"/>
      <c r="AE192" s="93" t="str">
        <f>IFERROR(VLOOKUP(H192,名称!A:D,4,0),"")</f>
        <v>KIK</v>
      </c>
      <c r="AF192" s="98"/>
      <c r="AG192" s="105"/>
      <c r="AH192" s="105">
        <v>46044</v>
      </c>
      <c r="AI192" s="105">
        <v>46027</v>
      </c>
      <c r="AJ192" s="105"/>
      <c r="AK192" s="105"/>
      <c r="AL192" s="105"/>
      <c r="AM192" s="105"/>
      <c r="AN192" s="105"/>
      <c r="AO192" s="105">
        <v>46020</v>
      </c>
      <c r="AP192" s="100">
        <f t="shared" si="29"/>
        <v>151</v>
      </c>
      <c r="AQ192" s="100">
        <f t="shared" si="30"/>
        <v>126</v>
      </c>
    </row>
    <row r="193" s="89" customFormat="1" hidden="1" customHeight="1" spans="1:43">
      <c r="A193" s="93">
        <v>46002</v>
      </c>
      <c r="B193" s="93" t="str">
        <f ca="1" t="shared" si="31"/>
        <v/>
      </c>
      <c r="C193" s="95" t="s">
        <v>242</v>
      </c>
      <c r="D193" s="93" t="s">
        <v>465</v>
      </c>
      <c r="E193" s="95" t="s">
        <v>466</v>
      </c>
      <c r="F193" s="96">
        <v>10116820</v>
      </c>
      <c r="G193" s="96" t="s">
        <v>243</v>
      </c>
      <c r="H193" s="97" t="s">
        <v>133</v>
      </c>
      <c r="I193" s="98" t="str">
        <f>IFERROR(VLOOKUP(H193,名称!A:C,2,0),"")</f>
        <v>能量蘑菇</v>
      </c>
      <c r="J193" s="99">
        <v>4500</v>
      </c>
      <c r="K193" s="98">
        <f>IFERROR(VLOOKUP(H193,名称!A:D,3,0),"")</f>
        <v>6</v>
      </c>
      <c r="L193" s="100">
        <f t="shared" si="32"/>
        <v>750</v>
      </c>
      <c r="M193" s="93">
        <v>46153</v>
      </c>
      <c r="N193" s="93">
        <f t="shared" si="33"/>
        <v>46151</v>
      </c>
      <c r="O193" s="93">
        <v>46115</v>
      </c>
      <c r="P193" s="93" t="s">
        <v>695</v>
      </c>
      <c r="Q193" s="97" t="s">
        <v>777</v>
      </c>
      <c r="R193" s="97" t="s">
        <v>699</v>
      </c>
      <c r="S193" s="93"/>
      <c r="T193" s="93"/>
      <c r="U193" s="93"/>
      <c r="V193" s="93"/>
      <c r="W193" s="97"/>
      <c r="X193" s="100" t="s">
        <v>697</v>
      </c>
      <c r="Y193" s="102">
        <v>1.322</v>
      </c>
      <c r="Z193" s="103">
        <f t="shared" si="34"/>
        <v>5949</v>
      </c>
      <c r="AA193" s="103">
        <f t="shared" si="35"/>
        <v>46104.75</v>
      </c>
      <c r="AB193" s="58" t="s">
        <v>778</v>
      </c>
      <c r="AC193" s="93"/>
      <c r="AD193" s="93"/>
      <c r="AE193" s="93" t="str">
        <f>IFERROR(VLOOKUP(H193,名称!A:D,4,0),"")</f>
        <v>KIK</v>
      </c>
      <c r="AF193" s="98"/>
      <c r="AG193" s="105"/>
      <c r="AH193" s="105">
        <v>46044</v>
      </c>
      <c r="AI193" s="105">
        <v>46027</v>
      </c>
      <c r="AJ193" s="105"/>
      <c r="AK193" s="105"/>
      <c r="AL193" s="105"/>
      <c r="AM193" s="105"/>
      <c r="AN193" s="105"/>
      <c r="AO193" s="105">
        <v>46020</v>
      </c>
      <c r="AP193" s="100">
        <f t="shared" si="29"/>
        <v>151</v>
      </c>
      <c r="AQ193" s="100">
        <f t="shared" si="30"/>
        <v>126</v>
      </c>
    </row>
    <row r="194" s="89" customFormat="1" hidden="1" customHeight="1" spans="1:43">
      <c r="A194" s="93">
        <v>45997</v>
      </c>
      <c r="B194" s="93" t="str">
        <f ca="1" t="shared" si="31"/>
        <v/>
      </c>
      <c r="C194" s="95" t="s">
        <v>237</v>
      </c>
      <c r="D194" s="93" t="s">
        <v>427</v>
      </c>
      <c r="E194" s="95" t="s">
        <v>438</v>
      </c>
      <c r="F194" s="96">
        <v>10116495</v>
      </c>
      <c r="G194" s="96">
        <v>202533770061</v>
      </c>
      <c r="H194" s="97" t="s">
        <v>118</v>
      </c>
      <c r="I194" s="98" t="str">
        <f>IFERROR(VLOOKUP(H194,名称!A:C,2,0),"")</f>
        <v>滑板拖车</v>
      </c>
      <c r="J194" s="99">
        <v>1800</v>
      </c>
      <c r="K194" s="98">
        <v>4</v>
      </c>
      <c r="L194" s="100">
        <f t="shared" si="32"/>
        <v>450</v>
      </c>
      <c r="M194" s="93">
        <v>46155</v>
      </c>
      <c r="N194" s="93">
        <v>46153</v>
      </c>
      <c r="O194" s="93"/>
      <c r="P194" s="93" t="s">
        <v>423</v>
      </c>
      <c r="Q194" s="97" t="s">
        <v>430</v>
      </c>
      <c r="R194" s="125" t="s">
        <v>779</v>
      </c>
      <c r="S194" s="93" t="s">
        <v>593</v>
      </c>
      <c r="T194" s="93" t="s">
        <v>505</v>
      </c>
      <c r="U194" s="93"/>
      <c r="V194" s="93"/>
      <c r="W194" s="97"/>
      <c r="X194" s="100"/>
      <c r="Y194" s="102">
        <v>16.71</v>
      </c>
      <c r="Z194" s="103">
        <f t="shared" si="34"/>
        <v>30078</v>
      </c>
      <c r="AA194" s="103">
        <f t="shared" si="35"/>
        <v>233104.5</v>
      </c>
      <c r="AB194" s="58" t="s">
        <v>780</v>
      </c>
      <c r="AC194" s="98"/>
      <c r="AD194" s="105"/>
      <c r="AE194" s="93" t="s">
        <v>12</v>
      </c>
      <c r="AF194" s="105"/>
      <c r="AG194" s="105"/>
      <c r="AH194" s="105"/>
      <c r="AI194" s="105">
        <v>46101</v>
      </c>
      <c r="AJ194" s="105" t="s">
        <v>420</v>
      </c>
      <c r="AK194" s="105"/>
      <c r="AL194" s="105" t="s">
        <v>522</v>
      </c>
      <c r="AM194" s="105" t="s">
        <v>522</v>
      </c>
      <c r="AN194" s="100"/>
      <c r="AO194" s="105">
        <v>46105</v>
      </c>
      <c r="AP194" s="100">
        <f t="shared" si="29"/>
        <v>158</v>
      </c>
      <c r="AQ194" s="100">
        <f t="shared" si="30"/>
        <v>54</v>
      </c>
    </row>
    <row r="195" s="89" customFormat="1" hidden="1" customHeight="1" spans="1:43">
      <c r="A195" s="93">
        <v>46049</v>
      </c>
      <c r="B195" s="93" t="str">
        <f ca="1" t="shared" si="31"/>
        <v/>
      </c>
      <c r="C195" s="95" t="s">
        <v>237</v>
      </c>
      <c r="D195" s="93" t="s">
        <v>427</v>
      </c>
      <c r="E195" s="95" t="s">
        <v>438</v>
      </c>
      <c r="F195" s="96">
        <v>10119914</v>
      </c>
      <c r="G195" s="96">
        <v>202602370019</v>
      </c>
      <c r="H195" s="97" t="s">
        <v>105</v>
      </c>
      <c r="I195" s="98" t="str">
        <f>IFERROR(VLOOKUP(H195,名称!A:C,2,0),"")</f>
        <v>农场男孩套装</v>
      </c>
      <c r="J195" s="132">
        <v>3200</v>
      </c>
      <c r="K195" s="98">
        <f>IFERROR(VLOOKUP(H195,名称!A:D,3,0),"")</f>
        <v>4</v>
      </c>
      <c r="L195" s="100">
        <f t="shared" si="32"/>
        <v>800</v>
      </c>
      <c r="M195" s="93">
        <v>46155</v>
      </c>
      <c r="N195" s="93">
        <f t="shared" ref="N195:N197" si="36">M195-2</f>
        <v>46153</v>
      </c>
      <c r="O195" s="93">
        <v>46149</v>
      </c>
      <c r="P195" s="93" t="s">
        <v>423</v>
      </c>
      <c r="Q195" s="97" t="s">
        <v>430</v>
      </c>
      <c r="R195" s="97" t="s">
        <v>718</v>
      </c>
      <c r="S195" s="93"/>
      <c r="T195" s="93" t="s">
        <v>452</v>
      </c>
      <c r="U195" s="93"/>
      <c r="V195" s="93"/>
      <c r="W195" s="97"/>
      <c r="X195" s="100"/>
      <c r="Y195" s="102">
        <v>2.934</v>
      </c>
      <c r="Z195" s="103">
        <f t="shared" si="34"/>
        <v>9388.8</v>
      </c>
      <c r="AA195" s="103">
        <f t="shared" si="35"/>
        <v>72763.2</v>
      </c>
      <c r="AB195" s="58" t="s">
        <v>780</v>
      </c>
      <c r="AC195" s="93"/>
      <c r="AD195" s="93"/>
      <c r="AE195" s="93" t="str">
        <f>IFERROR(VLOOKUP(H195,名称!A:D,4,0),"")</f>
        <v>KIK</v>
      </c>
      <c r="AF195" s="98"/>
      <c r="AG195" s="105"/>
      <c r="AH195" s="105"/>
      <c r="AI195" s="105">
        <v>46094</v>
      </c>
      <c r="AJ195" s="105">
        <v>46107</v>
      </c>
      <c r="AK195" s="105"/>
      <c r="AL195" s="105" t="s">
        <v>420</v>
      </c>
      <c r="AM195" s="105" t="s">
        <v>420</v>
      </c>
      <c r="AN195" s="105"/>
      <c r="AO195" s="105">
        <v>46088</v>
      </c>
      <c r="AP195" s="100">
        <f t="shared" si="29"/>
        <v>106</v>
      </c>
      <c r="AQ195" s="100">
        <f t="shared" si="30"/>
        <v>61</v>
      </c>
    </row>
    <row r="196" s="89" customFormat="1" hidden="1" customHeight="1" spans="1:43">
      <c r="A196" s="93">
        <v>45997</v>
      </c>
      <c r="B196" s="93" t="str">
        <f ca="1" t="shared" si="31"/>
        <v/>
      </c>
      <c r="C196" s="95" t="s">
        <v>237</v>
      </c>
      <c r="D196" s="93" t="s">
        <v>427</v>
      </c>
      <c r="E196" s="95" t="s">
        <v>438</v>
      </c>
      <c r="F196" s="96">
        <v>10116495</v>
      </c>
      <c r="G196" s="96">
        <v>202533770061</v>
      </c>
      <c r="H196" s="97" t="s">
        <v>118</v>
      </c>
      <c r="I196" s="98" t="str">
        <f>IFERROR(VLOOKUP(H196,名称!A:C,2,0),"")</f>
        <v>滑板拖车</v>
      </c>
      <c r="J196" s="99">
        <v>700</v>
      </c>
      <c r="K196" s="98">
        <f>IFERROR(VLOOKUP(H196,名称!A:D,3,0),"")</f>
        <v>4</v>
      </c>
      <c r="L196" s="100">
        <f t="shared" si="32"/>
        <v>175</v>
      </c>
      <c r="M196" s="93">
        <v>46155</v>
      </c>
      <c r="N196" s="93">
        <f t="shared" si="36"/>
        <v>46153</v>
      </c>
      <c r="O196" s="93"/>
      <c r="P196" s="93" t="s">
        <v>423</v>
      </c>
      <c r="Q196" s="97" t="s">
        <v>430</v>
      </c>
      <c r="R196" s="125" t="s">
        <v>779</v>
      </c>
      <c r="S196" s="93" t="s">
        <v>593</v>
      </c>
      <c r="T196" s="93" t="s">
        <v>505</v>
      </c>
      <c r="U196" s="93"/>
      <c r="V196" s="93"/>
      <c r="W196" s="97"/>
      <c r="X196" s="100"/>
      <c r="Y196" s="102">
        <v>16.71</v>
      </c>
      <c r="Z196" s="103">
        <f t="shared" si="34"/>
        <v>11697</v>
      </c>
      <c r="AA196" s="103">
        <f t="shared" si="35"/>
        <v>90651.75</v>
      </c>
      <c r="AB196" s="58" t="s">
        <v>781</v>
      </c>
      <c r="AC196" s="98"/>
      <c r="AD196" s="105"/>
      <c r="AE196" s="93" t="s">
        <v>12</v>
      </c>
      <c r="AF196" s="105"/>
      <c r="AG196" s="105"/>
      <c r="AH196" s="105"/>
      <c r="AI196" s="105">
        <v>46101</v>
      </c>
      <c r="AJ196" s="105" t="s">
        <v>420</v>
      </c>
      <c r="AK196" s="105"/>
      <c r="AL196" s="105" t="s">
        <v>522</v>
      </c>
      <c r="AM196" s="105" t="s">
        <v>522</v>
      </c>
      <c r="AN196" s="100"/>
      <c r="AO196" s="105">
        <v>46105</v>
      </c>
      <c r="AP196" s="100">
        <f t="shared" si="29"/>
        <v>158</v>
      </c>
      <c r="AQ196" s="100">
        <f t="shared" si="30"/>
        <v>54</v>
      </c>
    </row>
    <row r="197" s="89" customFormat="1" hidden="1" customHeight="1" spans="1:43">
      <c r="A197" s="93">
        <v>46058</v>
      </c>
      <c r="B197" s="93" t="str">
        <f ca="1" t="shared" si="31"/>
        <v/>
      </c>
      <c r="C197" s="95" t="s">
        <v>237</v>
      </c>
      <c r="D197" s="93" t="s">
        <v>427</v>
      </c>
      <c r="E197" s="95" t="s">
        <v>428</v>
      </c>
      <c r="F197" s="96">
        <v>10120572</v>
      </c>
      <c r="G197" s="96">
        <v>202603470468</v>
      </c>
      <c r="H197" s="97" t="s">
        <v>141</v>
      </c>
      <c r="I197" s="98" t="str">
        <f>IFERROR(VLOOKUP(H197,名称!A:C,2,0),"")</f>
        <v>马里奥能量蘑菇密封盒混装</v>
      </c>
      <c r="J197" s="131">
        <v>1824</v>
      </c>
      <c r="K197" s="98">
        <f>IFERROR(VLOOKUP(H197,名称!A:D,3,0),"")</f>
        <v>6</v>
      </c>
      <c r="L197" s="100">
        <f t="shared" si="32"/>
        <v>304</v>
      </c>
      <c r="M197" s="93">
        <v>46155</v>
      </c>
      <c r="N197" s="93">
        <f t="shared" si="36"/>
        <v>46153</v>
      </c>
      <c r="O197" s="93">
        <v>46154</v>
      </c>
      <c r="P197" s="93" t="s">
        <v>717</v>
      </c>
      <c r="Q197" s="97" t="s">
        <v>430</v>
      </c>
      <c r="R197" s="97" t="s">
        <v>700</v>
      </c>
      <c r="S197" s="93"/>
      <c r="T197" s="93"/>
      <c r="U197" s="93"/>
      <c r="V197" s="93"/>
      <c r="W197" s="97"/>
      <c r="X197" s="100"/>
      <c r="Y197" s="102">
        <v>2.398</v>
      </c>
      <c r="Z197" s="103">
        <f t="shared" si="34"/>
        <v>4373.95</v>
      </c>
      <c r="AA197" s="103">
        <f t="shared" si="35"/>
        <v>33898.11</v>
      </c>
      <c r="AB197" s="58" t="s">
        <v>781</v>
      </c>
      <c r="AC197" s="93"/>
      <c r="AD197" s="93"/>
      <c r="AE197" s="93" t="str">
        <f>IFERROR(VLOOKUP(H197,名称!A:D,4,0),"")</f>
        <v>KIK</v>
      </c>
      <c r="AF197" s="98"/>
      <c r="AG197" s="105"/>
      <c r="AH197" s="105"/>
      <c r="AI197" s="105">
        <v>46101</v>
      </c>
      <c r="AJ197" s="105"/>
      <c r="AK197" s="105"/>
      <c r="AL197" s="105"/>
      <c r="AM197" s="105">
        <v>46134</v>
      </c>
      <c r="AN197" s="105"/>
      <c r="AO197" s="105">
        <v>46094</v>
      </c>
      <c r="AP197" s="100">
        <f t="shared" si="29"/>
        <v>97</v>
      </c>
      <c r="AQ197" s="100">
        <f t="shared" si="30"/>
        <v>54</v>
      </c>
    </row>
    <row r="198" s="89" customFormat="1" hidden="1" customHeight="1" spans="1:43">
      <c r="A198" s="93">
        <v>46085</v>
      </c>
      <c r="B198" s="93" t="str">
        <f ca="1" t="shared" si="31"/>
        <v/>
      </c>
      <c r="C198" s="95" t="s">
        <v>237</v>
      </c>
      <c r="D198" s="93" t="s">
        <v>427</v>
      </c>
      <c r="E198" s="95" t="s">
        <v>428</v>
      </c>
      <c r="F198" s="96">
        <v>10121461</v>
      </c>
      <c r="G198" s="96">
        <v>202606174705</v>
      </c>
      <c r="H198" s="97" t="s">
        <v>129</v>
      </c>
      <c r="I198" s="98" t="str">
        <f>IFERROR(VLOOKUP(H198,名称!A:C,2,0),"")</f>
        <v>锁匙</v>
      </c>
      <c r="J198" s="99">
        <v>5004</v>
      </c>
      <c r="K198" s="98">
        <f>IFERROR(VLOOKUP(H198,名称!A:D,3,0),"")</f>
        <v>36</v>
      </c>
      <c r="L198" s="100">
        <f t="shared" si="32"/>
        <v>139</v>
      </c>
      <c r="M198" s="93">
        <v>46162</v>
      </c>
      <c r="N198" s="93">
        <v>46153</v>
      </c>
      <c r="O198" s="93"/>
      <c r="P198" s="93" t="s">
        <v>423</v>
      </c>
      <c r="Q198" s="97" t="s">
        <v>430</v>
      </c>
      <c r="R198" s="97" t="s">
        <v>782</v>
      </c>
      <c r="S198" s="97"/>
      <c r="T198" s="93"/>
      <c r="U198" s="93"/>
      <c r="V198" s="93"/>
      <c r="W198" s="97"/>
      <c r="X198" s="100"/>
      <c r="Y198" s="102">
        <v>0.324</v>
      </c>
      <c r="Z198" s="103">
        <f t="shared" si="34"/>
        <v>1621.3</v>
      </c>
      <c r="AA198" s="103">
        <f t="shared" si="35"/>
        <v>12565.08</v>
      </c>
      <c r="AB198" s="58" t="s">
        <v>781</v>
      </c>
      <c r="AC198" s="98"/>
      <c r="AD198" s="105"/>
      <c r="AE198" s="93" t="s">
        <v>12</v>
      </c>
      <c r="AF198" s="105">
        <v>46107</v>
      </c>
      <c r="AG198" s="105"/>
      <c r="AH198" s="105"/>
      <c r="AI198" s="105">
        <v>46107</v>
      </c>
      <c r="AJ198" s="105"/>
      <c r="AK198" s="105"/>
      <c r="AL198" s="105"/>
      <c r="AM198" s="100"/>
      <c r="AN198" s="100"/>
      <c r="AO198" s="105">
        <v>46106</v>
      </c>
      <c r="AP198" s="100">
        <f t="shared" si="29"/>
        <v>77</v>
      </c>
      <c r="AQ198" s="100">
        <f t="shared" si="30"/>
        <v>55</v>
      </c>
    </row>
    <row r="199" s="89" customFormat="1" hidden="1" customHeight="1" spans="1:43">
      <c r="A199" s="93">
        <v>46085</v>
      </c>
      <c r="B199" s="93" t="str">
        <f ca="1" t="shared" si="31"/>
        <v/>
      </c>
      <c r="C199" s="95" t="s">
        <v>237</v>
      </c>
      <c r="D199" s="93" t="s">
        <v>427</v>
      </c>
      <c r="E199" s="95" t="s">
        <v>428</v>
      </c>
      <c r="F199" s="96">
        <v>10121464</v>
      </c>
      <c r="G199" s="96">
        <v>202606174706</v>
      </c>
      <c r="H199" s="97" t="s">
        <v>88</v>
      </c>
      <c r="I199" s="98" t="str">
        <f>IFERROR(VLOOKUP(H199,名称!A:C,2,0),"")</f>
        <v>杯子</v>
      </c>
      <c r="J199" s="99">
        <v>20016</v>
      </c>
      <c r="K199" s="98">
        <f>IFERROR(VLOOKUP(H199,名称!A:D,3,0),"")</f>
        <v>18</v>
      </c>
      <c r="L199" s="100">
        <f t="shared" si="32"/>
        <v>1112</v>
      </c>
      <c r="M199" s="133">
        <v>46162</v>
      </c>
      <c r="N199" s="133">
        <f t="shared" ref="N199:N206" si="37">M199-2</f>
        <v>46160</v>
      </c>
      <c r="O199" s="93"/>
      <c r="P199" s="93" t="s">
        <v>423</v>
      </c>
      <c r="Q199" s="97" t="s">
        <v>430</v>
      </c>
      <c r="R199" s="97" t="s">
        <v>776</v>
      </c>
      <c r="S199" s="93"/>
      <c r="T199" s="93"/>
      <c r="U199" s="93"/>
      <c r="V199" s="93"/>
      <c r="W199" s="97"/>
      <c r="X199" s="100"/>
      <c r="Y199" s="102">
        <v>0.963</v>
      </c>
      <c r="Z199" s="103">
        <f t="shared" si="34"/>
        <v>19275.41</v>
      </c>
      <c r="AA199" s="103">
        <f t="shared" si="35"/>
        <v>149384.43</v>
      </c>
      <c r="AB199" s="58" t="s">
        <v>781</v>
      </c>
      <c r="AC199" s="98"/>
      <c r="AD199" s="105"/>
      <c r="AE199" s="93" t="s">
        <v>12</v>
      </c>
      <c r="AF199" s="105">
        <v>46101</v>
      </c>
      <c r="AG199" s="105"/>
      <c r="AH199" s="105"/>
      <c r="AI199" s="105">
        <v>46101</v>
      </c>
      <c r="AJ199" s="105"/>
      <c r="AK199" s="105"/>
      <c r="AL199" s="105"/>
      <c r="AM199" s="100"/>
      <c r="AN199" s="100"/>
      <c r="AO199" s="105">
        <v>46099</v>
      </c>
      <c r="AP199" s="100">
        <f t="shared" si="29"/>
        <v>77</v>
      </c>
      <c r="AQ199" s="100">
        <f t="shared" si="30"/>
        <v>61</v>
      </c>
    </row>
    <row r="200" s="89" customFormat="1" hidden="1" customHeight="1" spans="1:43">
      <c r="A200" s="93">
        <v>46049</v>
      </c>
      <c r="B200" s="93" t="str">
        <f ca="1" t="shared" si="31"/>
        <v/>
      </c>
      <c r="C200" s="95" t="s">
        <v>235</v>
      </c>
      <c r="D200" s="93" t="s">
        <v>421</v>
      </c>
      <c r="E200" s="95" t="s">
        <v>438</v>
      </c>
      <c r="F200" s="96">
        <v>10119985</v>
      </c>
      <c r="G200" s="96">
        <v>4500032230</v>
      </c>
      <c r="H200" s="97" t="s">
        <v>107</v>
      </c>
      <c r="I200" s="98" t="str">
        <f>IFERROR(VLOOKUP(H200,名称!A:C,2,0),"")</f>
        <v>农场女孩套装</v>
      </c>
      <c r="J200" s="99">
        <f>1052-452</f>
        <v>600</v>
      </c>
      <c r="K200" s="98">
        <f>IFERROR(VLOOKUP(H200,名称!A:D,3,0),"")</f>
        <v>4</v>
      </c>
      <c r="L200" s="100">
        <f t="shared" si="32"/>
        <v>150</v>
      </c>
      <c r="M200" s="93">
        <v>46169</v>
      </c>
      <c r="N200" s="93">
        <f t="shared" si="37"/>
        <v>46167</v>
      </c>
      <c r="O200" s="93"/>
      <c r="P200" s="93" t="s">
        <v>423</v>
      </c>
      <c r="Q200" s="97" t="s">
        <v>424</v>
      </c>
      <c r="R200" s="97" t="s">
        <v>718</v>
      </c>
      <c r="S200" s="93" t="s">
        <v>783</v>
      </c>
      <c r="T200" s="93" t="s">
        <v>452</v>
      </c>
      <c r="U200" s="93"/>
      <c r="V200" s="93"/>
      <c r="W200" s="97"/>
      <c r="X200" s="100"/>
      <c r="Y200" s="102">
        <v>4.857</v>
      </c>
      <c r="Z200" s="103">
        <f t="shared" si="34"/>
        <v>2914.2</v>
      </c>
      <c r="AA200" s="103">
        <f t="shared" si="35"/>
        <v>22585.05</v>
      </c>
      <c r="AB200" s="58" t="s">
        <v>784</v>
      </c>
      <c r="AC200" s="93"/>
      <c r="AD200" s="93"/>
      <c r="AE200" s="93" t="str">
        <f>IFERROR(VLOOKUP(H200,名称!A:D,4,0),"")</f>
        <v>KIK</v>
      </c>
      <c r="AF200" s="98"/>
      <c r="AG200" s="134"/>
      <c r="AH200" s="134"/>
      <c r="AI200" s="105">
        <v>46045</v>
      </c>
      <c r="AJ200" s="105">
        <v>46107</v>
      </c>
      <c r="AK200" s="105"/>
      <c r="AL200" s="105" t="s">
        <v>420</v>
      </c>
      <c r="AM200" s="105" t="s">
        <v>420</v>
      </c>
      <c r="AN200" s="105"/>
      <c r="AO200" s="105">
        <v>46088</v>
      </c>
      <c r="AP200" s="100">
        <f t="shared" si="29"/>
        <v>120</v>
      </c>
      <c r="AQ200" s="100">
        <f t="shared" si="30"/>
        <v>124</v>
      </c>
    </row>
    <row r="201" s="89" customFormat="1" hidden="1" customHeight="1" spans="1:43">
      <c r="A201" s="93">
        <v>46049</v>
      </c>
      <c r="B201" s="93" t="str">
        <f ca="1" t="shared" si="31"/>
        <v/>
      </c>
      <c r="C201" s="95" t="s">
        <v>235</v>
      </c>
      <c r="D201" s="93" t="s">
        <v>421</v>
      </c>
      <c r="E201" s="95" t="s">
        <v>438</v>
      </c>
      <c r="F201" s="96">
        <v>10119985</v>
      </c>
      <c r="G201" s="96">
        <v>4500032230</v>
      </c>
      <c r="H201" s="97" t="s">
        <v>105</v>
      </c>
      <c r="I201" s="98" t="str">
        <f>IFERROR(VLOOKUP(H201,名称!A:C,2,0),"")</f>
        <v>农场男孩套装</v>
      </c>
      <c r="J201" s="99">
        <f>1500-900</f>
        <v>600</v>
      </c>
      <c r="K201" s="98">
        <f>IFERROR(VLOOKUP(H201,名称!A:D,3,0),"")</f>
        <v>4</v>
      </c>
      <c r="L201" s="100">
        <f t="shared" si="32"/>
        <v>150</v>
      </c>
      <c r="M201" s="93">
        <v>46169</v>
      </c>
      <c r="N201" s="93">
        <f t="shared" si="37"/>
        <v>46167</v>
      </c>
      <c r="O201" s="93"/>
      <c r="P201" s="93" t="s">
        <v>423</v>
      </c>
      <c r="Q201" s="97" t="s">
        <v>424</v>
      </c>
      <c r="R201" s="97" t="s">
        <v>718</v>
      </c>
      <c r="S201" s="93" t="s">
        <v>783</v>
      </c>
      <c r="T201" s="93" t="s">
        <v>452</v>
      </c>
      <c r="U201" s="93"/>
      <c r="V201" s="93"/>
      <c r="W201" s="97"/>
      <c r="X201" s="100"/>
      <c r="Y201" s="102">
        <v>2.934</v>
      </c>
      <c r="Z201" s="103">
        <f t="shared" si="34"/>
        <v>1760.4</v>
      </c>
      <c r="AA201" s="103">
        <f t="shared" si="35"/>
        <v>13643.1</v>
      </c>
      <c r="AB201" s="58" t="s">
        <v>784</v>
      </c>
      <c r="AC201" s="93"/>
      <c r="AD201" s="93"/>
      <c r="AE201" s="93" t="str">
        <f>IFERROR(VLOOKUP(H201,名称!A:D,4,0),"")</f>
        <v>KIK</v>
      </c>
      <c r="AF201" s="98"/>
      <c r="AG201" s="134"/>
      <c r="AH201" s="134"/>
      <c r="AI201" s="105">
        <v>46094</v>
      </c>
      <c r="AJ201" s="105">
        <v>46107</v>
      </c>
      <c r="AK201" s="105"/>
      <c r="AL201" s="105" t="s">
        <v>420</v>
      </c>
      <c r="AM201" s="105" t="s">
        <v>420</v>
      </c>
      <c r="AN201" s="105"/>
      <c r="AO201" s="105">
        <v>46088</v>
      </c>
      <c r="AP201" s="100">
        <f t="shared" si="29"/>
        <v>120</v>
      </c>
      <c r="AQ201" s="100">
        <f t="shared" si="30"/>
        <v>75</v>
      </c>
    </row>
    <row r="202" s="89" customFormat="1" hidden="1" customHeight="1" spans="1:43">
      <c r="A202" s="93">
        <v>46092</v>
      </c>
      <c r="B202" s="93" t="str">
        <f ca="1" t="shared" si="31"/>
        <v/>
      </c>
      <c r="C202" s="95" t="s">
        <v>235</v>
      </c>
      <c r="D202" s="93" t="s">
        <v>421</v>
      </c>
      <c r="E202" s="95" t="s">
        <v>428</v>
      </c>
      <c r="F202" s="96">
        <v>10121816</v>
      </c>
      <c r="G202" s="96">
        <v>4500032388</v>
      </c>
      <c r="H202" s="97" t="s">
        <v>53</v>
      </c>
      <c r="I202" s="98" t="str">
        <f>IFERROR(VLOOKUP(H202,名称!A:C,2,0),"")</f>
        <v>布鲁伊+宾果沐浴玩具混装</v>
      </c>
      <c r="J202" s="99">
        <v>1530</v>
      </c>
      <c r="K202" s="98">
        <f>IFERROR(VLOOKUP(H202,名称!A:D,3,0),"")</f>
        <v>6</v>
      </c>
      <c r="L202" s="100">
        <f t="shared" si="32"/>
        <v>255</v>
      </c>
      <c r="M202" s="93">
        <v>46169</v>
      </c>
      <c r="N202" s="93">
        <f t="shared" si="37"/>
        <v>46167</v>
      </c>
      <c r="O202" s="93"/>
      <c r="P202" s="93" t="s">
        <v>423</v>
      </c>
      <c r="Q202" s="97" t="s">
        <v>424</v>
      </c>
      <c r="R202" s="97" t="s">
        <v>445</v>
      </c>
      <c r="S202" s="93"/>
      <c r="T202" s="93"/>
      <c r="U202" s="93"/>
      <c r="V202" s="93"/>
      <c r="W202" s="97"/>
      <c r="X202" s="100"/>
      <c r="Y202" s="102">
        <v>1.398</v>
      </c>
      <c r="Z202" s="103">
        <f t="shared" si="34"/>
        <v>2138.94</v>
      </c>
      <c r="AA202" s="103">
        <f t="shared" si="35"/>
        <v>16576.79</v>
      </c>
      <c r="AB202" s="58" t="s">
        <v>784</v>
      </c>
      <c r="AC202" s="93"/>
      <c r="AD202" s="93"/>
      <c r="AE202" s="93" t="str">
        <f>IFERROR(VLOOKUP(H202,名称!A:D,4,0),"")</f>
        <v>KIK</v>
      </c>
      <c r="AF202" s="98"/>
      <c r="AG202" s="134"/>
      <c r="AH202" s="134"/>
      <c r="AI202" s="105">
        <v>46115</v>
      </c>
      <c r="AJ202" s="105"/>
      <c r="AK202" s="105"/>
      <c r="AL202" s="105"/>
      <c r="AM202" s="105"/>
      <c r="AN202" s="105"/>
      <c r="AO202" s="105"/>
      <c r="AP202" s="100">
        <f t="shared" si="29"/>
        <v>77</v>
      </c>
      <c r="AQ202" s="100">
        <f t="shared" si="30"/>
        <v>54</v>
      </c>
    </row>
    <row r="203" s="89" customFormat="1" hidden="1" customHeight="1" spans="1:43">
      <c r="A203" s="93">
        <v>46049</v>
      </c>
      <c r="B203" s="93" t="str">
        <f ca="1" t="shared" si="31"/>
        <v/>
      </c>
      <c r="C203" s="95" t="s">
        <v>235</v>
      </c>
      <c r="D203" s="93" t="s">
        <v>421</v>
      </c>
      <c r="E203" s="95" t="s">
        <v>438</v>
      </c>
      <c r="F203" s="96">
        <v>10119984</v>
      </c>
      <c r="G203" s="96">
        <v>4500032231</v>
      </c>
      <c r="H203" s="97" t="s">
        <v>113</v>
      </c>
      <c r="I203" s="98" t="str">
        <f>IFERROR(VLOOKUP(H203,名称!A:C,2,0),"")</f>
        <v>绿色铲车</v>
      </c>
      <c r="J203" s="99">
        <v>3600</v>
      </c>
      <c r="K203" s="98">
        <f>IFERROR(VLOOKUP(H203,名称!A:D,3,0),"")</f>
        <v>2</v>
      </c>
      <c r="L203" s="100">
        <f t="shared" si="32"/>
        <v>1800</v>
      </c>
      <c r="M203" s="93">
        <v>46169</v>
      </c>
      <c r="N203" s="93">
        <f t="shared" si="37"/>
        <v>46167</v>
      </c>
      <c r="O203" s="93"/>
      <c r="P203" s="93" t="s">
        <v>423</v>
      </c>
      <c r="Q203" s="97" t="s">
        <v>424</v>
      </c>
      <c r="R203" s="97" t="s">
        <v>703</v>
      </c>
      <c r="S203" s="93" t="s">
        <v>785</v>
      </c>
      <c r="T203" s="93" t="s">
        <v>452</v>
      </c>
      <c r="U203" s="93"/>
      <c r="V203" s="93"/>
      <c r="W203" s="97"/>
      <c r="X203" s="100"/>
      <c r="Y203" s="102">
        <v>6.154</v>
      </c>
      <c r="Z203" s="103">
        <f t="shared" si="34"/>
        <v>22154.4</v>
      </c>
      <c r="AA203" s="103">
        <f t="shared" si="35"/>
        <v>171696.6</v>
      </c>
      <c r="AB203" s="58" t="s">
        <v>784</v>
      </c>
      <c r="AC203" s="93"/>
      <c r="AD203" s="93"/>
      <c r="AE203" s="93" t="str">
        <f>IFERROR(VLOOKUP(H203,名称!A:D,4,0),"")</f>
        <v>KIK</v>
      </c>
      <c r="AF203" s="98"/>
      <c r="AG203" s="134"/>
      <c r="AH203" s="134"/>
      <c r="AI203" s="105">
        <v>46094</v>
      </c>
      <c r="AJ203" s="105" t="s">
        <v>420</v>
      </c>
      <c r="AK203" s="105"/>
      <c r="AL203" s="105">
        <v>46135</v>
      </c>
      <c r="AM203" s="105" t="s">
        <v>522</v>
      </c>
      <c r="AN203" s="105"/>
      <c r="AO203" s="105">
        <v>46090</v>
      </c>
      <c r="AP203" s="100">
        <f t="shared" si="29"/>
        <v>120</v>
      </c>
      <c r="AQ203" s="100">
        <f t="shared" si="30"/>
        <v>75</v>
      </c>
    </row>
    <row r="204" s="89" customFormat="1" hidden="1" customHeight="1" spans="1:43">
      <c r="A204" s="93">
        <v>46049</v>
      </c>
      <c r="B204" s="93" t="str">
        <f ca="1" t="shared" si="31"/>
        <v/>
      </c>
      <c r="C204" s="95" t="s">
        <v>248</v>
      </c>
      <c r="D204" s="93" t="s">
        <v>421</v>
      </c>
      <c r="E204" s="95" t="s">
        <v>438</v>
      </c>
      <c r="F204" s="96">
        <v>10119986</v>
      </c>
      <c r="G204" s="96">
        <v>4500032233</v>
      </c>
      <c r="H204" s="97" t="s">
        <v>105</v>
      </c>
      <c r="I204" s="98" t="str">
        <f>IFERROR(VLOOKUP(H204,名称!A:C,2,0),"")</f>
        <v>农场男孩套装</v>
      </c>
      <c r="J204" s="99">
        <v>1600</v>
      </c>
      <c r="K204" s="98">
        <f>IFERROR(VLOOKUP(H204,名称!A:D,3,0),"")</f>
        <v>4</v>
      </c>
      <c r="L204" s="100">
        <f t="shared" si="32"/>
        <v>400</v>
      </c>
      <c r="M204" s="93">
        <v>46169</v>
      </c>
      <c r="N204" s="93">
        <f t="shared" si="37"/>
        <v>46167</v>
      </c>
      <c r="O204" s="93"/>
      <c r="P204" s="93" t="s">
        <v>423</v>
      </c>
      <c r="Q204" s="97" t="s">
        <v>424</v>
      </c>
      <c r="R204" s="97" t="s">
        <v>718</v>
      </c>
      <c r="S204" s="93"/>
      <c r="T204" s="93" t="s">
        <v>452</v>
      </c>
      <c r="U204" s="93"/>
      <c r="V204" s="93"/>
      <c r="W204" s="97"/>
      <c r="X204" s="100"/>
      <c r="Y204" s="102">
        <v>2.934</v>
      </c>
      <c r="Z204" s="103">
        <f t="shared" si="34"/>
        <v>4694.4</v>
      </c>
      <c r="AA204" s="103">
        <f t="shared" si="35"/>
        <v>36381.6</v>
      </c>
      <c r="AB204" s="135" t="s">
        <v>786</v>
      </c>
      <c r="AC204" s="93"/>
      <c r="AD204" s="93"/>
      <c r="AE204" s="93" t="str">
        <f>IFERROR(VLOOKUP(H204,名称!A:D,4,0),"")</f>
        <v>KIK</v>
      </c>
      <c r="AF204" s="98"/>
      <c r="AG204" s="105"/>
      <c r="AH204" s="105"/>
      <c r="AI204" s="105">
        <v>46094</v>
      </c>
      <c r="AJ204" s="105">
        <v>46107</v>
      </c>
      <c r="AK204" s="105"/>
      <c r="AL204" s="105" t="s">
        <v>420</v>
      </c>
      <c r="AM204" s="105" t="s">
        <v>420</v>
      </c>
      <c r="AN204" s="105"/>
      <c r="AO204" s="105">
        <v>46088</v>
      </c>
      <c r="AP204" s="100">
        <f t="shared" si="29"/>
        <v>120</v>
      </c>
      <c r="AQ204" s="100">
        <f t="shared" si="30"/>
        <v>75</v>
      </c>
    </row>
    <row r="205" s="89" customFormat="1" hidden="1" customHeight="1" spans="1:43">
      <c r="A205" s="93">
        <v>46049</v>
      </c>
      <c r="B205" s="93" t="str">
        <f ca="1" t="shared" si="31"/>
        <v/>
      </c>
      <c r="C205" s="95" t="s">
        <v>248</v>
      </c>
      <c r="D205" s="93" t="s">
        <v>421</v>
      </c>
      <c r="E205" s="95" t="s">
        <v>438</v>
      </c>
      <c r="F205" s="96">
        <v>10119986</v>
      </c>
      <c r="G205" s="96">
        <v>4500032233</v>
      </c>
      <c r="H205" s="97" t="s">
        <v>113</v>
      </c>
      <c r="I205" s="98" t="str">
        <f>IFERROR(VLOOKUP(H205,名称!A:C,2,0),"")</f>
        <v>绿色铲车</v>
      </c>
      <c r="J205" s="99">
        <v>1240</v>
      </c>
      <c r="K205" s="98">
        <f>IFERROR(VLOOKUP(H205,名称!A:D,3,0),"")</f>
        <v>2</v>
      </c>
      <c r="L205" s="100">
        <f t="shared" si="32"/>
        <v>620</v>
      </c>
      <c r="M205" s="133">
        <v>46176</v>
      </c>
      <c r="N205" s="133">
        <f t="shared" si="37"/>
        <v>46174</v>
      </c>
      <c r="O205" s="93"/>
      <c r="P205" s="93" t="s">
        <v>423</v>
      </c>
      <c r="Q205" s="97" t="s">
        <v>424</v>
      </c>
      <c r="R205" s="97" t="s">
        <v>703</v>
      </c>
      <c r="S205" s="93"/>
      <c r="T205" s="93" t="s">
        <v>452</v>
      </c>
      <c r="U205" s="93"/>
      <c r="V205" s="93"/>
      <c r="W205" s="97"/>
      <c r="X205" s="100"/>
      <c r="Y205" s="102">
        <v>6.154</v>
      </c>
      <c r="Z205" s="103">
        <f t="shared" si="34"/>
        <v>7630.96</v>
      </c>
      <c r="AA205" s="103">
        <f t="shared" si="35"/>
        <v>59139.94</v>
      </c>
      <c r="AB205" s="135" t="s">
        <v>786</v>
      </c>
      <c r="AC205" s="93"/>
      <c r="AD205" s="93"/>
      <c r="AE205" s="93" t="str">
        <f>IFERROR(VLOOKUP(H205,名称!A:D,4,0),"")</f>
        <v>KIK</v>
      </c>
      <c r="AF205" s="98"/>
      <c r="AG205" s="105"/>
      <c r="AH205" s="105"/>
      <c r="AI205" s="105">
        <v>46094</v>
      </c>
      <c r="AJ205" s="105" t="s">
        <v>420</v>
      </c>
      <c r="AK205" s="105"/>
      <c r="AL205" s="105">
        <v>46135</v>
      </c>
      <c r="AM205" s="105" t="s">
        <v>522</v>
      </c>
      <c r="AN205" s="105"/>
      <c r="AO205" s="105">
        <v>46090</v>
      </c>
      <c r="AP205" s="100">
        <f t="shared" si="29"/>
        <v>127</v>
      </c>
      <c r="AQ205" s="100">
        <f t="shared" si="30"/>
        <v>82</v>
      </c>
    </row>
    <row r="206" s="89" customFormat="1" hidden="1" customHeight="1" spans="1:43">
      <c r="A206" s="93">
        <v>46049</v>
      </c>
      <c r="B206" s="93" t="str">
        <f ca="1" t="shared" si="31"/>
        <v/>
      </c>
      <c r="C206" s="95" t="s">
        <v>248</v>
      </c>
      <c r="D206" s="93" t="s">
        <v>421</v>
      </c>
      <c r="E206" s="95" t="s">
        <v>438</v>
      </c>
      <c r="F206" s="96">
        <v>10119986</v>
      </c>
      <c r="G206" s="96">
        <v>4500032233</v>
      </c>
      <c r="H206" s="97" t="s">
        <v>107</v>
      </c>
      <c r="I206" s="98" t="str">
        <f>IFERROR(VLOOKUP(H206,名称!A:C,2,0),"")</f>
        <v>农场女孩套装</v>
      </c>
      <c r="J206" s="99">
        <v>120</v>
      </c>
      <c r="K206" s="98">
        <f>IFERROR(VLOOKUP(H206,名称!A:D,3,0),"")</f>
        <v>4</v>
      </c>
      <c r="L206" s="100">
        <f t="shared" si="32"/>
        <v>30</v>
      </c>
      <c r="M206" s="133">
        <v>46176</v>
      </c>
      <c r="N206" s="133">
        <f t="shared" si="37"/>
        <v>46174</v>
      </c>
      <c r="O206" s="136"/>
      <c r="P206" s="93" t="s">
        <v>423</v>
      </c>
      <c r="Q206" s="97" t="s">
        <v>424</v>
      </c>
      <c r="R206" s="97" t="s">
        <v>718</v>
      </c>
      <c r="S206" s="93"/>
      <c r="T206" s="93" t="s">
        <v>452</v>
      </c>
      <c r="U206" s="93"/>
      <c r="V206" s="93"/>
      <c r="W206" s="97"/>
      <c r="X206" s="100"/>
      <c r="Y206" s="102">
        <v>4.857</v>
      </c>
      <c r="Z206" s="103">
        <f t="shared" si="34"/>
        <v>582.84</v>
      </c>
      <c r="AA206" s="103">
        <f t="shared" si="35"/>
        <v>4517.01</v>
      </c>
      <c r="AB206" s="135" t="s">
        <v>786</v>
      </c>
      <c r="AC206" s="93"/>
      <c r="AD206" s="93"/>
      <c r="AE206" s="93" t="str">
        <f>IFERROR(VLOOKUP(H206,名称!A:D,4,0),"")</f>
        <v>KIK</v>
      </c>
      <c r="AF206" s="98"/>
      <c r="AG206" s="105"/>
      <c r="AH206" s="105"/>
      <c r="AI206" s="105">
        <v>46045</v>
      </c>
      <c r="AJ206" s="105">
        <v>46107</v>
      </c>
      <c r="AK206" s="105"/>
      <c r="AL206" s="105" t="s">
        <v>420</v>
      </c>
      <c r="AM206" s="105" t="s">
        <v>420</v>
      </c>
      <c r="AN206" s="105"/>
      <c r="AO206" s="105">
        <v>46088</v>
      </c>
      <c r="AP206" s="100">
        <f t="shared" si="29"/>
        <v>127</v>
      </c>
      <c r="AQ206" s="100">
        <f t="shared" si="30"/>
        <v>131</v>
      </c>
    </row>
    <row r="207" s="117" customFormat="1" hidden="1" customHeight="1" spans="1:43">
      <c r="A207" s="93" t="s">
        <v>787</v>
      </c>
      <c r="B207" s="93" t="s">
        <v>660</v>
      </c>
      <c r="C207" s="95" t="s">
        <v>237</v>
      </c>
      <c r="D207" s="93" t="s">
        <v>427</v>
      </c>
      <c r="E207" s="95" t="s">
        <v>428</v>
      </c>
      <c r="F207" s="96">
        <v>10121314</v>
      </c>
      <c r="G207" s="549" t="s">
        <v>788</v>
      </c>
      <c r="H207" s="97" t="s">
        <v>50</v>
      </c>
      <c r="I207" s="98" t="s">
        <v>789</v>
      </c>
      <c r="J207" s="99">
        <v>5000</v>
      </c>
      <c r="K207" s="98">
        <v>2</v>
      </c>
      <c r="L207" s="100">
        <v>2500</v>
      </c>
      <c r="M207" s="93" t="s">
        <v>790</v>
      </c>
      <c r="N207" s="93" t="s">
        <v>791</v>
      </c>
      <c r="O207" s="93" t="s">
        <v>792</v>
      </c>
      <c r="P207" s="93" t="s">
        <v>435</v>
      </c>
      <c r="Q207" s="97" t="s">
        <v>430</v>
      </c>
      <c r="R207" s="97"/>
      <c r="S207" s="93"/>
      <c r="T207" s="93"/>
      <c r="U207" s="93"/>
      <c r="V207" s="93"/>
      <c r="W207" s="97"/>
      <c r="X207" s="100"/>
      <c r="Y207" s="102">
        <v>2.185</v>
      </c>
      <c r="Z207" s="103">
        <v>10925</v>
      </c>
      <c r="AA207" s="103">
        <v>84668.75</v>
      </c>
      <c r="AB207" s="135" t="s">
        <v>793</v>
      </c>
      <c r="AC207" s="93"/>
      <c r="AD207" s="93"/>
      <c r="AE207" s="93" t="s">
        <v>12</v>
      </c>
      <c r="AF207" s="98"/>
      <c r="AG207" s="105"/>
      <c r="AH207" s="105"/>
      <c r="AI207" s="105" t="s">
        <v>794</v>
      </c>
      <c r="AJ207" s="105" t="s">
        <v>420</v>
      </c>
      <c r="AK207" s="105"/>
      <c r="AL207" s="105" t="s">
        <v>420</v>
      </c>
      <c r="AM207" s="105"/>
      <c r="AN207" s="105"/>
      <c r="AO207" s="105"/>
      <c r="AP207" s="100">
        <v>98</v>
      </c>
      <c r="AQ207" s="128">
        <v>76</v>
      </c>
    </row>
    <row r="208" s="117" customFormat="1" hidden="1" customHeight="1" spans="1:43">
      <c r="A208" s="93" t="s">
        <v>787</v>
      </c>
      <c r="B208" s="93"/>
      <c r="C208" s="95" t="s">
        <v>237</v>
      </c>
      <c r="D208" s="93" t="s">
        <v>427</v>
      </c>
      <c r="E208" s="95" t="s">
        <v>428</v>
      </c>
      <c r="F208" s="96">
        <v>10121314</v>
      </c>
      <c r="G208" s="549" t="s">
        <v>788</v>
      </c>
      <c r="H208" s="97" t="s">
        <v>48</v>
      </c>
      <c r="I208" s="98" t="s">
        <v>757</v>
      </c>
      <c r="J208" s="99">
        <v>2000</v>
      </c>
      <c r="K208" s="98">
        <v>4</v>
      </c>
      <c r="L208" s="100">
        <v>500</v>
      </c>
      <c r="M208" s="93" t="s">
        <v>790</v>
      </c>
      <c r="N208" s="93" t="s">
        <v>791</v>
      </c>
      <c r="O208" s="93" t="s">
        <v>792</v>
      </c>
      <c r="P208" s="93" t="s">
        <v>435</v>
      </c>
      <c r="Q208" s="97" t="s">
        <v>430</v>
      </c>
      <c r="R208" s="97" t="s">
        <v>696</v>
      </c>
      <c r="S208" s="93"/>
      <c r="T208" s="93"/>
      <c r="U208" s="93"/>
      <c r="V208" s="93"/>
      <c r="W208" s="97"/>
      <c r="X208" s="100"/>
      <c r="Y208" s="102">
        <v>2.199</v>
      </c>
      <c r="Z208" s="103">
        <v>4398</v>
      </c>
      <c r="AA208" s="103">
        <v>34084.5</v>
      </c>
      <c r="AB208" s="135" t="s">
        <v>793</v>
      </c>
      <c r="AC208" s="93"/>
      <c r="AD208" s="93"/>
      <c r="AE208" s="93" t="s">
        <v>12</v>
      </c>
      <c r="AF208" s="98"/>
      <c r="AG208" s="105"/>
      <c r="AH208" s="105"/>
      <c r="AI208" s="105" t="s">
        <v>794</v>
      </c>
      <c r="AJ208" s="105" t="s">
        <v>420</v>
      </c>
      <c r="AK208" s="105"/>
      <c r="AL208" s="105" t="s">
        <v>420</v>
      </c>
      <c r="AM208" s="105"/>
      <c r="AN208" s="105"/>
      <c r="AO208" s="105"/>
      <c r="AP208" s="100">
        <v>98</v>
      </c>
      <c r="AQ208" s="128">
        <v>76</v>
      </c>
    </row>
    <row r="209" s="89" customFormat="1" hidden="1" customHeight="1" spans="1:43">
      <c r="A209" s="93">
        <v>46037</v>
      </c>
      <c r="B209" s="93" t="str">
        <f ca="1" t="shared" ref="B209:B220" si="38">IF(TODAY()&gt;=A209,IF(R209="","未",""),"")</f>
        <v/>
      </c>
      <c r="C209" s="95" t="s">
        <v>237</v>
      </c>
      <c r="D209" s="93" t="s">
        <v>427</v>
      </c>
      <c r="E209" s="95" t="s">
        <v>428</v>
      </c>
      <c r="F209" s="96">
        <v>10119128</v>
      </c>
      <c r="G209" s="96">
        <v>202601272250</v>
      </c>
      <c r="H209" s="97" t="s">
        <v>148</v>
      </c>
      <c r="I209" s="98" t="str">
        <f>IFERROR(VLOOKUP(H209,名称!A:C,2,0),"")</f>
        <v>11寸大毛绒</v>
      </c>
      <c r="J209" s="99">
        <v>2200</v>
      </c>
      <c r="K209" s="98">
        <f>IFERROR(VLOOKUP(H209,名称!A:D,3,0),"")</f>
        <v>2</v>
      </c>
      <c r="L209" s="100">
        <f t="shared" ref="L209:L232" si="39">IFERROR((J209/K209),"")</f>
        <v>1100</v>
      </c>
      <c r="M209" s="93">
        <v>46183</v>
      </c>
      <c r="N209" s="93">
        <f t="shared" ref="N209:N220" si="40">M209-2</f>
        <v>46181</v>
      </c>
      <c r="O209" s="93">
        <v>46183</v>
      </c>
      <c r="P209" s="93" t="s">
        <v>423</v>
      </c>
      <c r="Q209" s="97" t="s">
        <v>430</v>
      </c>
      <c r="R209" s="137" t="s">
        <v>431</v>
      </c>
      <c r="S209" s="93" t="s">
        <v>795</v>
      </c>
      <c r="T209" s="93"/>
      <c r="U209" s="93"/>
      <c r="V209" s="93"/>
      <c r="W209" s="97"/>
      <c r="X209" s="100"/>
      <c r="Y209" s="102">
        <v>8.406</v>
      </c>
      <c r="Z209" s="103">
        <f t="shared" ref="Z209:Z220" si="41">J209*Y209</f>
        <v>18493.2</v>
      </c>
      <c r="AA209" s="103">
        <f t="shared" ref="AA209:AA220" si="42">Z209*7.75</f>
        <v>143322.3</v>
      </c>
      <c r="AB209" s="135" t="s">
        <v>793</v>
      </c>
      <c r="AC209" s="93"/>
      <c r="AD209" s="93"/>
      <c r="AE209" s="93" t="str">
        <f>IFERROR(VLOOKUP(H209,名称!A:D,4,0),"")</f>
        <v>河源</v>
      </c>
      <c r="AF209" s="98"/>
      <c r="AG209" s="105"/>
      <c r="AH209" s="105"/>
      <c r="AI209" s="105">
        <v>46135</v>
      </c>
      <c r="AJ209" s="105">
        <v>46128</v>
      </c>
      <c r="AK209" s="105"/>
      <c r="AL209" s="105" t="s">
        <v>420</v>
      </c>
      <c r="AM209" s="105">
        <v>46134</v>
      </c>
      <c r="AN209" s="105"/>
      <c r="AO209" s="105" t="s">
        <v>426</v>
      </c>
      <c r="AP209" s="100">
        <f t="shared" ref="AP209:AP220" si="43">M209-A209</f>
        <v>146</v>
      </c>
      <c r="AQ209" s="100">
        <f t="shared" ref="AQ209:AQ220" si="44">M209-AI209</f>
        <v>48</v>
      </c>
    </row>
    <row r="210" s="89" customFormat="1" hidden="1" customHeight="1" spans="1:43">
      <c r="A210" s="93">
        <v>46112</v>
      </c>
      <c r="B210" s="93" t="str">
        <f ca="1" t="shared" si="38"/>
        <v/>
      </c>
      <c r="C210" s="95" t="s">
        <v>237</v>
      </c>
      <c r="D210" s="93" t="s">
        <v>427</v>
      </c>
      <c r="E210" s="95" t="s">
        <v>428</v>
      </c>
      <c r="F210" s="96">
        <v>10123753</v>
      </c>
      <c r="G210" s="96">
        <v>202608670037</v>
      </c>
      <c r="H210" s="97" t="s">
        <v>52</v>
      </c>
      <c r="I210" s="98" t="str">
        <f>IFERROR(VLOOKUP(H210,名称!A:C,2,0),"")</f>
        <v>布鲁伊家族沐浴玩具</v>
      </c>
      <c r="J210" s="99">
        <v>3900</v>
      </c>
      <c r="K210" s="98">
        <f>IFERROR(VLOOKUP(H210,名称!A:D,3,0),"")</f>
        <v>6</v>
      </c>
      <c r="L210" s="100">
        <f t="shared" si="39"/>
        <v>650</v>
      </c>
      <c r="M210" s="93">
        <v>46183</v>
      </c>
      <c r="N210" s="93">
        <f t="shared" si="40"/>
        <v>46181</v>
      </c>
      <c r="O210" s="93">
        <v>46183</v>
      </c>
      <c r="P210" s="93" t="s">
        <v>435</v>
      </c>
      <c r="Q210" s="97" t="s">
        <v>430</v>
      </c>
      <c r="R210" s="137" t="s">
        <v>796</v>
      </c>
      <c r="S210" s="93"/>
      <c r="T210" s="93"/>
      <c r="U210" s="93"/>
      <c r="V210" s="93"/>
      <c r="W210" s="97"/>
      <c r="X210" s="100"/>
      <c r="Y210" s="102">
        <v>2.001</v>
      </c>
      <c r="Z210" s="103">
        <f t="shared" si="41"/>
        <v>7803.9</v>
      </c>
      <c r="AA210" s="103">
        <f t="shared" si="42"/>
        <v>60480.23</v>
      </c>
      <c r="AB210" s="135" t="s">
        <v>797</v>
      </c>
      <c r="AC210" s="93"/>
      <c r="AD210" s="93"/>
      <c r="AE210" s="93" t="str">
        <f>IFERROR(VLOOKUP(H210,名称!A:D,4,0),"")</f>
        <v>KIK</v>
      </c>
      <c r="AF210" s="98"/>
      <c r="AG210" s="105"/>
      <c r="AH210" s="105"/>
      <c r="AI210" s="105">
        <v>46128</v>
      </c>
      <c r="AJ210" s="105" t="s">
        <v>420</v>
      </c>
      <c r="AK210" s="105"/>
      <c r="AL210" s="105" t="s">
        <v>420</v>
      </c>
      <c r="AM210" s="105"/>
      <c r="AN210" s="105"/>
      <c r="AO210" s="105">
        <v>46125</v>
      </c>
      <c r="AP210" s="100">
        <f t="shared" si="43"/>
        <v>71</v>
      </c>
      <c r="AQ210" s="100">
        <f t="shared" si="44"/>
        <v>55</v>
      </c>
    </row>
    <row r="211" s="89" customFormat="1" hidden="1" customHeight="1" spans="1:43">
      <c r="A211" s="93">
        <v>46085</v>
      </c>
      <c r="B211" s="93" t="str">
        <f ca="1" t="shared" si="38"/>
        <v/>
      </c>
      <c r="C211" s="95" t="s">
        <v>237</v>
      </c>
      <c r="D211" s="93" t="s">
        <v>427</v>
      </c>
      <c r="E211" s="95" t="s">
        <v>428</v>
      </c>
      <c r="F211" s="96">
        <v>10121317</v>
      </c>
      <c r="G211" s="96">
        <v>202605870365</v>
      </c>
      <c r="H211" s="97" t="s">
        <v>97</v>
      </c>
      <c r="I211" s="98" t="str">
        <f>IFERROR(VLOOKUP(H211,名称!A:C,2,0),"")</f>
        <v>管道马里奥</v>
      </c>
      <c r="J211" s="99">
        <v>5000</v>
      </c>
      <c r="K211" s="98">
        <f>IFERROR(VLOOKUP(H211,名称!A:D,3,0),"")</f>
        <v>4</v>
      </c>
      <c r="L211" s="100">
        <f t="shared" si="39"/>
        <v>1250</v>
      </c>
      <c r="M211" s="93">
        <v>46190</v>
      </c>
      <c r="N211" s="93">
        <f t="shared" si="40"/>
        <v>46188</v>
      </c>
      <c r="O211" s="93">
        <v>46168</v>
      </c>
      <c r="P211" s="93" t="s">
        <v>435</v>
      </c>
      <c r="Q211" s="97" t="s">
        <v>430</v>
      </c>
      <c r="R211" s="137" t="s">
        <v>431</v>
      </c>
      <c r="S211" s="93"/>
      <c r="T211" s="93"/>
      <c r="U211" s="93"/>
      <c r="V211" s="93"/>
      <c r="W211" s="97"/>
      <c r="X211" s="100"/>
      <c r="Y211" s="102">
        <v>3.362</v>
      </c>
      <c r="Z211" s="103">
        <f t="shared" si="41"/>
        <v>16810</v>
      </c>
      <c r="AA211" s="103">
        <f t="shared" si="42"/>
        <v>130277.5</v>
      </c>
      <c r="AB211" s="135" t="s">
        <v>797</v>
      </c>
      <c r="AC211" s="93"/>
      <c r="AD211" s="93"/>
      <c r="AE211" s="93" t="str">
        <f>IFERROR(VLOOKUP(H211,名称!A:D,4,0),"")</f>
        <v>KIK</v>
      </c>
      <c r="AF211" s="98"/>
      <c r="AG211" s="105"/>
      <c r="AH211" s="105"/>
      <c r="AI211" s="105">
        <v>46118</v>
      </c>
      <c r="AJ211" s="105" t="s">
        <v>420</v>
      </c>
      <c r="AK211" s="105"/>
      <c r="AL211" s="105" t="s">
        <v>420</v>
      </c>
      <c r="AM211" s="105" t="s">
        <v>420</v>
      </c>
      <c r="AN211" s="105"/>
      <c r="AO211" s="105"/>
      <c r="AP211" s="100">
        <f t="shared" si="43"/>
        <v>105</v>
      </c>
      <c r="AQ211" s="100">
        <f t="shared" si="44"/>
        <v>72</v>
      </c>
    </row>
    <row r="212" s="89" customFormat="1" hidden="1" customHeight="1" spans="1:43">
      <c r="A212" s="93">
        <v>46037</v>
      </c>
      <c r="B212" s="93" t="str">
        <f ca="1" t="shared" si="38"/>
        <v/>
      </c>
      <c r="C212" s="95" t="s">
        <v>237</v>
      </c>
      <c r="D212" s="93" t="s">
        <v>427</v>
      </c>
      <c r="E212" s="95" t="s">
        <v>428</v>
      </c>
      <c r="F212" s="96">
        <v>10119128</v>
      </c>
      <c r="G212" s="96">
        <v>202601272250</v>
      </c>
      <c r="H212" s="97" t="s">
        <v>144</v>
      </c>
      <c r="I212" s="98" t="str">
        <f>IFERROR(VLOOKUP(H212,名称!A:C,2,0),"")</f>
        <v>盲盒公仔(塑胶毛绒)</v>
      </c>
      <c r="J212" s="99">
        <v>8004</v>
      </c>
      <c r="K212" s="98">
        <f>IFERROR(VLOOKUP(H212,名称!A:D,3,0),"")</f>
        <v>6</v>
      </c>
      <c r="L212" s="100">
        <f t="shared" si="39"/>
        <v>1334</v>
      </c>
      <c r="M212" s="93">
        <v>46183</v>
      </c>
      <c r="N212" s="93">
        <f t="shared" si="40"/>
        <v>46181</v>
      </c>
      <c r="O212" s="93">
        <v>46184</v>
      </c>
      <c r="P212" s="93" t="s">
        <v>423</v>
      </c>
      <c r="Q212" s="97" t="s">
        <v>430</v>
      </c>
      <c r="R212" s="137" t="s">
        <v>798</v>
      </c>
      <c r="S212" s="93" t="s">
        <v>795</v>
      </c>
      <c r="T212" s="93"/>
      <c r="U212" s="93"/>
      <c r="V212" s="93"/>
      <c r="W212" s="97"/>
      <c r="X212" s="100"/>
      <c r="Y212" s="102">
        <v>3.959</v>
      </c>
      <c r="Z212" s="103">
        <f t="shared" si="41"/>
        <v>31687.84</v>
      </c>
      <c r="AA212" s="103">
        <f t="shared" si="42"/>
        <v>245580.76</v>
      </c>
      <c r="AB212" s="135" t="s">
        <v>793</v>
      </c>
      <c r="AC212" s="93"/>
      <c r="AD212" s="93"/>
      <c r="AE212" s="93" t="str">
        <f>IFERROR(VLOOKUP(H212,名称!A:D,4,0),"")</f>
        <v>河源</v>
      </c>
      <c r="AF212" s="98"/>
      <c r="AG212" s="105"/>
      <c r="AH212" s="105"/>
      <c r="AI212" s="105">
        <v>46135</v>
      </c>
      <c r="AJ212" s="105">
        <v>46129</v>
      </c>
      <c r="AK212" s="105"/>
      <c r="AL212" s="105" t="s">
        <v>420</v>
      </c>
      <c r="AM212" s="105">
        <v>46134</v>
      </c>
      <c r="AN212" s="105"/>
      <c r="AO212" s="105" t="s">
        <v>426</v>
      </c>
      <c r="AP212" s="100">
        <f t="shared" si="43"/>
        <v>146</v>
      </c>
      <c r="AQ212" s="100">
        <f t="shared" si="44"/>
        <v>48</v>
      </c>
    </row>
    <row r="213" s="89" customFormat="1" hidden="1" customHeight="1" spans="1:43">
      <c r="A213" s="93">
        <v>46100</v>
      </c>
      <c r="B213" s="93" t="str">
        <f ca="1" t="shared" si="38"/>
        <v/>
      </c>
      <c r="C213" s="95" t="s">
        <v>237</v>
      </c>
      <c r="D213" s="93" t="s">
        <v>799</v>
      </c>
      <c r="E213" s="95" t="s">
        <v>438</v>
      </c>
      <c r="F213" s="97">
        <v>10122817</v>
      </c>
      <c r="G213" s="96">
        <v>4881613</v>
      </c>
      <c r="H213" s="97" t="s">
        <v>31</v>
      </c>
      <c r="I213" s="98" t="str">
        <f>IFERROR(VLOOKUP(H213,名称!A:C,2,0),"")</f>
        <v>1:16收割机</v>
      </c>
      <c r="J213" s="99">
        <v>560</v>
      </c>
      <c r="K213" s="98">
        <f>IFERROR(VLOOKUP(H213,名称!A:D,3,0),"")</f>
        <v>1</v>
      </c>
      <c r="L213" s="100">
        <f t="shared" si="39"/>
        <v>560</v>
      </c>
      <c r="M213" s="93">
        <v>46176</v>
      </c>
      <c r="N213" s="93">
        <f t="shared" si="40"/>
        <v>46174</v>
      </c>
      <c r="O213" s="138" t="s">
        <v>800</v>
      </c>
      <c r="P213" s="93" t="s">
        <v>435</v>
      </c>
      <c r="Q213" s="97" t="s">
        <v>777</v>
      </c>
      <c r="R213" s="137" t="s">
        <v>431</v>
      </c>
      <c r="S213" s="93" t="s">
        <v>395</v>
      </c>
      <c r="T213" s="93" t="s">
        <v>452</v>
      </c>
      <c r="U213" s="93"/>
      <c r="V213" s="93"/>
      <c r="W213" s="97"/>
      <c r="X213" s="100"/>
      <c r="Y213" s="102">
        <v>29.652</v>
      </c>
      <c r="Z213" s="103">
        <f t="shared" si="41"/>
        <v>16605.12</v>
      </c>
      <c r="AA213" s="103">
        <f t="shared" si="42"/>
        <v>128689.68</v>
      </c>
      <c r="AB213" s="135" t="s">
        <v>801</v>
      </c>
      <c r="AC213" s="98"/>
      <c r="AD213" s="105"/>
      <c r="AE213" s="93" t="s">
        <v>12</v>
      </c>
      <c r="AF213" s="105"/>
      <c r="AG213" s="105"/>
      <c r="AH213" s="105"/>
      <c r="AI213" s="105">
        <v>46149</v>
      </c>
      <c r="AJ213" s="105"/>
      <c r="AK213" s="105"/>
      <c r="AL213" s="105">
        <v>46158</v>
      </c>
      <c r="AM213" s="125">
        <v>46140</v>
      </c>
      <c r="AN213" s="100"/>
      <c r="AO213" s="139"/>
      <c r="AP213" s="100">
        <f t="shared" si="43"/>
        <v>76</v>
      </c>
      <c r="AQ213" s="140">
        <f t="shared" si="44"/>
        <v>27</v>
      </c>
    </row>
    <row r="214" s="89" customFormat="1" hidden="1" customHeight="1" spans="1:43">
      <c r="A214" s="93">
        <v>46099</v>
      </c>
      <c r="B214" s="93" t="str">
        <f ca="1" t="shared" si="38"/>
        <v/>
      </c>
      <c r="C214" s="95" t="s">
        <v>237</v>
      </c>
      <c r="D214" s="93" t="s">
        <v>802</v>
      </c>
      <c r="E214" s="95" t="s">
        <v>727</v>
      </c>
      <c r="F214" s="96">
        <v>10122639</v>
      </c>
      <c r="G214" s="96">
        <v>1042268223</v>
      </c>
      <c r="H214" s="97" t="s">
        <v>154</v>
      </c>
      <c r="I214" s="98" t="str">
        <f>IFERROR(VLOOKUP(H214,名称!A:C,2,0),"")</f>
        <v>动物车</v>
      </c>
      <c r="J214" s="99">
        <v>1092</v>
      </c>
      <c r="K214" s="98">
        <f>IFERROR(VLOOKUP(H214,名称!A:D,3,0),"")</f>
        <v>4</v>
      </c>
      <c r="L214" s="100">
        <f t="shared" si="39"/>
        <v>273</v>
      </c>
      <c r="M214" s="93">
        <v>46169</v>
      </c>
      <c r="N214" s="93">
        <f t="shared" si="40"/>
        <v>46167</v>
      </c>
      <c r="O214" s="141" t="s">
        <v>803</v>
      </c>
      <c r="P214" s="93" t="s">
        <v>804</v>
      </c>
      <c r="Q214" s="97" t="s">
        <v>777</v>
      </c>
      <c r="R214" s="137" t="s">
        <v>418</v>
      </c>
      <c r="S214" s="93"/>
      <c r="T214" s="93" t="s">
        <v>805</v>
      </c>
      <c r="U214" s="93"/>
      <c r="V214" s="93"/>
      <c r="W214" s="97"/>
      <c r="X214" s="100" t="s">
        <v>806</v>
      </c>
      <c r="Y214" s="102">
        <v>4.684</v>
      </c>
      <c r="Z214" s="103">
        <f t="shared" si="41"/>
        <v>5114.93</v>
      </c>
      <c r="AA214" s="103">
        <f t="shared" si="42"/>
        <v>39640.71</v>
      </c>
      <c r="AB214" s="135" t="s">
        <v>807</v>
      </c>
      <c r="AC214" s="98"/>
      <c r="AD214" s="105"/>
      <c r="AE214" s="93" t="s">
        <v>12</v>
      </c>
      <c r="AF214" s="139"/>
      <c r="AG214" s="139"/>
      <c r="AH214" s="105"/>
      <c r="AI214" s="105">
        <v>46115</v>
      </c>
      <c r="AJ214" s="105">
        <v>46121</v>
      </c>
      <c r="AK214" s="105"/>
      <c r="AL214" s="105" t="s">
        <v>420</v>
      </c>
      <c r="AM214" s="105" t="s">
        <v>420</v>
      </c>
      <c r="AN214" s="100"/>
      <c r="AO214" s="139"/>
      <c r="AP214" s="142">
        <f t="shared" si="43"/>
        <v>70</v>
      </c>
      <c r="AQ214" s="143">
        <f t="shared" si="44"/>
        <v>54</v>
      </c>
    </row>
    <row r="215" s="89" customFormat="1" hidden="1" customHeight="1" spans="1:43">
      <c r="A215" s="93">
        <v>46099</v>
      </c>
      <c r="B215" s="93" t="str">
        <f ca="1" t="shared" si="38"/>
        <v/>
      </c>
      <c r="C215" s="95" t="s">
        <v>237</v>
      </c>
      <c r="D215" s="93" t="s">
        <v>802</v>
      </c>
      <c r="E215" s="95" t="s">
        <v>727</v>
      </c>
      <c r="F215" s="96">
        <v>10122633</v>
      </c>
      <c r="G215" s="96">
        <v>1042268206</v>
      </c>
      <c r="H215" s="97" t="s">
        <v>155</v>
      </c>
      <c r="I215" s="98" t="str">
        <f>IFERROR(VLOOKUP(H215,名称!A:C,2,0),"")</f>
        <v>JD LNS圆轮拖拉机</v>
      </c>
      <c r="J215" s="99">
        <v>570</v>
      </c>
      <c r="K215" s="98">
        <f>IFERROR(VLOOKUP(H215,名称!A:D,3,0),"")</f>
        <v>2</v>
      </c>
      <c r="L215" s="100">
        <f t="shared" si="39"/>
        <v>285</v>
      </c>
      <c r="M215" s="93">
        <v>46169</v>
      </c>
      <c r="N215" s="93">
        <f t="shared" si="40"/>
        <v>46167</v>
      </c>
      <c r="O215" s="141">
        <v>46171</v>
      </c>
      <c r="P215" s="93" t="s">
        <v>808</v>
      </c>
      <c r="Q215" s="97" t="s">
        <v>777</v>
      </c>
      <c r="R215" s="137" t="s">
        <v>418</v>
      </c>
      <c r="S215" s="93" t="s">
        <v>809</v>
      </c>
      <c r="T215" s="93" t="s">
        <v>805</v>
      </c>
      <c r="U215" s="93"/>
      <c r="V215" s="93"/>
      <c r="W215" s="97"/>
      <c r="X215" s="100" t="s">
        <v>806</v>
      </c>
      <c r="Y215" s="102">
        <v>4.637</v>
      </c>
      <c r="Z215" s="103">
        <f t="shared" si="41"/>
        <v>2643.09</v>
      </c>
      <c r="AA215" s="103">
        <f t="shared" si="42"/>
        <v>20483.95</v>
      </c>
      <c r="AB215" s="135" t="s">
        <v>810</v>
      </c>
      <c r="AC215" s="93"/>
      <c r="AD215" s="93"/>
      <c r="AE215" s="93" t="str">
        <f>IFERROR(VLOOKUP(H215,名称!A:D,4,0),"")</f>
        <v>KIK</v>
      </c>
      <c r="AF215" s="98"/>
      <c r="AG215" s="105"/>
      <c r="AH215" s="105"/>
      <c r="AI215" s="105">
        <v>46115</v>
      </c>
      <c r="AJ215" s="105" t="s">
        <v>420</v>
      </c>
      <c r="AK215" s="105"/>
      <c r="AL215" s="105" t="s">
        <v>453</v>
      </c>
      <c r="AM215" s="105">
        <v>46128</v>
      </c>
      <c r="AN215" s="105"/>
      <c r="AO215" s="105"/>
      <c r="AP215" s="100">
        <f t="shared" si="43"/>
        <v>70</v>
      </c>
      <c r="AQ215" s="100">
        <f t="shared" si="44"/>
        <v>54</v>
      </c>
    </row>
    <row r="216" s="89" customFormat="1" hidden="1" customHeight="1" spans="1:43">
      <c r="A216" s="93">
        <v>46049</v>
      </c>
      <c r="B216" s="93" t="str">
        <f ca="1" t="shared" si="38"/>
        <v/>
      </c>
      <c r="C216" s="95" t="s">
        <v>248</v>
      </c>
      <c r="D216" s="93" t="s">
        <v>421</v>
      </c>
      <c r="E216" s="95" t="s">
        <v>438</v>
      </c>
      <c r="F216" s="96">
        <v>10119986</v>
      </c>
      <c r="G216" s="96">
        <v>4500032233</v>
      </c>
      <c r="H216" s="97" t="s">
        <v>107</v>
      </c>
      <c r="I216" s="98" t="str">
        <f>IFERROR(VLOOKUP(H216,名称!A:C,2,0),"")</f>
        <v>农场女孩套装</v>
      </c>
      <c r="J216" s="99">
        <v>2380</v>
      </c>
      <c r="K216" s="98">
        <f>IFERROR(VLOOKUP(H216,名称!A:D,3,0),"")</f>
        <v>4</v>
      </c>
      <c r="L216" s="100">
        <f t="shared" si="39"/>
        <v>595</v>
      </c>
      <c r="M216" s="133">
        <v>46176</v>
      </c>
      <c r="N216" s="133">
        <f t="shared" si="40"/>
        <v>46174</v>
      </c>
      <c r="O216" s="141">
        <v>46160</v>
      </c>
      <c r="P216" s="93" t="s">
        <v>423</v>
      </c>
      <c r="Q216" s="97" t="s">
        <v>424</v>
      </c>
      <c r="R216" s="137" t="s">
        <v>703</v>
      </c>
      <c r="S216" s="93"/>
      <c r="T216" s="93" t="s">
        <v>452</v>
      </c>
      <c r="U216" s="93"/>
      <c r="V216" s="93"/>
      <c r="W216" s="97"/>
      <c r="X216" s="100"/>
      <c r="Y216" s="102">
        <v>4.857</v>
      </c>
      <c r="Z216" s="103">
        <f t="shared" si="41"/>
        <v>11559.66</v>
      </c>
      <c r="AA216" s="103">
        <f t="shared" si="42"/>
        <v>89587.37</v>
      </c>
      <c r="AB216" s="135" t="s">
        <v>811</v>
      </c>
      <c r="AC216" s="93"/>
      <c r="AD216" s="93"/>
      <c r="AE216" s="93" t="str">
        <f>IFERROR(VLOOKUP(H216,名称!A:D,4,0),"")</f>
        <v>KIK</v>
      </c>
      <c r="AF216" s="98"/>
      <c r="AG216" s="105"/>
      <c r="AH216" s="105"/>
      <c r="AI216" s="105">
        <v>46045</v>
      </c>
      <c r="AJ216" s="105">
        <v>46107</v>
      </c>
      <c r="AK216" s="105"/>
      <c r="AL216" s="105" t="s">
        <v>420</v>
      </c>
      <c r="AM216" s="105" t="s">
        <v>420</v>
      </c>
      <c r="AN216" s="105"/>
      <c r="AO216" s="105">
        <v>46088</v>
      </c>
      <c r="AP216" s="100">
        <f t="shared" si="43"/>
        <v>127</v>
      </c>
      <c r="AQ216" s="100">
        <f t="shared" si="44"/>
        <v>131</v>
      </c>
    </row>
    <row r="217" s="89" customFormat="1" hidden="1" customHeight="1" spans="1:43">
      <c r="A217" s="93">
        <v>46049</v>
      </c>
      <c r="B217" s="93" t="str">
        <f ca="1" t="shared" si="38"/>
        <v/>
      </c>
      <c r="C217" s="95" t="s">
        <v>248</v>
      </c>
      <c r="D217" s="93" t="s">
        <v>421</v>
      </c>
      <c r="E217" s="95" t="s">
        <v>438</v>
      </c>
      <c r="F217" s="96">
        <v>10119986</v>
      </c>
      <c r="G217" s="96">
        <v>4500032233</v>
      </c>
      <c r="H217" s="97" t="s">
        <v>113</v>
      </c>
      <c r="I217" s="98" t="str">
        <f>IFERROR(VLOOKUP(H217,名称!A:C,2,0),"")</f>
        <v>绿色铲车</v>
      </c>
      <c r="J217" s="99">
        <v>760</v>
      </c>
      <c r="K217" s="98">
        <f>IFERROR(VLOOKUP(H217,名称!A:D,3,0),"")</f>
        <v>2</v>
      </c>
      <c r="L217" s="100">
        <f t="shared" si="39"/>
        <v>380</v>
      </c>
      <c r="M217" s="133">
        <v>46176</v>
      </c>
      <c r="N217" s="133">
        <f t="shared" si="40"/>
        <v>46174</v>
      </c>
      <c r="O217" s="141">
        <v>46160</v>
      </c>
      <c r="P217" s="93" t="s">
        <v>423</v>
      </c>
      <c r="Q217" s="97" t="s">
        <v>424</v>
      </c>
      <c r="R217" s="137" t="s">
        <v>718</v>
      </c>
      <c r="S217" s="93"/>
      <c r="T217" s="93" t="s">
        <v>452</v>
      </c>
      <c r="U217" s="93"/>
      <c r="V217" s="93"/>
      <c r="W217" s="97"/>
      <c r="X217" s="100"/>
      <c r="Y217" s="102">
        <v>6.154</v>
      </c>
      <c r="Z217" s="103">
        <f t="shared" si="41"/>
        <v>4677.04</v>
      </c>
      <c r="AA217" s="103">
        <f t="shared" si="42"/>
        <v>36247.06</v>
      </c>
      <c r="AB217" s="135" t="s">
        <v>811</v>
      </c>
      <c r="AC217" s="93"/>
      <c r="AD217" s="93"/>
      <c r="AE217" s="93" t="str">
        <f>IFERROR(VLOOKUP(H217,名称!A:D,4,0),"")</f>
        <v>KIK</v>
      </c>
      <c r="AF217" s="98"/>
      <c r="AG217" s="105"/>
      <c r="AH217" s="105"/>
      <c r="AI217" s="105">
        <v>46094</v>
      </c>
      <c r="AJ217" s="105" t="s">
        <v>420</v>
      </c>
      <c r="AK217" s="105"/>
      <c r="AL217" s="105">
        <v>46135</v>
      </c>
      <c r="AM217" s="105" t="s">
        <v>522</v>
      </c>
      <c r="AN217" s="105"/>
      <c r="AO217" s="105">
        <v>46090</v>
      </c>
      <c r="AP217" s="100">
        <f t="shared" si="43"/>
        <v>127</v>
      </c>
      <c r="AQ217" s="100">
        <f t="shared" si="44"/>
        <v>82</v>
      </c>
    </row>
    <row r="218" s="89" customFormat="1" hidden="1" customHeight="1" spans="1:43">
      <c r="A218" s="93">
        <v>46099</v>
      </c>
      <c r="B218" s="93" t="str">
        <f ca="1" t="shared" si="38"/>
        <v/>
      </c>
      <c r="C218" s="95" t="s">
        <v>237</v>
      </c>
      <c r="D218" s="93" t="s">
        <v>802</v>
      </c>
      <c r="E218" s="95" t="s">
        <v>727</v>
      </c>
      <c r="F218" s="96">
        <v>10122647</v>
      </c>
      <c r="G218" s="96">
        <v>1042268198</v>
      </c>
      <c r="H218" s="97" t="s">
        <v>160</v>
      </c>
      <c r="I218" s="98" t="str">
        <f>IFERROR(VLOOKUP(H218,名称!A:C,2,0),"")</f>
        <v>绿色铲车</v>
      </c>
      <c r="J218" s="99">
        <v>260</v>
      </c>
      <c r="K218" s="98">
        <f>IFERROR(VLOOKUP(H218,名称!A:D,3,0),"")</f>
        <v>2</v>
      </c>
      <c r="L218" s="100">
        <f t="shared" si="39"/>
        <v>130</v>
      </c>
      <c r="M218" s="93">
        <v>46169</v>
      </c>
      <c r="N218" s="93">
        <f t="shared" si="40"/>
        <v>46167</v>
      </c>
      <c r="O218" s="141">
        <v>46171</v>
      </c>
      <c r="P218" s="93" t="s">
        <v>804</v>
      </c>
      <c r="Q218" s="97" t="s">
        <v>777</v>
      </c>
      <c r="R218" s="137" t="s">
        <v>812</v>
      </c>
      <c r="S218" s="93">
        <v>46171</v>
      </c>
      <c r="T218" s="93" t="s">
        <v>805</v>
      </c>
      <c r="U218" s="93"/>
      <c r="V218" s="93"/>
      <c r="W218" s="97"/>
      <c r="X218" s="100" t="s">
        <v>806</v>
      </c>
      <c r="Y218" s="102">
        <v>5.743</v>
      </c>
      <c r="Z218" s="103">
        <f t="shared" si="41"/>
        <v>1493.18</v>
      </c>
      <c r="AA218" s="103">
        <f t="shared" si="42"/>
        <v>11572.15</v>
      </c>
      <c r="AB218" s="135" t="s">
        <v>813</v>
      </c>
      <c r="AC218" s="93"/>
      <c r="AD218" s="93"/>
      <c r="AE218" s="93" t="str">
        <f>IFERROR(VLOOKUP(H218,名称!A:D,4,0),"")</f>
        <v>KIK</v>
      </c>
      <c r="AF218" s="98"/>
      <c r="AG218" s="105"/>
      <c r="AH218" s="105"/>
      <c r="AI218" s="105">
        <v>46115</v>
      </c>
      <c r="AJ218" s="105" t="s">
        <v>420</v>
      </c>
      <c r="AK218" s="105"/>
      <c r="AL218" s="105">
        <v>46140</v>
      </c>
      <c r="AM218" s="105">
        <v>46134</v>
      </c>
      <c r="AN218" s="105"/>
      <c r="AO218" s="105"/>
      <c r="AP218" s="100">
        <f t="shared" si="43"/>
        <v>70</v>
      </c>
      <c r="AQ218" s="100">
        <f t="shared" si="44"/>
        <v>54</v>
      </c>
    </row>
    <row r="219" s="89" customFormat="1" hidden="1" customHeight="1" spans="1:43">
      <c r="A219" s="93">
        <v>46099</v>
      </c>
      <c r="B219" s="93" t="str">
        <f ca="1" t="shared" si="38"/>
        <v/>
      </c>
      <c r="C219" s="95" t="s">
        <v>237</v>
      </c>
      <c r="D219" s="93" t="s">
        <v>802</v>
      </c>
      <c r="E219" s="95" t="s">
        <v>727</v>
      </c>
      <c r="F219" s="96">
        <v>10122647</v>
      </c>
      <c r="G219" s="96">
        <v>1042268198</v>
      </c>
      <c r="H219" s="97" t="s">
        <v>155</v>
      </c>
      <c r="I219" s="98" t="str">
        <f>IFERROR(VLOOKUP(H219,名称!A:C,2,0),"")</f>
        <v>JD LNS圆轮拖拉机</v>
      </c>
      <c r="J219" s="99">
        <v>344</v>
      </c>
      <c r="K219" s="98">
        <f>IFERROR(VLOOKUP(H219,名称!A:D,3,0),"")</f>
        <v>2</v>
      </c>
      <c r="L219" s="100">
        <f t="shared" si="39"/>
        <v>172</v>
      </c>
      <c r="M219" s="93">
        <v>46169</v>
      </c>
      <c r="N219" s="93">
        <f t="shared" si="40"/>
        <v>46167</v>
      </c>
      <c r="O219" s="141">
        <v>46171</v>
      </c>
      <c r="P219" s="93" t="s">
        <v>808</v>
      </c>
      <c r="Q219" s="97" t="s">
        <v>777</v>
      </c>
      <c r="R219" s="137" t="s">
        <v>418</v>
      </c>
      <c r="S219" s="93"/>
      <c r="T219" s="93" t="s">
        <v>805</v>
      </c>
      <c r="U219" s="93"/>
      <c r="V219" s="93"/>
      <c r="W219" s="97"/>
      <c r="X219" s="100" t="s">
        <v>806</v>
      </c>
      <c r="Y219" s="102">
        <v>4.637</v>
      </c>
      <c r="Z219" s="103">
        <f t="shared" si="41"/>
        <v>1595.13</v>
      </c>
      <c r="AA219" s="103">
        <f t="shared" si="42"/>
        <v>12362.26</v>
      </c>
      <c r="AB219" s="135" t="s">
        <v>813</v>
      </c>
      <c r="AC219" s="93"/>
      <c r="AD219" s="93"/>
      <c r="AE219" s="93" t="str">
        <f>IFERROR(VLOOKUP(H219,名称!A:D,4,0),"")</f>
        <v>KIK</v>
      </c>
      <c r="AF219" s="98"/>
      <c r="AG219" s="105"/>
      <c r="AH219" s="105"/>
      <c r="AI219" s="105">
        <v>46115</v>
      </c>
      <c r="AJ219" s="105" t="s">
        <v>420</v>
      </c>
      <c r="AK219" s="105"/>
      <c r="AL219" s="105" t="s">
        <v>453</v>
      </c>
      <c r="AM219" s="105">
        <v>46128</v>
      </c>
      <c r="AN219" s="105"/>
      <c r="AO219" s="105"/>
      <c r="AP219" s="100">
        <f t="shared" si="43"/>
        <v>70</v>
      </c>
      <c r="AQ219" s="100">
        <f t="shared" si="44"/>
        <v>54</v>
      </c>
    </row>
    <row r="220" s="89" customFormat="1" hidden="1" customHeight="1" spans="1:43">
      <c r="A220" s="93">
        <v>46099</v>
      </c>
      <c r="B220" s="93" t="str">
        <f ca="1" t="shared" si="38"/>
        <v/>
      </c>
      <c r="C220" s="95" t="s">
        <v>237</v>
      </c>
      <c r="D220" s="93" t="s">
        <v>802</v>
      </c>
      <c r="E220" s="95" t="s">
        <v>727</v>
      </c>
      <c r="F220" s="96">
        <v>10122647</v>
      </c>
      <c r="G220" s="96">
        <v>1042268198</v>
      </c>
      <c r="H220" s="97" t="s">
        <v>154</v>
      </c>
      <c r="I220" s="98" t="str">
        <f>IFERROR(VLOOKUP(H220,名称!A:C,2,0),"")</f>
        <v>动物车</v>
      </c>
      <c r="J220" s="99">
        <v>820</v>
      </c>
      <c r="K220" s="98">
        <f>IFERROR(VLOOKUP(H220,名称!A:D,3,0),"")</f>
        <v>4</v>
      </c>
      <c r="L220" s="100">
        <f t="shared" si="39"/>
        <v>205</v>
      </c>
      <c r="M220" s="93">
        <v>46169</v>
      </c>
      <c r="N220" s="93">
        <f t="shared" si="40"/>
        <v>46167</v>
      </c>
      <c r="O220" s="141">
        <v>46183</v>
      </c>
      <c r="P220" s="93" t="s">
        <v>808</v>
      </c>
      <c r="Q220" s="97" t="s">
        <v>777</v>
      </c>
      <c r="R220" s="137" t="s">
        <v>418</v>
      </c>
      <c r="S220" s="93"/>
      <c r="T220" s="93" t="s">
        <v>805</v>
      </c>
      <c r="U220" s="93"/>
      <c r="V220" s="93"/>
      <c r="W220" s="97"/>
      <c r="X220" s="100" t="s">
        <v>806</v>
      </c>
      <c r="Y220" s="102">
        <v>4.684</v>
      </c>
      <c r="Z220" s="103">
        <f t="shared" si="41"/>
        <v>3840.88</v>
      </c>
      <c r="AA220" s="103">
        <f t="shared" si="42"/>
        <v>29766.82</v>
      </c>
      <c r="AB220" s="135" t="s">
        <v>813</v>
      </c>
      <c r="AC220" s="98"/>
      <c r="AD220" s="105"/>
      <c r="AE220" s="93" t="s">
        <v>12</v>
      </c>
      <c r="AF220" s="139"/>
      <c r="AG220" s="139"/>
      <c r="AH220" s="105"/>
      <c r="AI220" s="105">
        <v>46115</v>
      </c>
      <c r="AJ220" s="105">
        <v>46121</v>
      </c>
      <c r="AK220" s="105"/>
      <c r="AL220" s="105" t="s">
        <v>420</v>
      </c>
      <c r="AM220" s="105" t="s">
        <v>420</v>
      </c>
      <c r="AN220" s="100"/>
      <c r="AO220" s="139"/>
      <c r="AP220" s="100">
        <f t="shared" si="43"/>
        <v>70</v>
      </c>
      <c r="AQ220" s="100">
        <f t="shared" si="44"/>
        <v>54</v>
      </c>
    </row>
    <row r="221" s="117" customFormat="1" hidden="1" customHeight="1" spans="1:43">
      <c r="A221" s="93" t="s">
        <v>814</v>
      </c>
      <c r="B221" s="93"/>
      <c r="C221" s="95" t="s">
        <v>237</v>
      </c>
      <c r="D221" s="93" t="s">
        <v>799</v>
      </c>
      <c r="E221" s="95" t="s">
        <v>438</v>
      </c>
      <c r="F221" s="96">
        <v>10122821</v>
      </c>
      <c r="G221" s="96">
        <v>4881631</v>
      </c>
      <c r="H221" s="97" t="s">
        <v>158</v>
      </c>
      <c r="I221" s="98" t="s">
        <v>728</v>
      </c>
      <c r="J221" s="99">
        <v>590</v>
      </c>
      <c r="K221" s="98">
        <v>2</v>
      </c>
      <c r="L221" s="100">
        <f t="shared" si="39"/>
        <v>295</v>
      </c>
      <c r="M221" s="93" t="s">
        <v>815</v>
      </c>
      <c r="N221" s="93" t="s">
        <v>816</v>
      </c>
      <c r="O221" s="138" t="s">
        <v>817</v>
      </c>
      <c r="P221" s="93" t="s">
        <v>435</v>
      </c>
      <c r="Q221" s="97" t="s">
        <v>777</v>
      </c>
      <c r="R221" s="144" t="s">
        <v>418</v>
      </c>
      <c r="S221" s="93"/>
      <c r="T221" s="93" t="s">
        <v>452</v>
      </c>
      <c r="U221" s="93"/>
      <c r="V221" s="93"/>
      <c r="W221" s="97"/>
      <c r="X221" s="100"/>
      <c r="Y221" s="102">
        <v>4.792</v>
      </c>
      <c r="Z221" s="103">
        <v>2827.28</v>
      </c>
      <c r="AA221" s="145">
        <v>21911.42</v>
      </c>
      <c r="AB221" s="135" t="s">
        <v>818</v>
      </c>
      <c r="AC221" s="146"/>
      <c r="AD221" s="93"/>
      <c r="AE221" s="93" t="s">
        <v>12</v>
      </c>
      <c r="AF221" s="98"/>
      <c r="AG221" s="105" t="s">
        <v>819</v>
      </c>
      <c r="AH221" s="105" t="s">
        <v>420</v>
      </c>
      <c r="AI221" s="105"/>
      <c r="AJ221" s="105" t="s">
        <v>453</v>
      </c>
      <c r="AK221" s="105" t="s">
        <v>820</v>
      </c>
      <c r="AL221" s="105"/>
      <c r="AM221" s="105"/>
      <c r="AN221" s="105">
        <v>90</v>
      </c>
      <c r="AO221" s="105">
        <v>75</v>
      </c>
      <c r="AP221" s="142"/>
      <c r="AQ221" s="100"/>
    </row>
    <row r="222" s="117" customFormat="1" hidden="1" customHeight="1" spans="1:43">
      <c r="A222" s="93" t="s">
        <v>814</v>
      </c>
      <c r="B222" s="93"/>
      <c r="C222" s="95" t="s">
        <v>237</v>
      </c>
      <c r="D222" s="93" t="s">
        <v>799</v>
      </c>
      <c r="E222" s="95" t="s">
        <v>438</v>
      </c>
      <c r="F222" s="96">
        <v>10122821</v>
      </c>
      <c r="G222" s="96">
        <v>4881631</v>
      </c>
      <c r="H222" s="97" t="s">
        <v>35</v>
      </c>
      <c r="I222" s="98" t="s">
        <v>676</v>
      </c>
      <c r="J222" s="99">
        <v>354</v>
      </c>
      <c r="K222" s="98">
        <v>2</v>
      </c>
      <c r="L222" s="100">
        <f t="shared" si="39"/>
        <v>177</v>
      </c>
      <c r="M222" s="93" t="s">
        <v>815</v>
      </c>
      <c r="N222" s="93" t="s">
        <v>816</v>
      </c>
      <c r="O222" s="138" t="s">
        <v>817</v>
      </c>
      <c r="P222" s="93" t="s">
        <v>435</v>
      </c>
      <c r="Q222" s="97" t="s">
        <v>777</v>
      </c>
      <c r="R222" s="144" t="s">
        <v>796</v>
      </c>
      <c r="S222" s="93"/>
      <c r="T222" s="93"/>
      <c r="U222" s="93"/>
      <c r="V222" s="93"/>
      <c r="W222" s="97"/>
      <c r="X222" s="100"/>
      <c r="Y222" s="102">
        <v>22.9</v>
      </c>
      <c r="Z222" s="103">
        <v>8106.6</v>
      </c>
      <c r="AA222" s="145">
        <v>62826.15</v>
      </c>
      <c r="AB222" s="135" t="s">
        <v>821</v>
      </c>
      <c r="AC222" s="146"/>
      <c r="AD222" s="93"/>
      <c r="AE222" s="93" t="s">
        <v>12</v>
      </c>
      <c r="AF222" s="98"/>
      <c r="AG222" s="105" t="s">
        <v>822</v>
      </c>
      <c r="AH222" s="105" t="s">
        <v>823</v>
      </c>
      <c r="AI222" s="105"/>
      <c r="AJ222" s="105" t="s">
        <v>822</v>
      </c>
      <c r="AK222" s="105" t="s">
        <v>824</v>
      </c>
      <c r="AL222" s="105"/>
      <c r="AM222" s="105"/>
      <c r="AN222" s="105">
        <v>90</v>
      </c>
      <c r="AO222" s="105">
        <v>44</v>
      </c>
      <c r="AP222" s="142"/>
      <c r="AQ222" s="100"/>
    </row>
    <row r="223" s="117" customFormat="1" hidden="1" customHeight="1" spans="1:43">
      <c r="A223" s="93" t="s">
        <v>814</v>
      </c>
      <c r="B223" s="93"/>
      <c r="C223" s="95" t="s">
        <v>237</v>
      </c>
      <c r="D223" s="93" t="s">
        <v>799</v>
      </c>
      <c r="E223" s="95" t="s">
        <v>438</v>
      </c>
      <c r="F223" s="96">
        <v>10122821</v>
      </c>
      <c r="G223" s="96">
        <v>4881631</v>
      </c>
      <c r="H223" s="97" t="s">
        <v>29</v>
      </c>
      <c r="I223" s="98" t="s">
        <v>825</v>
      </c>
      <c r="J223" s="99">
        <v>356</v>
      </c>
      <c r="K223" s="98">
        <v>4</v>
      </c>
      <c r="L223" s="100">
        <f t="shared" si="39"/>
        <v>89</v>
      </c>
      <c r="M223" s="93" t="s">
        <v>815</v>
      </c>
      <c r="N223" s="93" t="s">
        <v>816</v>
      </c>
      <c r="O223" s="138" t="s">
        <v>817</v>
      </c>
      <c r="P223" s="93" t="s">
        <v>435</v>
      </c>
      <c r="Q223" s="97" t="s">
        <v>777</v>
      </c>
      <c r="R223" s="144" t="s">
        <v>826</v>
      </c>
      <c r="S223" s="93"/>
      <c r="T223" s="93"/>
      <c r="U223" s="93"/>
      <c r="V223" s="93"/>
      <c r="W223" s="97"/>
      <c r="X223" s="100"/>
      <c r="Y223" s="102">
        <v>21.801</v>
      </c>
      <c r="Z223" s="103">
        <v>7761.16</v>
      </c>
      <c r="AA223" s="145">
        <v>60148.99</v>
      </c>
      <c r="AB223" s="135" t="s">
        <v>821</v>
      </c>
      <c r="AC223" s="146"/>
      <c r="AD223" s="93"/>
      <c r="AE223" s="93" t="s">
        <v>12</v>
      </c>
      <c r="AF223" s="98"/>
      <c r="AG223" s="105" t="s">
        <v>827</v>
      </c>
      <c r="AH223" s="105" t="s">
        <v>828</v>
      </c>
      <c r="AI223" s="105"/>
      <c r="AJ223" s="105" t="s">
        <v>829</v>
      </c>
      <c r="AK223" s="105" t="s">
        <v>824</v>
      </c>
      <c r="AL223" s="105"/>
      <c r="AM223" s="105"/>
      <c r="AN223" s="105">
        <v>90</v>
      </c>
      <c r="AO223" s="105">
        <v>51</v>
      </c>
      <c r="AP223" s="142"/>
      <c r="AQ223" s="100"/>
    </row>
    <row r="224" s="117" customFormat="1" hidden="1" customHeight="1" spans="1:43">
      <c r="A224" s="93" t="s">
        <v>814</v>
      </c>
      <c r="B224" s="93"/>
      <c r="C224" s="95" t="s">
        <v>237</v>
      </c>
      <c r="D224" s="93" t="s">
        <v>799</v>
      </c>
      <c r="E224" s="95" t="s">
        <v>438</v>
      </c>
      <c r="F224" s="96">
        <v>10122821</v>
      </c>
      <c r="G224" s="96">
        <v>4881631</v>
      </c>
      <c r="H224" s="97" t="s">
        <v>31</v>
      </c>
      <c r="I224" s="98" t="s">
        <v>830</v>
      </c>
      <c r="J224" s="99">
        <v>22</v>
      </c>
      <c r="K224" s="98">
        <v>1</v>
      </c>
      <c r="L224" s="100">
        <f t="shared" si="39"/>
        <v>22</v>
      </c>
      <c r="M224" s="93" t="s">
        <v>815</v>
      </c>
      <c r="N224" s="93" t="s">
        <v>816</v>
      </c>
      <c r="O224" s="138" t="s">
        <v>817</v>
      </c>
      <c r="P224" s="93" t="s">
        <v>435</v>
      </c>
      <c r="Q224" s="97" t="s">
        <v>777</v>
      </c>
      <c r="R224" s="144" t="s">
        <v>826</v>
      </c>
      <c r="S224" s="93"/>
      <c r="T224" s="93" t="s">
        <v>452</v>
      </c>
      <c r="U224" s="93"/>
      <c r="V224" s="93"/>
      <c r="W224" s="97"/>
      <c r="X224" s="100"/>
      <c r="Y224" s="102">
        <v>29.652</v>
      </c>
      <c r="Z224" s="103">
        <v>652.34</v>
      </c>
      <c r="AA224" s="145">
        <v>5055.64</v>
      </c>
      <c r="AB224" s="135" t="s">
        <v>821</v>
      </c>
      <c r="AC224" s="146"/>
      <c r="AD224" s="93"/>
      <c r="AE224" s="93" t="s">
        <v>12</v>
      </c>
      <c r="AF224" s="98"/>
      <c r="AG224" s="105" t="s">
        <v>831</v>
      </c>
      <c r="AH224" s="105"/>
      <c r="AI224" s="105"/>
      <c r="AJ224" s="105" t="s">
        <v>832</v>
      </c>
      <c r="AK224" s="105">
        <v>46140</v>
      </c>
      <c r="AL224" s="105"/>
      <c r="AM224" s="105"/>
      <c r="AN224" s="105">
        <v>90</v>
      </c>
      <c r="AO224" s="105">
        <v>41</v>
      </c>
      <c r="AP224" s="142"/>
      <c r="AQ224" s="100"/>
    </row>
    <row r="225" s="117" customFormat="1" hidden="1" customHeight="1" spans="1:43">
      <c r="A225" s="93" t="s">
        <v>814</v>
      </c>
      <c r="B225" s="93"/>
      <c r="C225" s="95" t="s">
        <v>237</v>
      </c>
      <c r="D225" s="93" t="s">
        <v>799</v>
      </c>
      <c r="E225" s="95" t="s">
        <v>438</v>
      </c>
      <c r="F225" s="96">
        <v>10122821</v>
      </c>
      <c r="G225" s="96">
        <v>4881631</v>
      </c>
      <c r="H225" s="97" t="s">
        <v>118</v>
      </c>
      <c r="I225" s="98" t="s">
        <v>833</v>
      </c>
      <c r="J225" s="99">
        <v>356</v>
      </c>
      <c r="K225" s="98">
        <v>4</v>
      </c>
      <c r="L225" s="100">
        <f t="shared" si="39"/>
        <v>89</v>
      </c>
      <c r="M225" s="93" t="s">
        <v>815</v>
      </c>
      <c r="N225" s="93" t="s">
        <v>816</v>
      </c>
      <c r="O225" s="138" t="s">
        <v>817</v>
      </c>
      <c r="P225" s="93" t="s">
        <v>435</v>
      </c>
      <c r="Q225" s="97" t="s">
        <v>777</v>
      </c>
      <c r="R225" s="144" t="s">
        <v>431</v>
      </c>
      <c r="S225" s="93"/>
      <c r="T225" s="93" t="s">
        <v>505</v>
      </c>
      <c r="U225" s="93"/>
      <c r="V225" s="93"/>
      <c r="W225" s="97"/>
      <c r="X225" s="100"/>
      <c r="Y225" s="102">
        <v>16.71</v>
      </c>
      <c r="Z225" s="103">
        <v>5948.76</v>
      </c>
      <c r="AA225" s="145">
        <v>46102.89</v>
      </c>
      <c r="AB225" s="135" t="s">
        <v>834</v>
      </c>
      <c r="AC225" s="146"/>
      <c r="AD225" s="93"/>
      <c r="AE225" s="93" t="s">
        <v>12</v>
      </c>
      <c r="AF225" s="98"/>
      <c r="AG225" s="105" t="s">
        <v>835</v>
      </c>
      <c r="AH225" s="105" t="s">
        <v>420</v>
      </c>
      <c r="AI225" s="105"/>
      <c r="AJ225" s="105" t="s">
        <v>836</v>
      </c>
      <c r="AK225" s="105" t="s">
        <v>835</v>
      </c>
      <c r="AL225" s="105"/>
      <c r="AM225" s="105"/>
      <c r="AN225" s="105">
        <v>90</v>
      </c>
      <c r="AO225" s="105">
        <v>56</v>
      </c>
      <c r="AP225" s="142"/>
      <c r="AQ225" s="100"/>
    </row>
    <row r="226" s="89" customFormat="1" hidden="1" customHeight="1" spans="1:43">
      <c r="A226" s="93">
        <v>46046</v>
      </c>
      <c r="B226" s="93" t="str">
        <f ca="1" t="shared" ref="B226:B232" si="45">IF(TODAY()&gt;=A226,IF(R226="","未",""),"")</f>
        <v/>
      </c>
      <c r="C226" s="95" t="s">
        <v>237</v>
      </c>
      <c r="D226" s="93" t="s">
        <v>427</v>
      </c>
      <c r="E226" s="95" t="s">
        <v>438</v>
      </c>
      <c r="F226" s="96">
        <v>10119724</v>
      </c>
      <c r="G226" s="96" t="s">
        <v>252</v>
      </c>
      <c r="H226" s="97" t="s">
        <v>118</v>
      </c>
      <c r="I226" s="98" t="str">
        <f>IFERROR(VLOOKUP(H226,名称!A:C,2,0),"")</f>
        <v>滑板拖车</v>
      </c>
      <c r="J226" s="99">
        <v>4</v>
      </c>
      <c r="K226" s="98">
        <f>IFERROR(VLOOKUP(H226,名称!A:D,3,0),"")</f>
        <v>4</v>
      </c>
      <c r="L226" s="100">
        <f t="shared" si="39"/>
        <v>1</v>
      </c>
      <c r="M226" s="93">
        <v>46155</v>
      </c>
      <c r="N226" s="93">
        <f t="shared" ref="N226:N232" si="46">M226-2</f>
        <v>46153</v>
      </c>
      <c r="O226" s="147">
        <v>46153</v>
      </c>
      <c r="P226" s="93" t="s">
        <v>423</v>
      </c>
      <c r="Q226" s="97" t="s">
        <v>430</v>
      </c>
      <c r="R226" s="148" t="s">
        <v>779</v>
      </c>
      <c r="S226" s="93"/>
      <c r="T226" s="93" t="s">
        <v>505</v>
      </c>
      <c r="U226" s="93"/>
      <c r="V226" s="93"/>
      <c r="W226" s="97"/>
      <c r="X226" s="100" t="s">
        <v>759</v>
      </c>
      <c r="Y226" s="102">
        <v>16.223</v>
      </c>
      <c r="Z226" s="103">
        <f t="shared" ref="Z226:Z232" si="47">J226*Y226</f>
        <v>64.89</v>
      </c>
      <c r="AA226" s="103">
        <f t="shared" ref="AA226:AA232" si="48">Z226*7.75</f>
        <v>502.9</v>
      </c>
      <c r="AB226" s="135" t="s">
        <v>837</v>
      </c>
      <c r="AC226" s="98"/>
      <c r="AD226" s="105"/>
      <c r="AE226" s="93" t="s">
        <v>12</v>
      </c>
      <c r="AF226" s="105"/>
      <c r="AG226" s="105">
        <v>46101</v>
      </c>
      <c r="AH226" s="105" t="s">
        <v>420</v>
      </c>
      <c r="AI226" s="105"/>
      <c r="AJ226" s="105" t="s">
        <v>522</v>
      </c>
      <c r="AK226" s="105" t="s">
        <v>522</v>
      </c>
      <c r="AL226" s="100"/>
      <c r="AM226" s="105">
        <v>46105</v>
      </c>
      <c r="AN226" s="100">
        <f t="shared" ref="AN226:AN232" si="49">M226-A226</f>
        <v>109</v>
      </c>
      <c r="AO226" s="100">
        <f t="shared" ref="AO226:AO232" si="50">M226-AG226</f>
        <v>54</v>
      </c>
    </row>
    <row r="227" s="89" customFormat="1" customHeight="1" spans="1:43">
      <c r="A227" s="93">
        <v>46114</v>
      </c>
      <c r="B227" s="93" t="str">
        <f ca="1" t="shared" si="45"/>
        <v/>
      </c>
      <c r="C227" s="95" t="s">
        <v>237</v>
      </c>
      <c r="D227" s="93" t="s">
        <v>838</v>
      </c>
      <c r="E227" s="95" t="s">
        <v>438</v>
      </c>
      <c r="F227" s="96">
        <v>10124081</v>
      </c>
      <c r="G227" s="96" t="s">
        <v>277</v>
      </c>
      <c r="H227" s="97" t="s">
        <v>120</v>
      </c>
      <c r="I227" s="98" t="str">
        <f>IFERROR(VLOOKUP(H227,名称!A:C,2,0),"")</f>
        <v>绿色拖拉机</v>
      </c>
      <c r="J227" s="99">
        <v>1400</v>
      </c>
      <c r="K227" s="98">
        <f>IFERROR(VLOOKUP(H227,名称!A:D,3,0),"")</f>
        <v>2</v>
      </c>
      <c r="L227" s="100">
        <f t="shared" si="39"/>
        <v>700</v>
      </c>
      <c r="M227" s="93">
        <v>46197</v>
      </c>
      <c r="N227" s="93">
        <f t="shared" si="46"/>
        <v>46195</v>
      </c>
      <c r="O227" s="93">
        <v>46197</v>
      </c>
      <c r="P227" s="93" t="s">
        <v>429</v>
      </c>
      <c r="Q227" s="97" t="s">
        <v>777</v>
      </c>
      <c r="R227" s="148" t="s">
        <v>418</v>
      </c>
      <c r="S227" s="93"/>
      <c r="T227" s="93" t="s">
        <v>452</v>
      </c>
      <c r="U227" s="93"/>
      <c r="V227" s="93"/>
      <c r="W227" s="97"/>
      <c r="X227" s="100" t="s">
        <v>839</v>
      </c>
      <c r="Y227" s="102">
        <v>21.246</v>
      </c>
      <c r="Z227" s="103">
        <f t="shared" si="47"/>
        <v>29744.4</v>
      </c>
      <c r="AA227" s="103">
        <f t="shared" si="48"/>
        <v>230519.1</v>
      </c>
      <c r="AB227" s="135" t="s">
        <v>840</v>
      </c>
      <c r="AC227" s="98"/>
      <c r="AD227" s="105"/>
      <c r="AE227" s="93" t="s">
        <v>12</v>
      </c>
      <c r="AF227" s="105"/>
      <c r="AG227" s="105">
        <v>46134</v>
      </c>
      <c r="AH227" s="105">
        <v>46128</v>
      </c>
      <c r="AI227" s="105"/>
      <c r="AJ227" s="105">
        <v>46149</v>
      </c>
      <c r="AK227" s="105">
        <v>46134</v>
      </c>
      <c r="AL227" s="149"/>
      <c r="AM227" s="139"/>
      <c r="AN227" s="100">
        <f t="shared" si="49"/>
        <v>83</v>
      </c>
      <c r="AO227" s="100">
        <f t="shared" si="50"/>
        <v>63</v>
      </c>
    </row>
    <row r="228" s="89" customFormat="1" customHeight="1" spans="1:43">
      <c r="A228" s="93">
        <v>46107</v>
      </c>
      <c r="B228" s="93" t="str">
        <f ca="1" t="shared" si="45"/>
        <v/>
      </c>
      <c r="C228" s="95" t="s">
        <v>237</v>
      </c>
      <c r="D228" s="93" t="s">
        <v>838</v>
      </c>
      <c r="E228" s="95" t="s">
        <v>438</v>
      </c>
      <c r="F228" s="96">
        <v>10123378</v>
      </c>
      <c r="G228" s="96" t="s">
        <v>270</v>
      </c>
      <c r="H228" s="97" t="s">
        <v>120</v>
      </c>
      <c r="I228" s="98" t="str">
        <f>IFERROR(VLOOKUP(H228,名称!A:C,2,0),"")</f>
        <v>绿色拖拉机</v>
      </c>
      <c r="J228" s="99">
        <v>1400</v>
      </c>
      <c r="K228" s="98">
        <f>IFERROR(VLOOKUP(H228,名称!A:D,3,0),"")</f>
        <v>2</v>
      </c>
      <c r="L228" s="100">
        <f t="shared" si="39"/>
        <v>700</v>
      </c>
      <c r="M228" s="93">
        <v>46197</v>
      </c>
      <c r="N228" s="93">
        <f t="shared" si="46"/>
        <v>46195</v>
      </c>
      <c r="O228" s="93">
        <v>46197</v>
      </c>
      <c r="P228" s="93" t="s">
        <v>435</v>
      </c>
      <c r="Q228" s="97" t="s">
        <v>777</v>
      </c>
      <c r="R228" s="148" t="s">
        <v>826</v>
      </c>
      <c r="S228" s="93"/>
      <c r="T228" s="93" t="s">
        <v>452</v>
      </c>
      <c r="U228" s="93"/>
      <c r="V228" s="93"/>
      <c r="W228" s="97"/>
      <c r="X228" s="100" t="s">
        <v>839</v>
      </c>
      <c r="Y228" s="102">
        <v>21.246</v>
      </c>
      <c r="Z228" s="103">
        <f t="shared" si="47"/>
        <v>29744.4</v>
      </c>
      <c r="AA228" s="103">
        <f t="shared" si="48"/>
        <v>230519.1</v>
      </c>
      <c r="AB228" s="135" t="s">
        <v>841</v>
      </c>
      <c r="AC228" s="98"/>
      <c r="AD228" s="105"/>
      <c r="AE228" s="93" t="s">
        <v>12</v>
      </c>
      <c r="AF228" s="105"/>
      <c r="AG228" s="105">
        <v>46134</v>
      </c>
      <c r="AH228" s="105">
        <v>46128</v>
      </c>
      <c r="AI228" s="105"/>
      <c r="AJ228" s="105">
        <v>46149</v>
      </c>
      <c r="AK228" s="105">
        <v>46134</v>
      </c>
      <c r="AL228" s="149"/>
      <c r="AM228" s="139"/>
      <c r="AN228" s="100">
        <f t="shared" si="49"/>
        <v>90</v>
      </c>
      <c r="AO228" s="100">
        <f t="shared" si="50"/>
        <v>63</v>
      </c>
    </row>
    <row r="229" s="89" customFormat="1" hidden="1" customHeight="1" spans="1:43">
      <c r="A229" s="93">
        <v>46122</v>
      </c>
      <c r="B229" s="43" t="str">
        <f ca="1" t="shared" si="45"/>
        <v/>
      </c>
      <c r="C229" s="95"/>
      <c r="D229" s="93"/>
      <c r="E229" s="95"/>
      <c r="F229" s="96" t="s">
        <v>290</v>
      </c>
      <c r="G229" s="96"/>
      <c r="H229" s="97" t="s">
        <v>142</v>
      </c>
      <c r="I229" s="98" t="str">
        <f>IFERROR(VLOOKUP(H229,名称!A:C,2,0),"")</f>
        <v>浮水马里奥</v>
      </c>
      <c r="J229" s="99">
        <v>53</v>
      </c>
      <c r="K229" s="98">
        <f>IFERROR(VLOOKUP(H229,名称!A:D,3,0),"")</f>
        <v>3</v>
      </c>
      <c r="L229" s="100">
        <f t="shared" si="39"/>
        <v>17.6666666666667</v>
      </c>
      <c r="M229" s="93">
        <v>46190</v>
      </c>
      <c r="N229" s="93">
        <f t="shared" si="46"/>
        <v>46188</v>
      </c>
      <c r="O229" s="93"/>
      <c r="P229" s="93"/>
      <c r="Q229" s="97"/>
      <c r="R229" s="148" t="s">
        <v>779</v>
      </c>
      <c r="S229" s="93"/>
      <c r="T229" s="93"/>
      <c r="U229" s="93"/>
      <c r="V229" s="93"/>
      <c r="W229" s="97"/>
      <c r="X229" s="100"/>
      <c r="Y229" s="102">
        <v>0</v>
      </c>
      <c r="Z229" s="103">
        <f t="shared" si="47"/>
        <v>0</v>
      </c>
      <c r="AA229" s="103">
        <f t="shared" si="48"/>
        <v>0</v>
      </c>
      <c r="AB229" s="104"/>
      <c r="AC229" s="93"/>
      <c r="AD229" s="93"/>
      <c r="AE229" s="93" t="str">
        <f>IFERROR(VLOOKUP(H229,名称!A:D,4,0),"")</f>
        <v>KIK</v>
      </c>
      <c r="AF229" s="98"/>
      <c r="AG229" s="105">
        <v>46139</v>
      </c>
      <c r="AH229" s="105">
        <v>46157</v>
      </c>
      <c r="AI229" s="105"/>
      <c r="AJ229" s="105" t="s">
        <v>420</v>
      </c>
      <c r="AK229" s="105">
        <v>46134</v>
      </c>
      <c r="AL229" s="105"/>
      <c r="AM229" s="105"/>
      <c r="AN229" s="100">
        <f t="shared" si="49"/>
        <v>68</v>
      </c>
      <c r="AO229" s="100">
        <f t="shared" si="50"/>
        <v>51</v>
      </c>
    </row>
    <row r="230" s="89" customFormat="1" customHeight="1" spans="1:43">
      <c r="A230" s="93">
        <v>46046</v>
      </c>
      <c r="B230" s="93" t="str">
        <f ca="1" t="shared" si="45"/>
        <v/>
      </c>
      <c r="C230" s="95" t="s">
        <v>237</v>
      </c>
      <c r="D230" s="93" t="s">
        <v>427</v>
      </c>
      <c r="E230" s="95" t="s">
        <v>438</v>
      </c>
      <c r="F230" s="96">
        <v>10119724</v>
      </c>
      <c r="G230" s="96" t="s">
        <v>252</v>
      </c>
      <c r="H230" s="97" t="s">
        <v>120</v>
      </c>
      <c r="I230" s="98" t="str">
        <f>IFERROR(VLOOKUP(H230,名称!A:C,2,0),"")</f>
        <v>绿色拖拉机</v>
      </c>
      <c r="J230" s="99">
        <v>2</v>
      </c>
      <c r="K230" s="98">
        <f>IFERROR(VLOOKUP(H230,名称!A:D,3,0),"")</f>
        <v>2</v>
      </c>
      <c r="L230" s="100">
        <f t="shared" si="39"/>
        <v>1</v>
      </c>
      <c r="M230" s="93">
        <v>46197</v>
      </c>
      <c r="N230" s="93">
        <f t="shared" si="46"/>
        <v>46195</v>
      </c>
      <c r="O230" s="150">
        <v>46177</v>
      </c>
      <c r="P230" s="93" t="s">
        <v>423</v>
      </c>
      <c r="Q230" s="97" t="s">
        <v>430</v>
      </c>
      <c r="R230" s="148" t="s">
        <v>418</v>
      </c>
      <c r="S230" s="93"/>
      <c r="T230" s="93" t="s">
        <v>452</v>
      </c>
      <c r="U230" s="93"/>
      <c r="V230" s="93"/>
      <c r="W230" s="97"/>
      <c r="X230" s="123" t="s">
        <v>759</v>
      </c>
      <c r="Y230" s="102">
        <v>20.566</v>
      </c>
      <c r="Z230" s="103">
        <f t="shared" si="47"/>
        <v>41.13</v>
      </c>
      <c r="AA230" s="103">
        <f t="shared" si="48"/>
        <v>318.76</v>
      </c>
      <c r="AB230" s="93"/>
      <c r="AC230" s="98"/>
      <c r="AD230" s="105"/>
      <c r="AE230" s="93" t="s">
        <v>12</v>
      </c>
      <c r="AF230" s="105"/>
      <c r="AG230" s="105">
        <v>46107</v>
      </c>
      <c r="AH230" s="105">
        <v>46128</v>
      </c>
      <c r="AI230" s="105"/>
      <c r="AJ230" s="105">
        <v>46105</v>
      </c>
      <c r="AK230" s="105">
        <v>46134</v>
      </c>
      <c r="AL230" s="149"/>
      <c r="AM230" s="105">
        <v>46105</v>
      </c>
      <c r="AN230" s="100">
        <f t="shared" si="49"/>
        <v>151</v>
      </c>
      <c r="AO230" s="100">
        <f t="shared" si="50"/>
        <v>90</v>
      </c>
    </row>
    <row r="231" s="89" customFormat="1" hidden="1" customHeight="1" spans="1:43">
      <c r="A231" s="93">
        <v>46120</v>
      </c>
      <c r="B231" s="43" t="str">
        <f ca="1" t="shared" si="45"/>
        <v/>
      </c>
      <c r="C231" s="95" t="s">
        <v>248</v>
      </c>
      <c r="D231" s="93" t="s">
        <v>421</v>
      </c>
      <c r="E231" s="95" t="s">
        <v>446</v>
      </c>
      <c r="F231" s="96">
        <v>10124235</v>
      </c>
      <c r="G231" s="96" t="s">
        <v>289</v>
      </c>
      <c r="H231" s="97" t="s">
        <v>113</v>
      </c>
      <c r="I231" s="98" t="str">
        <f>IFERROR(VLOOKUP(H231,名称!A:C,2,0),"")</f>
        <v>绿色铲车</v>
      </c>
      <c r="J231" s="99">
        <v>3</v>
      </c>
      <c r="K231" s="98">
        <f>IFERROR(VLOOKUP(H231,名称!A:D,3,0),"")</f>
        <v>2</v>
      </c>
      <c r="L231" s="100">
        <f t="shared" si="39"/>
        <v>1.5</v>
      </c>
      <c r="M231" s="93">
        <v>46122</v>
      </c>
      <c r="N231" s="93">
        <f t="shared" si="46"/>
        <v>46120</v>
      </c>
      <c r="O231" s="151">
        <v>46127</v>
      </c>
      <c r="P231" s="93"/>
      <c r="Q231" s="97" t="s">
        <v>424</v>
      </c>
      <c r="R231" s="148" t="s">
        <v>771</v>
      </c>
      <c r="S231" s="93"/>
      <c r="T231" s="93" t="s">
        <v>452</v>
      </c>
      <c r="U231" s="93"/>
      <c r="V231" s="93"/>
      <c r="W231" s="97"/>
      <c r="X231" s="100"/>
      <c r="Y231" s="102">
        <v>5.9</v>
      </c>
      <c r="Z231" s="103">
        <f t="shared" si="47"/>
        <v>17.7</v>
      </c>
      <c r="AA231" s="103">
        <f t="shared" si="48"/>
        <v>137.18</v>
      </c>
      <c r="AB231" s="104"/>
      <c r="AC231" s="93"/>
      <c r="AD231" s="93"/>
      <c r="AE231" s="93" t="str">
        <f>IFERROR(VLOOKUP(H231,名称!A:D,4,0),"")</f>
        <v>KIK</v>
      </c>
      <c r="AF231" s="98"/>
      <c r="AG231" s="105"/>
      <c r="AH231" s="105" t="s">
        <v>420</v>
      </c>
      <c r="AI231" s="105"/>
      <c r="AJ231" s="105"/>
      <c r="AK231" s="105">
        <v>46134</v>
      </c>
      <c r="AL231" s="105"/>
      <c r="AM231" s="105"/>
      <c r="AN231" s="100">
        <f t="shared" si="49"/>
        <v>2</v>
      </c>
      <c r="AO231" s="100">
        <f t="shared" si="50"/>
        <v>46122</v>
      </c>
    </row>
    <row r="232" s="89" customFormat="1" hidden="1" customHeight="1" spans="1:43">
      <c r="A232" s="93">
        <v>46015</v>
      </c>
      <c r="B232" s="43" t="str">
        <f ca="1" t="shared" si="45"/>
        <v/>
      </c>
      <c r="C232" s="95" t="s">
        <v>236</v>
      </c>
      <c r="D232" s="93" t="s">
        <v>442</v>
      </c>
      <c r="E232" s="95" t="s">
        <v>443</v>
      </c>
      <c r="F232" s="96">
        <v>10117760</v>
      </c>
      <c r="G232" s="96" t="s">
        <v>244</v>
      </c>
      <c r="H232" s="97" t="s">
        <v>118</v>
      </c>
      <c r="I232" s="98" t="str">
        <f>IFERROR(VLOOKUP(H232,名称!A:C,2,0),"")</f>
        <v>滑板拖车</v>
      </c>
      <c r="J232" s="99">
        <v>4</v>
      </c>
      <c r="K232" s="98">
        <f>IFERROR(VLOOKUP(H232,名称!A:D,3,0),"")</f>
        <v>4</v>
      </c>
      <c r="L232" s="100">
        <f t="shared" si="39"/>
        <v>1</v>
      </c>
      <c r="M232" s="133">
        <v>46204</v>
      </c>
      <c r="N232" s="133">
        <f t="shared" si="46"/>
        <v>46202</v>
      </c>
      <c r="O232" s="150">
        <v>46162</v>
      </c>
      <c r="P232" s="93" t="s">
        <v>423</v>
      </c>
      <c r="Q232" s="97" t="s">
        <v>430</v>
      </c>
      <c r="R232" s="148" t="s">
        <v>779</v>
      </c>
      <c r="S232" s="93"/>
      <c r="T232" s="93" t="s">
        <v>505</v>
      </c>
      <c r="U232" s="93"/>
      <c r="V232" s="93"/>
      <c r="W232" s="97"/>
      <c r="X232" s="100"/>
      <c r="Y232" s="102">
        <v>16.71</v>
      </c>
      <c r="Z232" s="103">
        <f t="shared" si="47"/>
        <v>66.84</v>
      </c>
      <c r="AA232" s="103">
        <f t="shared" si="48"/>
        <v>518.01</v>
      </c>
      <c r="AB232" s="69" t="s">
        <v>842</v>
      </c>
      <c r="AC232" s="98"/>
      <c r="AD232" s="105"/>
      <c r="AE232" s="93" t="s">
        <v>12</v>
      </c>
      <c r="AF232" s="105"/>
      <c r="AG232" s="105">
        <v>46101</v>
      </c>
      <c r="AH232" s="105" t="s">
        <v>420</v>
      </c>
      <c r="AI232" s="105"/>
      <c r="AJ232" s="105" t="s">
        <v>522</v>
      </c>
      <c r="AK232" s="105" t="s">
        <v>522</v>
      </c>
      <c r="AL232" s="100"/>
      <c r="AM232" s="105">
        <v>46105</v>
      </c>
      <c r="AN232" s="100">
        <f t="shared" si="49"/>
        <v>189</v>
      </c>
      <c r="AO232" s="100">
        <f t="shared" si="50"/>
        <v>103</v>
      </c>
    </row>
    <row r="233" s="117" customFormat="1" hidden="1" customHeight="1" spans="1:43">
      <c r="A233" s="93" t="s">
        <v>843</v>
      </c>
      <c r="B233" s="93"/>
      <c r="C233" s="95" t="s">
        <v>237</v>
      </c>
      <c r="D233" s="93" t="s">
        <v>427</v>
      </c>
      <c r="E233" s="95" t="s">
        <v>428</v>
      </c>
      <c r="F233" s="96">
        <v>10125186</v>
      </c>
      <c r="G233" s="96" t="s">
        <v>295</v>
      </c>
      <c r="H233" s="97" t="s">
        <v>144</v>
      </c>
      <c r="I233" s="98" t="s">
        <v>844</v>
      </c>
      <c r="J233" s="99">
        <v>48</v>
      </c>
      <c r="K233" s="98">
        <v>6</v>
      </c>
      <c r="L233" s="100">
        <v>8</v>
      </c>
      <c r="M233" s="93" t="s">
        <v>845</v>
      </c>
      <c r="N233" s="93" t="s">
        <v>846</v>
      </c>
      <c r="O233" s="138" t="s">
        <v>790</v>
      </c>
      <c r="P233" s="93" t="s">
        <v>423</v>
      </c>
      <c r="Q233" s="97" t="s">
        <v>430</v>
      </c>
      <c r="R233" s="144" t="s">
        <v>418</v>
      </c>
      <c r="S233" s="93"/>
      <c r="T233" s="93"/>
      <c r="U233" s="93"/>
      <c r="V233" s="93"/>
      <c r="W233" s="97"/>
      <c r="X233" s="100"/>
      <c r="Y233" s="102">
        <v>3.926</v>
      </c>
      <c r="Z233" s="103">
        <v>188.45</v>
      </c>
      <c r="AA233" s="145">
        <v>1460.49</v>
      </c>
      <c r="AB233" s="152"/>
      <c r="AC233" s="146"/>
      <c r="AD233" s="93"/>
      <c r="AE233" s="93" t="s">
        <v>146</v>
      </c>
      <c r="AF233" s="98"/>
      <c r="AG233" s="105" t="s">
        <v>836</v>
      </c>
      <c r="AH233" s="105" t="s">
        <v>843</v>
      </c>
      <c r="AI233" s="105"/>
      <c r="AJ233" s="105" t="s">
        <v>420</v>
      </c>
      <c r="AK233" s="105" t="s">
        <v>835</v>
      </c>
      <c r="AL233" s="105"/>
      <c r="AM233" s="105"/>
      <c r="AN233" s="105">
        <v>47</v>
      </c>
      <c r="AO233" s="105">
        <v>41</v>
      </c>
      <c r="AP233" s="126"/>
      <c r="AQ233" s="126"/>
    </row>
    <row r="234" s="117" customFormat="1" hidden="1" customHeight="1" spans="1:43">
      <c r="A234" s="93" t="s">
        <v>843</v>
      </c>
      <c r="B234" s="93"/>
      <c r="C234" s="95" t="s">
        <v>237</v>
      </c>
      <c r="D234" s="93" t="s">
        <v>427</v>
      </c>
      <c r="E234" s="95" t="s">
        <v>428</v>
      </c>
      <c r="F234" s="96">
        <v>10125186</v>
      </c>
      <c r="G234" s="96" t="s">
        <v>295</v>
      </c>
      <c r="H234" s="97" t="s">
        <v>148</v>
      </c>
      <c r="I234" s="98" t="s">
        <v>847</v>
      </c>
      <c r="J234" s="99">
        <v>11</v>
      </c>
      <c r="K234" s="98">
        <v>2</v>
      </c>
      <c r="L234" s="100">
        <v>5.5</v>
      </c>
      <c r="M234" s="93" t="s">
        <v>845</v>
      </c>
      <c r="N234" s="93" t="s">
        <v>846</v>
      </c>
      <c r="O234" s="138" t="s">
        <v>790</v>
      </c>
      <c r="P234" s="93" t="s">
        <v>423</v>
      </c>
      <c r="Q234" s="97" t="s">
        <v>430</v>
      </c>
      <c r="R234" s="144" t="s">
        <v>431</v>
      </c>
      <c r="S234" s="93"/>
      <c r="T234" s="93"/>
      <c r="U234" s="93"/>
      <c r="V234" s="93"/>
      <c r="W234" s="97"/>
      <c r="X234" s="100"/>
      <c r="Y234" s="102">
        <v>8.111</v>
      </c>
      <c r="Z234" s="103">
        <v>89.22</v>
      </c>
      <c r="AA234" s="145">
        <v>691.46</v>
      </c>
      <c r="AB234" s="152"/>
      <c r="AC234" s="146"/>
      <c r="AD234" s="93"/>
      <c r="AE234" s="93" t="s">
        <v>146</v>
      </c>
      <c r="AF234" s="98"/>
      <c r="AG234" s="105" t="s">
        <v>836</v>
      </c>
      <c r="AH234" s="105" t="s">
        <v>820</v>
      </c>
      <c r="AI234" s="105"/>
      <c r="AJ234" s="105" t="s">
        <v>420</v>
      </c>
      <c r="AK234" s="105" t="s">
        <v>835</v>
      </c>
      <c r="AL234" s="105"/>
      <c r="AM234" s="105"/>
      <c r="AN234" s="105">
        <v>47</v>
      </c>
      <c r="AO234" s="105">
        <v>41</v>
      </c>
      <c r="AP234" s="126"/>
      <c r="AQ234" s="126"/>
    </row>
    <row r="235" s="117" customFormat="1" hidden="1" customHeight="1" spans="1:43">
      <c r="A235" s="93" t="s">
        <v>843</v>
      </c>
      <c r="B235" s="93"/>
      <c r="C235" s="95" t="s">
        <v>237</v>
      </c>
      <c r="D235" s="93" t="s">
        <v>427</v>
      </c>
      <c r="E235" s="95" t="s">
        <v>428</v>
      </c>
      <c r="F235" s="96">
        <v>10125186</v>
      </c>
      <c r="G235" s="96" t="s">
        <v>295</v>
      </c>
      <c r="H235" s="97" t="s">
        <v>189</v>
      </c>
      <c r="I235" s="98" t="s">
        <v>190</v>
      </c>
      <c r="J235" s="99">
        <v>8</v>
      </c>
      <c r="K235" s="98">
        <v>6</v>
      </c>
      <c r="L235" s="100">
        <v>1.333333333</v>
      </c>
      <c r="M235" s="93" t="s">
        <v>845</v>
      </c>
      <c r="N235" s="93" t="s">
        <v>846</v>
      </c>
      <c r="O235" s="138" t="s">
        <v>790</v>
      </c>
      <c r="P235" s="93" t="s">
        <v>423</v>
      </c>
      <c r="Q235" s="97" t="s">
        <v>430</v>
      </c>
      <c r="R235" s="144" t="s">
        <v>826</v>
      </c>
      <c r="S235" s="93"/>
      <c r="T235" s="93"/>
      <c r="U235" s="93"/>
      <c r="V235" s="93"/>
      <c r="W235" s="97"/>
      <c r="X235" s="100"/>
      <c r="Y235" s="102">
        <v>3.926</v>
      </c>
      <c r="Z235" s="103">
        <v>31.41</v>
      </c>
      <c r="AA235" s="145">
        <v>243.43</v>
      </c>
      <c r="AB235" s="152"/>
      <c r="AC235" s="146"/>
      <c r="AD235" s="93"/>
      <c r="AE235" s="93" t="s">
        <v>12</v>
      </c>
      <c r="AF235" s="98"/>
      <c r="AG235" s="105" t="s">
        <v>836</v>
      </c>
      <c r="AH235" s="105" t="s">
        <v>843</v>
      </c>
      <c r="AI235" s="105"/>
      <c r="AJ235" s="105" t="s">
        <v>420</v>
      </c>
      <c r="AK235" s="105" t="s">
        <v>835</v>
      </c>
      <c r="AL235" s="105"/>
      <c r="AM235" s="105"/>
      <c r="AN235" s="105">
        <v>47</v>
      </c>
      <c r="AO235" s="105">
        <v>41</v>
      </c>
      <c r="AP235" s="126"/>
      <c r="AQ235" s="126"/>
    </row>
    <row r="236" s="89" customFormat="1" hidden="1" customHeight="1" spans="1:43">
      <c r="A236" s="93">
        <v>46044</v>
      </c>
      <c r="B236" s="93" t="str">
        <f ca="1">IF(TODAY()&gt;=A236,IF(R236="","未",""),"")</f>
        <v/>
      </c>
      <c r="C236" s="95" t="s">
        <v>235</v>
      </c>
      <c r="D236" s="93" t="s">
        <v>421</v>
      </c>
      <c r="E236" s="95" t="s">
        <v>422</v>
      </c>
      <c r="F236" s="96">
        <v>10119539</v>
      </c>
      <c r="G236" s="96">
        <v>4500032198</v>
      </c>
      <c r="H236" s="97" t="s">
        <v>148</v>
      </c>
      <c r="I236" s="98" t="str">
        <f>IFERROR(VLOOKUP(H236,名称!A:C,2,0),"")</f>
        <v>11寸大毛绒</v>
      </c>
      <c r="J236" s="99">
        <f>2000-64+64</f>
        <v>2000</v>
      </c>
      <c r="K236" s="98">
        <f>IFERROR(VLOOKUP(H236,名称!A:D,3,0),"")</f>
        <v>2</v>
      </c>
      <c r="L236" s="100">
        <f>IFERROR((J236/K236),"")</f>
        <v>1000</v>
      </c>
      <c r="M236" s="93">
        <v>46176</v>
      </c>
      <c r="N236" s="93">
        <f>M236-2</f>
        <v>46174</v>
      </c>
      <c r="O236" s="147">
        <v>46178</v>
      </c>
      <c r="P236" s="93" t="s">
        <v>423</v>
      </c>
      <c r="Q236" s="97" t="s">
        <v>424</v>
      </c>
      <c r="R236" s="148" t="s">
        <v>418</v>
      </c>
      <c r="S236" s="93"/>
      <c r="T236" s="93"/>
      <c r="U236" s="93"/>
      <c r="V236" s="93"/>
      <c r="W236" s="97"/>
      <c r="X236" s="100"/>
      <c r="Y236" s="102">
        <v>8.406</v>
      </c>
      <c r="Z236" s="103">
        <f>J236*Y236</f>
        <v>16812</v>
      </c>
      <c r="AA236" s="103">
        <f>Z236*7.75</f>
        <v>130293</v>
      </c>
      <c r="AB236" s="135" t="s">
        <v>848</v>
      </c>
      <c r="AC236" s="93"/>
      <c r="AD236" s="93"/>
      <c r="AE236" s="93" t="str">
        <f>IFERROR(VLOOKUP(H236,名称!A:D,4,0),"")</f>
        <v>河源</v>
      </c>
      <c r="AF236" s="98"/>
      <c r="AG236" s="98"/>
      <c r="AH236" s="105">
        <v>46135</v>
      </c>
      <c r="AI236" s="105">
        <v>46128</v>
      </c>
      <c r="AJ236" s="105"/>
      <c r="AK236" s="105" t="s">
        <v>420</v>
      </c>
      <c r="AL236" s="105">
        <v>46134</v>
      </c>
      <c r="AM236" s="105"/>
      <c r="AN236" s="105" t="s">
        <v>426</v>
      </c>
      <c r="AO236" s="100">
        <f>M236-A236</f>
        <v>132</v>
      </c>
      <c r="AP236" s="100">
        <f>M236-AH236</f>
        <v>41</v>
      </c>
    </row>
    <row r="237" s="89" customFormat="1" hidden="1" customHeight="1" spans="1:43">
      <c r="A237" s="93">
        <v>46092</v>
      </c>
      <c r="B237" s="93"/>
      <c r="C237" s="95" t="s">
        <v>235</v>
      </c>
      <c r="D237" s="93" t="s">
        <v>421</v>
      </c>
      <c r="E237" s="95" t="s">
        <v>428</v>
      </c>
      <c r="F237" s="96">
        <v>10121816</v>
      </c>
      <c r="G237" s="96">
        <v>4500032388</v>
      </c>
      <c r="H237" s="97" t="s">
        <v>115</v>
      </c>
      <c r="I237" s="98" t="s">
        <v>849</v>
      </c>
      <c r="J237" s="99">
        <v>2840</v>
      </c>
      <c r="K237" s="98">
        <v>4</v>
      </c>
      <c r="L237" s="100">
        <v>1250</v>
      </c>
      <c r="M237" s="93">
        <v>46176</v>
      </c>
      <c r="N237" s="93">
        <v>46174</v>
      </c>
      <c r="O237" s="147">
        <v>46178</v>
      </c>
      <c r="P237" s="93" t="s">
        <v>423</v>
      </c>
      <c r="Q237" s="97" t="s">
        <v>424</v>
      </c>
      <c r="R237" s="148" t="s">
        <v>418</v>
      </c>
      <c r="S237" s="93"/>
      <c r="T237" s="93"/>
      <c r="U237" s="93"/>
      <c r="V237" s="93"/>
      <c r="W237" s="97"/>
      <c r="X237" s="100"/>
      <c r="Y237" s="102">
        <v>2.204</v>
      </c>
      <c r="Z237" s="103">
        <f t="shared" ref="Z237:Z283" si="51">J237*Y237</f>
        <v>6259.36</v>
      </c>
      <c r="AA237" s="103">
        <f t="shared" ref="AA237:AA283" si="52">Z237*7.75</f>
        <v>48510.04</v>
      </c>
      <c r="AB237" s="135" t="s">
        <v>848</v>
      </c>
      <c r="AC237" s="93"/>
      <c r="AD237" s="93"/>
      <c r="AE237" s="93" t="s">
        <v>12</v>
      </c>
      <c r="AF237" s="98"/>
      <c r="AG237" s="98"/>
      <c r="AH237" s="105">
        <v>46115</v>
      </c>
      <c r="AI237" s="105"/>
      <c r="AJ237" s="105"/>
      <c r="AK237" s="105"/>
      <c r="AL237" s="105">
        <v>46139</v>
      </c>
      <c r="AM237" s="105"/>
      <c r="AN237" s="105"/>
      <c r="AO237" s="100">
        <v>84</v>
      </c>
      <c r="AP237" s="100">
        <v>61</v>
      </c>
    </row>
    <row r="238" s="89" customFormat="1" hidden="1" customHeight="1" spans="1:43">
      <c r="A238" s="93">
        <v>46092</v>
      </c>
      <c r="B238" s="93" t="str">
        <f ca="1" t="shared" ref="B238:B299" si="53">IF(TODAY()&gt;=A238,IF(R238="","未",""),"")</f>
        <v/>
      </c>
      <c r="C238" s="95" t="s">
        <v>235</v>
      </c>
      <c r="D238" s="93" t="s">
        <v>421</v>
      </c>
      <c r="E238" s="95" t="s">
        <v>428</v>
      </c>
      <c r="F238" s="96">
        <v>10121816</v>
      </c>
      <c r="G238" s="96">
        <v>4500032388</v>
      </c>
      <c r="H238" s="97" t="s">
        <v>53</v>
      </c>
      <c r="I238" s="98" t="str">
        <f>IFERROR(VLOOKUP(H238,名称!A:C,2,0),"")</f>
        <v>布鲁伊+宾果沐浴玩具混装</v>
      </c>
      <c r="J238" s="99">
        <v>5970</v>
      </c>
      <c r="K238" s="98">
        <f>IFERROR(VLOOKUP(H238,名称!A:D,3,0),"")</f>
        <v>6</v>
      </c>
      <c r="L238" s="100">
        <f t="shared" ref="L238:L299" si="54">IFERROR((J238/K238),"")</f>
        <v>995</v>
      </c>
      <c r="M238" s="93">
        <v>46176</v>
      </c>
      <c r="N238" s="93">
        <f t="shared" ref="N238:N269" si="55">M238-2</f>
        <v>46174</v>
      </c>
      <c r="O238" s="147">
        <v>46170</v>
      </c>
      <c r="P238" s="93" t="s">
        <v>423</v>
      </c>
      <c r="Q238" s="97" t="s">
        <v>424</v>
      </c>
      <c r="R238" s="148" t="s">
        <v>444</v>
      </c>
      <c r="S238" s="93"/>
      <c r="T238" s="93"/>
      <c r="U238" s="93"/>
      <c r="V238" s="93"/>
      <c r="W238" s="97"/>
      <c r="X238" s="100"/>
      <c r="Y238" s="102">
        <v>1.398</v>
      </c>
      <c r="Z238" s="103">
        <f t="shared" si="51"/>
        <v>8346.06</v>
      </c>
      <c r="AA238" s="103">
        <f t="shared" si="52"/>
        <v>64681.97</v>
      </c>
      <c r="AB238" s="135" t="s">
        <v>848</v>
      </c>
      <c r="AC238" s="93"/>
      <c r="AD238" s="93"/>
      <c r="AE238" s="93" t="str">
        <f>IFERROR(VLOOKUP(H238,名称!A:D,4,0),"")</f>
        <v>KIK</v>
      </c>
      <c r="AF238" s="98"/>
      <c r="AG238" s="98"/>
      <c r="AH238" s="105">
        <v>46115</v>
      </c>
      <c r="AI238" s="153" t="s">
        <v>420</v>
      </c>
      <c r="AJ238" s="105"/>
      <c r="AK238" s="153" t="s">
        <v>420</v>
      </c>
      <c r="AL238" s="105"/>
      <c r="AM238" s="105"/>
      <c r="AN238" s="105"/>
      <c r="AO238" s="100">
        <f t="shared" ref="AO238:AO272" si="56">M238-A238</f>
        <v>84</v>
      </c>
      <c r="AP238" s="100">
        <f t="shared" ref="AP238:AP272" si="57">M238-AH238</f>
        <v>61</v>
      </c>
    </row>
    <row r="239" s="89" customFormat="1" hidden="1" customHeight="1" spans="1:43">
      <c r="A239" s="93">
        <v>46100</v>
      </c>
      <c r="B239" s="93" t="str">
        <f ca="1" t="shared" si="53"/>
        <v/>
      </c>
      <c r="C239" s="95" t="s">
        <v>237</v>
      </c>
      <c r="D239" s="93" t="s">
        <v>799</v>
      </c>
      <c r="E239" s="95" t="s">
        <v>438</v>
      </c>
      <c r="F239" s="96">
        <v>10122824</v>
      </c>
      <c r="G239" s="96">
        <v>4881634</v>
      </c>
      <c r="H239" s="97" t="s">
        <v>105</v>
      </c>
      <c r="I239" s="98" t="str">
        <f>IFERROR(VLOOKUP(H239,名称!A:C,2,0),"")</f>
        <v>农场男孩套装</v>
      </c>
      <c r="J239" s="99">
        <v>592</v>
      </c>
      <c r="K239" s="98">
        <f>IFERROR(VLOOKUP(H239,名称!A:D,3,0),"")</f>
        <v>4</v>
      </c>
      <c r="L239" s="100">
        <f t="shared" si="54"/>
        <v>148</v>
      </c>
      <c r="M239" s="93">
        <v>46176</v>
      </c>
      <c r="N239" s="93">
        <f t="shared" si="55"/>
        <v>46174</v>
      </c>
      <c r="O239" s="151">
        <v>46175</v>
      </c>
      <c r="P239" s="93" t="s">
        <v>435</v>
      </c>
      <c r="Q239" s="97" t="s">
        <v>777</v>
      </c>
      <c r="R239" s="148" t="s">
        <v>418</v>
      </c>
      <c r="S239" s="93"/>
      <c r="T239" s="93" t="s">
        <v>452</v>
      </c>
      <c r="U239" s="93"/>
      <c r="V239" s="93"/>
      <c r="W239" s="97"/>
      <c r="X239" s="100"/>
      <c r="Y239" s="102">
        <v>2.994</v>
      </c>
      <c r="Z239" s="103">
        <f t="shared" si="51"/>
        <v>1772.45</v>
      </c>
      <c r="AA239" s="103">
        <f t="shared" si="52"/>
        <v>13736.49</v>
      </c>
      <c r="AB239" s="135" t="s">
        <v>850</v>
      </c>
      <c r="AC239" s="93"/>
      <c r="AD239" s="93"/>
      <c r="AE239" s="93" t="str">
        <f>IFERROR(VLOOKUP(H239,名称!A:D,4,0),"")</f>
        <v>KIK</v>
      </c>
      <c r="AF239" s="98"/>
      <c r="AG239" s="98"/>
      <c r="AH239" s="105">
        <v>46121</v>
      </c>
      <c r="AI239" s="105">
        <v>46128</v>
      </c>
      <c r="AJ239" s="105"/>
      <c r="AK239" s="105" t="s">
        <v>420</v>
      </c>
      <c r="AL239" s="105" t="s">
        <v>420</v>
      </c>
      <c r="AM239" s="105"/>
      <c r="AN239" s="105"/>
      <c r="AO239" s="100">
        <f t="shared" si="56"/>
        <v>76</v>
      </c>
      <c r="AP239" s="100">
        <f t="shared" si="57"/>
        <v>55</v>
      </c>
    </row>
    <row r="240" s="89" customFormat="1" hidden="1" customHeight="1" spans="1:43">
      <c r="A240" s="93">
        <v>46100</v>
      </c>
      <c r="B240" s="93" t="str">
        <f ca="1" t="shared" si="53"/>
        <v/>
      </c>
      <c r="C240" s="95" t="s">
        <v>237</v>
      </c>
      <c r="D240" s="93" t="s">
        <v>799</v>
      </c>
      <c r="E240" s="95" t="s">
        <v>438</v>
      </c>
      <c r="F240" s="96">
        <v>10122824</v>
      </c>
      <c r="G240" s="96">
        <v>4881634</v>
      </c>
      <c r="H240" s="97" t="s">
        <v>113</v>
      </c>
      <c r="I240" s="98" t="str">
        <f>IFERROR(VLOOKUP(H240,名称!A:C,2,0),"")</f>
        <v>绿色铲车</v>
      </c>
      <c r="J240" s="99">
        <v>412</v>
      </c>
      <c r="K240" s="98">
        <f>IFERROR(VLOOKUP(H240,名称!A:D,3,0),"")</f>
        <v>2</v>
      </c>
      <c r="L240" s="100">
        <f t="shared" si="54"/>
        <v>206</v>
      </c>
      <c r="M240" s="93">
        <v>46176</v>
      </c>
      <c r="N240" s="93">
        <f t="shared" si="55"/>
        <v>46174</v>
      </c>
      <c r="O240" s="151">
        <v>46183</v>
      </c>
      <c r="P240" s="93" t="s">
        <v>435</v>
      </c>
      <c r="Q240" s="97" t="s">
        <v>777</v>
      </c>
      <c r="R240" s="154" t="s">
        <v>782</v>
      </c>
      <c r="S240" s="93"/>
      <c r="T240" s="93" t="s">
        <v>452</v>
      </c>
      <c r="U240" s="93"/>
      <c r="V240" s="93"/>
      <c r="W240" s="97"/>
      <c r="X240" s="100"/>
      <c r="Y240" s="102">
        <v>5.97</v>
      </c>
      <c r="Z240" s="103">
        <f t="shared" si="51"/>
        <v>2459.64</v>
      </c>
      <c r="AA240" s="103">
        <f t="shared" si="52"/>
        <v>19062.21</v>
      </c>
      <c r="AB240" s="135" t="s">
        <v>851</v>
      </c>
      <c r="AC240" s="93"/>
      <c r="AD240" s="93"/>
      <c r="AE240" s="93" t="str">
        <f>IFERROR(VLOOKUP(H240,名称!A:D,4,0),"")</f>
        <v>KIK</v>
      </c>
      <c r="AF240" s="98"/>
      <c r="AG240" s="98"/>
      <c r="AH240" s="105">
        <v>46134</v>
      </c>
      <c r="AI240" s="105" t="s">
        <v>420</v>
      </c>
      <c r="AJ240" s="105"/>
      <c r="AK240" s="105">
        <v>46140</v>
      </c>
      <c r="AL240" s="105">
        <v>46134</v>
      </c>
      <c r="AM240" s="105"/>
      <c r="AN240" s="105"/>
      <c r="AO240" s="100">
        <f t="shared" si="56"/>
        <v>76</v>
      </c>
      <c r="AP240" s="100">
        <f t="shared" si="57"/>
        <v>42</v>
      </c>
    </row>
    <row r="241" s="89" customFormat="1" hidden="1" customHeight="1" spans="1:42">
      <c r="A241" s="93">
        <v>46100</v>
      </c>
      <c r="B241" s="93" t="str">
        <f ca="1" t="shared" si="53"/>
        <v/>
      </c>
      <c r="C241" s="95" t="s">
        <v>237</v>
      </c>
      <c r="D241" s="93" t="s">
        <v>799</v>
      </c>
      <c r="E241" s="95" t="s">
        <v>438</v>
      </c>
      <c r="F241" s="96">
        <v>10122824</v>
      </c>
      <c r="G241" s="96">
        <v>4881634</v>
      </c>
      <c r="H241" s="97" t="s">
        <v>111</v>
      </c>
      <c r="I241" s="98" t="str">
        <f>IFERROR(VLOOKUP(H241,名称!A:C,2,0),"")</f>
        <v>黄色铲车</v>
      </c>
      <c r="J241" s="99">
        <v>708</v>
      </c>
      <c r="K241" s="98">
        <f>IFERROR(VLOOKUP(H241,名称!A:D,3,0),"")</f>
        <v>4</v>
      </c>
      <c r="L241" s="100">
        <f t="shared" si="54"/>
        <v>177</v>
      </c>
      <c r="M241" s="93">
        <v>46176</v>
      </c>
      <c r="N241" s="93">
        <f t="shared" si="55"/>
        <v>46174</v>
      </c>
      <c r="O241" s="151">
        <v>46175</v>
      </c>
      <c r="P241" s="93" t="s">
        <v>435</v>
      </c>
      <c r="Q241" s="97" t="s">
        <v>777</v>
      </c>
      <c r="R241" s="148" t="s">
        <v>771</v>
      </c>
      <c r="S241" s="93"/>
      <c r="T241" s="93" t="s">
        <v>452</v>
      </c>
      <c r="U241" s="93"/>
      <c r="V241" s="93"/>
      <c r="W241" s="97"/>
      <c r="X241" s="100"/>
      <c r="Y241" s="102">
        <v>3.816</v>
      </c>
      <c r="Z241" s="103">
        <f t="shared" si="51"/>
        <v>2701.73</v>
      </c>
      <c r="AA241" s="103">
        <f t="shared" si="52"/>
        <v>20938.41</v>
      </c>
      <c r="AB241" s="135" t="s">
        <v>850</v>
      </c>
      <c r="AC241" s="93"/>
      <c r="AD241" s="93"/>
      <c r="AE241" s="93" t="str">
        <f>IFERROR(VLOOKUP(H241,名称!A:D,4,0),"")</f>
        <v>KIK</v>
      </c>
      <c r="AF241" s="98"/>
      <c r="AG241" s="98"/>
      <c r="AH241" s="105">
        <v>46134</v>
      </c>
      <c r="AI241" s="105" t="s">
        <v>420</v>
      </c>
      <c r="AJ241" s="105"/>
      <c r="AK241" s="127">
        <v>46134</v>
      </c>
      <c r="AL241" s="105">
        <v>46134</v>
      </c>
      <c r="AM241" s="105"/>
      <c r="AN241" s="105"/>
      <c r="AO241" s="100">
        <f t="shared" si="56"/>
        <v>76</v>
      </c>
      <c r="AP241" s="100">
        <f t="shared" si="57"/>
        <v>42</v>
      </c>
    </row>
    <row r="242" s="89" customFormat="1" hidden="1" customHeight="1" spans="1:42">
      <c r="A242" s="93">
        <v>46100</v>
      </c>
      <c r="B242" s="93" t="str">
        <f ca="1" t="shared" si="53"/>
        <v/>
      </c>
      <c r="C242" s="95" t="s">
        <v>237</v>
      </c>
      <c r="D242" s="93" t="s">
        <v>799</v>
      </c>
      <c r="E242" s="95" t="s">
        <v>438</v>
      </c>
      <c r="F242" s="96">
        <v>10122824</v>
      </c>
      <c r="G242" s="96">
        <v>4881634</v>
      </c>
      <c r="H242" s="97" t="s">
        <v>109</v>
      </c>
      <c r="I242" s="98" t="str">
        <f>IFERROR(VLOOKUP(H242,名称!A:C,2,0),"")</f>
        <v>红色铲车</v>
      </c>
      <c r="J242" s="99">
        <v>472</v>
      </c>
      <c r="K242" s="98">
        <f>IFERROR(VLOOKUP(H242,名称!A:D,3,0),"")</f>
        <v>4</v>
      </c>
      <c r="L242" s="100">
        <f t="shared" si="54"/>
        <v>118</v>
      </c>
      <c r="M242" s="93">
        <v>46176</v>
      </c>
      <c r="N242" s="93">
        <f t="shared" si="55"/>
        <v>46174</v>
      </c>
      <c r="O242" s="151">
        <v>46175</v>
      </c>
      <c r="P242" s="93" t="s">
        <v>435</v>
      </c>
      <c r="Q242" s="97" t="s">
        <v>777</v>
      </c>
      <c r="R242" s="148" t="s">
        <v>826</v>
      </c>
      <c r="S242" s="93"/>
      <c r="T242" s="93"/>
      <c r="U242" s="93"/>
      <c r="V242" s="93"/>
      <c r="W242" s="97"/>
      <c r="X242" s="100"/>
      <c r="Y242" s="102">
        <v>3.886</v>
      </c>
      <c r="Z242" s="103">
        <f t="shared" si="51"/>
        <v>1834.19</v>
      </c>
      <c r="AA242" s="103">
        <f t="shared" si="52"/>
        <v>14214.97</v>
      </c>
      <c r="AB242" s="135" t="s">
        <v>851</v>
      </c>
      <c r="AC242" s="93"/>
      <c r="AD242" s="93"/>
      <c r="AE242" s="93" t="str">
        <f>IFERROR(VLOOKUP(H242,名称!A:D,4,0),"")</f>
        <v>KIK</v>
      </c>
      <c r="AF242" s="98"/>
      <c r="AG242" s="98"/>
      <c r="AH242" s="105">
        <v>46128</v>
      </c>
      <c r="AI242" s="105" t="s">
        <v>420</v>
      </c>
      <c r="AJ242" s="105"/>
      <c r="AK242" s="127">
        <v>46135</v>
      </c>
      <c r="AL242" s="105">
        <v>46128</v>
      </c>
      <c r="AM242" s="105"/>
      <c r="AN242" s="105"/>
      <c r="AO242" s="100">
        <f t="shared" si="56"/>
        <v>76</v>
      </c>
      <c r="AP242" s="100">
        <f t="shared" si="57"/>
        <v>48</v>
      </c>
    </row>
    <row r="243" s="89" customFormat="1" hidden="1" customHeight="1" spans="1:42">
      <c r="A243" s="93">
        <v>46100</v>
      </c>
      <c r="B243" s="93" t="str">
        <f ca="1" t="shared" si="53"/>
        <v/>
      </c>
      <c r="C243" s="95" t="s">
        <v>237</v>
      </c>
      <c r="D243" s="93" t="s">
        <v>799</v>
      </c>
      <c r="E243" s="95" t="s">
        <v>438</v>
      </c>
      <c r="F243" s="96">
        <v>10122824</v>
      </c>
      <c r="G243" s="96">
        <v>4881634</v>
      </c>
      <c r="H243" s="97">
        <v>47669</v>
      </c>
      <c r="I243" s="98" t="str">
        <f>IFERROR(VLOOKUP(H243,名称!A:C,2,0),"")</f>
        <v>动物车</v>
      </c>
      <c r="J243" s="99">
        <v>472</v>
      </c>
      <c r="K243" s="98">
        <f>IFERROR(VLOOKUP(H243,名称!A:D,3,0),"")</f>
        <v>4</v>
      </c>
      <c r="L243" s="100">
        <f t="shared" si="54"/>
        <v>118</v>
      </c>
      <c r="M243" s="93">
        <v>46176</v>
      </c>
      <c r="N243" s="93">
        <f t="shared" si="55"/>
        <v>46174</v>
      </c>
      <c r="O243" s="151">
        <v>46182</v>
      </c>
      <c r="P243" s="93" t="s">
        <v>435</v>
      </c>
      <c r="Q243" s="97" t="s">
        <v>777</v>
      </c>
      <c r="R243" s="148" t="s">
        <v>431</v>
      </c>
      <c r="S243" s="93"/>
      <c r="T243" s="93" t="s">
        <v>452</v>
      </c>
      <c r="U243" s="93"/>
      <c r="V243" s="93"/>
      <c r="W243" s="97"/>
      <c r="X243" s="100"/>
      <c r="Y243" s="102">
        <v>4.808</v>
      </c>
      <c r="Z243" s="103">
        <f t="shared" si="51"/>
        <v>2269.38</v>
      </c>
      <c r="AA243" s="103">
        <f t="shared" si="52"/>
        <v>17587.7</v>
      </c>
      <c r="AB243" s="135" t="s">
        <v>851</v>
      </c>
      <c r="AC243" s="98"/>
      <c r="AD243" s="105"/>
      <c r="AE243" s="93" t="s">
        <v>12</v>
      </c>
      <c r="AF243" s="105">
        <v>46115</v>
      </c>
      <c r="AG243" s="105"/>
      <c r="AH243" s="105">
        <v>46115</v>
      </c>
      <c r="AI243" s="105">
        <v>46135</v>
      </c>
      <c r="AJ243" s="105"/>
      <c r="AK243" s="105" t="s">
        <v>420</v>
      </c>
      <c r="AL243" s="105" t="s">
        <v>420</v>
      </c>
      <c r="AM243" s="100"/>
      <c r="AN243" s="139"/>
      <c r="AO243" s="100">
        <f t="shared" si="56"/>
        <v>76</v>
      </c>
      <c r="AP243" s="100">
        <f t="shared" si="57"/>
        <v>61</v>
      </c>
    </row>
    <row r="244" s="89" customFormat="1" hidden="1" customHeight="1" spans="1:42">
      <c r="A244" s="93">
        <v>46100</v>
      </c>
      <c r="B244" s="93" t="str">
        <f ca="1" t="shared" si="53"/>
        <v/>
      </c>
      <c r="C244" s="95" t="s">
        <v>237</v>
      </c>
      <c r="D244" s="93" t="s">
        <v>799</v>
      </c>
      <c r="E244" s="95" t="s">
        <v>438</v>
      </c>
      <c r="F244" s="96">
        <v>10122824</v>
      </c>
      <c r="G244" s="96">
        <v>4881634</v>
      </c>
      <c r="H244" s="97" t="s">
        <v>39</v>
      </c>
      <c r="I244" s="98" t="str">
        <f>IFERROR(VLOOKUP(H244,名称!A:C,2,0),"")</f>
        <v>1:16货柜车</v>
      </c>
      <c r="J244" s="99">
        <v>476</v>
      </c>
      <c r="K244" s="98">
        <f>IFERROR(VLOOKUP(H244,名称!A:D,3,0),"")</f>
        <v>2</v>
      </c>
      <c r="L244" s="100">
        <f t="shared" si="54"/>
        <v>238</v>
      </c>
      <c r="M244" s="93">
        <v>46176</v>
      </c>
      <c r="N244" s="93">
        <f t="shared" si="55"/>
        <v>46174</v>
      </c>
      <c r="O244" s="151">
        <v>46183</v>
      </c>
      <c r="P244" s="93" t="s">
        <v>435</v>
      </c>
      <c r="Q244" s="97" t="s">
        <v>777</v>
      </c>
      <c r="R244" s="148" t="s">
        <v>418</v>
      </c>
      <c r="S244" s="93"/>
      <c r="T244" s="93"/>
      <c r="U244" s="93"/>
      <c r="V244" s="93"/>
      <c r="W244" s="97"/>
      <c r="X244" s="100"/>
      <c r="Y244" s="102">
        <v>30.536</v>
      </c>
      <c r="Z244" s="103">
        <f t="shared" si="51"/>
        <v>14535.14</v>
      </c>
      <c r="AA244" s="103">
        <f t="shared" si="52"/>
        <v>112647.34</v>
      </c>
      <c r="AB244" s="135" t="s">
        <v>850</v>
      </c>
      <c r="AC244" s="93"/>
      <c r="AD244" s="93"/>
      <c r="AE244" s="93" t="str">
        <f>IFERROR(VLOOKUP(H244,名称!A:D,4,0),"")</f>
        <v>KIK</v>
      </c>
      <c r="AF244" s="98"/>
      <c r="AG244" s="98"/>
      <c r="AH244" s="105">
        <v>46129</v>
      </c>
      <c r="AI244" s="105">
        <v>46163</v>
      </c>
      <c r="AJ244" s="105"/>
      <c r="AK244" s="105">
        <v>46146</v>
      </c>
      <c r="AL244" s="105">
        <v>46140</v>
      </c>
      <c r="AM244" s="105"/>
      <c r="AN244" s="105"/>
      <c r="AO244" s="100">
        <f t="shared" si="56"/>
        <v>76</v>
      </c>
      <c r="AP244" s="100">
        <f t="shared" si="57"/>
        <v>47</v>
      </c>
    </row>
    <row r="245" s="89" customFormat="1" hidden="1" customHeight="1" spans="1:42">
      <c r="A245" s="93">
        <v>46099</v>
      </c>
      <c r="B245" s="93" t="str">
        <f ca="1" t="shared" si="53"/>
        <v/>
      </c>
      <c r="C245" s="95" t="s">
        <v>237</v>
      </c>
      <c r="D245" s="93" t="s">
        <v>802</v>
      </c>
      <c r="E245" s="95" t="s">
        <v>727</v>
      </c>
      <c r="F245" s="96">
        <v>10122632</v>
      </c>
      <c r="G245" s="96">
        <v>1042268202</v>
      </c>
      <c r="H245" s="97" t="s">
        <v>154</v>
      </c>
      <c r="I245" s="98" t="str">
        <f>IFERROR(VLOOKUP(H245,名称!A:C,2,0),"")</f>
        <v>动物车</v>
      </c>
      <c r="J245" s="99">
        <v>1340</v>
      </c>
      <c r="K245" s="98">
        <f>IFERROR(VLOOKUP(H245,名称!A:D,3,0),"")</f>
        <v>4</v>
      </c>
      <c r="L245" s="100">
        <f t="shared" si="54"/>
        <v>335</v>
      </c>
      <c r="M245" s="93">
        <v>46169</v>
      </c>
      <c r="N245" s="93">
        <f t="shared" si="55"/>
        <v>46167</v>
      </c>
      <c r="O245" s="147">
        <v>46183</v>
      </c>
      <c r="P245" s="93" t="s">
        <v>808</v>
      </c>
      <c r="Q245" s="97" t="s">
        <v>777</v>
      </c>
      <c r="R245" s="148" t="s">
        <v>418</v>
      </c>
      <c r="S245" s="93"/>
      <c r="T245" s="93" t="s">
        <v>805</v>
      </c>
      <c r="U245" s="93"/>
      <c r="V245" s="93"/>
      <c r="W245" s="97"/>
      <c r="X245" s="100"/>
      <c r="Y245" s="102">
        <v>4.684</v>
      </c>
      <c r="Z245" s="103">
        <f t="shared" si="51"/>
        <v>6276.56</v>
      </c>
      <c r="AA245" s="103">
        <f t="shared" si="52"/>
        <v>48643.34</v>
      </c>
      <c r="AB245" s="135" t="s">
        <v>852</v>
      </c>
      <c r="AC245" s="98"/>
      <c r="AD245" s="105"/>
      <c r="AE245" s="93" t="s">
        <v>12</v>
      </c>
      <c r="AF245" s="139"/>
      <c r="AG245" s="139"/>
      <c r="AH245" s="105">
        <v>46115</v>
      </c>
      <c r="AI245" s="105">
        <v>46121</v>
      </c>
      <c r="AJ245" s="105"/>
      <c r="AK245" s="105" t="s">
        <v>420</v>
      </c>
      <c r="AL245" s="105" t="s">
        <v>420</v>
      </c>
      <c r="AM245" s="100"/>
      <c r="AN245" s="139"/>
      <c r="AO245" s="100">
        <f t="shared" si="56"/>
        <v>70</v>
      </c>
      <c r="AP245" s="100">
        <f t="shared" si="57"/>
        <v>54</v>
      </c>
    </row>
    <row r="246" s="89" customFormat="1" hidden="1" customHeight="1" spans="1:42">
      <c r="A246" s="93">
        <v>46099</v>
      </c>
      <c r="B246" s="93" t="str">
        <f ca="1" t="shared" si="53"/>
        <v/>
      </c>
      <c r="C246" s="95" t="s">
        <v>237</v>
      </c>
      <c r="D246" s="93" t="s">
        <v>802</v>
      </c>
      <c r="E246" s="95" t="s">
        <v>727</v>
      </c>
      <c r="F246" s="96">
        <v>10122642</v>
      </c>
      <c r="G246" s="96">
        <v>1042268788</v>
      </c>
      <c r="H246" s="97" t="s">
        <v>160</v>
      </c>
      <c r="I246" s="98" t="str">
        <f>IFERROR(VLOOKUP(H246,名称!A:C,2,0),"")</f>
        <v>绿色铲车</v>
      </c>
      <c r="J246" s="99">
        <v>142</v>
      </c>
      <c r="K246" s="98">
        <f>IFERROR(VLOOKUP(H246,名称!A:D,3,0),"")</f>
        <v>2</v>
      </c>
      <c r="L246" s="100">
        <f t="shared" si="54"/>
        <v>71</v>
      </c>
      <c r="M246" s="93">
        <v>46169</v>
      </c>
      <c r="N246" s="93">
        <f t="shared" si="55"/>
        <v>46167</v>
      </c>
      <c r="O246" s="147">
        <v>46182</v>
      </c>
      <c r="P246" s="93" t="s">
        <v>804</v>
      </c>
      <c r="Q246" s="97" t="s">
        <v>777</v>
      </c>
      <c r="R246" s="148" t="s">
        <v>812</v>
      </c>
      <c r="S246" s="93"/>
      <c r="T246" s="93" t="s">
        <v>805</v>
      </c>
      <c r="U246" s="93"/>
      <c r="V246" s="93"/>
      <c r="W246" s="97"/>
      <c r="X246" s="100"/>
      <c r="Y246" s="102">
        <v>5.743</v>
      </c>
      <c r="Z246" s="103">
        <f t="shared" si="51"/>
        <v>815.51</v>
      </c>
      <c r="AA246" s="103">
        <f t="shared" si="52"/>
        <v>6320.2</v>
      </c>
      <c r="AB246" s="135" t="s">
        <v>853</v>
      </c>
      <c r="AC246" s="93"/>
      <c r="AD246" s="93"/>
      <c r="AE246" s="93" t="str">
        <f>IFERROR(VLOOKUP(H246,名称!A:D,4,0),"")</f>
        <v>KIK</v>
      </c>
      <c r="AF246" s="98"/>
      <c r="AG246" s="98"/>
      <c r="AH246" s="105">
        <v>46115</v>
      </c>
      <c r="AI246" s="105" t="s">
        <v>420</v>
      </c>
      <c r="AJ246" s="105"/>
      <c r="AK246" s="105">
        <v>46135</v>
      </c>
      <c r="AL246" s="105">
        <v>46134</v>
      </c>
      <c r="AM246" s="105"/>
      <c r="AN246" s="105"/>
      <c r="AO246" s="100">
        <f t="shared" si="56"/>
        <v>70</v>
      </c>
      <c r="AP246" s="100">
        <f t="shared" si="57"/>
        <v>54</v>
      </c>
    </row>
    <row r="247" s="89" customFormat="1" hidden="1" customHeight="1" spans="1:42">
      <c r="A247" s="93">
        <v>46099</v>
      </c>
      <c r="B247" s="93" t="str">
        <f ca="1" t="shared" si="53"/>
        <v/>
      </c>
      <c r="C247" s="95" t="s">
        <v>237</v>
      </c>
      <c r="D247" s="93" t="s">
        <v>802</v>
      </c>
      <c r="E247" s="95" t="s">
        <v>727</v>
      </c>
      <c r="F247" s="96">
        <v>10122642</v>
      </c>
      <c r="G247" s="96">
        <v>1042268788</v>
      </c>
      <c r="H247" s="97" t="s">
        <v>155</v>
      </c>
      <c r="I247" s="98" t="str">
        <f>IFERROR(VLOOKUP(H247,名称!A:C,2,0),"")</f>
        <v>JD LNS圆轮拖拉机</v>
      </c>
      <c r="J247" s="99">
        <v>416</v>
      </c>
      <c r="K247" s="98">
        <f>IFERROR(VLOOKUP(H247,名称!A:D,3,0),"")</f>
        <v>2</v>
      </c>
      <c r="L247" s="100">
        <f t="shared" si="54"/>
        <v>208</v>
      </c>
      <c r="M247" s="93">
        <v>46169</v>
      </c>
      <c r="N247" s="93">
        <f t="shared" si="55"/>
        <v>46167</v>
      </c>
      <c r="O247" s="147">
        <v>46171</v>
      </c>
      <c r="P247" s="93" t="s">
        <v>808</v>
      </c>
      <c r="Q247" s="97" t="s">
        <v>777</v>
      </c>
      <c r="R247" s="148" t="s">
        <v>418</v>
      </c>
      <c r="S247" s="93"/>
      <c r="T247" s="93" t="s">
        <v>805</v>
      </c>
      <c r="U247" s="93"/>
      <c r="V247" s="93"/>
      <c r="W247" s="97"/>
      <c r="X247" s="100"/>
      <c r="Y247" s="102">
        <v>4.637</v>
      </c>
      <c r="Z247" s="103">
        <f t="shared" si="51"/>
        <v>1928.99</v>
      </c>
      <c r="AA247" s="103">
        <f t="shared" si="52"/>
        <v>14949.67</v>
      </c>
      <c r="AB247" s="135" t="s">
        <v>853</v>
      </c>
      <c r="AC247" s="93"/>
      <c r="AD247" s="93"/>
      <c r="AE247" s="93" t="str">
        <f>IFERROR(VLOOKUP(H247,名称!A:D,4,0),"")</f>
        <v>KIK</v>
      </c>
      <c r="AF247" s="98"/>
      <c r="AG247" s="98"/>
      <c r="AH247" s="105">
        <v>46115</v>
      </c>
      <c r="AI247" s="105" t="s">
        <v>420</v>
      </c>
      <c r="AJ247" s="105"/>
      <c r="AK247" s="105" t="s">
        <v>453</v>
      </c>
      <c r="AL247" s="105">
        <v>46128</v>
      </c>
      <c r="AM247" s="105"/>
      <c r="AN247" s="105"/>
      <c r="AO247" s="100">
        <f t="shared" si="56"/>
        <v>70</v>
      </c>
      <c r="AP247" s="100">
        <f t="shared" si="57"/>
        <v>54</v>
      </c>
    </row>
    <row r="248" s="89" customFormat="1" hidden="1" customHeight="1" spans="1:42">
      <c r="A248" s="93">
        <v>46099</v>
      </c>
      <c r="B248" s="93" t="str">
        <f ca="1" t="shared" si="53"/>
        <v/>
      </c>
      <c r="C248" s="95" t="s">
        <v>237</v>
      </c>
      <c r="D248" s="93" t="s">
        <v>802</v>
      </c>
      <c r="E248" s="95" t="s">
        <v>727</v>
      </c>
      <c r="F248" s="96">
        <v>10122640</v>
      </c>
      <c r="G248" s="96">
        <v>1042268819</v>
      </c>
      <c r="H248" s="97" t="s">
        <v>160</v>
      </c>
      <c r="I248" s="98" t="str">
        <f>IFERROR(VLOOKUP(H248,名称!A:C,2,0),"")</f>
        <v>绿色铲车</v>
      </c>
      <c r="J248" s="99">
        <v>352</v>
      </c>
      <c r="K248" s="98">
        <f>IFERROR(VLOOKUP(H248,名称!A:D,3,0),"")</f>
        <v>2</v>
      </c>
      <c r="L248" s="100">
        <f t="shared" si="54"/>
        <v>176</v>
      </c>
      <c r="M248" s="93">
        <v>46169</v>
      </c>
      <c r="N248" s="93">
        <f t="shared" si="55"/>
        <v>46167</v>
      </c>
      <c r="O248" s="147">
        <v>46182</v>
      </c>
      <c r="P248" s="93" t="s">
        <v>804</v>
      </c>
      <c r="Q248" s="97" t="s">
        <v>777</v>
      </c>
      <c r="R248" s="148" t="s">
        <v>812</v>
      </c>
      <c r="S248" s="93"/>
      <c r="T248" s="93" t="s">
        <v>805</v>
      </c>
      <c r="U248" s="93"/>
      <c r="V248" s="93"/>
      <c r="W248" s="97"/>
      <c r="X248" s="100"/>
      <c r="Y248" s="102">
        <v>5.743</v>
      </c>
      <c r="Z248" s="103">
        <f t="shared" si="51"/>
        <v>2021.54</v>
      </c>
      <c r="AA248" s="103">
        <f t="shared" si="52"/>
        <v>15666.94</v>
      </c>
      <c r="AB248" s="135" t="s">
        <v>854</v>
      </c>
      <c r="AC248" s="93"/>
      <c r="AD248" s="93"/>
      <c r="AE248" s="93" t="str">
        <f>IFERROR(VLOOKUP(H248,名称!A:D,4,0),"")</f>
        <v>KIK</v>
      </c>
      <c r="AF248" s="98"/>
      <c r="AG248" s="98"/>
      <c r="AH248" s="105">
        <v>46115</v>
      </c>
      <c r="AI248" s="105" t="s">
        <v>420</v>
      </c>
      <c r="AJ248" s="105"/>
      <c r="AK248" s="105">
        <v>46135</v>
      </c>
      <c r="AL248" s="105">
        <v>46134</v>
      </c>
      <c r="AM248" s="105"/>
      <c r="AN248" s="105"/>
      <c r="AO248" s="100">
        <f t="shared" si="56"/>
        <v>70</v>
      </c>
      <c r="AP248" s="100">
        <f t="shared" si="57"/>
        <v>54</v>
      </c>
    </row>
    <row r="249" s="89" customFormat="1" hidden="1" customHeight="1" spans="1:42">
      <c r="A249" s="93">
        <v>46099</v>
      </c>
      <c r="B249" s="93" t="str">
        <f ca="1" t="shared" si="53"/>
        <v/>
      </c>
      <c r="C249" s="95" t="s">
        <v>237</v>
      </c>
      <c r="D249" s="93" t="s">
        <v>802</v>
      </c>
      <c r="E249" s="95" t="s">
        <v>727</v>
      </c>
      <c r="F249" s="96">
        <v>10122640</v>
      </c>
      <c r="G249" s="96">
        <v>1042268819</v>
      </c>
      <c r="H249" s="97" t="s">
        <v>155</v>
      </c>
      <c r="I249" s="98" t="str">
        <f>IFERROR(VLOOKUP(H249,名称!A:C,2,0),"")</f>
        <v>JD LNS圆轮拖拉机</v>
      </c>
      <c r="J249" s="99">
        <v>480</v>
      </c>
      <c r="K249" s="98">
        <f>IFERROR(VLOOKUP(H249,名称!A:D,3,0),"")</f>
        <v>2</v>
      </c>
      <c r="L249" s="100">
        <f t="shared" si="54"/>
        <v>240</v>
      </c>
      <c r="M249" s="93">
        <v>46169</v>
      </c>
      <c r="N249" s="93">
        <f t="shared" si="55"/>
        <v>46167</v>
      </c>
      <c r="O249" s="147">
        <v>46171</v>
      </c>
      <c r="P249" s="93" t="s">
        <v>808</v>
      </c>
      <c r="Q249" s="97" t="s">
        <v>777</v>
      </c>
      <c r="R249" s="148" t="s">
        <v>418</v>
      </c>
      <c r="S249" s="93"/>
      <c r="T249" s="93" t="s">
        <v>805</v>
      </c>
      <c r="U249" s="93"/>
      <c r="V249" s="93"/>
      <c r="W249" s="97"/>
      <c r="X249" s="100"/>
      <c r="Y249" s="102">
        <v>4.637</v>
      </c>
      <c r="Z249" s="103">
        <f t="shared" si="51"/>
        <v>2225.76</v>
      </c>
      <c r="AA249" s="103">
        <f t="shared" si="52"/>
        <v>17249.64</v>
      </c>
      <c r="AB249" s="135" t="s">
        <v>854</v>
      </c>
      <c r="AC249" s="93"/>
      <c r="AD249" s="93"/>
      <c r="AE249" s="93" t="str">
        <f>IFERROR(VLOOKUP(H249,名称!A:D,4,0),"")</f>
        <v>KIK</v>
      </c>
      <c r="AF249" s="98"/>
      <c r="AG249" s="98"/>
      <c r="AH249" s="105">
        <v>46115</v>
      </c>
      <c r="AI249" s="105" t="s">
        <v>420</v>
      </c>
      <c r="AJ249" s="105"/>
      <c r="AK249" s="105" t="s">
        <v>453</v>
      </c>
      <c r="AL249" s="105">
        <v>46128</v>
      </c>
      <c r="AM249" s="105"/>
      <c r="AN249" s="105"/>
      <c r="AO249" s="100">
        <f t="shared" si="56"/>
        <v>70</v>
      </c>
      <c r="AP249" s="100">
        <f t="shared" si="57"/>
        <v>54</v>
      </c>
    </row>
    <row r="250" s="89" customFormat="1" hidden="1" customHeight="1" spans="1:42">
      <c r="A250" s="93">
        <v>46099</v>
      </c>
      <c r="B250" s="93" t="str">
        <f ca="1" t="shared" si="53"/>
        <v/>
      </c>
      <c r="C250" s="95" t="s">
        <v>237</v>
      </c>
      <c r="D250" s="93" t="s">
        <v>802</v>
      </c>
      <c r="E250" s="95" t="s">
        <v>727</v>
      </c>
      <c r="F250" s="96">
        <v>10122630</v>
      </c>
      <c r="G250" s="96">
        <v>1042268815</v>
      </c>
      <c r="H250" s="97" t="s">
        <v>160</v>
      </c>
      <c r="I250" s="98" t="str">
        <f>IFERROR(VLOOKUP(H250,名称!A:C,2,0),"")</f>
        <v>绿色铲车</v>
      </c>
      <c r="J250" s="99">
        <v>272</v>
      </c>
      <c r="K250" s="98">
        <f>IFERROR(VLOOKUP(H250,名称!A:D,3,0),"")</f>
        <v>2</v>
      </c>
      <c r="L250" s="100">
        <f t="shared" si="54"/>
        <v>136</v>
      </c>
      <c r="M250" s="93">
        <v>46169</v>
      </c>
      <c r="N250" s="93">
        <f t="shared" si="55"/>
        <v>46167</v>
      </c>
      <c r="O250" s="147">
        <v>46182</v>
      </c>
      <c r="P250" s="93" t="s">
        <v>804</v>
      </c>
      <c r="Q250" s="97" t="s">
        <v>777</v>
      </c>
      <c r="R250" s="148" t="s">
        <v>812</v>
      </c>
      <c r="S250" s="93" t="s">
        <v>855</v>
      </c>
      <c r="T250" s="93" t="s">
        <v>805</v>
      </c>
      <c r="U250" s="93"/>
      <c r="V250" s="93"/>
      <c r="W250" s="97"/>
      <c r="X250" s="100"/>
      <c r="Y250" s="102">
        <v>5.743</v>
      </c>
      <c r="Z250" s="103">
        <f t="shared" si="51"/>
        <v>1562.1</v>
      </c>
      <c r="AA250" s="103">
        <f t="shared" si="52"/>
        <v>12106.28</v>
      </c>
      <c r="AB250" s="135" t="s">
        <v>856</v>
      </c>
      <c r="AC250" s="93"/>
      <c r="AD250" s="93"/>
      <c r="AE250" s="93" t="str">
        <f>IFERROR(VLOOKUP(H250,名称!A:D,4,0),"")</f>
        <v>KIK</v>
      </c>
      <c r="AF250" s="98"/>
      <c r="AG250" s="98"/>
      <c r="AH250" s="105">
        <v>46115</v>
      </c>
      <c r="AI250" s="105" t="s">
        <v>420</v>
      </c>
      <c r="AJ250" s="105"/>
      <c r="AK250" s="105">
        <v>46135</v>
      </c>
      <c r="AL250" s="105">
        <v>46134</v>
      </c>
      <c r="AM250" s="105"/>
      <c r="AN250" s="105"/>
      <c r="AO250" s="100">
        <f t="shared" si="56"/>
        <v>70</v>
      </c>
      <c r="AP250" s="100">
        <f t="shared" si="57"/>
        <v>54</v>
      </c>
    </row>
    <row r="251" s="89" customFormat="1" hidden="1" customHeight="1" spans="1:42">
      <c r="A251" s="93">
        <v>46099</v>
      </c>
      <c r="B251" s="93" t="str">
        <f ca="1" t="shared" si="53"/>
        <v/>
      </c>
      <c r="C251" s="95" t="s">
        <v>237</v>
      </c>
      <c r="D251" s="93" t="s">
        <v>802</v>
      </c>
      <c r="E251" s="95" t="s">
        <v>727</v>
      </c>
      <c r="F251" s="96">
        <v>10122630</v>
      </c>
      <c r="G251" s="96">
        <v>1042268815</v>
      </c>
      <c r="H251" s="97" t="s">
        <v>155</v>
      </c>
      <c r="I251" s="98" t="str">
        <f>IFERROR(VLOOKUP(H251,名称!A:C,2,0),"")</f>
        <v>JD LNS圆轮拖拉机</v>
      </c>
      <c r="J251" s="99">
        <v>412</v>
      </c>
      <c r="K251" s="98">
        <f>IFERROR(VLOOKUP(H251,名称!A:D,3,0),"")</f>
        <v>2</v>
      </c>
      <c r="L251" s="100">
        <f t="shared" si="54"/>
        <v>206</v>
      </c>
      <c r="M251" s="93">
        <v>46169</v>
      </c>
      <c r="N251" s="93">
        <f t="shared" si="55"/>
        <v>46167</v>
      </c>
      <c r="O251" s="147">
        <v>46171</v>
      </c>
      <c r="P251" s="93" t="s">
        <v>808</v>
      </c>
      <c r="Q251" s="97" t="s">
        <v>777</v>
      </c>
      <c r="R251" s="148" t="s">
        <v>418</v>
      </c>
      <c r="S251" s="93"/>
      <c r="T251" s="93" t="s">
        <v>805</v>
      </c>
      <c r="U251" s="93"/>
      <c r="V251" s="93"/>
      <c r="W251" s="97"/>
      <c r="X251" s="100"/>
      <c r="Y251" s="102">
        <v>4.637</v>
      </c>
      <c r="Z251" s="103">
        <f t="shared" si="51"/>
        <v>1910.44</v>
      </c>
      <c r="AA251" s="103">
        <f t="shared" si="52"/>
        <v>14805.91</v>
      </c>
      <c r="AB251" s="135" t="s">
        <v>856</v>
      </c>
      <c r="AC251" s="93"/>
      <c r="AD251" s="93"/>
      <c r="AE251" s="93" t="str">
        <f>IFERROR(VLOOKUP(H251,名称!A:D,4,0),"")</f>
        <v>KIK</v>
      </c>
      <c r="AF251" s="98"/>
      <c r="AG251" s="98"/>
      <c r="AH251" s="105">
        <v>46115</v>
      </c>
      <c r="AI251" s="105" t="s">
        <v>420</v>
      </c>
      <c r="AJ251" s="105"/>
      <c r="AK251" s="105" t="s">
        <v>453</v>
      </c>
      <c r="AL251" s="105">
        <v>46128</v>
      </c>
      <c r="AM251" s="105"/>
      <c r="AN251" s="105"/>
      <c r="AO251" s="100">
        <f t="shared" si="56"/>
        <v>70</v>
      </c>
      <c r="AP251" s="100">
        <f t="shared" si="57"/>
        <v>54</v>
      </c>
    </row>
    <row r="252" s="89" customFormat="1" hidden="1" customHeight="1" spans="1:42">
      <c r="A252" s="93">
        <v>46099</v>
      </c>
      <c r="B252" s="93" t="str">
        <f ca="1" t="shared" si="53"/>
        <v/>
      </c>
      <c r="C252" s="95" t="s">
        <v>237</v>
      </c>
      <c r="D252" s="93" t="s">
        <v>802</v>
      </c>
      <c r="E252" s="95" t="s">
        <v>727</v>
      </c>
      <c r="F252" s="96">
        <v>10122637</v>
      </c>
      <c r="G252" s="96">
        <v>1042268214</v>
      </c>
      <c r="H252" s="97" t="s">
        <v>154</v>
      </c>
      <c r="I252" s="98" t="str">
        <f>IFERROR(VLOOKUP(H252,名称!A:C,2,0),"")</f>
        <v>动物车</v>
      </c>
      <c r="J252" s="99">
        <v>1080</v>
      </c>
      <c r="K252" s="98">
        <f>IFERROR(VLOOKUP(H252,名称!A:D,3,0),"")</f>
        <v>4</v>
      </c>
      <c r="L252" s="100">
        <f t="shared" si="54"/>
        <v>270</v>
      </c>
      <c r="M252" s="93">
        <v>46169</v>
      </c>
      <c r="N252" s="93">
        <f t="shared" si="55"/>
        <v>46167</v>
      </c>
      <c r="O252" s="147">
        <v>46183</v>
      </c>
      <c r="P252" s="93" t="s">
        <v>808</v>
      </c>
      <c r="Q252" s="97" t="s">
        <v>777</v>
      </c>
      <c r="R252" s="148" t="s">
        <v>418</v>
      </c>
      <c r="S252" s="93"/>
      <c r="T252" s="93" t="s">
        <v>805</v>
      </c>
      <c r="U252" s="93"/>
      <c r="V252" s="93"/>
      <c r="W252" s="97"/>
      <c r="X252" s="100"/>
      <c r="Y252" s="103">
        <v>4.68</v>
      </c>
      <c r="Z252" s="103">
        <f t="shared" si="51"/>
        <v>5054.4</v>
      </c>
      <c r="AA252" s="103">
        <f t="shared" si="52"/>
        <v>39171.6</v>
      </c>
      <c r="AB252" s="135" t="s">
        <v>857</v>
      </c>
      <c r="AC252" s="98"/>
      <c r="AD252" s="105"/>
      <c r="AE252" s="93" t="s">
        <v>12</v>
      </c>
      <c r="AF252" s="139"/>
      <c r="AG252" s="139"/>
      <c r="AH252" s="105">
        <v>46115</v>
      </c>
      <c r="AI252" s="105">
        <v>46121</v>
      </c>
      <c r="AJ252" s="105"/>
      <c r="AK252" s="105" t="s">
        <v>420</v>
      </c>
      <c r="AL252" s="105" t="s">
        <v>420</v>
      </c>
      <c r="AM252" s="100"/>
      <c r="AN252" s="139"/>
      <c r="AO252" s="100">
        <f t="shared" si="56"/>
        <v>70</v>
      </c>
      <c r="AP252" s="100">
        <f t="shared" si="57"/>
        <v>54</v>
      </c>
    </row>
    <row r="253" s="89" customFormat="1" hidden="1" customHeight="1" spans="1:42">
      <c r="A253" s="93">
        <v>46099</v>
      </c>
      <c r="B253" s="93" t="str">
        <f ca="1" t="shared" si="53"/>
        <v/>
      </c>
      <c r="C253" s="95" t="s">
        <v>237</v>
      </c>
      <c r="D253" s="93" t="s">
        <v>802</v>
      </c>
      <c r="E253" s="95" t="s">
        <v>727</v>
      </c>
      <c r="F253" s="96">
        <v>10122636</v>
      </c>
      <c r="G253" s="96">
        <v>1042268210</v>
      </c>
      <c r="H253" s="97" t="s">
        <v>154</v>
      </c>
      <c r="I253" s="98" t="str">
        <f>IFERROR(VLOOKUP(H253,名称!A:C,2,0),"")</f>
        <v>动物车</v>
      </c>
      <c r="J253" s="99">
        <v>1252</v>
      </c>
      <c r="K253" s="98">
        <f>IFERROR(VLOOKUP(H253,名称!A:D,3,0),"")</f>
        <v>4</v>
      </c>
      <c r="L253" s="100">
        <f t="shared" si="54"/>
        <v>313</v>
      </c>
      <c r="M253" s="93">
        <v>46169</v>
      </c>
      <c r="N253" s="93">
        <f t="shared" si="55"/>
        <v>46167</v>
      </c>
      <c r="O253" s="147">
        <v>46183</v>
      </c>
      <c r="P253" s="93" t="s">
        <v>808</v>
      </c>
      <c r="Q253" s="97" t="s">
        <v>777</v>
      </c>
      <c r="R253" s="148" t="s">
        <v>418</v>
      </c>
      <c r="S253" s="93"/>
      <c r="T253" s="93" t="s">
        <v>805</v>
      </c>
      <c r="U253" s="93"/>
      <c r="V253" s="93"/>
      <c r="W253" s="97"/>
      <c r="X253" s="100"/>
      <c r="Y253" s="102">
        <v>4.684</v>
      </c>
      <c r="Z253" s="103">
        <f t="shared" si="51"/>
        <v>5864.37</v>
      </c>
      <c r="AA253" s="103">
        <f t="shared" si="52"/>
        <v>45448.87</v>
      </c>
      <c r="AB253" s="135" t="s">
        <v>858</v>
      </c>
      <c r="AC253" s="98"/>
      <c r="AD253" s="105"/>
      <c r="AE253" s="93" t="s">
        <v>12</v>
      </c>
      <c r="AF253" s="139"/>
      <c r="AG253" s="139"/>
      <c r="AH253" s="105">
        <v>46115</v>
      </c>
      <c r="AI253" s="105">
        <v>46121</v>
      </c>
      <c r="AJ253" s="105"/>
      <c r="AK253" s="105" t="s">
        <v>420</v>
      </c>
      <c r="AL253" s="105" t="s">
        <v>420</v>
      </c>
      <c r="AM253" s="100"/>
      <c r="AN253" s="139"/>
      <c r="AO253" s="100">
        <f t="shared" si="56"/>
        <v>70</v>
      </c>
      <c r="AP253" s="100">
        <f t="shared" si="57"/>
        <v>54</v>
      </c>
    </row>
    <row r="254" s="89" customFormat="1" hidden="1" customHeight="1" spans="1:42">
      <c r="A254" s="93">
        <v>46099</v>
      </c>
      <c r="B254" s="93" t="str">
        <f ca="1" t="shared" si="53"/>
        <v/>
      </c>
      <c r="C254" s="95" t="s">
        <v>237</v>
      </c>
      <c r="D254" s="93" t="s">
        <v>802</v>
      </c>
      <c r="E254" s="95" t="s">
        <v>727</v>
      </c>
      <c r="F254" s="96">
        <v>10122645</v>
      </c>
      <c r="G254" s="96">
        <v>1042268796</v>
      </c>
      <c r="H254" s="97" t="s">
        <v>160</v>
      </c>
      <c r="I254" s="98" t="str">
        <f>IFERROR(VLOOKUP(H254,名称!A:C,2,0),"")</f>
        <v>绿色铲车</v>
      </c>
      <c r="J254" s="99">
        <v>450</v>
      </c>
      <c r="K254" s="98">
        <f>IFERROR(VLOOKUP(H254,名称!A:D,3,0),"")</f>
        <v>2</v>
      </c>
      <c r="L254" s="100">
        <f t="shared" si="54"/>
        <v>225</v>
      </c>
      <c r="M254" s="93">
        <v>46169</v>
      </c>
      <c r="N254" s="93">
        <f t="shared" si="55"/>
        <v>46167</v>
      </c>
      <c r="O254" s="147">
        <v>46171</v>
      </c>
      <c r="P254" s="93" t="s">
        <v>804</v>
      </c>
      <c r="Q254" s="97" t="s">
        <v>777</v>
      </c>
      <c r="R254" s="148" t="s">
        <v>812</v>
      </c>
      <c r="S254" s="93"/>
      <c r="T254" s="93" t="s">
        <v>805</v>
      </c>
      <c r="U254" s="93"/>
      <c r="V254" s="93"/>
      <c r="W254" s="97"/>
      <c r="X254" s="100"/>
      <c r="Y254" s="102">
        <v>5.743</v>
      </c>
      <c r="Z254" s="103">
        <f t="shared" si="51"/>
        <v>2584.35</v>
      </c>
      <c r="AA254" s="103">
        <f t="shared" si="52"/>
        <v>20028.71</v>
      </c>
      <c r="AB254" s="135" t="s">
        <v>859</v>
      </c>
      <c r="AC254" s="93"/>
      <c r="AD254" s="93"/>
      <c r="AE254" s="93" t="str">
        <f>IFERROR(VLOOKUP(H254,名称!A:D,4,0),"")</f>
        <v>KIK</v>
      </c>
      <c r="AF254" s="98"/>
      <c r="AG254" s="98"/>
      <c r="AH254" s="105">
        <v>46115</v>
      </c>
      <c r="AI254" s="105" t="s">
        <v>420</v>
      </c>
      <c r="AJ254" s="105"/>
      <c r="AK254" s="105">
        <v>46140</v>
      </c>
      <c r="AL254" s="105">
        <v>46134</v>
      </c>
      <c r="AM254" s="105"/>
      <c r="AN254" s="105"/>
      <c r="AO254" s="100">
        <f t="shared" si="56"/>
        <v>70</v>
      </c>
      <c r="AP254" s="100">
        <f t="shared" si="57"/>
        <v>54</v>
      </c>
    </row>
    <row r="255" s="89" customFormat="1" hidden="1" customHeight="1" spans="1:42">
      <c r="A255" s="93">
        <v>46099</v>
      </c>
      <c r="B255" s="93" t="str">
        <f ca="1" t="shared" si="53"/>
        <v/>
      </c>
      <c r="C255" s="95" t="s">
        <v>237</v>
      </c>
      <c r="D255" s="93" t="s">
        <v>802</v>
      </c>
      <c r="E255" s="95" t="s">
        <v>727</v>
      </c>
      <c r="F255" s="96">
        <v>10122645</v>
      </c>
      <c r="G255" s="96">
        <v>1042268796</v>
      </c>
      <c r="H255" s="97" t="s">
        <v>155</v>
      </c>
      <c r="I255" s="98" t="str">
        <f>IFERROR(VLOOKUP(H255,名称!A:C,2,0),"")</f>
        <v>JD LNS圆轮拖拉机</v>
      </c>
      <c r="J255" s="99">
        <v>528</v>
      </c>
      <c r="K255" s="98">
        <f>IFERROR(VLOOKUP(H255,名称!A:D,3,0),"")</f>
        <v>2</v>
      </c>
      <c r="L255" s="100">
        <f t="shared" si="54"/>
        <v>264</v>
      </c>
      <c r="M255" s="93">
        <v>46169</v>
      </c>
      <c r="N255" s="93">
        <f t="shared" si="55"/>
        <v>46167</v>
      </c>
      <c r="O255" s="147">
        <v>46171</v>
      </c>
      <c r="P255" s="93" t="s">
        <v>808</v>
      </c>
      <c r="Q255" s="97" t="s">
        <v>777</v>
      </c>
      <c r="R255" s="148" t="s">
        <v>418</v>
      </c>
      <c r="S255" s="93"/>
      <c r="T255" s="93" t="s">
        <v>805</v>
      </c>
      <c r="U255" s="93"/>
      <c r="V255" s="93"/>
      <c r="W255" s="97"/>
      <c r="X255" s="100"/>
      <c r="Y255" s="102">
        <v>4.637</v>
      </c>
      <c r="Z255" s="103">
        <f t="shared" si="51"/>
        <v>2448.34</v>
      </c>
      <c r="AA255" s="103">
        <f t="shared" si="52"/>
        <v>18974.64</v>
      </c>
      <c r="AB255" s="135" t="s">
        <v>859</v>
      </c>
      <c r="AC255" s="93"/>
      <c r="AD255" s="93"/>
      <c r="AE255" s="93" t="str">
        <f>IFERROR(VLOOKUP(H255,名称!A:D,4,0),"")</f>
        <v>KIK</v>
      </c>
      <c r="AF255" s="98"/>
      <c r="AG255" s="98"/>
      <c r="AH255" s="105">
        <v>46115</v>
      </c>
      <c r="AI255" s="105" t="s">
        <v>420</v>
      </c>
      <c r="AJ255" s="105"/>
      <c r="AK255" s="105" t="s">
        <v>453</v>
      </c>
      <c r="AL255" s="105">
        <v>46128</v>
      </c>
      <c r="AM255" s="105"/>
      <c r="AN255" s="105"/>
      <c r="AO255" s="100">
        <f t="shared" si="56"/>
        <v>70</v>
      </c>
      <c r="AP255" s="100">
        <f t="shared" si="57"/>
        <v>54</v>
      </c>
    </row>
    <row r="256" s="89" customFormat="1" hidden="1" customHeight="1" spans="1:42">
      <c r="A256" s="93">
        <v>46099</v>
      </c>
      <c r="B256" s="93" t="str">
        <f ca="1" t="shared" si="53"/>
        <v/>
      </c>
      <c r="C256" s="95" t="s">
        <v>237</v>
      </c>
      <c r="D256" s="93" t="s">
        <v>802</v>
      </c>
      <c r="E256" s="95" t="s">
        <v>727</v>
      </c>
      <c r="F256" s="96">
        <v>10122648</v>
      </c>
      <c r="G256" s="96">
        <v>1042268801</v>
      </c>
      <c r="H256" s="97" t="s">
        <v>160</v>
      </c>
      <c r="I256" s="98" t="str">
        <f>IFERROR(VLOOKUP(H256,名称!A:C,2,0),"")</f>
        <v>绿色铲车</v>
      </c>
      <c r="J256" s="99">
        <v>78</v>
      </c>
      <c r="K256" s="98">
        <f>IFERROR(VLOOKUP(H256,名称!A:D,3,0),"")</f>
        <v>2</v>
      </c>
      <c r="L256" s="100">
        <f t="shared" si="54"/>
        <v>39</v>
      </c>
      <c r="M256" s="93">
        <v>46176</v>
      </c>
      <c r="N256" s="93">
        <f t="shared" si="55"/>
        <v>46174</v>
      </c>
      <c r="O256" s="147">
        <v>46181</v>
      </c>
      <c r="P256" s="93" t="s">
        <v>804</v>
      </c>
      <c r="Q256" s="97" t="s">
        <v>777</v>
      </c>
      <c r="R256" s="148" t="s">
        <v>418</v>
      </c>
      <c r="S256" s="93"/>
      <c r="T256" s="93" t="s">
        <v>805</v>
      </c>
      <c r="U256" s="93"/>
      <c r="V256" s="93"/>
      <c r="W256" s="97"/>
      <c r="X256" s="100"/>
      <c r="Y256" s="102">
        <v>5.743</v>
      </c>
      <c r="Z256" s="103">
        <f t="shared" si="51"/>
        <v>447.95</v>
      </c>
      <c r="AA256" s="103">
        <f t="shared" si="52"/>
        <v>3471.61</v>
      </c>
      <c r="AB256" s="135" t="s">
        <v>860</v>
      </c>
      <c r="AC256" s="93"/>
      <c r="AD256" s="93"/>
      <c r="AE256" s="93" t="str">
        <f>IFERROR(VLOOKUP(H256,名称!A:D,4,0),"")</f>
        <v>KIK</v>
      </c>
      <c r="AF256" s="98"/>
      <c r="AG256" s="98"/>
      <c r="AH256" s="105">
        <v>46115</v>
      </c>
      <c r="AI256" s="105" t="s">
        <v>420</v>
      </c>
      <c r="AJ256" s="105"/>
      <c r="AK256" s="105">
        <v>46140</v>
      </c>
      <c r="AL256" s="105">
        <v>46134</v>
      </c>
      <c r="AM256" s="105"/>
      <c r="AN256" s="105"/>
      <c r="AO256" s="100">
        <f t="shared" si="56"/>
        <v>77</v>
      </c>
      <c r="AP256" s="100">
        <f t="shared" si="57"/>
        <v>61</v>
      </c>
    </row>
    <row r="257" s="89" customFormat="1" hidden="1" customHeight="1" spans="1:42">
      <c r="A257" s="93">
        <v>46099</v>
      </c>
      <c r="B257" s="93" t="str">
        <f ca="1" t="shared" si="53"/>
        <v/>
      </c>
      <c r="C257" s="95" t="s">
        <v>237</v>
      </c>
      <c r="D257" s="93" t="s">
        <v>802</v>
      </c>
      <c r="E257" s="95" t="s">
        <v>727</v>
      </c>
      <c r="F257" s="96">
        <v>10122648</v>
      </c>
      <c r="G257" s="96">
        <v>1042268801</v>
      </c>
      <c r="H257" s="97" t="s">
        <v>155</v>
      </c>
      <c r="I257" s="98" t="str">
        <f>IFERROR(VLOOKUP(H257,名称!A:C,2,0),"")</f>
        <v>JD LNS圆轮拖拉机</v>
      </c>
      <c r="J257" s="99">
        <v>312</v>
      </c>
      <c r="K257" s="98">
        <f>IFERROR(VLOOKUP(H257,名称!A:D,3,0),"")</f>
        <v>2</v>
      </c>
      <c r="L257" s="100">
        <f t="shared" si="54"/>
        <v>156</v>
      </c>
      <c r="M257" s="93">
        <v>46176</v>
      </c>
      <c r="N257" s="93">
        <f t="shared" si="55"/>
        <v>46174</v>
      </c>
      <c r="O257" s="147">
        <v>46182</v>
      </c>
      <c r="P257" s="93" t="s">
        <v>808</v>
      </c>
      <c r="Q257" s="97" t="s">
        <v>777</v>
      </c>
      <c r="R257" s="148" t="s">
        <v>812</v>
      </c>
      <c r="S257" s="93"/>
      <c r="T257" s="93" t="s">
        <v>805</v>
      </c>
      <c r="U257" s="93"/>
      <c r="V257" s="93"/>
      <c r="W257" s="97"/>
      <c r="X257" s="100"/>
      <c r="Y257" s="102">
        <v>4.637</v>
      </c>
      <c r="Z257" s="103">
        <f t="shared" si="51"/>
        <v>1446.74</v>
      </c>
      <c r="AA257" s="103">
        <f t="shared" si="52"/>
        <v>11212.24</v>
      </c>
      <c r="AB257" s="135" t="s">
        <v>860</v>
      </c>
      <c r="AC257" s="93"/>
      <c r="AD257" s="93"/>
      <c r="AE257" s="93" t="str">
        <f>IFERROR(VLOOKUP(H257,名称!A:D,4,0),"")</f>
        <v>KIK</v>
      </c>
      <c r="AF257" s="98"/>
      <c r="AG257" s="98"/>
      <c r="AH257" s="105">
        <v>46115</v>
      </c>
      <c r="AI257" s="105" t="s">
        <v>420</v>
      </c>
      <c r="AJ257" s="105"/>
      <c r="AK257" s="105" t="s">
        <v>453</v>
      </c>
      <c r="AL257" s="105">
        <v>46128</v>
      </c>
      <c r="AM257" s="105"/>
      <c r="AN257" s="105"/>
      <c r="AO257" s="100">
        <f t="shared" si="56"/>
        <v>77</v>
      </c>
      <c r="AP257" s="100">
        <f t="shared" si="57"/>
        <v>61</v>
      </c>
    </row>
    <row r="258" s="89" customFormat="1" hidden="1" customHeight="1" spans="1:42">
      <c r="A258" s="93">
        <v>46099</v>
      </c>
      <c r="B258" s="93" t="str">
        <f ca="1" t="shared" si="53"/>
        <v/>
      </c>
      <c r="C258" s="95" t="s">
        <v>237</v>
      </c>
      <c r="D258" s="93" t="s">
        <v>802</v>
      </c>
      <c r="E258" s="95" t="s">
        <v>727</v>
      </c>
      <c r="F258" s="96">
        <v>10122648</v>
      </c>
      <c r="G258" s="96">
        <v>1042268801</v>
      </c>
      <c r="H258" s="97" t="s">
        <v>154</v>
      </c>
      <c r="I258" s="98" t="str">
        <f>IFERROR(VLOOKUP(H258,名称!A:C,2,0),"")</f>
        <v>动物车</v>
      </c>
      <c r="J258" s="99">
        <v>1036</v>
      </c>
      <c r="K258" s="98">
        <f>IFERROR(VLOOKUP(H258,名称!A:D,3,0),"")</f>
        <v>4</v>
      </c>
      <c r="L258" s="100">
        <f t="shared" si="54"/>
        <v>259</v>
      </c>
      <c r="M258" s="93">
        <v>46176</v>
      </c>
      <c r="N258" s="93">
        <f t="shared" si="55"/>
        <v>46174</v>
      </c>
      <c r="O258" s="147">
        <v>46185</v>
      </c>
      <c r="P258" s="93" t="s">
        <v>808</v>
      </c>
      <c r="Q258" s="97" t="s">
        <v>777</v>
      </c>
      <c r="R258" s="148" t="s">
        <v>418</v>
      </c>
      <c r="S258" s="93"/>
      <c r="T258" s="93" t="s">
        <v>805</v>
      </c>
      <c r="U258" s="93"/>
      <c r="V258" s="93"/>
      <c r="W258" s="97"/>
      <c r="X258" s="100"/>
      <c r="Y258" s="102">
        <v>4.684</v>
      </c>
      <c r="Z258" s="103">
        <f t="shared" si="51"/>
        <v>4852.62</v>
      </c>
      <c r="AA258" s="103">
        <f t="shared" si="52"/>
        <v>37607.81</v>
      </c>
      <c r="AB258" s="135" t="s">
        <v>860</v>
      </c>
      <c r="AC258" s="98"/>
      <c r="AD258" s="105"/>
      <c r="AE258" s="93" t="s">
        <v>12</v>
      </c>
      <c r="AF258" s="139"/>
      <c r="AG258" s="139"/>
      <c r="AH258" s="105">
        <v>46115</v>
      </c>
      <c r="AI258" s="105">
        <v>46121</v>
      </c>
      <c r="AJ258" s="105"/>
      <c r="AK258" s="105" t="s">
        <v>420</v>
      </c>
      <c r="AL258" s="105" t="s">
        <v>420</v>
      </c>
      <c r="AM258" s="100"/>
      <c r="AN258" s="139"/>
      <c r="AO258" s="100">
        <f t="shared" si="56"/>
        <v>77</v>
      </c>
      <c r="AP258" s="100">
        <f t="shared" si="57"/>
        <v>61</v>
      </c>
    </row>
    <row r="259" s="89" customFormat="1" hidden="1" customHeight="1" spans="1:42">
      <c r="A259" s="93">
        <v>46099</v>
      </c>
      <c r="B259" s="93" t="str">
        <f ca="1" t="shared" si="53"/>
        <v/>
      </c>
      <c r="C259" s="95" t="s">
        <v>237</v>
      </c>
      <c r="D259" s="93" t="s">
        <v>802</v>
      </c>
      <c r="E259" s="95" t="s">
        <v>727</v>
      </c>
      <c r="F259" s="96">
        <v>10122628</v>
      </c>
      <c r="G259" s="96">
        <v>1042268811</v>
      </c>
      <c r="H259" s="97" t="s">
        <v>160</v>
      </c>
      <c r="I259" s="98" t="str">
        <f>IFERROR(VLOOKUP(H259,名称!A:C,2,0),"")</f>
        <v>绿色铲车</v>
      </c>
      <c r="J259" s="99">
        <v>532</v>
      </c>
      <c r="K259" s="98">
        <f>IFERROR(VLOOKUP(H259,名称!A:D,3,0),"")</f>
        <v>2</v>
      </c>
      <c r="L259" s="100">
        <f t="shared" si="54"/>
        <v>266</v>
      </c>
      <c r="M259" s="93">
        <v>46169</v>
      </c>
      <c r="N259" s="93">
        <f t="shared" si="55"/>
        <v>46167</v>
      </c>
      <c r="O259" s="147">
        <v>46182</v>
      </c>
      <c r="P259" s="93" t="s">
        <v>804</v>
      </c>
      <c r="Q259" s="97" t="s">
        <v>777</v>
      </c>
      <c r="R259" s="148" t="s">
        <v>812</v>
      </c>
      <c r="S259" s="93"/>
      <c r="T259" s="93" t="s">
        <v>805</v>
      </c>
      <c r="U259" s="93"/>
      <c r="V259" s="93"/>
      <c r="W259" s="97"/>
      <c r="X259" s="100"/>
      <c r="Y259" s="102">
        <v>5.743</v>
      </c>
      <c r="Z259" s="103">
        <f t="shared" si="51"/>
        <v>3055.28</v>
      </c>
      <c r="AA259" s="103">
        <f t="shared" si="52"/>
        <v>23678.42</v>
      </c>
      <c r="AB259" s="135" t="s">
        <v>861</v>
      </c>
      <c r="AC259" s="93"/>
      <c r="AD259" s="93"/>
      <c r="AE259" s="93" t="str">
        <f>IFERROR(VLOOKUP(H259,名称!A:D,4,0),"")</f>
        <v>KIK</v>
      </c>
      <c r="AF259" s="98"/>
      <c r="AG259" s="98"/>
      <c r="AH259" s="105">
        <v>46115</v>
      </c>
      <c r="AI259" s="105" t="s">
        <v>420</v>
      </c>
      <c r="AJ259" s="105"/>
      <c r="AK259" s="105">
        <v>46135</v>
      </c>
      <c r="AL259" s="105">
        <v>46134</v>
      </c>
      <c r="AM259" s="105"/>
      <c r="AN259" s="105"/>
      <c r="AO259" s="100">
        <f t="shared" si="56"/>
        <v>70</v>
      </c>
      <c r="AP259" s="100">
        <f t="shared" si="57"/>
        <v>54</v>
      </c>
    </row>
    <row r="260" s="89" customFormat="1" hidden="1" customHeight="1" spans="1:42">
      <c r="A260" s="93">
        <v>46099</v>
      </c>
      <c r="B260" s="93" t="str">
        <f ca="1" t="shared" si="53"/>
        <v/>
      </c>
      <c r="C260" s="95" t="s">
        <v>237</v>
      </c>
      <c r="D260" s="93" t="s">
        <v>802</v>
      </c>
      <c r="E260" s="95" t="s">
        <v>727</v>
      </c>
      <c r="F260" s="96">
        <v>10122628</v>
      </c>
      <c r="G260" s="96">
        <v>1042268811</v>
      </c>
      <c r="H260" s="97" t="s">
        <v>155</v>
      </c>
      <c r="I260" s="98" t="str">
        <f>IFERROR(VLOOKUP(H260,名称!A:C,2,0),"")</f>
        <v>JD LNS圆轮拖拉机</v>
      </c>
      <c r="J260" s="99">
        <v>576</v>
      </c>
      <c r="K260" s="98">
        <f>IFERROR(VLOOKUP(H260,名称!A:D,3,0),"")</f>
        <v>2</v>
      </c>
      <c r="L260" s="100">
        <f t="shared" si="54"/>
        <v>288</v>
      </c>
      <c r="M260" s="93">
        <v>46169</v>
      </c>
      <c r="N260" s="93">
        <f t="shared" si="55"/>
        <v>46167</v>
      </c>
      <c r="O260" s="147">
        <v>46171</v>
      </c>
      <c r="P260" s="93" t="s">
        <v>808</v>
      </c>
      <c r="Q260" s="97" t="s">
        <v>777</v>
      </c>
      <c r="R260" s="148" t="s">
        <v>418</v>
      </c>
      <c r="S260" s="93"/>
      <c r="T260" s="93" t="s">
        <v>805</v>
      </c>
      <c r="U260" s="93"/>
      <c r="V260" s="93"/>
      <c r="W260" s="97"/>
      <c r="X260" s="100"/>
      <c r="Y260" s="102">
        <v>4.637</v>
      </c>
      <c r="Z260" s="103">
        <f t="shared" si="51"/>
        <v>2670.91</v>
      </c>
      <c r="AA260" s="103">
        <f t="shared" si="52"/>
        <v>20699.55</v>
      </c>
      <c r="AB260" s="135" t="s">
        <v>861</v>
      </c>
      <c r="AC260" s="93"/>
      <c r="AD260" s="93"/>
      <c r="AE260" s="93" t="str">
        <f>IFERROR(VLOOKUP(H260,名称!A:D,4,0),"")</f>
        <v>KIK</v>
      </c>
      <c r="AF260" s="98"/>
      <c r="AG260" s="98"/>
      <c r="AH260" s="105">
        <v>46115</v>
      </c>
      <c r="AI260" s="105" t="s">
        <v>420</v>
      </c>
      <c r="AJ260" s="105"/>
      <c r="AK260" s="105" t="s">
        <v>453</v>
      </c>
      <c r="AL260" s="105">
        <v>46128</v>
      </c>
      <c r="AM260" s="105"/>
      <c r="AN260" s="105"/>
      <c r="AO260" s="100">
        <f t="shared" si="56"/>
        <v>70</v>
      </c>
      <c r="AP260" s="100">
        <f t="shared" si="57"/>
        <v>54</v>
      </c>
    </row>
    <row r="261" s="89" customFormat="1" hidden="1" customHeight="1" spans="1:42">
      <c r="A261" s="93">
        <v>46099</v>
      </c>
      <c r="B261" s="93" t="str">
        <f ca="1" t="shared" si="53"/>
        <v/>
      </c>
      <c r="C261" s="95" t="s">
        <v>237</v>
      </c>
      <c r="D261" s="93" t="s">
        <v>802</v>
      </c>
      <c r="E261" s="95" t="s">
        <v>727</v>
      </c>
      <c r="F261" s="96">
        <v>10122628</v>
      </c>
      <c r="G261" s="96">
        <v>1042268811</v>
      </c>
      <c r="H261" s="97" t="s">
        <v>154</v>
      </c>
      <c r="I261" s="98" t="str">
        <f>IFERROR(VLOOKUP(H261,名称!A:C,2,0),"")</f>
        <v>动物车</v>
      </c>
      <c r="J261" s="99">
        <v>1324</v>
      </c>
      <c r="K261" s="98">
        <f>IFERROR(VLOOKUP(H261,名称!A:D,3,0),"")</f>
        <v>4</v>
      </c>
      <c r="L261" s="100">
        <f t="shared" si="54"/>
        <v>331</v>
      </c>
      <c r="M261" s="93">
        <v>46169</v>
      </c>
      <c r="N261" s="93">
        <f t="shared" si="55"/>
        <v>46167</v>
      </c>
      <c r="O261" s="147">
        <v>46185</v>
      </c>
      <c r="P261" s="93" t="s">
        <v>808</v>
      </c>
      <c r="Q261" s="97" t="s">
        <v>777</v>
      </c>
      <c r="R261" s="148" t="s">
        <v>418</v>
      </c>
      <c r="S261" s="93" t="s">
        <v>395</v>
      </c>
      <c r="T261" s="93" t="s">
        <v>805</v>
      </c>
      <c r="U261" s="93"/>
      <c r="V261" s="93"/>
      <c r="W261" s="97"/>
      <c r="X261" s="100"/>
      <c r="Y261" s="102">
        <v>4.684</v>
      </c>
      <c r="Z261" s="103">
        <f t="shared" si="51"/>
        <v>6201.62</v>
      </c>
      <c r="AA261" s="103">
        <f t="shared" si="52"/>
        <v>48062.56</v>
      </c>
      <c r="AB261" s="135" t="s">
        <v>861</v>
      </c>
      <c r="AC261" s="98"/>
      <c r="AD261" s="105"/>
      <c r="AE261" s="93" t="s">
        <v>12</v>
      </c>
      <c r="AF261" s="139"/>
      <c r="AG261" s="139"/>
      <c r="AH261" s="105">
        <v>46115</v>
      </c>
      <c r="AI261" s="105">
        <v>46121</v>
      </c>
      <c r="AJ261" s="105"/>
      <c r="AK261" s="105" t="s">
        <v>420</v>
      </c>
      <c r="AL261" s="105" t="s">
        <v>420</v>
      </c>
      <c r="AM261" s="100"/>
      <c r="AN261" s="139"/>
      <c r="AO261" s="100">
        <f t="shared" si="56"/>
        <v>70</v>
      </c>
      <c r="AP261" s="100">
        <f t="shared" si="57"/>
        <v>54</v>
      </c>
    </row>
    <row r="262" s="89" customFormat="1" hidden="1" customHeight="1" spans="1:42">
      <c r="A262" s="93">
        <v>46099</v>
      </c>
      <c r="B262" s="93" t="str">
        <f ca="1" t="shared" si="53"/>
        <v/>
      </c>
      <c r="C262" s="95" t="s">
        <v>237</v>
      </c>
      <c r="D262" s="93" t="s">
        <v>802</v>
      </c>
      <c r="E262" s="95" t="s">
        <v>727</v>
      </c>
      <c r="F262" s="96">
        <v>10122626</v>
      </c>
      <c r="G262" s="96">
        <v>1042268806</v>
      </c>
      <c r="H262" s="97" t="s">
        <v>160</v>
      </c>
      <c r="I262" s="98" t="str">
        <f>IFERROR(VLOOKUP(H262,名称!A:C,2,0),"")</f>
        <v>绿色铲车</v>
      </c>
      <c r="J262" s="99">
        <v>284</v>
      </c>
      <c r="K262" s="98">
        <f>IFERROR(VLOOKUP(H262,名称!A:D,3,0),"")</f>
        <v>2</v>
      </c>
      <c r="L262" s="100">
        <f t="shared" si="54"/>
        <v>142</v>
      </c>
      <c r="M262" s="93">
        <v>46169</v>
      </c>
      <c r="N262" s="93">
        <f t="shared" si="55"/>
        <v>46167</v>
      </c>
      <c r="O262" s="147">
        <v>46160</v>
      </c>
      <c r="P262" s="93" t="s">
        <v>804</v>
      </c>
      <c r="Q262" s="97" t="s">
        <v>777</v>
      </c>
      <c r="R262" s="148" t="s">
        <v>718</v>
      </c>
      <c r="S262" s="93"/>
      <c r="T262" s="93" t="s">
        <v>805</v>
      </c>
      <c r="U262" s="93"/>
      <c r="V262" s="93"/>
      <c r="W262" s="97"/>
      <c r="X262" s="100"/>
      <c r="Y262" s="102">
        <v>5.743</v>
      </c>
      <c r="Z262" s="103">
        <f t="shared" si="51"/>
        <v>1631.01</v>
      </c>
      <c r="AA262" s="103">
        <f t="shared" si="52"/>
        <v>12640.33</v>
      </c>
      <c r="AB262" s="135" t="s">
        <v>862</v>
      </c>
      <c r="AC262" s="93"/>
      <c r="AD262" s="93"/>
      <c r="AE262" s="93" t="str">
        <f>IFERROR(VLOOKUP(H262,名称!A:D,4,0),"")</f>
        <v>KIK</v>
      </c>
      <c r="AF262" s="98"/>
      <c r="AG262" s="98"/>
      <c r="AH262" s="105">
        <v>46115</v>
      </c>
      <c r="AI262" s="105" t="s">
        <v>420</v>
      </c>
      <c r="AJ262" s="105"/>
      <c r="AK262" s="105">
        <v>46135</v>
      </c>
      <c r="AL262" s="105">
        <v>46134</v>
      </c>
      <c r="AM262" s="105"/>
      <c r="AN262" s="105"/>
      <c r="AO262" s="100">
        <f t="shared" si="56"/>
        <v>70</v>
      </c>
      <c r="AP262" s="100">
        <f t="shared" si="57"/>
        <v>54</v>
      </c>
    </row>
    <row r="263" s="89" customFormat="1" hidden="1" customHeight="1" spans="1:42">
      <c r="A263" s="93">
        <v>46099</v>
      </c>
      <c r="B263" s="93" t="str">
        <f ca="1" t="shared" si="53"/>
        <v/>
      </c>
      <c r="C263" s="95" t="s">
        <v>237</v>
      </c>
      <c r="D263" s="93" t="s">
        <v>802</v>
      </c>
      <c r="E263" s="95" t="s">
        <v>727</v>
      </c>
      <c r="F263" s="96">
        <v>10122626</v>
      </c>
      <c r="G263" s="96">
        <v>1042268806</v>
      </c>
      <c r="H263" s="97" t="s">
        <v>155</v>
      </c>
      <c r="I263" s="98" t="str">
        <f>IFERROR(VLOOKUP(H263,名称!A:C,2,0),"")</f>
        <v>JD LNS圆轮拖拉机</v>
      </c>
      <c r="J263" s="99">
        <v>346</v>
      </c>
      <c r="K263" s="98">
        <f>IFERROR(VLOOKUP(H263,名称!A:D,3,0),"")</f>
        <v>2</v>
      </c>
      <c r="L263" s="100">
        <f t="shared" si="54"/>
        <v>173</v>
      </c>
      <c r="M263" s="93">
        <v>46169</v>
      </c>
      <c r="N263" s="93">
        <f t="shared" si="55"/>
        <v>46167</v>
      </c>
      <c r="O263" s="147">
        <v>46171</v>
      </c>
      <c r="P263" s="93" t="s">
        <v>808</v>
      </c>
      <c r="Q263" s="97" t="s">
        <v>777</v>
      </c>
      <c r="R263" s="148" t="s">
        <v>812</v>
      </c>
      <c r="S263" s="93"/>
      <c r="T263" s="93" t="s">
        <v>805</v>
      </c>
      <c r="U263" s="93"/>
      <c r="V263" s="93"/>
      <c r="W263" s="97"/>
      <c r="X263" s="100"/>
      <c r="Y263" s="102">
        <v>4.637</v>
      </c>
      <c r="Z263" s="103">
        <f t="shared" si="51"/>
        <v>1604.4</v>
      </c>
      <c r="AA263" s="103">
        <f t="shared" si="52"/>
        <v>12434.1</v>
      </c>
      <c r="AB263" s="135" t="s">
        <v>862</v>
      </c>
      <c r="AC263" s="93"/>
      <c r="AD263" s="93"/>
      <c r="AE263" s="93" t="str">
        <f>IFERROR(VLOOKUP(H263,名称!A:D,4,0),"")</f>
        <v>KIK</v>
      </c>
      <c r="AF263" s="98"/>
      <c r="AG263" s="98"/>
      <c r="AH263" s="105">
        <v>46115</v>
      </c>
      <c r="AI263" s="105" t="s">
        <v>420</v>
      </c>
      <c r="AJ263" s="105"/>
      <c r="AK263" s="105" t="s">
        <v>453</v>
      </c>
      <c r="AL263" s="105">
        <v>46128</v>
      </c>
      <c r="AM263" s="105"/>
      <c r="AN263" s="105"/>
      <c r="AO263" s="100">
        <f t="shared" si="56"/>
        <v>70</v>
      </c>
      <c r="AP263" s="100">
        <f t="shared" si="57"/>
        <v>54</v>
      </c>
    </row>
    <row r="264" s="89" customFormat="1" hidden="1" customHeight="1" spans="1:42">
      <c r="A264" s="93">
        <v>46099</v>
      </c>
      <c r="B264" s="93" t="str">
        <f ca="1" t="shared" si="53"/>
        <v/>
      </c>
      <c r="C264" s="95" t="s">
        <v>237</v>
      </c>
      <c r="D264" s="93" t="s">
        <v>802</v>
      </c>
      <c r="E264" s="95" t="s">
        <v>727</v>
      </c>
      <c r="F264" s="96">
        <v>10122626</v>
      </c>
      <c r="G264" s="96">
        <v>1042268806</v>
      </c>
      <c r="H264" s="97" t="s">
        <v>154</v>
      </c>
      <c r="I264" s="98" t="str">
        <f>IFERROR(VLOOKUP(H264,名称!A:C,2,0),"")</f>
        <v>动物车</v>
      </c>
      <c r="J264" s="99">
        <v>820</v>
      </c>
      <c r="K264" s="98">
        <f>IFERROR(VLOOKUP(H264,名称!A:D,3,0),"")</f>
        <v>4</v>
      </c>
      <c r="L264" s="100">
        <f t="shared" si="54"/>
        <v>205</v>
      </c>
      <c r="M264" s="93">
        <v>46169</v>
      </c>
      <c r="N264" s="93">
        <f t="shared" si="55"/>
        <v>46167</v>
      </c>
      <c r="O264" s="147">
        <v>46185</v>
      </c>
      <c r="P264" s="93" t="s">
        <v>808</v>
      </c>
      <c r="Q264" s="97" t="s">
        <v>777</v>
      </c>
      <c r="R264" s="148" t="s">
        <v>418</v>
      </c>
      <c r="S264" s="93"/>
      <c r="T264" s="93" t="s">
        <v>805</v>
      </c>
      <c r="U264" s="93"/>
      <c r="V264" s="93"/>
      <c r="W264" s="97"/>
      <c r="X264" s="100"/>
      <c r="Y264" s="102">
        <v>4.684</v>
      </c>
      <c r="Z264" s="103">
        <f t="shared" si="51"/>
        <v>3840.88</v>
      </c>
      <c r="AA264" s="103">
        <f t="shared" si="52"/>
        <v>29766.82</v>
      </c>
      <c r="AB264" s="135" t="s">
        <v>862</v>
      </c>
      <c r="AC264" s="98"/>
      <c r="AD264" s="105"/>
      <c r="AE264" s="93" t="s">
        <v>12</v>
      </c>
      <c r="AF264" s="139"/>
      <c r="AG264" s="139"/>
      <c r="AH264" s="105">
        <v>46115</v>
      </c>
      <c r="AI264" s="105">
        <v>46121</v>
      </c>
      <c r="AJ264" s="105"/>
      <c r="AK264" s="105" t="s">
        <v>420</v>
      </c>
      <c r="AL264" s="105" t="s">
        <v>420</v>
      </c>
      <c r="AM264" s="100"/>
      <c r="AN264" s="139"/>
      <c r="AO264" s="100">
        <f t="shared" si="56"/>
        <v>70</v>
      </c>
      <c r="AP264" s="100">
        <f t="shared" si="57"/>
        <v>54</v>
      </c>
    </row>
    <row r="265" s="89" customFormat="1" hidden="1" customHeight="1" spans="1:42">
      <c r="A265" s="93">
        <v>46099</v>
      </c>
      <c r="B265" s="93" t="str">
        <f ca="1" t="shared" si="53"/>
        <v/>
      </c>
      <c r="C265" s="95" t="s">
        <v>237</v>
      </c>
      <c r="D265" s="93" t="s">
        <v>802</v>
      </c>
      <c r="E265" s="95" t="s">
        <v>727</v>
      </c>
      <c r="F265" s="96">
        <v>10122638</v>
      </c>
      <c r="G265" s="96">
        <v>1042268219</v>
      </c>
      <c r="H265" s="97" t="s">
        <v>160</v>
      </c>
      <c r="I265" s="98" t="str">
        <f>IFERROR(VLOOKUP(H265,名称!A:C,2,0),"")</f>
        <v>绿色铲车</v>
      </c>
      <c r="J265" s="99">
        <v>278</v>
      </c>
      <c r="K265" s="98">
        <f>IFERROR(VLOOKUP(H265,名称!A:D,3,0),"")</f>
        <v>2</v>
      </c>
      <c r="L265" s="100">
        <f t="shared" si="54"/>
        <v>139</v>
      </c>
      <c r="M265" s="93">
        <v>46169</v>
      </c>
      <c r="N265" s="93">
        <f t="shared" si="55"/>
        <v>46167</v>
      </c>
      <c r="O265" s="147">
        <v>46182</v>
      </c>
      <c r="P265" s="93" t="s">
        <v>804</v>
      </c>
      <c r="Q265" s="97" t="s">
        <v>777</v>
      </c>
      <c r="R265" s="148" t="s">
        <v>812</v>
      </c>
      <c r="S265" s="93"/>
      <c r="T265" s="93" t="s">
        <v>805</v>
      </c>
      <c r="U265" s="93"/>
      <c r="V265" s="93"/>
      <c r="W265" s="97"/>
      <c r="X265" s="100"/>
      <c r="Y265" s="102">
        <v>5.743</v>
      </c>
      <c r="Z265" s="103">
        <f t="shared" si="51"/>
        <v>1596.55</v>
      </c>
      <c r="AA265" s="103">
        <f t="shared" si="52"/>
        <v>12373.26</v>
      </c>
      <c r="AB265" s="135" t="s">
        <v>863</v>
      </c>
      <c r="AC265" s="93"/>
      <c r="AD265" s="93"/>
      <c r="AE265" s="93" t="str">
        <f>IFERROR(VLOOKUP(H265,名称!A:D,4,0),"")</f>
        <v>KIK</v>
      </c>
      <c r="AF265" s="98"/>
      <c r="AG265" s="98"/>
      <c r="AH265" s="105">
        <v>46115</v>
      </c>
      <c r="AI265" s="105" t="s">
        <v>420</v>
      </c>
      <c r="AJ265" s="105"/>
      <c r="AK265" s="105">
        <v>46135</v>
      </c>
      <c r="AL265" s="105">
        <v>46134</v>
      </c>
      <c r="AM265" s="105"/>
      <c r="AN265" s="105"/>
      <c r="AO265" s="100">
        <f t="shared" si="56"/>
        <v>70</v>
      </c>
      <c r="AP265" s="100">
        <f t="shared" si="57"/>
        <v>54</v>
      </c>
    </row>
    <row r="266" s="89" customFormat="1" hidden="1" customHeight="1" spans="1:42">
      <c r="A266" s="93">
        <v>46099</v>
      </c>
      <c r="B266" s="93" t="str">
        <f ca="1" t="shared" si="53"/>
        <v/>
      </c>
      <c r="C266" s="95" t="s">
        <v>237</v>
      </c>
      <c r="D266" s="93" t="s">
        <v>802</v>
      </c>
      <c r="E266" s="95" t="s">
        <v>727</v>
      </c>
      <c r="F266" s="96">
        <v>10122638</v>
      </c>
      <c r="G266" s="96">
        <v>1042268219</v>
      </c>
      <c r="H266" s="97" t="s">
        <v>155</v>
      </c>
      <c r="I266" s="98" t="str">
        <f>IFERROR(VLOOKUP(H266,名称!A:C,2,0),"")</f>
        <v>JD LNS圆轮拖拉机</v>
      </c>
      <c r="J266" s="99">
        <v>400</v>
      </c>
      <c r="K266" s="98">
        <f>IFERROR(VLOOKUP(H266,名称!A:D,3,0),"")</f>
        <v>2</v>
      </c>
      <c r="L266" s="100">
        <f t="shared" si="54"/>
        <v>200</v>
      </c>
      <c r="M266" s="93">
        <v>46169</v>
      </c>
      <c r="N266" s="93">
        <f t="shared" si="55"/>
        <v>46167</v>
      </c>
      <c r="O266" s="147">
        <v>46171</v>
      </c>
      <c r="P266" s="93" t="s">
        <v>808</v>
      </c>
      <c r="Q266" s="97" t="s">
        <v>777</v>
      </c>
      <c r="R266" s="148" t="s">
        <v>418</v>
      </c>
      <c r="S266" s="93"/>
      <c r="T266" s="93" t="s">
        <v>805</v>
      </c>
      <c r="U266" s="93"/>
      <c r="V266" s="93"/>
      <c r="W266" s="97"/>
      <c r="X266" s="100"/>
      <c r="Y266" s="102">
        <v>4.637</v>
      </c>
      <c r="Z266" s="103">
        <f t="shared" si="51"/>
        <v>1854.8</v>
      </c>
      <c r="AA266" s="103">
        <f t="shared" si="52"/>
        <v>14374.7</v>
      </c>
      <c r="AB266" s="135" t="s">
        <v>863</v>
      </c>
      <c r="AC266" s="93"/>
      <c r="AD266" s="93"/>
      <c r="AE266" s="93" t="str">
        <f>IFERROR(VLOOKUP(H266,名称!A:D,4,0),"")</f>
        <v>KIK</v>
      </c>
      <c r="AF266" s="98"/>
      <c r="AG266" s="98"/>
      <c r="AH266" s="105">
        <v>46115</v>
      </c>
      <c r="AI266" s="105" t="s">
        <v>420</v>
      </c>
      <c r="AJ266" s="105"/>
      <c r="AK266" s="105" t="s">
        <v>453</v>
      </c>
      <c r="AL266" s="105">
        <v>46128</v>
      </c>
      <c r="AM266" s="105"/>
      <c r="AN266" s="105"/>
      <c r="AO266" s="100">
        <f t="shared" si="56"/>
        <v>70</v>
      </c>
      <c r="AP266" s="100">
        <f t="shared" si="57"/>
        <v>54</v>
      </c>
    </row>
    <row r="267" s="89" customFormat="1" hidden="1" customHeight="1" spans="1:42">
      <c r="A267" s="93">
        <v>46099</v>
      </c>
      <c r="B267" s="93" t="str">
        <f ca="1" t="shared" si="53"/>
        <v/>
      </c>
      <c r="C267" s="95" t="s">
        <v>237</v>
      </c>
      <c r="D267" s="93" t="s">
        <v>802</v>
      </c>
      <c r="E267" s="95" t="s">
        <v>727</v>
      </c>
      <c r="F267" s="96">
        <v>10122638</v>
      </c>
      <c r="G267" s="96">
        <v>1042268219</v>
      </c>
      <c r="H267" s="97" t="s">
        <v>154</v>
      </c>
      <c r="I267" s="98" t="str">
        <f>IFERROR(VLOOKUP(H267,名称!A:C,2,0),"")</f>
        <v>动物车</v>
      </c>
      <c r="J267" s="99">
        <v>1056</v>
      </c>
      <c r="K267" s="98">
        <f>IFERROR(VLOOKUP(H267,名称!A:D,3,0),"")</f>
        <v>4</v>
      </c>
      <c r="L267" s="100">
        <f t="shared" si="54"/>
        <v>264</v>
      </c>
      <c r="M267" s="93">
        <v>46169</v>
      </c>
      <c r="N267" s="93">
        <f t="shared" si="55"/>
        <v>46167</v>
      </c>
      <c r="O267" s="147">
        <v>46183</v>
      </c>
      <c r="P267" s="93" t="s">
        <v>808</v>
      </c>
      <c r="Q267" s="97" t="s">
        <v>777</v>
      </c>
      <c r="R267" s="148" t="s">
        <v>418</v>
      </c>
      <c r="S267" s="93"/>
      <c r="T267" s="93" t="s">
        <v>805</v>
      </c>
      <c r="U267" s="93"/>
      <c r="V267" s="93"/>
      <c r="W267" s="97"/>
      <c r="X267" s="100"/>
      <c r="Y267" s="102">
        <v>4.684</v>
      </c>
      <c r="Z267" s="103">
        <f t="shared" si="51"/>
        <v>4946.3</v>
      </c>
      <c r="AA267" s="103">
        <f t="shared" si="52"/>
        <v>38333.83</v>
      </c>
      <c r="AB267" s="135" t="s">
        <v>863</v>
      </c>
      <c r="AC267" s="98"/>
      <c r="AD267" s="105"/>
      <c r="AE267" s="93" t="s">
        <v>12</v>
      </c>
      <c r="AF267" s="139"/>
      <c r="AG267" s="139"/>
      <c r="AH267" s="105">
        <v>46115</v>
      </c>
      <c r="AI267" s="105">
        <v>46121</v>
      </c>
      <c r="AJ267" s="105"/>
      <c r="AK267" s="105" t="s">
        <v>420</v>
      </c>
      <c r="AL267" s="105" t="s">
        <v>420</v>
      </c>
      <c r="AM267" s="100"/>
      <c r="AN267" s="139"/>
      <c r="AO267" s="100">
        <f t="shared" si="56"/>
        <v>70</v>
      </c>
      <c r="AP267" s="100">
        <f t="shared" si="57"/>
        <v>54</v>
      </c>
    </row>
    <row r="268" s="89" customFormat="1" hidden="1" customHeight="1" spans="1:42">
      <c r="A268" s="93">
        <v>46099</v>
      </c>
      <c r="B268" s="93" t="str">
        <f ca="1" t="shared" si="53"/>
        <v/>
      </c>
      <c r="C268" s="95" t="s">
        <v>237</v>
      </c>
      <c r="D268" s="93" t="s">
        <v>802</v>
      </c>
      <c r="E268" s="95" t="s">
        <v>727</v>
      </c>
      <c r="F268" s="96">
        <v>10122643</v>
      </c>
      <c r="G268" s="96">
        <v>1042268792</v>
      </c>
      <c r="H268" s="97" t="s">
        <v>160</v>
      </c>
      <c r="I268" s="98" t="str">
        <f>IFERROR(VLOOKUP(H268,名称!A:C,2,0),"")</f>
        <v>绿色铲车</v>
      </c>
      <c r="J268" s="99">
        <v>492</v>
      </c>
      <c r="K268" s="98">
        <f>IFERROR(VLOOKUP(H268,名称!A:D,3,0),"")</f>
        <v>2</v>
      </c>
      <c r="L268" s="100">
        <f t="shared" si="54"/>
        <v>246</v>
      </c>
      <c r="M268" s="93">
        <v>46169</v>
      </c>
      <c r="N268" s="93">
        <f t="shared" si="55"/>
        <v>46167</v>
      </c>
      <c r="O268" s="147">
        <v>46182</v>
      </c>
      <c r="P268" s="93" t="s">
        <v>804</v>
      </c>
      <c r="Q268" s="97" t="s">
        <v>777</v>
      </c>
      <c r="R268" s="148" t="s">
        <v>812</v>
      </c>
      <c r="S268" s="93"/>
      <c r="T268" s="93" t="s">
        <v>805</v>
      </c>
      <c r="U268" s="93"/>
      <c r="V268" s="93"/>
      <c r="W268" s="97"/>
      <c r="X268" s="100"/>
      <c r="Y268" s="102">
        <v>5.743</v>
      </c>
      <c r="Z268" s="103">
        <f t="shared" si="51"/>
        <v>2825.56</v>
      </c>
      <c r="AA268" s="103">
        <f t="shared" si="52"/>
        <v>21898.09</v>
      </c>
      <c r="AB268" s="135" t="s">
        <v>864</v>
      </c>
      <c r="AC268" s="93"/>
      <c r="AD268" s="93"/>
      <c r="AE268" s="93" t="str">
        <f>IFERROR(VLOOKUP(H268,名称!A:D,4,0),"")</f>
        <v>KIK</v>
      </c>
      <c r="AF268" s="98"/>
      <c r="AG268" s="98"/>
      <c r="AH268" s="105">
        <v>46115</v>
      </c>
      <c r="AI268" s="105" t="s">
        <v>420</v>
      </c>
      <c r="AJ268" s="105"/>
      <c r="AK268" s="105">
        <v>46135</v>
      </c>
      <c r="AL268" s="105">
        <v>46134</v>
      </c>
      <c r="AM268" s="105"/>
      <c r="AN268" s="105"/>
      <c r="AO268" s="100">
        <f t="shared" si="56"/>
        <v>70</v>
      </c>
      <c r="AP268" s="100">
        <f t="shared" si="57"/>
        <v>54</v>
      </c>
    </row>
    <row r="269" s="89" customFormat="1" hidden="1" customHeight="1" spans="1:42">
      <c r="A269" s="93">
        <v>46099</v>
      </c>
      <c r="B269" s="93" t="str">
        <f ca="1" t="shared" si="53"/>
        <v/>
      </c>
      <c r="C269" s="95" t="s">
        <v>237</v>
      </c>
      <c r="D269" s="93" t="s">
        <v>802</v>
      </c>
      <c r="E269" s="95" t="s">
        <v>727</v>
      </c>
      <c r="F269" s="96">
        <v>10122643</v>
      </c>
      <c r="G269" s="96">
        <v>1042268792</v>
      </c>
      <c r="H269" s="97" t="s">
        <v>154</v>
      </c>
      <c r="I269" s="98" t="str">
        <f>IFERROR(VLOOKUP(H269,名称!A:C,2,0),"")</f>
        <v>动物车</v>
      </c>
      <c r="J269" s="99">
        <v>1288</v>
      </c>
      <c r="K269" s="98">
        <f>IFERROR(VLOOKUP(H269,名称!A:D,3,0),"")</f>
        <v>4</v>
      </c>
      <c r="L269" s="100">
        <f t="shared" si="54"/>
        <v>322</v>
      </c>
      <c r="M269" s="93">
        <v>46169</v>
      </c>
      <c r="N269" s="93">
        <f t="shared" si="55"/>
        <v>46167</v>
      </c>
      <c r="O269" s="147">
        <v>46183</v>
      </c>
      <c r="P269" s="93" t="s">
        <v>808</v>
      </c>
      <c r="Q269" s="97" t="s">
        <v>777</v>
      </c>
      <c r="R269" s="148" t="s">
        <v>418</v>
      </c>
      <c r="S269" s="93"/>
      <c r="T269" s="93" t="s">
        <v>805</v>
      </c>
      <c r="U269" s="93"/>
      <c r="V269" s="93"/>
      <c r="W269" s="97"/>
      <c r="X269" s="100"/>
      <c r="Y269" s="102">
        <v>4.684</v>
      </c>
      <c r="Z269" s="103">
        <f t="shared" si="51"/>
        <v>6032.99</v>
      </c>
      <c r="AA269" s="103">
        <f t="shared" si="52"/>
        <v>46755.67</v>
      </c>
      <c r="AB269" s="135" t="s">
        <v>864</v>
      </c>
      <c r="AC269" s="98"/>
      <c r="AD269" s="105"/>
      <c r="AE269" s="93" t="s">
        <v>12</v>
      </c>
      <c r="AF269" s="139"/>
      <c r="AG269" s="139"/>
      <c r="AH269" s="105">
        <v>46115</v>
      </c>
      <c r="AI269" s="105">
        <v>46121</v>
      </c>
      <c r="AJ269" s="105"/>
      <c r="AK269" s="105" t="s">
        <v>420</v>
      </c>
      <c r="AL269" s="105" t="s">
        <v>420</v>
      </c>
      <c r="AM269" s="100"/>
      <c r="AN269" s="139"/>
      <c r="AO269" s="100">
        <f t="shared" si="56"/>
        <v>70</v>
      </c>
      <c r="AP269" s="100">
        <f t="shared" si="57"/>
        <v>54</v>
      </c>
    </row>
    <row r="270" s="89" customFormat="1" hidden="1" customHeight="1" spans="1:42">
      <c r="A270" s="93">
        <v>46044</v>
      </c>
      <c r="B270" s="93" t="str">
        <f ca="1" t="shared" si="53"/>
        <v/>
      </c>
      <c r="C270" s="95" t="s">
        <v>248</v>
      </c>
      <c r="D270" s="93" t="s">
        <v>421</v>
      </c>
      <c r="E270" s="95" t="s">
        <v>422</v>
      </c>
      <c r="F270" s="96">
        <v>10119540</v>
      </c>
      <c r="G270" s="96">
        <v>4500032200</v>
      </c>
      <c r="H270" s="97" t="s">
        <v>144</v>
      </c>
      <c r="I270" s="98" t="str">
        <f>IFERROR(VLOOKUP(H270,名称!A:C,2,0),"")</f>
        <v>盲盒公仔(塑胶毛绒)</v>
      </c>
      <c r="J270" s="99">
        <v>6000</v>
      </c>
      <c r="K270" s="98">
        <f>IFERROR(VLOOKUP(H270,名称!A:D,3,0),"")</f>
        <v>6</v>
      </c>
      <c r="L270" s="100">
        <f t="shared" si="54"/>
        <v>1000</v>
      </c>
      <c r="M270" s="93">
        <v>46176</v>
      </c>
      <c r="N270" s="93">
        <v>46190</v>
      </c>
      <c r="O270" s="147">
        <v>46178</v>
      </c>
      <c r="P270" s="93" t="s">
        <v>423</v>
      </c>
      <c r="Q270" s="97" t="s">
        <v>424</v>
      </c>
      <c r="R270" s="148" t="s">
        <v>826</v>
      </c>
      <c r="S270" s="93"/>
      <c r="T270" s="93"/>
      <c r="U270" s="93"/>
      <c r="V270" s="93"/>
      <c r="W270" s="97"/>
      <c r="X270" s="100"/>
      <c r="Y270" s="102">
        <v>3.959</v>
      </c>
      <c r="Z270" s="103">
        <f t="shared" si="51"/>
        <v>23754</v>
      </c>
      <c r="AA270" s="103">
        <f t="shared" si="52"/>
        <v>184093.5</v>
      </c>
      <c r="AB270" s="135" t="s">
        <v>865</v>
      </c>
      <c r="AC270" s="93"/>
      <c r="AD270" s="93"/>
      <c r="AE270" s="93" t="str">
        <f>IFERROR(VLOOKUP(H270,名称!A:D,4,0),"")</f>
        <v>河源</v>
      </c>
      <c r="AF270" s="98"/>
      <c r="AG270" s="98"/>
      <c r="AH270" s="105">
        <v>46135</v>
      </c>
      <c r="AI270" s="105">
        <v>46129</v>
      </c>
      <c r="AJ270" s="105"/>
      <c r="AK270" s="105" t="s">
        <v>420</v>
      </c>
      <c r="AL270" s="105">
        <v>46134</v>
      </c>
      <c r="AM270" s="105"/>
      <c r="AN270" s="105" t="s">
        <v>426</v>
      </c>
      <c r="AO270" s="100">
        <f t="shared" si="56"/>
        <v>132</v>
      </c>
      <c r="AP270" s="100">
        <f t="shared" si="57"/>
        <v>41</v>
      </c>
    </row>
    <row r="271" s="89" customFormat="1" hidden="1" customHeight="1" spans="1:42">
      <c r="A271" s="93">
        <v>46044</v>
      </c>
      <c r="B271" s="93" t="str">
        <f ca="1" t="shared" si="53"/>
        <v/>
      </c>
      <c r="C271" s="95" t="s">
        <v>248</v>
      </c>
      <c r="D271" s="93" t="s">
        <v>421</v>
      </c>
      <c r="E271" s="95" t="s">
        <v>422</v>
      </c>
      <c r="F271" s="96">
        <v>10119540</v>
      </c>
      <c r="G271" s="96">
        <v>4500032200</v>
      </c>
      <c r="H271" s="97" t="s">
        <v>148</v>
      </c>
      <c r="I271" s="98" t="str">
        <f>IFERROR(VLOOKUP(H271,名称!A:C,2,0),"")</f>
        <v>11寸大毛绒</v>
      </c>
      <c r="J271" s="99">
        <v>800</v>
      </c>
      <c r="K271" s="98">
        <f>IFERROR(VLOOKUP(H271,名称!A:D,3,0),"")</f>
        <v>2</v>
      </c>
      <c r="L271" s="100">
        <f t="shared" si="54"/>
        <v>400</v>
      </c>
      <c r="M271" s="93">
        <v>46176</v>
      </c>
      <c r="N271" s="93">
        <v>46190</v>
      </c>
      <c r="O271" s="147">
        <v>46176</v>
      </c>
      <c r="P271" s="93" t="s">
        <v>423</v>
      </c>
      <c r="Q271" s="97" t="s">
        <v>424</v>
      </c>
      <c r="R271" s="148" t="s">
        <v>431</v>
      </c>
      <c r="S271" s="93"/>
      <c r="T271" s="93"/>
      <c r="U271" s="93"/>
      <c r="V271" s="93"/>
      <c r="W271" s="97"/>
      <c r="X271" s="100"/>
      <c r="Y271" s="102">
        <v>8.406</v>
      </c>
      <c r="Z271" s="103">
        <f t="shared" si="51"/>
        <v>6724.8</v>
      </c>
      <c r="AA271" s="103">
        <f t="shared" si="52"/>
        <v>52117.2</v>
      </c>
      <c r="AB271" s="135" t="s">
        <v>865</v>
      </c>
      <c r="AC271" s="93"/>
      <c r="AD271" s="93"/>
      <c r="AE271" s="93" t="str">
        <f>IFERROR(VLOOKUP(H271,名称!A:D,4,0),"")</f>
        <v>河源</v>
      </c>
      <c r="AF271" s="98"/>
      <c r="AG271" s="98"/>
      <c r="AH271" s="105">
        <v>46135</v>
      </c>
      <c r="AI271" s="105">
        <v>46128</v>
      </c>
      <c r="AJ271" s="105"/>
      <c r="AK271" s="105" t="s">
        <v>420</v>
      </c>
      <c r="AL271" s="105">
        <v>46134</v>
      </c>
      <c r="AM271" s="105"/>
      <c r="AN271" s="105" t="s">
        <v>426</v>
      </c>
      <c r="AO271" s="100">
        <f t="shared" si="56"/>
        <v>132</v>
      </c>
      <c r="AP271" s="100">
        <f t="shared" si="57"/>
        <v>41</v>
      </c>
    </row>
    <row r="272" s="89" customFormat="1" hidden="1" customHeight="1" spans="1:42">
      <c r="A272" s="93">
        <v>46107</v>
      </c>
      <c r="B272" s="93" t="str">
        <f ca="1" t="shared" si="53"/>
        <v/>
      </c>
      <c r="C272" s="95" t="s">
        <v>237</v>
      </c>
      <c r="D272" s="93" t="s">
        <v>838</v>
      </c>
      <c r="E272" s="95" t="s">
        <v>438</v>
      </c>
      <c r="F272" s="96">
        <v>10123386</v>
      </c>
      <c r="G272" s="96" t="s">
        <v>268</v>
      </c>
      <c r="H272" s="97" t="s">
        <v>113</v>
      </c>
      <c r="I272" s="98" t="str">
        <f>IFERROR(VLOOKUP(H272,名称!A:C,2,0),"")</f>
        <v>绿色铲车</v>
      </c>
      <c r="J272" s="99">
        <v>3700</v>
      </c>
      <c r="K272" s="98">
        <f>IFERROR(VLOOKUP(H272,名称!A:D,3,0),"")</f>
        <v>2</v>
      </c>
      <c r="L272" s="100">
        <f t="shared" si="54"/>
        <v>1850</v>
      </c>
      <c r="M272" s="93">
        <v>46176</v>
      </c>
      <c r="N272" s="93">
        <f t="shared" ref="N272:N312" si="58">M272-2</f>
        <v>46174</v>
      </c>
      <c r="O272" s="151">
        <v>46183</v>
      </c>
      <c r="P272" s="93" t="s">
        <v>435</v>
      </c>
      <c r="Q272" s="97" t="s">
        <v>777</v>
      </c>
      <c r="R272" s="148" t="s">
        <v>418</v>
      </c>
      <c r="S272" s="93"/>
      <c r="T272" s="93" t="s">
        <v>452</v>
      </c>
      <c r="U272" s="93"/>
      <c r="V272" s="93"/>
      <c r="W272" s="97"/>
      <c r="X272" s="100" t="s">
        <v>839</v>
      </c>
      <c r="Y272" s="102">
        <v>5.97</v>
      </c>
      <c r="Z272" s="103">
        <f t="shared" si="51"/>
        <v>22089</v>
      </c>
      <c r="AA272" s="103">
        <f t="shared" si="52"/>
        <v>171189.75</v>
      </c>
      <c r="AB272" s="135" t="s">
        <v>866</v>
      </c>
      <c r="AC272" s="93"/>
      <c r="AD272" s="93"/>
      <c r="AE272" s="93" t="str">
        <f>IFERROR(VLOOKUP(H272,名称!A:D,4,0),"")</f>
        <v>KIK</v>
      </c>
      <c r="AF272" s="98"/>
      <c r="AG272" s="98"/>
      <c r="AH272" s="105">
        <v>46134</v>
      </c>
      <c r="AI272" s="105" t="s">
        <v>420</v>
      </c>
      <c r="AJ272" s="105"/>
      <c r="AK272" s="105">
        <v>46140</v>
      </c>
      <c r="AL272" s="105">
        <v>46134</v>
      </c>
      <c r="AM272" s="105"/>
      <c r="AN272" s="105"/>
      <c r="AO272" s="100">
        <f t="shared" si="56"/>
        <v>69</v>
      </c>
      <c r="AP272" s="100">
        <f t="shared" si="57"/>
        <v>42</v>
      </c>
    </row>
    <row r="273" s="89" customFormat="1" hidden="1" customHeight="1" spans="1:42">
      <c r="A273" s="155">
        <v>46149</v>
      </c>
      <c r="B273" s="93" t="str">
        <f ca="1" t="shared" si="53"/>
        <v/>
      </c>
      <c r="C273" s="156" t="s">
        <v>235</v>
      </c>
      <c r="D273" s="155" t="s">
        <v>421</v>
      </c>
      <c r="E273" s="157" t="s">
        <v>428</v>
      </c>
      <c r="F273" s="157">
        <v>10126801</v>
      </c>
      <c r="G273" s="158">
        <v>4500032770</v>
      </c>
      <c r="H273" s="157" t="s">
        <v>115</v>
      </c>
      <c r="I273" s="98" t="str">
        <f>IFERROR(VLOOKUP(H273,名称!A:C,2,0),"")</f>
        <v>布鲁伊混装</v>
      </c>
      <c r="J273" s="159">
        <v>2160</v>
      </c>
      <c r="K273" s="98">
        <f>IFERROR(VLOOKUP(H273,名称!A:D,3,0),"")</f>
        <v>4</v>
      </c>
      <c r="L273" s="100">
        <f t="shared" si="54"/>
        <v>540</v>
      </c>
      <c r="M273" s="155">
        <v>46190</v>
      </c>
      <c r="N273" s="155">
        <f t="shared" si="58"/>
        <v>46188</v>
      </c>
      <c r="O273" s="155">
        <v>46192</v>
      </c>
      <c r="P273" s="93" t="s">
        <v>439</v>
      </c>
      <c r="Q273" s="97" t="s">
        <v>424</v>
      </c>
      <c r="R273" s="148" t="s">
        <v>445</v>
      </c>
      <c r="S273" s="155"/>
      <c r="T273" s="155"/>
      <c r="U273" s="155"/>
      <c r="V273" s="160"/>
      <c r="W273" s="157"/>
      <c r="X273" s="140"/>
      <c r="Y273" s="161">
        <v>2.204</v>
      </c>
      <c r="Z273" s="103">
        <f t="shared" si="51"/>
        <v>4760.64</v>
      </c>
      <c r="AA273" s="103">
        <f t="shared" si="52"/>
        <v>36894.96</v>
      </c>
      <c r="AB273" s="135" t="s">
        <v>867</v>
      </c>
      <c r="AC273" s="155"/>
      <c r="AD273" s="155"/>
      <c r="AE273" s="93" t="str">
        <f>IFERROR(VLOOKUP(H273,名称!A:D,4,0),"")</f>
        <v>KIK</v>
      </c>
      <c r="AF273" s="157"/>
      <c r="AG273" s="157"/>
      <c r="AH273" s="162">
        <v>46171</v>
      </c>
      <c r="AI273" s="163"/>
      <c r="AJ273" s="164"/>
      <c r="AK273" s="164"/>
      <c r="AL273" s="162">
        <v>46171</v>
      </c>
      <c r="AM273" s="165"/>
      <c r="AN273" s="166">
        <v>46170</v>
      </c>
      <c r="AO273" s="106"/>
      <c r="AP273" s="106"/>
    </row>
    <row r="274" s="89" customFormat="1" hidden="1" customHeight="1" spans="1:42">
      <c r="A274" s="93">
        <v>46088</v>
      </c>
      <c r="B274" s="93" t="str">
        <f ca="1" t="shared" si="53"/>
        <v/>
      </c>
      <c r="C274" s="95" t="s">
        <v>235</v>
      </c>
      <c r="D274" s="93" t="s">
        <v>421</v>
      </c>
      <c r="E274" s="95" t="s">
        <v>422</v>
      </c>
      <c r="F274" s="96">
        <v>10121640</v>
      </c>
      <c r="G274" s="96">
        <v>4500032389</v>
      </c>
      <c r="H274" s="97" t="s">
        <v>97</v>
      </c>
      <c r="I274" s="98" t="str">
        <f>IFERROR(VLOOKUP(H274,名称!A:C,2,0),"")</f>
        <v>管道马里奥</v>
      </c>
      <c r="J274" s="99">
        <v>2460</v>
      </c>
      <c r="K274" s="98">
        <f>IFERROR(VLOOKUP(H274,名称!A:D,3,0),"")</f>
        <v>4</v>
      </c>
      <c r="L274" s="100">
        <f t="shared" si="54"/>
        <v>615</v>
      </c>
      <c r="M274" s="93">
        <v>46197</v>
      </c>
      <c r="N274" s="93">
        <f t="shared" si="58"/>
        <v>46195</v>
      </c>
      <c r="O274" s="147">
        <v>46178</v>
      </c>
      <c r="P274" s="93" t="s">
        <v>435</v>
      </c>
      <c r="Q274" s="97" t="s">
        <v>424</v>
      </c>
      <c r="R274" s="148" t="s">
        <v>763</v>
      </c>
      <c r="S274" s="93"/>
      <c r="T274" s="93"/>
      <c r="U274" s="93"/>
      <c r="V274" s="93"/>
      <c r="W274" s="97"/>
      <c r="X274" s="100"/>
      <c r="Y274" s="102">
        <v>3.362</v>
      </c>
      <c r="Z274" s="103">
        <f t="shared" si="51"/>
        <v>8270.52</v>
      </c>
      <c r="AA274" s="103">
        <f t="shared" si="52"/>
        <v>64096.53</v>
      </c>
      <c r="AB274" s="135" t="s">
        <v>867</v>
      </c>
      <c r="AC274" s="93"/>
      <c r="AD274" s="93"/>
      <c r="AE274" s="93" t="str">
        <f>IFERROR(VLOOKUP(H274,名称!A:D,4,0),"")</f>
        <v>KIK</v>
      </c>
      <c r="AF274" s="98"/>
      <c r="AG274" s="98"/>
      <c r="AH274" s="105">
        <v>46118</v>
      </c>
      <c r="AI274" s="105" t="s">
        <v>420</v>
      </c>
      <c r="AJ274" s="105"/>
      <c r="AK274" s="105" t="s">
        <v>420</v>
      </c>
      <c r="AL274" s="105" t="s">
        <v>420</v>
      </c>
      <c r="AM274" s="105"/>
      <c r="AN274" s="105"/>
      <c r="AO274" s="100">
        <f t="shared" ref="AO274:AO312" si="59">M274-A274</f>
        <v>109</v>
      </c>
      <c r="AP274" s="100">
        <f t="shared" ref="AP274:AP312" si="60">M274-AH274</f>
        <v>79</v>
      </c>
    </row>
    <row r="275" s="89" customFormat="1" hidden="1" customHeight="1" spans="1:42">
      <c r="A275" s="93">
        <v>46091</v>
      </c>
      <c r="B275" s="93" t="str">
        <f ca="1" t="shared" si="53"/>
        <v/>
      </c>
      <c r="C275" s="95" t="s">
        <v>235</v>
      </c>
      <c r="D275" s="93" t="s">
        <v>421</v>
      </c>
      <c r="E275" s="95" t="s">
        <v>422</v>
      </c>
      <c r="F275" s="96">
        <v>10121711</v>
      </c>
      <c r="G275" s="96">
        <v>4500032422</v>
      </c>
      <c r="H275" s="97" t="s">
        <v>142</v>
      </c>
      <c r="I275" s="98" t="str">
        <f>IFERROR(VLOOKUP(H275,名称!A:C,2,0),"")</f>
        <v>浮水马里奥</v>
      </c>
      <c r="J275" s="99">
        <v>1599</v>
      </c>
      <c r="K275" s="98">
        <f>IFERROR(VLOOKUP(H275,名称!A:D,3,0),"")</f>
        <v>3</v>
      </c>
      <c r="L275" s="100">
        <f t="shared" si="54"/>
        <v>533</v>
      </c>
      <c r="M275" s="93">
        <v>46190</v>
      </c>
      <c r="N275" s="93">
        <f t="shared" si="58"/>
        <v>46188</v>
      </c>
      <c r="O275" s="150">
        <v>46196</v>
      </c>
      <c r="P275" s="93" t="s">
        <v>435</v>
      </c>
      <c r="Q275" s="97" t="s">
        <v>424</v>
      </c>
      <c r="R275" s="148" t="s">
        <v>826</v>
      </c>
      <c r="S275" s="93"/>
      <c r="T275" s="93"/>
      <c r="U275" s="93"/>
      <c r="V275" s="93"/>
      <c r="W275" s="97"/>
      <c r="X275" s="100"/>
      <c r="Y275" s="102">
        <v>3.151</v>
      </c>
      <c r="Z275" s="103">
        <f t="shared" si="51"/>
        <v>5038.45</v>
      </c>
      <c r="AA275" s="103">
        <f t="shared" si="52"/>
        <v>39047.99</v>
      </c>
      <c r="AB275" s="135" t="s">
        <v>867</v>
      </c>
      <c r="AC275" s="93"/>
      <c r="AD275" s="93"/>
      <c r="AE275" s="93" t="str">
        <f>IFERROR(VLOOKUP(H275,名称!A:D,4,0),"")</f>
        <v>KIK</v>
      </c>
      <c r="AF275" s="98"/>
      <c r="AG275" s="98"/>
      <c r="AH275" s="105">
        <v>46139</v>
      </c>
      <c r="AI275" s="105">
        <v>46149</v>
      </c>
      <c r="AJ275" s="105"/>
      <c r="AK275" s="105" t="s">
        <v>420</v>
      </c>
      <c r="AL275" s="105">
        <v>46134</v>
      </c>
      <c r="AM275" s="105"/>
      <c r="AN275" s="105">
        <v>46141</v>
      </c>
      <c r="AO275" s="100">
        <f t="shared" si="59"/>
        <v>99</v>
      </c>
      <c r="AP275" s="100">
        <f t="shared" si="60"/>
        <v>51</v>
      </c>
    </row>
    <row r="276" s="89" customFormat="1" hidden="1" customHeight="1" spans="1:42">
      <c r="A276" s="93">
        <v>46091</v>
      </c>
      <c r="B276" s="93" t="str">
        <f ca="1" t="shared" si="53"/>
        <v/>
      </c>
      <c r="C276" s="95" t="s">
        <v>235</v>
      </c>
      <c r="D276" s="93" t="s">
        <v>421</v>
      </c>
      <c r="E276" s="95" t="s">
        <v>422</v>
      </c>
      <c r="F276" s="96">
        <v>10121711</v>
      </c>
      <c r="G276" s="96">
        <v>4500032422</v>
      </c>
      <c r="H276" s="97" t="s">
        <v>142</v>
      </c>
      <c r="I276" s="98" t="str">
        <f>IFERROR(VLOOKUP(H276,名称!A:C,2,0),"")</f>
        <v>浮水马里奥</v>
      </c>
      <c r="J276" s="99">
        <v>3000</v>
      </c>
      <c r="K276" s="98">
        <f>IFERROR(VLOOKUP(H276,名称!A:D,3,0),"")</f>
        <v>3</v>
      </c>
      <c r="L276" s="100">
        <f t="shared" si="54"/>
        <v>1000</v>
      </c>
      <c r="M276" s="93">
        <v>46190</v>
      </c>
      <c r="N276" s="93">
        <f t="shared" si="58"/>
        <v>46188</v>
      </c>
      <c r="O276" s="150">
        <v>46196</v>
      </c>
      <c r="P276" s="93" t="s">
        <v>435</v>
      </c>
      <c r="Q276" s="97" t="s">
        <v>424</v>
      </c>
      <c r="R276" s="148" t="s">
        <v>425</v>
      </c>
      <c r="S276" s="93"/>
      <c r="T276" s="93"/>
      <c r="U276" s="93"/>
      <c r="V276" s="93"/>
      <c r="W276" s="97"/>
      <c r="X276" s="100"/>
      <c r="Y276" s="102">
        <v>3.151</v>
      </c>
      <c r="Z276" s="103">
        <f t="shared" si="51"/>
        <v>9453</v>
      </c>
      <c r="AA276" s="103">
        <f t="shared" si="52"/>
        <v>73260.75</v>
      </c>
      <c r="AB276" s="135" t="s">
        <v>867</v>
      </c>
      <c r="AC276" s="93"/>
      <c r="AD276" s="93"/>
      <c r="AE276" s="93" t="str">
        <f>IFERROR(VLOOKUP(H276,名称!A:D,4,0),"")</f>
        <v>KIK</v>
      </c>
      <c r="AF276" s="98"/>
      <c r="AG276" s="98"/>
      <c r="AH276" s="105">
        <v>46139</v>
      </c>
      <c r="AI276" s="105">
        <v>46157</v>
      </c>
      <c r="AJ276" s="105"/>
      <c r="AK276" s="105" t="s">
        <v>420</v>
      </c>
      <c r="AL276" s="105">
        <v>46134</v>
      </c>
      <c r="AM276" s="105"/>
      <c r="AN276" s="105">
        <v>46141</v>
      </c>
      <c r="AO276" s="100">
        <f t="shared" si="59"/>
        <v>99</v>
      </c>
      <c r="AP276" s="100">
        <f t="shared" si="60"/>
        <v>51</v>
      </c>
    </row>
    <row r="277" s="89" customFormat="1" hidden="1" customHeight="1" spans="1:42">
      <c r="A277" s="93">
        <v>46114</v>
      </c>
      <c r="B277" s="93" t="str">
        <f ca="1" t="shared" si="53"/>
        <v/>
      </c>
      <c r="C277" s="95" t="s">
        <v>237</v>
      </c>
      <c r="D277" s="93" t="s">
        <v>838</v>
      </c>
      <c r="E277" s="95" t="s">
        <v>438</v>
      </c>
      <c r="F277" s="96">
        <v>10124082</v>
      </c>
      <c r="G277" s="96" t="s">
        <v>275</v>
      </c>
      <c r="H277" s="97" t="s">
        <v>113</v>
      </c>
      <c r="I277" s="98" t="str">
        <f>IFERROR(VLOOKUP(H277,名称!A:C,2,0),"")</f>
        <v>绿色铲车</v>
      </c>
      <c r="J277" s="99">
        <v>1744</v>
      </c>
      <c r="K277" s="98">
        <f>IFERROR(VLOOKUP(H277,名称!A:D,3,0),"")</f>
        <v>2</v>
      </c>
      <c r="L277" s="100">
        <f t="shared" si="54"/>
        <v>872</v>
      </c>
      <c r="M277" s="93">
        <v>46176</v>
      </c>
      <c r="N277" s="93">
        <f t="shared" si="58"/>
        <v>46174</v>
      </c>
      <c r="O277" s="151">
        <v>46183</v>
      </c>
      <c r="P277" s="93" t="s">
        <v>435</v>
      </c>
      <c r="Q277" s="97" t="s">
        <v>777</v>
      </c>
      <c r="R277" s="148" t="s">
        <v>771</v>
      </c>
      <c r="S277" s="93"/>
      <c r="T277" s="93" t="s">
        <v>452</v>
      </c>
      <c r="U277" s="93"/>
      <c r="V277" s="93"/>
      <c r="W277" s="97"/>
      <c r="X277" s="100" t="s">
        <v>839</v>
      </c>
      <c r="Y277" s="102">
        <v>5.97</v>
      </c>
      <c r="Z277" s="103">
        <f t="shared" si="51"/>
        <v>10411.68</v>
      </c>
      <c r="AA277" s="103">
        <f t="shared" si="52"/>
        <v>80690.52</v>
      </c>
      <c r="AB277" s="135" t="s">
        <v>868</v>
      </c>
      <c r="AC277" s="93"/>
      <c r="AD277" s="93"/>
      <c r="AE277" s="93" t="str">
        <f>IFERROR(VLOOKUP(H277,名称!A:D,4,0),"")</f>
        <v>KIK</v>
      </c>
      <c r="AF277" s="98"/>
      <c r="AG277" s="98"/>
      <c r="AH277" s="105">
        <v>46134</v>
      </c>
      <c r="AI277" s="105" t="s">
        <v>420</v>
      </c>
      <c r="AJ277" s="105"/>
      <c r="AK277" s="105">
        <v>46140</v>
      </c>
      <c r="AL277" s="105">
        <v>46134</v>
      </c>
      <c r="AM277" s="105"/>
      <c r="AN277" s="105"/>
      <c r="AO277" s="100">
        <f t="shared" si="59"/>
        <v>62</v>
      </c>
      <c r="AP277" s="100">
        <f t="shared" si="60"/>
        <v>42</v>
      </c>
    </row>
    <row r="278" s="89" customFormat="1" hidden="1" customHeight="1" spans="1:42">
      <c r="A278" s="93">
        <v>46114</v>
      </c>
      <c r="B278" s="93" t="str">
        <f ca="1" t="shared" si="53"/>
        <v/>
      </c>
      <c r="C278" s="95" t="s">
        <v>237</v>
      </c>
      <c r="D278" s="93" t="s">
        <v>838</v>
      </c>
      <c r="E278" s="95" t="s">
        <v>438</v>
      </c>
      <c r="F278" s="96">
        <v>10124082</v>
      </c>
      <c r="G278" s="96" t="s">
        <v>275</v>
      </c>
      <c r="H278" s="97" t="s">
        <v>107</v>
      </c>
      <c r="I278" s="98" t="str">
        <f>IFERROR(VLOOKUP(H278,名称!A:C,2,0),"")</f>
        <v>农场女孩套装</v>
      </c>
      <c r="J278" s="99">
        <v>648</v>
      </c>
      <c r="K278" s="98">
        <f>IFERROR(VLOOKUP(H278,名称!A:D,3,0),"")</f>
        <v>4</v>
      </c>
      <c r="L278" s="100">
        <f t="shared" si="54"/>
        <v>162</v>
      </c>
      <c r="M278" s="93">
        <v>46176</v>
      </c>
      <c r="N278" s="93">
        <f t="shared" si="58"/>
        <v>46174</v>
      </c>
      <c r="O278" s="151">
        <v>46177</v>
      </c>
      <c r="P278" s="93" t="s">
        <v>435</v>
      </c>
      <c r="Q278" s="97" t="s">
        <v>777</v>
      </c>
      <c r="R278" s="148" t="s">
        <v>771</v>
      </c>
      <c r="S278" s="93"/>
      <c r="T278" s="93" t="s">
        <v>452</v>
      </c>
      <c r="U278" s="93"/>
      <c r="V278" s="93"/>
      <c r="W278" s="97"/>
      <c r="X278" s="100" t="s">
        <v>839</v>
      </c>
      <c r="Y278" s="102">
        <v>4.956</v>
      </c>
      <c r="Z278" s="103">
        <f t="shared" si="51"/>
        <v>3211.49</v>
      </c>
      <c r="AA278" s="103">
        <f t="shared" si="52"/>
        <v>24889.05</v>
      </c>
      <c r="AB278" s="135" t="s">
        <v>868</v>
      </c>
      <c r="AC278" s="93"/>
      <c r="AD278" s="93"/>
      <c r="AE278" s="93" t="str">
        <f>IFERROR(VLOOKUP(H278,名称!A:D,4,0),"")</f>
        <v>KIK</v>
      </c>
      <c r="AF278" s="98"/>
      <c r="AG278" s="98"/>
      <c r="AH278" s="105">
        <v>46121</v>
      </c>
      <c r="AI278" s="105">
        <v>46128</v>
      </c>
      <c r="AJ278" s="105"/>
      <c r="AK278" s="105" t="s">
        <v>420</v>
      </c>
      <c r="AL278" s="105" t="s">
        <v>420</v>
      </c>
      <c r="AM278" s="105"/>
      <c r="AN278" s="105"/>
      <c r="AO278" s="100">
        <f t="shared" si="59"/>
        <v>62</v>
      </c>
      <c r="AP278" s="100">
        <f t="shared" si="60"/>
        <v>55</v>
      </c>
    </row>
    <row r="279" s="89" customFormat="1" hidden="1" customHeight="1" spans="1:42">
      <c r="A279" s="93">
        <v>46114</v>
      </c>
      <c r="B279" s="93" t="str">
        <f ca="1" t="shared" si="53"/>
        <v/>
      </c>
      <c r="C279" s="95" t="s">
        <v>237</v>
      </c>
      <c r="D279" s="93" t="s">
        <v>838</v>
      </c>
      <c r="E279" s="95" t="s">
        <v>438</v>
      </c>
      <c r="F279" s="96">
        <v>10124082</v>
      </c>
      <c r="G279" s="96" t="s">
        <v>275</v>
      </c>
      <c r="H279" s="97" t="s">
        <v>105</v>
      </c>
      <c r="I279" s="98" t="str">
        <f>IFERROR(VLOOKUP(H279,名称!A:C,2,0),"")</f>
        <v>农场男孩套装</v>
      </c>
      <c r="J279" s="99">
        <v>432</v>
      </c>
      <c r="K279" s="98">
        <f>IFERROR(VLOOKUP(H279,名称!A:D,3,0),"")</f>
        <v>4</v>
      </c>
      <c r="L279" s="100">
        <f t="shared" si="54"/>
        <v>108</v>
      </c>
      <c r="M279" s="93">
        <v>46176</v>
      </c>
      <c r="N279" s="93">
        <f t="shared" si="58"/>
        <v>46174</v>
      </c>
      <c r="O279" s="151">
        <v>46177</v>
      </c>
      <c r="P279" s="93" t="s">
        <v>435</v>
      </c>
      <c r="Q279" s="97" t="s">
        <v>777</v>
      </c>
      <c r="R279" s="154" t="s">
        <v>782</v>
      </c>
      <c r="S279" s="93"/>
      <c r="T279" s="93" t="s">
        <v>452</v>
      </c>
      <c r="U279" s="93"/>
      <c r="V279" s="93"/>
      <c r="W279" s="97"/>
      <c r="X279" s="100" t="s">
        <v>839</v>
      </c>
      <c r="Y279" s="102">
        <v>2.994</v>
      </c>
      <c r="Z279" s="103">
        <f t="shared" si="51"/>
        <v>1293.41</v>
      </c>
      <c r="AA279" s="103">
        <f t="shared" si="52"/>
        <v>10023.93</v>
      </c>
      <c r="AB279" s="135" t="s">
        <v>868</v>
      </c>
      <c r="AC279" s="93"/>
      <c r="AD279" s="93"/>
      <c r="AE279" s="93" t="str">
        <f>IFERROR(VLOOKUP(H279,名称!A:D,4,0),"")</f>
        <v>KIK</v>
      </c>
      <c r="AF279" s="98"/>
      <c r="AG279" s="98"/>
      <c r="AH279" s="105">
        <v>46121</v>
      </c>
      <c r="AI279" s="105">
        <v>46128</v>
      </c>
      <c r="AJ279" s="105"/>
      <c r="AK279" s="105" t="s">
        <v>420</v>
      </c>
      <c r="AL279" s="105" t="s">
        <v>420</v>
      </c>
      <c r="AM279" s="105"/>
      <c r="AN279" s="105"/>
      <c r="AO279" s="100">
        <f t="shared" si="59"/>
        <v>62</v>
      </c>
      <c r="AP279" s="100">
        <f t="shared" si="60"/>
        <v>55</v>
      </c>
    </row>
    <row r="280" s="89" customFormat="1" hidden="1" customHeight="1" spans="1:42">
      <c r="A280" s="93">
        <v>46114</v>
      </c>
      <c r="B280" s="93" t="str">
        <f ca="1" t="shared" si="53"/>
        <v/>
      </c>
      <c r="C280" s="95" t="s">
        <v>237</v>
      </c>
      <c r="D280" s="93" t="s">
        <v>838</v>
      </c>
      <c r="E280" s="95" t="s">
        <v>438</v>
      </c>
      <c r="F280" s="96">
        <v>10124082</v>
      </c>
      <c r="G280" s="96" t="s">
        <v>275</v>
      </c>
      <c r="H280" s="97" t="s">
        <v>109</v>
      </c>
      <c r="I280" s="98" t="str">
        <f>IFERROR(VLOOKUP(H280,名称!A:C,2,0),"")</f>
        <v>红色铲车</v>
      </c>
      <c r="J280" s="99">
        <v>336</v>
      </c>
      <c r="K280" s="98">
        <f>IFERROR(VLOOKUP(H280,名称!A:D,3,0),"")</f>
        <v>4</v>
      </c>
      <c r="L280" s="100">
        <f t="shared" si="54"/>
        <v>84</v>
      </c>
      <c r="M280" s="93">
        <v>46176</v>
      </c>
      <c r="N280" s="93">
        <f t="shared" si="58"/>
        <v>46174</v>
      </c>
      <c r="O280" s="151">
        <v>46175</v>
      </c>
      <c r="P280" s="93" t="s">
        <v>435</v>
      </c>
      <c r="Q280" s="97" t="s">
        <v>777</v>
      </c>
      <c r="R280" s="148" t="s">
        <v>431</v>
      </c>
      <c r="S280" s="93"/>
      <c r="T280" s="93"/>
      <c r="U280" s="93"/>
      <c r="V280" s="93"/>
      <c r="W280" s="97"/>
      <c r="X280" s="100" t="s">
        <v>839</v>
      </c>
      <c r="Y280" s="102">
        <v>3.886</v>
      </c>
      <c r="Z280" s="103">
        <f t="shared" si="51"/>
        <v>1305.7</v>
      </c>
      <c r="AA280" s="103">
        <f t="shared" si="52"/>
        <v>10119.18</v>
      </c>
      <c r="AB280" s="135" t="s">
        <v>868</v>
      </c>
      <c r="AC280" s="93"/>
      <c r="AD280" s="93"/>
      <c r="AE280" s="93" t="str">
        <f>IFERROR(VLOOKUP(H280,名称!A:D,4,0),"")</f>
        <v>KIK</v>
      </c>
      <c r="AF280" s="98"/>
      <c r="AG280" s="98"/>
      <c r="AH280" s="105">
        <v>46128</v>
      </c>
      <c r="AI280" s="105" t="s">
        <v>420</v>
      </c>
      <c r="AJ280" s="105"/>
      <c r="AK280" s="127">
        <v>46135</v>
      </c>
      <c r="AL280" s="105">
        <v>46128</v>
      </c>
      <c r="AM280" s="105"/>
      <c r="AN280" s="105"/>
      <c r="AO280" s="100">
        <f t="shared" si="59"/>
        <v>62</v>
      </c>
      <c r="AP280" s="100">
        <f t="shared" si="60"/>
        <v>48</v>
      </c>
    </row>
    <row r="281" s="89" customFormat="1" hidden="1" customHeight="1" spans="1:42">
      <c r="A281" s="93">
        <v>46114</v>
      </c>
      <c r="B281" s="93" t="str">
        <f ca="1" t="shared" si="53"/>
        <v/>
      </c>
      <c r="C281" s="95" t="s">
        <v>237</v>
      </c>
      <c r="D281" s="93" t="s">
        <v>838</v>
      </c>
      <c r="E281" s="95" t="s">
        <v>438</v>
      </c>
      <c r="F281" s="96">
        <v>10124082</v>
      </c>
      <c r="G281" s="96" t="s">
        <v>275</v>
      </c>
      <c r="H281" s="97" t="s">
        <v>35</v>
      </c>
      <c r="I281" s="98" t="str">
        <f>IFERROR(VLOOKUP(H281,名称!A:C,2,0),"")</f>
        <v>1:16拖车厢</v>
      </c>
      <c r="J281" s="99">
        <v>200</v>
      </c>
      <c r="K281" s="98">
        <f>IFERROR(VLOOKUP(H281,名称!A:D,3,0),"")</f>
        <v>2</v>
      </c>
      <c r="L281" s="100">
        <f t="shared" si="54"/>
        <v>100</v>
      </c>
      <c r="M281" s="93">
        <v>46176</v>
      </c>
      <c r="N281" s="93">
        <f t="shared" si="58"/>
        <v>46174</v>
      </c>
      <c r="O281" s="151">
        <v>46176</v>
      </c>
      <c r="P281" s="93" t="s">
        <v>435</v>
      </c>
      <c r="Q281" s="97" t="s">
        <v>777</v>
      </c>
      <c r="R281" s="148" t="s">
        <v>826</v>
      </c>
      <c r="S281" s="93"/>
      <c r="T281" s="93"/>
      <c r="U281" s="93"/>
      <c r="V281" s="93"/>
      <c r="W281" s="97"/>
      <c r="X281" s="100" t="s">
        <v>839</v>
      </c>
      <c r="Y281" s="102">
        <v>22.9</v>
      </c>
      <c r="Z281" s="103">
        <f t="shared" si="51"/>
        <v>4580</v>
      </c>
      <c r="AA281" s="103">
        <f t="shared" si="52"/>
        <v>35495</v>
      </c>
      <c r="AB281" s="135" t="s">
        <v>868</v>
      </c>
      <c r="AC281" s="93"/>
      <c r="AD281" s="93"/>
      <c r="AE281" s="93" t="str">
        <f>IFERROR(VLOOKUP(H281,名称!A:D,4,0),"")</f>
        <v>KIK</v>
      </c>
      <c r="AF281" s="98"/>
      <c r="AG281" s="98"/>
      <c r="AH281" s="105">
        <v>46146</v>
      </c>
      <c r="AI281" s="105">
        <v>46171</v>
      </c>
      <c r="AJ281" s="105"/>
      <c r="AK281" s="105">
        <v>46146</v>
      </c>
      <c r="AL281" s="105">
        <v>46140</v>
      </c>
      <c r="AM281" s="105"/>
      <c r="AN281" s="105"/>
      <c r="AO281" s="100">
        <f t="shared" si="59"/>
        <v>62</v>
      </c>
      <c r="AP281" s="100">
        <f t="shared" si="60"/>
        <v>30</v>
      </c>
    </row>
    <row r="282" s="89" customFormat="1" hidden="1" customHeight="1" spans="1:42">
      <c r="A282" s="93">
        <v>46114</v>
      </c>
      <c r="B282" s="93" t="str">
        <f ca="1" t="shared" si="53"/>
        <v/>
      </c>
      <c r="C282" s="95" t="s">
        <v>237</v>
      </c>
      <c r="D282" s="93" t="s">
        <v>838</v>
      </c>
      <c r="E282" s="95" t="s">
        <v>438</v>
      </c>
      <c r="F282" s="96">
        <v>10124082</v>
      </c>
      <c r="G282" s="96" t="s">
        <v>275</v>
      </c>
      <c r="H282" s="97">
        <v>47669</v>
      </c>
      <c r="I282" s="98" t="str">
        <f>IFERROR(VLOOKUP(H282,名称!A:C,2,0),"")</f>
        <v>动物车</v>
      </c>
      <c r="J282" s="99">
        <v>412</v>
      </c>
      <c r="K282" s="98">
        <f>IFERROR(VLOOKUP(H282,名称!A:D,3,0),"")</f>
        <v>4</v>
      </c>
      <c r="L282" s="100">
        <f t="shared" si="54"/>
        <v>103</v>
      </c>
      <c r="M282" s="93">
        <v>46176</v>
      </c>
      <c r="N282" s="93">
        <f t="shared" si="58"/>
        <v>46174</v>
      </c>
      <c r="O282" s="151">
        <v>46182</v>
      </c>
      <c r="P282" s="93" t="s">
        <v>435</v>
      </c>
      <c r="Q282" s="97" t="s">
        <v>777</v>
      </c>
      <c r="R282" s="148" t="s">
        <v>418</v>
      </c>
      <c r="S282" s="93"/>
      <c r="T282" s="93" t="s">
        <v>452</v>
      </c>
      <c r="U282" s="93"/>
      <c r="V282" s="93"/>
      <c r="W282" s="97"/>
      <c r="X282" s="100" t="s">
        <v>839</v>
      </c>
      <c r="Y282" s="102">
        <v>4.808</v>
      </c>
      <c r="Z282" s="103">
        <f t="shared" si="51"/>
        <v>1980.9</v>
      </c>
      <c r="AA282" s="103">
        <f t="shared" si="52"/>
        <v>15351.98</v>
      </c>
      <c r="AB282" s="135" t="s">
        <v>868</v>
      </c>
      <c r="AC282" s="98"/>
      <c r="AD282" s="105"/>
      <c r="AE282" s="93" t="s">
        <v>12</v>
      </c>
      <c r="AF282" s="105">
        <v>46115</v>
      </c>
      <c r="AG282" s="105"/>
      <c r="AH282" s="105">
        <v>46115</v>
      </c>
      <c r="AI282" s="105">
        <v>46135</v>
      </c>
      <c r="AJ282" s="105"/>
      <c r="AK282" s="105" t="s">
        <v>420</v>
      </c>
      <c r="AL282" s="105" t="s">
        <v>420</v>
      </c>
      <c r="AM282" s="100"/>
      <c r="AN282" s="139"/>
      <c r="AO282" s="100">
        <f t="shared" si="59"/>
        <v>62</v>
      </c>
      <c r="AP282" s="100">
        <f t="shared" si="60"/>
        <v>61</v>
      </c>
    </row>
    <row r="283" s="89" customFormat="1" hidden="1" customHeight="1" spans="1:42">
      <c r="A283" s="93">
        <v>46114</v>
      </c>
      <c r="B283" s="93" t="str">
        <f ca="1" t="shared" si="53"/>
        <v/>
      </c>
      <c r="C283" s="95" t="s">
        <v>237</v>
      </c>
      <c r="D283" s="93" t="s">
        <v>838</v>
      </c>
      <c r="E283" s="95" t="s">
        <v>438</v>
      </c>
      <c r="F283" s="96">
        <v>10124082</v>
      </c>
      <c r="G283" s="96" t="s">
        <v>275</v>
      </c>
      <c r="H283" s="97" t="s">
        <v>29</v>
      </c>
      <c r="I283" s="98" t="str">
        <f>IFERROR(VLOOKUP(H283,名称!A:C,2,0),"")</f>
        <v>木材运输车</v>
      </c>
      <c r="J283" s="99">
        <v>52</v>
      </c>
      <c r="K283" s="98">
        <f>IFERROR(VLOOKUP(H283,名称!A:D,3,0),"")</f>
        <v>4</v>
      </c>
      <c r="L283" s="100">
        <f t="shared" si="54"/>
        <v>13</v>
      </c>
      <c r="M283" s="93">
        <v>46197</v>
      </c>
      <c r="N283" s="93">
        <f t="shared" si="58"/>
        <v>46195</v>
      </c>
      <c r="O283" s="93">
        <v>46197</v>
      </c>
      <c r="P283" s="93" t="s">
        <v>435</v>
      </c>
      <c r="Q283" s="97" t="s">
        <v>777</v>
      </c>
      <c r="R283" s="148" t="s">
        <v>776</v>
      </c>
      <c r="S283" s="93"/>
      <c r="T283" s="93"/>
      <c r="U283" s="93"/>
      <c r="V283" s="93"/>
      <c r="W283" s="97"/>
      <c r="X283" s="100" t="s">
        <v>839</v>
      </c>
      <c r="Y283" s="102">
        <v>21.801</v>
      </c>
      <c r="Z283" s="103">
        <f t="shared" si="51"/>
        <v>1133.65</v>
      </c>
      <c r="AA283" s="103">
        <f t="shared" si="52"/>
        <v>8785.79</v>
      </c>
      <c r="AB283" s="135" t="s">
        <v>868</v>
      </c>
      <c r="AC283" s="93"/>
      <c r="AD283" s="93"/>
      <c r="AE283" s="93" t="str">
        <f>IFERROR(VLOOKUP(H283,名称!A:D,4,0),"")</f>
        <v>KIK</v>
      </c>
      <c r="AF283" s="98"/>
      <c r="AG283" s="98"/>
      <c r="AH283" s="105">
        <v>46139</v>
      </c>
      <c r="AI283" s="105" t="s">
        <v>828</v>
      </c>
      <c r="AJ283" s="105"/>
      <c r="AK283" s="105">
        <v>46156</v>
      </c>
      <c r="AL283" s="105">
        <v>46140</v>
      </c>
      <c r="AM283" s="105"/>
      <c r="AN283" s="105"/>
      <c r="AO283" s="100">
        <f t="shared" si="59"/>
        <v>83</v>
      </c>
      <c r="AP283" s="100">
        <f t="shared" si="60"/>
        <v>58</v>
      </c>
    </row>
    <row r="284" s="89" customFormat="1" hidden="1" customHeight="1" spans="1:42">
      <c r="A284" s="93">
        <v>46115</v>
      </c>
      <c r="B284" s="93" t="str">
        <f ca="1" t="shared" si="53"/>
        <v/>
      </c>
      <c r="C284" s="95" t="s">
        <v>237</v>
      </c>
      <c r="D284" s="93" t="s">
        <v>838</v>
      </c>
      <c r="E284" s="95" t="s">
        <v>438</v>
      </c>
      <c r="F284" s="96">
        <v>10124130</v>
      </c>
      <c r="G284" s="96">
        <v>187625003</v>
      </c>
      <c r="H284" s="97" t="s">
        <v>113</v>
      </c>
      <c r="I284" s="98" t="str">
        <f>IFERROR(VLOOKUP(H284,名称!A:C,2,0),"")</f>
        <v>绿色铲车</v>
      </c>
      <c r="J284" s="99">
        <v>210</v>
      </c>
      <c r="K284" s="98">
        <f>IFERROR(VLOOKUP(H284,名称!A:D,3,0),"")</f>
        <v>2</v>
      </c>
      <c r="L284" s="100">
        <f t="shared" si="54"/>
        <v>105</v>
      </c>
      <c r="M284" s="93">
        <v>46176</v>
      </c>
      <c r="N284" s="93">
        <f t="shared" si="58"/>
        <v>46174</v>
      </c>
      <c r="O284" s="151">
        <v>46183</v>
      </c>
      <c r="P284" s="93" t="s">
        <v>435</v>
      </c>
      <c r="Q284" s="97" t="s">
        <v>777</v>
      </c>
      <c r="R284" s="154" t="s">
        <v>782</v>
      </c>
      <c r="S284" s="93"/>
      <c r="T284" s="93" t="s">
        <v>452</v>
      </c>
      <c r="U284" s="93"/>
      <c r="V284" s="93"/>
      <c r="W284" s="97"/>
      <c r="X284" s="100" t="s">
        <v>839</v>
      </c>
      <c r="Y284" s="102">
        <v>5.97</v>
      </c>
      <c r="Z284" s="103">
        <f t="shared" ref="Z238:Z299" si="61">J284*Y284</f>
        <v>1253.7</v>
      </c>
      <c r="AA284" s="103">
        <f t="shared" ref="AA238:AA299" si="62">Z284*7.75</f>
        <v>9716.18</v>
      </c>
      <c r="AB284" s="135" t="s">
        <v>869</v>
      </c>
      <c r="AC284" s="93"/>
      <c r="AD284" s="93"/>
      <c r="AE284" s="93" t="str">
        <f>IFERROR(VLOOKUP(H284,名称!A:D,4,0),"")</f>
        <v>KIK</v>
      </c>
      <c r="AF284" s="98"/>
      <c r="AG284" s="98"/>
      <c r="AH284" s="105">
        <v>46134</v>
      </c>
      <c r="AI284" s="105" t="s">
        <v>420</v>
      </c>
      <c r="AJ284" s="105"/>
      <c r="AK284" s="105">
        <v>46140</v>
      </c>
      <c r="AL284" s="105">
        <v>46134</v>
      </c>
      <c r="AM284" s="105"/>
      <c r="AN284" s="105"/>
      <c r="AO284" s="100">
        <f t="shared" si="59"/>
        <v>61</v>
      </c>
      <c r="AP284" s="100">
        <f t="shared" si="60"/>
        <v>42</v>
      </c>
    </row>
    <row r="285" s="89" customFormat="1" hidden="1" customHeight="1" spans="1:42">
      <c r="A285" s="93">
        <v>46115</v>
      </c>
      <c r="B285" s="93" t="str">
        <f ca="1" t="shared" si="53"/>
        <v/>
      </c>
      <c r="C285" s="95" t="s">
        <v>237</v>
      </c>
      <c r="D285" s="93" t="s">
        <v>838</v>
      </c>
      <c r="E285" s="95" t="s">
        <v>438</v>
      </c>
      <c r="F285" s="96">
        <v>10124130</v>
      </c>
      <c r="G285" s="96">
        <v>187625003</v>
      </c>
      <c r="H285" s="97" t="s">
        <v>105</v>
      </c>
      <c r="I285" s="98" t="str">
        <f>IFERROR(VLOOKUP(H285,名称!A:C,2,0),"")</f>
        <v>农场男孩套装</v>
      </c>
      <c r="J285" s="99">
        <v>100</v>
      </c>
      <c r="K285" s="98">
        <f>IFERROR(VLOOKUP(H285,名称!A:D,3,0),"")</f>
        <v>4</v>
      </c>
      <c r="L285" s="100">
        <f t="shared" si="54"/>
        <v>25</v>
      </c>
      <c r="M285" s="93">
        <v>46176</v>
      </c>
      <c r="N285" s="93">
        <f t="shared" si="58"/>
        <v>46174</v>
      </c>
      <c r="O285" s="151">
        <v>46177</v>
      </c>
      <c r="P285" s="93" t="s">
        <v>435</v>
      </c>
      <c r="Q285" s="97" t="s">
        <v>777</v>
      </c>
      <c r="R285" s="148" t="s">
        <v>782</v>
      </c>
      <c r="S285" s="93"/>
      <c r="T285" s="93" t="s">
        <v>452</v>
      </c>
      <c r="U285" s="93"/>
      <c r="V285" s="93"/>
      <c r="W285" s="97"/>
      <c r="X285" s="100" t="s">
        <v>839</v>
      </c>
      <c r="Y285" s="102">
        <v>2.994</v>
      </c>
      <c r="Z285" s="103">
        <f t="shared" ref="Z285:Z316" si="63">J285*Y285</f>
        <v>299.4</v>
      </c>
      <c r="AA285" s="103">
        <f t="shared" ref="AA285:AA316" si="64">Z285*7.75</f>
        <v>2320.35</v>
      </c>
      <c r="AB285" s="135" t="s">
        <v>869</v>
      </c>
      <c r="AC285" s="93"/>
      <c r="AD285" s="93"/>
      <c r="AE285" s="93" t="str">
        <f>IFERROR(VLOOKUP(H285,名称!A:D,4,0),"")</f>
        <v>KIK</v>
      </c>
      <c r="AF285" s="98"/>
      <c r="AG285" s="98"/>
      <c r="AH285" s="105">
        <v>46121</v>
      </c>
      <c r="AI285" s="105">
        <v>46128</v>
      </c>
      <c r="AJ285" s="105"/>
      <c r="AK285" s="105" t="s">
        <v>420</v>
      </c>
      <c r="AL285" s="105" t="s">
        <v>420</v>
      </c>
      <c r="AM285" s="105"/>
      <c r="AN285" s="105"/>
      <c r="AO285" s="100">
        <f t="shared" si="59"/>
        <v>61</v>
      </c>
      <c r="AP285" s="100">
        <f t="shared" si="60"/>
        <v>55</v>
      </c>
    </row>
    <row r="286" s="89" customFormat="1" hidden="1" customHeight="1" spans="1:42">
      <c r="A286" s="93">
        <v>46115</v>
      </c>
      <c r="B286" s="93" t="str">
        <f ca="1" t="shared" si="53"/>
        <v/>
      </c>
      <c r="C286" s="95" t="s">
        <v>237</v>
      </c>
      <c r="D286" s="93" t="s">
        <v>838</v>
      </c>
      <c r="E286" s="95" t="s">
        <v>438</v>
      </c>
      <c r="F286" s="96">
        <v>10124130</v>
      </c>
      <c r="G286" s="96">
        <v>187625003</v>
      </c>
      <c r="H286" s="97" t="s">
        <v>111</v>
      </c>
      <c r="I286" s="98" t="str">
        <f>IFERROR(VLOOKUP(H286,名称!A:C,2,0),"")</f>
        <v>黄色铲车</v>
      </c>
      <c r="J286" s="99">
        <v>120</v>
      </c>
      <c r="K286" s="98">
        <f>IFERROR(VLOOKUP(H286,名称!A:D,3,0),"")</f>
        <v>4</v>
      </c>
      <c r="L286" s="100">
        <f t="shared" si="54"/>
        <v>30</v>
      </c>
      <c r="M286" s="93">
        <v>46176</v>
      </c>
      <c r="N286" s="93">
        <f t="shared" si="58"/>
        <v>46174</v>
      </c>
      <c r="O286" s="93">
        <v>46175</v>
      </c>
      <c r="P286" s="93" t="s">
        <v>435</v>
      </c>
      <c r="Q286" s="97" t="s">
        <v>777</v>
      </c>
      <c r="R286" s="148" t="s">
        <v>771</v>
      </c>
      <c r="S286" s="93"/>
      <c r="T286" s="93" t="s">
        <v>452</v>
      </c>
      <c r="U286" s="93"/>
      <c r="V286" s="93"/>
      <c r="W286" s="97"/>
      <c r="X286" s="100" t="s">
        <v>839</v>
      </c>
      <c r="Y286" s="102">
        <v>3.816</v>
      </c>
      <c r="Z286" s="103">
        <f t="shared" si="63"/>
        <v>457.92</v>
      </c>
      <c r="AA286" s="103">
        <f t="shared" si="64"/>
        <v>3548.88</v>
      </c>
      <c r="AB286" s="135" t="s">
        <v>869</v>
      </c>
      <c r="AC286" s="93"/>
      <c r="AD286" s="93"/>
      <c r="AE286" s="93" t="str">
        <f>IFERROR(VLOOKUP(H286,名称!A:D,4,0),"")</f>
        <v>KIK</v>
      </c>
      <c r="AF286" s="98"/>
      <c r="AG286" s="98"/>
      <c r="AH286" s="105">
        <v>46134</v>
      </c>
      <c r="AI286" s="105" t="s">
        <v>420</v>
      </c>
      <c r="AJ286" s="105"/>
      <c r="AK286" s="127">
        <v>46134</v>
      </c>
      <c r="AL286" s="105">
        <v>46134</v>
      </c>
      <c r="AM286" s="105"/>
      <c r="AN286" s="105"/>
      <c r="AO286" s="100">
        <f t="shared" si="59"/>
        <v>61</v>
      </c>
      <c r="AP286" s="100">
        <f t="shared" si="60"/>
        <v>42</v>
      </c>
    </row>
    <row r="287" s="89" customFormat="1" hidden="1" customHeight="1" spans="1:42">
      <c r="A287" s="93">
        <v>46115</v>
      </c>
      <c r="B287" s="93" t="str">
        <f ca="1" t="shared" si="53"/>
        <v/>
      </c>
      <c r="C287" s="95" t="s">
        <v>237</v>
      </c>
      <c r="D287" s="93" t="s">
        <v>838</v>
      </c>
      <c r="E287" s="95" t="s">
        <v>438</v>
      </c>
      <c r="F287" s="96">
        <v>10124130</v>
      </c>
      <c r="G287" s="96">
        <v>187625003</v>
      </c>
      <c r="H287" s="97">
        <v>47669</v>
      </c>
      <c r="I287" s="98" t="str">
        <f>IFERROR(VLOOKUP(H287,名称!A:C,2,0),"")</f>
        <v>动物车</v>
      </c>
      <c r="J287" s="99">
        <v>92</v>
      </c>
      <c r="K287" s="98">
        <f>IFERROR(VLOOKUP(H287,名称!A:D,3,0),"")</f>
        <v>4</v>
      </c>
      <c r="L287" s="100">
        <f t="shared" si="54"/>
        <v>23</v>
      </c>
      <c r="M287" s="93">
        <v>46176</v>
      </c>
      <c r="N287" s="93">
        <f t="shared" si="58"/>
        <v>46174</v>
      </c>
      <c r="O287" s="93">
        <v>46182</v>
      </c>
      <c r="P287" s="93" t="s">
        <v>435</v>
      </c>
      <c r="Q287" s="97" t="s">
        <v>777</v>
      </c>
      <c r="R287" s="148" t="s">
        <v>826</v>
      </c>
      <c r="S287" s="93"/>
      <c r="T287" s="93" t="s">
        <v>452</v>
      </c>
      <c r="U287" s="93"/>
      <c r="V287" s="93"/>
      <c r="W287" s="97"/>
      <c r="X287" s="100" t="s">
        <v>839</v>
      </c>
      <c r="Y287" s="102">
        <v>4.808</v>
      </c>
      <c r="Z287" s="103">
        <f t="shared" si="63"/>
        <v>442.34</v>
      </c>
      <c r="AA287" s="103">
        <f t="shared" si="64"/>
        <v>3428.14</v>
      </c>
      <c r="AB287" s="135" t="s">
        <v>869</v>
      </c>
      <c r="AC287" s="98"/>
      <c r="AD287" s="105"/>
      <c r="AE287" s="93" t="s">
        <v>12</v>
      </c>
      <c r="AF287" s="105">
        <v>46115</v>
      </c>
      <c r="AG287" s="105"/>
      <c r="AH287" s="105">
        <v>46115</v>
      </c>
      <c r="AI287" s="105">
        <v>46135</v>
      </c>
      <c r="AJ287" s="105"/>
      <c r="AK287" s="105" t="s">
        <v>420</v>
      </c>
      <c r="AL287" s="105" t="s">
        <v>420</v>
      </c>
      <c r="AM287" s="100"/>
      <c r="AN287" s="139"/>
      <c r="AO287" s="100">
        <f t="shared" si="59"/>
        <v>61</v>
      </c>
      <c r="AP287" s="100">
        <f t="shared" si="60"/>
        <v>61</v>
      </c>
    </row>
    <row r="288" s="89" customFormat="1" hidden="1" customHeight="1" spans="1:42">
      <c r="A288" s="93">
        <v>46115</v>
      </c>
      <c r="B288" s="93" t="str">
        <f ca="1" t="shared" si="53"/>
        <v/>
      </c>
      <c r="C288" s="95" t="s">
        <v>237</v>
      </c>
      <c r="D288" s="93" t="s">
        <v>838</v>
      </c>
      <c r="E288" s="95" t="s">
        <v>438</v>
      </c>
      <c r="F288" s="96">
        <v>10124130</v>
      </c>
      <c r="G288" s="96">
        <v>187625003</v>
      </c>
      <c r="H288" s="97" t="s">
        <v>118</v>
      </c>
      <c r="I288" s="98" t="str">
        <f>IFERROR(VLOOKUP(H288,名称!A:C,2,0),"")</f>
        <v>滑板拖车</v>
      </c>
      <c r="J288" s="99">
        <v>60</v>
      </c>
      <c r="K288" s="98">
        <f>IFERROR(VLOOKUP(H288,名称!A:D,3,0),"")</f>
        <v>4</v>
      </c>
      <c r="L288" s="100">
        <f t="shared" si="54"/>
        <v>15</v>
      </c>
      <c r="M288" s="93">
        <v>46190</v>
      </c>
      <c r="N288" s="93">
        <f t="shared" si="58"/>
        <v>46188</v>
      </c>
      <c r="O288" s="93">
        <v>46198</v>
      </c>
      <c r="P288" s="93" t="s">
        <v>435</v>
      </c>
      <c r="Q288" s="97" t="s">
        <v>777</v>
      </c>
      <c r="R288" s="148" t="s">
        <v>779</v>
      </c>
      <c r="S288" s="93"/>
      <c r="T288" s="93" t="s">
        <v>505</v>
      </c>
      <c r="U288" s="93"/>
      <c r="V288" s="93"/>
      <c r="W288" s="97"/>
      <c r="X288" s="100" t="s">
        <v>839</v>
      </c>
      <c r="Y288" s="102">
        <v>16.71</v>
      </c>
      <c r="Z288" s="103">
        <f t="shared" si="63"/>
        <v>1002.6</v>
      </c>
      <c r="AA288" s="103">
        <f t="shared" si="64"/>
        <v>7770.15</v>
      </c>
      <c r="AB288" s="135" t="s">
        <v>869</v>
      </c>
      <c r="AC288" s="98"/>
      <c r="AD288" s="105"/>
      <c r="AE288" s="93" t="s">
        <v>12</v>
      </c>
      <c r="AF288" s="105"/>
      <c r="AG288" s="105"/>
      <c r="AH288" s="105">
        <v>46134</v>
      </c>
      <c r="AI288" s="105" t="s">
        <v>420</v>
      </c>
      <c r="AJ288" s="105"/>
      <c r="AK288" s="105">
        <v>46135</v>
      </c>
      <c r="AL288" s="105">
        <v>46134</v>
      </c>
      <c r="AM288" s="105"/>
      <c r="AN288" s="139"/>
      <c r="AO288" s="100">
        <f t="shared" si="59"/>
        <v>75</v>
      </c>
      <c r="AP288" s="100">
        <f t="shared" si="60"/>
        <v>56</v>
      </c>
    </row>
    <row r="289" s="89" customFormat="1" hidden="1" customHeight="1" spans="1:42">
      <c r="A289" s="93">
        <v>46115</v>
      </c>
      <c r="B289" s="93" t="str">
        <f ca="1" t="shared" si="53"/>
        <v/>
      </c>
      <c r="C289" s="95" t="s">
        <v>237</v>
      </c>
      <c r="D289" s="93" t="s">
        <v>838</v>
      </c>
      <c r="E289" s="95" t="s">
        <v>438</v>
      </c>
      <c r="F289" s="96">
        <v>10124130</v>
      </c>
      <c r="G289" s="96">
        <v>187625003</v>
      </c>
      <c r="H289" s="97" t="s">
        <v>31</v>
      </c>
      <c r="I289" s="98" t="str">
        <f>IFERROR(VLOOKUP(H289,名称!A:C,2,0),"")</f>
        <v>1:16收割机</v>
      </c>
      <c r="J289" s="99">
        <v>100</v>
      </c>
      <c r="K289" s="98">
        <f>IFERROR(VLOOKUP(H289,名称!A:D,3,0),"")</f>
        <v>1</v>
      </c>
      <c r="L289" s="100">
        <f t="shared" si="54"/>
        <v>100</v>
      </c>
      <c r="M289" s="93">
        <v>46197</v>
      </c>
      <c r="N289" s="93">
        <f t="shared" si="58"/>
        <v>46195</v>
      </c>
      <c r="O289" s="93">
        <v>46197</v>
      </c>
      <c r="P289" s="93" t="s">
        <v>435</v>
      </c>
      <c r="Q289" s="97" t="s">
        <v>777</v>
      </c>
      <c r="R289" s="148" t="s">
        <v>826</v>
      </c>
      <c r="S289" s="93"/>
      <c r="T289" s="93" t="s">
        <v>452</v>
      </c>
      <c r="U289" s="93"/>
      <c r="V289" s="93"/>
      <c r="W289" s="97"/>
      <c r="X289" s="100" t="s">
        <v>839</v>
      </c>
      <c r="Y289" s="102">
        <v>29.652</v>
      </c>
      <c r="Z289" s="103">
        <f t="shared" si="63"/>
        <v>2965.2</v>
      </c>
      <c r="AA289" s="103">
        <f t="shared" si="64"/>
        <v>22980.3</v>
      </c>
      <c r="AB289" s="135" t="s">
        <v>869</v>
      </c>
      <c r="AC289" s="98"/>
      <c r="AD289" s="105"/>
      <c r="AE289" s="93" t="s">
        <v>12</v>
      </c>
      <c r="AF289" s="105"/>
      <c r="AG289" s="105"/>
      <c r="AH289" s="105">
        <v>46149</v>
      </c>
      <c r="AI289" s="105"/>
      <c r="AJ289" s="105"/>
      <c r="AK289" s="105">
        <v>46158</v>
      </c>
      <c r="AL289" s="125">
        <v>46140</v>
      </c>
      <c r="AM289" s="100"/>
      <c r="AN289" s="139"/>
      <c r="AO289" s="100">
        <f t="shared" si="59"/>
        <v>82</v>
      </c>
      <c r="AP289" s="100">
        <f t="shared" si="60"/>
        <v>48</v>
      </c>
    </row>
    <row r="290" s="89" customFormat="1" customHeight="1" spans="1:42">
      <c r="A290" s="93">
        <v>46115</v>
      </c>
      <c r="B290" s="93" t="str">
        <f ca="1" t="shared" si="53"/>
        <v/>
      </c>
      <c r="C290" s="95" t="s">
        <v>237</v>
      </c>
      <c r="D290" s="93" t="s">
        <v>838</v>
      </c>
      <c r="E290" s="95" t="s">
        <v>438</v>
      </c>
      <c r="F290" s="96">
        <v>10124130</v>
      </c>
      <c r="G290" s="96">
        <v>187625003</v>
      </c>
      <c r="H290" s="97" t="s">
        <v>120</v>
      </c>
      <c r="I290" s="98" t="str">
        <f>IFERROR(VLOOKUP(H290,名称!A:C,2,0),"")</f>
        <v>绿色拖拉机</v>
      </c>
      <c r="J290" s="99">
        <v>200</v>
      </c>
      <c r="K290" s="98">
        <f>IFERROR(VLOOKUP(H290,名称!A:D,3,0),"")</f>
        <v>2</v>
      </c>
      <c r="L290" s="100">
        <f t="shared" si="54"/>
        <v>100</v>
      </c>
      <c r="M290" s="93">
        <v>46197</v>
      </c>
      <c r="N290" s="93">
        <f t="shared" si="58"/>
        <v>46195</v>
      </c>
      <c r="O290" s="93">
        <v>46197</v>
      </c>
      <c r="P290" s="93" t="s">
        <v>429</v>
      </c>
      <c r="Q290" s="97" t="s">
        <v>777</v>
      </c>
      <c r="R290" s="148" t="s">
        <v>418</v>
      </c>
      <c r="S290" s="93"/>
      <c r="T290" s="93" t="s">
        <v>452</v>
      </c>
      <c r="U290" s="93"/>
      <c r="V290" s="93"/>
      <c r="W290" s="97"/>
      <c r="X290" s="100" t="s">
        <v>839</v>
      </c>
      <c r="Y290" s="102">
        <v>21.246</v>
      </c>
      <c r="Z290" s="103">
        <f t="shared" si="63"/>
        <v>4249.2</v>
      </c>
      <c r="AA290" s="103">
        <f t="shared" si="64"/>
        <v>32931.3</v>
      </c>
      <c r="AB290" s="135" t="s">
        <v>869</v>
      </c>
      <c r="AC290" s="98"/>
      <c r="AD290" s="105"/>
      <c r="AE290" s="93" t="s">
        <v>12</v>
      </c>
      <c r="AF290" s="105"/>
      <c r="AG290" s="105"/>
      <c r="AH290" s="105">
        <v>46134</v>
      </c>
      <c r="AI290" s="105">
        <v>46128</v>
      </c>
      <c r="AJ290" s="105"/>
      <c r="AK290" s="105">
        <v>46149</v>
      </c>
      <c r="AL290" s="105">
        <v>46134</v>
      </c>
      <c r="AM290" s="105"/>
      <c r="AN290" s="139"/>
      <c r="AO290" s="100">
        <f t="shared" si="59"/>
        <v>82</v>
      </c>
      <c r="AP290" s="100">
        <f t="shared" si="60"/>
        <v>63</v>
      </c>
    </row>
    <row r="291" s="89" customFormat="1" hidden="1" customHeight="1" spans="1:42">
      <c r="A291" s="93">
        <v>46115</v>
      </c>
      <c r="B291" s="93" t="str">
        <f ca="1" t="shared" si="53"/>
        <v/>
      </c>
      <c r="C291" s="95" t="s">
        <v>237</v>
      </c>
      <c r="D291" s="93" t="s">
        <v>838</v>
      </c>
      <c r="E291" s="95" t="s">
        <v>438</v>
      </c>
      <c r="F291" s="96">
        <v>10124130</v>
      </c>
      <c r="G291" s="96">
        <v>453409169</v>
      </c>
      <c r="H291" s="97" t="s">
        <v>111</v>
      </c>
      <c r="I291" s="98" t="str">
        <f>IFERROR(VLOOKUP(H291,名称!A:C,2,0),"")</f>
        <v>黄色铲车</v>
      </c>
      <c r="J291" s="99">
        <v>116</v>
      </c>
      <c r="K291" s="98">
        <f>IFERROR(VLOOKUP(H291,名称!A:D,3,0),"")</f>
        <v>4</v>
      </c>
      <c r="L291" s="100">
        <f t="shared" si="54"/>
        <v>29</v>
      </c>
      <c r="M291" s="93">
        <v>46176</v>
      </c>
      <c r="N291" s="93">
        <f t="shared" si="58"/>
        <v>46174</v>
      </c>
      <c r="O291" s="93">
        <v>46175</v>
      </c>
      <c r="P291" s="93" t="s">
        <v>435</v>
      </c>
      <c r="Q291" s="97" t="s">
        <v>777</v>
      </c>
      <c r="R291" s="148" t="s">
        <v>826</v>
      </c>
      <c r="S291" s="93"/>
      <c r="T291" s="93" t="s">
        <v>452</v>
      </c>
      <c r="U291" s="93"/>
      <c r="V291" s="93"/>
      <c r="W291" s="97"/>
      <c r="X291" s="100" t="s">
        <v>839</v>
      </c>
      <c r="Y291" s="102">
        <v>3.816</v>
      </c>
      <c r="Z291" s="103">
        <f t="shared" si="63"/>
        <v>442.66</v>
      </c>
      <c r="AA291" s="103">
        <f t="shared" si="64"/>
        <v>3430.62</v>
      </c>
      <c r="AB291" s="135" t="s">
        <v>870</v>
      </c>
      <c r="AC291" s="93"/>
      <c r="AD291" s="93"/>
      <c r="AE291" s="93" t="str">
        <f>IFERROR(VLOOKUP(H291,名称!A:D,4,0),"")</f>
        <v>KIK</v>
      </c>
      <c r="AF291" s="98"/>
      <c r="AG291" s="98"/>
      <c r="AH291" s="105">
        <v>46134</v>
      </c>
      <c r="AI291" s="105" t="s">
        <v>420</v>
      </c>
      <c r="AJ291" s="105"/>
      <c r="AK291" s="127">
        <v>46134</v>
      </c>
      <c r="AL291" s="105">
        <v>46134</v>
      </c>
      <c r="AM291" s="105"/>
      <c r="AN291" s="105"/>
      <c r="AO291" s="100">
        <f t="shared" si="59"/>
        <v>61</v>
      </c>
      <c r="AP291" s="100">
        <f t="shared" si="60"/>
        <v>42</v>
      </c>
    </row>
    <row r="292" s="89" customFormat="1" hidden="1" customHeight="1" spans="1:42">
      <c r="A292" s="93">
        <v>46115</v>
      </c>
      <c r="B292" s="93" t="str">
        <f ca="1" t="shared" si="53"/>
        <v/>
      </c>
      <c r="C292" s="95" t="s">
        <v>237</v>
      </c>
      <c r="D292" s="93" t="s">
        <v>838</v>
      </c>
      <c r="E292" s="95" t="s">
        <v>438</v>
      </c>
      <c r="F292" s="96">
        <v>10124128</v>
      </c>
      <c r="G292" s="96">
        <v>453409169</v>
      </c>
      <c r="H292" s="97" t="s">
        <v>158</v>
      </c>
      <c r="I292" s="98" t="str">
        <f>IFERROR(VLOOKUP(H292,名称!A:C,2,0),"")</f>
        <v>JD LNS圆轮拖拉机</v>
      </c>
      <c r="J292" s="99">
        <v>296</v>
      </c>
      <c r="K292" s="98">
        <f>IFERROR(VLOOKUP(H292,名称!A:D,3,0),"")</f>
        <v>2</v>
      </c>
      <c r="L292" s="100">
        <f t="shared" si="54"/>
        <v>148</v>
      </c>
      <c r="M292" s="93">
        <v>46176</v>
      </c>
      <c r="N292" s="93">
        <f t="shared" si="58"/>
        <v>46174</v>
      </c>
      <c r="O292" s="93">
        <v>46178</v>
      </c>
      <c r="P292" s="93" t="s">
        <v>435</v>
      </c>
      <c r="Q292" s="97" t="s">
        <v>777</v>
      </c>
      <c r="R292" s="148" t="s">
        <v>418</v>
      </c>
      <c r="S292" s="93"/>
      <c r="T292" s="93" t="s">
        <v>452</v>
      </c>
      <c r="U292" s="93"/>
      <c r="V292" s="93"/>
      <c r="W292" s="97"/>
      <c r="X292" s="100" t="s">
        <v>839</v>
      </c>
      <c r="Y292" s="102">
        <v>4.792</v>
      </c>
      <c r="Z292" s="103">
        <f t="shared" si="63"/>
        <v>1418.43</v>
      </c>
      <c r="AA292" s="103">
        <f t="shared" si="64"/>
        <v>10992.83</v>
      </c>
      <c r="AB292" s="135" t="s">
        <v>870</v>
      </c>
      <c r="AC292" s="93"/>
      <c r="AD292" s="93"/>
      <c r="AE292" s="93" t="str">
        <f>IFERROR(VLOOKUP(H292,名称!A:D,4,0),"")</f>
        <v>KIK</v>
      </c>
      <c r="AF292" s="98"/>
      <c r="AG292" s="98"/>
      <c r="AH292" s="105">
        <v>46115</v>
      </c>
      <c r="AI292" s="105" t="s">
        <v>420</v>
      </c>
      <c r="AJ292" s="105"/>
      <c r="AK292" s="105" t="s">
        <v>453</v>
      </c>
      <c r="AL292" s="105">
        <v>46128</v>
      </c>
      <c r="AM292" s="105"/>
      <c r="AN292" s="105"/>
      <c r="AO292" s="100">
        <f t="shared" si="59"/>
        <v>61</v>
      </c>
      <c r="AP292" s="100">
        <f t="shared" si="60"/>
        <v>61</v>
      </c>
    </row>
    <row r="293" s="89" customFormat="1" hidden="1" customHeight="1" spans="1:42">
      <c r="A293" s="93">
        <v>46115</v>
      </c>
      <c r="B293" s="93" t="str">
        <f ca="1" t="shared" si="53"/>
        <v/>
      </c>
      <c r="C293" s="95" t="s">
        <v>237</v>
      </c>
      <c r="D293" s="93" t="s">
        <v>838</v>
      </c>
      <c r="E293" s="95" t="s">
        <v>438</v>
      </c>
      <c r="F293" s="96">
        <v>10124128</v>
      </c>
      <c r="G293" s="96">
        <v>453409169</v>
      </c>
      <c r="H293" s="97">
        <v>47669</v>
      </c>
      <c r="I293" s="98" t="str">
        <f>IFERROR(VLOOKUP(H293,名称!A:C,2,0),"")</f>
        <v>动物车</v>
      </c>
      <c r="J293" s="99">
        <v>312</v>
      </c>
      <c r="K293" s="98">
        <f>IFERROR(VLOOKUP(H293,名称!A:D,3,0),"")</f>
        <v>4</v>
      </c>
      <c r="L293" s="100">
        <f t="shared" si="54"/>
        <v>78</v>
      </c>
      <c r="M293" s="93">
        <v>46176</v>
      </c>
      <c r="N293" s="93">
        <f t="shared" si="58"/>
        <v>46174</v>
      </c>
      <c r="O293" s="93">
        <v>46182</v>
      </c>
      <c r="P293" s="93" t="s">
        <v>435</v>
      </c>
      <c r="Q293" s="97" t="s">
        <v>777</v>
      </c>
      <c r="R293" s="148" t="s">
        <v>418</v>
      </c>
      <c r="S293" s="93"/>
      <c r="T293" s="93" t="s">
        <v>452</v>
      </c>
      <c r="U293" s="93"/>
      <c r="V293" s="93"/>
      <c r="W293" s="97"/>
      <c r="X293" s="100" t="s">
        <v>839</v>
      </c>
      <c r="Y293" s="102">
        <v>4.808</v>
      </c>
      <c r="Z293" s="103">
        <f t="shared" si="63"/>
        <v>1500.1</v>
      </c>
      <c r="AA293" s="103">
        <f t="shared" si="64"/>
        <v>11625.78</v>
      </c>
      <c r="AB293" s="135" t="s">
        <v>870</v>
      </c>
      <c r="AC293" s="98"/>
      <c r="AD293" s="105"/>
      <c r="AE293" s="93" t="s">
        <v>12</v>
      </c>
      <c r="AF293" s="105">
        <v>46115</v>
      </c>
      <c r="AG293" s="105"/>
      <c r="AH293" s="105">
        <v>46115</v>
      </c>
      <c r="AI293" s="105">
        <v>46135</v>
      </c>
      <c r="AJ293" s="105"/>
      <c r="AK293" s="105" t="s">
        <v>420</v>
      </c>
      <c r="AL293" s="105" t="s">
        <v>420</v>
      </c>
      <c r="AM293" s="100"/>
      <c r="AN293" s="139"/>
      <c r="AO293" s="100">
        <f t="shared" si="59"/>
        <v>61</v>
      </c>
      <c r="AP293" s="100">
        <f t="shared" si="60"/>
        <v>61</v>
      </c>
    </row>
    <row r="294" s="89" customFormat="1" hidden="1" customHeight="1" spans="1:42">
      <c r="A294" s="93">
        <v>46120</v>
      </c>
      <c r="B294" s="93" t="str">
        <f ca="1" t="shared" si="53"/>
        <v/>
      </c>
      <c r="C294" s="95" t="s">
        <v>237</v>
      </c>
      <c r="D294" s="93" t="s">
        <v>838</v>
      </c>
      <c r="E294" s="95" t="s">
        <v>438</v>
      </c>
      <c r="F294" s="96">
        <v>10124241</v>
      </c>
      <c r="G294" s="96" t="s">
        <v>280</v>
      </c>
      <c r="H294" s="97" t="s">
        <v>35</v>
      </c>
      <c r="I294" s="98" t="str">
        <f>IFERROR(VLOOKUP(H294,名称!A:C,2,0),"")</f>
        <v>1:16拖车厢</v>
      </c>
      <c r="J294" s="99">
        <v>160</v>
      </c>
      <c r="K294" s="98">
        <f>IFERROR(VLOOKUP(H294,名称!A:D,3,0),"")</f>
        <v>2</v>
      </c>
      <c r="L294" s="100">
        <f t="shared" si="54"/>
        <v>80</v>
      </c>
      <c r="M294" s="93">
        <v>46176</v>
      </c>
      <c r="N294" s="93">
        <f t="shared" si="58"/>
        <v>46174</v>
      </c>
      <c r="O294" s="93">
        <v>46178</v>
      </c>
      <c r="P294" s="93" t="s">
        <v>435</v>
      </c>
      <c r="Q294" s="97" t="s">
        <v>777</v>
      </c>
      <c r="R294" s="148" t="s">
        <v>418</v>
      </c>
      <c r="S294" s="93"/>
      <c r="T294" s="93"/>
      <c r="U294" s="93"/>
      <c r="V294" s="93"/>
      <c r="W294" s="97"/>
      <c r="X294" s="100" t="s">
        <v>839</v>
      </c>
      <c r="Y294" s="102">
        <v>22.9</v>
      </c>
      <c r="Z294" s="103">
        <f t="shared" si="63"/>
        <v>3664</v>
      </c>
      <c r="AA294" s="103">
        <f t="shared" si="64"/>
        <v>28396</v>
      </c>
      <c r="AB294" s="135" t="s">
        <v>871</v>
      </c>
      <c r="AC294" s="93"/>
      <c r="AD294" s="93"/>
      <c r="AE294" s="93" t="str">
        <f>IFERROR(VLOOKUP(H294,名称!A:D,4,0),"")</f>
        <v>KIK</v>
      </c>
      <c r="AF294" s="98"/>
      <c r="AG294" s="98"/>
      <c r="AH294" s="105">
        <v>46146</v>
      </c>
      <c r="AI294" s="105">
        <v>46171</v>
      </c>
      <c r="AJ294" s="105"/>
      <c r="AK294" s="105">
        <v>46146</v>
      </c>
      <c r="AL294" s="105">
        <v>46140</v>
      </c>
      <c r="AM294" s="105"/>
      <c r="AN294" s="105"/>
      <c r="AO294" s="100">
        <f t="shared" si="59"/>
        <v>56</v>
      </c>
      <c r="AP294" s="100">
        <f t="shared" si="60"/>
        <v>30</v>
      </c>
    </row>
    <row r="295" s="89" customFormat="1" hidden="1" customHeight="1" spans="1:42">
      <c r="A295" s="93">
        <v>46120</v>
      </c>
      <c r="B295" s="93" t="str">
        <f ca="1" t="shared" si="53"/>
        <v/>
      </c>
      <c r="C295" s="95" t="s">
        <v>237</v>
      </c>
      <c r="D295" s="93" t="s">
        <v>838</v>
      </c>
      <c r="E295" s="95" t="s">
        <v>438</v>
      </c>
      <c r="F295" s="96">
        <v>10124241</v>
      </c>
      <c r="G295" s="96" t="s">
        <v>280</v>
      </c>
      <c r="H295" s="97" t="s">
        <v>39</v>
      </c>
      <c r="I295" s="98" t="str">
        <f>IFERROR(VLOOKUP(H295,名称!A:C,2,0),"")</f>
        <v>1:16货柜车</v>
      </c>
      <c r="J295" s="99">
        <v>180</v>
      </c>
      <c r="K295" s="98">
        <f>IFERROR(VLOOKUP(H295,名称!A:D,3,0),"")</f>
        <v>2</v>
      </c>
      <c r="L295" s="100">
        <f t="shared" si="54"/>
        <v>90</v>
      </c>
      <c r="M295" s="93">
        <v>46183</v>
      </c>
      <c r="N295" s="93">
        <f t="shared" si="58"/>
        <v>46181</v>
      </c>
      <c r="O295" s="93">
        <v>46195</v>
      </c>
      <c r="P295" s="93" t="s">
        <v>435</v>
      </c>
      <c r="Q295" s="97" t="s">
        <v>777</v>
      </c>
      <c r="R295" s="148" t="s">
        <v>602</v>
      </c>
      <c r="S295" s="93"/>
      <c r="T295" s="93"/>
      <c r="U295" s="93"/>
      <c r="V295" s="93"/>
      <c r="W295" s="97"/>
      <c r="X295" s="100" t="s">
        <v>839</v>
      </c>
      <c r="Y295" s="102">
        <v>30.536</v>
      </c>
      <c r="Z295" s="103">
        <f t="shared" si="63"/>
        <v>5496.48</v>
      </c>
      <c r="AA295" s="103">
        <f t="shared" si="64"/>
        <v>42597.72</v>
      </c>
      <c r="AB295" s="135" t="s">
        <v>871</v>
      </c>
      <c r="AC295" s="93"/>
      <c r="AD295" s="93"/>
      <c r="AE295" s="93" t="str">
        <f>IFERROR(VLOOKUP(H295,名称!A:D,4,0),"")</f>
        <v>KIK</v>
      </c>
      <c r="AF295" s="98"/>
      <c r="AG295" s="98"/>
      <c r="AH295" s="105">
        <v>46129</v>
      </c>
      <c r="AI295" s="105">
        <v>46163</v>
      </c>
      <c r="AJ295" s="105"/>
      <c r="AK295" s="105">
        <v>46146</v>
      </c>
      <c r="AL295" s="105">
        <v>46140</v>
      </c>
      <c r="AM295" s="105"/>
      <c r="AN295" s="105"/>
      <c r="AO295" s="100">
        <f t="shared" si="59"/>
        <v>63</v>
      </c>
      <c r="AP295" s="100">
        <f t="shared" si="60"/>
        <v>54</v>
      </c>
    </row>
    <row r="296" s="89" customFormat="1" hidden="1" customHeight="1" spans="1:42">
      <c r="A296" s="93">
        <v>46120</v>
      </c>
      <c r="B296" s="93" t="str">
        <f ca="1" t="shared" si="53"/>
        <v/>
      </c>
      <c r="C296" s="95" t="s">
        <v>237</v>
      </c>
      <c r="D296" s="93" t="s">
        <v>838</v>
      </c>
      <c r="E296" s="95" t="s">
        <v>438</v>
      </c>
      <c r="F296" s="96">
        <v>10124248</v>
      </c>
      <c r="G296" s="96" t="s">
        <v>282</v>
      </c>
      <c r="H296" s="97" t="s">
        <v>111</v>
      </c>
      <c r="I296" s="98" t="str">
        <f>IFERROR(VLOOKUP(H296,名称!A:C,2,0),"")</f>
        <v>黄色铲车</v>
      </c>
      <c r="J296" s="99">
        <v>600</v>
      </c>
      <c r="K296" s="98">
        <f>IFERROR(VLOOKUP(H296,名称!A:D,3,0),"")</f>
        <v>4</v>
      </c>
      <c r="L296" s="100">
        <f t="shared" si="54"/>
        <v>150</v>
      </c>
      <c r="M296" s="93">
        <v>46176</v>
      </c>
      <c r="N296" s="93">
        <f t="shared" si="58"/>
        <v>46174</v>
      </c>
      <c r="O296" s="93">
        <v>46175</v>
      </c>
      <c r="P296" s="93" t="s">
        <v>435</v>
      </c>
      <c r="Q296" s="97" t="s">
        <v>777</v>
      </c>
      <c r="R296" s="148" t="s">
        <v>826</v>
      </c>
      <c r="S296" s="93"/>
      <c r="T296" s="93" t="s">
        <v>452</v>
      </c>
      <c r="U296" s="93"/>
      <c r="V296" s="93"/>
      <c r="W296" s="97"/>
      <c r="X296" s="100" t="s">
        <v>839</v>
      </c>
      <c r="Y296" s="102">
        <v>3.816</v>
      </c>
      <c r="Z296" s="103">
        <f t="shared" si="63"/>
        <v>2289.6</v>
      </c>
      <c r="AA296" s="103">
        <f t="shared" si="64"/>
        <v>17744.4</v>
      </c>
      <c r="AB296" s="135" t="s">
        <v>872</v>
      </c>
      <c r="AC296" s="93"/>
      <c r="AD296" s="93"/>
      <c r="AE296" s="93" t="str">
        <f>IFERROR(VLOOKUP(H296,名称!A:D,4,0),"")</f>
        <v>KIK</v>
      </c>
      <c r="AF296" s="98"/>
      <c r="AG296" s="98"/>
      <c r="AH296" s="105">
        <v>46134</v>
      </c>
      <c r="AI296" s="105" t="s">
        <v>420</v>
      </c>
      <c r="AJ296" s="105"/>
      <c r="AK296" s="127">
        <v>46134</v>
      </c>
      <c r="AL296" s="105">
        <v>46134</v>
      </c>
      <c r="AM296" s="105"/>
      <c r="AN296" s="105"/>
      <c r="AO296" s="100">
        <f t="shared" si="59"/>
        <v>56</v>
      </c>
      <c r="AP296" s="100">
        <f t="shared" si="60"/>
        <v>42</v>
      </c>
    </row>
    <row r="297" s="89" customFormat="1" hidden="1" customHeight="1" spans="1:42">
      <c r="A297" s="93">
        <v>46120</v>
      </c>
      <c r="B297" s="93" t="str">
        <f ca="1" t="shared" si="53"/>
        <v/>
      </c>
      <c r="C297" s="95" t="s">
        <v>237</v>
      </c>
      <c r="D297" s="93" t="s">
        <v>838</v>
      </c>
      <c r="E297" s="95" t="s">
        <v>438</v>
      </c>
      <c r="F297" s="96">
        <v>10124248</v>
      </c>
      <c r="G297" s="96" t="s">
        <v>282</v>
      </c>
      <c r="H297" s="97" t="s">
        <v>109</v>
      </c>
      <c r="I297" s="98" t="str">
        <f>IFERROR(VLOOKUP(H297,名称!A:C,2,0),"")</f>
        <v>红色铲车</v>
      </c>
      <c r="J297" s="99">
        <v>188</v>
      </c>
      <c r="K297" s="98">
        <f>IFERROR(VLOOKUP(H297,名称!A:D,3,0),"")</f>
        <v>4</v>
      </c>
      <c r="L297" s="100">
        <f t="shared" si="54"/>
        <v>47</v>
      </c>
      <c r="M297" s="93">
        <v>46176</v>
      </c>
      <c r="N297" s="93">
        <f t="shared" si="58"/>
        <v>46174</v>
      </c>
      <c r="O297" s="93">
        <v>46175</v>
      </c>
      <c r="P297" s="93" t="s">
        <v>435</v>
      </c>
      <c r="Q297" s="97" t="s">
        <v>777</v>
      </c>
      <c r="R297" s="148" t="s">
        <v>431</v>
      </c>
      <c r="S297" s="93"/>
      <c r="T297" s="93"/>
      <c r="U297" s="93"/>
      <c r="V297" s="93"/>
      <c r="W297" s="97"/>
      <c r="X297" s="100" t="s">
        <v>839</v>
      </c>
      <c r="Y297" s="102">
        <v>3.886</v>
      </c>
      <c r="Z297" s="103">
        <f t="shared" si="63"/>
        <v>730.57</v>
      </c>
      <c r="AA297" s="103">
        <f t="shared" si="64"/>
        <v>5661.92</v>
      </c>
      <c r="AB297" s="135" t="s">
        <v>872</v>
      </c>
      <c r="AC297" s="93"/>
      <c r="AD297" s="93"/>
      <c r="AE297" s="93" t="str">
        <f>IFERROR(VLOOKUP(H297,名称!A:D,4,0),"")</f>
        <v>KIK</v>
      </c>
      <c r="AF297" s="98"/>
      <c r="AG297" s="98"/>
      <c r="AH297" s="105">
        <v>46128</v>
      </c>
      <c r="AI297" s="105" t="s">
        <v>420</v>
      </c>
      <c r="AJ297" s="105"/>
      <c r="AK297" s="127">
        <v>46135</v>
      </c>
      <c r="AL297" s="105">
        <v>46128</v>
      </c>
      <c r="AM297" s="105"/>
      <c r="AN297" s="105"/>
      <c r="AO297" s="100">
        <f t="shared" si="59"/>
        <v>56</v>
      </c>
      <c r="AP297" s="100">
        <f t="shared" si="60"/>
        <v>48</v>
      </c>
    </row>
    <row r="298" s="89" customFormat="1" hidden="1" customHeight="1" spans="1:42">
      <c r="A298" s="93">
        <v>46120</v>
      </c>
      <c r="B298" s="93" t="str">
        <f ca="1" t="shared" si="53"/>
        <v/>
      </c>
      <c r="C298" s="95" t="s">
        <v>237</v>
      </c>
      <c r="D298" s="93" t="s">
        <v>838</v>
      </c>
      <c r="E298" s="95" t="s">
        <v>438</v>
      </c>
      <c r="F298" s="96">
        <v>10124248</v>
      </c>
      <c r="G298" s="96" t="s">
        <v>282</v>
      </c>
      <c r="H298" s="97" t="s">
        <v>158</v>
      </c>
      <c r="I298" s="98" t="str">
        <f>IFERROR(VLOOKUP(H298,名称!A:C,2,0),"")</f>
        <v>JD LNS圆轮拖拉机</v>
      </c>
      <c r="J298" s="99">
        <v>354</v>
      </c>
      <c r="K298" s="98">
        <f>IFERROR(VLOOKUP(H298,名称!A:D,3,0),"")</f>
        <v>2</v>
      </c>
      <c r="L298" s="100">
        <f t="shared" si="54"/>
        <v>177</v>
      </c>
      <c r="M298" s="93">
        <v>46176</v>
      </c>
      <c r="N298" s="93">
        <f t="shared" si="58"/>
        <v>46174</v>
      </c>
      <c r="O298" s="93">
        <v>46178</v>
      </c>
      <c r="P298" s="93" t="s">
        <v>435</v>
      </c>
      <c r="Q298" s="97" t="s">
        <v>777</v>
      </c>
      <c r="R298" s="148" t="s">
        <v>418</v>
      </c>
      <c r="S298" s="93"/>
      <c r="T298" s="93" t="s">
        <v>452</v>
      </c>
      <c r="U298" s="93"/>
      <c r="V298" s="93"/>
      <c r="W298" s="97"/>
      <c r="X298" s="100" t="s">
        <v>839</v>
      </c>
      <c r="Y298" s="102">
        <v>4.792</v>
      </c>
      <c r="Z298" s="103">
        <f t="shared" si="63"/>
        <v>1696.37</v>
      </c>
      <c r="AA298" s="103">
        <f t="shared" si="64"/>
        <v>13146.87</v>
      </c>
      <c r="AB298" s="135" t="s">
        <v>872</v>
      </c>
      <c r="AC298" s="93"/>
      <c r="AD298" s="93"/>
      <c r="AE298" s="93" t="str">
        <f>IFERROR(VLOOKUP(H298,名称!A:D,4,0),"")</f>
        <v>KIK</v>
      </c>
      <c r="AF298" s="98"/>
      <c r="AG298" s="98"/>
      <c r="AH298" s="105">
        <v>46115</v>
      </c>
      <c r="AI298" s="105" t="s">
        <v>420</v>
      </c>
      <c r="AJ298" s="105"/>
      <c r="AK298" s="105" t="s">
        <v>453</v>
      </c>
      <c r="AL298" s="105">
        <v>46128</v>
      </c>
      <c r="AM298" s="105"/>
      <c r="AN298" s="105"/>
      <c r="AO298" s="100">
        <f t="shared" si="59"/>
        <v>56</v>
      </c>
      <c r="AP298" s="100">
        <f t="shared" si="60"/>
        <v>61</v>
      </c>
    </row>
    <row r="299" s="89" customFormat="1" hidden="1" customHeight="1" spans="1:42">
      <c r="A299" s="93">
        <v>46120</v>
      </c>
      <c r="B299" s="93" t="str">
        <f ca="1" t="shared" si="53"/>
        <v/>
      </c>
      <c r="C299" s="95" t="s">
        <v>237</v>
      </c>
      <c r="D299" s="93" t="s">
        <v>838</v>
      </c>
      <c r="E299" s="95" t="s">
        <v>438</v>
      </c>
      <c r="F299" s="96">
        <v>10124248</v>
      </c>
      <c r="G299" s="96" t="s">
        <v>282</v>
      </c>
      <c r="H299" s="97" t="s">
        <v>35</v>
      </c>
      <c r="I299" s="98" t="str">
        <f>IFERROR(VLOOKUP(H299,名称!A:C,2,0),"")</f>
        <v>1:16拖车厢</v>
      </c>
      <c r="J299" s="99">
        <v>108</v>
      </c>
      <c r="K299" s="98">
        <f>IFERROR(VLOOKUP(H299,名称!A:D,3,0),"")</f>
        <v>2</v>
      </c>
      <c r="L299" s="100">
        <f t="shared" si="54"/>
        <v>54</v>
      </c>
      <c r="M299" s="93">
        <v>46176</v>
      </c>
      <c r="N299" s="93">
        <f t="shared" si="58"/>
        <v>46174</v>
      </c>
      <c r="O299" s="93">
        <v>46176</v>
      </c>
      <c r="P299" s="93" t="s">
        <v>435</v>
      </c>
      <c r="Q299" s="97" t="s">
        <v>777</v>
      </c>
      <c r="R299" s="148" t="s">
        <v>826</v>
      </c>
      <c r="S299" s="93"/>
      <c r="T299" s="93"/>
      <c r="U299" s="93"/>
      <c r="V299" s="93"/>
      <c r="W299" s="97"/>
      <c r="X299" s="100" t="s">
        <v>839</v>
      </c>
      <c r="Y299" s="102">
        <v>22.9</v>
      </c>
      <c r="Z299" s="103">
        <f t="shared" si="63"/>
        <v>2473.2</v>
      </c>
      <c r="AA299" s="103">
        <f t="shared" si="64"/>
        <v>19167.3</v>
      </c>
      <c r="AB299" s="135" t="s">
        <v>872</v>
      </c>
      <c r="AC299" s="93"/>
      <c r="AD299" s="93"/>
      <c r="AE299" s="93" t="str">
        <f>IFERROR(VLOOKUP(H299,名称!A:D,4,0),"")</f>
        <v>KIK</v>
      </c>
      <c r="AF299" s="98"/>
      <c r="AG299" s="98"/>
      <c r="AH299" s="105">
        <v>46146</v>
      </c>
      <c r="AI299" s="105">
        <v>46171</v>
      </c>
      <c r="AJ299" s="105"/>
      <c r="AK299" s="105">
        <v>46146</v>
      </c>
      <c r="AL299" s="105">
        <v>46140</v>
      </c>
      <c r="AM299" s="105"/>
      <c r="AN299" s="105"/>
      <c r="AO299" s="100">
        <f t="shared" si="59"/>
        <v>56</v>
      </c>
      <c r="AP299" s="100">
        <f t="shared" si="60"/>
        <v>30</v>
      </c>
    </row>
    <row r="300" s="89" customFormat="1" hidden="1" customHeight="1" spans="1:42">
      <c r="A300" s="93">
        <v>46120</v>
      </c>
      <c r="B300" s="93" t="str">
        <f ca="1" t="shared" ref="B300:B312" si="65">IF(TODAY()&gt;=A300,IF(R300="","未",""),"")</f>
        <v/>
      </c>
      <c r="C300" s="95" t="s">
        <v>237</v>
      </c>
      <c r="D300" s="93" t="s">
        <v>838</v>
      </c>
      <c r="E300" s="95" t="s">
        <v>438</v>
      </c>
      <c r="F300" s="96">
        <v>10124248</v>
      </c>
      <c r="G300" s="96" t="s">
        <v>282</v>
      </c>
      <c r="H300" s="97" t="s">
        <v>39</v>
      </c>
      <c r="I300" s="98" t="str">
        <f>IFERROR(VLOOKUP(H300,名称!A:C,2,0),"")</f>
        <v>1:16货柜车</v>
      </c>
      <c r="J300" s="99">
        <v>94</v>
      </c>
      <c r="K300" s="98">
        <f>IFERROR(VLOOKUP(H300,名称!A:D,3,0),"")</f>
        <v>2</v>
      </c>
      <c r="L300" s="100">
        <f t="shared" ref="L300:L312" si="66">IFERROR((J300/K300),"")</f>
        <v>47</v>
      </c>
      <c r="M300" s="93">
        <v>46183</v>
      </c>
      <c r="N300" s="93">
        <f t="shared" si="58"/>
        <v>46181</v>
      </c>
      <c r="O300" s="93">
        <v>46195</v>
      </c>
      <c r="P300" s="93" t="s">
        <v>435</v>
      </c>
      <c r="Q300" s="97" t="s">
        <v>777</v>
      </c>
      <c r="R300" s="148" t="s">
        <v>602</v>
      </c>
      <c r="S300" s="93"/>
      <c r="T300" s="93"/>
      <c r="U300" s="93"/>
      <c r="V300" s="93"/>
      <c r="W300" s="97"/>
      <c r="X300" s="100" t="s">
        <v>839</v>
      </c>
      <c r="Y300" s="102">
        <v>30.536</v>
      </c>
      <c r="Z300" s="103">
        <f t="shared" si="63"/>
        <v>2870.38</v>
      </c>
      <c r="AA300" s="103">
        <f t="shared" si="64"/>
        <v>22245.45</v>
      </c>
      <c r="AB300" s="135" t="s">
        <v>872</v>
      </c>
      <c r="AC300" s="93"/>
      <c r="AD300" s="93"/>
      <c r="AE300" s="93" t="str">
        <f>IFERROR(VLOOKUP(H300,名称!A:D,4,0),"")</f>
        <v>KIK</v>
      </c>
      <c r="AF300" s="98"/>
      <c r="AG300" s="98"/>
      <c r="AH300" s="105">
        <v>46129</v>
      </c>
      <c r="AI300" s="105">
        <v>46163</v>
      </c>
      <c r="AJ300" s="105"/>
      <c r="AK300" s="105">
        <v>46146</v>
      </c>
      <c r="AL300" s="105">
        <v>46140</v>
      </c>
      <c r="AM300" s="105"/>
      <c r="AN300" s="105"/>
      <c r="AO300" s="100">
        <f t="shared" si="59"/>
        <v>63</v>
      </c>
      <c r="AP300" s="100">
        <f t="shared" si="60"/>
        <v>54</v>
      </c>
    </row>
    <row r="301" s="89" customFormat="1" hidden="1" customHeight="1" spans="1:42">
      <c r="A301" s="93">
        <v>46120</v>
      </c>
      <c r="B301" s="93" t="str">
        <f ca="1" t="shared" si="65"/>
        <v/>
      </c>
      <c r="C301" s="95" t="s">
        <v>237</v>
      </c>
      <c r="D301" s="93" t="s">
        <v>838</v>
      </c>
      <c r="E301" s="95" t="s">
        <v>438</v>
      </c>
      <c r="F301" s="96">
        <v>10124248</v>
      </c>
      <c r="G301" s="96" t="s">
        <v>282</v>
      </c>
      <c r="H301" s="97" t="s">
        <v>118</v>
      </c>
      <c r="I301" s="98" t="str">
        <f>IFERROR(VLOOKUP(H301,名称!A:C,2,0),"")</f>
        <v>滑板拖车</v>
      </c>
      <c r="J301" s="99">
        <v>224</v>
      </c>
      <c r="K301" s="98">
        <f>IFERROR(VLOOKUP(H301,名称!A:D,3,0),"")</f>
        <v>4</v>
      </c>
      <c r="L301" s="100">
        <f t="shared" si="66"/>
        <v>56</v>
      </c>
      <c r="M301" s="93">
        <v>46190</v>
      </c>
      <c r="N301" s="93">
        <f t="shared" si="58"/>
        <v>46188</v>
      </c>
      <c r="O301" s="93">
        <v>46198</v>
      </c>
      <c r="P301" s="93" t="s">
        <v>435</v>
      </c>
      <c r="Q301" s="97" t="s">
        <v>777</v>
      </c>
      <c r="R301" s="148" t="s">
        <v>779</v>
      </c>
      <c r="S301" s="93"/>
      <c r="T301" s="93" t="s">
        <v>505</v>
      </c>
      <c r="U301" s="93"/>
      <c r="V301" s="93"/>
      <c r="W301" s="97"/>
      <c r="X301" s="100" t="s">
        <v>873</v>
      </c>
      <c r="Y301" s="102">
        <v>16.71</v>
      </c>
      <c r="Z301" s="103">
        <f t="shared" si="63"/>
        <v>3743.04</v>
      </c>
      <c r="AA301" s="103">
        <f t="shared" si="64"/>
        <v>29008.56</v>
      </c>
      <c r="AB301" s="135" t="s">
        <v>872</v>
      </c>
      <c r="AC301" s="98"/>
      <c r="AD301" s="105"/>
      <c r="AE301" s="93" t="str">
        <f>IFERROR(VLOOKUP(H301,名称!A:D,4,0),"")</f>
        <v>KIK</v>
      </c>
      <c r="AF301" s="105"/>
      <c r="AG301" s="105"/>
      <c r="AH301" s="105">
        <v>46134</v>
      </c>
      <c r="AI301" s="105" t="s">
        <v>420</v>
      </c>
      <c r="AJ301" s="105"/>
      <c r="AK301" s="105">
        <v>46135</v>
      </c>
      <c r="AL301" s="105">
        <v>46134</v>
      </c>
      <c r="AM301" s="105"/>
      <c r="AN301" s="139"/>
      <c r="AO301" s="100">
        <f t="shared" si="59"/>
        <v>70</v>
      </c>
      <c r="AP301" s="100">
        <f t="shared" si="60"/>
        <v>56</v>
      </c>
    </row>
    <row r="302" s="89" customFormat="1" hidden="1" customHeight="1" spans="1:42">
      <c r="A302" s="93">
        <v>46120</v>
      </c>
      <c r="B302" s="93" t="str">
        <f ca="1" t="shared" si="65"/>
        <v/>
      </c>
      <c r="C302" s="95" t="s">
        <v>237</v>
      </c>
      <c r="D302" s="93" t="s">
        <v>838</v>
      </c>
      <c r="E302" s="95" t="s">
        <v>438</v>
      </c>
      <c r="F302" s="96">
        <v>10124248</v>
      </c>
      <c r="G302" s="96" t="s">
        <v>282</v>
      </c>
      <c r="H302" s="97" t="s">
        <v>29</v>
      </c>
      <c r="I302" s="98" t="str">
        <f>IFERROR(VLOOKUP(H302,名称!A:C,2,0),"")</f>
        <v>木材运输车</v>
      </c>
      <c r="J302" s="99">
        <v>68</v>
      </c>
      <c r="K302" s="98">
        <f>IFERROR(VLOOKUP(H302,名称!A:D,3,0),"")</f>
        <v>4</v>
      </c>
      <c r="L302" s="100">
        <f t="shared" si="66"/>
        <v>17</v>
      </c>
      <c r="M302" s="93">
        <v>46197</v>
      </c>
      <c r="N302" s="93">
        <f t="shared" si="58"/>
        <v>46195</v>
      </c>
      <c r="O302" s="93">
        <v>46197</v>
      </c>
      <c r="P302" s="93" t="s">
        <v>435</v>
      </c>
      <c r="Q302" s="97" t="s">
        <v>777</v>
      </c>
      <c r="R302" s="148" t="s">
        <v>826</v>
      </c>
      <c r="S302" s="93"/>
      <c r="T302" s="93"/>
      <c r="U302" s="93"/>
      <c r="V302" s="93"/>
      <c r="W302" s="97"/>
      <c r="X302" s="100" t="s">
        <v>839</v>
      </c>
      <c r="Y302" s="102">
        <v>21.801</v>
      </c>
      <c r="Z302" s="103">
        <f t="shared" si="63"/>
        <v>1482.47</v>
      </c>
      <c r="AA302" s="103">
        <f t="shared" si="64"/>
        <v>11489.14</v>
      </c>
      <c r="AB302" s="135" t="s">
        <v>872</v>
      </c>
      <c r="AC302" s="93"/>
      <c r="AD302" s="93"/>
      <c r="AE302" s="93" t="str">
        <f>IFERROR(VLOOKUP(H302,名称!A:D,4,0),"")</f>
        <v>KIK</v>
      </c>
      <c r="AF302" s="98"/>
      <c r="AG302" s="98"/>
      <c r="AH302" s="105">
        <v>46139</v>
      </c>
      <c r="AI302" s="105" t="s">
        <v>828</v>
      </c>
      <c r="AJ302" s="105"/>
      <c r="AK302" s="105">
        <v>46156</v>
      </c>
      <c r="AL302" s="105">
        <v>46140</v>
      </c>
      <c r="AM302" s="105"/>
      <c r="AN302" s="105"/>
      <c r="AO302" s="100">
        <f t="shared" si="59"/>
        <v>77</v>
      </c>
      <c r="AP302" s="100">
        <f t="shared" si="60"/>
        <v>58</v>
      </c>
    </row>
    <row r="303" s="89" customFormat="1" hidden="1" customHeight="1" spans="1:42">
      <c r="A303" s="93">
        <v>46115</v>
      </c>
      <c r="B303" s="93" t="str">
        <f ca="1" t="shared" si="65"/>
        <v/>
      </c>
      <c r="C303" s="95" t="s">
        <v>237</v>
      </c>
      <c r="D303" s="93" t="s">
        <v>838</v>
      </c>
      <c r="E303" s="95" t="s">
        <v>438</v>
      </c>
      <c r="F303" s="96">
        <v>10124137</v>
      </c>
      <c r="G303" s="96" t="s">
        <v>279</v>
      </c>
      <c r="H303" s="97" t="s">
        <v>107</v>
      </c>
      <c r="I303" s="98" t="str">
        <f>IFERROR(VLOOKUP(H303,名称!A:C,2,0),"")</f>
        <v>农场女孩套装</v>
      </c>
      <c r="J303" s="99">
        <v>88</v>
      </c>
      <c r="K303" s="98">
        <f>IFERROR(VLOOKUP(H303,名称!A:D,3,0),"")</f>
        <v>4</v>
      </c>
      <c r="L303" s="100">
        <f t="shared" si="66"/>
        <v>22</v>
      </c>
      <c r="M303" s="93">
        <v>46176</v>
      </c>
      <c r="N303" s="93">
        <f t="shared" si="58"/>
        <v>46174</v>
      </c>
      <c r="O303" s="151">
        <v>46177</v>
      </c>
      <c r="P303" s="93" t="s">
        <v>435</v>
      </c>
      <c r="Q303" s="97" t="s">
        <v>777</v>
      </c>
      <c r="R303" s="148" t="s">
        <v>782</v>
      </c>
      <c r="S303" s="93"/>
      <c r="T303" s="93" t="s">
        <v>452</v>
      </c>
      <c r="U303" s="93"/>
      <c r="V303" s="93"/>
      <c r="W303" s="97"/>
      <c r="X303" s="100" t="s">
        <v>839</v>
      </c>
      <c r="Y303" s="102">
        <v>4.956</v>
      </c>
      <c r="Z303" s="103">
        <f t="shared" si="63"/>
        <v>436.13</v>
      </c>
      <c r="AA303" s="103">
        <f t="shared" si="64"/>
        <v>3380.01</v>
      </c>
      <c r="AB303" s="135" t="s">
        <v>874</v>
      </c>
      <c r="AC303" s="93"/>
      <c r="AD303" s="93"/>
      <c r="AE303" s="93" t="str">
        <f>IFERROR(VLOOKUP(H303,名称!A:D,4,0),"")</f>
        <v>KIK</v>
      </c>
      <c r="AF303" s="98"/>
      <c r="AG303" s="98"/>
      <c r="AH303" s="105">
        <v>46121</v>
      </c>
      <c r="AI303" s="105">
        <v>46128</v>
      </c>
      <c r="AJ303" s="105"/>
      <c r="AK303" s="105" t="s">
        <v>420</v>
      </c>
      <c r="AL303" s="105" t="s">
        <v>420</v>
      </c>
      <c r="AM303" s="105"/>
      <c r="AN303" s="105"/>
      <c r="AO303" s="100">
        <f t="shared" si="59"/>
        <v>61</v>
      </c>
      <c r="AP303" s="100">
        <f t="shared" si="60"/>
        <v>55</v>
      </c>
    </row>
    <row r="304" s="89" customFormat="1" hidden="1" customHeight="1" spans="1:42">
      <c r="A304" s="93">
        <v>46115</v>
      </c>
      <c r="B304" s="93" t="str">
        <f ca="1" t="shared" si="65"/>
        <v/>
      </c>
      <c r="C304" s="95" t="s">
        <v>237</v>
      </c>
      <c r="D304" s="93" t="s">
        <v>838</v>
      </c>
      <c r="E304" s="95" t="s">
        <v>438</v>
      </c>
      <c r="F304" s="96">
        <v>10124137</v>
      </c>
      <c r="G304" s="96" t="s">
        <v>279</v>
      </c>
      <c r="H304" s="97" t="s">
        <v>105</v>
      </c>
      <c r="I304" s="98" t="str">
        <f>IFERROR(VLOOKUP(H304,名称!A:C,2,0),"")</f>
        <v>农场男孩套装</v>
      </c>
      <c r="J304" s="99">
        <v>88</v>
      </c>
      <c r="K304" s="98">
        <f>IFERROR(VLOOKUP(H304,名称!A:D,3,0),"")</f>
        <v>4</v>
      </c>
      <c r="L304" s="100">
        <f t="shared" si="66"/>
        <v>22</v>
      </c>
      <c r="M304" s="93">
        <v>46176</v>
      </c>
      <c r="N304" s="93">
        <f t="shared" si="58"/>
        <v>46174</v>
      </c>
      <c r="O304" s="151">
        <v>46177</v>
      </c>
      <c r="P304" s="93" t="s">
        <v>435</v>
      </c>
      <c r="Q304" s="97" t="s">
        <v>777</v>
      </c>
      <c r="R304" s="154" t="s">
        <v>782</v>
      </c>
      <c r="S304" s="93"/>
      <c r="T304" s="93" t="s">
        <v>452</v>
      </c>
      <c r="U304" s="93"/>
      <c r="V304" s="93"/>
      <c r="W304" s="97"/>
      <c r="X304" s="100" t="s">
        <v>839</v>
      </c>
      <c r="Y304" s="102">
        <v>2.994</v>
      </c>
      <c r="Z304" s="103">
        <f t="shared" si="63"/>
        <v>263.47</v>
      </c>
      <c r="AA304" s="103">
        <f t="shared" si="64"/>
        <v>2041.89</v>
      </c>
      <c r="AB304" s="135" t="s">
        <v>874</v>
      </c>
      <c r="AC304" s="93"/>
      <c r="AD304" s="93"/>
      <c r="AE304" s="93" t="str">
        <f>IFERROR(VLOOKUP(H304,名称!A:D,4,0),"")</f>
        <v>KIK</v>
      </c>
      <c r="AF304" s="98"/>
      <c r="AG304" s="98"/>
      <c r="AH304" s="105">
        <v>46121</v>
      </c>
      <c r="AI304" s="105">
        <v>46128</v>
      </c>
      <c r="AJ304" s="105"/>
      <c r="AK304" s="105" t="s">
        <v>420</v>
      </c>
      <c r="AL304" s="105" t="s">
        <v>420</v>
      </c>
      <c r="AM304" s="105"/>
      <c r="AN304" s="105"/>
      <c r="AO304" s="100">
        <f t="shared" si="59"/>
        <v>61</v>
      </c>
      <c r="AP304" s="100">
        <f t="shared" si="60"/>
        <v>55</v>
      </c>
    </row>
    <row r="305" s="89" customFormat="1" hidden="1" customHeight="1" spans="1:42">
      <c r="A305" s="93">
        <v>46115</v>
      </c>
      <c r="B305" s="93" t="str">
        <f ca="1" t="shared" si="65"/>
        <v/>
      </c>
      <c r="C305" s="95" t="s">
        <v>237</v>
      </c>
      <c r="D305" s="93" t="s">
        <v>838</v>
      </c>
      <c r="E305" s="95" t="s">
        <v>438</v>
      </c>
      <c r="F305" s="96">
        <v>10124137</v>
      </c>
      <c r="G305" s="96" t="s">
        <v>279</v>
      </c>
      <c r="H305" s="97" t="s">
        <v>109</v>
      </c>
      <c r="I305" s="98" t="str">
        <f>IFERROR(VLOOKUP(H305,名称!A:C,2,0),"")</f>
        <v>红色铲车</v>
      </c>
      <c r="J305" s="99">
        <v>80</v>
      </c>
      <c r="K305" s="98">
        <f>IFERROR(VLOOKUP(H305,名称!A:D,3,0),"")</f>
        <v>4</v>
      </c>
      <c r="L305" s="100">
        <f t="shared" si="66"/>
        <v>20</v>
      </c>
      <c r="M305" s="93">
        <v>46176</v>
      </c>
      <c r="N305" s="93">
        <f t="shared" si="58"/>
        <v>46174</v>
      </c>
      <c r="O305" s="93">
        <v>46175</v>
      </c>
      <c r="P305" s="93" t="s">
        <v>435</v>
      </c>
      <c r="Q305" s="97" t="s">
        <v>777</v>
      </c>
      <c r="R305" s="148" t="s">
        <v>431</v>
      </c>
      <c r="S305" s="93"/>
      <c r="T305" s="93"/>
      <c r="U305" s="93"/>
      <c r="V305" s="93"/>
      <c r="W305" s="97"/>
      <c r="X305" s="100" t="s">
        <v>839</v>
      </c>
      <c r="Y305" s="102">
        <v>3.886</v>
      </c>
      <c r="Z305" s="103">
        <f t="shared" si="63"/>
        <v>310.88</v>
      </c>
      <c r="AA305" s="103">
        <f t="shared" si="64"/>
        <v>2409.32</v>
      </c>
      <c r="AB305" s="135" t="s">
        <v>874</v>
      </c>
      <c r="AC305" s="93"/>
      <c r="AD305" s="93"/>
      <c r="AE305" s="93" t="str">
        <f>IFERROR(VLOOKUP(H305,名称!A:D,4,0),"")</f>
        <v>KIK</v>
      </c>
      <c r="AF305" s="98"/>
      <c r="AG305" s="98"/>
      <c r="AH305" s="105">
        <v>46128</v>
      </c>
      <c r="AI305" s="105" t="s">
        <v>420</v>
      </c>
      <c r="AJ305" s="105"/>
      <c r="AK305" s="127">
        <v>46135</v>
      </c>
      <c r="AL305" s="105">
        <v>46128</v>
      </c>
      <c r="AM305" s="105"/>
      <c r="AN305" s="105"/>
      <c r="AO305" s="100">
        <f t="shared" si="59"/>
        <v>61</v>
      </c>
      <c r="AP305" s="100">
        <f t="shared" si="60"/>
        <v>48</v>
      </c>
    </row>
    <row r="306" s="89" customFormat="1" hidden="1" customHeight="1" spans="1:42">
      <c r="A306" s="93">
        <v>46115</v>
      </c>
      <c r="B306" s="93" t="str">
        <f ca="1" t="shared" si="65"/>
        <v/>
      </c>
      <c r="C306" s="95" t="s">
        <v>237</v>
      </c>
      <c r="D306" s="93" t="s">
        <v>838</v>
      </c>
      <c r="E306" s="95" t="s">
        <v>438</v>
      </c>
      <c r="F306" s="96">
        <v>10124137</v>
      </c>
      <c r="G306" s="96" t="s">
        <v>279</v>
      </c>
      <c r="H306" s="97" t="s">
        <v>158</v>
      </c>
      <c r="I306" s="98" t="str">
        <f>IFERROR(VLOOKUP(H306,名称!A:C,2,0),"")</f>
        <v>JD LNS圆轮拖拉机</v>
      </c>
      <c r="J306" s="99">
        <v>44</v>
      </c>
      <c r="K306" s="98">
        <f>IFERROR(VLOOKUP(H306,名称!A:D,3,0),"")</f>
        <v>2</v>
      </c>
      <c r="L306" s="100">
        <f t="shared" si="66"/>
        <v>22</v>
      </c>
      <c r="M306" s="93">
        <v>46176</v>
      </c>
      <c r="N306" s="93">
        <f t="shared" si="58"/>
        <v>46174</v>
      </c>
      <c r="O306" s="93">
        <v>46178</v>
      </c>
      <c r="P306" s="93" t="s">
        <v>435</v>
      </c>
      <c r="Q306" s="97" t="s">
        <v>777</v>
      </c>
      <c r="R306" s="148" t="s">
        <v>418</v>
      </c>
      <c r="S306" s="93"/>
      <c r="T306" s="93" t="s">
        <v>452</v>
      </c>
      <c r="U306" s="93"/>
      <c r="V306" s="93"/>
      <c r="W306" s="97"/>
      <c r="X306" s="100" t="s">
        <v>839</v>
      </c>
      <c r="Y306" s="102">
        <v>4.792</v>
      </c>
      <c r="Z306" s="103">
        <f t="shared" si="63"/>
        <v>210.85</v>
      </c>
      <c r="AA306" s="103">
        <f t="shared" si="64"/>
        <v>1634.09</v>
      </c>
      <c r="AB306" s="135" t="s">
        <v>874</v>
      </c>
      <c r="AC306" s="93"/>
      <c r="AD306" s="93"/>
      <c r="AE306" s="93" t="str">
        <f>IFERROR(VLOOKUP(H306,名称!A:D,4,0),"")</f>
        <v>KIK</v>
      </c>
      <c r="AF306" s="98"/>
      <c r="AG306" s="98"/>
      <c r="AH306" s="105">
        <v>46115</v>
      </c>
      <c r="AI306" s="105" t="s">
        <v>420</v>
      </c>
      <c r="AJ306" s="105"/>
      <c r="AK306" s="105" t="s">
        <v>453</v>
      </c>
      <c r="AL306" s="105">
        <v>46128</v>
      </c>
      <c r="AM306" s="105"/>
      <c r="AN306" s="105"/>
      <c r="AO306" s="100">
        <f t="shared" si="59"/>
        <v>61</v>
      </c>
      <c r="AP306" s="100">
        <f t="shared" si="60"/>
        <v>61</v>
      </c>
    </row>
    <row r="307" s="89" customFormat="1" hidden="1" customHeight="1" spans="1:42">
      <c r="A307" s="93">
        <v>46115</v>
      </c>
      <c r="B307" s="93" t="str">
        <f ca="1" t="shared" si="65"/>
        <v/>
      </c>
      <c r="C307" s="95" t="s">
        <v>237</v>
      </c>
      <c r="D307" s="93" t="s">
        <v>838</v>
      </c>
      <c r="E307" s="95" t="s">
        <v>438</v>
      </c>
      <c r="F307" s="96">
        <v>10124137</v>
      </c>
      <c r="G307" s="96" t="s">
        <v>279</v>
      </c>
      <c r="H307" s="97" t="s">
        <v>35</v>
      </c>
      <c r="I307" s="98" t="str">
        <f>IFERROR(VLOOKUP(H307,名称!A:C,2,0),"")</f>
        <v>1:16拖车厢</v>
      </c>
      <c r="J307" s="99">
        <v>40</v>
      </c>
      <c r="K307" s="98">
        <f>IFERROR(VLOOKUP(H307,名称!A:D,3,0),"")</f>
        <v>2</v>
      </c>
      <c r="L307" s="100">
        <f t="shared" si="66"/>
        <v>20</v>
      </c>
      <c r="M307" s="93">
        <v>46176</v>
      </c>
      <c r="N307" s="93">
        <f t="shared" si="58"/>
        <v>46174</v>
      </c>
      <c r="O307" s="93">
        <v>46176</v>
      </c>
      <c r="P307" s="93" t="s">
        <v>435</v>
      </c>
      <c r="Q307" s="97" t="s">
        <v>777</v>
      </c>
      <c r="R307" s="148" t="s">
        <v>826</v>
      </c>
      <c r="S307" s="93"/>
      <c r="T307" s="93"/>
      <c r="U307" s="93"/>
      <c r="V307" s="93"/>
      <c r="W307" s="97"/>
      <c r="X307" s="100" t="s">
        <v>839</v>
      </c>
      <c r="Y307" s="102">
        <v>22.9</v>
      </c>
      <c r="Z307" s="103">
        <f t="shared" si="63"/>
        <v>916</v>
      </c>
      <c r="AA307" s="103">
        <f t="shared" si="64"/>
        <v>7099</v>
      </c>
      <c r="AB307" s="135" t="s">
        <v>874</v>
      </c>
      <c r="AC307" s="93"/>
      <c r="AD307" s="93"/>
      <c r="AE307" s="93" t="str">
        <f>IFERROR(VLOOKUP(H307,名称!A:D,4,0),"")</f>
        <v>KIK</v>
      </c>
      <c r="AF307" s="98"/>
      <c r="AG307" s="98"/>
      <c r="AH307" s="105">
        <v>46146</v>
      </c>
      <c r="AI307" s="105">
        <v>46171</v>
      </c>
      <c r="AJ307" s="105"/>
      <c r="AK307" s="105">
        <v>46146</v>
      </c>
      <c r="AL307" s="105">
        <v>46140</v>
      </c>
      <c r="AM307" s="105"/>
      <c r="AN307" s="105"/>
      <c r="AO307" s="100">
        <f t="shared" si="59"/>
        <v>61</v>
      </c>
      <c r="AP307" s="100">
        <f t="shared" si="60"/>
        <v>30</v>
      </c>
    </row>
    <row r="308" s="89" customFormat="1" hidden="1" customHeight="1" spans="1:42">
      <c r="A308" s="93">
        <v>46115</v>
      </c>
      <c r="B308" s="93" t="str">
        <f ca="1" t="shared" si="65"/>
        <v/>
      </c>
      <c r="C308" s="95" t="s">
        <v>237</v>
      </c>
      <c r="D308" s="93" t="s">
        <v>838</v>
      </c>
      <c r="E308" s="95" t="s">
        <v>438</v>
      </c>
      <c r="F308" s="96">
        <v>10124137</v>
      </c>
      <c r="G308" s="96" t="s">
        <v>279</v>
      </c>
      <c r="H308" s="97">
        <v>47669</v>
      </c>
      <c r="I308" s="98" t="str">
        <f>IFERROR(VLOOKUP(H308,名称!A:C,2,0),"")</f>
        <v>动物车</v>
      </c>
      <c r="J308" s="99">
        <v>60</v>
      </c>
      <c r="K308" s="98">
        <f>IFERROR(VLOOKUP(H308,名称!A:D,3,0),"")</f>
        <v>4</v>
      </c>
      <c r="L308" s="100">
        <f t="shared" si="66"/>
        <v>15</v>
      </c>
      <c r="M308" s="93">
        <v>46176</v>
      </c>
      <c r="N308" s="93">
        <f t="shared" si="58"/>
        <v>46174</v>
      </c>
      <c r="O308" s="93">
        <v>46182</v>
      </c>
      <c r="P308" s="93" t="s">
        <v>435</v>
      </c>
      <c r="Q308" s="97" t="s">
        <v>777</v>
      </c>
      <c r="R308" s="148" t="s">
        <v>418</v>
      </c>
      <c r="S308" s="93"/>
      <c r="T308" s="93" t="s">
        <v>452</v>
      </c>
      <c r="U308" s="93"/>
      <c r="V308" s="93"/>
      <c r="W308" s="97"/>
      <c r="X308" s="100" t="s">
        <v>839</v>
      </c>
      <c r="Y308" s="102">
        <v>4.808</v>
      </c>
      <c r="Z308" s="103">
        <f t="shared" si="63"/>
        <v>288.48</v>
      </c>
      <c r="AA308" s="103">
        <f t="shared" si="64"/>
        <v>2235.72</v>
      </c>
      <c r="AB308" s="135" t="s">
        <v>874</v>
      </c>
      <c r="AC308" s="98"/>
      <c r="AD308" s="105"/>
      <c r="AE308" s="93" t="s">
        <v>12</v>
      </c>
      <c r="AF308" s="105">
        <v>46115</v>
      </c>
      <c r="AG308" s="105"/>
      <c r="AH308" s="105">
        <v>46115</v>
      </c>
      <c r="AI308" s="105">
        <v>46135</v>
      </c>
      <c r="AJ308" s="105"/>
      <c r="AK308" s="105" t="s">
        <v>420</v>
      </c>
      <c r="AL308" s="105" t="s">
        <v>420</v>
      </c>
      <c r="AM308" s="100"/>
      <c r="AN308" s="139"/>
      <c r="AO308" s="100">
        <f t="shared" si="59"/>
        <v>61</v>
      </c>
      <c r="AP308" s="100">
        <f t="shared" si="60"/>
        <v>61</v>
      </c>
    </row>
    <row r="309" s="89" customFormat="1" customHeight="1" spans="1:42">
      <c r="A309" s="93">
        <v>46115</v>
      </c>
      <c r="B309" s="93" t="str">
        <f ca="1" t="shared" si="65"/>
        <v/>
      </c>
      <c r="C309" s="95" t="s">
        <v>237</v>
      </c>
      <c r="D309" s="93" t="s">
        <v>838</v>
      </c>
      <c r="E309" s="95" t="s">
        <v>438</v>
      </c>
      <c r="F309" s="96">
        <v>10124137</v>
      </c>
      <c r="G309" s="96" t="s">
        <v>279</v>
      </c>
      <c r="H309" s="97" t="s">
        <v>120</v>
      </c>
      <c r="I309" s="98" t="str">
        <f>IFERROR(VLOOKUP(H309,名称!A:C,2,0),"")</f>
        <v>绿色拖拉机</v>
      </c>
      <c r="J309" s="99">
        <v>350</v>
      </c>
      <c r="K309" s="98">
        <f>IFERROR(VLOOKUP(H309,名称!A:D,3,0),"")</f>
        <v>2</v>
      </c>
      <c r="L309" s="100">
        <f t="shared" si="66"/>
        <v>175</v>
      </c>
      <c r="M309" s="93">
        <v>46197</v>
      </c>
      <c r="N309" s="93">
        <f t="shared" si="58"/>
        <v>46195</v>
      </c>
      <c r="O309" s="93">
        <v>46197</v>
      </c>
      <c r="P309" s="93" t="s">
        <v>429</v>
      </c>
      <c r="Q309" s="97" t="s">
        <v>777</v>
      </c>
      <c r="R309" s="148" t="s">
        <v>418</v>
      </c>
      <c r="S309" s="93"/>
      <c r="T309" s="93" t="s">
        <v>452</v>
      </c>
      <c r="U309" s="93"/>
      <c r="V309" s="93"/>
      <c r="W309" s="97"/>
      <c r="X309" s="100" t="s">
        <v>839</v>
      </c>
      <c r="Y309" s="102">
        <v>21.246</v>
      </c>
      <c r="Z309" s="103">
        <f t="shared" si="63"/>
        <v>7436.1</v>
      </c>
      <c r="AA309" s="103">
        <f t="shared" si="64"/>
        <v>57629.78</v>
      </c>
      <c r="AB309" s="135" t="s">
        <v>874</v>
      </c>
      <c r="AC309" s="98"/>
      <c r="AD309" s="105"/>
      <c r="AE309" s="93" t="s">
        <v>12</v>
      </c>
      <c r="AF309" s="105"/>
      <c r="AG309" s="105"/>
      <c r="AH309" s="105">
        <v>46134</v>
      </c>
      <c r="AI309" s="105">
        <v>46128</v>
      </c>
      <c r="AJ309" s="105"/>
      <c r="AK309" s="105">
        <v>46149</v>
      </c>
      <c r="AL309" s="105">
        <v>46134</v>
      </c>
      <c r="AM309" s="105"/>
      <c r="AN309" s="139"/>
      <c r="AO309" s="100">
        <f t="shared" si="59"/>
        <v>82</v>
      </c>
      <c r="AP309" s="100">
        <f t="shared" si="60"/>
        <v>63</v>
      </c>
    </row>
    <row r="310" s="89" customFormat="1" hidden="1" customHeight="1" spans="1:42">
      <c r="A310" s="93">
        <v>46088</v>
      </c>
      <c r="B310" s="93" t="str">
        <f ca="1" t="shared" si="65"/>
        <v/>
      </c>
      <c r="C310" s="95" t="s">
        <v>235</v>
      </c>
      <c r="D310" s="93" t="s">
        <v>421</v>
      </c>
      <c r="E310" s="95" t="s">
        <v>422</v>
      </c>
      <c r="F310" s="96">
        <v>10121640</v>
      </c>
      <c r="G310" s="96">
        <v>4500032389</v>
      </c>
      <c r="H310" s="97" t="s">
        <v>141</v>
      </c>
      <c r="I310" s="98" t="str">
        <f>IFERROR(VLOOKUP(H310,名称!A:C,2,0),"")</f>
        <v>马里奥能量蘑菇密封盒混装</v>
      </c>
      <c r="J310" s="99">
        <v>5004</v>
      </c>
      <c r="K310" s="98">
        <f>IFERROR(VLOOKUP(H310,名称!A:D,3,0),"")</f>
        <v>6</v>
      </c>
      <c r="L310" s="100">
        <f t="shared" si="66"/>
        <v>834</v>
      </c>
      <c r="M310" s="93">
        <v>46197</v>
      </c>
      <c r="N310" s="93">
        <f t="shared" si="58"/>
        <v>46195</v>
      </c>
      <c r="O310" s="151">
        <v>46176</v>
      </c>
      <c r="P310" s="93" t="s">
        <v>435</v>
      </c>
      <c r="Q310" s="97" t="s">
        <v>424</v>
      </c>
      <c r="R310" s="148" t="s">
        <v>826</v>
      </c>
      <c r="S310" s="93"/>
      <c r="T310" s="93"/>
      <c r="U310" s="93"/>
      <c r="V310" s="93"/>
      <c r="W310" s="97"/>
      <c r="X310" s="100"/>
      <c r="Y310" s="102">
        <v>2.398</v>
      </c>
      <c r="Z310" s="103">
        <f t="shared" si="63"/>
        <v>11999.59</v>
      </c>
      <c r="AA310" s="103">
        <f t="shared" si="64"/>
        <v>92996.82</v>
      </c>
      <c r="AB310" s="135" t="s">
        <v>875</v>
      </c>
      <c r="AC310" s="93"/>
      <c r="AD310" s="93"/>
      <c r="AE310" s="93" t="str">
        <f>IFERROR(VLOOKUP(H310,名称!A:D,4,0),"")</f>
        <v>KIK</v>
      </c>
      <c r="AF310" s="98"/>
      <c r="AG310" s="98"/>
      <c r="AH310" s="105">
        <v>46107</v>
      </c>
      <c r="AI310" s="105" t="s">
        <v>522</v>
      </c>
      <c r="AJ310" s="105"/>
      <c r="AK310" s="105" t="s">
        <v>420</v>
      </c>
      <c r="AL310" s="105" t="s">
        <v>420</v>
      </c>
      <c r="AM310" s="105"/>
      <c r="AN310" s="105"/>
      <c r="AO310" s="100">
        <f t="shared" si="59"/>
        <v>109</v>
      </c>
      <c r="AP310" s="100">
        <f t="shared" si="60"/>
        <v>90</v>
      </c>
    </row>
    <row r="311" s="89" customFormat="1" hidden="1" customHeight="1" spans="1:42">
      <c r="A311" s="93">
        <v>46088</v>
      </c>
      <c r="B311" s="93" t="str">
        <f ca="1" t="shared" si="65"/>
        <v/>
      </c>
      <c r="C311" s="95" t="s">
        <v>235</v>
      </c>
      <c r="D311" s="93" t="s">
        <v>421</v>
      </c>
      <c r="E311" s="95" t="s">
        <v>422</v>
      </c>
      <c r="F311" s="96">
        <v>10121640</v>
      </c>
      <c r="G311" s="96">
        <v>4500032389</v>
      </c>
      <c r="H311" s="97" t="s">
        <v>97</v>
      </c>
      <c r="I311" s="98" t="str">
        <f>IFERROR(VLOOKUP(H311,名称!A:C,2,0),"")</f>
        <v>管道马里奥</v>
      </c>
      <c r="J311" s="99">
        <v>2060</v>
      </c>
      <c r="K311" s="98">
        <f>IFERROR(VLOOKUP(H311,名称!A:D,3,0),"")</f>
        <v>4</v>
      </c>
      <c r="L311" s="100">
        <f t="shared" si="66"/>
        <v>515</v>
      </c>
      <c r="M311" s="93">
        <v>46197</v>
      </c>
      <c r="N311" s="93">
        <f t="shared" si="58"/>
        <v>46195</v>
      </c>
      <c r="O311" s="151">
        <v>46178</v>
      </c>
      <c r="P311" s="93" t="s">
        <v>435</v>
      </c>
      <c r="Q311" s="97" t="s">
        <v>424</v>
      </c>
      <c r="R311" s="148" t="s">
        <v>763</v>
      </c>
      <c r="S311" s="93"/>
      <c r="T311" s="93"/>
      <c r="U311" s="93"/>
      <c r="V311" s="93"/>
      <c r="W311" s="97"/>
      <c r="X311" s="100"/>
      <c r="Y311" s="102">
        <v>3.362</v>
      </c>
      <c r="Z311" s="103">
        <f t="shared" si="63"/>
        <v>6925.72</v>
      </c>
      <c r="AA311" s="103">
        <f t="shared" si="64"/>
        <v>53674.33</v>
      </c>
      <c r="AB311" s="135" t="s">
        <v>875</v>
      </c>
      <c r="AC311" s="93"/>
      <c r="AD311" s="93"/>
      <c r="AE311" s="93" t="str">
        <f>IFERROR(VLOOKUP(H311,名称!A:D,4,0),"")</f>
        <v>KIK</v>
      </c>
      <c r="AF311" s="98"/>
      <c r="AG311" s="98"/>
      <c r="AH311" s="105">
        <v>46118</v>
      </c>
      <c r="AI311" s="105" t="s">
        <v>420</v>
      </c>
      <c r="AJ311" s="105"/>
      <c r="AK311" s="105" t="s">
        <v>420</v>
      </c>
      <c r="AL311" s="105" t="s">
        <v>420</v>
      </c>
      <c r="AM311" s="105"/>
      <c r="AN311" s="105"/>
      <c r="AO311" s="100">
        <f t="shared" si="59"/>
        <v>109</v>
      </c>
      <c r="AP311" s="100">
        <f t="shared" si="60"/>
        <v>79</v>
      </c>
    </row>
    <row r="312" s="89" customFormat="1" hidden="1" customHeight="1" spans="1:42">
      <c r="A312" s="93">
        <v>46088</v>
      </c>
      <c r="B312" s="93" t="str">
        <f ca="1" t="shared" si="65"/>
        <v/>
      </c>
      <c r="C312" s="95" t="s">
        <v>235</v>
      </c>
      <c r="D312" s="93" t="s">
        <v>421</v>
      </c>
      <c r="E312" s="95" t="s">
        <v>422</v>
      </c>
      <c r="F312" s="96">
        <v>10121641</v>
      </c>
      <c r="G312" s="96">
        <v>4500032390</v>
      </c>
      <c r="H312" s="97" t="s">
        <v>64</v>
      </c>
      <c r="I312" s="98" t="str">
        <f>IFERROR(VLOOKUP(H312,名称!A:C,2,0),"")</f>
        <v>泡泡壶密封盒</v>
      </c>
      <c r="J312" s="99">
        <v>5000</v>
      </c>
      <c r="K312" s="98">
        <f>IFERROR(VLOOKUP(H312,名称!A:D,3,0),"")</f>
        <v>4</v>
      </c>
      <c r="L312" s="100">
        <f t="shared" si="66"/>
        <v>1250</v>
      </c>
      <c r="M312" s="93">
        <v>46176</v>
      </c>
      <c r="N312" s="93">
        <f t="shared" si="58"/>
        <v>46174</v>
      </c>
      <c r="O312" s="147">
        <v>46178</v>
      </c>
      <c r="P312" s="93" t="s">
        <v>435</v>
      </c>
      <c r="Q312" s="97" t="s">
        <v>424</v>
      </c>
      <c r="R312" s="148" t="s">
        <v>876</v>
      </c>
      <c r="S312" s="93"/>
      <c r="T312" s="93"/>
      <c r="U312" s="93"/>
      <c r="V312" s="93"/>
      <c r="W312" s="97"/>
      <c r="X312" s="100" t="s">
        <v>769</v>
      </c>
      <c r="Y312" s="102">
        <v>2.364</v>
      </c>
      <c r="Z312" s="103">
        <f t="shared" si="63"/>
        <v>11820</v>
      </c>
      <c r="AA312" s="103">
        <f t="shared" si="64"/>
        <v>91605</v>
      </c>
      <c r="AB312" s="135" t="s">
        <v>875</v>
      </c>
      <c r="AC312" s="93"/>
      <c r="AD312" s="93"/>
      <c r="AE312" s="93" t="str">
        <f>IFERROR(VLOOKUP(H312,名称!A:D,4,0),"")</f>
        <v>KIK</v>
      </c>
      <c r="AF312" s="98"/>
      <c r="AG312" s="98"/>
      <c r="AH312" s="105">
        <v>46115</v>
      </c>
      <c r="AI312" s="105" t="s">
        <v>420</v>
      </c>
      <c r="AJ312" s="105"/>
      <c r="AK312" s="105" t="s">
        <v>420</v>
      </c>
      <c r="AL312" s="105">
        <v>46134</v>
      </c>
      <c r="AM312" s="105"/>
      <c r="AN312" s="105"/>
      <c r="AO312" s="100">
        <f t="shared" si="59"/>
        <v>88</v>
      </c>
      <c r="AP312" s="100">
        <f t="shared" si="60"/>
        <v>61</v>
      </c>
    </row>
    <row r="313" s="89" customFormat="1" hidden="1" customHeight="1" spans="1:42">
      <c r="A313" s="93">
        <v>46092</v>
      </c>
      <c r="B313" s="93" t="str">
        <f ca="1" t="shared" ref="B313:B376" si="67">IF(TODAY()&gt;=A313,IF(R313="","未",""),"")</f>
        <v/>
      </c>
      <c r="C313" s="95" t="s">
        <v>235</v>
      </c>
      <c r="D313" s="93" t="s">
        <v>421</v>
      </c>
      <c r="E313" s="95" t="s">
        <v>428</v>
      </c>
      <c r="F313" s="96">
        <v>10121816</v>
      </c>
      <c r="G313" s="96">
        <v>4500032388</v>
      </c>
      <c r="H313" s="97" t="s">
        <v>115</v>
      </c>
      <c r="I313" s="98" t="str">
        <f>IFERROR(VLOOKUP(H313,名称!A:C,2,0),"")</f>
        <v>布鲁伊混装</v>
      </c>
      <c r="J313" s="99">
        <v>2160</v>
      </c>
      <c r="K313" s="98">
        <f>IFERROR(VLOOKUP(H313,名称!A:D,3,0),"")</f>
        <v>4</v>
      </c>
      <c r="L313" s="100">
        <f t="shared" ref="L313:L376" si="68">IFERROR((J313/K313),"")</f>
        <v>540</v>
      </c>
      <c r="M313" s="93">
        <v>46176</v>
      </c>
      <c r="N313" s="93">
        <f t="shared" ref="N313:N376" si="69">M313-2</f>
        <v>46174</v>
      </c>
      <c r="O313" s="147">
        <v>46178</v>
      </c>
      <c r="P313" s="93" t="s">
        <v>423</v>
      </c>
      <c r="Q313" s="97" t="s">
        <v>424</v>
      </c>
      <c r="R313" s="148" t="s">
        <v>418</v>
      </c>
      <c r="S313" s="93"/>
      <c r="T313" s="93"/>
      <c r="U313" s="93"/>
      <c r="V313" s="93"/>
      <c r="W313" s="97"/>
      <c r="X313" s="100"/>
      <c r="Y313" s="102">
        <v>2.204</v>
      </c>
      <c r="Z313" s="103">
        <f t="shared" si="63"/>
        <v>4760.64</v>
      </c>
      <c r="AA313" s="103">
        <f t="shared" si="64"/>
        <v>36894.96</v>
      </c>
      <c r="AB313" s="135" t="s">
        <v>875</v>
      </c>
      <c r="AC313" s="93"/>
      <c r="AD313" s="93"/>
      <c r="AE313" s="93" t="str">
        <f>IFERROR(VLOOKUP(H313,名称!A:D,4,0),"")</f>
        <v>KIK</v>
      </c>
      <c r="AF313" s="98"/>
      <c r="AG313" s="98"/>
      <c r="AH313" s="105">
        <v>46115</v>
      </c>
      <c r="AI313" s="105"/>
      <c r="AJ313" s="105"/>
      <c r="AK313" s="105"/>
      <c r="AL313" s="105">
        <v>46139</v>
      </c>
      <c r="AM313" s="105"/>
      <c r="AN313" s="105"/>
      <c r="AO313" s="100">
        <f t="shared" ref="AO313:AO332" si="70">M313-A313</f>
        <v>84</v>
      </c>
      <c r="AP313" s="100">
        <f t="shared" ref="AP313:AP332" si="71">M313-AH313</f>
        <v>61</v>
      </c>
    </row>
    <row r="314" s="89" customFormat="1" hidden="1" customHeight="1" spans="1:42">
      <c r="A314" s="93">
        <v>46105</v>
      </c>
      <c r="B314" s="93" t="str">
        <f ca="1" t="shared" si="67"/>
        <v/>
      </c>
      <c r="C314" s="95" t="s">
        <v>237</v>
      </c>
      <c r="D314" s="93" t="s">
        <v>877</v>
      </c>
      <c r="E314" s="95" t="s">
        <v>438</v>
      </c>
      <c r="F314" s="96">
        <v>10123113</v>
      </c>
      <c r="G314" s="96" t="s">
        <v>261</v>
      </c>
      <c r="H314" s="97" t="s">
        <v>31</v>
      </c>
      <c r="I314" s="98" t="str">
        <f>IFERROR(VLOOKUP(H314,名称!A:C,2,0),"")</f>
        <v>1:16收割机</v>
      </c>
      <c r="J314" s="99">
        <v>265</v>
      </c>
      <c r="K314" s="98">
        <f>IFERROR(VLOOKUP(H314,名称!A:D,3,0),"")</f>
        <v>1</v>
      </c>
      <c r="L314" s="100">
        <f t="shared" si="68"/>
        <v>265</v>
      </c>
      <c r="M314" s="93">
        <v>46176</v>
      </c>
      <c r="N314" s="93">
        <f t="shared" si="69"/>
        <v>46174</v>
      </c>
      <c r="O314" s="147">
        <v>46192</v>
      </c>
      <c r="P314" s="93" t="s">
        <v>435</v>
      </c>
      <c r="Q314" s="97" t="s">
        <v>777</v>
      </c>
      <c r="R314" s="148" t="s">
        <v>826</v>
      </c>
      <c r="S314" s="93"/>
      <c r="T314" s="93" t="s">
        <v>452</v>
      </c>
      <c r="U314" s="93"/>
      <c r="V314" s="93"/>
      <c r="W314" s="97"/>
      <c r="X314" s="100" t="s">
        <v>878</v>
      </c>
      <c r="Y314" s="102">
        <v>29.652</v>
      </c>
      <c r="Z314" s="103">
        <f t="shared" si="63"/>
        <v>7857.78</v>
      </c>
      <c r="AA314" s="103">
        <f t="shared" si="64"/>
        <v>60897.8</v>
      </c>
      <c r="AB314" s="135" t="s">
        <v>879</v>
      </c>
      <c r="AC314" s="98"/>
      <c r="AD314" s="105"/>
      <c r="AE314" s="93" t="s">
        <v>12</v>
      </c>
      <c r="AF314" s="105"/>
      <c r="AG314" s="105"/>
      <c r="AH314" s="105">
        <v>46149</v>
      </c>
      <c r="AI314" s="105"/>
      <c r="AJ314" s="105"/>
      <c r="AK314" s="105">
        <v>46158</v>
      </c>
      <c r="AL314" s="125">
        <v>46140</v>
      </c>
      <c r="AM314" s="100"/>
      <c r="AN314" s="139"/>
      <c r="AO314" s="100">
        <f t="shared" si="70"/>
        <v>71</v>
      </c>
      <c r="AP314" s="100">
        <f t="shared" si="71"/>
        <v>27</v>
      </c>
    </row>
    <row r="315" s="89" customFormat="1" customHeight="1" spans="1:42">
      <c r="A315" s="93">
        <v>46105</v>
      </c>
      <c r="B315" s="93" t="str">
        <f ca="1" t="shared" si="67"/>
        <v/>
      </c>
      <c r="C315" s="95" t="s">
        <v>237</v>
      </c>
      <c r="D315" s="93" t="s">
        <v>877</v>
      </c>
      <c r="E315" s="95" t="s">
        <v>438</v>
      </c>
      <c r="F315" s="96">
        <v>10123113</v>
      </c>
      <c r="G315" s="96" t="s">
        <v>261</v>
      </c>
      <c r="H315" s="97" t="s">
        <v>120</v>
      </c>
      <c r="I315" s="98" t="str">
        <f>IFERROR(VLOOKUP(H315,名称!A:C,2,0),"")</f>
        <v>绿色拖拉机</v>
      </c>
      <c r="J315" s="99">
        <v>200</v>
      </c>
      <c r="K315" s="98">
        <f>IFERROR(VLOOKUP(H315,名称!A:D,3,0),"")</f>
        <v>2</v>
      </c>
      <c r="L315" s="100">
        <f t="shared" si="68"/>
        <v>100</v>
      </c>
      <c r="M315" s="93">
        <v>46197</v>
      </c>
      <c r="N315" s="93">
        <f t="shared" si="69"/>
        <v>46195</v>
      </c>
      <c r="O315" s="93">
        <v>46197</v>
      </c>
      <c r="P315" s="93" t="s">
        <v>435</v>
      </c>
      <c r="Q315" s="97" t="s">
        <v>777</v>
      </c>
      <c r="R315" s="148" t="s">
        <v>418</v>
      </c>
      <c r="S315" s="93"/>
      <c r="T315" s="93" t="s">
        <v>452</v>
      </c>
      <c r="U315" s="93"/>
      <c r="V315" s="93"/>
      <c r="W315" s="97"/>
      <c r="X315" s="100" t="s">
        <v>878</v>
      </c>
      <c r="Y315" s="102">
        <v>21.246</v>
      </c>
      <c r="Z315" s="103">
        <f t="shared" si="63"/>
        <v>4249.2</v>
      </c>
      <c r="AA315" s="103">
        <f t="shared" si="64"/>
        <v>32931.3</v>
      </c>
      <c r="AB315" s="135" t="s">
        <v>879</v>
      </c>
      <c r="AC315" s="98"/>
      <c r="AD315" s="105"/>
      <c r="AE315" s="93" t="s">
        <v>12</v>
      </c>
      <c r="AF315" s="105"/>
      <c r="AG315" s="105"/>
      <c r="AH315" s="105">
        <v>46134</v>
      </c>
      <c r="AI315" s="105">
        <v>46128</v>
      </c>
      <c r="AJ315" s="105"/>
      <c r="AK315" s="105">
        <v>46149</v>
      </c>
      <c r="AL315" s="105">
        <v>46134</v>
      </c>
      <c r="AM315" s="149"/>
      <c r="AN315" s="139"/>
      <c r="AO315" s="100">
        <f t="shared" si="70"/>
        <v>92</v>
      </c>
      <c r="AP315" s="100">
        <f t="shared" si="71"/>
        <v>63</v>
      </c>
    </row>
    <row r="316" s="89" customFormat="1" hidden="1" customHeight="1" spans="1:42">
      <c r="A316" s="93">
        <v>46105</v>
      </c>
      <c r="B316" s="93" t="str">
        <f ca="1" t="shared" si="67"/>
        <v/>
      </c>
      <c r="C316" s="95" t="s">
        <v>237</v>
      </c>
      <c r="D316" s="93" t="s">
        <v>877</v>
      </c>
      <c r="E316" s="95" t="s">
        <v>438</v>
      </c>
      <c r="F316" s="96">
        <v>10123113</v>
      </c>
      <c r="G316" s="96" t="s">
        <v>261</v>
      </c>
      <c r="H316" s="97" t="s">
        <v>29</v>
      </c>
      <c r="I316" s="98" t="str">
        <f>IFERROR(VLOOKUP(H316,名称!A:C,2,0),"")</f>
        <v>木材运输车</v>
      </c>
      <c r="J316" s="99">
        <v>240</v>
      </c>
      <c r="K316" s="98">
        <f>IFERROR(VLOOKUP(H316,名称!A:D,3,0),"")</f>
        <v>4</v>
      </c>
      <c r="L316" s="100">
        <f t="shared" si="68"/>
        <v>60</v>
      </c>
      <c r="M316" s="93">
        <v>46197</v>
      </c>
      <c r="N316" s="93">
        <f t="shared" si="69"/>
        <v>46195</v>
      </c>
      <c r="O316" s="93">
        <v>46200</v>
      </c>
      <c r="P316" s="93" t="s">
        <v>435</v>
      </c>
      <c r="Q316" s="97" t="s">
        <v>777</v>
      </c>
      <c r="R316" s="148" t="s">
        <v>425</v>
      </c>
      <c r="S316" s="93"/>
      <c r="T316" s="93"/>
      <c r="U316" s="93"/>
      <c r="V316" s="93"/>
      <c r="W316" s="97"/>
      <c r="X316" s="100" t="s">
        <v>878</v>
      </c>
      <c r="Y316" s="102">
        <v>21.801</v>
      </c>
      <c r="Z316" s="103">
        <f t="shared" si="63"/>
        <v>5232.24</v>
      </c>
      <c r="AA316" s="103">
        <f t="shared" si="64"/>
        <v>40549.86</v>
      </c>
      <c r="AB316" s="135" t="s">
        <v>879</v>
      </c>
      <c r="AC316" s="93"/>
      <c r="AD316" s="93"/>
      <c r="AE316" s="93" t="str">
        <f>IFERROR(VLOOKUP(H316,名称!A:D,4,0),"")</f>
        <v>KIK</v>
      </c>
      <c r="AF316" s="98"/>
      <c r="AG316" s="98"/>
      <c r="AH316" s="105">
        <v>46139</v>
      </c>
      <c r="AI316" s="105" t="s">
        <v>828</v>
      </c>
      <c r="AJ316" s="105"/>
      <c r="AK316" s="105">
        <v>46156</v>
      </c>
      <c r="AL316" s="105">
        <v>46140</v>
      </c>
      <c r="AM316" s="105"/>
      <c r="AN316" s="105"/>
      <c r="AO316" s="100">
        <f t="shared" si="70"/>
        <v>92</v>
      </c>
      <c r="AP316" s="100">
        <f t="shared" si="71"/>
        <v>58</v>
      </c>
    </row>
    <row r="317" s="89" customFormat="1" hidden="1" customHeight="1" spans="1:42">
      <c r="A317" s="93">
        <v>46105</v>
      </c>
      <c r="B317" s="93" t="str">
        <f ca="1" t="shared" si="67"/>
        <v/>
      </c>
      <c r="C317" s="95" t="s">
        <v>237</v>
      </c>
      <c r="D317" s="93" t="s">
        <v>877</v>
      </c>
      <c r="E317" s="95" t="s">
        <v>438</v>
      </c>
      <c r="F317" s="96">
        <v>10123116</v>
      </c>
      <c r="G317" s="96" t="s">
        <v>260</v>
      </c>
      <c r="H317" s="97" t="s">
        <v>107</v>
      </c>
      <c r="I317" s="98" t="str">
        <f>IFERROR(VLOOKUP(H317,名称!A:C,2,0),"")</f>
        <v>农场女孩套装</v>
      </c>
      <c r="J317" s="99">
        <v>380</v>
      </c>
      <c r="K317" s="98">
        <f>IFERROR(VLOOKUP(H317,名称!A:D,3,0),"")</f>
        <v>4</v>
      </c>
      <c r="L317" s="100">
        <f t="shared" si="68"/>
        <v>95</v>
      </c>
      <c r="M317" s="93">
        <v>46176</v>
      </c>
      <c r="N317" s="93">
        <f t="shared" si="69"/>
        <v>46174</v>
      </c>
      <c r="O317" s="147">
        <v>46177</v>
      </c>
      <c r="P317" s="93" t="s">
        <v>435</v>
      </c>
      <c r="Q317" s="97" t="s">
        <v>777</v>
      </c>
      <c r="R317" s="148" t="s">
        <v>880</v>
      </c>
      <c r="S317" s="93"/>
      <c r="T317" s="93" t="s">
        <v>452</v>
      </c>
      <c r="U317" s="93"/>
      <c r="V317" s="93"/>
      <c r="W317" s="97"/>
      <c r="X317" s="100" t="s">
        <v>878</v>
      </c>
      <c r="Y317" s="102">
        <v>4.956</v>
      </c>
      <c r="Z317" s="103">
        <f t="shared" ref="Z317:Z343" si="72">J317*Y317</f>
        <v>1883.28</v>
      </c>
      <c r="AA317" s="103">
        <f t="shared" ref="AA317:AA343" si="73">Z317*7.75</f>
        <v>14595.42</v>
      </c>
      <c r="AB317" s="135" t="s">
        <v>881</v>
      </c>
      <c r="AC317" s="93"/>
      <c r="AD317" s="93"/>
      <c r="AE317" s="93" t="str">
        <f>IFERROR(VLOOKUP(H317,名称!A:D,4,0),"")</f>
        <v>KIK</v>
      </c>
      <c r="AF317" s="98"/>
      <c r="AG317" s="98"/>
      <c r="AH317" s="105">
        <v>46121</v>
      </c>
      <c r="AI317" s="105">
        <v>46128</v>
      </c>
      <c r="AJ317" s="105"/>
      <c r="AK317" s="105" t="s">
        <v>420</v>
      </c>
      <c r="AL317" s="105" t="s">
        <v>420</v>
      </c>
      <c r="AM317" s="105"/>
      <c r="AN317" s="105"/>
      <c r="AO317" s="100">
        <f t="shared" si="70"/>
        <v>71</v>
      </c>
      <c r="AP317" s="100">
        <f t="shared" si="71"/>
        <v>55</v>
      </c>
    </row>
    <row r="318" s="89" customFormat="1" hidden="1" customHeight="1" spans="1:42">
      <c r="A318" s="93">
        <v>46105</v>
      </c>
      <c r="B318" s="93" t="str">
        <f ca="1" t="shared" si="67"/>
        <v/>
      </c>
      <c r="C318" s="95" t="s">
        <v>237</v>
      </c>
      <c r="D318" s="93" t="s">
        <v>877</v>
      </c>
      <c r="E318" s="95" t="s">
        <v>438</v>
      </c>
      <c r="F318" s="96">
        <v>10123116</v>
      </c>
      <c r="G318" s="96" t="s">
        <v>260</v>
      </c>
      <c r="H318" s="97" t="s">
        <v>105</v>
      </c>
      <c r="I318" s="98" t="str">
        <f>IFERROR(VLOOKUP(H318,名称!A:C,2,0),"")</f>
        <v>农场男孩套装</v>
      </c>
      <c r="J318" s="99">
        <v>420</v>
      </c>
      <c r="K318" s="98">
        <f>IFERROR(VLOOKUP(H318,名称!A:D,3,0),"")</f>
        <v>4</v>
      </c>
      <c r="L318" s="100">
        <f t="shared" si="68"/>
        <v>105</v>
      </c>
      <c r="M318" s="93">
        <v>46176</v>
      </c>
      <c r="N318" s="93">
        <f t="shared" si="69"/>
        <v>46174</v>
      </c>
      <c r="O318" s="147">
        <v>46177</v>
      </c>
      <c r="P318" s="93" t="s">
        <v>435</v>
      </c>
      <c r="Q318" s="97" t="s">
        <v>777</v>
      </c>
      <c r="R318" s="148" t="s">
        <v>782</v>
      </c>
      <c r="S318" s="93"/>
      <c r="T318" s="93" t="s">
        <v>452</v>
      </c>
      <c r="U318" s="93"/>
      <c r="V318" s="93"/>
      <c r="W318" s="97"/>
      <c r="X318" s="100" t="s">
        <v>878</v>
      </c>
      <c r="Y318" s="102">
        <v>2.994</v>
      </c>
      <c r="Z318" s="103">
        <f t="shared" si="72"/>
        <v>1257.48</v>
      </c>
      <c r="AA318" s="103">
        <f t="shared" si="73"/>
        <v>9745.47</v>
      </c>
      <c r="AB318" s="135" t="s">
        <v>881</v>
      </c>
      <c r="AC318" s="93"/>
      <c r="AD318" s="93"/>
      <c r="AE318" s="93" t="str">
        <f>IFERROR(VLOOKUP(H318,名称!A:D,4,0),"")</f>
        <v>KIK</v>
      </c>
      <c r="AF318" s="98"/>
      <c r="AG318" s="98"/>
      <c r="AH318" s="105">
        <v>46121</v>
      </c>
      <c r="AI318" s="105">
        <v>46128</v>
      </c>
      <c r="AJ318" s="105"/>
      <c r="AK318" s="105" t="s">
        <v>420</v>
      </c>
      <c r="AL318" s="105" t="s">
        <v>420</v>
      </c>
      <c r="AM318" s="105"/>
      <c r="AN318" s="105"/>
      <c r="AO318" s="100">
        <f t="shared" si="70"/>
        <v>71</v>
      </c>
      <c r="AP318" s="100">
        <f t="shared" si="71"/>
        <v>55</v>
      </c>
    </row>
    <row r="319" s="89" customFormat="1" hidden="1" customHeight="1" spans="1:42">
      <c r="A319" s="155">
        <v>46105</v>
      </c>
      <c r="B319" s="155" t="str">
        <f ca="1" t="shared" si="67"/>
        <v/>
      </c>
      <c r="C319" s="156" t="s">
        <v>237</v>
      </c>
      <c r="D319" s="155" t="s">
        <v>877</v>
      </c>
      <c r="E319" s="156" t="s">
        <v>438</v>
      </c>
      <c r="F319" s="158">
        <v>10123116</v>
      </c>
      <c r="G319" s="158" t="s">
        <v>260</v>
      </c>
      <c r="H319" s="157" t="s">
        <v>35</v>
      </c>
      <c r="I319" s="167" t="str">
        <f>IFERROR(VLOOKUP(H319,名称!A:C,2,0),"")</f>
        <v>1:16拖车厢</v>
      </c>
      <c r="J319" s="159">
        <v>560</v>
      </c>
      <c r="K319" s="167">
        <f>IFERROR(VLOOKUP(H319,名称!A:D,3,0),"")</f>
        <v>2</v>
      </c>
      <c r="L319" s="140">
        <f t="shared" si="68"/>
        <v>280</v>
      </c>
      <c r="M319" s="155">
        <v>46176</v>
      </c>
      <c r="N319" s="155">
        <f t="shared" si="69"/>
        <v>46174</v>
      </c>
      <c r="O319" s="168">
        <v>46176</v>
      </c>
      <c r="P319" s="155" t="s">
        <v>435</v>
      </c>
      <c r="Q319" s="157" t="s">
        <v>777</v>
      </c>
      <c r="R319" s="169" t="s">
        <v>418</v>
      </c>
      <c r="S319" s="155"/>
      <c r="T319" s="155"/>
      <c r="U319" s="155"/>
      <c r="V319" s="155"/>
      <c r="W319" s="157"/>
      <c r="X319" s="140" t="s">
        <v>878</v>
      </c>
      <c r="Y319" s="161">
        <v>22.9</v>
      </c>
      <c r="Z319" s="103">
        <f t="shared" si="72"/>
        <v>12824</v>
      </c>
      <c r="AA319" s="103">
        <f t="shared" si="73"/>
        <v>99386</v>
      </c>
      <c r="AB319" s="170" t="s">
        <v>881</v>
      </c>
      <c r="AC319" s="155"/>
      <c r="AD319" s="155"/>
      <c r="AE319" s="155" t="str">
        <f>IFERROR(VLOOKUP(H319,名称!A:D,4,0),"")</f>
        <v>KIK</v>
      </c>
      <c r="AF319" s="167"/>
      <c r="AG319" s="167"/>
      <c r="AH319" s="162">
        <v>46146</v>
      </c>
      <c r="AI319" s="162">
        <v>46171</v>
      </c>
      <c r="AJ319" s="162"/>
      <c r="AK319" s="162">
        <v>46146</v>
      </c>
      <c r="AL319" s="162">
        <v>46140</v>
      </c>
      <c r="AM319" s="162"/>
      <c r="AN319" s="162"/>
      <c r="AO319" s="140">
        <f t="shared" si="70"/>
        <v>71</v>
      </c>
      <c r="AP319" s="140">
        <f t="shared" si="71"/>
        <v>30</v>
      </c>
    </row>
    <row r="320" s="118" customFormat="1" hidden="1" customHeight="1" spans="1:42">
      <c r="A320" s="150">
        <v>46105</v>
      </c>
      <c r="B320" s="150" t="str">
        <f ca="1" t="shared" si="67"/>
        <v/>
      </c>
      <c r="C320" s="171" t="s">
        <v>237</v>
      </c>
      <c r="D320" s="150" t="s">
        <v>877</v>
      </c>
      <c r="E320" s="171" t="s">
        <v>438</v>
      </c>
      <c r="F320" s="172">
        <v>10123116</v>
      </c>
      <c r="G320" s="172" t="s">
        <v>260</v>
      </c>
      <c r="H320" s="173" t="s">
        <v>87</v>
      </c>
      <c r="I320" s="174" t="str">
        <f>IFERROR(VLOOKUP(H320,名称!A:C,2,0),"")</f>
        <v>1:16收割机</v>
      </c>
      <c r="J320" s="175">
        <v>100</v>
      </c>
      <c r="K320" s="174">
        <f>IFERROR(VLOOKUP(H320,名称!A:D,3,0),"")</f>
        <v>1</v>
      </c>
      <c r="L320" s="143">
        <f t="shared" si="68"/>
        <v>100</v>
      </c>
      <c r="M320" s="150">
        <v>46197</v>
      </c>
      <c r="N320" s="150">
        <f t="shared" si="69"/>
        <v>46195</v>
      </c>
      <c r="O320" s="150">
        <v>46200</v>
      </c>
      <c r="P320" s="150" t="s">
        <v>435</v>
      </c>
      <c r="Q320" s="173" t="s">
        <v>777</v>
      </c>
      <c r="R320" s="148" t="s">
        <v>826</v>
      </c>
      <c r="S320" s="150"/>
      <c r="T320" s="150"/>
      <c r="U320" s="150"/>
      <c r="V320" s="150"/>
      <c r="W320" s="173"/>
      <c r="X320" s="143" t="s">
        <v>878</v>
      </c>
      <c r="Y320" s="176">
        <v>31.4</v>
      </c>
      <c r="Z320" s="103">
        <f t="shared" si="72"/>
        <v>3140</v>
      </c>
      <c r="AA320" s="103">
        <f t="shared" si="73"/>
        <v>24335</v>
      </c>
      <c r="AB320" s="177" t="s">
        <v>881</v>
      </c>
      <c r="AC320" s="174"/>
      <c r="AD320" s="178"/>
      <c r="AE320" s="150" t="s">
        <v>12</v>
      </c>
      <c r="AF320" s="178"/>
      <c r="AG320" s="178"/>
      <c r="AH320" s="178">
        <v>46149</v>
      </c>
      <c r="AI320" s="178">
        <v>46158</v>
      </c>
      <c r="AJ320" s="178"/>
      <c r="AK320" s="178">
        <v>46154</v>
      </c>
      <c r="AL320" s="179">
        <v>46140</v>
      </c>
      <c r="AM320" s="143"/>
      <c r="AN320" s="180"/>
      <c r="AO320" s="143">
        <f t="shared" si="70"/>
        <v>92</v>
      </c>
      <c r="AP320" s="143">
        <f t="shared" si="71"/>
        <v>48</v>
      </c>
    </row>
    <row r="321" s="89" customFormat="1" hidden="1" customHeight="1" spans="1:42">
      <c r="A321" s="93">
        <v>46105</v>
      </c>
      <c r="B321" s="93" t="str">
        <f ca="1" t="shared" si="67"/>
        <v/>
      </c>
      <c r="C321" s="95" t="s">
        <v>237</v>
      </c>
      <c r="D321" s="93" t="s">
        <v>877</v>
      </c>
      <c r="E321" s="95" t="s">
        <v>438</v>
      </c>
      <c r="F321" s="96">
        <v>10123118</v>
      </c>
      <c r="G321" s="96" t="s">
        <v>259</v>
      </c>
      <c r="H321" s="97" t="s">
        <v>113</v>
      </c>
      <c r="I321" s="98" t="str">
        <f>IFERROR(VLOOKUP(H321,名称!A:C,2,0),"")</f>
        <v>绿色铲车</v>
      </c>
      <c r="J321" s="99">
        <v>380</v>
      </c>
      <c r="K321" s="98">
        <f>IFERROR(VLOOKUP(H321,名称!A:D,3,0),"")</f>
        <v>2</v>
      </c>
      <c r="L321" s="100">
        <f t="shared" si="68"/>
        <v>190</v>
      </c>
      <c r="M321" s="93">
        <v>46176</v>
      </c>
      <c r="N321" s="93">
        <f t="shared" si="69"/>
        <v>46174</v>
      </c>
      <c r="O321" s="147">
        <v>46183</v>
      </c>
      <c r="P321" s="93" t="s">
        <v>435</v>
      </c>
      <c r="Q321" s="97" t="s">
        <v>777</v>
      </c>
      <c r="R321" s="154" t="s">
        <v>782</v>
      </c>
      <c r="S321" s="93"/>
      <c r="T321" s="93" t="s">
        <v>452</v>
      </c>
      <c r="U321" s="93"/>
      <c r="V321" s="93"/>
      <c r="W321" s="97"/>
      <c r="X321" s="100" t="s">
        <v>878</v>
      </c>
      <c r="Y321" s="102">
        <v>5.97</v>
      </c>
      <c r="Z321" s="103">
        <f t="shared" si="72"/>
        <v>2268.6</v>
      </c>
      <c r="AA321" s="103">
        <f t="shared" si="73"/>
        <v>17581.65</v>
      </c>
      <c r="AB321" s="177" t="s">
        <v>882</v>
      </c>
      <c r="AC321" s="93"/>
      <c r="AD321" s="93"/>
      <c r="AE321" s="93" t="str">
        <f>IFERROR(VLOOKUP(H321,名称!A:D,4,0),"")</f>
        <v>KIK</v>
      </c>
      <c r="AF321" s="98"/>
      <c r="AG321" s="98"/>
      <c r="AH321" s="105">
        <v>46134</v>
      </c>
      <c r="AI321" s="105" t="s">
        <v>420</v>
      </c>
      <c r="AJ321" s="105"/>
      <c r="AK321" s="105">
        <v>46140</v>
      </c>
      <c r="AL321" s="105">
        <v>46134</v>
      </c>
      <c r="AM321" s="105"/>
      <c r="AN321" s="105"/>
      <c r="AO321" s="100">
        <f t="shared" si="70"/>
        <v>71</v>
      </c>
      <c r="AP321" s="100">
        <f t="shared" si="71"/>
        <v>42</v>
      </c>
    </row>
    <row r="322" s="89" customFormat="1" hidden="1" customHeight="1" spans="1:42">
      <c r="A322" s="93">
        <v>46105</v>
      </c>
      <c r="B322" s="93" t="str">
        <f ca="1" t="shared" si="67"/>
        <v/>
      </c>
      <c r="C322" s="95" t="s">
        <v>237</v>
      </c>
      <c r="D322" s="93" t="s">
        <v>877</v>
      </c>
      <c r="E322" s="95" t="s">
        <v>438</v>
      </c>
      <c r="F322" s="96">
        <v>10123118</v>
      </c>
      <c r="G322" s="96" t="s">
        <v>259</v>
      </c>
      <c r="H322" s="97" t="s">
        <v>111</v>
      </c>
      <c r="I322" s="98" t="str">
        <f>IFERROR(VLOOKUP(H322,名称!A:C,2,0),"")</f>
        <v>黄色铲车</v>
      </c>
      <c r="J322" s="99">
        <v>320</v>
      </c>
      <c r="K322" s="98">
        <f>IFERROR(VLOOKUP(H322,名称!A:D,3,0),"")</f>
        <v>4</v>
      </c>
      <c r="L322" s="100">
        <f t="shared" si="68"/>
        <v>80</v>
      </c>
      <c r="M322" s="93">
        <v>46176</v>
      </c>
      <c r="N322" s="93">
        <f t="shared" si="69"/>
        <v>46174</v>
      </c>
      <c r="O322" s="147">
        <v>46175</v>
      </c>
      <c r="P322" s="93" t="s">
        <v>435</v>
      </c>
      <c r="Q322" s="97" t="s">
        <v>777</v>
      </c>
      <c r="R322" s="148" t="s">
        <v>771</v>
      </c>
      <c r="S322" s="93"/>
      <c r="T322" s="93" t="s">
        <v>452</v>
      </c>
      <c r="U322" s="93"/>
      <c r="V322" s="93"/>
      <c r="W322" s="97"/>
      <c r="X322" s="100" t="s">
        <v>878</v>
      </c>
      <c r="Y322" s="102">
        <v>3.816</v>
      </c>
      <c r="Z322" s="103">
        <f t="shared" si="72"/>
        <v>1221.12</v>
      </c>
      <c r="AA322" s="103">
        <f t="shared" si="73"/>
        <v>9463.68</v>
      </c>
      <c r="AB322" s="177" t="s">
        <v>882</v>
      </c>
      <c r="AC322" s="93"/>
      <c r="AD322" s="93"/>
      <c r="AE322" s="93" t="str">
        <f>IFERROR(VLOOKUP(H322,名称!A:D,4,0),"")</f>
        <v>KIK</v>
      </c>
      <c r="AF322" s="98"/>
      <c r="AG322" s="98"/>
      <c r="AH322" s="105">
        <v>46134</v>
      </c>
      <c r="AI322" s="105" t="s">
        <v>420</v>
      </c>
      <c r="AJ322" s="105"/>
      <c r="AK322" s="127">
        <v>46134</v>
      </c>
      <c r="AL322" s="105">
        <v>46134</v>
      </c>
      <c r="AM322" s="105"/>
      <c r="AN322" s="105"/>
      <c r="AO322" s="100">
        <f t="shared" si="70"/>
        <v>71</v>
      </c>
      <c r="AP322" s="100">
        <f t="shared" si="71"/>
        <v>42</v>
      </c>
    </row>
    <row r="323" s="89" customFormat="1" hidden="1" customHeight="1" spans="1:42">
      <c r="A323" s="93">
        <v>46105</v>
      </c>
      <c r="B323" s="93" t="str">
        <f ca="1" t="shared" si="67"/>
        <v/>
      </c>
      <c r="C323" s="95" t="s">
        <v>237</v>
      </c>
      <c r="D323" s="93" t="s">
        <v>877</v>
      </c>
      <c r="E323" s="95" t="s">
        <v>438</v>
      </c>
      <c r="F323" s="96">
        <v>10123118</v>
      </c>
      <c r="G323" s="96" t="s">
        <v>259</v>
      </c>
      <c r="H323" s="97" t="s">
        <v>109</v>
      </c>
      <c r="I323" s="98" t="str">
        <f>IFERROR(VLOOKUP(H323,名称!A:C,2,0),"")</f>
        <v>红色铲车</v>
      </c>
      <c r="J323" s="99">
        <v>320</v>
      </c>
      <c r="K323" s="98">
        <f>IFERROR(VLOOKUP(H323,名称!A:D,3,0),"")</f>
        <v>4</v>
      </c>
      <c r="L323" s="100">
        <f t="shared" si="68"/>
        <v>80</v>
      </c>
      <c r="M323" s="93">
        <v>46176</v>
      </c>
      <c r="N323" s="93">
        <f t="shared" si="69"/>
        <v>46174</v>
      </c>
      <c r="O323" s="147">
        <v>46175</v>
      </c>
      <c r="P323" s="93" t="s">
        <v>435</v>
      </c>
      <c r="Q323" s="97" t="s">
        <v>777</v>
      </c>
      <c r="R323" s="148" t="s">
        <v>826</v>
      </c>
      <c r="S323" s="93"/>
      <c r="T323" s="93"/>
      <c r="U323" s="93"/>
      <c r="V323" s="93"/>
      <c r="W323" s="97"/>
      <c r="X323" s="100" t="s">
        <v>878</v>
      </c>
      <c r="Y323" s="102">
        <v>3.886</v>
      </c>
      <c r="Z323" s="103">
        <f t="shared" si="72"/>
        <v>1243.52</v>
      </c>
      <c r="AA323" s="103">
        <f t="shared" si="73"/>
        <v>9637.28</v>
      </c>
      <c r="AB323" s="177" t="s">
        <v>882</v>
      </c>
      <c r="AC323" s="93"/>
      <c r="AD323" s="93"/>
      <c r="AE323" s="93" t="str">
        <f>IFERROR(VLOOKUP(H323,名称!A:D,4,0),"")</f>
        <v>KIK</v>
      </c>
      <c r="AF323" s="98"/>
      <c r="AG323" s="98"/>
      <c r="AH323" s="105">
        <v>46128</v>
      </c>
      <c r="AI323" s="105" t="s">
        <v>420</v>
      </c>
      <c r="AJ323" s="105"/>
      <c r="AK323" s="127">
        <v>46135</v>
      </c>
      <c r="AL323" s="105">
        <v>46128</v>
      </c>
      <c r="AM323" s="105"/>
      <c r="AN323" s="105"/>
      <c r="AO323" s="100">
        <f t="shared" si="70"/>
        <v>71</v>
      </c>
      <c r="AP323" s="100">
        <f t="shared" si="71"/>
        <v>48</v>
      </c>
    </row>
    <row r="324" s="89" customFormat="1" hidden="1" customHeight="1" spans="1:42">
      <c r="A324" s="93">
        <v>46105</v>
      </c>
      <c r="B324" s="93" t="str">
        <f ca="1" t="shared" si="67"/>
        <v/>
      </c>
      <c r="C324" s="95" t="s">
        <v>237</v>
      </c>
      <c r="D324" s="93" t="s">
        <v>877</v>
      </c>
      <c r="E324" s="95" t="s">
        <v>438</v>
      </c>
      <c r="F324" s="96">
        <v>10123118</v>
      </c>
      <c r="G324" s="96" t="s">
        <v>259</v>
      </c>
      <c r="H324" s="97" t="s">
        <v>158</v>
      </c>
      <c r="I324" s="98" t="str">
        <f>IFERROR(VLOOKUP(H324,名称!A:C,2,0),"")</f>
        <v>JD LNS圆轮拖拉机</v>
      </c>
      <c r="J324" s="99">
        <v>600</v>
      </c>
      <c r="K324" s="98">
        <f>IFERROR(VLOOKUP(H324,名称!A:D,3,0),"")</f>
        <v>2</v>
      </c>
      <c r="L324" s="100">
        <f t="shared" si="68"/>
        <v>300</v>
      </c>
      <c r="M324" s="93">
        <v>46176</v>
      </c>
      <c r="N324" s="93">
        <f t="shared" si="69"/>
        <v>46174</v>
      </c>
      <c r="O324" s="147">
        <v>46178</v>
      </c>
      <c r="P324" s="93" t="s">
        <v>435</v>
      </c>
      <c r="Q324" s="97" t="s">
        <v>777</v>
      </c>
      <c r="R324" s="148" t="s">
        <v>431</v>
      </c>
      <c r="S324" s="93"/>
      <c r="T324" s="93" t="s">
        <v>452</v>
      </c>
      <c r="U324" s="93"/>
      <c r="V324" s="93"/>
      <c r="W324" s="97"/>
      <c r="X324" s="100" t="s">
        <v>878</v>
      </c>
      <c r="Y324" s="102">
        <v>4.792</v>
      </c>
      <c r="Z324" s="103">
        <f t="shared" si="72"/>
        <v>2875.2</v>
      </c>
      <c r="AA324" s="103">
        <f t="shared" si="73"/>
        <v>22282.8</v>
      </c>
      <c r="AB324" s="177" t="s">
        <v>882</v>
      </c>
      <c r="AC324" s="93"/>
      <c r="AD324" s="93"/>
      <c r="AE324" s="93" t="str">
        <f>IFERROR(VLOOKUP(H324,名称!A:D,4,0),"")</f>
        <v>KIK</v>
      </c>
      <c r="AF324" s="98"/>
      <c r="AG324" s="98"/>
      <c r="AH324" s="105">
        <v>46115</v>
      </c>
      <c r="AI324" s="105" t="s">
        <v>420</v>
      </c>
      <c r="AJ324" s="105"/>
      <c r="AK324" s="105" t="s">
        <v>453</v>
      </c>
      <c r="AL324" s="105">
        <v>46128</v>
      </c>
      <c r="AM324" s="105"/>
      <c r="AN324" s="105"/>
      <c r="AO324" s="100">
        <f t="shared" si="70"/>
        <v>71</v>
      </c>
      <c r="AP324" s="100">
        <f t="shared" si="71"/>
        <v>61</v>
      </c>
    </row>
    <row r="325" s="89" customFormat="1" hidden="1" customHeight="1" spans="1:42">
      <c r="A325" s="93">
        <v>46105</v>
      </c>
      <c r="B325" s="93" t="str">
        <f ca="1" t="shared" si="67"/>
        <v/>
      </c>
      <c r="C325" s="95" t="s">
        <v>237</v>
      </c>
      <c r="D325" s="93" t="s">
        <v>877</v>
      </c>
      <c r="E325" s="95" t="s">
        <v>438</v>
      </c>
      <c r="F325" s="96">
        <v>10123118</v>
      </c>
      <c r="G325" s="96" t="s">
        <v>259</v>
      </c>
      <c r="H325" s="97">
        <v>47669</v>
      </c>
      <c r="I325" s="98" t="str">
        <f>IFERROR(VLOOKUP(H325,名称!A:C,2,0),"")</f>
        <v>动物车</v>
      </c>
      <c r="J325" s="99">
        <v>500</v>
      </c>
      <c r="K325" s="98">
        <f>IFERROR(VLOOKUP(H325,名称!A:D,3,0),"")</f>
        <v>4</v>
      </c>
      <c r="L325" s="100">
        <f t="shared" si="68"/>
        <v>125</v>
      </c>
      <c r="M325" s="93">
        <v>46176</v>
      </c>
      <c r="N325" s="93">
        <f t="shared" si="69"/>
        <v>46174</v>
      </c>
      <c r="O325" s="147">
        <v>46182</v>
      </c>
      <c r="P325" s="93" t="s">
        <v>435</v>
      </c>
      <c r="Q325" s="97" t="s">
        <v>777</v>
      </c>
      <c r="R325" s="148" t="s">
        <v>431</v>
      </c>
      <c r="S325" s="93"/>
      <c r="T325" s="93" t="s">
        <v>452</v>
      </c>
      <c r="U325" s="93"/>
      <c r="V325" s="93"/>
      <c r="W325" s="97"/>
      <c r="X325" s="100" t="s">
        <v>878</v>
      </c>
      <c r="Y325" s="102">
        <v>4.808</v>
      </c>
      <c r="Z325" s="103">
        <f t="shared" si="72"/>
        <v>2404</v>
      </c>
      <c r="AA325" s="103">
        <f t="shared" si="73"/>
        <v>18631</v>
      </c>
      <c r="AB325" s="177" t="s">
        <v>882</v>
      </c>
      <c r="AC325" s="98"/>
      <c r="AD325" s="105"/>
      <c r="AE325" s="93" t="s">
        <v>12</v>
      </c>
      <c r="AF325" s="105">
        <v>46115</v>
      </c>
      <c r="AG325" s="105"/>
      <c r="AH325" s="105">
        <v>46115</v>
      </c>
      <c r="AI325" s="105">
        <v>46135</v>
      </c>
      <c r="AJ325" s="105"/>
      <c r="AK325" s="105" t="s">
        <v>420</v>
      </c>
      <c r="AL325" s="105" t="s">
        <v>420</v>
      </c>
      <c r="AM325" s="100"/>
      <c r="AN325" s="139"/>
      <c r="AO325" s="100">
        <f t="shared" si="70"/>
        <v>71</v>
      </c>
      <c r="AP325" s="100">
        <f t="shared" si="71"/>
        <v>61</v>
      </c>
    </row>
    <row r="326" s="89" customFormat="1" hidden="1" customHeight="1" spans="1:42">
      <c r="A326" s="93">
        <v>46105</v>
      </c>
      <c r="B326" s="93" t="str">
        <f ca="1" t="shared" si="67"/>
        <v/>
      </c>
      <c r="C326" s="95" t="s">
        <v>237</v>
      </c>
      <c r="D326" s="93" t="s">
        <v>877</v>
      </c>
      <c r="E326" s="95" t="s">
        <v>438</v>
      </c>
      <c r="F326" s="96">
        <v>10123118</v>
      </c>
      <c r="G326" s="96" t="s">
        <v>259</v>
      </c>
      <c r="H326" s="97" t="s">
        <v>39</v>
      </c>
      <c r="I326" s="98" t="str">
        <f>IFERROR(VLOOKUP(H326,名称!A:C,2,0),"")</f>
        <v>1:16货柜车</v>
      </c>
      <c r="J326" s="99">
        <v>300</v>
      </c>
      <c r="K326" s="98">
        <f>IFERROR(VLOOKUP(H326,名称!A:D,3,0),"")</f>
        <v>2</v>
      </c>
      <c r="L326" s="100">
        <f t="shared" si="68"/>
        <v>150</v>
      </c>
      <c r="M326" s="93">
        <v>46183</v>
      </c>
      <c r="N326" s="93">
        <f t="shared" si="69"/>
        <v>46181</v>
      </c>
      <c r="O326" s="93">
        <v>46195</v>
      </c>
      <c r="P326" s="93" t="s">
        <v>435</v>
      </c>
      <c r="Q326" s="97" t="s">
        <v>777</v>
      </c>
      <c r="R326" s="148" t="s">
        <v>696</v>
      </c>
      <c r="S326" s="93"/>
      <c r="T326" s="93"/>
      <c r="U326" s="93"/>
      <c r="V326" s="93"/>
      <c r="W326" s="97"/>
      <c r="X326" s="100" t="s">
        <v>878</v>
      </c>
      <c r="Y326" s="102">
        <v>30.536</v>
      </c>
      <c r="Z326" s="103">
        <f t="shared" si="72"/>
        <v>9160.8</v>
      </c>
      <c r="AA326" s="103">
        <f t="shared" si="73"/>
        <v>70996.2</v>
      </c>
      <c r="AB326" s="177" t="s">
        <v>882</v>
      </c>
      <c r="AC326" s="93"/>
      <c r="AD326" s="93"/>
      <c r="AE326" s="93" t="str">
        <f>IFERROR(VLOOKUP(H326,名称!A:D,4,0),"")</f>
        <v>KIK</v>
      </c>
      <c r="AF326" s="98"/>
      <c r="AG326" s="98"/>
      <c r="AH326" s="105">
        <v>46129</v>
      </c>
      <c r="AI326" s="105">
        <v>46163</v>
      </c>
      <c r="AJ326" s="105"/>
      <c r="AK326" s="105">
        <v>46146</v>
      </c>
      <c r="AL326" s="105">
        <v>46140</v>
      </c>
      <c r="AM326" s="105"/>
      <c r="AN326" s="105"/>
      <c r="AO326" s="100">
        <f t="shared" si="70"/>
        <v>78</v>
      </c>
      <c r="AP326" s="100">
        <f t="shared" si="71"/>
        <v>54</v>
      </c>
    </row>
    <row r="327" s="89" customFormat="1" hidden="1" customHeight="1" spans="1:42">
      <c r="A327" s="93">
        <v>46105</v>
      </c>
      <c r="B327" s="93" t="str">
        <f ca="1" t="shared" si="67"/>
        <v/>
      </c>
      <c r="C327" s="95" t="s">
        <v>237</v>
      </c>
      <c r="D327" s="93" t="s">
        <v>877</v>
      </c>
      <c r="E327" s="95" t="s">
        <v>438</v>
      </c>
      <c r="F327" s="96">
        <v>10123118</v>
      </c>
      <c r="G327" s="96" t="s">
        <v>259</v>
      </c>
      <c r="H327" s="97" t="s">
        <v>118</v>
      </c>
      <c r="I327" s="98" t="str">
        <f>IFERROR(VLOOKUP(H327,名称!A:C,2,0),"")</f>
        <v>滑板拖车</v>
      </c>
      <c r="J327" s="99">
        <v>540</v>
      </c>
      <c r="K327" s="98">
        <f>IFERROR(VLOOKUP(H327,名称!A:D,3,0),"")</f>
        <v>4</v>
      </c>
      <c r="L327" s="100">
        <f t="shared" si="68"/>
        <v>135</v>
      </c>
      <c r="M327" s="93">
        <v>46190</v>
      </c>
      <c r="N327" s="93">
        <f t="shared" si="69"/>
        <v>46188</v>
      </c>
      <c r="O327" s="93">
        <v>46198</v>
      </c>
      <c r="P327" s="93" t="s">
        <v>435</v>
      </c>
      <c r="Q327" s="97" t="s">
        <v>777</v>
      </c>
      <c r="R327" s="148" t="s">
        <v>444</v>
      </c>
      <c r="S327" s="93"/>
      <c r="T327" s="93" t="s">
        <v>505</v>
      </c>
      <c r="U327" s="93"/>
      <c r="V327" s="93"/>
      <c r="W327" s="97"/>
      <c r="X327" s="100" t="s">
        <v>878</v>
      </c>
      <c r="Y327" s="102">
        <v>16.71</v>
      </c>
      <c r="Z327" s="103">
        <f t="shared" si="72"/>
        <v>9023.4</v>
      </c>
      <c r="AA327" s="103">
        <f t="shared" si="73"/>
        <v>69931.35</v>
      </c>
      <c r="AB327" s="177" t="s">
        <v>882</v>
      </c>
      <c r="AC327" s="98"/>
      <c r="AD327" s="105"/>
      <c r="AE327" s="93" t="s">
        <v>12</v>
      </c>
      <c r="AF327" s="105"/>
      <c r="AG327" s="105"/>
      <c r="AH327" s="105">
        <v>46134</v>
      </c>
      <c r="AI327" s="105" t="s">
        <v>420</v>
      </c>
      <c r="AJ327" s="105"/>
      <c r="AK327" s="105">
        <v>46135</v>
      </c>
      <c r="AL327" s="105">
        <v>46134</v>
      </c>
      <c r="AM327" s="100"/>
      <c r="AN327" s="139"/>
      <c r="AO327" s="100">
        <f t="shared" si="70"/>
        <v>85</v>
      </c>
      <c r="AP327" s="100">
        <f t="shared" si="71"/>
        <v>56</v>
      </c>
    </row>
    <row r="328" s="89" customFormat="1" hidden="1" customHeight="1" spans="1:42">
      <c r="A328" s="93">
        <v>46095</v>
      </c>
      <c r="B328" s="93" t="str">
        <f ca="1" t="shared" si="67"/>
        <v/>
      </c>
      <c r="C328" s="95" t="s">
        <v>237</v>
      </c>
      <c r="D328" s="93" t="s">
        <v>427</v>
      </c>
      <c r="E328" s="95" t="s">
        <v>438</v>
      </c>
      <c r="F328" s="96">
        <v>10122386</v>
      </c>
      <c r="G328" s="96">
        <v>202607170299</v>
      </c>
      <c r="H328" s="97" t="s">
        <v>107</v>
      </c>
      <c r="I328" s="98" t="str">
        <f>IFERROR(VLOOKUP(H328,名称!A:C,2,0),"")</f>
        <v>农场女孩套装</v>
      </c>
      <c r="J328" s="99">
        <v>3300</v>
      </c>
      <c r="K328" s="98">
        <f>IFERROR(VLOOKUP(H328,名称!A:D,3,0),"")</f>
        <v>4</v>
      </c>
      <c r="L328" s="100">
        <f t="shared" si="68"/>
        <v>825</v>
      </c>
      <c r="M328" s="93">
        <v>46197</v>
      </c>
      <c r="N328" s="93">
        <f t="shared" si="69"/>
        <v>46195</v>
      </c>
      <c r="O328" s="93">
        <v>46195</v>
      </c>
      <c r="P328" s="93" t="s">
        <v>435</v>
      </c>
      <c r="Q328" s="97" t="s">
        <v>430</v>
      </c>
      <c r="R328" s="148" t="s">
        <v>883</v>
      </c>
      <c r="S328" s="93"/>
      <c r="T328" s="93" t="s">
        <v>452</v>
      </c>
      <c r="U328" s="93"/>
      <c r="V328" s="93"/>
      <c r="W328" s="97"/>
      <c r="X328" s="100" t="s">
        <v>452</v>
      </c>
      <c r="Y328" s="102">
        <v>4.956</v>
      </c>
      <c r="Z328" s="103">
        <f t="shared" si="72"/>
        <v>16354.8</v>
      </c>
      <c r="AA328" s="103">
        <f t="shared" si="73"/>
        <v>126749.7</v>
      </c>
      <c r="AB328" s="177" t="s">
        <v>884</v>
      </c>
      <c r="AC328" s="93"/>
      <c r="AD328" s="93"/>
      <c r="AE328" s="93" t="str">
        <f>IFERROR(VLOOKUP(H328,名称!A:D,4,0),"")</f>
        <v>KIK</v>
      </c>
      <c r="AF328" s="98"/>
      <c r="AG328" s="98"/>
      <c r="AH328" s="105">
        <v>46121</v>
      </c>
      <c r="AI328" s="105">
        <v>46135</v>
      </c>
      <c r="AJ328" s="105"/>
      <c r="AK328" s="105" t="s">
        <v>420</v>
      </c>
      <c r="AL328" s="105" t="s">
        <v>420</v>
      </c>
      <c r="AM328" s="105"/>
      <c r="AN328" s="105"/>
      <c r="AO328" s="100">
        <f t="shared" si="70"/>
        <v>102</v>
      </c>
      <c r="AP328" s="100">
        <f t="shared" si="71"/>
        <v>76</v>
      </c>
    </row>
    <row r="329" s="89" customFormat="1" hidden="1" customHeight="1" spans="1:42">
      <c r="A329" s="93">
        <v>46095</v>
      </c>
      <c r="B329" s="93" t="str">
        <f ca="1" t="shared" si="67"/>
        <v/>
      </c>
      <c r="C329" s="95" t="s">
        <v>237</v>
      </c>
      <c r="D329" s="93" t="s">
        <v>427</v>
      </c>
      <c r="E329" s="95" t="s">
        <v>438</v>
      </c>
      <c r="F329" s="96">
        <v>10122386</v>
      </c>
      <c r="G329" s="96">
        <v>202607170299</v>
      </c>
      <c r="H329" s="97" t="s">
        <v>105</v>
      </c>
      <c r="I329" s="98" t="str">
        <f>IFERROR(VLOOKUP(H329,名称!A:C,2,0),"")</f>
        <v>农场男孩套装</v>
      </c>
      <c r="J329" s="99">
        <v>2212</v>
      </c>
      <c r="K329" s="98">
        <f>IFERROR(VLOOKUP(H329,名称!A:D,3,0),"")</f>
        <v>4</v>
      </c>
      <c r="L329" s="100">
        <f t="shared" si="68"/>
        <v>553</v>
      </c>
      <c r="M329" s="93">
        <v>46197</v>
      </c>
      <c r="N329" s="93">
        <f t="shared" si="69"/>
        <v>46195</v>
      </c>
      <c r="O329" s="93">
        <v>46195</v>
      </c>
      <c r="P329" s="93" t="s">
        <v>435</v>
      </c>
      <c r="Q329" s="97" t="s">
        <v>430</v>
      </c>
      <c r="R329" s="148" t="s">
        <v>782</v>
      </c>
      <c r="S329" s="93"/>
      <c r="T329" s="93" t="s">
        <v>452</v>
      </c>
      <c r="U329" s="93"/>
      <c r="V329" s="93"/>
      <c r="W329" s="97"/>
      <c r="X329" s="100" t="s">
        <v>452</v>
      </c>
      <c r="Y329" s="102">
        <v>2.994</v>
      </c>
      <c r="Z329" s="103">
        <f t="shared" si="72"/>
        <v>6622.73</v>
      </c>
      <c r="AA329" s="103">
        <f t="shared" si="73"/>
        <v>51326.16</v>
      </c>
      <c r="AB329" s="177" t="s">
        <v>884</v>
      </c>
      <c r="AC329" s="93"/>
      <c r="AD329" s="93"/>
      <c r="AE329" s="93" t="str">
        <f>IFERROR(VLOOKUP(H329,名称!A:D,4,0),"")</f>
        <v>KIK</v>
      </c>
      <c r="AF329" s="98"/>
      <c r="AG329" s="98"/>
      <c r="AH329" s="105">
        <v>46121</v>
      </c>
      <c r="AI329" s="105">
        <v>46128</v>
      </c>
      <c r="AJ329" s="105"/>
      <c r="AK329" s="105" t="s">
        <v>420</v>
      </c>
      <c r="AL329" s="105" t="s">
        <v>420</v>
      </c>
      <c r="AM329" s="105"/>
      <c r="AN329" s="105"/>
      <c r="AO329" s="100">
        <f t="shared" si="70"/>
        <v>102</v>
      </c>
      <c r="AP329" s="100">
        <f t="shared" si="71"/>
        <v>76</v>
      </c>
    </row>
    <row r="330" s="89" customFormat="1" hidden="1" customHeight="1" spans="1:42">
      <c r="A330" s="93">
        <v>46095</v>
      </c>
      <c r="B330" s="93" t="str">
        <f ca="1" t="shared" si="67"/>
        <v/>
      </c>
      <c r="C330" s="95" t="s">
        <v>237</v>
      </c>
      <c r="D330" s="93" t="s">
        <v>427</v>
      </c>
      <c r="E330" s="95" t="s">
        <v>438</v>
      </c>
      <c r="F330" s="96">
        <v>10122386</v>
      </c>
      <c r="G330" s="96">
        <v>202607170299</v>
      </c>
      <c r="H330" s="97" t="s">
        <v>111</v>
      </c>
      <c r="I330" s="98" t="str">
        <f>IFERROR(VLOOKUP(H330,名称!A:C,2,0),"")</f>
        <v>黄色铲车</v>
      </c>
      <c r="J330" s="99">
        <v>1800</v>
      </c>
      <c r="K330" s="98">
        <f>IFERROR(VLOOKUP(H330,名称!A:D,3,0),"")</f>
        <v>4</v>
      </c>
      <c r="L330" s="100">
        <f t="shared" si="68"/>
        <v>450</v>
      </c>
      <c r="M330" s="93">
        <v>46197</v>
      </c>
      <c r="N330" s="93">
        <f t="shared" si="69"/>
        <v>46195</v>
      </c>
      <c r="O330" s="93">
        <v>46198</v>
      </c>
      <c r="P330" s="93" t="s">
        <v>435</v>
      </c>
      <c r="Q330" s="97" t="s">
        <v>430</v>
      </c>
      <c r="R330" s="148" t="s">
        <v>771</v>
      </c>
      <c r="S330" s="93"/>
      <c r="T330" s="93" t="s">
        <v>452</v>
      </c>
      <c r="U330" s="93"/>
      <c r="V330" s="93"/>
      <c r="W330" s="97"/>
      <c r="X330" s="100" t="s">
        <v>452</v>
      </c>
      <c r="Y330" s="102">
        <v>3.816</v>
      </c>
      <c r="Z330" s="103">
        <f t="shared" si="72"/>
        <v>6868.8</v>
      </c>
      <c r="AA330" s="103">
        <f t="shared" si="73"/>
        <v>53233.2</v>
      </c>
      <c r="AB330" s="177" t="s">
        <v>884</v>
      </c>
      <c r="AC330" s="93"/>
      <c r="AD330" s="93"/>
      <c r="AE330" s="93" t="str">
        <f>IFERROR(VLOOKUP(H330,名称!A:D,4,0),"")</f>
        <v>KIK</v>
      </c>
      <c r="AF330" s="98"/>
      <c r="AG330" s="98"/>
      <c r="AH330" s="105">
        <v>46146</v>
      </c>
      <c r="AI330" s="105" t="s">
        <v>420</v>
      </c>
      <c r="AJ330" s="105"/>
      <c r="AK330" s="127">
        <v>46134</v>
      </c>
      <c r="AL330" s="105">
        <v>46134</v>
      </c>
      <c r="AM330" s="105"/>
      <c r="AN330" s="105"/>
      <c r="AO330" s="100">
        <f t="shared" si="70"/>
        <v>102</v>
      </c>
      <c r="AP330" s="100">
        <f t="shared" si="71"/>
        <v>51</v>
      </c>
    </row>
    <row r="331" s="89" customFormat="1" hidden="1" customHeight="1" spans="1:42">
      <c r="A331" s="93">
        <v>46095</v>
      </c>
      <c r="B331" s="93" t="str">
        <f ca="1" t="shared" si="67"/>
        <v/>
      </c>
      <c r="C331" s="95" t="s">
        <v>237</v>
      </c>
      <c r="D331" s="93" t="s">
        <v>427</v>
      </c>
      <c r="E331" s="95" t="s">
        <v>438</v>
      </c>
      <c r="F331" s="96">
        <v>10122386</v>
      </c>
      <c r="G331" s="96">
        <v>202607170299</v>
      </c>
      <c r="H331" s="97" t="s">
        <v>109</v>
      </c>
      <c r="I331" s="98" t="str">
        <f>IFERROR(VLOOKUP(H331,名称!A:C,2,0),"")</f>
        <v>红色铲车</v>
      </c>
      <c r="J331" s="99">
        <v>2588</v>
      </c>
      <c r="K331" s="98">
        <f>IFERROR(VLOOKUP(H331,名称!A:D,3,0),"")</f>
        <v>4</v>
      </c>
      <c r="L331" s="100">
        <f t="shared" si="68"/>
        <v>647</v>
      </c>
      <c r="M331" s="93">
        <v>46197</v>
      </c>
      <c r="N331" s="93">
        <f t="shared" si="69"/>
        <v>46195</v>
      </c>
      <c r="O331" s="93">
        <v>46199</v>
      </c>
      <c r="P331" s="93" t="s">
        <v>435</v>
      </c>
      <c r="Q331" s="97" t="s">
        <v>430</v>
      </c>
      <c r="R331" s="148" t="s">
        <v>826</v>
      </c>
      <c r="S331" s="93"/>
      <c r="T331" s="93"/>
      <c r="U331" s="93"/>
      <c r="V331" s="93"/>
      <c r="W331" s="97"/>
      <c r="X331" s="100"/>
      <c r="Y331" s="102">
        <v>3.886</v>
      </c>
      <c r="Z331" s="103">
        <f t="shared" si="72"/>
        <v>10056.97</v>
      </c>
      <c r="AA331" s="103">
        <f t="shared" si="73"/>
        <v>77941.52</v>
      </c>
      <c r="AB331" s="177" t="s">
        <v>884</v>
      </c>
      <c r="AC331" s="93"/>
      <c r="AD331" s="93"/>
      <c r="AE331" s="93" t="str">
        <f>IFERROR(VLOOKUP(H331,名称!A:D,4,0),"")</f>
        <v>KIK</v>
      </c>
      <c r="AF331" s="98"/>
      <c r="AG331" s="98"/>
      <c r="AH331" s="105">
        <v>46128</v>
      </c>
      <c r="AI331" s="105" t="s">
        <v>420</v>
      </c>
      <c r="AJ331" s="105"/>
      <c r="AK331" s="127">
        <v>46135</v>
      </c>
      <c r="AL331" s="105">
        <v>46128</v>
      </c>
      <c r="AM331" s="105"/>
      <c r="AN331" s="105"/>
      <c r="AO331" s="100">
        <f t="shared" si="70"/>
        <v>102</v>
      </c>
      <c r="AP331" s="100">
        <f t="shared" si="71"/>
        <v>69</v>
      </c>
    </row>
    <row r="332" s="89" customFormat="1" hidden="1" customHeight="1" spans="1:42">
      <c r="A332" s="93">
        <v>46095</v>
      </c>
      <c r="B332" s="93" t="str">
        <f ca="1" t="shared" si="67"/>
        <v/>
      </c>
      <c r="C332" s="95" t="s">
        <v>237</v>
      </c>
      <c r="D332" s="93" t="s">
        <v>427</v>
      </c>
      <c r="E332" s="95" t="s">
        <v>438</v>
      </c>
      <c r="F332" s="96">
        <v>10122386</v>
      </c>
      <c r="G332" s="96">
        <v>202607170299</v>
      </c>
      <c r="H332" s="97" t="s">
        <v>39</v>
      </c>
      <c r="I332" s="98" t="str">
        <f>IFERROR(VLOOKUP(H332,名称!A:C,2,0),"")</f>
        <v>1:16货柜车</v>
      </c>
      <c r="J332" s="99">
        <v>224</v>
      </c>
      <c r="K332" s="98">
        <f>IFERROR(VLOOKUP(H332,名称!A:D,3,0),"")</f>
        <v>2</v>
      </c>
      <c r="L332" s="100">
        <f t="shared" si="68"/>
        <v>112</v>
      </c>
      <c r="M332" s="93">
        <v>46197</v>
      </c>
      <c r="N332" s="93">
        <f t="shared" si="69"/>
        <v>46195</v>
      </c>
      <c r="O332" s="93">
        <v>46195</v>
      </c>
      <c r="P332" s="93" t="s">
        <v>435</v>
      </c>
      <c r="Q332" s="97" t="s">
        <v>430</v>
      </c>
      <c r="R332" s="148" t="s">
        <v>431</v>
      </c>
      <c r="S332" s="93"/>
      <c r="T332" s="93"/>
      <c r="U332" s="93"/>
      <c r="V332" s="93"/>
      <c r="W332" s="97"/>
      <c r="X332" s="100"/>
      <c r="Y332" s="102">
        <v>30.536</v>
      </c>
      <c r="Z332" s="103">
        <f t="shared" si="72"/>
        <v>6840.06</v>
      </c>
      <c r="AA332" s="103">
        <f t="shared" si="73"/>
        <v>53010.47</v>
      </c>
      <c r="AB332" s="177" t="s">
        <v>884</v>
      </c>
      <c r="AC332" s="93"/>
      <c r="AD332" s="93"/>
      <c r="AE332" s="93" t="str">
        <f>IFERROR(VLOOKUP(H332,名称!A:D,4,0),"")</f>
        <v>KIK</v>
      </c>
      <c r="AF332" s="98"/>
      <c r="AG332" s="98"/>
      <c r="AH332" s="105">
        <v>46129</v>
      </c>
      <c r="AI332" s="105">
        <v>46163</v>
      </c>
      <c r="AJ332" s="105"/>
      <c r="AK332" s="105">
        <v>46146</v>
      </c>
      <c r="AL332" s="105">
        <v>46140</v>
      </c>
      <c r="AM332" s="105"/>
      <c r="AN332" s="105"/>
      <c r="AO332" s="100">
        <f t="shared" si="70"/>
        <v>102</v>
      </c>
      <c r="AP332" s="100">
        <f t="shared" si="71"/>
        <v>68</v>
      </c>
    </row>
    <row r="333" s="89" customFormat="1" hidden="1" customHeight="1" spans="1:42">
      <c r="A333" s="93">
        <v>46037</v>
      </c>
      <c r="B333" s="93" t="str">
        <f ca="1" t="shared" si="67"/>
        <v/>
      </c>
      <c r="C333" s="95" t="s">
        <v>237</v>
      </c>
      <c r="D333" s="93" t="s">
        <v>427</v>
      </c>
      <c r="E333" s="95" t="s">
        <v>428</v>
      </c>
      <c r="F333" s="96">
        <v>10119018</v>
      </c>
      <c r="G333" s="96">
        <v>202601272243</v>
      </c>
      <c r="H333" s="97" t="s">
        <v>142</v>
      </c>
      <c r="I333" s="98" t="str">
        <f>IFERROR(VLOOKUP(H333,名称!A:C,2,0),"")</f>
        <v>浮水马里奥</v>
      </c>
      <c r="J333" s="99">
        <v>600</v>
      </c>
      <c r="K333" s="98">
        <f>IFERROR(VLOOKUP(H333,名称!A:D,3,0),"")</f>
        <v>3</v>
      </c>
      <c r="L333" s="100">
        <f t="shared" si="68"/>
        <v>200</v>
      </c>
      <c r="M333" s="93">
        <v>46197</v>
      </c>
      <c r="N333" s="93">
        <f t="shared" si="69"/>
        <v>46195</v>
      </c>
      <c r="O333" s="93">
        <v>46198</v>
      </c>
      <c r="P333" s="93" t="s">
        <v>435</v>
      </c>
      <c r="Q333" s="97" t="s">
        <v>430</v>
      </c>
      <c r="R333" s="148" t="s">
        <v>826</v>
      </c>
      <c r="S333" s="93"/>
      <c r="T333" s="93"/>
      <c r="U333" s="93"/>
      <c r="V333" s="93"/>
      <c r="W333" s="97"/>
      <c r="X333" s="100"/>
      <c r="Y333" s="102">
        <v>3.182</v>
      </c>
      <c r="Z333" s="103">
        <f t="shared" si="72"/>
        <v>1909.2</v>
      </c>
      <c r="AA333" s="103">
        <f t="shared" si="73"/>
        <v>14796.3</v>
      </c>
      <c r="AB333" s="177" t="s">
        <v>884</v>
      </c>
      <c r="AC333" s="93"/>
      <c r="AD333" s="93"/>
      <c r="AE333" s="93" t="str">
        <f>IFERROR(VLOOKUP(H333,名称!A:D,4,0),"")</f>
        <v>KIK</v>
      </c>
      <c r="AF333" s="98"/>
      <c r="AG333" s="98"/>
      <c r="AH333" s="105">
        <v>46139</v>
      </c>
      <c r="AI333" s="105">
        <v>46149</v>
      </c>
      <c r="AJ333" s="105"/>
      <c r="AK333" s="105" t="s">
        <v>420</v>
      </c>
      <c r="AL333" s="105">
        <v>46134</v>
      </c>
      <c r="AM333" s="105"/>
      <c r="AN333" s="105"/>
      <c r="AO333" s="100"/>
      <c r="AP333" s="100"/>
    </row>
    <row r="334" s="89" customFormat="1" hidden="1" customHeight="1" spans="1:42">
      <c r="A334" s="155">
        <v>46037</v>
      </c>
      <c r="B334" s="155" t="str">
        <f ca="1" t="shared" si="67"/>
        <v/>
      </c>
      <c r="C334" s="156" t="s">
        <v>237</v>
      </c>
      <c r="D334" s="155" t="s">
        <v>427</v>
      </c>
      <c r="E334" s="156" t="s">
        <v>428</v>
      </c>
      <c r="F334" s="158">
        <v>10119018</v>
      </c>
      <c r="G334" s="158">
        <v>202601272243</v>
      </c>
      <c r="H334" s="157" t="s">
        <v>142</v>
      </c>
      <c r="I334" s="167" t="str">
        <f>IFERROR(VLOOKUP(H334,名称!A:C,2,0),"")</f>
        <v>浮水马里奥</v>
      </c>
      <c r="J334" s="159">
        <v>402</v>
      </c>
      <c r="K334" s="167">
        <f>IFERROR(VLOOKUP(H334,名称!A:D,3,0),"")</f>
        <v>3</v>
      </c>
      <c r="L334" s="140">
        <f t="shared" si="68"/>
        <v>134</v>
      </c>
      <c r="M334" s="155">
        <v>46197</v>
      </c>
      <c r="N334" s="155">
        <f t="shared" si="69"/>
        <v>46195</v>
      </c>
      <c r="O334" s="155">
        <v>46198</v>
      </c>
      <c r="P334" s="155" t="s">
        <v>435</v>
      </c>
      <c r="Q334" s="157" t="s">
        <v>430</v>
      </c>
      <c r="R334" s="169" t="s">
        <v>445</v>
      </c>
      <c r="S334" s="155" t="s">
        <v>795</v>
      </c>
      <c r="T334" s="155"/>
      <c r="U334" s="155"/>
      <c r="V334" s="155"/>
      <c r="W334" s="157"/>
      <c r="X334" s="140"/>
      <c r="Y334" s="161">
        <v>3.182</v>
      </c>
      <c r="Z334" s="103">
        <f t="shared" si="72"/>
        <v>1279.16</v>
      </c>
      <c r="AA334" s="103">
        <f t="shared" si="73"/>
        <v>9913.49</v>
      </c>
      <c r="AB334" s="181" t="s">
        <v>884</v>
      </c>
      <c r="AC334" s="155"/>
      <c r="AD334" s="155"/>
      <c r="AE334" s="155" t="str">
        <f>IFERROR(VLOOKUP(H334,名称!A:D,4,0),"")</f>
        <v>KIK</v>
      </c>
      <c r="AF334" s="167"/>
      <c r="AG334" s="167"/>
      <c r="AH334" s="162">
        <v>46139</v>
      </c>
      <c r="AI334" s="162">
        <v>46140</v>
      </c>
      <c r="AJ334" s="162"/>
      <c r="AK334" s="162" t="s">
        <v>420</v>
      </c>
      <c r="AL334" s="162">
        <v>46134</v>
      </c>
      <c r="AM334" s="105"/>
      <c r="AN334" s="105">
        <v>46141</v>
      </c>
      <c r="AO334" s="100">
        <f t="shared" ref="AO334:AO396" si="74">M334-A334</f>
        <v>160</v>
      </c>
      <c r="AP334" s="100">
        <f t="shared" ref="AP334:AP396" si="75">M334-AH334</f>
        <v>58</v>
      </c>
    </row>
    <row r="335" s="118" customFormat="1" hidden="1" customHeight="1" spans="1:42">
      <c r="A335" s="150">
        <v>46112</v>
      </c>
      <c r="B335" s="150" t="str">
        <f ca="1" t="shared" si="67"/>
        <v/>
      </c>
      <c r="C335" s="171" t="s">
        <v>237</v>
      </c>
      <c r="D335" s="150" t="s">
        <v>427</v>
      </c>
      <c r="E335" s="171" t="s">
        <v>428</v>
      </c>
      <c r="F335" s="172">
        <v>10123753</v>
      </c>
      <c r="G335" s="172">
        <v>202608670037</v>
      </c>
      <c r="H335" s="173" t="s">
        <v>52</v>
      </c>
      <c r="I335" s="174" t="str">
        <f>IFERROR(VLOOKUP(H335,名称!A:C,2,0),"")</f>
        <v>布鲁伊家族沐浴玩具</v>
      </c>
      <c r="J335" s="182">
        <v>1104</v>
      </c>
      <c r="K335" s="174">
        <f>IFERROR(VLOOKUP(H335,名称!A:D,3,0),"")</f>
        <v>6</v>
      </c>
      <c r="L335" s="143">
        <f t="shared" si="68"/>
        <v>184</v>
      </c>
      <c r="M335" s="150">
        <v>46197</v>
      </c>
      <c r="N335" s="150">
        <f t="shared" si="69"/>
        <v>46195</v>
      </c>
      <c r="O335" s="150">
        <v>46183</v>
      </c>
      <c r="P335" s="150" t="s">
        <v>435</v>
      </c>
      <c r="Q335" s="173" t="s">
        <v>430</v>
      </c>
      <c r="R335" s="148" t="s">
        <v>796</v>
      </c>
      <c r="S335" s="150"/>
      <c r="T335" s="150"/>
      <c r="U335" s="150"/>
      <c r="V335" s="150"/>
      <c r="W335" s="173"/>
      <c r="X335" s="143"/>
      <c r="Y335" s="176">
        <v>2.001</v>
      </c>
      <c r="Z335" s="103">
        <f t="shared" si="72"/>
        <v>2209.1</v>
      </c>
      <c r="AA335" s="103">
        <f t="shared" si="73"/>
        <v>17120.53</v>
      </c>
      <c r="AB335" s="177" t="s">
        <v>884</v>
      </c>
      <c r="AC335" s="150"/>
      <c r="AD335" s="150"/>
      <c r="AE335" s="150" t="str">
        <f>IFERROR(VLOOKUP(H335,名称!A:D,4,0),"")</f>
        <v>KIK</v>
      </c>
      <c r="AF335" s="174"/>
      <c r="AG335" s="174"/>
      <c r="AH335" s="178">
        <v>46128</v>
      </c>
      <c r="AI335" s="178" t="s">
        <v>420</v>
      </c>
      <c r="AJ335" s="178"/>
      <c r="AK335" s="178" t="s">
        <v>420</v>
      </c>
      <c r="AL335" s="178"/>
      <c r="AM335" s="183"/>
      <c r="AN335" s="183">
        <v>46125</v>
      </c>
      <c r="AO335" s="126">
        <f t="shared" si="74"/>
        <v>85</v>
      </c>
      <c r="AP335" s="126">
        <f t="shared" si="75"/>
        <v>69</v>
      </c>
    </row>
    <row r="336" s="89" customFormat="1" customHeight="1" spans="1:42">
      <c r="A336" s="184">
        <v>45997</v>
      </c>
      <c r="B336" s="184" t="str">
        <f ca="1" t="shared" si="67"/>
        <v/>
      </c>
      <c r="C336" s="185" t="s">
        <v>237</v>
      </c>
      <c r="D336" s="184" t="s">
        <v>427</v>
      </c>
      <c r="E336" s="185" t="s">
        <v>438</v>
      </c>
      <c r="F336" s="186">
        <v>10116494</v>
      </c>
      <c r="G336" s="186">
        <v>202533770060</v>
      </c>
      <c r="H336" s="187" t="s">
        <v>120</v>
      </c>
      <c r="I336" s="188" t="str">
        <f>IFERROR(VLOOKUP(H336,名称!A:C,2,0),"")</f>
        <v>绿色拖拉机</v>
      </c>
      <c r="J336" s="189">
        <v>2500</v>
      </c>
      <c r="K336" s="188">
        <f>IFERROR(VLOOKUP(H336,名称!A:D,3,0),"")</f>
        <v>2</v>
      </c>
      <c r="L336" s="190">
        <f t="shared" si="68"/>
        <v>1250</v>
      </c>
      <c r="M336" s="184">
        <v>46204</v>
      </c>
      <c r="N336" s="184">
        <f t="shared" si="69"/>
        <v>46202</v>
      </c>
      <c r="O336" s="191">
        <v>46200</v>
      </c>
      <c r="P336" s="184" t="s">
        <v>423</v>
      </c>
      <c r="Q336" s="187" t="s">
        <v>430</v>
      </c>
      <c r="R336" s="192" t="s">
        <v>418</v>
      </c>
      <c r="S336" s="184"/>
      <c r="T336" s="184" t="s">
        <v>452</v>
      </c>
      <c r="U336" s="184"/>
      <c r="V336" s="184"/>
      <c r="W336" s="187"/>
      <c r="X336" s="190"/>
      <c r="Y336" s="193">
        <v>21.352</v>
      </c>
      <c r="Z336" s="103">
        <f t="shared" si="72"/>
        <v>53380</v>
      </c>
      <c r="AA336" s="103">
        <f t="shared" si="73"/>
        <v>413695</v>
      </c>
      <c r="AB336" s="194" t="s">
        <v>884</v>
      </c>
      <c r="AC336" s="188"/>
      <c r="AD336" s="195"/>
      <c r="AE336" s="184" t="s">
        <v>12</v>
      </c>
      <c r="AF336" s="195"/>
      <c r="AG336" s="195"/>
      <c r="AH336" s="195">
        <v>46107</v>
      </c>
      <c r="AI336" s="195">
        <v>46128</v>
      </c>
      <c r="AJ336" s="195"/>
      <c r="AK336" s="195">
        <v>46105</v>
      </c>
      <c r="AL336" s="195">
        <v>46134</v>
      </c>
      <c r="AM336" s="149"/>
      <c r="AN336" s="105">
        <v>46105</v>
      </c>
      <c r="AO336" s="100">
        <f t="shared" si="74"/>
        <v>207</v>
      </c>
      <c r="AP336" s="100">
        <f t="shared" si="75"/>
        <v>97</v>
      </c>
    </row>
    <row r="337" s="89" customFormat="1" hidden="1" customHeight="1" spans="1:42">
      <c r="A337" s="150">
        <v>46102</v>
      </c>
      <c r="B337" s="150" t="str">
        <f ca="1" t="shared" si="67"/>
        <v/>
      </c>
      <c r="C337" s="171" t="s">
        <v>237</v>
      </c>
      <c r="D337" s="150" t="s">
        <v>427</v>
      </c>
      <c r="E337" s="171" t="s">
        <v>428</v>
      </c>
      <c r="F337" s="172">
        <v>10123059</v>
      </c>
      <c r="G337" s="172">
        <v>202607770043</v>
      </c>
      <c r="H337" s="173" t="s">
        <v>115</v>
      </c>
      <c r="I337" s="174" t="str">
        <f>IFERROR(VLOOKUP(H337,名称!A:C,2,0),"")</f>
        <v>布鲁伊混装</v>
      </c>
      <c r="J337" s="175">
        <v>5000</v>
      </c>
      <c r="K337" s="174">
        <f>IFERROR(VLOOKUP(H337,名称!A:D,3,0),"")</f>
        <v>4</v>
      </c>
      <c r="L337" s="143">
        <f t="shared" si="68"/>
        <v>1250</v>
      </c>
      <c r="M337" s="150">
        <v>46197</v>
      </c>
      <c r="N337" s="150">
        <f t="shared" si="69"/>
        <v>46195</v>
      </c>
      <c r="O337" s="196">
        <v>46200</v>
      </c>
      <c r="P337" s="150" t="s">
        <v>435</v>
      </c>
      <c r="Q337" s="173" t="s">
        <v>430</v>
      </c>
      <c r="R337" s="148" t="s">
        <v>779</v>
      </c>
      <c r="S337" s="150"/>
      <c r="T337" s="150"/>
      <c r="U337" s="150"/>
      <c r="V337" s="150"/>
      <c r="W337" s="173"/>
      <c r="X337" s="143"/>
      <c r="Y337" s="176">
        <v>2.204</v>
      </c>
      <c r="Z337" s="103">
        <f t="shared" si="72"/>
        <v>11020</v>
      </c>
      <c r="AA337" s="103">
        <f t="shared" si="73"/>
        <v>85405</v>
      </c>
      <c r="AB337" s="194" t="s">
        <v>884</v>
      </c>
      <c r="AC337" s="150"/>
      <c r="AD337" s="150"/>
      <c r="AE337" s="150" t="str">
        <f>IFERROR(VLOOKUP(H337,名称!A:D,4,0),"")</f>
        <v>KIK</v>
      </c>
      <c r="AF337" s="174"/>
      <c r="AG337" s="174"/>
      <c r="AH337" s="178">
        <v>46121</v>
      </c>
      <c r="AI337" s="178"/>
      <c r="AJ337" s="178"/>
      <c r="AK337" s="178"/>
      <c r="AL337" s="178">
        <v>46139</v>
      </c>
      <c r="AM337" s="178"/>
      <c r="AN337" s="178">
        <v>46119</v>
      </c>
      <c r="AO337" s="143">
        <f t="shared" si="74"/>
        <v>95</v>
      </c>
      <c r="AP337" s="143">
        <f t="shared" si="75"/>
        <v>76</v>
      </c>
    </row>
    <row r="338" s="89" customFormat="1" hidden="1" customHeight="1" spans="1:42">
      <c r="A338" s="150">
        <v>46112</v>
      </c>
      <c r="B338" s="150" t="str">
        <f ca="1" t="shared" si="67"/>
        <v/>
      </c>
      <c r="C338" s="171" t="s">
        <v>237</v>
      </c>
      <c r="D338" s="150" t="s">
        <v>427</v>
      </c>
      <c r="E338" s="171" t="s">
        <v>428</v>
      </c>
      <c r="F338" s="172">
        <v>10123703</v>
      </c>
      <c r="G338" s="172">
        <v>202608570045</v>
      </c>
      <c r="H338" s="173" t="s">
        <v>88</v>
      </c>
      <c r="I338" s="174" t="str">
        <f>IFERROR(VLOOKUP(H338,名称!A:C,2,0),"")</f>
        <v>杯子</v>
      </c>
      <c r="J338" s="175">
        <v>10008</v>
      </c>
      <c r="K338" s="174">
        <f>IFERROR(VLOOKUP(H338,名称!A:D,3,0),"")</f>
        <v>18</v>
      </c>
      <c r="L338" s="143">
        <f t="shared" si="68"/>
        <v>556</v>
      </c>
      <c r="M338" s="150">
        <v>46197</v>
      </c>
      <c r="N338" s="150">
        <f t="shared" si="69"/>
        <v>46195</v>
      </c>
      <c r="O338" s="196">
        <v>46199</v>
      </c>
      <c r="P338" s="150" t="s">
        <v>435</v>
      </c>
      <c r="Q338" s="173" t="s">
        <v>430</v>
      </c>
      <c r="R338" s="148" t="s">
        <v>782</v>
      </c>
      <c r="S338" s="150"/>
      <c r="T338" s="150"/>
      <c r="U338" s="150"/>
      <c r="V338" s="150"/>
      <c r="W338" s="173"/>
      <c r="X338" s="143"/>
      <c r="Y338" s="176">
        <v>0.963</v>
      </c>
      <c r="Z338" s="103">
        <f t="shared" si="72"/>
        <v>9637.7</v>
      </c>
      <c r="AA338" s="103">
        <f t="shared" si="73"/>
        <v>74692.18</v>
      </c>
      <c r="AB338" s="194" t="s">
        <v>884</v>
      </c>
      <c r="AC338" s="174"/>
      <c r="AD338" s="178"/>
      <c r="AE338" s="150" t="s">
        <v>12</v>
      </c>
      <c r="AF338" s="178">
        <v>46139</v>
      </c>
      <c r="AG338" s="178"/>
      <c r="AH338" s="178">
        <v>46139</v>
      </c>
      <c r="AI338" s="178" t="s">
        <v>420</v>
      </c>
      <c r="AJ338" s="178"/>
      <c r="AK338" s="178" t="s">
        <v>420</v>
      </c>
      <c r="AL338" s="178" t="s">
        <v>420</v>
      </c>
      <c r="AM338" s="143"/>
      <c r="AN338" s="178"/>
      <c r="AO338" s="143">
        <f t="shared" si="74"/>
        <v>85</v>
      </c>
      <c r="AP338" s="143">
        <f t="shared" si="75"/>
        <v>58</v>
      </c>
    </row>
    <row r="339" s="89" customFormat="1" hidden="1" customHeight="1" spans="1:42">
      <c r="A339" s="150">
        <v>46085</v>
      </c>
      <c r="B339" s="150" t="str">
        <f ca="1" t="shared" si="67"/>
        <v/>
      </c>
      <c r="C339" s="171" t="s">
        <v>237</v>
      </c>
      <c r="D339" s="150" t="s">
        <v>427</v>
      </c>
      <c r="E339" s="171" t="s">
        <v>428</v>
      </c>
      <c r="F339" s="172">
        <v>10121317</v>
      </c>
      <c r="G339" s="172">
        <v>202605870365</v>
      </c>
      <c r="H339" s="173" t="s">
        <v>95</v>
      </c>
      <c r="I339" s="174" t="str">
        <f>IFERROR(VLOOKUP(H339,名称!A:C,2,0),"")</f>
        <v>宝箱马里奥</v>
      </c>
      <c r="J339" s="175">
        <v>5000</v>
      </c>
      <c r="K339" s="174">
        <f>IFERROR(VLOOKUP(H339,名称!A:D,3,0),"")</f>
        <v>4</v>
      </c>
      <c r="L339" s="143">
        <f t="shared" si="68"/>
        <v>1250</v>
      </c>
      <c r="M339" s="150">
        <v>46197</v>
      </c>
      <c r="N339" s="150">
        <f t="shared" si="69"/>
        <v>46195</v>
      </c>
      <c r="O339" s="150">
        <v>46172</v>
      </c>
      <c r="P339" s="150" t="s">
        <v>435</v>
      </c>
      <c r="Q339" s="173" t="s">
        <v>430</v>
      </c>
      <c r="R339" s="148" t="s">
        <v>431</v>
      </c>
      <c r="S339" s="150" t="s">
        <v>620</v>
      </c>
      <c r="T339" s="150"/>
      <c r="U339" s="150"/>
      <c r="V339" s="150"/>
      <c r="W339" s="173"/>
      <c r="X339" s="143"/>
      <c r="Y339" s="176">
        <v>2.25</v>
      </c>
      <c r="Z339" s="103">
        <f t="shared" si="72"/>
        <v>11250</v>
      </c>
      <c r="AA339" s="103">
        <f t="shared" si="73"/>
        <v>87187.5</v>
      </c>
      <c r="AB339" s="194" t="s">
        <v>884</v>
      </c>
      <c r="AC339" s="150"/>
      <c r="AD339" s="150"/>
      <c r="AE339" s="150" t="str">
        <f>IFERROR(VLOOKUP(H339,名称!A:D,4,0),"")</f>
        <v>KIK</v>
      </c>
      <c r="AF339" s="174"/>
      <c r="AG339" s="174"/>
      <c r="AH339" s="178">
        <v>46115</v>
      </c>
      <c r="AI339" s="178" t="s">
        <v>522</v>
      </c>
      <c r="AJ339" s="178"/>
      <c r="AK339" s="178" t="s">
        <v>420</v>
      </c>
      <c r="AL339" s="178" t="s">
        <v>420</v>
      </c>
      <c r="AM339" s="178"/>
      <c r="AN339" s="178"/>
      <c r="AO339" s="143">
        <f t="shared" si="74"/>
        <v>112</v>
      </c>
      <c r="AP339" s="143">
        <f t="shared" si="75"/>
        <v>82</v>
      </c>
    </row>
    <row r="340" s="89" customFormat="1" hidden="1" customHeight="1" spans="1:42">
      <c r="A340" s="150">
        <v>46085</v>
      </c>
      <c r="B340" s="150" t="str">
        <f ca="1" t="shared" si="67"/>
        <v/>
      </c>
      <c r="C340" s="171" t="s">
        <v>237</v>
      </c>
      <c r="D340" s="150" t="s">
        <v>427</v>
      </c>
      <c r="E340" s="171" t="s">
        <v>428</v>
      </c>
      <c r="F340" s="172">
        <v>10121317</v>
      </c>
      <c r="G340" s="172">
        <v>202605870365</v>
      </c>
      <c r="H340" s="173" t="s">
        <v>91</v>
      </c>
      <c r="I340" s="174" t="str">
        <f>IFERROR(VLOOKUP(H340,名称!A:C,2,0),"")</f>
        <v>马里奥和他的蘑菇</v>
      </c>
      <c r="J340" s="175">
        <v>5004</v>
      </c>
      <c r="K340" s="174">
        <f>IFERROR(VLOOKUP(H340,名称!A:D,3,0),"")</f>
        <v>6</v>
      </c>
      <c r="L340" s="143">
        <f t="shared" si="68"/>
        <v>834</v>
      </c>
      <c r="M340" s="150">
        <v>46197</v>
      </c>
      <c r="N340" s="150">
        <f t="shared" si="69"/>
        <v>46195</v>
      </c>
      <c r="O340" s="150">
        <v>46178</v>
      </c>
      <c r="P340" s="150" t="s">
        <v>435</v>
      </c>
      <c r="Q340" s="173" t="s">
        <v>430</v>
      </c>
      <c r="R340" s="148" t="s">
        <v>425</v>
      </c>
      <c r="S340" s="150"/>
      <c r="T340" s="150"/>
      <c r="U340" s="150"/>
      <c r="V340" s="150"/>
      <c r="W340" s="173"/>
      <c r="X340" s="143"/>
      <c r="Y340" s="176">
        <v>1.451</v>
      </c>
      <c r="Z340" s="103">
        <f t="shared" si="72"/>
        <v>7260.8</v>
      </c>
      <c r="AA340" s="103">
        <f t="shared" si="73"/>
        <v>56271.2</v>
      </c>
      <c r="AB340" s="194" t="s">
        <v>884</v>
      </c>
      <c r="AC340" s="150"/>
      <c r="AD340" s="150"/>
      <c r="AE340" s="150" t="str">
        <f>IFERROR(VLOOKUP(H340,名称!A:D,4,0),"")</f>
        <v>KIK</v>
      </c>
      <c r="AF340" s="174"/>
      <c r="AG340" s="174"/>
      <c r="AH340" s="178">
        <v>46107</v>
      </c>
      <c r="AI340" s="178" t="s">
        <v>522</v>
      </c>
      <c r="AJ340" s="178"/>
      <c r="AK340" s="178" t="s">
        <v>420</v>
      </c>
      <c r="AL340" s="178" t="s">
        <v>420</v>
      </c>
      <c r="AM340" s="178"/>
      <c r="AN340" s="178"/>
      <c r="AO340" s="143">
        <f t="shared" si="74"/>
        <v>112</v>
      </c>
      <c r="AP340" s="143">
        <f t="shared" si="75"/>
        <v>90</v>
      </c>
    </row>
    <row r="341" s="89" customFormat="1" hidden="1" customHeight="1" spans="1:42">
      <c r="A341" s="150">
        <v>46112</v>
      </c>
      <c r="B341" s="150" t="str">
        <f ca="1" t="shared" si="67"/>
        <v/>
      </c>
      <c r="C341" s="171" t="s">
        <v>237</v>
      </c>
      <c r="D341" s="150" t="s">
        <v>427</v>
      </c>
      <c r="E341" s="171" t="s">
        <v>428</v>
      </c>
      <c r="F341" s="172">
        <v>10123752</v>
      </c>
      <c r="G341" s="172">
        <v>202608670036</v>
      </c>
      <c r="H341" s="173" t="s">
        <v>129</v>
      </c>
      <c r="I341" s="174" t="str">
        <f>IFERROR(VLOOKUP(H341,名称!A:C,2,0),"")</f>
        <v>锁匙</v>
      </c>
      <c r="J341" s="175">
        <v>10008</v>
      </c>
      <c r="K341" s="174">
        <f>IFERROR(VLOOKUP(H341,名称!A:D,3,0),"")</f>
        <v>36</v>
      </c>
      <c r="L341" s="143">
        <f t="shared" si="68"/>
        <v>278</v>
      </c>
      <c r="M341" s="150">
        <v>46197</v>
      </c>
      <c r="N341" s="150">
        <f t="shared" si="69"/>
        <v>46195</v>
      </c>
      <c r="O341" s="196">
        <v>46199</v>
      </c>
      <c r="P341" s="150" t="s">
        <v>435</v>
      </c>
      <c r="Q341" s="173" t="s">
        <v>430</v>
      </c>
      <c r="R341" s="148" t="s">
        <v>885</v>
      </c>
      <c r="S341" s="150"/>
      <c r="T341" s="150"/>
      <c r="U341" s="150"/>
      <c r="V341" s="150"/>
      <c r="W341" s="173"/>
      <c r="X341" s="143"/>
      <c r="Y341" s="176">
        <v>0.324</v>
      </c>
      <c r="Z341" s="103">
        <f t="shared" si="72"/>
        <v>3242.59</v>
      </c>
      <c r="AA341" s="103">
        <f t="shared" si="73"/>
        <v>25130.07</v>
      </c>
      <c r="AB341" s="194" t="s">
        <v>884</v>
      </c>
      <c r="AC341" s="174"/>
      <c r="AD341" s="178"/>
      <c r="AE341" s="150" t="s">
        <v>12</v>
      </c>
      <c r="AF341" s="178">
        <v>46139</v>
      </c>
      <c r="AG341" s="178"/>
      <c r="AH341" s="178">
        <v>46139</v>
      </c>
      <c r="AI341" s="178" t="s">
        <v>420</v>
      </c>
      <c r="AJ341" s="178"/>
      <c r="AK341" s="178" t="s">
        <v>420</v>
      </c>
      <c r="AL341" s="178" t="s">
        <v>420</v>
      </c>
      <c r="AM341" s="143"/>
      <c r="AN341" s="180"/>
      <c r="AO341" s="143">
        <f t="shared" si="74"/>
        <v>85</v>
      </c>
      <c r="AP341" s="143">
        <f t="shared" si="75"/>
        <v>58</v>
      </c>
    </row>
    <row r="342" s="118" customFormat="1" customHeight="1" spans="1:42">
      <c r="A342" s="150">
        <v>46114</v>
      </c>
      <c r="B342" s="150" t="str">
        <f ca="1" t="shared" si="67"/>
        <v/>
      </c>
      <c r="C342" s="171" t="s">
        <v>237</v>
      </c>
      <c r="D342" s="150" t="s">
        <v>838</v>
      </c>
      <c r="E342" s="171" t="s">
        <v>438</v>
      </c>
      <c r="F342" s="172">
        <v>10124071</v>
      </c>
      <c r="G342" s="172" t="s">
        <v>273</v>
      </c>
      <c r="H342" s="173" t="s">
        <v>120</v>
      </c>
      <c r="I342" s="174" t="str">
        <f>IFERROR(VLOOKUP(H342,名称!A:C,2,0),"")</f>
        <v>绿色拖拉机</v>
      </c>
      <c r="J342" s="175">
        <v>1400</v>
      </c>
      <c r="K342" s="174">
        <f>IFERROR(VLOOKUP(H342,名称!A:D,3,0),"")</f>
        <v>2</v>
      </c>
      <c r="L342" s="143">
        <f t="shared" si="68"/>
        <v>700</v>
      </c>
      <c r="M342" s="150">
        <v>46197</v>
      </c>
      <c r="N342" s="150">
        <f t="shared" si="69"/>
        <v>46195</v>
      </c>
      <c r="O342" s="150">
        <v>46197</v>
      </c>
      <c r="P342" s="150" t="s">
        <v>429</v>
      </c>
      <c r="Q342" s="173" t="s">
        <v>777</v>
      </c>
      <c r="R342" s="148" t="s">
        <v>418</v>
      </c>
      <c r="S342" s="150"/>
      <c r="T342" s="150" t="s">
        <v>452</v>
      </c>
      <c r="U342" s="150"/>
      <c r="V342" s="150"/>
      <c r="W342" s="173"/>
      <c r="X342" s="143" t="s">
        <v>839</v>
      </c>
      <c r="Y342" s="176">
        <v>21.246</v>
      </c>
      <c r="Z342" s="103">
        <f t="shared" si="72"/>
        <v>29744.4</v>
      </c>
      <c r="AA342" s="103">
        <f t="shared" si="73"/>
        <v>230519.1</v>
      </c>
      <c r="AB342" s="194" t="s">
        <v>886</v>
      </c>
      <c r="AC342" s="174"/>
      <c r="AD342" s="178"/>
      <c r="AE342" s="150" t="s">
        <v>12</v>
      </c>
      <c r="AF342" s="178"/>
      <c r="AG342" s="178"/>
      <c r="AH342" s="178">
        <v>46134</v>
      </c>
      <c r="AI342" s="178">
        <v>46128</v>
      </c>
      <c r="AJ342" s="178"/>
      <c r="AK342" s="178">
        <v>46149</v>
      </c>
      <c r="AL342" s="178">
        <v>46134</v>
      </c>
      <c r="AM342" s="197"/>
      <c r="AN342" s="180"/>
      <c r="AO342" s="143">
        <f t="shared" si="74"/>
        <v>83</v>
      </c>
      <c r="AP342" s="143">
        <f t="shared" si="75"/>
        <v>63</v>
      </c>
    </row>
    <row r="343" s="89" customFormat="1" hidden="1" customHeight="1" spans="1:42">
      <c r="A343" s="150">
        <v>46114</v>
      </c>
      <c r="B343" s="150" t="str">
        <f ca="1" t="shared" si="67"/>
        <v/>
      </c>
      <c r="C343" s="171" t="s">
        <v>237</v>
      </c>
      <c r="D343" s="150" t="s">
        <v>838</v>
      </c>
      <c r="E343" s="171" t="s">
        <v>438</v>
      </c>
      <c r="F343" s="172">
        <v>10124073</v>
      </c>
      <c r="G343" s="172" t="s">
        <v>272</v>
      </c>
      <c r="H343" s="173" t="s">
        <v>113</v>
      </c>
      <c r="I343" s="174" t="str">
        <f>IFERROR(VLOOKUP(H343,名称!A:C,2,0),"")</f>
        <v>绿色铲车</v>
      </c>
      <c r="J343" s="175">
        <v>2616</v>
      </c>
      <c r="K343" s="174">
        <f>IFERROR(VLOOKUP(H343,名称!A:D,3,0),"")</f>
        <v>2</v>
      </c>
      <c r="L343" s="143">
        <f t="shared" si="68"/>
        <v>1308</v>
      </c>
      <c r="M343" s="150">
        <v>46176</v>
      </c>
      <c r="N343" s="150">
        <f t="shared" si="69"/>
        <v>46174</v>
      </c>
      <c r="O343" s="147">
        <v>46183</v>
      </c>
      <c r="P343" s="150" t="s">
        <v>435</v>
      </c>
      <c r="Q343" s="173" t="s">
        <v>777</v>
      </c>
      <c r="R343" s="154" t="s">
        <v>782</v>
      </c>
      <c r="S343" s="150"/>
      <c r="T343" s="150" t="s">
        <v>452</v>
      </c>
      <c r="U343" s="150"/>
      <c r="V343" s="150"/>
      <c r="W343" s="173"/>
      <c r="X343" s="143" t="s">
        <v>839</v>
      </c>
      <c r="Y343" s="176">
        <v>5.97</v>
      </c>
      <c r="Z343" s="103">
        <f t="shared" si="72"/>
        <v>15617.52</v>
      </c>
      <c r="AA343" s="103">
        <f t="shared" si="73"/>
        <v>121035.78</v>
      </c>
      <c r="AB343" s="194" t="s">
        <v>887</v>
      </c>
      <c r="AC343" s="150"/>
      <c r="AD343" s="150"/>
      <c r="AE343" s="150" t="str">
        <f>IFERROR(VLOOKUP(H343,名称!A:D,4,0),"")</f>
        <v>KIK</v>
      </c>
      <c r="AF343" s="174"/>
      <c r="AG343" s="174"/>
      <c r="AH343" s="178">
        <v>46134</v>
      </c>
      <c r="AI343" s="178" t="s">
        <v>420</v>
      </c>
      <c r="AJ343" s="178"/>
      <c r="AK343" s="178">
        <v>46140</v>
      </c>
      <c r="AL343" s="178">
        <v>46134</v>
      </c>
      <c r="AM343" s="178"/>
      <c r="AN343" s="178"/>
      <c r="AO343" s="143">
        <f t="shared" si="74"/>
        <v>62</v>
      </c>
      <c r="AP343" s="143">
        <f t="shared" si="75"/>
        <v>42</v>
      </c>
    </row>
    <row r="344" s="89" customFormat="1" hidden="1" customHeight="1" spans="1:42">
      <c r="A344" s="150">
        <v>46114</v>
      </c>
      <c r="B344" s="150" t="str">
        <f ca="1" t="shared" si="67"/>
        <v/>
      </c>
      <c r="C344" s="171" t="s">
        <v>237</v>
      </c>
      <c r="D344" s="150" t="s">
        <v>838</v>
      </c>
      <c r="E344" s="171" t="s">
        <v>438</v>
      </c>
      <c r="F344" s="172">
        <v>10124073</v>
      </c>
      <c r="G344" s="172" t="s">
        <v>272</v>
      </c>
      <c r="H344" s="173" t="s">
        <v>105</v>
      </c>
      <c r="I344" s="174" t="str">
        <f>IFERROR(VLOOKUP(H344,名称!A:C,2,0),"")</f>
        <v>农场男孩套装</v>
      </c>
      <c r="J344" s="175">
        <v>360</v>
      </c>
      <c r="K344" s="174">
        <f>IFERROR(VLOOKUP(H344,名称!A:D,3,0),"")</f>
        <v>4</v>
      </c>
      <c r="L344" s="143">
        <f t="shared" si="68"/>
        <v>90</v>
      </c>
      <c r="M344" s="150">
        <v>46176</v>
      </c>
      <c r="N344" s="150">
        <f t="shared" si="69"/>
        <v>46174</v>
      </c>
      <c r="O344" s="147">
        <v>46177</v>
      </c>
      <c r="P344" s="150" t="s">
        <v>435</v>
      </c>
      <c r="Q344" s="173" t="s">
        <v>777</v>
      </c>
      <c r="R344" s="148" t="s">
        <v>782</v>
      </c>
      <c r="S344" s="150"/>
      <c r="T344" s="150" t="s">
        <v>452</v>
      </c>
      <c r="U344" s="150"/>
      <c r="V344" s="150"/>
      <c r="W344" s="173"/>
      <c r="X344" s="143" t="s">
        <v>839</v>
      </c>
      <c r="Y344" s="176">
        <v>2.994</v>
      </c>
      <c r="Z344" s="198">
        <f t="shared" ref="Z313:Z377" si="76">J344*Y344</f>
        <v>1077.84</v>
      </c>
      <c r="AA344" s="198">
        <f t="shared" ref="AA315:AA378" si="77">Z344*7.75</f>
        <v>8353.26</v>
      </c>
      <c r="AB344" s="194" t="s">
        <v>887</v>
      </c>
      <c r="AC344" s="150"/>
      <c r="AD344" s="150"/>
      <c r="AE344" s="150" t="str">
        <f>IFERROR(VLOOKUP(H344,名称!A:D,4,0),"")</f>
        <v>KIK</v>
      </c>
      <c r="AF344" s="174"/>
      <c r="AG344" s="174"/>
      <c r="AH344" s="178">
        <v>46121</v>
      </c>
      <c r="AI344" s="178">
        <v>46128</v>
      </c>
      <c r="AJ344" s="178"/>
      <c r="AK344" s="178" t="s">
        <v>420</v>
      </c>
      <c r="AL344" s="178" t="s">
        <v>420</v>
      </c>
      <c r="AM344" s="178"/>
      <c r="AN344" s="178"/>
      <c r="AO344" s="143">
        <f t="shared" si="74"/>
        <v>62</v>
      </c>
      <c r="AP344" s="143">
        <f t="shared" si="75"/>
        <v>55</v>
      </c>
    </row>
    <row r="345" s="89" customFormat="1" hidden="1" customHeight="1" spans="1:42">
      <c r="A345" s="150">
        <v>46114</v>
      </c>
      <c r="B345" s="150" t="str">
        <f ca="1" t="shared" si="67"/>
        <v/>
      </c>
      <c r="C345" s="171" t="s">
        <v>237</v>
      </c>
      <c r="D345" s="150" t="s">
        <v>838</v>
      </c>
      <c r="E345" s="171" t="s">
        <v>438</v>
      </c>
      <c r="F345" s="172">
        <v>10124073</v>
      </c>
      <c r="G345" s="172" t="s">
        <v>272</v>
      </c>
      <c r="H345" s="173" t="s">
        <v>109</v>
      </c>
      <c r="I345" s="174" t="str">
        <f>IFERROR(VLOOKUP(H345,名称!A:C,2,0),"")</f>
        <v>红色铲车</v>
      </c>
      <c r="J345" s="175">
        <v>280</v>
      </c>
      <c r="K345" s="174">
        <f>IFERROR(VLOOKUP(H345,名称!A:D,3,0),"")</f>
        <v>4</v>
      </c>
      <c r="L345" s="143">
        <f t="shared" si="68"/>
        <v>70</v>
      </c>
      <c r="M345" s="150">
        <v>46176</v>
      </c>
      <c r="N345" s="150">
        <f t="shared" si="69"/>
        <v>46174</v>
      </c>
      <c r="O345" s="147">
        <v>46175</v>
      </c>
      <c r="P345" s="150" t="s">
        <v>435</v>
      </c>
      <c r="Q345" s="173" t="s">
        <v>777</v>
      </c>
      <c r="R345" s="148" t="s">
        <v>826</v>
      </c>
      <c r="S345" s="150"/>
      <c r="T345" s="150"/>
      <c r="U345" s="150"/>
      <c r="V345" s="150"/>
      <c r="W345" s="173"/>
      <c r="X345" s="143" t="s">
        <v>839</v>
      </c>
      <c r="Y345" s="176">
        <v>3.886</v>
      </c>
      <c r="Z345" s="198">
        <f t="shared" ref="Z345:Z376" si="78">J345*Y345</f>
        <v>1088.08</v>
      </c>
      <c r="AA345" s="198">
        <f t="shared" ref="AA345:AA376" si="79">Z345*7.75</f>
        <v>8432.62</v>
      </c>
      <c r="AB345" s="194" t="s">
        <v>887</v>
      </c>
      <c r="AC345" s="150"/>
      <c r="AD345" s="150"/>
      <c r="AE345" s="150" t="str">
        <f>IFERROR(VLOOKUP(H345,名称!A:D,4,0),"")</f>
        <v>KIK</v>
      </c>
      <c r="AF345" s="174"/>
      <c r="AG345" s="174"/>
      <c r="AH345" s="178">
        <v>46128</v>
      </c>
      <c r="AI345" s="178" t="s">
        <v>420</v>
      </c>
      <c r="AJ345" s="178"/>
      <c r="AK345" s="199">
        <v>46135</v>
      </c>
      <c r="AL345" s="178">
        <v>46128</v>
      </c>
      <c r="AM345" s="178"/>
      <c r="AN345" s="178"/>
      <c r="AO345" s="143">
        <f t="shared" si="74"/>
        <v>62</v>
      </c>
      <c r="AP345" s="143">
        <f t="shared" si="75"/>
        <v>48</v>
      </c>
    </row>
    <row r="346" s="89" customFormat="1" hidden="1" customHeight="1" spans="1:42">
      <c r="A346" s="150">
        <v>46114</v>
      </c>
      <c r="B346" s="150" t="str">
        <f ca="1" t="shared" si="67"/>
        <v/>
      </c>
      <c r="C346" s="171" t="s">
        <v>237</v>
      </c>
      <c r="D346" s="150" t="s">
        <v>838</v>
      </c>
      <c r="E346" s="171" t="s">
        <v>438</v>
      </c>
      <c r="F346" s="172">
        <v>10124073</v>
      </c>
      <c r="G346" s="172" t="s">
        <v>272</v>
      </c>
      <c r="H346" s="173" t="s">
        <v>35</v>
      </c>
      <c r="I346" s="174" t="str">
        <f>IFERROR(VLOOKUP(H346,名称!A:C,2,0),"")</f>
        <v>1:16拖车厢</v>
      </c>
      <c r="J346" s="175">
        <v>150</v>
      </c>
      <c r="K346" s="174">
        <f>IFERROR(VLOOKUP(H346,名称!A:D,3,0),"")</f>
        <v>2</v>
      </c>
      <c r="L346" s="143">
        <f t="shared" si="68"/>
        <v>75</v>
      </c>
      <c r="M346" s="150">
        <v>46176</v>
      </c>
      <c r="N346" s="150">
        <f t="shared" si="69"/>
        <v>46174</v>
      </c>
      <c r="O346" s="147">
        <v>46176</v>
      </c>
      <c r="P346" s="150" t="s">
        <v>435</v>
      </c>
      <c r="Q346" s="173" t="s">
        <v>777</v>
      </c>
      <c r="R346" s="148" t="s">
        <v>431</v>
      </c>
      <c r="S346" s="150"/>
      <c r="T346" s="150"/>
      <c r="U346" s="150"/>
      <c r="V346" s="150"/>
      <c r="W346" s="173"/>
      <c r="X346" s="143" t="s">
        <v>839</v>
      </c>
      <c r="Y346" s="176">
        <v>22.9</v>
      </c>
      <c r="Z346" s="198">
        <f t="shared" si="78"/>
        <v>3435</v>
      </c>
      <c r="AA346" s="198">
        <f t="shared" si="79"/>
        <v>26621.25</v>
      </c>
      <c r="AB346" s="194" t="s">
        <v>887</v>
      </c>
      <c r="AC346" s="150"/>
      <c r="AD346" s="150"/>
      <c r="AE346" s="150" t="str">
        <f>IFERROR(VLOOKUP(H346,名称!A:D,4,0),"")</f>
        <v>KIK</v>
      </c>
      <c r="AF346" s="174"/>
      <c r="AG346" s="174"/>
      <c r="AH346" s="178">
        <v>46146</v>
      </c>
      <c r="AI346" s="178">
        <v>46171</v>
      </c>
      <c r="AJ346" s="178"/>
      <c r="AK346" s="178">
        <v>46146</v>
      </c>
      <c r="AL346" s="178">
        <v>46140</v>
      </c>
      <c r="AM346" s="178"/>
      <c r="AN346" s="178"/>
      <c r="AO346" s="143">
        <f t="shared" si="74"/>
        <v>62</v>
      </c>
      <c r="AP346" s="143">
        <f t="shared" si="75"/>
        <v>30</v>
      </c>
    </row>
    <row r="347" s="89" customFormat="1" hidden="1" customHeight="1" spans="1:42">
      <c r="A347" s="150">
        <v>46114</v>
      </c>
      <c r="B347" s="150" t="str">
        <f ca="1" t="shared" si="67"/>
        <v/>
      </c>
      <c r="C347" s="171" t="s">
        <v>237</v>
      </c>
      <c r="D347" s="150" t="s">
        <v>838</v>
      </c>
      <c r="E347" s="171" t="s">
        <v>438</v>
      </c>
      <c r="F347" s="172">
        <v>10124073</v>
      </c>
      <c r="G347" s="172" t="s">
        <v>272</v>
      </c>
      <c r="H347" s="173">
        <v>47669</v>
      </c>
      <c r="I347" s="174" t="str">
        <f>IFERROR(VLOOKUP(H347,名称!A:C,2,0),"")</f>
        <v>动物车</v>
      </c>
      <c r="J347" s="175">
        <v>344</v>
      </c>
      <c r="K347" s="174">
        <f>IFERROR(VLOOKUP(H347,名称!A:D,3,0),"")</f>
        <v>4</v>
      </c>
      <c r="L347" s="143">
        <f t="shared" si="68"/>
        <v>86</v>
      </c>
      <c r="M347" s="150">
        <v>46176</v>
      </c>
      <c r="N347" s="150">
        <f t="shared" si="69"/>
        <v>46174</v>
      </c>
      <c r="O347" s="147">
        <v>46182</v>
      </c>
      <c r="P347" s="150" t="s">
        <v>435</v>
      </c>
      <c r="Q347" s="173" t="s">
        <v>777</v>
      </c>
      <c r="R347" s="148" t="s">
        <v>826</v>
      </c>
      <c r="S347" s="150"/>
      <c r="T347" s="150" t="s">
        <v>452</v>
      </c>
      <c r="U347" s="150"/>
      <c r="V347" s="150"/>
      <c r="W347" s="173"/>
      <c r="X347" s="143" t="s">
        <v>839</v>
      </c>
      <c r="Y347" s="176">
        <v>4.808</v>
      </c>
      <c r="Z347" s="198">
        <f t="shared" si="78"/>
        <v>1653.95</v>
      </c>
      <c r="AA347" s="198">
        <f t="shared" si="79"/>
        <v>12818.11</v>
      </c>
      <c r="AB347" s="194" t="s">
        <v>887</v>
      </c>
      <c r="AC347" s="174"/>
      <c r="AD347" s="178"/>
      <c r="AE347" s="150" t="s">
        <v>12</v>
      </c>
      <c r="AF347" s="178">
        <v>46115</v>
      </c>
      <c r="AG347" s="178"/>
      <c r="AH347" s="178">
        <v>46115</v>
      </c>
      <c r="AI347" s="178">
        <v>46135</v>
      </c>
      <c r="AJ347" s="178"/>
      <c r="AK347" s="178" t="s">
        <v>420</v>
      </c>
      <c r="AL347" s="178" t="s">
        <v>420</v>
      </c>
      <c r="AM347" s="143"/>
      <c r="AN347" s="180"/>
      <c r="AO347" s="143">
        <f t="shared" si="74"/>
        <v>62</v>
      </c>
      <c r="AP347" s="143">
        <f t="shared" si="75"/>
        <v>61</v>
      </c>
    </row>
    <row r="348" s="89" customFormat="1" hidden="1" customHeight="1" spans="1:42">
      <c r="A348" s="150">
        <v>46120</v>
      </c>
      <c r="B348" s="150" t="str">
        <f ca="1" t="shared" si="67"/>
        <v/>
      </c>
      <c r="C348" s="171" t="s">
        <v>237</v>
      </c>
      <c r="D348" s="150" t="s">
        <v>838</v>
      </c>
      <c r="E348" s="171" t="s">
        <v>438</v>
      </c>
      <c r="F348" s="172">
        <v>10124242</v>
      </c>
      <c r="G348" s="172" t="s">
        <v>285</v>
      </c>
      <c r="H348" s="173" t="s">
        <v>111</v>
      </c>
      <c r="I348" s="174" t="str">
        <f>IFERROR(VLOOKUP(H348,名称!A:C,2,0),"")</f>
        <v>黄色铲车</v>
      </c>
      <c r="J348" s="175">
        <v>260</v>
      </c>
      <c r="K348" s="174">
        <f>IFERROR(VLOOKUP(H348,名称!A:D,3,0),"")</f>
        <v>4</v>
      </c>
      <c r="L348" s="143">
        <f t="shared" si="68"/>
        <v>65</v>
      </c>
      <c r="M348" s="150">
        <v>46176</v>
      </c>
      <c r="N348" s="150">
        <f t="shared" si="69"/>
        <v>46174</v>
      </c>
      <c r="O348" s="150">
        <v>46175</v>
      </c>
      <c r="P348" s="150" t="s">
        <v>435</v>
      </c>
      <c r="Q348" s="173" t="s">
        <v>777</v>
      </c>
      <c r="R348" s="148" t="s">
        <v>826</v>
      </c>
      <c r="S348" s="150"/>
      <c r="T348" s="150" t="s">
        <v>452</v>
      </c>
      <c r="U348" s="150"/>
      <c r="V348" s="150"/>
      <c r="W348" s="173"/>
      <c r="X348" s="143" t="s">
        <v>839</v>
      </c>
      <c r="Y348" s="176">
        <v>3.816</v>
      </c>
      <c r="Z348" s="198">
        <f t="shared" si="78"/>
        <v>992.16</v>
      </c>
      <c r="AA348" s="198">
        <f t="shared" si="79"/>
        <v>7689.24</v>
      </c>
      <c r="AB348" s="194" t="s">
        <v>888</v>
      </c>
      <c r="AC348" s="150"/>
      <c r="AD348" s="150"/>
      <c r="AE348" s="150" t="str">
        <f>IFERROR(VLOOKUP(H348,名称!A:D,4,0),"")</f>
        <v>KIK</v>
      </c>
      <c r="AF348" s="174"/>
      <c r="AG348" s="174"/>
      <c r="AH348" s="178">
        <v>46134</v>
      </c>
      <c r="AI348" s="178" t="s">
        <v>420</v>
      </c>
      <c r="AJ348" s="178"/>
      <c r="AK348" s="199">
        <v>46134</v>
      </c>
      <c r="AL348" s="178">
        <v>46134</v>
      </c>
      <c r="AM348" s="178"/>
      <c r="AN348" s="178"/>
      <c r="AO348" s="143">
        <f t="shared" si="74"/>
        <v>56</v>
      </c>
      <c r="AP348" s="143">
        <f t="shared" si="75"/>
        <v>42</v>
      </c>
    </row>
    <row r="349" s="89" customFormat="1" hidden="1" customHeight="1" spans="1:42">
      <c r="A349" s="150">
        <v>46120</v>
      </c>
      <c r="B349" s="150" t="str">
        <f ca="1" t="shared" si="67"/>
        <v/>
      </c>
      <c r="C349" s="171" t="s">
        <v>237</v>
      </c>
      <c r="D349" s="150" t="s">
        <v>838</v>
      </c>
      <c r="E349" s="171" t="s">
        <v>438</v>
      </c>
      <c r="F349" s="172">
        <v>10124242</v>
      </c>
      <c r="G349" s="172" t="s">
        <v>285</v>
      </c>
      <c r="H349" s="173" t="s">
        <v>109</v>
      </c>
      <c r="I349" s="174" t="str">
        <f>IFERROR(VLOOKUP(H349,名称!A:C,2,0),"")</f>
        <v>红色铲车</v>
      </c>
      <c r="J349" s="175">
        <v>104</v>
      </c>
      <c r="K349" s="174">
        <f>IFERROR(VLOOKUP(H349,名称!A:D,3,0),"")</f>
        <v>4</v>
      </c>
      <c r="L349" s="143">
        <f t="shared" si="68"/>
        <v>26</v>
      </c>
      <c r="M349" s="150">
        <v>46176</v>
      </c>
      <c r="N349" s="150">
        <f t="shared" si="69"/>
        <v>46174</v>
      </c>
      <c r="O349" s="150">
        <v>46175</v>
      </c>
      <c r="P349" s="150" t="s">
        <v>435</v>
      </c>
      <c r="Q349" s="173" t="s">
        <v>777</v>
      </c>
      <c r="R349" s="148" t="s">
        <v>431</v>
      </c>
      <c r="S349" s="150"/>
      <c r="T349" s="150"/>
      <c r="U349" s="150"/>
      <c r="V349" s="150"/>
      <c r="W349" s="173"/>
      <c r="X349" s="143" t="s">
        <v>839</v>
      </c>
      <c r="Y349" s="176">
        <v>3.886</v>
      </c>
      <c r="Z349" s="198">
        <f t="shared" si="78"/>
        <v>404.14</v>
      </c>
      <c r="AA349" s="198">
        <f t="shared" si="79"/>
        <v>3132.09</v>
      </c>
      <c r="AB349" s="194" t="s">
        <v>888</v>
      </c>
      <c r="AC349" s="150"/>
      <c r="AD349" s="150"/>
      <c r="AE349" s="150" t="str">
        <f>IFERROR(VLOOKUP(H349,名称!A:D,4,0),"")</f>
        <v>KIK</v>
      </c>
      <c r="AF349" s="174"/>
      <c r="AG349" s="174"/>
      <c r="AH349" s="178">
        <v>46128</v>
      </c>
      <c r="AI349" s="178" t="s">
        <v>420</v>
      </c>
      <c r="AJ349" s="178"/>
      <c r="AK349" s="199">
        <v>46135</v>
      </c>
      <c r="AL349" s="178">
        <v>46128</v>
      </c>
      <c r="AM349" s="178"/>
      <c r="AN349" s="178"/>
      <c r="AO349" s="143">
        <f t="shared" si="74"/>
        <v>56</v>
      </c>
      <c r="AP349" s="143">
        <f t="shared" si="75"/>
        <v>48</v>
      </c>
    </row>
    <row r="350" s="89" customFormat="1" hidden="1" customHeight="1" spans="1:42">
      <c r="A350" s="150">
        <v>46120</v>
      </c>
      <c r="B350" s="150" t="str">
        <f ca="1" t="shared" si="67"/>
        <v/>
      </c>
      <c r="C350" s="171" t="s">
        <v>237</v>
      </c>
      <c r="D350" s="150" t="s">
        <v>838</v>
      </c>
      <c r="E350" s="171" t="s">
        <v>438</v>
      </c>
      <c r="F350" s="172">
        <v>10124242</v>
      </c>
      <c r="G350" s="172" t="s">
        <v>285</v>
      </c>
      <c r="H350" s="173" t="s">
        <v>158</v>
      </c>
      <c r="I350" s="174" t="str">
        <f>IFERROR(VLOOKUP(H350,名称!A:C,2,0),"")</f>
        <v>JD LNS圆轮拖拉机</v>
      </c>
      <c r="J350" s="175">
        <v>50</v>
      </c>
      <c r="K350" s="174">
        <f>IFERROR(VLOOKUP(H350,名称!A:D,3,0),"")</f>
        <v>2</v>
      </c>
      <c r="L350" s="143">
        <f t="shared" si="68"/>
        <v>25</v>
      </c>
      <c r="M350" s="150">
        <v>46176</v>
      </c>
      <c r="N350" s="150">
        <f t="shared" si="69"/>
        <v>46174</v>
      </c>
      <c r="O350" s="150">
        <v>46178</v>
      </c>
      <c r="P350" s="150" t="s">
        <v>435</v>
      </c>
      <c r="Q350" s="173" t="s">
        <v>777</v>
      </c>
      <c r="R350" s="148" t="s">
        <v>418</v>
      </c>
      <c r="S350" s="150"/>
      <c r="T350" s="150" t="s">
        <v>452</v>
      </c>
      <c r="U350" s="150"/>
      <c r="V350" s="150"/>
      <c r="W350" s="173"/>
      <c r="X350" s="143" t="s">
        <v>839</v>
      </c>
      <c r="Y350" s="176">
        <v>4.792</v>
      </c>
      <c r="Z350" s="198">
        <f t="shared" si="78"/>
        <v>239.6</v>
      </c>
      <c r="AA350" s="198">
        <f t="shared" si="79"/>
        <v>1856.9</v>
      </c>
      <c r="AB350" s="194" t="s">
        <v>888</v>
      </c>
      <c r="AC350" s="150"/>
      <c r="AD350" s="150"/>
      <c r="AE350" s="150" t="str">
        <f>IFERROR(VLOOKUP(H350,名称!A:D,4,0),"")</f>
        <v>KIK</v>
      </c>
      <c r="AF350" s="174"/>
      <c r="AG350" s="174"/>
      <c r="AH350" s="178">
        <v>46115</v>
      </c>
      <c r="AI350" s="178" t="s">
        <v>420</v>
      </c>
      <c r="AJ350" s="178"/>
      <c r="AK350" s="178" t="s">
        <v>453</v>
      </c>
      <c r="AL350" s="178">
        <v>46128</v>
      </c>
      <c r="AM350" s="178"/>
      <c r="AN350" s="178"/>
      <c r="AO350" s="143">
        <f t="shared" si="74"/>
        <v>56</v>
      </c>
      <c r="AP350" s="143">
        <f t="shared" si="75"/>
        <v>61</v>
      </c>
    </row>
    <row r="351" s="89" customFormat="1" hidden="1" customHeight="1" spans="1:42">
      <c r="A351" s="150">
        <v>46120</v>
      </c>
      <c r="B351" s="150" t="str">
        <f ca="1" t="shared" si="67"/>
        <v/>
      </c>
      <c r="C351" s="171" t="s">
        <v>237</v>
      </c>
      <c r="D351" s="150" t="s">
        <v>838</v>
      </c>
      <c r="E351" s="171" t="s">
        <v>438</v>
      </c>
      <c r="F351" s="172">
        <v>10124242</v>
      </c>
      <c r="G351" s="172" t="s">
        <v>285</v>
      </c>
      <c r="H351" s="173" t="s">
        <v>35</v>
      </c>
      <c r="I351" s="174" t="str">
        <f>IFERROR(VLOOKUP(H351,名称!A:C,2,0),"")</f>
        <v>1:16拖车厢</v>
      </c>
      <c r="J351" s="175">
        <v>64</v>
      </c>
      <c r="K351" s="174">
        <f>IFERROR(VLOOKUP(H351,名称!A:D,3,0),"")</f>
        <v>2</v>
      </c>
      <c r="L351" s="143">
        <f t="shared" si="68"/>
        <v>32</v>
      </c>
      <c r="M351" s="150">
        <v>46176</v>
      </c>
      <c r="N351" s="150">
        <f t="shared" si="69"/>
        <v>46174</v>
      </c>
      <c r="O351" s="150">
        <v>46178</v>
      </c>
      <c r="P351" s="150" t="s">
        <v>435</v>
      </c>
      <c r="Q351" s="173" t="s">
        <v>777</v>
      </c>
      <c r="R351" s="148" t="s">
        <v>826</v>
      </c>
      <c r="S351" s="150"/>
      <c r="T351" s="150"/>
      <c r="U351" s="150"/>
      <c r="V351" s="150"/>
      <c r="W351" s="173"/>
      <c r="X351" s="143" t="s">
        <v>839</v>
      </c>
      <c r="Y351" s="176">
        <v>22.9</v>
      </c>
      <c r="Z351" s="198">
        <f t="shared" si="78"/>
        <v>1465.6</v>
      </c>
      <c r="AA351" s="198">
        <f t="shared" si="79"/>
        <v>11358.4</v>
      </c>
      <c r="AB351" s="194" t="s">
        <v>888</v>
      </c>
      <c r="AC351" s="150"/>
      <c r="AD351" s="150"/>
      <c r="AE351" s="150" t="str">
        <f>IFERROR(VLOOKUP(H351,名称!A:D,4,0),"")</f>
        <v>KIK</v>
      </c>
      <c r="AF351" s="174"/>
      <c r="AG351" s="174"/>
      <c r="AH351" s="178">
        <v>46146</v>
      </c>
      <c r="AI351" s="178">
        <v>46171</v>
      </c>
      <c r="AJ351" s="178"/>
      <c r="AK351" s="178">
        <v>46146</v>
      </c>
      <c r="AL351" s="178">
        <v>46140</v>
      </c>
      <c r="AM351" s="178"/>
      <c r="AN351" s="178"/>
      <c r="AO351" s="143">
        <f t="shared" si="74"/>
        <v>56</v>
      </c>
      <c r="AP351" s="143">
        <f t="shared" si="75"/>
        <v>30</v>
      </c>
    </row>
    <row r="352" s="89" customFormat="1" hidden="1" customHeight="1" spans="1:42">
      <c r="A352" s="150">
        <v>46120</v>
      </c>
      <c r="B352" s="150" t="str">
        <f ca="1" t="shared" si="67"/>
        <v/>
      </c>
      <c r="C352" s="171" t="s">
        <v>237</v>
      </c>
      <c r="D352" s="150" t="s">
        <v>838</v>
      </c>
      <c r="E352" s="171" t="s">
        <v>438</v>
      </c>
      <c r="F352" s="172">
        <v>10124242</v>
      </c>
      <c r="G352" s="172" t="s">
        <v>285</v>
      </c>
      <c r="H352" s="173" t="s">
        <v>39</v>
      </c>
      <c r="I352" s="174" t="str">
        <f>IFERROR(VLOOKUP(H352,名称!A:C,2,0),"")</f>
        <v>1:16货柜车</v>
      </c>
      <c r="J352" s="175">
        <v>32</v>
      </c>
      <c r="K352" s="174">
        <f>IFERROR(VLOOKUP(H352,名称!A:D,3,0),"")</f>
        <v>2</v>
      </c>
      <c r="L352" s="143">
        <f t="shared" si="68"/>
        <v>16</v>
      </c>
      <c r="M352" s="150">
        <v>46183</v>
      </c>
      <c r="N352" s="150">
        <f t="shared" si="69"/>
        <v>46181</v>
      </c>
      <c r="O352" s="150">
        <v>46197</v>
      </c>
      <c r="P352" s="150" t="s">
        <v>435</v>
      </c>
      <c r="Q352" s="173" t="s">
        <v>777</v>
      </c>
      <c r="R352" s="148" t="s">
        <v>889</v>
      </c>
      <c r="S352" s="150"/>
      <c r="T352" s="150"/>
      <c r="U352" s="150"/>
      <c r="V352" s="150"/>
      <c r="W352" s="173"/>
      <c r="X352" s="143" t="s">
        <v>839</v>
      </c>
      <c r="Y352" s="176">
        <v>30.536</v>
      </c>
      <c r="Z352" s="198">
        <f t="shared" si="78"/>
        <v>977.15</v>
      </c>
      <c r="AA352" s="198">
        <f t="shared" si="79"/>
        <v>7572.91</v>
      </c>
      <c r="AB352" s="194" t="s">
        <v>888</v>
      </c>
      <c r="AC352" s="150"/>
      <c r="AD352" s="150"/>
      <c r="AE352" s="150" t="str">
        <f>IFERROR(VLOOKUP(H352,名称!A:D,4,0),"")</f>
        <v>KIK</v>
      </c>
      <c r="AF352" s="174"/>
      <c r="AG352" s="174"/>
      <c r="AH352" s="178">
        <v>46129</v>
      </c>
      <c r="AI352" s="178">
        <v>46163</v>
      </c>
      <c r="AJ352" s="178"/>
      <c r="AK352" s="178">
        <v>46146</v>
      </c>
      <c r="AL352" s="178">
        <v>46140</v>
      </c>
      <c r="AM352" s="178"/>
      <c r="AN352" s="178"/>
      <c r="AO352" s="143">
        <f t="shared" si="74"/>
        <v>63</v>
      </c>
      <c r="AP352" s="143">
        <f t="shared" si="75"/>
        <v>54</v>
      </c>
    </row>
    <row r="353" s="89" customFormat="1" hidden="1" customHeight="1" spans="1:42">
      <c r="A353" s="150">
        <v>46120</v>
      </c>
      <c r="B353" s="150" t="str">
        <f ca="1" t="shared" si="67"/>
        <v/>
      </c>
      <c r="C353" s="171" t="s">
        <v>237</v>
      </c>
      <c r="D353" s="150" t="s">
        <v>838</v>
      </c>
      <c r="E353" s="171" t="s">
        <v>438</v>
      </c>
      <c r="F353" s="172">
        <v>10124242</v>
      </c>
      <c r="G353" s="172" t="s">
        <v>285</v>
      </c>
      <c r="H353" s="173" t="s">
        <v>118</v>
      </c>
      <c r="I353" s="174" t="str">
        <f>IFERROR(VLOOKUP(H353,名称!A:C,2,0),"")</f>
        <v>滑板拖车</v>
      </c>
      <c r="J353" s="175">
        <v>156</v>
      </c>
      <c r="K353" s="174">
        <f>IFERROR(VLOOKUP(H353,名称!A:D,3,0),"")</f>
        <v>4</v>
      </c>
      <c r="L353" s="143">
        <f t="shared" si="68"/>
        <v>39</v>
      </c>
      <c r="M353" s="150">
        <v>46190</v>
      </c>
      <c r="N353" s="150">
        <f t="shared" si="69"/>
        <v>46188</v>
      </c>
      <c r="O353" s="150">
        <v>46195</v>
      </c>
      <c r="P353" s="150" t="s">
        <v>435</v>
      </c>
      <c r="Q353" s="173" t="s">
        <v>777</v>
      </c>
      <c r="R353" s="148" t="s">
        <v>779</v>
      </c>
      <c r="S353" s="150"/>
      <c r="T353" s="150" t="s">
        <v>505</v>
      </c>
      <c r="U353" s="150"/>
      <c r="V353" s="150"/>
      <c r="W353" s="173"/>
      <c r="X353" s="143" t="s">
        <v>873</v>
      </c>
      <c r="Y353" s="176">
        <v>16.71</v>
      </c>
      <c r="Z353" s="198">
        <f t="shared" si="78"/>
        <v>2606.76</v>
      </c>
      <c r="AA353" s="198">
        <f t="shared" si="79"/>
        <v>20202.39</v>
      </c>
      <c r="AB353" s="194" t="s">
        <v>888</v>
      </c>
      <c r="AC353" s="174"/>
      <c r="AD353" s="178"/>
      <c r="AE353" s="150" t="str">
        <f>IFERROR(VLOOKUP(H353,名称!A:D,4,0),"")</f>
        <v>KIK</v>
      </c>
      <c r="AF353" s="178"/>
      <c r="AG353" s="178"/>
      <c r="AH353" s="178">
        <v>46134</v>
      </c>
      <c r="AI353" s="178" t="s">
        <v>420</v>
      </c>
      <c r="AJ353" s="178"/>
      <c r="AK353" s="178">
        <v>46135</v>
      </c>
      <c r="AL353" s="178">
        <v>46134</v>
      </c>
      <c r="AM353" s="178"/>
      <c r="AN353" s="180"/>
      <c r="AO353" s="143">
        <f t="shared" si="74"/>
        <v>70</v>
      </c>
      <c r="AP353" s="143">
        <f t="shared" si="75"/>
        <v>56</v>
      </c>
    </row>
    <row r="354" s="118" customFormat="1" hidden="1" customHeight="1" spans="1:42">
      <c r="A354" s="150">
        <v>46120</v>
      </c>
      <c r="B354" s="150" t="str">
        <f ca="1" t="shared" si="67"/>
        <v/>
      </c>
      <c r="C354" s="171" t="s">
        <v>237</v>
      </c>
      <c r="D354" s="150" t="s">
        <v>838</v>
      </c>
      <c r="E354" s="171" t="s">
        <v>438</v>
      </c>
      <c r="F354" s="172">
        <v>10124242</v>
      </c>
      <c r="G354" s="172" t="s">
        <v>285</v>
      </c>
      <c r="H354" s="173" t="s">
        <v>29</v>
      </c>
      <c r="I354" s="174" t="str">
        <f>IFERROR(VLOOKUP(H354,名称!A:C,2,0),"")</f>
        <v>木材运输车</v>
      </c>
      <c r="J354" s="175">
        <v>44</v>
      </c>
      <c r="K354" s="174">
        <f>IFERROR(VLOOKUP(H354,名称!A:D,3,0),"")</f>
        <v>4</v>
      </c>
      <c r="L354" s="143">
        <f t="shared" si="68"/>
        <v>11</v>
      </c>
      <c r="M354" s="150">
        <v>46197</v>
      </c>
      <c r="N354" s="150">
        <f t="shared" si="69"/>
        <v>46195</v>
      </c>
      <c r="O354" s="150">
        <v>46197</v>
      </c>
      <c r="P354" s="150" t="s">
        <v>435</v>
      </c>
      <c r="Q354" s="173" t="s">
        <v>777</v>
      </c>
      <c r="R354" s="148" t="s">
        <v>826</v>
      </c>
      <c r="S354" s="150"/>
      <c r="T354" s="150"/>
      <c r="U354" s="150"/>
      <c r="V354" s="150"/>
      <c r="W354" s="173"/>
      <c r="X354" s="143" t="s">
        <v>839</v>
      </c>
      <c r="Y354" s="176">
        <v>21.801</v>
      </c>
      <c r="Z354" s="198">
        <f t="shared" si="78"/>
        <v>959.24</v>
      </c>
      <c r="AA354" s="198">
        <f t="shared" si="79"/>
        <v>7434.11</v>
      </c>
      <c r="AB354" s="194" t="s">
        <v>888</v>
      </c>
      <c r="AC354" s="150"/>
      <c r="AD354" s="150"/>
      <c r="AE354" s="150" t="str">
        <f>IFERROR(VLOOKUP(H354,名称!A:D,4,0),"")</f>
        <v>KIK</v>
      </c>
      <c r="AF354" s="174"/>
      <c r="AG354" s="174"/>
      <c r="AH354" s="178">
        <v>46139</v>
      </c>
      <c r="AI354" s="178" t="s">
        <v>828</v>
      </c>
      <c r="AJ354" s="178"/>
      <c r="AK354" s="178">
        <v>46156</v>
      </c>
      <c r="AL354" s="178">
        <v>46140</v>
      </c>
      <c r="AM354" s="178"/>
      <c r="AN354" s="178"/>
      <c r="AO354" s="143">
        <f t="shared" si="74"/>
        <v>77</v>
      </c>
      <c r="AP354" s="143">
        <f t="shared" si="75"/>
        <v>58</v>
      </c>
    </row>
    <row r="355" s="89" customFormat="1" hidden="1" customHeight="1" spans="1:42">
      <c r="A355" s="150">
        <v>46120</v>
      </c>
      <c r="B355" s="150" t="str">
        <f ca="1" t="shared" si="67"/>
        <v/>
      </c>
      <c r="C355" s="171" t="s">
        <v>237</v>
      </c>
      <c r="D355" s="150" t="s">
        <v>838</v>
      </c>
      <c r="E355" s="171" t="s">
        <v>438</v>
      </c>
      <c r="F355" s="172">
        <v>10124243</v>
      </c>
      <c r="G355" s="172" t="s">
        <v>281</v>
      </c>
      <c r="H355" s="173" t="s">
        <v>111</v>
      </c>
      <c r="I355" s="174" t="str">
        <f>IFERROR(VLOOKUP(H355,名称!A:C,2,0),"")</f>
        <v>黄色铲车</v>
      </c>
      <c r="J355" s="175">
        <v>328</v>
      </c>
      <c r="K355" s="174">
        <f>IFERROR(VLOOKUP(H355,名称!A:D,3,0),"")</f>
        <v>4</v>
      </c>
      <c r="L355" s="143">
        <f t="shared" si="68"/>
        <v>82</v>
      </c>
      <c r="M355" s="150">
        <v>46176</v>
      </c>
      <c r="N355" s="150">
        <f t="shared" si="69"/>
        <v>46174</v>
      </c>
      <c r="O355" s="150">
        <v>46177</v>
      </c>
      <c r="P355" s="150" t="s">
        <v>435</v>
      </c>
      <c r="Q355" s="173" t="s">
        <v>777</v>
      </c>
      <c r="R355" s="148" t="s">
        <v>771</v>
      </c>
      <c r="S355" s="150"/>
      <c r="T355" s="150" t="s">
        <v>452</v>
      </c>
      <c r="U355" s="150"/>
      <c r="V355" s="150"/>
      <c r="W355" s="173"/>
      <c r="X355" s="143" t="s">
        <v>839</v>
      </c>
      <c r="Y355" s="176">
        <v>3.816</v>
      </c>
      <c r="Z355" s="198">
        <f t="shared" si="78"/>
        <v>1251.65</v>
      </c>
      <c r="AA355" s="198">
        <f t="shared" si="79"/>
        <v>9700.29</v>
      </c>
      <c r="AB355" s="194" t="s">
        <v>890</v>
      </c>
      <c r="AC355" s="150"/>
      <c r="AD355" s="150"/>
      <c r="AE355" s="150" t="str">
        <f>IFERROR(VLOOKUP(H355,名称!A:D,4,0),"")</f>
        <v>KIK</v>
      </c>
      <c r="AF355" s="174"/>
      <c r="AG355" s="174"/>
      <c r="AH355" s="178">
        <v>46134</v>
      </c>
      <c r="AI355" s="178" t="s">
        <v>420</v>
      </c>
      <c r="AJ355" s="178"/>
      <c r="AK355" s="199">
        <v>46134</v>
      </c>
      <c r="AL355" s="178">
        <v>46134</v>
      </c>
      <c r="AM355" s="178"/>
      <c r="AN355" s="178"/>
      <c r="AO355" s="143">
        <f t="shared" si="74"/>
        <v>56</v>
      </c>
      <c r="AP355" s="143">
        <f t="shared" si="75"/>
        <v>42</v>
      </c>
    </row>
    <row r="356" s="89" customFormat="1" hidden="1" customHeight="1" spans="1:42">
      <c r="A356" s="150">
        <v>46120</v>
      </c>
      <c r="B356" s="150" t="str">
        <f ca="1" t="shared" si="67"/>
        <v/>
      </c>
      <c r="C356" s="171" t="s">
        <v>237</v>
      </c>
      <c r="D356" s="150" t="s">
        <v>838</v>
      </c>
      <c r="E356" s="171" t="s">
        <v>438</v>
      </c>
      <c r="F356" s="172">
        <v>10124243</v>
      </c>
      <c r="G356" s="172" t="s">
        <v>281</v>
      </c>
      <c r="H356" s="173" t="s">
        <v>109</v>
      </c>
      <c r="I356" s="174" t="str">
        <f>IFERROR(VLOOKUP(H356,名称!A:C,2,0),"")</f>
        <v>红色铲车</v>
      </c>
      <c r="J356" s="175">
        <v>104</v>
      </c>
      <c r="K356" s="174">
        <f>IFERROR(VLOOKUP(H356,名称!A:D,3,0),"")</f>
        <v>4</v>
      </c>
      <c r="L356" s="143">
        <f t="shared" si="68"/>
        <v>26</v>
      </c>
      <c r="M356" s="150">
        <v>46176</v>
      </c>
      <c r="N356" s="150">
        <f t="shared" si="69"/>
        <v>46174</v>
      </c>
      <c r="O356" s="150">
        <v>46175</v>
      </c>
      <c r="P356" s="150" t="s">
        <v>435</v>
      </c>
      <c r="Q356" s="173" t="s">
        <v>777</v>
      </c>
      <c r="R356" s="148" t="s">
        <v>826</v>
      </c>
      <c r="S356" s="150"/>
      <c r="T356" s="150"/>
      <c r="U356" s="150"/>
      <c r="V356" s="150"/>
      <c r="W356" s="173"/>
      <c r="X356" s="143" t="s">
        <v>839</v>
      </c>
      <c r="Y356" s="176">
        <v>3.886</v>
      </c>
      <c r="Z356" s="198">
        <f t="shared" si="78"/>
        <v>404.14</v>
      </c>
      <c r="AA356" s="198">
        <f t="shared" si="79"/>
        <v>3132.09</v>
      </c>
      <c r="AB356" s="194" t="s">
        <v>890</v>
      </c>
      <c r="AC356" s="150"/>
      <c r="AD356" s="150"/>
      <c r="AE356" s="150" t="str">
        <f>IFERROR(VLOOKUP(H356,名称!A:D,4,0),"")</f>
        <v>KIK</v>
      </c>
      <c r="AF356" s="174"/>
      <c r="AG356" s="174"/>
      <c r="AH356" s="178">
        <v>46128</v>
      </c>
      <c r="AI356" s="178" t="s">
        <v>420</v>
      </c>
      <c r="AJ356" s="178"/>
      <c r="AK356" s="199">
        <v>46135</v>
      </c>
      <c r="AL356" s="178">
        <v>46128</v>
      </c>
      <c r="AM356" s="178"/>
      <c r="AN356" s="178"/>
      <c r="AO356" s="143">
        <f t="shared" si="74"/>
        <v>56</v>
      </c>
      <c r="AP356" s="143">
        <f t="shared" si="75"/>
        <v>48</v>
      </c>
    </row>
    <row r="357" s="89" customFormat="1" hidden="1" customHeight="1" spans="1:42">
      <c r="A357" s="150">
        <v>46120</v>
      </c>
      <c r="B357" s="150" t="str">
        <f ca="1" t="shared" si="67"/>
        <v/>
      </c>
      <c r="C357" s="171" t="s">
        <v>237</v>
      </c>
      <c r="D357" s="150" t="s">
        <v>838</v>
      </c>
      <c r="E357" s="171" t="s">
        <v>438</v>
      </c>
      <c r="F357" s="172">
        <v>10124243</v>
      </c>
      <c r="G357" s="172" t="s">
        <v>281</v>
      </c>
      <c r="H357" s="173" t="s">
        <v>158</v>
      </c>
      <c r="I357" s="174" t="str">
        <f>IFERROR(VLOOKUP(H357,名称!A:C,2,0),"")</f>
        <v>JD LNS圆轮拖拉机</v>
      </c>
      <c r="J357" s="175">
        <v>244</v>
      </c>
      <c r="K357" s="174">
        <f>IFERROR(VLOOKUP(H357,名称!A:D,3,0),"")</f>
        <v>2</v>
      </c>
      <c r="L357" s="143">
        <f t="shared" si="68"/>
        <v>122</v>
      </c>
      <c r="M357" s="150">
        <v>46176</v>
      </c>
      <c r="N357" s="150">
        <f t="shared" si="69"/>
        <v>46174</v>
      </c>
      <c r="O357" s="147">
        <v>46177</v>
      </c>
      <c r="P357" s="150" t="s">
        <v>435</v>
      </c>
      <c r="Q357" s="173" t="s">
        <v>777</v>
      </c>
      <c r="R357" s="148" t="s">
        <v>431</v>
      </c>
      <c r="S357" s="150"/>
      <c r="T357" s="150" t="s">
        <v>452</v>
      </c>
      <c r="U357" s="150"/>
      <c r="V357" s="150"/>
      <c r="W357" s="173"/>
      <c r="X357" s="143" t="s">
        <v>839</v>
      </c>
      <c r="Y357" s="176">
        <v>5.225</v>
      </c>
      <c r="Z357" s="198">
        <f t="shared" si="78"/>
        <v>1274.9</v>
      </c>
      <c r="AA357" s="198">
        <f t="shared" si="79"/>
        <v>9880.48</v>
      </c>
      <c r="AB357" s="194" t="s">
        <v>890</v>
      </c>
      <c r="AC357" s="150"/>
      <c r="AD357" s="150"/>
      <c r="AE357" s="150" t="str">
        <f>IFERROR(VLOOKUP(H357,名称!A:D,4,0),"")</f>
        <v>KIK</v>
      </c>
      <c r="AF357" s="174"/>
      <c r="AG357" s="174"/>
      <c r="AH357" s="178">
        <v>46115</v>
      </c>
      <c r="AI357" s="178" t="s">
        <v>420</v>
      </c>
      <c r="AJ357" s="178"/>
      <c r="AK357" s="178" t="s">
        <v>453</v>
      </c>
      <c r="AL357" s="178">
        <v>46128</v>
      </c>
      <c r="AM357" s="178"/>
      <c r="AN357" s="178"/>
      <c r="AO357" s="143">
        <f t="shared" si="74"/>
        <v>56</v>
      </c>
      <c r="AP357" s="143">
        <f t="shared" si="75"/>
        <v>61</v>
      </c>
    </row>
    <row r="358" s="89" customFormat="1" hidden="1" customHeight="1" spans="1:42">
      <c r="A358" s="150">
        <v>46120</v>
      </c>
      <c r="B358" s="150" t="str">
        <f ca="1" t="shared" si="67"/>
        <v/>
      </c>
      <c r="C358" s="171" t="s">
        <v>237</v>
      </c>
      <c r="D358" s="150" t="s">
        <v>838</v>
      </c>
      <c r="E358" s="171" t="s">
        <v>438</v>
      </c>
      <c r="F358" s="172">
        <v>10124243</v>
      </c>
      <c r="G358" s="172" t="s">
        <v>281</v>
      </c>
      <c r="H358" s="173" t="s">
        <v>35</v>
      </c>
      <c r="I358" s="174" t="str">
        <f>IFERROR(VLOOKUP(H358,名称!A:C,2,0),"")</f>
        <v>1:16拖车厢</v>
      </c>
      <c r="J358" s="175">
        <v>70</v>
      </c>
      <c r="K358" s="174">
        <f>IFERROR(VLOOKUP(H358,名称!A:D,3,0),"")</f>
        <v>2</v>
      </c>
      <c r="L358" s="143">
        <f t="shared" si="68"/>
        <v>35</v>
      </c>
      <c r="M358" s="150">
        <v>46176</v>
      </c>
      <c r="N358" s="150">
        <f t="shared" si="69"/>
        <v>46174</v>
      </c>
      <c r="O358" s="150">
        <v>46176</v>
      </c>
      <c r="P358" s="150" t="s">
        <v>435</v>
      </c>
      <c r="Q358" s="173" t="s">
        <v>777</v>
      </c>
      <c r="R358" s="148" t="s">
        <v>826</v>
      </c>
      <c r="S358" s="150"/>
      <c r="T358" s="150"/>
      <c r="U358" s="150"/>
      <c r="V358" s="150"/>
      <c r="W358" s="173"/>
      <c r="X358" s="143" t="s">
        <v>839</v>
      </c>
      <c r="Y358" s="176">
        <v>22.9</v>
      </c>
      <c r="Z358" s="198">
        <f t="shared" si="78"/>
        <v>1603</v>
      </c>
      <c r="AA358" s="198">
        <f t="shared" si="79"/>
        <v>12423.25</v>
      </c>
      <c r="AB358" s="194" t="s">
        <v>890</v>
      </c>
      <c r="AC358" s="150"/>
      <c r="AD358" s="150"/>
      <c r="AE358" s="150" t="str">
        <f>IFERROR(VLOOKUP(H358,名称!A:D,4,0),"")</f>
        <v>KIK</v>
      </c>
      <c r="AF358" s="174"/>
      <c r="AG358" s="174"/>
      <c r="AH358" s="178">
        <v>46146</v>
      </c>
      <c r="AI358" s="178">
        <v>46171</v>
      </c>
      <c r="AJ358" s="178"/>
      <c r="AK358" s="178">
        <v>46146</v>
      </c>
      <c r="AL358" s="178">
        <v>46140</v>
      </c>
      <c r="AM358" s="178"/>
      <c r="AN358" s="178"/>
      <c r="AO358" s="143">
        <f t="shared" si="74"/>
        <v>56</v>
      </c>
      <c r="AP358" s="143">
        <f t="shared" si="75"/>
        <v>30</v>
      </c>
    </row>
    <row r="359" s="89" customFormat="1" hidden="1" customHeight="1" spans="1:42">
      <c r="A359" s="150">
        <v>46120</v>
      </c>
      <c r="B359" s="150" t="str">
        <f ca="1" t="shared" si="67"/>
        <v/>
      </c>
      <c r="C359" s="171" t="s">
        <v>237</v>
      </c>
      <c r="D359" s="150" t="s">
        <v>838</v>
      </c>
      <c r="E359" s="171" t="s">
        <v>438</v>
      </c>
      <c r="F359" s="172">
        <v>10124243</v>
      </c>
      <c r="G359" s="172" t="s">
        <v>281</v>
      </c>
      <c r="H359" s="173" t="s">
        <v>39</v>
      </c>
      <c r="I359" s="174" t="str">
        <f>IFERROR(VLOOKUP(H359,名称!A:C,2,0),"")</f>
        <v>1:16货柜车</v>
      </c>
      <c r="J359" s="175">
        <v>44</v>
      </c>
      <c r="K359" s="174">
        <f>IFERROR(VLOOKUP(H359,名称!A:D,3,0),"")</f>
        <v>2</v>
      </c>
      <c r="L359" s="143">
        <f t="shared" si="68"/>
        <v>22</v>
      </c>
      <c r="M359" s="150">
        <v>46183</v>
      </c>
      <c r="N359" s="150">
        <f t="shared" si="69"/>
        <v>46181</v>
      </c>
      <c r="O359" s="150">
        <v>46195</v>
      </c>
      <c r="P359" s="150" t="s">
        <v>435</v>
      </c>
      <c r="Q359" s="173" t="s">
        <v>777</v>
      </c>
      <c r="R359" s="148" t="s">
        <v>602</v>
      </c>
      <c r="S359" s="150"/>
      <c r="T359" s="150"/>
      <c r="U359" s="150"/>
      <c r="V359" s="150"/>
      <c r="W359" s="173"/>
      <c r="X359" s="143" t="s">
        <v>839</v>
      </c>
      <c r="Y359" s="176">
        <v>30.536</v>
      </c>
      <c r="Z359" s="198">
        <f t="shared" si="78"/>
        <v>1343.58</v>
      </c>
      <c r="AA359" s="198">
        <f t="shared" si="79"/>
        <v>10412.75</v>
      </c>
      <c r="AB359" s="194" t="s">
        <v>890</v>
      </c>
      <c r="AC359" s="150"/>
      <c r="AD359" s="150"/>
      <c r="AE359" s="150" t="str">
        <f>IFERROR(VLOOKUP(H359,名称!A:D,4,0),"")</f>
        <v>KIK</v>
      </c>
      <c r="AF359" s="174"/>
      <c r="AG359" s="174"/>
      <c r="AH359" s="178">
        <v>46129</v>
      </c>
      <c r="AI359" s="178">
        <v>46163</v>
      </c>
      <c r="AJ359" s="178"/>
      <c r="AK359" s="178">
        <v>46146</v>
      </c>
      <c r="AL359" s="178">
        <v>46140</v>
      </c>
      <c r="AM359" s="178"/>
      <c r="AN359" s="178"/>
      <c r="AO359" s="143">
        <f t="shared" si="74"/>
        <v>63</v>
      </c>
      <c r="AP359" s="143">
        <f t="shared" si="75"/>
        <v>54</v>
      </c>
    </row>
    <row r="360" s="89" customFormat="1" hidden="1" customHeight="1" spans="1:42">
      <c r="A360" s="150">
        <v>46120</v>
      </c>
      <c r="B360" s="150" t="str">
        <f ca="1" t="shared" si="67"/>
        <v/>
      </c>
      <c r="C360" s="171" t="s">
        <v>237</v>
      </c>
      <c r="D360" s="150" t="s">
        <v>838</v>
      </c>
      <c r="E360" s="171" t="s">
        <v>438</v>
      </c>
      <c r="F360" s="172">
        <v>10124243</v>
      </c>
      <c r="G360" s="172" t="s">
        <v>281</v>
      </c>
      <c r="H360" s="173" t="s">
        <v>118</v>
      </c>
      <c r="I360" s="174" t="str">
        <f>IFERROR(VLOOKUP(H360,名称!A:C,2,0),"")</f>
        <v>滑板拖车</v>
      </c>
      <c r="J360" s="175">
        <v>112</v>
      </c>
      <c r="K360" s="174">
        <f>IFERROR(VLOOKUP(H360,名称!A:D,3,0),"")</f>
        <v>4</v>
      </c>
      <c r="L360" s="143">
        <f t="shared" si="68"/>
        <v>28</v>
      </c>
      <c r="M360" s="150">
        <v>46190</v>
      </c>
      <c r="N360" s="150">
        <f t="shared" si="69"/>
        <v>46188</v>
      </c>
      <c r="O360" s="150">
        <v>46198</v>
      </c>
      <c r="P360" s="150" t="s">
        <v>435</v>
      </c>
      <c r="Q360" s="173" t="s">
        <v>777</v>
      </c>
      <c r="R360" s="148" t="s">
        <v>779</v>
      </c>
      <c r="S360" s="150"/>
      <c r="T360" s="150" t="s">
        <v>505</v>
      </c>
      <c r="U360" s="150"/>
      <c r="V360" s="150"/>
      <c r="W360" s="173"/>
      <c r="X360" s="143" t="s">
        <v>873</v>
      </c>
      <c r="Y360" s="176">
        <v>16.71</v>
      </c>
      <c r="Z360" s="198">
        <f t="shared" si="78"/>
        <v>1871.52</v>
      </c>
      <c r="AA360" s="198">
        <f t="shared" si="79"/>
        <v>14504.28</v>
      </c>
      <c r="AB360" s="194" t="s">
        <v>890</v>
      </c>
      <c r="AC360" s="174"/>
      <c r="AD360" s="178"/>
      <c r="AE360" s="150" t="str">
        <f>IFERROR(VLOOKUP(H360,名称!A:D,4,0),"")</f>
        <v>KIK</v>
      </c>
      <c r="AF360" s="178"/>
      <c r="AG360" s="178"/>
      <c r="AH360" s="178">
        <v>46134</v>
      </c>
      <c r="AI360" s="178" t="s">
        <v>420</v>
      </c>
      <c r="AJ360" s="178"/>
      <c r="AK360" s="178">
        <v>46135</v>
      </c>
      <c r="AL360" s="178">
        <v>46134</v>
      </c>
      <c r="AM360" s="178"/>
      <c r="AN360" s="180"/>
      <c r="AO360" s="143">
        <f t="shared" si="74"/>
        <v>70</v>
      </c>
      <c r="AP360" s="143">
        <f t="shared" si="75"/>
        <v>56</v>
      </c>
    </row>
    <row r="361" s="89" customFormat="1" hidden="1" customHeight="1" spans="1:42">
      <c r="A361" s="150">
        <v>46120</v>
      </c>
      <c r="B361" s="150" t="str">
        <f ca="1" t="shared" si="67"/>
        <v/>
      </c>
      <c r="C361" s="171" t="s">
        <v>237</v>
      </c>
      <c r="D361" s="150" t="s">
        <v>838</v>
      </c>
      <c r="E361" s="171" t="s">
        <v>438</v>
      </c>
      <c r="F361" s="172">
        <v>10124243</v>
      </c>
      <c r="G361" s="172" t="s">
        <v>281</v>
      </c>
      <c r="H361" s="173" t="s">
        <v>29</v>
      </c>
      <c r="I361" s="174" t="str">
        <f>IFERROR(VLOOKUP(H361,名称!A:C,2,0),"")</f>
        <v>木材运输车</v>
      </c>
      <c r="J361" s="175">
        <v>132</v>
      </c>
      <c r="K361" s="174">
        <f>IFERROR(VLOOKUP(H361,名称!A:D,3,0),"")</f>
        <v>4</v>
      </c>
      <c r="L361" s="143">
        <f t="shared" si="68"/>
        <v>33</v>
      </c>
      <c r="M361" s="150">
        <v>46197</v>
      </c>
      <c r="N361" s="150">
        <f t="shared" si="69"/>
        <v>46195</v>
      </c>
      <c r="O361" s="150">
        <v>46197</v>
      </c>
      <c r="P361" s="150" t="s">
        <v>435</v>
      </c>
      <c r="Q361" s="173" t="s">
        <v>777</v>
      </c>
      <c r="R361" s="148" t="s">
        <v>891</v>
      </c>
      <c r="S361" s="150"/>
      <c r="T361" s="150"/>
      <c r="U361" s="150"/>
      <c r="V361" s="150"/>
      <c r="W361" s="173"/>
      <c r="X361" s="143" t="s">
        <v>839</v>
      </c>
      <c r="Y361" s="176">
        <v>21.801</v>
      </c>
      <c r="Z361" s="198">
        <f t="shared" si="78"/>
        <v>2877.73</v>
      </c>
      <c r="AA361" s="198">
        <f t="shared" si="79"/>
        <v>22302.41</v>
      </c>
      <c r="AB361" s="194" t="s">
        <v>890</v>
      </c>
      <c r="AC361" s="150"/>
      <c r="AD361" s="150"/>
      <c r="AE361" s="150" t="str">
        <f>IFERROR(VLOOKUP(H361,名称!A:D,4,0),"")</f>
        <v>KIK</v>
      </c>
      <c r="AF361" s="174"/>
      <c r="AG361" s="174"/>
      <c r="AH361" s="178">
        <v>46139</v>
      </c>
      <c r="AI361" s="178" t="s">
        <v>828</v>
      </c>
      <c r="AJ361" s="178"/>
      <c r="AK361" s="178">
        <v>46156</v>
      </c>
      <c r="AL361" s="178">
        <v>46140</v>
      </c>
      <c r="AM361" s="178"/>
      <c r="AN361" s="178"/>
      <c r="AO361" s="143">
        <f t="shared" si="74"/>
        <v>77</v>
      </c>
      <c r="AP361" s="143">
        <f t="shared" si="75"/>
        <v>58</v>
      </c>
    </row>
    <row r="362" s="89" customFormat="1" hidden="1" customHeight="1" spans="1:42">
      <c r="A362" s="150">
        <v>46120</v>
      </c>
      <c r="B362" s="150" t="str">
        <f ca="1" t="shared" si="67"/>
        <v/>
      </c>
      <c r="C362" s="171" t="s">
        <v>237</v>
      </c>
      <c r="D362" s="150" t="s">
        <v>838</v>
      </c>
      <c r="E362" s="171" t="s">
        <v>438</v>
      </c>
      <c r="F362" s="172">
        <v>10124245</v>
      </c>
      <c r="G362" s="172" t="s">
        <v>286</v>
      </c>
      <c r="H362" s="173" t="s">
        <v>111</v>
      </c>
      <c r="I362" s="174" t="str">
        <f>IFERROR(VLOOKUP(H362,名称!A:C,2,0),"")</f>
        <v>黄色铲车</v>
      </c>
      <c r="J362" s="175">
        <v>200</v>
      </c>
      <c r="K362" s="174">
        <f>IFERROR(VLOOKUP(H362,名称!A:D,3,0),"")</f>
        <v>4</v>
      </c>
      <c r="L362" s="143">
        <f t="shared" si="68"/>
        <v>50</v>
      </c>
      <c r="M362" s="150">
        <v>46176</v>
      </c>
      <c r="N362" s="150">
        <f t="shared" si="69"/>
        <v>46174</v>
      </c>
      <c r="O362" s="150">
        <v>46175</v>
      </c>
      <c r="P362" s="150" t="s">
        <v>435</v>
      </c>
      <c r="Q362" s="173" t="s">
        <v>777</v>
      </c>
      <c r="R362" s="148" t="s">
        <v>826</v>
      </c>
      <c r="S362" s="150"/>
      <c r="T362" s="150" t="s">
        <v>452</v>
      </c>
      <c r="U362" s="150"/>
      <c r="V362" s="150"/>
      <c r="W362" s="173"/>
      <c r="X362" s="143" t="s">
        <v>839</v>
      </c>
      <c r="Y362" s="176">
        <v>3.816</v>
      </c>
      <c r="Z362" s="198">
        <f t="shared" si="78"/>
        <v>763.2</v>
      </c>
      <c r="AA362" s="198">
        <f t="shared" si="79"/>
        <v>5914.8</v>
      </c>
      <c r="AB362" s="194" t="s">
        <v>892</v>
      </c>
      <c r="AC362" s="150"/>
      <c r="AD362" s="150"/>
      <c r="AE362" s="150" t="str">
        <f>IFERROR(VLOOKUP(H362,名称!A:D,4,0),"")</f>
        <v>KIK</v>
      </c>
      <c r="AF362" s="174"/>
      <c r="AG362" s="174"/>
      <c r="AH362" s="178">
        <v>46134</v>
      </c>
      <c r="AI362" s="178" t="s">
        <v>420</v>
      </c>
      <c r="AJ362" s="178"/>
      <c r="AK362" s="199">
        <v>46134</v>
      </c>
      <c r="AL362" s="178">
        <v>46134</v>
      </c>
      <c r="AM362" s="178"/>
      <c r="AN362" s="178"/>
      <c r="AO362" s="143">
        <f t="shared" si="74"/>
        <v>56</v>
      </c>
      <c r="AP362" s="143">
        <f t="shared" si="75"/>
        <v>42</v>
      </c>
    </row>
    <row r="363" s="89" customFormat="1" hidden="1" customHeight="1" spans="1:42">
      <c r="A363" s="150">
        <v>46120</v>
      </c>
      <c r="B363" s="150" t="str">
        <f ca="1" t="shared" si="67"/>
        <v/>
      </c>
      <c r="C363" s="171" t="s">
        <v>237</v>
      </c>
      <c r="D363" s="150" t="s">
        <v>838</v>
      </c>
      <c r="E363" s="171" t="s">
        <v>438</v>
      </c>
      <c r="F363" s="172">
        <v>10124245</v>
      </c>
      <c r="G363" s="172" t="s">
        <v>286</v>
      </c>
      <c r="H363" s="173" t="s">
        <v>109</v>
      </c>
      <c r="I363" s="174" t="str">
        <f>IFERROR(VLOOKUP(H363,名称!A:C,2,0),"")</f>
        <v>红色铲车</v>
      </c>
      <c r="J363" s="175">
        <v>80</v>
      </c>
      <c r="K363" s="174">
        <f>IFERROR(VLOOKUP(H363,名称!A:D,3,0),"")</f>
        <v>4</v>
      </c>
      <c r="L363" s="143">
        <f t="shared" si="68"/>
        <v>20</v>
      </c>
      <c r="M363" s="150">
        <v>46176</v>
      </c>
      <c r="N363" s="150">
        <f t="shared" si="69"/>
        <v>46174</v>
      </c>
      <c r="O363" s="150">
        <v>46175</v>
      </c>
      <c r="P363" s="150" t="s">
        <v>435</v>
      </c>
      <c r="Q363" s="173" t="s">
        <v>777</v>
      </c>
      <c r="R363" s="148" t="s">
        <v>431</v>
      </c>
      <c r="S363" s="150"/>
      <c r="T363" s="150"/>
      <c r="U363" s="150"/>
      <c r="V363" s="150"/>
      <c r="W363" s="173"/>
      <c r="X363" s="143" t="s">
        <v>839</v>
      </c>
      <c r="Y363" s="176">
        <v>3.886</v>
      </c>
      <c r="Z363" s="198">
        <f t="shared" si="78"/>
        <v>310.88</v>
      </c>
      <c r="AA363" s="198">
        <f t="shared" si="79"/>
        <v>2409.32</v>
      </c>
      <c r="AB363" s="194" t="s">
        <v>892</v>
      </c>
      <c r="AC363" s="150"/>
      <c r="AD363" s="150"/>
      <c r="AE363" s="150" t="str">
        <f>IFERROR(VLOOKUP(H363,名称!A:D,4,0),"")</f>
        <v>KIK</v>
      </c>
      <c r="AF363" s="174"/>
      <c r="AG363" s="174"/>
      <c r="AH363" s="178">
        <v>46128</v>
      </c>
      <c r="AI363" s="178" t="s">
        <v>420</v>
      </c>
      <c r="AJ363" s="178"/>
      <c r="AK363" s="199">
        <v>46135</v>
      </c>
      <c r="AL363" s="178">
        <v>46128</v>
      </c>
      <c r="AM363" s="178"/>
      <c r="AN363" s="178"/>
      <c r="AO363" s="143">
        <f t="shared" si="74"/>
        <v>56</v>
      </c>
      <c r="AP363" s="143">
        <f t="shared" si="75"/>
        <v>48</v>
      </c>
    </row>
    <row r="364" s="89" customFormat="1" hidden="1" customHeight="1" spans="1:42">
      <c r="A364" s="150">
        <v>46120</v>
      </c>
      <c r="B364" s="150" t="str">
        <f ca="1" t="shared" si="67"/>
        <v/>
      </c>
      <c r="C364" s="171" t="s">
        <v>237</v>
      </c>
      <c r="D364" s="150" t="s">
        <v>838</v>
      </c>
      <c r="E364" s="171" t="s">
        <v>438</v>
      </c>
      <c r="F364" s="172">
        <v>10124245</v>
      </c>
      <c r="G364" s="172" t="s">
        <v>286</v>
      </c>
      <c r="H364" s="173" t="s">
        <v>158</v>
      </c>
      <c r="I364" s="174" t="str">
        <f>IFERROR(VLOOKUP(H364,名称!A:C,2,0),"")</f>
        <v>JD LNS圆轮拖拉机</v>
      </c>
      <c r="J364" s="175">
        <v>66</v>
      </c>
      <c r="K364" s="174">
        <f>IFERROR(VLOOKUP(H364,名称!A:D,3,0),"")</f>
        <v>2</v>
      </c>
      <c r="L364" s="143">
        <f t="shared" si="68"/>
        <v>33</v>
      </c>
      <c r="M364" s="150">
        <v>46176</v>
      </c>
      <c r="N364" s="150">
        <f t="shared" si="69"/>
        <v>46174</v>
      </c>
      <c r="O364" s="150">
        <v>46178</v>
      </c>
      <c r="P364" s="150" t="s">
        <v>435</v>
      </c>
      <c r="Q364" s="173" t="s">
        <v>777</v>
      </c>
      <c r="R364" s="148" t="s">
        <v>418</v>
      </c>
      <c r="S364" s="150"/>
      <c r="T364" s="150" t="s">
        <v>452</v>
      </c>
      <c r="U364" s="150"/>
      <c r="V364" s="150"/>
      <c r="W364" s="173"/>
      <c r="X364" s="143" t="s">
        <v>839</v>
      </c>
      <c r="Y364" s="176">
        <v>4.792</v>
      </c>
      <c r="Z364" s="198">
        <f t="shared" si="78"/>
        <v>316.27</v>
      </c>
      <c r="AA364" s="198">
        <f t="shared" si="79"/>
        <v>2451.09</v>
      </c>
      <c r="AB364" s="194" t="s">
        <v>892</v>
      </c>
      <c r="AC364" s="150"/>
      <c r="AD364" s="150"/>
      <c r="AE364" s="150" t="str">
        <f>IFERROR(VLOOKUP(H364,名称!A:D,4,0),"")</f>
        <v>KIK</v>
      </c>
      <c r="AF364" s="174"/>
      <c r="AG364" s="174"/>
      <c r="AH364" s="178">
        <v>46115</v>
      </c>
      <c r="AI364" s="178" t="s">
        <v>420</v>
      </c>
      <c r="AJ364" s="178"/>
      <c r="AK364" s="178" t="s">
        <v>453</v>
      </c>
      <c r="AL364" s="178">
        <v>46128</v>
      </c>
      <c r="AM364" s="178"/>
      <c r="AN364" s="178"/>
      <c r="AO364" s="143">
        <f t="shared" si="74"/>
        <v>56</v>
      </c>
      <c r="AP364" s="143">
        <f t="shared" si="75"/>
        <v>61</v>
      </c>
    </row>
    <row r="365" s="89" customFormat="1" hidden="1" customHeight="1" spans="1:42">
      <c r="A365" s="150">
        <v>46120</v>
      </c>
      <c r="B365" s="150" t="str">
        <f ca="1" t="shared" si="67"/>
        <v/>
      </c>
      <c r="C365" s="171" t="s">
        <v>237</v>
      </c>
      <c r="D365" s="150" t="s">
        <v>838</v>
      </c>
      <c r="E365" s="171" t="s">
        <v>438</v>
      </c>
      <c r="F365" s="172">
        <v>10124245</v>
      </c>
      <c r="G365" s="172" t="s">
        <v>286</v>
      </c>
      <c r="H365" s="173" t="s">
        <v>35</v>
      </c>
      <c r="I365" s="174" t="str">
        <f>IFERROR(VLOOKUP(H365,名称!A:C,2,0),"")</f>
        <v>1:16拖车厢</v>
      </c>
      <c r="J365" s="175">
        <v>74</v>
      </c>
      <c r="K365" s="174">
        <f>IFERROR(VLOOKUP(H365,名称!A:D,3,0),"")</f>
        <v>2</v>
      </c>
      <c r="L365" s="143">
        <f t="shared" si="68"/>
        <v>37</v>
      </c>
      <c r="M365" s="150">
        <v>46176</v>
      </c>
      <c r="N365" s="150">
        <f t="shared" si="69"/>
        <v>46174</v>
      </c>
      <c r="O365" s="150">
        <v>46176</v>
      </c>
      <c r="P365" s="150" t="s">
        <v>435</v>
      </c>
      <c r="Q365" s="173" t="s">
        <v>777</v>
      </c>
      <c r="R365" s="148" t="s">
        <v>826</v>
      </c>
      <c r="S365" s="150"/>
      <c r="T365" s="150"/>
      <c r="U365" s="150"/>
      <c r="V365" s="150"/>
      <c r="W365" s="173"/>
      <c r="X365" s="143" t="s">
        <v>839</v>
      </c>
      <c r="Y365" s="176">
        <v>22.9</v>
      </c>
      <c r="Z365" s="198">
        <f t="shared" si="78"/>
        <v>1694.6</v>
      </c>
      <c r="AA365" s="198">
        <f t="shared" si="79"/>
        <v>13133.15</v>
      </c>
      <c r="AB365" s="194" t="s">
        <v>892</v>
      </c>
      <c r="AC365" s="150"/>
      <c r="AD365" s="150"/>
      <c r="AE365" s="150" t="str">
        <f>IFERROR(VLOOKUP(H365,名称!A:D,4,0),"")</f>
        <v>KIK</v>
      </c>
      <c r="AF365" s="174"/>
      <c r="AG365" s="174"/>
      <c r="AH365" s="178">
        <v>46146</v>
      </c>
      <c r="AI365" s="178">
        <v>46171</v>
      </c>
      <c r="AJ365" s="178"/>
      <c r="AK365" s="178">
        <v>46146</v>
      </c>
      <c r="AL365" s="178">
        <v>46140</v>
      </c>
      <c r="AM365" s="178"/>
      <c r="AN365" s="178"/>
      <c r="AO365" s="143">
        <f t="shared" si="74"/>
        <v>56</v>
      </c>
      <c r="AP365" s="143">
        <f t="shared" si="75"/>
        <v>30</v>
      </c>
    </row>
    <row r="366" s="89" customFormat="1" hidden="1" customHeight="1" spans="1:42">
      <c r="A366" s="150">
        <v>46120</v>
      </c>
      <c r="B366" s="150" t="str">
        <f ca="1" t="shared" si="67"/>
        <v/>
      </c>
      <c r="C366" s="171" t="s">
        <v>237</v>
      </c>
      <c r="D366" s="150" t="s">
        <v>838</v>
      </c>
      <c r="E366" s="171" t="s">
        <v>438</v>
      </c>
      <c r="F366" s="172">
        <v>10124245</v>
      </c>
      <c r="G366" s="172" t="s">
        <v>286</v>
      </c>
      <c r="H366" s="173" t="s">
        <v>39</v>
      </c>
      <c r="I366" s="174" t="str">
        <f>IFERROR(VLOOKUP(H366,名称!A:C,2,0),"")</f>
        <v>1:16货柜车</v>
      </c>
      <c r="J366" s="175">
        <v>48</v>
      </c>
      <c r="K366" s="174">
        <f>IFERROR(VLOOKUP(H366,名称!A:D,3,0),"")</f>
        <v>2</v>
      </c>
      <c r="L366" s="143">
        <f t="shared" si="68"/>
        <v>24</v>
      </c>
      <c r="M366" s="150">
        <v>46183</v>
      </c>
      <c r="N366" s="150">
        <f t="shared" si="69"/>
        <v>46181</v>
      </c>
      <c r="O366" s="150">
        <v>46197</v>
      </c>
      <c r="P366" s="150" t="s">
        <v>435</v>
      </c>
      <c r="Q366" s="173" t="s">
        <v>777</v>
      </c>
      <c r="R366" s="148" t="s">
        <v>602</v>
      </c>
      <c r="S366" s="150"/>
      <c r="T366" s="150"/>
      <c r="U366" s="150"/>
      <c r="V366" s="150"/>
      <c r="W366" s="173"/>
      <c r="X366" s="143" t="s">
        <v>839</v>
      </c>
      <c r="Y366" s="176">
        <v>30.536</v>
      </c>
      <c r="Z366" s="198">
        <f t="shared" si="78"/>
        <v>1465.73</v>
      </c>
      <c r="AA366" s="198">
        <f t="shared" si="79"/>
        <v>11359.41</v>
      </c>
      <c r="AB366" s="194" t="s">
        <v>892</v>
      </c>
      <c r="AC366" s="150"/>
      <c r="AD366" s="150"/>
      <c r="AE366" s="150" t="str">
        <f>IFERROR(VLOOKUP(H366,名称!A:D,4,0),"")</f>
        <v>KIK</v>
      </c>
      <c r="AF366" s="174"/>
      <c r="AG366" s="174"/>
      <c r="AH366" s="178">
        <v>46129</v>
      </c>
      <c r="AI366" s="178">
        <v>46163</v>
      </c>
      <c r="AJ366" s="178"/>
      <c r="AK366" s="178">
        <v>46146</v>
      </c>
      <c r="AL366" s="178">
        <v>46140</v>
      </c>
      <c r="AM366" s="178"/>
      <c r="AN366" s="178"/>
      <c r="AO366" s="143">
        <f t="shared" si="74"/>
        <v>63</v>
      </c>
      <c r="AP366" s="143">
        <f t="shared" si="75"/>
        <v>54</v>
      </c>
    </row>
    <row r="367" s="89" customFormat="1" hidden="1" customHeight="1" spans="1:42">
      <c r="A367" s="150">
        <v>46120</v>
      </c>
      <c r="B367" s="150" t="str">
        <f ca="1" t="shared" si="67"/>
        <v/>
      </c>
      <c r="C367" s="171" t="s">
        <v>237</v>
      </c>
      <c r="D367" s="150" t="s">
        <v>838</v>
      </c>
      <c r="E367" s="171" t="s">
        <v>438</v>
      </c>
      <c r="F367" s="172">
        <v>10124245</v>
      </c>
      <c r="G367" s="172" t="s">
        <v>286</v>
      </c>
      <c r="H367" s="173" t="s">
        <v>118</v>
      </c>
      <c r="I367" s="174" t="str">
        <f>IFERROR(VLOOKUP(H367,名称!A:C,2,0),"")</f>
        <v>滑板拖车</v>
      </c>
      <c r="J367" s="175">
        <v>116</v>
      </c>
      <c r="K367" s="174">
        <f>IFERROR(VLOOKUP(H367,名称!A:D,3,0),"")</f>
        <v>4</v>
      </c>
      <c r="L367" s="143">
        <f t="shared" si="68"/>
        <v>29</v>
      </c>
      <c r="M367" s="150">
        <v>46190</v>
      </c>
      <c r="N367" s="150">
        <f t="shared" si="69"/>
        <v>46188</v>
      </c>
      <c r="O367" s="150">
        <v>46195</v>
      </c>
      <c r="P367" s="150" t="s">
        <v>435</v>
      </c>
      <c r="Q367" s="173" t="s">
        <v>777</v>
      </c>
      <c r="R367" s="148" t="s">
        <v>779</v>
      </c>
      <c r="S367" s="150"/>
      <c r="T367" s="150" t="s">
        <v>505</v>
      </c>
      <c r="U367" s="150"/>
      <c r="V367" s="150"/>
      <c r="W367" s="173"/>
      <c r="X367" s="143" t="s">
        <v>873</v>
      </c>
      <c r="Y367" s="176">
        <v>16.71</v>
      </c>
      <c r="Z367" s="198">
        <f t="shared" si="78"/>
        <v>1938.36</v>
      </c>
      <c r="AA367" s="198">
        <f t="shared" si="79"/>
        <v>15022.29</v>
      </c>
      <c r="AB367" s="194" t="s">
        <v>892</v>
      </c>
      <c r="AC367" s="174"/>
      <c r="AD367" s="178"/>
      <c r="AE367" s="150" t="str">
        <f>IFERROR(VLOOKUP(H367,名称!A:D,4,0),"")</f>
        <v>KIK</v>
      </c>
      <c r="AF367" s="178"/>
      <c r="AG367" s="178"/>
      <c r="AH367" s="178">
        <v>46134</v>
      </c>
      <c r="AI367" s="178" t="s">
        <v>420</v>
      </c>
      <c r="AJ367" s="178"/>
      <c r="AK367" s="178">
        <v>46135</v>
      </c>
      <c r="AL367" s="178">
        <v>46134</v>
      </c>
      <c r="AM367" s="178"/>
      <c r="AN367" s="180"/>
      <c r="AO367" s="143">
        <f t="shared" si="74"/>
        <v>70</v>
      </c>
      <c r="AP367" s="143">
        <f t="shared" si="75"/>
        <v>56</v>
      </c>
    </row>
    <row r="368" s="89" customFormat="1" hidden="1" customHeight="1" spans="1:42">
      <c r="A368" s="150">
        <v>46120</v>
      </c>
      <c r="B368" s="150" t="str">
        <f ca="1" t="shared" si="67"/>
        <v/>
      </c>
      <c r="C368" s="171" t="s">
        <v>237</v>
      </c>
      <c r="D368" s="150" t="s">
        <v>838</v>
      </c>
      <c r="E368" s="171" t="s">
        <v>438</v>
      </c>
      <c r="F368" s="172">
        <v>10124245</v>
      </c>
      <c r="G368" s="172" t="s">
        <v>286</v>
      </c>
      <c r="H368" s="173" t="s">
        <v>29</v>
      </c>
      <c r="I368" s="174" t="str">
        <f>IFERROR(VLOOKUP(H368,名称!A:C,2,0),"")</f>
        <v>木材运输车</v>
      </c>
      <c r="J368" s="175">
        <v>24</v>
      </c>
      <c r="K368" s="174">
        <f>IFERROR(VLOOKUP(H368,名称!A:D,3,0),"")</f>
        <v>4</v>
      </c>
      <c r="L368" s="143">
        <f t="shared" si="68"/>
        <v>6</v>
      </c>
      <c r="M368" s="150">
        <v>46197</v>
      </c>
      <c r="N368" s="150">
        <f t="shared" si="69"/>
        <v>46195</v>
      </c>
      <c r="O368" s="150">
        <v>46197</v>
      </c>
      <c r="P368" s="150" t="s">
        <v>435</v>
      </c>
      <c r="Q368" s="173" t="s">
        <v>777</v>
      </c>
      <c r="R368" s="148" t="s">
        <v>826</v>
      </c>
      <c r="S368" s="150"/>
      <c r="T368" s="150"/>
      <c r="U368" s="150"/>
      <c r="V368" s="150"/>
      <c r="W368" s="173"/>
      <c r="X368" s="143" t="s">
        <v>839</v>
      </c>
      <c r="Y368" s="176">
        <v>21.801</v>
      </c>
      <c r="Z368" s="198">
        <f t="shared" si="78"/>
        <v>523.22</v>
      </c>
      <c r="AA368" s="198">
        <f t="shared" si="79"/>
        <v>4054.96</v>
      </c>
      <c r="AB368" s="194" t="s">
        <v>892</v>
      </c>
      <c r="AC368" s="150"/>
      <c r="AD368" s="150"/>
      <c r="AE368" s="150" t="str">
        <f>IFERROR(VLOOKUP(H368,名称!A:D,4,0),"")</f>
        <v>KIK</v>
      </c>
      <c r="AF368" s="174"/>
      <c r="AG368" s="174"/>
      <c r="AH368" s="178">
        <v>46139</v>
      </c>
      <c r="AI368" s="178" t="s">
        <v>828</v>
      </c>
      <c r="AJ368" s="178"/>
      <c r="AK368" s="178">
        <v>46156</v>
      </c>
      <c r="AL368" s="178">
        <v>46140</v>
      </c>
      <c r="AM368" s="178"/>
      <c r="AN368" s="178"/>
      <c r="AO368" s="143">
        <f t="shared" si="74"/>
        <v>77</v>
      </c>
      <c r="AP368" s="143">
        <f t="shared" si="75"/>
        <v>58</v>
      </c>
    </row>
    <row r="369" s="89" customFormat="1" hidden="1" customHeight="1" spans="1:42">
      <c r="A369" s="150">
        <v>46120</v>
      </c>
      <c r="B369" s="150" t="str">
        <f ca="1" t="shared" si="67"/>
        <v/>
      </c>
      <c r="C369" s="171" t="s">
        <v>237</v>
      </c>
      <c r="D369" s="150" t="s">
        <v>838</v>
      </c>
      <c r="E369" s="171" t="s">
        <v>438</v>
      </c>
      <c r="F369" s="172">
        <v>10124250</v>
      </c>
      <c r="G369" s="172" t="s">
        <v>283</v>
      </c>
      <c r="H369" s="173" t="s">
        <v>113</v>
      </c>
      <c r="I369" s="174" t="str">
        <f>IFERROR(VLOOKUP(H369,名称!A:C,2,0),"")</f>
        <v>绿色铲车</v>
      </c>
      <c r="J369" s="175">
        <v>144</v>
      </c>
      <c r="K369" s="174">
        <f>IFERROR(VLOOKUP(H369,名称!A:D,3,0),"")</f>
        <v>2</v>
      </c>
      <c r="L369" s="143">
        <f t="shared" si="68"/>
        <v>72</v>
      </c>
      <c r="M369" s="150">
        <v>46176</v>
      </c>
      <c r="N369" s="150">
        <f t="shared" si="69"/>
        <v>46174</v>
      </c>
      <c r="O369" s="150">
        <v>46177</v>
      </c>
      <c r="P369" s="150" t="s">
        <v>435</v>
      </c>
      <c r="Q369" s="173" t="s">
        <v>777</v>
      </c>
      <c r="R369" s="154" t="s">
        <v>782</v>
      </c>
      <c r="S369" s="150"/>
      <c r="T369" s="150" t="s">
        <v>452</v>
      </c>
      <c r="U369" s="150"/>
      <c r="V369" s="150"/>
      <c r="W369" s="173"/>
      <c r="X369" s="143" t="s">
        <v>839</v>
      </c>
      <c r="Y369" s="176">
        <v>5.97</v>
      </c>
      <c r="Z369" s="198">
        <f t="shared" si="78"/>
        <v>859.68</v>
      </c>
      <c r="AA369" s="198">
        <f t="shared" si="79"/>
        <v>6662.52</v>
      </c>
      <c r="AB369" s="194" t="s">
        <v>893</v>
      </c>
      <c r="AC369" s="150"/>
      <c r="AD369" s="150"/>
      <c r="AE369" s="150" t="str">
        <f>IFERROR(VLOOKUP(H369,名称!A:D,4,0),"")</f>
        <v>KIK</v>
      </c>
      <c r="AF369" s="174"/>
      <c r="AG369" s="174"/>
      <c r="AH369" s="178">
        <v>46134</v>
      </c>
      <c r="AI369" s="178" t="s">
        <v>420</v>
      </c>
      <c r="AJ369" s="178"/>
      <c r="AK369" s="178">
        <v>46140</v>
      </c>
      <c r="AL369" s="178">
        <v>46134</v>
      </c>
      <c r="AM369" s="178"/>
      <c r="AN369" s="178"/>
      <c r="AO369" s="143">
        <f t="shared" si="74"/>
        <v>56</v>
      </c>
      <c r="AP369" s="143">
        <f t="shared" si="75"/>
        <v>42</v>
      </c>
    </row>
    <row r="370" s="89" customFormat="1" hidden="1" customHeight="1" spans="1:42">
      <c r="A370" s="150">
        <v>46120</v>
      </c>
      <c r="B370" s="150" t="str">
        <f ca="1" t="shared" si="67"/>
        <v/>
      </c>
      <c r="C370" s="171" t="s">
        <v>237</v>
      </c>
      <c r="D370" s="150" t="s">
        <v>838</v>
      </c>
      <c r="E370" s="171" t="s">
        <v>438</v>
      </c>
      <c r="F370" s="172">
        <v>10124250</v>
      </c>
      <c r="G370" s="172" t="s">
        <v>283</v>
      </c>
      <c r="H370" s="173" t="s">
        <v>105</v>
      </c>
      <c r="I370" s="174" t="str">
        <f>IFERROR(VLOOKUP(H370,名称!A:C,2,0),"")</f>
        <v>农场男孩套装</v>
      </c>
      <c r="J370" s="175">
        <v>44</v>
      </c>
      <c r="K370" s="174">
        <f>IFERROR(VLOOKUP(H370,名称!A:D,3,0),"")</f>
        <v>4</v>
      </c>
      <c r="L370" s="143">
        <f t="shared" si="68"/>
        <v>11</v>
      </c>
      <c r="M370" s="150">
        <v>46176</v>
      </c>
      <c r="N370" s="150">
        <f t="shared" si="69"/>
        <v>46174</v>
      </c>
      <c r="O370" s="150">
        <v>46177</v>
      </c>
      <c r="P370" s="150" t="s">
        <v>435</v>
      </c>
      <c r="Q370" s="173" t="s">
        <v>777</v>
      </c>
      <c r="R370" s="148" t="s">
        <v>782</v>
      </c>
      <c r="S370" s="150"/>
      <c r="T370" s="150" t="s">
        <v>452</v>
      </c>
      <c r="U370" s="150"/>
      <c r="V370" s="150"/>
      <c r="W370" s="173"/>
      <c r="X370" s="143" t="s">
        <v>839</v>
      </c>
      <c r="Y370" s="176">
        <v>2.994</v>
      </c>
      <c r="Z370" s="198">
        <f t="shared" si="78"/>
        <v>131.74</v>
      </c>
      <c r="AA370" s="198">
        <f t="shared" si="79"/>
        <v>1020.99</v>
      </c>
      <c r="AB370" s="194" t="s">
        <v>893</v>
      </c>
      <c r="AC370" s="150"/>
      <c r="AD370" s="150"/>
      <c r="AE370" s="150" t="str">
        <f>IFERROR(VLOOKUP(H370,名称!A:D,4,0),"")</f>
        <v>KIK</v>
      </c>
      <c r="AF370" s="174"/>
      <c r="AG370" s="174"/>
      <c r="AH370" s="178">
        <v>46121</v>
      </c>
      <c r="AI370" s="178">
        <v>46128</v>
      </c>
      <c r="AJ370" s="178"/>
      <c r="AK370" s="178" t="s">
        <v>420</v>
      </c>
      <c r="AL370" s="178" t="s">
        <v>420</v>
      </c>
      <c r="AM370" s="178"/>
      <c r="AN370" s="178"/>
      <c r="AO370" s="143">
        <f t="shared" si="74"/>
        <v>56</v>
      </c>
      <c r="AP370" s="143">
        <f t="shared" si="75"/>
        <v>55</v>
      </c>
    </row>
    <row r="371" s="89" customFormat="1" hidden="1" customHeight="1" spans="1:42">
      <c r="A371" s="150">
        <v>46120</v>
      </c>
      <c r="B371" s="150" t="str">
        <f ca="1" t="shared" si="67"/>
        <v/>
      </c>
      <c r="C371" s="171" t="s">
        <v>237</v>
      </c>
      <c r="D371" s="150" t="s">
        <v>838</v>
      </c>
      <c r="E371" s="171" t="s">
        <v>438</v>
      </c>
      <c r="F371" s="172">
        <v>10124250</v>
      </c>
      <c r="G371" s="172" t="s">
        <v>283</v>
      </c>
      <c r="H371" s="173" t="s">
        <v>111</v>
      </c>
      <c r="I371" s="174" t="str">
        <f>IFERROR(VLOOKUP(H371,名称!A:C,2,0),"")</f>
        <v>黄色铲车</v>
      </c>
      <c r="J371" s="175">
        <v>64</v>
      </c>
      <c r="K371" s="174">
        <f>IFERROR(VLOOKUP(H371,名称!A:D,3,0),"")</f>
        <v>4</v>
      </c>
      <c r="L371" s="143">
        <f t="shared" si="68"/>
        <v>16</v>
      </c>
      <c r="M371" s="150">
        <v>46176</v>
      </c>
      <c r="N371" s="150">
        <f t="shared" si="69"/>
        <v>46174</v>
      </c>
      <c r="O371" s="150">
        <v>46182</v>
      </c>
      <c r="P371" s="150" t="s">
        <v>435</v>
      </c>
      <c r="Q371" s="173" t="s">
        <v>777</v>
      </c>
      <c r="R371" s="148" t="s">
        <v>826</v>
      </c>
      <c r="S371" s="150"/>
      <c r="T371" s="150" t="s">
        <v>452</v>
      </c>
      <c r="U371" s="150"/>
      <c r="V371" s="150"/>
      <c r="W371" s="173"/>
      <c r="X371" s="143" t="s">
        <v>839</v>
      </c>
      <c r="Y371" s="176">
        <v>3.816</v>
      </c>
      <c r="Z371" s="198">
        <f t="shared" si="78"/>
        <v>244.22</v>
      </c>
      <c r="AA371" s="198">
        <f t="shared" si="79"/>
        <v>1892.71</v>
      </c>
      <c r="AB371" s="194" t="s">
        <v>893</v>
      </c>
      <c r="AC371" s="150"/>
      <c r="AD371" s="150"/>
      <c r="AE371" s="150" t="str">
        <f>IFERROR(VLOOKUP(H371,名称!A:D,4,0),"")</f>
        <v>KIK</v>
      </c>
      <c r="AF371" s="174"/>
      <c r="AG371" s="174"/>
      <c r="AH371" s="178">
        <v>46134</v>
      </c>
      <c r="AI371" s="178" t="s">
        <v>420</v>
      </c>
      <c r="AJ371" s="178"/>
      <c r="AK371" s="199">
        <v>46134</v>
      </c>
      <c r="AL371" s="178">
        <v>46134</v>
      </c>
      <c r="AM371" s="178"/>
      <c r="AN371" s="178"/>
      <c r="AO371" s="143">
        <f t="shared" si="74"/>
        <v>56</v>
      </c>
      <c r="AP371" s="143">
        <f t="shared" si="75"/>
        <v>42</v>
      </c>
    </row>
    <row r="372" s="89" customFormat="1" hidden="1" customHeight="1" spans="1:42">
      <c r="A372" s="150">
        <v>46120</v>
      </c>
      <c r="B372" s="150" t="str">
        <f ca="1" t="shared" si="67"/>
        <v/>
      </c>
      <c r="C372" s="171" t="s">
        <v>237</v>
      </c>
      <c r="D372" s="150" t="s">
        <v>838</v>
      </c>
      <c r="E372" s="171" t="s">
        <v>438</v>
      </c>
      <c r="F372" s="172">
        <v>10124250</v>
      </c>
      <c r="G372" s="172" t="s">
        <v>283</v>
      </c>
      <c r="H372" s="173" t="s">
        <v>109</v>
      </c>
      <c r="I372" s="174" t="str">
        <f>IFERROR(VLOOKUP(H372,名称!A:C,2,0),"")</f>
        <v>红色铲车</v>
      </c>
      <c r="J372" s="175">
        <v>64</v>
      </c>
      <c r="K372" s="174">
        <f>IFERROR(VLOOKUP(H372,名称!A:D,3,0),"")</f>
        <v>4</v>
      </c>
      <c r="L372" s="143">
        <f t="shared" si="68"/>
        <v>16</v>
      </c>
      <c r="M372" s="150">
        <v>46176</v>
      </c>
      <c r="N372" s="150">
        <f t="shared" si="69"/>
        <v>46174</v>
      </c>
      <c r="O372" s="150">
        <v>46175</v>
      </c>
      <c r="P372" s="150" t="s">
        <v>435</v>
      </c>
      <c r="Q372" s="173" t="s">
        <v>777</v>
      </c>
      <c r="R372" s="148" t="s">
        <v>431</v>
      </c>
      <c r="S372" s="150"/>
      <c r="T372" s="150"/>
      <c r="U372" s="150"/>
      <c r="V372" s="150"/>
      <c r="W372" s="173"/>
      <c r="X372" s="143" t="s">
        <v>839</v>
      </c>
      <c r="Y372" s="176">
        <v>3.886</v>
      </c>
      <c r="Z372" s="198">
        <f t="shared" si="78"/>
        <v>248.7</v>
      </c>
      <c r="AA372" s="198">
        <f t="shared" si="79"/>
        <v>1927.43</v>
      </c>
      <c r="AB372" s="194" t="s">
        <v>893</v>
      </c>
      <c r="AC372" s="150"/>
      <c r="AD372" s="150"/>
      <c r="AE372" s="150" t="str">
        <f>IFERROR(VLOOKUP(H372,名称!A:D,4,0),"")</f>
        <v>KIK</v>
      </c>
      <c r="AF372" s="174"/>
      <c r="AG372" s="174"/>
      <c r="AH372" s="178">
        <v>46128</v>
      </c>
      <c r="AI372" s="178" t="s">
        <v>420</v>
      </c>
      <c r="AJ372" s="178"/>
      <c r="AK372" s="199">
        <v>46135</v>
      </c>
      <c r="AL372" s="178">
        <v>46128</v>
      </c>
      <c r="AM372" s="178"/>
      <c r="AN372" s="178"/>
      <c r="AO372" s="143">
        <f t="shared" si="74"/>
        <v>56</v>
      </c>
      <c r="AP372" s="143">
        <f t="shared" si="75"/>
        <v>48</v>
      </c>
    </row>
    <row r="373" s="89" customFormat="1" hidden="1" customHeight="1" spans="1:42">
      <c r="A373" s="150">
        <v>46120</v>
      </c>
      <c r="B373" s="150" t="str">
        <f ca="1" t="shared" si="67"/>
        <v/>
      </c>
      <c r="C373" s="171" t="s">
        <v>237</v>
      </c>
      <c r="D373" s="150" t="s">
        <v>838</v>
      </c>
      <c r="E373" s="171" t="s">
        <v>438</v>
      </c>
      <c r="F373" s="172">
        <v>10124250</v>
      </c>
      <c r="G373" s="172" t="s">
        <v>283</v>
      </c>
      <c r="H373" s="173" t="s">
        <v>35</v>
      </c>
      <c r="I373" s="174" t="str">
        <f>IFERROR(VLOOKUP(H373,名称!A:C,2,0),"")</f>
        <v>1:16拖车厢</v>
      </c>
      <c r="J373" s="175">
        <v>36</v>
      </c>
      <c r="K373" s="174">
        <f>IFERROR(VLOOKUP(H373,名称!A:D,3,0),"")</f>
        <v>2</v>
      </c>
      <c r="L373" s="143">
        <f t="shared" si="68"/>
        <v>18</v>
      </c>
      <c r="M373" s="150">
        <v>46176</v>
      </c>
      <c r="N373" s="150">
        <f t="shared" si="69"/>
        <v>46174</v>
      </c>
      <c r="O373" s="150">
        <v>46176</v>
      </c>
      <c r="P373" s="150" t="s">
        <v>435</v>
      </c>
      <c r="Q373" s="173" t="s">
        <v>777</v>
      </c>
      <c r="R373" s="148" t="s">
        <v>826</v>
      </c>
      <c r="S373" s="150"/>
      <c r="T373" s="150"/>
      <c r="U373" s="150"/>
      <c r="V373" s="150"/>
      <c r="W373" s="173"/>
      <c r="X373" s="143" t="s">
        <v>839</v>
      </c>
      <c r="Y373" s="176">
        <v>22.9</v>
      </c>
      <c r="Z373" s="198">
        <f t="shared" si="78"/>
        <v>824.4</v>
      </c>
      <c r="AA373" s="198">
        <f t="shared" si="79"/>
        <v>6389.1</v>
      </c>
      <c r="AB373" s="194" t="s">
        <v>893</v>
      </c>
      <c r="AC373" s="150"/>
      <c r="AD373" s="150"/>
      <c r="AE373" s="150" t="str">
        <f>IFERROR(VLOOKUP(H373,名称!A:D,4,0),"")</f>
        <v>KIK</v>
      </c>
      <c r="AF373" s="174"/>
      <c r="AG373" s="174"/>
      <c r="AH373" s="178">
        <v>46146</v>
      </c>
      <c r="AI373" s="178">
        <v>46171</v>
      </c>
      <c r="AJ373" s="178"/>
      <c r="AK373" s="178">
        <v>46146</v>
      </c>
      <c r="AL373" s="178">
        <v>46140</v>
      </c>
      <c r="AM373" s="178"/>
      <c r="AN373" s="178"/>
      <c r="AO373" s="143">
        <f t="shared" si="74"/>
        <v>56</v>
      </c>
      <c r="AP373" s="143">
        <f t="shared" si="75"/>
        <v>30</v>
      </c>
    </row>
    <row r="374" s="89" customFormat="1" hidden="1" customHeight="1" spans="1:42">
      <c r="A374" s="150">
        <v>46120</v>
      </c>
      <c r="B374" s="150" t="str">
        <f ca="1" t="shared" si="67"/>
        <v/>
      </c>
      <c r="C374" s="171" t="s">
        <v>237</v>
      </c>
      <c r="D374" s="150" t="s">
        <v>838</v>
      </c>
      <c r="E374" s="171" t="s">
        <v>438</v>
      </c>
      <c r="F374" s="172">
        <v>10124250</v>
      </c>
      <c r="G374" s="172" t="s">
        <v>283</v>
      </c>
      <c r="H374" s="173">
        <v>47669</v>
      </c>
      <c r="I374" s="174" t="str">
        <f>IFERROR(VLOOKUP(H374,名称!A:C,2,0),"")</f>
        <v>动物车</v>
      </c>
      <c r="J374" s="175">
        <v>64</v>
      </c>
      <c r="K374" s="174">
        <f>IFERROR(VLOOKUP(H374,名称!A:D,3,0),"")</f>
        <v>4</v>
      </c>
      <c r="L374" s="143">
        <f t="shared" si="68"/>
        <v>16</v>
      </c>
      <c r="M374" s="150">
        <v>46176</v>
      </c>
      <c r="N374" s="150">
        <f t="shared" si="69"/>
        <v>46174</v>
      </c>
      <c r="O374" s="150">
        <v>46182</v>
      </c>
      <c r="P374" s="150" t="s">
        <v>435</v>
      </c>
      <c r="Q374" s="173" t="s">
        <v>777</v>
      </c>
      <c r="R374" s="148" t="s">
        <v>826</v>
      </c>
      <c r="S374" s="150"/>
      <c r="T374" s="150" t="s">
        <v>452</v>
      </c>
      <c r="U374" s="150"/>
      <c r="V374" s="150"/>
      <c r="W374" s="173"/>
      <c r="X374" s="143" t="s">
        <v>839</v>
      </c>
      <c r="Y374" s="176">
        <v>4.808</v>
      </c>
      <c r="Z374" s="198">
        <f t="shared" si="78"/>
        <v>307.71</v>
      </c>
      <c r="AA374" s="198">
        <f t="shared" si="79"/>
        <v>2384.75</v>
      </c>
      <c r="AB374" s="194" t="s">
        <v>893</v>
      </c>
      <c r="AC374" s="174"/>
      <c r="AD374" s="178"/>
      <c r="AE374" s="150" t="str">
        <f>IFERROR(VLOOKUP(H374,名称!A:D,4,0),"")</f>
        <v>KIK</v>
      </c>
      <c r="AF374" s="178">
        <v>46115</v>
      </c>
      <c r="AG374" s="178"/>
      <c r="AH374" s="178">
        <v>46115</v>
      </c>
      <c r="AI374" s="178">
        <v>46135</v>
      </c>
      <c r="AJ374" s="178"/>
      <c r="AK374" s="178" t="s">
        <v>420</v>
      </c>
      <c r="AL374" s="178" t="s">
        <v>420</v>
      </c>
      <c r="AM374" s="178"/>
      <c r="AN374" s="180"/>
      <c r="AO374" s="143">
        <f t="shared" si="74"/>
        <v>56</v>
      </c>
      <c r="AP374" s="143">
        <f t="shared" si="75"/>
        <v>61</v>
      </c>
    </row>
    <row r="375" s="89" customFormat="1" hidden="1" customHeight="1" spans="1:42">
      <c r="A375" s="150">
        <v>46120</v>
      </c>
      <c r="B375" s="150" t="str">
        <f ca="1" t="shared" si="67"/>
        <v/>
      </c>
      <c r="C375" s="171" t="s">
        <v>237</v>
      </c>
      <c r="D375" s="150" t="s">
        <v>838</v>
      </c>
      <c r="E375" s="171" t="s">
        <v>438</v>
      </c>
      <c r="F375" s="172">
        <v>10124250</v>
      </c>
      <c r="G375" s="172" t="s">
        <v>283</v>
      </c>
      <c r="H375" s="173" t="s">
        <v>39</v>
      </c>
      <c r="I375" s="174" t="str">
        <f>IFERROR(VLOOKUP(H375,名称!A:C,2,0),"")</f>
        <v>1:16货柜车</v>
      </c>
      <c r="J375" s="175">
        <v>26</v>
      </c>
      <c r="K375" s="174">
        <f>IFERROR(VLOOKUP(H375,名称!A:D,3,0),"")</f>
        <v>2</v>
      </c>
      <c r="L375" s="143">
        <f t="shared" si="68"/>
        <v>13</v>
      </c>
      <c r="M375" s="150">
        <v>46183</v>
      </c>
      <c r="N375" s="150">
        <f t="shared" si="69"/>
        <v>46181</v>
      </c>
      <c r="O375" s="150">
        <v>46195</v>
      </c>
      <c r="P375" s="150" t="s">
        <v>435</v>
      </c>
      <c r="Q375" s="173" t="s">
        <v>777</v>
      </c>
      <c r="R375" s="148" t="s">
        <v>602</v>
      </c>
      <c r="S375" s="150"/>
      <c r="T375" s="150"/>
      <c r="U375" s="150"/>
      <c r="V375" s="150"/>
      <c r="W375" s="173"/>
      <c r="X375" s="143" t="s">
        <v>839</v>
      </c>
      <c r="Y375" s="176">
        <v>30.536</v>
      </c>
      <c r="Z375" s="198">
        <f t="shared" si="78"/>
        <v>793.94</v>
      </c>
      <c r="AA375" s="198">
        <f t="shared" si="79"/>
        <v>6153.04</v>
      </c>
      <c r="AB375" s="194" t="s">
        <v>893</v>
      </c>
      <c r="AC375" s="150"/>
      <c r="AD375" s="150"/>
      <c r="AE375" s="150" t="str">
        <f>IFERROR(VLOOKUP(H375,名称!A:D,4,0),"")</f>
        <v>KIK</v>
      </c>
      <c r="AF375" s="174"/>
      <c r="AG375" s="174"/>
      <c r="AH375" s="178">
        <v>46129</v>
      </c>
      <c r="AI375" s="178">
        <v>46163</v>
      </c>
      <c r="AJ375" s="178"/>
      <c r="AK375" s="178">
        <v>46146</v>
      </c>
      <c r="AL375" s="178">
        <v>46140</v>
      </c>
      <c r="AM375" s="178"/>
      <c r="AN375" s="178"/>
      <c r="AO375" s="143">
        <f t="shared" si="74"/>
        <v>63</v>
      </c>
      <c r="AP375" s="143">
        <f t="shared" si="75"/>
        <v>54</v>
      </c>
    </row>
    <row r="376" s="89" customFormat="1" hidden="1" customHeight="1" spans="1:42">
      <c r="A376" s="150">
        <v>46120</v>
      </c>
      <c r="B376" s="150" t="str">
        <f ca="1" t="shared" si="67"/>
        <v/>
      </c>
      <c r="C376" s="171" t="s">
        <v>237</v>
      </c>
      <c r="D376" s="150" t="s">
        <v>838</v>
      </c>
      <c r="E376" s="171" t="s">
        <v>438</v>
      </c>
      <c r="F376" s="172">
        <v>10124250</v>
      </c>
      <c r="G376" s="172" t="s">
        <v>283</v>
      </c>
      <c r="H376" s="173" t="s">
        <v>118</v>
      </c>
      <c r="I376" s="174" t="str">
        <f>IFERROR(VLOOKUP(H376,名称!A:C,2,0),"")</f>
        <v>滑板拖车</v>
      </c>
      <c r="J376" s="175">
        <v>36</v>
      </c>
      <c r="K376" s="174">
        <f>IFERROR(VLOOKUP(H376,名称!A:D,3,0),"")</f>
        <v>4</v>
      </c>
      <c r="L376" s="143">
        <f t="shared" si="68"/>
        <v>9</v>
      </c>
      <c r="M376" s="150">
        <v>46190</v>
      </c>
      <c r="N376" s="150">
        <f t="shared" si="69"/>
        <v>46188</v>
      </c>
      <c r="O376" s="150">
        <v>46176</v>
      </c>
      <c r="P376" s="150" t="s">
        <v>435</v>
      </c>
      <c r="Q376" s="173" t="s">
        <v>777</v>
      </c>
      <c r="R376" s="148" t="s">
        <v>779</v>
      </c>
      <c r="S376" s="150"/>
      <c r="T376" s="150" t="s">
        <v>505</v>
      </c>
      <c r="U376" s="150"/>
      <c r="V376" s="150"/>
      <c r="W376" s="173"/>
      <c r="X376" s="143" t="s">
        <v>873</v>
      </c>
      <c r="Y376" s="176">
        <v>16.71</v>
      </c>
      <c r="Z376" s="198">
        <f t="shared" si="78"/>
        <v>601.56</v>
      </c>
      <c r="AA376" s="198">
        <f t="shared" si="79"/>
        <v>4662.09</v>
      </c>
      <c r="AB376" s="194" t="s">
        <v>893</v>
      </c>
      <c r="AC376" s="174"/>
      <c r="AD376" s="178"/>
      <c r="AE376" s="150" t="str">
        <f>IFERROR(VLOOKUP(H376,名称!A:D,4,0),"")</f>
        <v>KIK</v>
      </c>
      <c r="AF376" s="178"/>
      <c r="AG376" s="178"/>
      <c r="AH376" s="178">
        <v>46134</v>
      </c>
      <c r="AI376" s="178" t="s">
        <v>420</v>
      </c>
      <c r="AJ376" s="178"/>
      <c r="AK376" s="178">
        <v>46135</v>
      </c>
      <c r="AL376" s="178">
        <v>46134</v>
      </c>
      <c r="AM376" s="178"/>
      <c r="AN376" s="180"/>
      <c r="AO376" s="143">
        <f t="shared" si="74"/>
        <v>70</v>
      </c>
      <c r="AP376" s="143">
        <f t="shared" si="75"/>
        <v>56</v>
      </c>
    </row>
    <row r="377" s="89" customFormat="1" hidden="1" customHeight="1" spans="1:42">
      <c r="A377" s="150">
        <v>46120</v>
      </c>
      <c r="B377" s="150" t="str">
        <f ca="1" t="shared" ref="B377:B396" si="80">IF(TODAY()&gt;=A377,IF(R377="","未",""),"")</f>
        <v/>
      </c>
      <c r="C377" s="171" t="s">
        <v>237</v>
      </c>
      <c r="D377" s="150" t="s">
        <v>838</v>
      </c>
      <c r="E377" s="171" t="s">
        <v>438</v>
      </c>
      <c r="F377" s="172">
        <v>10124250</v>
      </c>
      <c r="G377" s="172" t="s">
        <v>283</v>
      </c>
      <c r="H377" s="173" t="s">
        <v>29</v>
      </c>
      <c r="I377" s="174" t="str">
        <f>IFERROR(VLOOKUP(H377,名称!A:C,2,0),"")</f>
        <v>木材运输车</v>
      </c>
      <c r="J377" s="175">
        <v>40</v>
      </c>
      <c r="K377" s="174">
        <f>IFERROR(VLOOKUP(H377,名称!A:D,3,0),"")</f>
        <v>4</v>
      </c>
      <c r="L377" s="143">
        <f t="shared" ref="L377:L396" si="81">IFERROR((J377/K377),"")</f>
        <v>10</v>
      </c>
      <c r="M377" s="150">
        <v>46197</v>
      </c>
      <c r="N377" s="150">
        <f t="shared" ref="N377:N396" si="82">M377-2</f>
        <v>46195</v>
      </c>
      <c r="O377" s="150">
        <v>46195</v>
      </c>
      <c r="P377" s="150" t="s">
        <v>435</v>
      </c>
      <c r="Q377" s="173" t="s">
        <v>777</v>
      </c>
      <c r="R377" s="148" t="s">
        <v>826</v>
      </c>
      <c r="S377" s="150"/>
      <c r="T377" s="150"/>
      <c r="U377" s="150"/>
      <c r="V377" s="150"/>
      <c r="W377" s="173"/>
      <c r="X377" s="143" t="s">
        <v>839</v>
      </c>
      <c r="Y377" s="176">
        <v>21.801</v>
      </c>
      <c r="Z377" s="198">
        <f t="shared" ref="Z377:Z408" si="83">J377*Y377</f>
        <v>872.04</v>
      </c>
      <c r="AA377" s="198">
        <f t="shared" ref="AA377:AA408" si="84">Z377*7.75</f>
        <v>6758.31</v>
      </c>
      <c r="AB377" s="194" t="s">
        <v>893</v>
      </c>
      <c r="AC377" s="150"/>
      <c r="AD377" s="150"/>
      <c r="AE377" s="150" t="str">
        <f>IFERROR(VLOOKUP(H377,名称!A:D,4,0),"")</f>
        <v>KIK</v>
      </c>
      <c r="AF377" s="174"/>
      <c r="AG377" s="174"/>
      <c r="AH377" s="178">
        <v>46139</v>
      </c>
      <c r="AI377" s="178" t="s">
        <v>828</v>
      </c>
      <c r="AJ377" s="178"/>
      <c r="AK377" s="178">
        <v>46156</v>
      </c>
      <c r="AL377" s="178">
        <v>46140</v>
      </c>
      <c r="AM377" s="178"/>
      <c r="AN377" s="178"/>
      <c r="AO377" s="143">
        <f t="shared" si="74"/>
        <v>77</v>
      </c>
      <c r="AP377" s="143">
        <f t="shared" si="75"/>
        <v>58</v>
      </c>
    </row>
    <row r="378" s="118" customFormat="1" hidden="1" customHeight="1" spans="1:42">
      <c r="A378" s="150">
        <v>46120</v>
      </c>
      <c r="B378" s="150" t="str">
        <f ca="1" t="shared" si="80"/>
        <v/>
      </c>
      <c r="C378" s="171" t="s">
        <v>237</v>
      </c>
      <c r="D378" s="150" t="s">
        <v>838</v>
      </c>
      <c r="E378" s="171" t="s">
        <v>438</v>
      </c>
      <c r="F378" s="172">
        <v>10124250</v>
      </c>
      <c r="G378" s="172" t="s">
        <v>283</v>
      </c>
      <c r="H378" s="173" t="s">
        <v>31</v>
      </c>
      <c r="I378" s="174" t="str">
        <f>IFERROR(VLOOKUP(H378,名称!A:C,2,0),"")</f>
        <v>1:16收割机</v>
      </c>
      <c r="J378" s="175">
        <v>75</v>
      </c>
      <c r="K378" s="174">
        <f>IFERROR(VLOOKUP(H378,名称!A:D,3,0),"")</f>
        <v>1</v>
      </c>
      <c r="L378" s="143">
        <f t="shared" si="81"/>
        <v>75</v>
      </c>
      <c r="M378" s="150">
        <v>46197</v>
      </c>
      <c r="N378" s="150">
        <f t="shared" si="82"/>
        <v>46195</v>
      </c>
      <c r="O378" s="150">
        <v>46197</v>
      </c>
      <c r="P378" s="150" t="s">
        <v>435</v>
      </c>
      <c r="Q378" s="173" t="s">
        <v>777</v>
      </c>
      <c r="R378" s="148" t="s">
        <v>826</v>
      </c>
      <c r="S378" s="150"/>
      <c r="T378" s="150" t="s">
        <v>452</v>
      </c>
      <c r="U378" s="150"/>
      <c r="V378" s="150"/>
      <c r="W378" s="173"/>
      <c r="X378" s="143" t="s">
        <v>839</v>
      </c>
      <c r="Y378" s="176">
        <v>29.652</v>
      </c>
      <c r="Z378" s="198">
        <f t="shared" si="83"/>
        <v>2223.9</v>
      </c>
      <c r="AA378" s="198">
        <f t="shared" si="84"/>
        <v>17235.23</v>
      </c>
      <c r="AB378" s="194" t="s">
        <v>893</v>
      </c>
      <c r="AC378" s="174"/>
      <c r="AD378" s="178"/>
      <c r="AE378" s="150" t="str">
        <f>IFERROR(VLOOKUP(H378,名称!A:D,4,0),"")</f>
        <v>KIK</v>
      </c>
      <c r="AF378" s="178"/>
      <c r="AG378" s="178"/>
      <c r="AH378" s="178">
        <v>46149</v>
      </c>
      <c r="AI378" s="178"/>
      <c r="AJ378" s="178"/>
      <c r="AK378" s="178">
        <v>46158</v>
      </c>
      <c r="AL378" s="179">
        <v>46140</v>
      </c>
      <c r="AM378" s="178"/>
      <c r="AN378" s="180"/>
      <c r="AO378" s="143">
        <f t="shared" si="74"/>
        <v>77</v>
      </c>
      <c r="AP378" s="143">
        <f t="shared" si="75"/>
        <v>48</v>
      </c>
    </row>
    <row r="379" s="89" customFormat="1" hidden="1" customHeight="1" spans="1:42">
      <c r="A379" s="150">
        <v>46120</v>
      </c>
      <c r="B379" s="150" t="str">
        <f ca="1" t="shared" si="80"/>
        <v/>
      </c>
      <c r="C379" s="171" t="s">
        <v>237</v>
      </c>
      <c r="D379" s="150" t="s">
        <v>838</v>
      </c>
      <c r="E379" s="171" t="s">
        <v>438</v>
      </c>
      <c r="F379" s="172">
        <v>10124250</v>
      </c>
      <c r="G379" s="172" t="s">
        <v>283</v>
      </c>
      <c r="H379" s="173" t="s">
        <v>87</v>
      </c>
      <c r="I379" s="174" t="str">
        <f>IFERROR(VLOOKUP(H379,名称!A:C,2,0),"")</f>
        <v>1:16收割机</v>
      </c>
      <c r="J379" s="175">
        <v>24</v>
      </c>
      <c r="K379" s="174">
        <f>IFERROR(VLOOKUP(H379,名称!A:D,3,0),"")</f>
        <v>1</v>
      </c>
      <c r="L379" s="143">
        <f t="shared" si="81"/>
        <v>24</v>
      </c>
      <c r="M379" s="150">
        <v>46197</v>
      </c>
      <c r="N379" s="150">
        <f t="shared" si="82"/>
        <v>46195</v>
      </c>
      <c r="O379" s="150">
        <v>46198</v>
      </c>
      <c r="P379" s="150" t="s">
        <v>435</v>
      </c>
      <c r="Q379" s="173" t="s">
        <v>777</v>
      </c>
      <c r="R379" s="148" t="s">
        <v>431</v>
      </c>
      <c r="S379" s="150"/>
      <c r="T379" s="150"/>
      <c r="U379" s="150"/>
      <c r="V379" s="150"/>
      <c r="W379" s="173"/>
      <c r="X379" s="143" t="s">
        <v>839</v>
      </c>
      <c r="Y379" s="176">
        <v>31.4</v>
      </c>
      <c r="Z379" s="198">
        <f t="shared" si="83"/>
        <v>753.6</v>
      </c>
      <c r="AA379" s="198">
        <f t="shared" si="84"/>
        <v>5840.4</v>
      </c>
      <c r="AB379" s="194" t="s">
        <v>893</v>
      </c>
      <c r="AC379" s="174"/>
      <c r="AD379" s="178"/>
      <c r="AE379" s="150" t="str">
        <f>IFERROR(VLOOKUP(H379,名称!A:D,4,0),"")</f>
        <v>KIK</v>
      </c>
      <c r="AF379" s="178"/>
      <c r="AG379" s="178"/>
      <c r="AH379" s="178">
        <v>46149</v>
      </c>
      <c r="AI379" s="178">
        <v>46158</v>
      </c>
      <c r="AJ379" s="178"/>
      <c r="AK379" s="178">
        <v>46154</v>
      </c>
      <c r="AL379" s="179">
        <v>46140</v>
      </c>
      <c r="AM379" s="178"/>
      <c r="AN379" s="180"/>
      <c r="AO379" s="143">
        <f t="shared" si="74"/>
        <v>77</v>
      </c>
      <c r="AP379" s="143">
        <f t="shared" si="75"/>
        <v>48</v>
      </c>
    </row>
    <row r="380" s="89" customFormat="1" customHeight="1" spans="1:42">
      <c r="A380" s="150">
        <v>46120</v>
      </c>
      <c r="B380" s="150" t="str">
        <f ca="1" t="shared" si="80"/>
        <v/>
      </c>
      <c r="C380" s="171" t="s">
        <v>237</v>
      </c>
      <c r="D380" s="150" t="s">
        <v>838</v>
      </c>
      <c r="E380" s="171" t="s">
        <v>438</v>
      </c>
      <c r="F380" s="172">
        <v>10124250</v>
      </c>
      <c r="G380" s="172" t="s">
        <v>283</v>
      </c>
      <c r="H380" s="173" t="s">
        <v>120</v>
      </c>
      <c r="I380" s="174" t="str">
        <f>IFERROR(VLOOKUP(H380,名称!A:C,2,0),"")</f>
        <v>绿色拖拉机</v>
      </c>
      <c r="J380" s="175">
        <v>80</v>
      </c>
      <c r="K380" s="174">
        <f>IFERROR(VLOOKUP(H380,名称!A:D,3,0),"")</f>
        <v>2</v>
      </c>
      <c r="L380" s="143">
        <f t="shared" si="81"/>
        <v>40</v>
      </c>
      <c r="M380" s="150">
        <v>46197</v>
      </c>
      <c r="N380" s="150">
        <f t="shared" si="82"/>
        <v>46195</v>
      </c>
      <c r="O380" s="150">
        <v>46197</v>
      </c>
      <c r="P380" s="150" t="s">
        <v>429</v>
      </c>
      <c r="Q380" s="173" t="s">
        <v>777</v>
      </c>
      <c r="R380" s="148" t="s">
        <v>418</v>
      </c>
      <c r="S380" s="150"/>
      <c r="T380" s="150" t="s">
        <v>452</v>
      </c>
      <c r="U380" s="150"/>
      <c r="V380" s="150"/>
      <c r="W380" s="173"/>
      <c r="X380" s="143" t="s">
        <v>839</v>
      </c>
      <c r="Y380" s="176">
        <v>21.246</v>
      </c>
      <c r="Z380" s="198">
        <f t="shared" si="83"/>
        <v>1699.68</v>
      </c>
      <c r="AA380" s="198">
        <f t="shared" si="84"/>
        <v>13172.52</v>
      </c>
      <c r="AB380" s="194" t="s">
        <v>893</v>
      </c>
      <c r="AC380" s="174"/>
      <c r="AD380" s="178"/>
      <c r="AE380" s="150" t="str">
        <f>IFERROR(VLOOKUP(H380,名称!A:D,4,0),"")</f>
        <v>KIK</v>
      </c>
      <c r="AF380" s="178"/>
      <c r="AG380" s="178"/>
      <c r="AH380" s="178">
        <v>46134</v>
      </c>
      <c r="AI380" s="178">
        <v>46128</v>
      </c>
      <c r="AJ380" s="178"/>
      <c r="AK380" s="178">
        <v>46149</v>
      </c>
      <c r="AL380" s="178">
        <v>46134</v>
      </c>
      <c r="AM380" s="178"/>
      <c r="AN380" s="180"/>
      <c r="AO380" s="143">
        <f t="shared" si="74"/>
        <v>77</v>
      </c>
      <c r="AP380" s="143">
        <f t="shared" si="75"/>
        <v>63</v>
      </c>
    </row>
    <row r="381" s="89" customFormat="1" hidden="1" customHeight="1" spans="1:42">
      <c r="A381" s="150">
        <v>46109</v>
      </c>
      <c r="B381" s="150" t="str">
        <f ca="1" t="shared" si="80"/>
        <v/>
      </c>
      <c r="C381" s="171" t="s">
        <v>271</v>
      </c>
      <c r="D381" s="150" t="s">
        <v>894</v>
      </c>
      <c r="E381" s="171" t="s">
        <v>438</v>
      </c>
      <c r="F381" s="172">
        <v>10123675</v>
      </c>
      <c r="G381" s="172">
        <v>56799</v>
      </c>
      <c r="H381" s="173" t="s">
        <v>97</v>
      </c>
      <c r="I381" s="174" t="str">
        <f>IFERROR(VLOOKUP(H381,名称!A:C,2,0),"")</f>
        <v>管道马里奥</v>
      </c>
      <c r="J381" s="175">
        <v>480</v>
      </c>
      <c r="K381" s="174">
        <f>IFERROR(VLOOKUP(H381,名称!A:D,3,0),"")</f>
        <v>4</v>
      </c>
      <c r="L381" s="143">
        <f t="shared" si="81"/>
        <v>120</v>
      </c>
      <c r="M381" s="150">
        <v>46204</v>
      </c>
      <c r="N381" s="150">
        <f t="shared" si="82"/>
        <v>46202</v>
      </c>
      <c r="O381" s="150">
        <v>46172</v>
      </c>
      <c r="P381" s="150" t="s">
        <v>435</v>
      </c>
      <c r="Q381" s="173" t="s">
        <v>424</v>
      </c>
      <c r="R381" s="148" t="s">
        <v>880</v>
      </c>
      <c r="S381" s="150"/>
      <c r="T381" s="150"/>
      <c r="U381" s="150"/>
      <c r="V381" s="150"/>
      <c r="W381" s="173"/>
      <c r="X381" s="143" t="s">
        <v>895</v>
      </c>
      <c r="Y381" s="176">
        <v>3.362</v>
      </c>
      <c r="Z381" s="198">
        <f t="shared" si="83"/>
        <v>1613.76</v>
      </c>
      <c r="AA381" s="198">
        <f t="shared" si="84"/>
        <v>12506.64</v>
      </c>
      <c r="AB381" s="194" t="s">
        <v>896</v>
      </c>
      <c r="AC381" s="150"/>
      <c r="AD381" s="150"/>
      <c r="AE381" s="150" t="str">
        <f>IFERROR(VLOOKUP(H381,名称!A:D,4,0),"")</f>
        <v>KIK</v>
      </c>
      <c r="AF381" s="174"/>
      <c r="AG381" s="174"/>
      <c r="AH381" s="178">
        <v>46118</v>
      </c>
      <c r="AI381" s="178" t="s">
        <v>420</v>
      </c>
      <c r="AJ381" s="178"/>
      <c r="AK381" s="178" t="s">
        <v>420</v>
      </c>
      <c r="AL381" s="178" t="s">
        <v>420</v>
      </c>
      <c r="AM381" s="178"/>
      <c r="AN381" s="178"/>
      <c r="AO381" s="143">
        <f t="shared" si="74"/>
        <v>95</v>
      </c>
      <c r="AP381" s="143">
        <f t="shared" si="75"/>
        <v>86</v>
      </c>
    </row>
    <row r="382" s="89" customFormat="1" hidden="1" customHeight="1" spans="1:42">
      <c r="A382" s="150">
        <v>46109</v>
      </c>
      <c r="B382" s="150" t="str">
        <f ca="1" t="shared" si="80"/>
        <v/>
      </c>
      <c r="C382" s="171" t="s">
        <v>271</v>
      </c>
      <c r="D382" s="150" t="s">
        <v>894</v>
      </c>
      <c r="E382" s="171" t="s">
        <v>438</v>
      </c>
      <c r="F382" s="172">
        <v>10123675</v>
      </c>
      <c r="G382" s="172">
        <v>56799</v>
      </c>
      <c r="H382" s="173" t="s">
        <v>95</v>
      </c>
      <c r="I382" s="174" t="str">
        <f>IFERROR(VLOOKUP(H382,名称!A:C,2,0),"")</f>
        <v>宝箱马里奥</v>
      </c>
      <c r="J382" s="175">
        <v>480</v>
      </c>
      <c r="K382" s="174">
        <f>IFERROR(VLOOKUP(H382,名称!A:D,3,0),"")</f>
        <v>4</v>
      </c>
      <c r="L382" s="143">
        <f t="shared" si="81"/>
        <v>120</v>
      </c>
      <c r="M382" s="150">
        <v>46204</v>
      </c>
      <c r="N382" s="150">
        <f t="shared" si="82"/>
        <v>46202</v>
      </c>
      <c r="O382" s="150">
        <v>46181</v>
      </c>
      <c r="P382" s="150" t="s">
        <v>680</v>
      </c>
      <c r="Q382" s="173" t="s">
        <v>424</v>
      </c>
      <c r="R382" s="148" t="s">
        <v>883</v>
      </c>
      <c r="S382" s="150"/>
      <c r="T382" s="150"/>
      <c r="U382" s="150"/>
      <c r="V382" s="150"/>
      <c r="W382" s="173"/>
      <c r="X382" s="143" t="s">
        <v>895</v>
      </c>
      <c r="Y382" s="176">
        <v>2.25</v>
      </c>
      <c r="Z382" s="198">
        <f t="shared" si="83"/>
        <v>1080</v>
      </c>
      <c r="AA382" s="198">
        <f t="shared" si="84"/>
        <v>8370</v>
      </c>
      <c r="AB382" s="194" t="s">
        <v>896</v>
      </c>
      <c r="AC382" s="150"/>
      <c r="AD382" s="150"/>
      <c r="AE382" s="150" t="str">
        <f>IFERROR(VLOOKUP(H382,名称!A:D,4,0),"")</f>
        <v>KIK</v>
      </c>
      <c r="AF382" s="174"/>
      <c r="AG382" s="174"/>
      <c r="AH382" s="178">
        <v>46134</v>
      </c>
      <c r="AI382" s="178" t="s">
        <v>522</v>
      </c>
      <c r="AJ382" s="178"/>
      <c r="AK382" s="178" t="s">
        <v>420</v>
      </c>
      <c r="AL382" s="178" t="s">
        <v>420</v>
      </c>
      <c r="AM382" s="178"/>
      <c r="AN382" s="178"/>
      <c r="AO382" s="143">
        <f t="shared" si="74"/>
        <v>95</v>
      </c>
      <c r="AP382" s="143">
        <f t="shared" si="75"/>
        <v>70</v>
      </c>
    </row>
    <row r="383" s="89" customFormat="1" hidden="1" customHeight="1" spans="1:42">
      <c r="A383" s="150">
        <v>46109</v>
      </c>
      <c r="B383" s="150" t="str">
        <f ca="1" t="shared" si="80"/>
        <v/>
      </c>
      <c r="C383" s="171" t="s">
        <v>271</v>
      </c>
      <c r="D383" s="150" t="s">
        <v>894</v>
      </c>
      <c r="E383" s="171" t="s">
        <v>438</v>
      </c>
      <c r="F383" s="172">
        <v>10123675</v>
      </c>
      <c r="G383" s="172">
        <v>56799</v>
      </c>
      <c r="H383" s="173" t="s">
        <v>158</v>
      </c>
      <c r="I383" s="174" t="str">
        <f>IFERROR(VLOOKUP(H383,名称!A:C,2,0),"")</f>
        <v>JD LNS圆轮拖拉机</v>
      </c>
      <c r="J383" s="175">
        <v>600</v>
      </c>
      <c r="K383" s="174">
        <f>IFERROR(VLOOKUP(H383,名称!A:D,3,0),"")</f>
        <v>2</v>
      </c>
      <c r="L383" s="143">
        <f t="shared" si="81"/>
        <v>300</v>
      </c>
      <c r="M383" s="150">
        <v>46204</v>
      </c>
      <c r="N383" s="150">
        <f t="shared" si="82"/>
        <v>46202</v>
      </c>
      <c r="O383" s="150">
        <v>46181</v>
      </c>
      <c r="P383" s="150" t="s">
        <v>680</v>
      </c>
      <c r="Q383" s="173" t="s">
        <v>424</v>
      </c>
      <c r="R383" s="148" t="s">
        <v>883</v>
      </c>
      <c r="S383" s="150"/>
      <c r="T383" s="150" t="s">
        <v>452</v>
      </c>
      <c r="U383" s="150"/>
      <c r="V383" s="150"/>
      <c r="W383" s="173"/>
      <c r="X383" s="143" t="s">
        <v>895</v>
      </c>
      <c r="Y383" s="176">
        <v>4.792</v>
      </c>
      <c r="Z383" s="198">
        <f t="shared" si="83"/>
        <v>2875.2</v>
      </c>
      <c r="AA383" s="198">
        <f t="shared" si="84"/>
        <v>22282.8</v>
      </c>
      <c r="AB383" s="194" t="s">
        <v>896</v>
      </c>
      <c r="AC383" s="150"/>
      <c r="AD383" s="150"/>
      <c r="AE383" s="150" t="str">
        <f>IFERROR(VLOOKUP(H383,名称!A:D,4,0),"")</f>
        <v>KIK</v>
      </c>
      <c r="AF383" s="174"/>
      <c r="AG383" s="174"/>
      <c r="AH383" s="178">
        <v>46115</v>
      </c>
      <c r="AI383" s="178" t="s">
        <v>420</v>
      </c>
      <c r="AJ383" s="178"/>
      <c r="AK383" s="178" t="s">
        <v>453</v>
      </c>
      <c r="AL383" s="178">
        <v>46128</v>
      </c>
      <c r="AM383" s="178"/>
      <c r="AN383" s="178"/>
      <c r="AO383" s="143">
        <f t="shared" si="74"/>
        <v>95</v>
      </c>
      <c r="AP383" s="143">
        <f t="shared" si="75"/>
        <v>89</v>
      </c>
    </row>
    <row r="384" s="89" customFormat="1" hidden="1" customHeight="1" spans="1:42">
      <c r="A384" s="150">
        <v>46120</v>
      </c>
      <c r="B384" s="150" t="str">
        <f ca="1" t="shared" si="80"/>
        <v/>
      </c>
      <c r="C384" s="171" t="s">
        <v>237</v>
      </c>
      <c r="D384" s="150" t="s">
        <v>838</v>
      </c>
      <c r="E384" s="171" t="s">
        <v>438</v>
      </c>
      <c r="F384" s="172">
        <v>10124240</v>
      </c>
      <c r="G384" s="172" t="s">
        <v>284</v>
      </c>
      <c r="H384" s="173" t="s">
        <v>113</v>
      </c>
      <c r="I384" s="174" t="str">
        <f>IFERROR(VLOOKUP(H384,名称!A:C,2,0),"")</f>
        <v>绿色铲车</v>
      </c>
      <c r="J384" s="175">
        <v>576</v>
      </c>
      <c r="K384" s="174">
        <f>IFERROR(VLOOKUP(H384,名称!A:D,3,0),"")</f>
        <v>2</v>
      </c>
      <c r="L384" s="143">
        <f t="shared" si="81"/>
        <v>288</v>
      </c>
      <c r="M384" s="150">
        <v>46176</v>
      </c>
      <c r="N384" s="150">
        <f t="shared" si="82"/>
        <v>46174</v>
      </c>
      <c r="O384" s="150">
        <v>46177</v>
      </c>
      <c r="P384" s="150" t="s">
        <v>435</v>
      </c>
      <c r="Q384" s="173" t="s">
        <v>777</v>
      </c>
      <c r="R384" s="148" t="s">
        <v>771</v>
      </c>
      <c r="S384" s="150"/>
      <c r="T384" s="150" t="s">
        <v>452</v>
      </c>
      <c r="U384" s="150"/>
      <c r="V384" s="150"/>
      <c r="W384" s="173"/>
      <c r="X384" s="143" t="s">
        <v>839</v>
      </c>
      <c r="Y384" s="176">
        <v>5.97</v>
      </c>
      <c r="Z384" s="198">
        <f t="shared" si="83"/>
        <v>3438.72</v>
      </c>
      <c r="AA384" s="198">
        <f t="shared" si="84"/>
        <v>26650.08</v>
      </c>
      <c r="AB384" s="194" t="s">
        <v>897</v>
      </c>
      <c r="AC384" s="150"/>
      <c r="AD384" s="150"/>
      <c r="AE384" s="150" t="str">
        <f>IFERROR(VLOOKUP(H384,名称!A:D,4,0),"")</f>
        <v>KIK</v>
      </c>
      <c r="AF384" s="174"/>
      <c r="AG384" s="174"/>
      <c r="AH384" s="178">
        <v>46134</v>
      </c>
      <c r="AI384" s="178" t="s">
        <v>420</v>
      </c>
      <c r="AJ384" s="178"/>
      <c r="AK384" s="178">
        <v>46140</v>
      </c>
      <c r="AL384" s="178">
        <v>46134</v>
      </c>
      <c r="AM384" s="178"/>
      <c r="AN384" s="178"/>
      <c r="AO384" s="143">
        <f t="shared" si="74"/>
        <v>56</v>
      </c>
      <c r="AP384" s="143">
        <f t="shared" si="75"/>
        <v>42</v>
      </c>
    </row>
    <row r="385" s="89" customFormat="1" customHeight="1" spans="1:42">
      <c r="A385" s="150">
        <v>46120</v>
      </c>
      <c r="B385" s="150" t="str">
        <f ca="1" t="shared" si="80"/>
        <v/>
      </c>
      <c r="C385" s="171" t="s">
        <v>237</v>
      </c>
      <c r="D385" s="150" t="s">
        <v>838</v>
      </c>
      <c r="E385" s="171" t="s">
        <v>438</v>
      </c>
      <c r="F385" s="172">
        <v>10124240</v>
      </c>
      <c r="G385" s="172" t="s">
        <v>284</v>
      </c>
      <c r="H385" s="173" t="s">
        <v>120</v>
      </c>
      <c r="I385" s="174" t="str">
        <f>IFERROR(VLOOKUP(H385,名称!A:C,2,0),"")</f>
        <v>绿色拖拉机</v>
      </c>
      <c r="J385" s="175">
        <v>480</v>
      </c>
      <c r="K385" s="174">
        <f>IFERROR(VLOOKUP(H385,名称!A:D,3,0),"")</f>
        <v>2</v>
      </c>
      <c r="L385" s="143">
        <f t="shared" si="81"/>
        <v>240</v>
      </c>
      <c r="M385" s="150">
        <v>46197</v>
      </c>
      <c r="N385" s="150">
        <f t="shared" si="82"/>
        <v>46195</v>
      </c>
      <c r="O385" s="150">
        <v>46197</v>
      </c>
      <c r="P385" s="150" t="s">
        <v>429</v>
      </c>
      <c r="Q385" s="173" t="s">
        <v>777</v>
      </c>
      <c r="R385" s="148" t="s">
        <v>418</v>
      </c>
      <c r="S385" s="150"/>
      <c r="T385" s="150" t="s">
        <v>452</v>
      </c>
      <c r="U385" s="150"/>
      <c r="V385" s="150"/>
      <c r="W385" s="173"/>
      <c r="X385" s="143" t="s">
        <v>839</v>
      </c>
      <c r="Y385" s="176">
        <v>21.246</v>
      </c>
      <c r="Z385" s="198">
        <f t="shared" si="83"/>
        <v>10198.08</v>
      </c>
      <c r="AA385" s="198">
        <f t="shared" si="84"/>
        <v>79035.12</v>
      </c>
      <c r="AB385" s="194" t="s">
        <v>897</v>
      </c>
      <c r="AC385" s="174"/>
      <c r="AD385" s="178"/>
      <c r="AE385" s="150" t="str">
        <f>IFERROR(VLOOKUP(H385,名称!A:D,4,0),"")</f>
        <v>KIK</v>
      </c>
      <c r="AF385" s="178"/>
      <c r="AG385" s="178"/>
      <c r="AH385" s="178">
        <v>46134</v>
      </c>
      <c r="AI385" s="178">
        <v>46128</v>
      </c>
      <c r="AJ385" s="178"/>
      <c r="AK385" s="178">
        <v>46149</v>
      </c>
      <c r="AL385" s="178">
        <v>46134</v>
      </c>
      <c r="AM385" s="178"/>
      <c r="AN385" s="180"/>
      <c r="AO385" s="143">
        <f t="shared" si="74"/>
        <v>77</v>
      </c>
      <c r="AP385" s="143">
        <f t="shared" si="75"/>
        <v>63</v>
      </c>
    </row>
    <row r="386" s="89" customFormat="1" hidden="1" customHeight="1" spans="1:42">
      <c r="A386" s="150">
        <v>46115</v>
      </c>
      <c r="B386" s="150" t="str">
        <f ca="1" t="shared" si="80"/>
        <v/>
      </c>
      <c r="C386" s="171" t="s">
        <v>237</v>
      </c>
      <c r="D386" s="150" t="s">
        <v>838</v>
      </c>
      <c r="E386" s="171" t="s">
        <v>438</v>
      </c>
      <c r="F386" s="172">
        <v>10124144</v>
      </c>
      <c r="G386" s="172">
        <v>671988977</v>
      </c>
      <c r="H386" s="173" t="s">
        <v>107</v>
      </c>
      <c r="I386" s="174" t="str">
        <f>IFERROR(VLOOKUP(H386,名称!A:C,2,0),"")</f>
        <v>农场女孩套装</v>
      </c>
      <c r="J386" s="175">
        <v>100</v>
      </c>
      <c r="K386" s="174">
        <f>IFERROR(VLOOKUP(H386,名称!A:D,3,0),"")</f>
        <v>4</v>
      </c>
      <c r="L386" s="143">
        <f t="shared" si="81"/>
        <v>25</v>
      </c>
      <c r="M386" s="150">
        <v>46176</v>
      </c>
      <c r="N386" s="150">
        <f t="shared" si="82"/>
        <v>46174</v>
      </c>
      <c r="O386" s="147">
        <v>46177</v>
      </c>
      <c r="P386" s="150" t="s">
        <v>435</v>
      </c>
      <c r="Q386" s="173" t="s">
        <v>777</v>
      </c>
      <c r="R386" s="148" t="s">
        <v>782</v>
      </c>
      <c r="S386" s="150"/>
      <c r="T386" s="150" t="s">
        <v>452</v>
      </c>
      <c r="U386" s="150"/>
      <c r="V386" s="150"/>
      <c r="W386" s="173"/>
      <c r="X386" s="143" t="s">
        <v>839</v>
      </c>
      <c r="Y386" s="176">
        <v>4.956</v>
      </c>
      <c r="Z386" s="198">
        <f t="shared" si="83"/>
        <v>495.6</v>
      </c>
      <c r="AA386" s="198">
        <f t="shared" si="84"/>
        <v>3840.9</v>
      </c>
      <c r="AB386" s="194" t="s">
        <v>898</v>
      </c>
      <c r="AC386" s="150"/>
      <c r="AD386" s="150"/>
      <c r="AE386" s="150" t="str">
        <f>IFERROR(VLOOKUP(H386,名称!A:D,4,0),"")</f>
        <v>KIK</v>
      </c>
      <c r="AF386" s="174"/>
      <c r="AG386" s="174"/>
      <c r="AH386" s="178">
        <v>46121</v>
      </c>
      <c r="AI386" s="178">
        <v>46128</v>
      </c>
      <c r="AJ386" s="178"/>
      <c r="AK386" s="178" t="s">
        <v>420</v>
      </c>
      <c r="AL386" s="178" t="s">
        <v>420</v>
      </c>
      <c r="AM386" s="178"/>
      <c r="AN386" s="178"/>
      <c r="AO386" s="143">
        <f t="shared" si="74"/>
        <v>61</v>
      </c>
      <c r="AP386" s="143">
        <f t="shared" si="75"/>
        <v>55</v>
      </c>
    </row>
    <row r="387" s="89" customFormat="1" hidden="1" customHeight="1" spans="1:42">
      <c r="A387" s="150">
        <v>46115</v>
      </c>
      <c r="B387" s="150" t="str">
        <f ca="1" t="shared" si="80"/>
        <v/>
      </c>
      <c r="C387" s="171" t="s">
        <v>237</v>
      </c>
      <c r="D387" s="150" t="s">
        <v>838</v>
      </c>
      <c r="E387" s="171" t="s">
        <v>438</v>
      </c>
      <c r="F387" s="172">
        <v>10124144</v>
      </c>
      <c r="G387" s="172">
        <v>671988977</v>
      </c>
      <c r="H387" s="173" t="s">
        <v>105</v>
      </c>
      <c r="I387" s="174" t="str">
        <f>IFERROR(VLOOKUP(H387,名称!A:C,2,0),"")</f>
        <v>农场男孩套装</v>
      </c>
      <c r="J387" s="175">
        <v>100</v>
      </c>
      <c r="K387" s="174">
        <f>IFERROR(VLOOKUP(H387,名称!A:D,3,0),"")</f>
        <v>4</v>
      </c>
      <c r="L387" s="143">
        <f t="shared" si="81"/>
        <v>25</v>
      </c>
      <c r="M387" s="150">
        <v>46176</v>
      </c>
      <c r="N387" s="150">
        <f t="shared" si="82"/>
        <v>46174</v>
      </c>
      <c r="O387" s="147">
        <v>46177</v>
      </c>
      <c r="P387" s="150" t="s">
        <v>435</v>
      </c>
      <c r="Q387" s="173" t="s">
        <v>777</v>
      </c>
      <c r="R387" s="154" t="s">
        <v>782</v>
      </c>
      <c r="S387" s="150"/>
      <c r="T387" s="150" t="s">
        <v>452</v>
      </c>
      <c r="U387" s="150"/>
      <c r="V387" s="150"/>
      <c r="W387" s="173"/>
      <c r="X387" s="143" t="s">
        <v>839</v>
      </c>
      <c r="Y387" s="176">
        <v>2.994</v>
      </c>
      <c r="Z387" s="198">
        <f t="shared" si="83"/>
        <v>299.4</v>
      </c>
      <c r="AA387" s="198">
        <f t="shared" si="84"/>
        <v>2320.35</v>
      </c>
      <c r="AB387" s="194" t="s">
        <v>898</v>
      </c>
      <c r="AC387" s="150"/>
      <c r="AD387" s="150"/>
      <c r="AE387" s="150" t="str">
        <f>IFERROR(VLOOKUP(H387,名称!A:D,4,0),"")</f>
        <v>KIK</v>
      </c>
      <c r="AF387" s="174"/>
      <c r="AG387" s="174"/>
      <c r="AH387" s="178">
        <v>46121</v>
      </c>
      <c r="AI387" s="178">
        <v>46128</v>
      </c>
      <c r="AJ387" s="178"/>
      <c r="AK387" s="178" t="s">
        <v>420</v>
      </c>
      <c r="AL387" s="178" t="s">
        <v>420</v>
      </c>
      <c r="AM387" s="178"/>
      <c r="AN387" s="178"/>
      <c r="AO387" s="143">
        <f t="shared" si="74"/>
        <v>61</v>
      </c>
      <c r="AP387" s="143">
        <f t="shared" si="75"/>
        <v>55</v>
      </c>
    </row>
    <row r="388" s="89" customFormat="1" hidden="1" customHeight="1" spans="1:42">
      <c r="A388" s="150">
        <v>46115</v>
      </c>
      <c r="B388" s="150" t="str">
        <f ca="1" t="shared" si="80"/>
        <v/>
      </c>
      <c r="C388" s="171" t="s">
        <v>237</v>
      </c>
      <c r="D388" s="150" t="s">
        <v>838</v>
      </c>
      <c r="E388" s="171" t="s">
        <v>438</v>
      </c>
      <c r="F388" s="172">
        <v>10124144</v>
      </c>
      <c r="G388" s="172">
        <v>671988977</v>
      </c>
      <c r="H388" s="173" t="s">
        <v>113</v>
      </c>
      <c r="I388" s="174" t="str">
        <f>IFERROR(VLOOKUP(H388,名称!A:C,2,0),"")</f>
        <v>绿色铲车</v>
      </c>
      <c r="J388" s="175">
        <v>300</v>
      </c>
      <c r="K388" s="174">
        <f>IFERROR(VLOOKUP(H388,名称!A:D,3,0),"")</f>
        <v>2</v>
      </c>
      <c r="L388" s="143">
        <f t="shared" si="81"/>
        <v>150</v>
      </c>
      <c r="M388" s="150">
        <v>46176</v>
      </c>
      <c r="N388" s="150">
        <f t="shared" si="82"/>
        <v>46174</v>
      </c>
      <c r="O388" s="147">
        <v>46183</v>
      </c>
      <c r="P388" s="150" t="s">
        <v>435</v>
      </c>
      <c r="Q388" s="173" t="s">
        <v>777</v>
      </c>
      <c r="R388" s="148" t="s">
        <v>771</v>
      </c>
      <c r="S388" s="150"/>
      <c r="T388" s="150" t="s">
        <v>452</v>
      </c>
      <c r="U388" s="150"/>
      <c r="V388" s="150"/>
      <c r="W388" s="173"/>
      <c r="X388" s="143" t="s">
        <v>839</v>
      </c>
      <c r="Y388" s="176">
        <v>5.97</v>
      </c>
      <c r="Z388" s="198">
        <f t="shared" si="83"/>
        <v>1791</v>
      </c>
      <c r="AA388" s="198">
        <f t="shared" si="84"/>
        <v>13880.25</v>
      </c>
      <c r="AB388" s="194" t="s">
        <v>898</v>
      </c>
      <c r="AC388" s="150"/>
      <c r="AD388" s="150"/>
      <c r="AE388" s="150" t="str">
        <f>IFERROR(VLOOKUP(H388,名称!A:D,4,0),"")</f>
        <v>KIK</v>
      </c>
      <c r="AF388" s="174"/>
      <c r="AG388" s="174"/>
      <c r="AH388" s="178">
        <v>46134</v>
      </c>
      <c r="AI388" s="178" t="s">
        <v>420</v>
      </c>
      <c r="AJ388" s="178"/>
      <c r="AK388" s="178">
        <v>46140</v>
      </c>
      <c r="AL388" s="178">
        <v>46134</v>
      </c>
      <c r="AM388" s="178"/>
      <c r="AN388" s="178"/>
      <c r="AO388" s="143">
        <f t="shared" si="74"/>
        <v>61</v>
      </c>
      <c r="AP388" s="143">
        <f t="shared" si="75"/>
        <v>42</v>
      </c>
    </row>
    <row r="389" s="89" customFormat="1" hidden="1" customHeight="1" spans="1:42">
      <c r="A389" s="150">
        <v>46115</v>
      </c>
      <c r="B389" s="150" t="str">
        <f ca="1" t="shared" si="80"/>
        <v/>
      </c>
      <c r="C389" s="171" t="s">
        <v>237</v>
      </c>
      <c r="D389" s="150" t="s">
        <v>838</v>
      </c>
      <c r="E389" s="171" t="s">
        <v>438</v>
      </c>
      <c r="F389" s="172">
        <v>10124144</v>
      </c>
      <c r="G389" s="172">
        <v>671988977</v>
      </c>
      <c r="H389" s="173" t="s">
        <v>111</v>
      </c>
      <c r="I389" s="174" t="str">
        <f>IFERROR(VLOOKUP(H389,名称!A:C,2,0),"")</f>
        <v>黄色铲车</v>
      </c>
      <c r="J389" s="175">
        <v>300</v>
      </c>
      <c r="K389" s="174">
        <f>IFERROR(VLOOKUP(H389,名称!A:D,3,0),"")</f>
        <v>4</v>
      </c>
      <c r="L389" s="143">
        <f t="shared" si="81"/>
        <v>75</v>
      </c>
      <c r="M389" s="150">
        <v>46176</v>
      </c>
      <c r="N389" s="150">
        <f t="shared" si="82"/>
        <v>46174</v>
      </c>
      <c r="O389" s="147">
        <v>46183</v>
      </c>
      <c r="P389" s="150" t="s">
        <v>435</v>
      </c>
      <c r="Q389" s="173" t="s">
        <v>777</v>
      </c>
      <c r="R389" s="148" t="s">
        <v>826</v>
      </c>
      <c r="S389" s="150"/>
      <c r="T389" s="150" t="s">
        <v>452</v>
      </c>
      <c r="U389" s="150"/>
      <c r="V389" s="150"/>
      <c r="W389" s="173"/>
      <c r="X389" s="143" t="s">
        <v>839</v>
      </c>
      <c r="Y389" s="176">
        <v>3.816</v>
      </c>
      <c r="Z389" s="198">
        <f t="shared" si="83"/>
        <v>1144.8</v>
      </c>
      <c r="AA389" s="198">
        <f t="shared" si="84"/>
        <v>8872.2</v>
      </c>
      <c r="AB389" s="194" t="s">
        <v>898</v>
      </c>
      <c r="AC389" s="150"/>
      <c r="AD389" s="150"/>
      <c r="AE389" s="150" t="str">
        <f>IFERROR(VLOOKUP(H389,名称!A:D,4,0),"")</f>
        <v>KIK</v>
      </c>
      <c r="AF389" s="174"/>
      <c r="AG389" s="174"/>
      <c r="AH389" s="178">
        <v>46134</v>
      </c>
      <c r="AI389" s="178" t="s">
        <v>420</v>
      </c>
      <c r="AJ389" s="178"/>
      <c r="AK389" s="199">
        <v>46134</v>
      </c>
      <c r="AL389" s="178">
        <v>46134</v>
      </c>
      <c r="AM389" s="178"/>
      <c r="AN389" s="178"/>
      <c r="AO389" s="143">
        <f t="shared" si="74"/>
        <v>61</v>
      </c>
      <c r="AP389" s="143">
        <f t="shared" si="75"/>
        <v>42</v>
      </c>
    </row>
    <row r="390" s="89" customFormat="1" hidden="1" customHeight="1" spans="1:42">
      <c r="A390" s="150">
        <v>46115</v>
      </c>
      <c r="B390" s="150" t="str">
        <f ca="1" t="shared" si="80"/>
        <v/>
      </c>
      <c r="C390" s="171" t="s">
        <v>237</v>
      </c>
      <c r="D390" s="150" t="s">
        <v>838</v>
      </c>
      <c r="E390" s="171" t="s">
        <v>438</v>
      </c>
      <c r="F390" s="172">
        <v>10124144</v>
      </c>
      <c r="G390" s="172">
        <v>671988977</v>
      </c>
      <c r="H390" s="173" t="s">
        <v>35</v>
      </c>
      <c r="I390" s="174" t="str">
        <f>IFERROR(VLOOKUP(H390,名称!A:C,2,0),"")</f>
        <v>1:16拖车厢</v>
      </c>
      <c r="J390" s="175">
        <v>98</v>
      </c>
      <c r="K390" s="174">
        <f>IFERROR(VLOOKUP(H390,名称!A:D,3,0),"")</f>
        <v>2</v>
      </c>
      <c r="L390" s="143">
        <f t="shared" si="81"/>
        <v>49</v>
      </c>
      <c r="M390" s="150">
        <v>46176</v>
      </c>
      <c r="N390" s="150">
        <f t="shared" si="82"/>
        <v>46174</v>
      </c>
      <c r="O390" s="150">
        <v>46176</v>
      </c>
      <c r="P390" s="150" t="s">
        <v>435</v>
      </c>
      <c r="Q390" s="173" t="s">
        <v>777</v>
      </c>
      <c r="R390" s="148" t="s">
        <v>826</v>
      </c>
      <c r="S390" s="150"/>
      <c r="T390" s="150"/>
      <c r="U390" s="150"/>
      <c r="V390" s="150"/>
      <c r="W390" s="173"/>
      <c r="X390" s="143" t="s">
        <v>839</v>
      </c>
      <c r="Y390" s="176">
        <v>22.9</v>
      </c>
      <c r="Z390" s="198">
        <f t="shared" si="83"/>
        <v>2244.2</v>
      </c>
      <c r="AA390" s="198">
        <f t="shared" si="84"/>
        <v>17392.55</v>
      </c>
      <c r="AB390" s="194" t="s">
        <v>898</v>
      </c>
      <c r="AC390" s="150"/>
      <c r="AD390" s="150"/>
      <c r="AE390" s="150" t="str">
        <f>IFERROR(VLOOKUP(H390,名称!A:D,4,0),"")</f>
        <v>KIK</v>
      </c>
      <c r="AF390" s="174"/>
      <c r="AG390" s="174"/>
      <c r="AH390" s="178">
        <v>46146</v>
      </c>
      <c r="AI390" s="178">
        <v>46171</v>
      </c>
      <c r="AJ390" s="178"/>
      <c r="AK390" s="178">
        <v>46146</v>
      </c>
      <c r="AL390" s="178">
        <v>46140</v>
      </c>
      <c r="AM390" s="178"/>
      <c r="AN390" s="178"/>
      <c r="AO390" s="143">
        <f t="shared" si="74"/>
        <v>61</v>
      </c>
      <c r="AP390" s="143">
        <f t="shared" si="75"/>
        <v>30</v>
      </c>
    </row>
    <row r="391" s="89" customFormat="1" hidden="1" customHeight="1" spans="1:42">
      <c r="A391" s="150">
        <v>46115</v>
      </c>
      <c r="B391" s="150" t="str">
        <f ca="1" t="shared" si="80"/>
        <v/>
      </c>
      <c r="C391" s="171" t="s">
        <v>237</v>
      </c>
      <c r="D391" s="150" t="s">
        <v>838</v>
      </c>
      <c r="E391" s="171" t="s">
        <v>438</v>
      </c>
      <c r="F391" s="172">
        <v>10124144</v>
      </c>
      <c r="G391" s="172">
        <v>671988977</v>
      </c>
      <c r="H391" s="173">
        <v>47669</v>
      </c>
      <c r="I391" s="174" t="str">
        <f>IFERROR(VLOOKUP(H391,名称!A:C,2,0),"")</f>
        <v>动物车</v>
      </c>
      <c r="J391" s="175">
        <v>100</v>
      </c>
      <c r="K391" s="174">
        <f>IFERROR(VLOOKUP(H391,名称!A:D,3,0),"")</f>
        <v>4</v>
      </c>
      <c r="L391" s="143">
        <f t="shared" si="81"/>
        <v>25</v>
      </c>
      <c r="M391" s="150">
        <v>46176</v>
      </c>
      <c r="N391" s="150">
        <f t="shared" si="82"/>
        <v>46174</v>
      </c>
      <c r="O391" s="150">
        <v>46182</v>
      </c>
      <c r="P391" s="150" t="s">
        <v>435</v>
      </c>
      <c r="Q391" s="173" t="s">
        <v>777</v>
      </c>
      <c r="R391" s="148" t="s">
        <v>418</v>
      </c>
      <c r="S391" s="150"/>
      <c r="T391" s="150" t="s">
        <v>452</v>
      </c>
      <c r="U391" s="150"/>
      <c r="V391" s="150"/>
      <c r="W391" s="173"/>
      <c r="X391" s="143" t="s">
        <v>839</v>
      </c>
      <c r="Y391" s="176">
        <v>4.808</v>
      </c>
      <c r="Z391" s="198">
        <f t="shared" si="83"/>
        <v>480.8</v>
      </c>
      <c r="AA391" s="198">
        <f t="shared" si="84"/>
        <v>3726.2</v>
      </c>
      <c r="AB391" s="194" t="s">
        <v>898</v>
      </c>
      <c r="AC391" s="174"/>
      <c r="AD391" s="178"/>
      <c r="AE391" s="150" t="s">
        <v>12</v>
      </c>
      <c r="AF391" s="178">
        <v>46115</v>
      </c>
      <c r="AG391" s="178"/>
      <c r="AH391" s="178">
        <v>46115</v>
      </c>
      <c r="AI391" s="178">
        <v>46135</v>
      </c>
      <c r="AJ391" s="178"/>
      <c r="AK391" s="178" t="s">
        <v>420</v>
      </c>
      <c r="AL391" s="178" t="s">
        <v>420</v>
      </c>
      <c r="AM391" s="143"/>
      <c r="AN391" s="180"/>
      <c r="AO391" s="143">
        <f t="shared" si="74"/>
        <v>61</v>
      </c>
      <c r="AP391" s="143">
        <f t="shared" si="75"/>
        <v>61</v>
      </c>
    </row>
    <row r="392" s="89" customFormat="1" hidden="1" customHeight="1" spans="1:42">
      <c r="A392" s="150">
        <v>46115</v>
      </c>
      <c r="B392" s="150" t="str">
        <f ca="1" t="shared" si="80"/>
        <v/>
      </c>
      <c r="C392" s="171" t="s">
        <v>237</v>
      </c>
      <c r="D392" s="150" t="s">
        <v>838</v>
      </c>
      <c r="E392" s="171" t="s">
        <v>438</v>
      </c>
      <c r="F392" s="172">
        <v>10124144</v>
      </c>
      <c r="G392" s="172">
        <v>671988977</v>
      </c>
      <c r="H392" s="173" t="s">
        <v>39</v>
      </c>
      <c r="I392" s="174" t="str">
        <f>IFERROR(VLOOKUP(H392,名称!A:C,2,0),"")</f>
        <v>1:16货柜车</v>
      </c>
      <c r="J392" s="175">
        <v>80</v>
      </c>
      <c r="K392" s="174">
        <f>IFERROR(VLOOKUP(H392,名称!A:D,3,0),"")</f>
        <v>2</v>
      </c>
      <c r="L392" s="143">
        <f t="shared" si="81"/>
        <v>40</v>
      </c>
      <c r="M392" s="150">
        <v>46183</v>
      </c>
      <c r="N392" s="150">
        <f t="shared" si="82"/>
        <v>46181</v>
      </c>
      <c r="O392" s="150">
        <v>46183</v>
      </c>
      <c r="P392" s="150" t="s">
        <v>435</v>
      </c>
      <c r="Q392" s="173" t="s">
        <v>777</v>
      </c>
      <c r="R392" s="148" t="s">
        <v>602</v>
      </c>
      <c r="S392" s="150"/>
      <c r="T392" s="150"/>
      <c r="U392" s="150"/>
      <c r="V392" s="150"/>
      <c r="W392" s="173"/>
      <c r="X392" s="143" t="s">
        <v>839</v>
      </c>
      <c r="Y392" s="176">
        <v>30.536</v>
      </c>
      <c r="Z392" s="198">
        <f t="shared" si="83"/>
        <v>2442.88</v>
      </c>
      <c r="AA392" s="198">
        <f t="shared" si="84"/>
        <v>18932.32</v>
      </c>
      <c r="AB392" s="194" t="s">
        <v>898</v>
      </c>
      <c r="AC392" s="150"/>
      <c r="AD392" s="150"/>
      <c r="AE392" s="150" t="str">
        <f>IFERROR(VLOOKUP(H392,名称!A:D,4,0),"")</f>
        <v>KIK</v>
      </c>
      <c r="AF392" s="174"/>
      <c r="AG392" s="174"/>
      <c r="AH392" s="178">
        <v>46129</v>
      </c>
      <c r="AI392" s="178">
        <v>46163</v>
      </c>
      <c r="AJ392" s="178"/>
      <c r="AK392" s="178">
        <v>46146</v>
      </c>
      <c r="AL392" s="178">
        <v>46140</v>
      </c>
      <c r="AM392" s="178"/>
      <c r="AN392" s="178"/>
      <c r="AO392" s="143">
        <f t="shared" si="74"/>
        <v>68</v>
      </c>
      <c r="AP392" s="143">
        <f t="shared" si="75"/>
        <v>54</v>
      </c>
    </row>
    <row r="393" s="89" customFormat="1" hidden="1" customHeight="1" spans="1:42">
      <c r="A393" s="150">
        <v>46115</v>
      </c>
      <c r="B393" s="150" t="str">
        <f ca="1" t="shared" si="80"/>
        <v/>
      </c>
      <c r="C393" s="171" t="s">
        <v>237</v>
      </c>
      <c r="D393" s="150" t="s">
        <v>838</v>
      </c>
      <c r="E393" s="171" t="s">
        <v>438</v>
      </c>
      <c r="F393" s="172">
        <v>10124144</v>
      </c>
      <c r="G393" s="172">
        <v>671988977</v>
      </c>
      <c r="H393" s="173" t="s">
        <v>118</v>
      </c>
      <c r="I393" s="174" t="str">
        <f>IFERROR(VLOOKUP(H393,名称!A:C,2,0),"")</f>
        <v>滑板拖车</v>
      </c>
      <c r="J393" s="175">
        <v>96</v>
      </c>
      <c r="K393" s="174">
        <f>IFERROR(VLOOKUP(H393,名称!A:D,3,0),"")</f>
        <v>4</v>
      </c>
      <c r="L393" s="143">
        <f t="shared" si="81"/>
        <v>24</v>
      </c>
      <c r="M393" s="150">
        <v>46190</v>
      </c>
      <c r="N393" s="150">
        <f t="shared" si="82"/>
        <v>46188</v>
      </c>
      <c r="O393" s="150">
        <v>46198</v>
      </c>
      <c r="P393" s="150" t="s">
        <v>435</v>
      </c>
      <c r="Q393" s="173" t="s">
        <v>777</v>
      </c>
      <c r="R393" s="148" t="s">
        <v>779</v>
      </c>
      <c r="S393" s="150"/>
      <c r="T393" s="150" t="s">
        <v>505</v>
      </c>
      <c r="U393" s="150"/>
      <c r="V393" s="150"/>
      <c r="W393" s="173"/>
      <c r="X393" s="143" t="s">
        <v>873</v>
      </c>
      <c r="Y393" s="176">
        <v>16.71</v>
      </c>
      <c r="Z393" s="198">
        <f t="shared" si="83"/>
        <v>1604.16</v>
      </c>
      <c r="AA393" s="198">
        <f t="shared" si="84"/>
        <v>12432.24</v>
      </c>
      <c r="AB393" s="194" t="s">
        <v>898</v>
      </c>
      <c r="AC393" s="174"/>
      <c r="AD393" s="178"/>
      <c r="AE393" s="150" t="s">
        <v>12</v>
      </c>
      <c r="AF393" s="178"/>
      <c r="AG393" s="178"/>
      <c r="AH393" s="178">
        <v>46134</v>
      </c>
      <c r="AI393" s="178" t="s">
        <v>420</v>
      </c>
      <c r="AJ393" s="178"/>
      <c r="AK393" s="178">
        <v>46135</v>
      </c>
      <c r="AL393" s="178">
        <v>46134</v>
      </c>
      <c r="AM393" s="178"/>
      <c r="AN393" s="180"/>
      <c r="AO393" s="143">
        <f t="shared" si="74"/>
        <v>75</v>
      </c>
      <c r="AP393" s="143">
        <f t="shared" si="75"/>
        <v>56</v>
      </c>
    </row>
    <row r="394" s="118" customFormat="1" hidden="1" customHeight="1" spans="1:42">
      <c r="A394" s="150">
        <v>46115</v>
      </c>
      <c r="B394" s="150" t="str">
        <f ca="1" t="shared" si="80"/>
        <v/>
      </c>
      <c r="C394" s="171" t="s">
        <v>237</v>
      </c>
      <c r="D394" s="150" t="s">
        <v>838</v>
      </c>
      <c r="E394" s="171" t="s">
        <v>438</v>
      </c>
      <c r="F394" s="172">
        <v>10124144</v>
      </c>
      <c r="G394" s="172">
        <v>671988977</v>
      </c>
      <c r="H394" s="173" t="s">
        <v>29</v>
      </c>
      <c r="I394" s="174" t="str">
        <f>IFERROR(VLOOKUP(H394,名称!A:C,2,0),"")</f>
        <v>木材运输车</v>
      </c>
      <c r="J394" s="175">
        <v>88</v>
      </c>
      <c r="K394" s="174">
        <f>IFERROR(VLOOKUP(H394,名称!A:D,3,0),"")</f>
        <v>4</v>
      </c>
      <c r="L394" s="143">
        <f t="shared" si="81"/>
        <v>22</v>
      </c>
      <c r="M394" s="150">
        <v>46197</v>
      </c>
      <c r="N394" s="150">
        <f t="shared" si="82"/>
        <v>46195</v>
      </c>
      <c r="O394" s="150">
        <v>46200</v>
      </c>
      <c r="P394" s="150" t="s">
        <v>435</v>
      </c>
      <c r="Q394" s="173" t="s">
        <v>777</v>
      </c>
      <c r="R394" s="148" t="s">
        <v>826</v>
      </c>
      <c r="S394" s="150"/>
      <c r="T394" s="150"/>
      <c r="U394" s="150"/>
      <c r="V394" s="150"/>
      <c r="W394" s="173"/>
      <c r="X394" s="143" t="s">
        <v>839</v>
      </c>
      <c r="Y394" s="176">
        <v>21.801</v>
      </c>
      <c r="Z394" s="198">
        <f t="shared" si="83"/>
        <v>1918.49</v>
      </c>
      <c r="AA394" s="198">
        <f t="shared" si="84"/>
        <v>14868.3</v>
      </c>
      <c r="AB394" s="194" t="s">
        <v>898</v>
      </c>
      <c r="AC394" s="150"/>
      <c r="AD394" s="150"/>
      <c r="AE394" s="150" t="str">
        <f>IFERROR(VLOOKUP(H394,名称!A:D,4,0),"")</f>
        <v>KIK</v>
      </c>
      <c r="AF394" s="174"/>
      <c r="AG394" s="174"/>
      <c r="AH394" s="178">
        <v>46139</v>
      </c>
      <c r="AI394" s="178" t="s">
        <v>828</v>
      </c>
      <c r="AJ394" s="178"/>
      <c r="AK394" s="178">
        <v>46156</v>
      </c>
      <c r="AL394" s="178">
        <v>46140</v>
      </c>
      <c r="AM394" s="178"/>
      <c r="AN394" s="178"/>
      <c r="AO394" s="143">
        <f t="shared" si="74"/>
        <v>82</v>
      </c>
      <c r="AP394" s="143">
        <f t="shared" si="75"/>
        <v>58</v>
      </c>
    </row>
    <row r="395" s="118" customFormat="1" hidden="1" customHeight="1" spans="1:42">
      <c r="A395" s="150">
        <v>46115</v>
      </c>
      <c r="B395" s="150" t="str">
        <f ca="1" t="shared" si="80"/>
        <v/>
      </c>
      <c r="C395" s="171" t="s">
        <v>237</v>
      </c>
      <c r="D395" s="150" t="s">
        <v>838</v>
      </c>
      <c r="E395" s="171" t="s">
        <v>438</v>
      </c>
      <c r="F395" s="172">
        <v>10124144</v>
      </c>
      <c r="G395" s="172">
        <v>671988977</v>
      </c>
      <c r="H395" s="173" t="s">
        <v>31</v>
      </c>
      <c r="I395" s="174" t="str">
        <f>IFERROR(VLOOKUP(H395,名称!A:C,2,0),"")</f>
        <v>1:16收割机</v>
      </c>
      <c r="J395" s="175">
        <v>128</v>
      </c>
      <c r="K395" s="174">
        <f>IFERROR(VLOOKUP(H395,名称!A:D,3,0),"")</f>
        <v>1</v>
      </c>
      <c r="L395" s="143">
        <f t="shared" si="81"/>
        <v>128</v>
      </c>
      <c r="M395" s="150">
        <v>46197</v>
      </c>
      <c r="N395" s="150">
        <f t="shared" si="82"/>
        <v>46195</v>
      </c>
      <c r="O395" s="150">
        <v>46198</v>
      </c>
      <c r="P395" s="150" t="s">
        <v>435</v>
      </c>
      <c r="Q395" s="173" t="s">
        <v>777</v>
      </c>
      <c r="R395" s="148" t="s">
        <v>431</v>
      </c>
      <c r="S395" s="150"/>
      <c r="T395" s="150" t="s">
        <v>452</v>
      </c>
      <c r="U395" s="150"/>
      <c r="V395" s="150"/>
      <c r="W395" s="173"/>
      <c r="X395" s="143" t="s">
        <v>839</v>
      </c>
      <c r="Y395" s="176">
        <v>29.652</v>
      </c>
      <c r="Z395" s="198">
        <f t="shared" si="83"/>
        <v>3795.46</v>
      </c>
      <c r="AA395" s="198">
        <f t="shared" si="84"/>
        <v>29414.82</v>
      </c>
      <c r="AB395" s="194" t="s">
        <v>898</v>
      </c>
      <c r="AC395" s="174"/>
      <c r="AD395" s="178"/>
      <c r="AE395" s="150" t="s">
        <v>12</v>
      </c>
      <c r="AF395" s="178"/>
      <c r="AG395" s="178"/>
      <c r="AH395" s="178">
        <v>46149</v>
      </c>
      <c r="AI395" s="178"/>
      <c r="AJ395" s="178"/>
      <c r="AK395" s="178">
        <v>46158</v>
      </c>
      <c r="AL395" s="179">
        <v>46140</v>
      </c>
      <c r="AM395" s="143"/>
      <c r="AN395" s="180"/>
      <c r="AO395" s="143">
        <f t="shared" si="74"/>
        <v>82</v>
      </c>
      <c r="AP395" s="143">
        <f t="shared" si="75"/>
        <v>48</v>
      </c>
    </row>
    <row r="396" s="89" customFormat="1" customHeight="1" spans="1:42">
      <c r="A396" s="150">
        <v>46115</v>
      </c>
      <c r="B396" s="150" t="str">
        <f ca="1" t="shared" si="80"/>
        <v/>
      </c>
      <c r="C396" s="171" t="s">
        <v>237</v>
      </c>
      <c r="D396" s="150" t="s">
        <v>838</v>
      </c>
      <c r="E396" s="171" t="s">
        <v>438</v>
      </c>
      <c r="F396" s="172">
        <v>10124144</v>
      </c>
      <c r="G396" s="172">
        <v>671988977</v>
      </c>
      <c r="H396" s="173" t="s">
        <v>120</v>
      </c>
      <c r="I396" s="174" t="str">
        <f>IFERROR(VLOOKUP(H396,名称!A:C,2,0),"")</f>
        <v>绿色拖拉机</v>
      </c>
      <c r="J396" s="175">
        <v>128</v>
      </c>
      <c r="K396" s="174">
        <f>IFERROR(VLOOKUP(H396,名称!A:D,3,0),"")</f>
        <v>2</v>
      </c>
      <c r="L396" s="143">
        <f t="shared" si="81"/>
        <v>64</v>
      </c>
      <c r="M396" s="150">
        <v>46197</v>
      </c>
      <c r="N396" s="150">
        <f t="shared" si="82"/>
        <v>46195</v>
      </c>
      <c r="O396" s="150">
        <v>46197</v>
      </c>
      <c r="P396" s="150" t="s">
        <v>429</v>
      </c>
      <c r="Q396" s="173" t="s">
        <v>777</v>
      </c>
      <c r="R396" s="148" t="s">
        <v>418</v>
      </c>
      <c r="S396" s="150"/>
      <c r="T396" s="150" t="s">
        <v>452</v>
      </c>
      <c r="U396" s="150"/>
      <c r="V396" s="150"/>
      <c r="W396" s="173"/>
      <c r="X396" s="143" t="s">
        <v>839</v>
      </c>
      <c r="Y396" s="176">
        <v>21.246</v>
      </c>
      <c r="Z396" s="198">
        <f t="shared" si="83"/>
        <v>2719.49</v>
      </c>
      <c r="AA396" s="198">
        <f t="shared" si="84"/>
        <v>21076.05</v>
      </c>
      <c r="AB396" s="194" t="s">
        <v>898</v>
      </c>
      <c r="AC396" s="174"/>
      <c r="AD396" s="178"/>
      <c r="AE396" s="150" t="s">
        <v>12</v>
      </c>
      <c r="AF396" s="178"/>
      <c r="AG396" s="178"/>
      <c r="AH396" s="178">
        <v>46134</v>
      </c>
      <c r="AI396" s="178">
        <v>46128</v>
      </c>
      <c r="AJ396" s="178"/>
      <c r="AK396" s="178">
        <v>46149</v>
      </c>
      <c r="AL396" s="178">
        <v>46134</v>
      </c>
      <c r="AM396" s="178"/>
      <c r="AN396" s="180"/>
      <c r="AO396" s="143">
        <f t="shared" si="74"/>
        <v>82</v>
      </c>
      <c r="AP396" s="143">
        <f t="shared" si="75"/>
        <v>63</v>
      </c>
    </row>
    <row r="397" s="89" customFormat="1" hidden="1" customHeight="1" spans="1:42">
      <c r="A397" s="150">
        <v>46115</v>
      </c>
      <c r="B397" s="150" t="s">
        <v>467</v>
      </c>
      <c r="C397" s="171" t="s">
        <v>237</v>
      </c>
      <c r="D397" s="150" t="s">
        <v>838</v>
      </c>
      <c r="E397" s="171" t="s">
        <v>438</v>
      </c>
      <c r="F397" s="172">
        <v>10124147</v>
      </c>
      <c r="G397" s="172">
        <v>671988978</v>
      </c>
      <c r="H397" s="173" t="s">
        <v>107</v>
      </c>
      <c r="I397" s="174" t="s">
        <v>709</v>
      </c>
      <c r="J397" s="175">
        <v>80</v>
      </c>
      <c r="K397" s="174">
        <v>4</v>
      </c>
      <c r="L397" s="143">
        <v>20</v>
      </c>
      <c r="M397" s="150">
        <v>46176</v>
      </c>
      <c r="N397" s="150">
        <v>46174</v>
      </c>
      <c r="O397" s="147">
        <v>46177</v>
      </c>
      <c r="P397" s="150" t="s">
        <v>435</v>
      </c>
      <c r="Q397" s="173" t="s">
        <v>777</v>
      </c>
      <c r="R397" s="148" t="s">
        <v>782</v>
      </c>
      <c r="S397" s="150"/>
      <c r="T397" s="150" t="s">
        <v>452</v>
      </c>
      <c r="U397" s="150"/>
      <c r="V397" s="150"/>
      <c r="W397" s="173"/>
      <c r="X397" s="143" t="s">
        <v>839</v>
      </c>
      <c r="Y397" s="176">
        <v>4.956</v>
      </c>
      <c r="Z397" s="198">
        <f t="shared" si="83"/>
        <v>396.48</v>
      </c>
      <c r="AA397" s="198">
        <f t="shared" si="84"/>
        <v>3072.72</v>
      </c>
      <c r="AB397" s="177" t="s">
        <v>899</v>
      </c>
      <c r="AC397" s="150"/>
      <c r="AD397" s="150"/>
      <c r="AE397" s="150" t="s">
        <v>12</v>
      </c>
      <c r="AF397" s="174"/>
      <c r="AG397" s="174"/>
      <c r="AH397" s="178">
        <v>46121</v>
      </c>
      <c r="AI397" s="178">
        <v>46128</v>
      </c>
      <c r="AJ397" s="178"/>
      <c r="AK397" s="178" t="s">
        <v>420</v>
      </c>
      <c r="AL397" s="178" t="s">
        <v>420</v>
      </c>
      <c r="AM397" s="178"/>
      <c r="AN397" s="178"/>
      <c r="AO397" s="143">
        <v>61</v>
      </c>
      <c r="AP397" s="143">
        <v>55</v>
      </c>
    </row>
    <row r="398" s="89" customFormat="1" hidden="1" customHeight="1" spans="1:42">
      <c r="A398" s="150">
        <v>46115</v>
      </c>
      <c r="B398" s="150" t="s">
        <v>467</v>
      </c>
      <c r="C398" s="171" t="s">
        <v>237</v>
      </c>
      <c r="D398" s="150" t="s">
        <v>838</v>
      </c>
      <c r="E398" s="171" t="s">
        <v>438</v>
      </c>
      <c r="F398" s="172">
        <v>10124147</v>
      </c>
      <c r="G398" s="172">
        <v>671988978</v>
      </c>
      <c r="H398" s="173" t="s">
        <v>105</v>
      </c>
      <c r="I398" s="174" t="s">
        <v>706</v>
      </c>
      <c r="J398" s="175">
        <v>80</v>
      </c>
      <c r="K398" s="174">
        <v>4</v>
      </c>
      <c r="L398" s="143">
        <v>20</v>
      </c>
      <c r="M398" s="150">
        <v>46176</v>
      </c>
      <c r="N398" s="150">
        <v>46174</v>
      </c>
      <c r="O398" s="147">
        <v>46177</v>
      </c>
      <c r="P398" s="150" t="s">
        <v>435</v>
      </c>
      <c r="Q398" s="173" t="s">
        <v>777</v>
      </c>
      <c r="R398" s="154" t="s">
        <v>782</v>
      </c>
      <c r="S398" s="150"/>
      <c r="T398" s="150" t="s">
        <v>452</v>
      </c>
      <c r="U398" s="150"/>
      <c r="V398" s="150"/>
      <c r="W398" s="173"/>
      <c r="X398" s="143" t="s">
        <v>839</v>
      </c>
      <c r="Y398" s="176">
        <v>2.994</v>
      </c>
      <c r="Z398" s="198">
        <f t="shared" si="83"/>
        <v>239.52</v>
      </c>
      <c r="AA398" s="198">
        <f t="shared" si="84"/>
        <v>1856.28</v>
      </c>
      <c r="AB398" s="177" t="s">
        <v>899</v>
      </c>
      <c r="AC398" s="150"/>
      <c r="AD398" s="150"/>
      <c r="AE398" s="150" t="s">
        <v>12</v>
      </c>
      <c r="AF398" s="174"/>
      <c r="AG398" s="174"/>
      <c r="AH398" s="178">
        <v>46121</v>
      </c>
      <c r="AI398" s="178">
        <v>46128</v>
      </c>
      <c r="AJ398" s="178"/>
      <c r="AK398" s="178" t="s">
        <v>420</v>
      </c>
      <c r="AL398" s="178" t="s">
        <v>420</v>
      </c>
      <c r="AM398" s="178"/>
      <c r="AN398" s="178"/>
      <c r="AO398" s="143">
        <v>61</v>
      </c>
      <c r="AP398" s="143">
        <v>55</v>
      </c>
    </row>
    <row r="399" s="89" customFormat="1" hidden="1" customHeight="1" spans="1:42">
      <c r="A399" s="150">
        <v>46115</v>
      </c>
      <c r="B399" s="150" t="s">
        <v>467</v>
      </c>
      <c r="C399" s="171" t="s">
        <v>237</v>
      </c>
      <c r="D399" s="150" t="s">
        <v>838</v>
      </c>
      <c r="E399" s="171" t="s">
        <v>438</v>
      </c>
      <c r="F399" s="172">
        <v>10124147</v>
      </c>
      <c r="G399" s="172">
        <v>671988978</v>
      </c>
      <c r="H399" s="173" t="s">
        <v>113</v>
      </c>
      <c r="I399" s="174" t="s">
        <v>900</v>
      </c>
      <c r="J399" s="175">
        <v>252</v>
      </c>
      <c r="K399" s="174">
        <v>2</v>
      </c>
      <c r="L399" s="143">
        <v>126</v>
      </c>
      <c r="M399" s="150">
        <v>46176</v>
      </c>
      <c r="N399" s="150">
        <v>46174</v>
      </c>
      <c r="O399" s="147">
        <v>46184</v>
      </c>
      <c r="P399" s="150" t="s">
        <v>435</v>
      </c>
      <c r="Q399" s="173" t="s">
        <v>777</v>
      </c>
      <c r="R399" s="148" t="s">
        <v>771</v>
      </c>
      <c r="S399" s="150"/>
      <c r="T399" s="150" t="s">
        <v>452</v>
      </c>
      <c r="U399" s="150"/>
      <c r="V399" s="150"/>
      <c r="W399" s="173"/>
      <c r="X399" s="143" t="s">
        <v>839</v>
      </c>
      <c r="Y399" s="176">
        <v>5.97</v>
      </c>
      <c r="Z399" s="198">
        <f t="shared" si="83"/>
        <v>1504.44</v>
      </c>
      <c r="AA399" s="198">
        <f t="shared" si="84"/>
        <v>11659.41</v>
      </c>
      <c r="AB399" s="177" t="s">
        <v>899</v>
      </c>
      <c r="AC399" s="150"/>
      <c r="AD399" s="150"/>
      <c r="AE399" s="150" t="s">
        <v>12</v>
      </c>
      <c r="AF399" s="174"/>
      <c r="AG399" s="174"/>
      <c r="AH399" s="178">
        <v>46134</v>
      </c>
      <c r="AI399" s="178" t="s">
        <v>420</v>
      </c>
      <c r="AJ399" s="178"/>
      <c r="AK399" s="178">
        <v>46140</v>
      </c>
      <c r="AL399" s="178">
        <v>46134</v>
      </c>
      <c r="AM399" s="178"/>
      <c r="AN399" s="178"/>
      <c r="AO399" s="143">
        <v>61</v>
      </c>
      <c r="AP399" s="143">
        <v>42</v>
      </c>
    </row>
    <row r="400" s="89" customFormat="1" hidden="1" customHeight="1" spans="1:42">
      <c r="A400" s="150">
        <v>46115</v>
      </c>
      <c r="B400" s="150" t="s">
        <v>467</v>
      </c>
      <c r="C400" s="171" t="s">
        <v>237</v>
      </c>
      <c r="D400" s="150" t="s">
        <v>838</v>
      </c>
      <c r="E400" s="171" t="s">
        <v>438</v>
      </c>
      <c r="F400" s="172">
        <v>10124147</v>
      </c>
      <c r="G400" s="172">
        <v>671988978</v>
      </c>
      <c r="H400" s="173" t="s">
        <v>111</v>
      </c>
      <c r="I400" s="174" t="s">
        <v>901</v>
      </c>
      <c r="J400" s="175">
        <v>252</v>
      </c>
      <c r="K400" s="174">
        <v>4</v>
      </c>
      <c r="L400" s="143">
        <v>63</v>
      </c>
      <c r="M400" s="150">
        <v>46176</v>
      </c>
      <c r="N400" s="150">
        <v>46174</v>
      </c>
      <c r="O400" s="147">
        <v>46184</v>
      </c>
      <c r="P400" s="150" t="s">
        <v>435</v>
      </c>
      <c r="Q400" s="173" t="s">
        <v>777</v>
      </c>
      <c r="R400" s="148" t="s">
        <v>826</v>
      </c>
      <c r="S400" s="150"/>
      <c r="T400" s="150" t="s">
        <v>452</v>
      </c>
      <c r="U400" s="150"/>
      <c r="V400" s="150"/>
      <c r="W400" s="173"/>
      <c r="X400" s="143" t="s">
        <v>839</v>
      </c>
      <c r="Y400" s="176">
        <v>3.816</v>
      </c>
      <c r="Z400" s="198">
        <f t="shared" si="83"/>
        <v>961.63</v>
      </c>
      <c r="AA400" s="198">
        <f t="shared" si="84"/>
        <v>7452.63</v>
      </c>
      <c r="AB400" s="177" t="s">
        <v>899</v>
      </c>
      <c r="AC400" s="150"/>
      <c r="AD400" s="150"/>
      <c r="AE400" s="150" t="s">
        <v>12</v>
      </c>
      <c r="AF400" s="174"/>
      <c r="AG400" s="174"/>
      <c r="AH400" s="178">
        <v>46134</v>
      </c>
      <c r="AI400" s="178" t="s">
        <v>420</v>
      </c>
      <c r="AJ400" s="178"/>
      <c r="AK400" s="199">
        <v>46134</v>
      </c>
      <c r="AL400" s="178">
        <v>46134</v>
      </c>
      <c r="AM400" s="178"/>
      <c r="AN400" s="178"/>
      <c r="AO400" s="143">
        <v>61</v>
      </c>
      <c r="AP400" s="143">
        <v>42</v>
      </c>
    </row>
    <row r="401" s="89" customFormat="1" hidden="1" customHeight="1" spans="1:42">
      <c r="A401" s="150">
        <v>46115</v>
      </c>
      <c r="B401" s="150" t="s">
        <v>467</v>
      </c>
      <c r="C401" s="171" t="s">
        <v>237</v>
      </c>
      <c r="D401" s="150" t="s">
        <v>838</v>
      </c>
      <c r="E401" s="171" t="s">
        <v>438</v>
      </c>
      <c r="F401" s="172">
        <v>10124147</v>
      </c>
      <c r="G401" s="172">
        <v>671988978</v>
      </c>
      <c r="H401" s="173" t="s">
        <v>35</v>
      </c>
      <c r="I401" s="174" t="s">
        <v>676</v>
      </c>
      <c r="J401" s="175">
        <v>54</v>
      </c>
      <c r="K401" s="174">
        <v>2</v>
      </c>
      <c r="L401" s="143">
        <v>27</v>
      </c>
      <c r="M401" s="150">
        <v>46176</v>
      </c>
      <c r="N401" s="150">
        <v>46174</v>
      </c>
      <c r="O401" s="150">
        <v>46183</v>
      </c>
      <c r="P401" s="150" t="s">
        <v>435</v>
      </c>
      <c r="Q401" s="173" t="s">
        <v>777</v>
      </c>
      <c r="R401" s="148" t="s">
        <v>826</v>
      </c>
      <c r="S401" s="150"/>
      <c r="T401" s="150"/>
      <c r="U401" s="150"/>
      <c r="V401" s="150"/>
      <c r="W401" s="173"/>
      <c r="X401" s="143" t="s">
        <v>839</v>
      </c>
      <c r="Y401" s="176">
        <v>22.9</v>
      </c>
      <c r="Z401" s="198">
        <f t="shared" si="83"/>
        <v>1236.6</v>
      </c>
      <c r="AA401" s="198">
        <f t="shared" si="84"/>
        <v>9583.65</v>
      </c>
      <c r="AB401" s="177" t="s">
        <v>899</v>
      </c>
      <c r="AC401" s="150"/>
      <c r="AD401" s="150"/>
      <c r="AE401" s="150" t="s">
        <v>12</v>
      </c>
      <c r="AF401" s="174"/>
      <c r="AG401" s="174"/>
      <c r="AH401" s="178">
        <v>46146</v>
      </c>
      <c r="AI401" s="178">
        <v>46171</v>
      </c>
      <c r="AJ401" s="178"/>
      <c r="AK401" s="178">
        <v>46146</v>
      </c>
      <c r="AL401" s="178">
        <v>46140</v>
      </c>
      <c r="AM401" s="178"/>
      <c r="AN401" s="178"/>
      <c r="AO401" s="143">
        <v>61</v>
      </c>
      <c r="AP401" s="143">
        <v>30</v>
      </c>
    </row>
    <row r="402" s="89" customFormat="1" hidden="1" customHeight="1" spans="1:42">
      <c r="A402" s="150">
        <v>46115</v>
      </c>
      <c r="B402" s="150" t="s">
        <v>467</v>
      </c>
      <c r="C402" s="171" t="s">
        <v>237</v>
      </c>
      <c r="D402" s="150" t="s">
        <v>838</v>
      </c>
      <c r="E402" s="171" t="s">
        <v>438</v>
      </c>
      <c r="F402" s="172">
        <v>10124147</v>
      </c>
      <c r="G402" s="172">
        <v>671988978</v>
      </c>
      <c r="H402" s="173">
        <v>47669</v>
      </c>
      <c r="I402" s="174" t="s">
        <v>723</v>
      </c>
      <c r="J402" s="175">
        <v>80</v>
      </c>
      <c r="K402" s="174">
        <v>4</v>
      </c>
      <c r="L402" s="143">
        <v>20</v>
      </c>
      <c r="M402" s="150">
        <v>46176</v>
      </c>
      <c r="N402" s="150">
        <v>46174</v>
      </c>
      <c r="O402" s="150">
        <v>46182</v>
      </c>
      <c r="P402" s="150" t="s">
        <v>435</v>
      </c>
      <c r="Q402" s="173" t="s">
        <v>777</v>
      </c>
      <c r="R402" s="148" t="s">
        <v>418</v>
      </c>
      <c r="S402" s="150"/>
      <c r="T402" s="150" t="s">
        <v>452</v>
      </c>
      <c r="U402" s="150"/>
      <c r="V402" s="150"/>
      <c r="W402" s="173"/>
      <c r="X402" s="143" t="s">
        <v>839</v>
      </c>
      <c r="Y402" s="176">
        <v>4.808</v>
      </c>
      <c r="Z402" s="198">
        <f t="shared" si="83"/>
        <v>384.64</v>
      </c>
      <c r="AA402" s="198">
        <f t="shared" si="84"/>
        <v>2980.96</v>
      </c>
      <c r="AB402" s="177" t="s">
        <v>899</v>
      </c>
      <c r="AC402" s="174"/>
      <c r="AD402" s="178"/>
      <c r="AE402" s="150" t="s">
        <v>12</v>
      </c>
      <c r="AF402" s="178">
        <v>46115</v>
      </c>
      <c r="AG402" s="178"/>
      <c r="AH402" s="178">
        <v>46115</v>
      </c>
      <c r="AI402" s="178">
        <v>46135</v>
      </c>
      <c r="AJ402" s="178"/>
      <c r="AK402" s="178" t="s">
        <v>420</v>
      </c>
      <c r="AL402" s="178" t="s">
        <v>420</v>
      </c>
      <c r="AM402" s="143"/>
      <c r="AN402" s="180"/>
      <c r="AO402" s="143">
        <v>61</v>
      </c>
      <c r="AP402" s="143">
        <v>61</v>
      </c>
    </row>
    <row r="403" s="89" customFormat="1" hidden="1" customHeight="1" spans="1:42">
      <c r="A403" s="150">
        <v>46115</v>
      </c>
      <c r="B403" s="150" t="s">
        <v>467</v>
      </c>
      <c r="C403" s="171" t="s">
        <v>237</v>
      </c>
      <c r="D403" s="150" t="s">
        <v>838</v>
      </c>
      <c r="E403" s="171" t="s">
        <v>438</v>
      </c>
      <c r="F403" s="172">
        <v>10124147</v>
      </c>
      <c r="G403" s="172">
        <v>671988978</v>
      </c>
      <c r="H403" s="173" t="s">
        <v>39</v>
      </c>
      <c r="I403" s="174" t="s">
        <v>710</v>
      </c>
      <c r="J403" s="175">
        <v>54</v>
      </c>
      <c r="K403" s="174">
        <v>2</v>
      </c>
      <c r="L403" s="143">
        <v>27</v>
      </c>
      <c r="M403" s="150">
        <v>46183</v>
      </c>
      <c r="N403" s="150">
        <v>46181</v>
      </c>
      <c r="O403" s="150">
        <v>46183</v>
      </c>
      <c r="P403" s="150" t="s">
        <v>435</v>
      </c>
      <c r="Q403" s="173" t="s">
        <v>777</v>
      </c>
      <c r="R403" s="148" t="s">
        <v>602</v>
      </c>
      <c r="S403" s="150"/>
      <c r="T403" s="150"/>
      <c r="U403" s="150"/>
      <c r="V403" s="150"/>
      <c r="W403" s="173"/>
      <c r="X403" s="143" t="s">
        <v>839</v>
      </c>
      <c r="Y403" s="176">
        <v>30.536</v>
      </c>
      <c r="Z403" s="198">
        <f t="shared" si="83"/>
        <v>1648.94</v>
      </c>
      <c r="AA403" s="198">
        <f t="shared" si="84"/>
        <v>12779.29</v>
      </c>
      <c r="AB403" s="177" t="s">
        <v>899</v>
      </c>
      <c r="AC403" s="150"/>
      <c r="AD403" s="150"/>
      <c r="AE403" s="150" t="s">
        <v>12</v>
      </c>
      <c r="AF403" s="174"/>
      <c r="AG403" s="174"/>
      <c r="AH403" s="178">
        <v>46129</v>
      </c>
      <c r="AI403" s="178">
        <v>46163</v>
      </c>
      <c r="AJ403" s="178"/>
      <c r="AK403" s="178">
        <v>46146</v>
      </c>
      <c r="AL403" s="178">
        <v>46140</v>
      </c>
      <c r="AM403" s="178"/>
      <c r="AN403" s="178"/>
      <c r="AO403" s="143">
        <v>68</v>
      </c>
      <c r="AP403" s="143">
        <v>54</v>
      </c>
    </row>
    <row r="404" s="89" customFormat="1" hidden="1" customHeight="1" spans="1:42">
      <c r="A404" s="150">
        <v>46115</v>
      </c>
      <c r="B404" s="150" t="s">
        <v>467</v>
      </c>
      <c r="C404" s="171" t="s">
        <v>237</v>
      </c>
      <c r="D404" s="150" t="s">
        <v>838</v>
      </c>
      <c r="E404" s="171" t="s">
        <v>438</v>
      </c>
      <c r="F404" s="172">
        <v>10124147</v>
      </c>
      <c r="G404" s="172">
        <v>671988978</v>
      </c>
      <c r="H404" s="173" t="s">
        <v>118</v>
      </c>
      <c r="I404" s="174" t="s">
        <v>833</v>
      </c>
      <c r="J404" s="175">
        <v>68</v>
      </c>
      <c r="K404" s="174">
        <v>4</v>
      </c>
      <c r="L404" s="143">
        <v>17</v>
      </c>
      <c r="M404" s="150">
        <v>46190</v>
      </c>
      <c r="N404" s="150">
        <v>46188</v>
      </c>
      <c r="O404" s="150">
        <v>46198</v>
      </c>
      <c r="P404" s="150" t="s">
        <v>435</v>
      </c>
      <c r="Q404" s="173" t="s">
        <v>777</v>
      </c>
      <c r="R404" s="148" t="s">
        <v>779</v>
      </c>
      <c r="S404" s="150"/>
      <c r="T404" s="150" t="s">
        <v>505</v>
      </c>
      <c r="U404" s="150"/>
      <c r="V404" s="150"/>
      <c r="W404" s="173"/>
      <c r="X404" s="143" t="s">
        <v>873</v>
      </c>
      <c r="Y404" s="176">
        <v>16.71</v>
      </c>
      <c r="Z404" s="198">
        <f t="shared" si="83"/>
        <v>1136.28</v>
      </c>
      <c r="AA404" s="198">
        <f t="shared" si="84"/>
        <v>8806.17</v>
      </c>
      <c r="AB404" s="177" t="s">
        <v>899</v>
      </c>
      <c r="AC404" s="174"/>
      <c r="AD404" s="178"/>
      <c r="AE404" s="150" t="s">
        <v>12</v>
      </c>
      <c r="AF404" s="178"/>
      <c r="AG404" s="178"/>
      <c r="AH404" s="178">
        <v>46134</v>
      </c>
      <c r="AI404" s="178" t="s">
        <v>420</v>
      </c>
      <c r="AJ404" s="178"/>
      <c r="AK404" s="178">
        <v>46135</v>
      </c>
      <c r="AL404" s="178">
        <v>46134</v>
      </c>
      <c r="AM404" s="178"/>
      <c r="AN404" s="180"/>
      <c r="AO404" s="143">
        <v>75</v>
      </c>
      <c r="AP404" s="143">
        <v>56</v>
      </c>
    </row>
    <row r="405" s="89" customFormat="1" hidden="1" customHeight="1" spans="1:42">
      <c r="A405" s="150">
        <v>46115</v>
      </c>
      <c r="B405" s="150" t="s">
        <v>467</v>
      </c>
      <c r="C405" s="171" t="s">
        <v>237</v>
      </c>
      <c r="D405" s="150" t="s">
        <v>838</v>
      </c>
      <c r="E405" s="171" t="s">
        <v>438</v>
      </c>
      <c r="F405" s="172">
        <v>10124147</v>
      </c>
      <c r="G405" s="172">
        <v>671988978</v>
      </c>
      <c r="H405" s="173" t="s">
        <v>29</v>
      </c>
      <c r="I405" s="174" t="s">
        <v>825</v>
      </c>
      <c r="J405" s="175">
        <v>64</v>
      </c>
      <c r="K405" s="174">
        <v>4</v>
      </c>
      <c r="L405" s="143">
        <v>16</v>
      </c>
      <c r="M405" s="150">
        <v>46197</v>
      </c>
      <c r="N405" s="150">
        <v>46195</v>
      </c>
      <c r="O405" s="150">
        <v>46200</v>
      </c>
      <c r="P405" s="150" t="s">
        <v>435</v>
      </c>
      <c r="Q405" s="173" t="s">
        <v>777</v>
      </c>
      <c r="R405" s="148" t="s">
        <v>826</v>
      </c>
      <c r="S405" s="150"/>
      <c r="T405" s="150"/>
      <c r="U405" s="150"/>
      <c r="V405" s="150"/>
      <c r="W405" s="173"/>
      <c r="X405" s="143" t="s">
        <v>839</v>
      </c>
      <c r="Y405" s="176">
        <v>21.801</v>
      </c>
      <c r="Z405" s="198">
        <f t="shared" si="83"/>
        <v>1395.26</v>
      </c>
      <c r="AA405" s="198">
        <f t="shared" si="84"/>
        <v>10813.27</v>
      </c>
      <c r="AB405" s="177" t="s">
        <v>899</v>
      </c>
      <c r="AC405" s="150"/>
      <c r="AD405" s="150"/>
      <c r="AE405" s="150" t="s">
        <v>12</v>
      </c>
      <c r="AF405" s="174"/>
      <c r="AG405" s="174"/>
      <c r="AH405" s="178">
        <v>46139</v>
      </c>
      <c r="AI405" s="178" t="s">
        <v>828</v>
      </c>
      <c r="AJ405" s="178"/>
      <c r="AK405" s="178">
        <v>46156</v>
      </c>
      <c r="AL405" s="178">
        <v>46140</v>
      </c>
      <c r="AM405" s="178"/>
      <c r="AN405" s="178"/>
      <c r="AO405" s="143">
        <v>82</v>
      </c>
      <c r="AP405" s="143">
        <v>58</v>
      </c>
    </row>
    <row r="406" s="89" customFormat="1" hidden="1" customHeight="1" spans="1:42">
      <c r="A406" s="150">
        <v>46115</v>
      </c>
      <c r="B406" s="150" t="s">
        <v>467</v>
      </c>
      <c r="C406" s="171" t="s">
        <v>237</v>
      </c>
      <c r="D406" s="150" t="s">
        <v>838</v>
      </c>
      <c r="E406" s="171" t="s">
        <v>438</v>
      </c>
      <c r="F406" s="172">
        <v>10124147</v>
      </c>
      <c r="G406" s="172">
        <v>671988978</v>
      </c>
      <c r="H406" s="173" t="s">
        <v>31</v>
      </c>
      <c r="I406" s="174" t="s">
        <v>830</v>
      </c>
      <c r="J406" s="175">
        <v>102</v>
      </c>
      <c r="K406" s="174">
        <v>1</v>
      </c>
      <c r="L406" s="143">
        <v>102</v>
      </c>
      <c r="M406" s="150">
        <v>46197</v>
      </c>
      <c r="N406" s="150">
        <v>46195</v>
      </c>
      <c r="O406" s="196">
        <v>46205</v>
      </c>
      <c r="P406" s="150" t="s">
        <v>435</v>
      </c>
      <c r="Q406" s="173" t="s">
        <v>777</v>
      </c>
      <c r="R406" s="148" t="s">
        <v>431</v>
      </c>
      <c r="S406" s="150"/>
      <c r="T406" s="150" t="s">
        <v>452</v>
      </c>
      <c r="U406" s="150"/>
      <c r="V406" s="150"/>
      <c r="W406" s="173"/>
      <c r="X406" s="143" t="s">
        <v>839</v>
      </c>
      <c r="Y406" s="176">
        <v>29.652</v>
      </c>
      <c r="Z406" s="198">
        <f t="shared" si="83"/>
        <v>3024.5</v>
      </c>
      <c r="AA406" s="198">
        <f t="shared" si="84"/>
        <v>23439.88</v>
      </c>
      <c r="AB406" s="177" t="s">
        <v>899</v>
      </c>
      <c r="AC406" s="174"/>
      <c r="AD406" s="178"/>
      <c r="AE406" s="150" t="s">
        <v>12</v>
      </c>
      <c r="AF406" s="178"/>
      <c r="AG406" s="178"/>
      <c r="AH406" s="178">
        <v>46149</v>
      </c>
      <c r="AI406" s="178"/>
      <c r="AJ406" s="178"/>
      <c r="AK406" s="178">
        <v>46158</v>
      </c>
      <c r="AL406" s="179">
        <v>46140</v>
      </c>
      <c r="AM406" s="143"/>
      <c r="AN406" s="180"/>
      <c r="AO406" s="143">
        <v>82</v>
      </c>
      <c r="AP406" s="143">
        <v>48</v>
      </c>
    </row>
    <row r="407" s="118" customFormat="1" customHeight="1" spans="1:42">
      <c r="A407" s="150">
        <v>46115</v>
      </c>
      <c r="B407" s="150" t="s">
        <v>467</v>
      </c>
      <c r="C407" s="171" t="s">
        <v>237</v>
      </c>
      <c r="D407" s="150" t="s">
        <v>838</v>
      </c>
      <c r="E407" s="171" t="s">
        <v>438</v>
      </c>
      <c r="F407" s="172">
        <v>10124147</v>
      </c>
      <c r="G407" s="172">
        <v>671988978</v>
      </c>
      <c r="H407" s="173" t="s">
        <v>120</v>
      </c>
      <c r="I407" s="174" t="s">
        <v>902</v>
      </c>
      <c r="J407" s="175">
        <v>102</v>
      </c>
      <c r="K407" s="174">
        <v>2</v>
      </c>
      <c r="L407" s="143">
        <v>51</v>
      </c>
      <c r="M407" s="150">
        <v>46197</v>
      </c>
      <c r="N407" s="150">
        <v>46195</v>
      </c>
      <c r="O407" s="196">
        <v>46205</v>
      </c>
      <c r="P407" s="150" t="s">
        <v>429</v>
      </c>
      <c r="Q407" s="173" t="s">
        <v>777</v>
      </c>
      <c r="R407" s="148" t="s">
        <v>418</v>
      </c>
      <c r="S407" s="150"/>
      <c r="T407" s="150" t="s">
        <v>452</v>
      </c>
      <c r="U407" s="150"/>
      <c r="V407" s="150"/>
      <c r="W407" s="173"/>
      <c r="X407" s="143" t="s">
        <v>839</v>
      </c>
      <c r="Y407" s="176">
        <v>21.246</v>
      </c>
      <c r="Z407" s="198">
        <f t="shared" si="83"/>
        <v>2167.09</v>
      </c>
      <c r="AA407" s="198">
        <f t="shared" si="84"/>
        <v>16794.95</v>
      </c>
      <c r="AB407" s="177" t="s">
        <v>899</v>
      </c>
      <c r="AC407" s="174"/>
      <c r="AD407" s="178"/>
      <c r="AE407" s="150" t="s">
        <v>12</v>
      </c>
      <c r="AF407" s="178"/>
      <c r="AG407" s="178"/>
      <c r="AH407" s="178">
        <v>46134</v>
      </c>
      <c r="AI407" s="178">
        <v>46128</v>
      </c>
      <c r="AJ407" s="178"/>
      <c r="AK407" s="178">
        <v>46149</v>
      </c>
      <c r="AL407" s="178">
        <v>46134</v>
      </c>
      <c r="AM407" s="178"/>
      <c r="AN407" s="180"/>
      <c r="AO407" s="143">
        <v>82</v>
      </c>
      <c r="AP407" s="143">
        <v>63</v>
      </c>
    </row>
    <row r="408" s="89" customFormat="1" hidden="1" customHeight="1" spans="1:42">
      <c r="A408" s="150">
        <v>46115</v>
      </c>
      <c r="B408" s="150" t="s">
        <v>467</v>
      </c>
      <c r="C408" s="171" t="s">
        <v>237</v>
      </c>
      <c r="D408" s="150" t="s">
        <v>838</v>
      </c>
      <c r="E408" s="171" t="s">
        <v>438</v>
      </c>
      <c r="F408" s="172">
        <v>10124150</v>
      </c>
      <c r="G408" s="172">
        <v>671988980</v>
      </c>
      <c r="H408" s="173" t="s">
        <v>107</v>
      </c>
      <c r="I408" s="174" t="s">
        <v>709</v>
      </c>
      <c r="J408" s="175">
        <v>36</v>
      </c>
      <c r="K408" s="174">
        <v>4</v>
      </c>
      <c r="L408" s="143">
        <v>9</v>
      </c>
      <c r="M408" s="150">
        <v>46176</v>
      </c>
      <c r="N408" s="150">
        <v>46174</v>
      </c>
      <c r="O408" s="147">
        <v>46177</v>
      </c>
      <c r="P408" s="150" t="s">
        <v>435</v>
      </c>
      <c r="Q408" s="173" t="s">
        <v>777</v>
      </c>
      <c r="R408" s="148" t="s">
        <v>782</v>
      </c>
      <c r="S408" s="150"/>
      <c r="T408" s="150" t="s">
        <v>452</v>
      </c>
      <c r="U408" s="150"/>
      <c r="V408" s="150"/>
      <c r="W408" s="173"/>
      <c r="X408" s="143" t="s">
        <v>839</v>
      </c>
      <c r="Y408" s="176">
        <v>4.956</v>
      </c>
      <c r="Z408" s="198">
        <f t="shared" si="83"/>
        <v>178.42</v>
      </c>
      <c r="AA408" s="198">
        <f t="shared" si="84"/>
        <v>1382.76</v>
      </c>
      <c r="AB408" s="177" t="s">
        <v>903</v>
      </c>
      <c r="AC408" s="150"/>
      <c r="AD408" s="150"/>
      <c r="AE408" s="150" t="s">
        <v>12</v>
      </c>
      <c r="AF408" s="174"/>
      <c r="AG408" s="174"/>
      <c r="AH408" s="178">
        <v>46121</v>
      </c>
      <c r="AI408" s="178">
        <v>46128</v>
      </c>
      <c r="AJ408" s="178"/>
      <c r="AK408" s="178" t="s">
        <v>420</v>
      </c>
      <c r="AL408" s="178" t="s">
        <v>420</v>
      </c>
      <c r="AM408" s="178"/>
      <c r="AN408" s="178"/>
      <c r="AO408" s="143">
        <v>61</v>
      </c>
      <c r="AP408" s="143">
        <v>55</v>
      </c>
    </row>
    <row r="409" s="89" customFormat="1" hidden="1" customHeight="1" spans="1:42">
      <c r="A409" s="150">
        <v>46115</v>
      </c>
      <c r="B409" s="150" t="s">
        <v>467</v>
      </c>
      <c r="C409" s="171" t="s">
        <v>237</v>
      </c>
      <c r="D409" s="150" t="s">
        <v>838</v>
      </c>
      <c r="E409" s="171" t="s">
        <v>438</v>
      </c>
      <c r="F409" s="172">
        <v>10124150</v>
      </c>
      <c r="G409" s="172">
        <v>671988980</v>
      </c>
      <c r="H409" s="173" t="s">
        <v>105</v>
      </c>
      <c r="I409" s="174" t="s">
        <v>706</v>
      </c>
      <c r="J409" s="175">
        <v>36</v>
      </c>
      <c r="K409" s="174">
        <v>4</v>
      </c>
      <c r="L409" s="143">
        <v>9</v>
      </c>
      <c r="M409" s="150">
        <v>46176</v>
      </c>
      <c r="N409" s="150">
        <v>46174</v>
      </c>
      <c r="O409" s="147">
        <v>46177</v>
      </c>
      <c r="P409" s="150" t="s">
        <v>435</v>
      </c>
      <c r="Q409" s="173" t="s">
        <v>777</v>
      </c>
      <c r="R409" s="154" t="s">
        <v>782</v>
      </c>
      <c r="S409" s="150"/>
      <c r="T409" s="150" t="s">
        <v>452</v>
      </c>
      <c r="U409" s="150"/>
      <c r="V409" s="150"/>
      <c r="W409" s="173"/>
      <c r="X409" s="143" t="s">
        <v>839</v>
      </c>
      <c r="Y409" s="176">
        <v>2.994</v>
      </c>
      <c r="Z409" s="198">
        <f t="shared" ref="Z409:Z448" si="85">J409*Y409</f>
        <v>107.78</v>
      </c>
      <c r="AA409" s="198">
        <f t="shared" ref="AA409:AA448" si="86">Z409*7.75</f>
        <v>835.3</v>
      </c>
      <c r="AB409" s="177" t="s">
        <v>903</v>
      </c>
      <c r="AC409" s="150"/>
      <c r="AD409" s="150"/>
      <c r="AE409" s="150" t="s">
        <v>12</v>
      </c>
      <c r="AF409" s="174"/>
      <c r="AG409" s="174"/>
      <c r="AH409" s="178">
        <v>46121</v>
      </c>
      <c r="AI409" s="178">
        <v>46128</v>
      </c>
      <c r="AJ409" s="178"/>
      <c r="AK409" s="178" t="s">
        <v>420</v>
      </c>
      <c r="AL409" s="178" t="s">
        <v>420</v>
      </c>
      <c r="AM409" s="178"/>
      <c r="AN409" s="178"/>
      <c r="AO409" s="143">
        <v>61</v>
      </c>
      <c r="AP409" s="143">
        <v>55</v>
      </c>
    </row>
    <row r="410" s="89" customFormat="1" hidden="1" customHeight="1" spans="1:42">
      <c r="A410" s="150">
        <v>46115</v>
      </c>
      <c r="B410" s="150" t="s">
        <v>467</v>
      </c>
      <c r="C410" s="171" t="s">
        <v>237</v>
      </c>
      <c r="D410" s="150" t="s">
        <v>838</v>
      </c>
      <c r="E410" s="171" t="s">
        <v>438</v>
      </c>
      <c r="F410" s="172">
        <v>10124150</v>
      </c>
      <c r="G410" s="172">
        <v>671988980</v>
      </c>
      <c r="H410" s="173" t="s">
        <v>113</v>
      </c>
      <c r="I410" s="174" t="s">
        <v>900</v>
      </c>
      <c r="J410" s="175">
        <v>148</v>
      </c>
      <c r="K410" s="174">
        <v>2</v>
      </c>
      <c r="L410" s="143">
        <v>74</v>
      </c>
      <c r="M410" s="150">
        <v>46176</v>
      </c>
      <c r="N410" s="150">
        <v>46174</v>
      </c>
      <c r="O410" s="147">
        <v>46184</v>
      </c>
      <c r="P410" s="150" t="s">
        <v>435</v>
      </c>
      <c r="Q410" s="173" t="s">
        <v>777</v>
      </c>
      <c r="R410" s="148" t="s">
        <v>771</v>
      </c>
      <c r="S410" s="150"/>
      <c r="T410" s="150" t="s">
        <v>452</v>
      </c>
      <c r="U410" s="150"/>
      <c r="V410" s="150"/>
      <c r="W410" s="173"/>
      <c r="X410" s="143" t="s">
        <v>839</v>
      </c>
      <c r="Y410" s="176">
        <v>5.97</v>
      </c>
      <c r="Z410" s="198">
        <f t="shared" si="85"/>
        <v>883.56</v>
      </c>
      <c r="AA410" s="198">
        <f t="shared" si="86"/>
        <v>6847.59</v>
      </c>
      <c r="AB410" s="177" t="s">
        <v>903</v>
      </c>
      <c r="AC410" s="150"/>
      <c r="AD410" s="150"/>
      <c r="AE410" s="150" t="s">
        <v>12</v>
      </c>
      <c r="AF410" s="174"/>
      <c r="AG410" s="174"/>
      <c r="AH410" s="178">
        <v>46134</v>
      </c>
      <c r="AI410" s="178" t="s">
        <v>420</v>
      </c>
      <c r="AJ410" s="178"/>
      <c r="AK410" s="178">
        <v>46140</v>
      </c>
      <c r="AL410" s="178">
        <v>46134</v>
      </c>
      <c r="AM410" s="178"/>
      <c r="AN410" s="178"/>
      <c r="AO410" s="143">
        <v>61</v>
      </c>
      <c r="AP410" s="143">
        <v>42</v>
      </c>
    </row>
    <row r="411" s="89" customFormat="1" hidden="1" customHeight="1" spans="1:42">
      <c r="A411" s="150">
        <v>46115</v>
      </c>
      <c r="B411" s="150" t="s">
        <v>467</v>
      </c>
      <c r="C411" s="171" t="s">
        <v>237</v>
      </c>
      <c r="D411" s="150" t="s">
        <v>838</v>
      </c>
      <c r="E411" s="171" t="s">
        <v>438</v>
      </c>
      <c r="F411" s="172">
        <v>10124150</v>
      </c>
      <c r="G411" s="172">
        <v>671988980</v>
      </c>
      <c r="H411" s="173" t="s">
        <v>111</v>
      </c>
      <c r="I411" s="174" t="s">
        <v>901</v>
      </c>
      <c r="J411" s="175">
        <v>148</v>
      </c>
      <c r="K411" s="174">
        <v>4</v>
      </c>
      <c r="L411" s="143">
        <v>37</v>
      </c>
      <c r="M411" s="150">
        <v>46176</v>
      </c>
      <c r="N411" s="150">
        <v>46174</v>
      </c>
      <c r="O411" s="150">
        <v>46175</v>
      </c>
      <c r="P411" s="150" t="s">
        <v>435</v>
      </c>
      <c r="Q411" s="173" t="s">
        <v>777</v>
      </c>
      <c r="R411" s="148" t="s">
        <v>826</v>
      </c>
      <c r="S411" s="150"/>
      <c r="T411" s="150" t="s">
        <v>452</v>
      </c>
      <c r="U411" s="150"/>
      <c r="V411" s="150"/>
      <c r="W411" s="173"/>
      <c r="X411" s="143" t="s">
        <v>839</v>
      </c>
      <c r="Y411" s="176">
        <v>3.816</v>
      </c>
      <c r="Z411" s="198">
        <f t="shared" si="85"/>
        <v>564.77</v>
      </c>
      <c r="AA411" s="198">
        <f t="shared" si="86"/>
        <v>4376.97</v>
      </c>
      <c r="AB411" s="177" t="s">
        <v>903</v>
      </c>
      <c r="AC411" s="150"/>
      <c r="AD411" s="150"/>
      <c r="AE411" s="150" t="s">
        <v>12</v>
      </c>
      <c r="AF411" s="174"/>
      <c r="AG411" s="174"/>
      <c r="AH411" s="178">
        <v>46134</v>
      </c>
      <c r="AI411" s="178" t="s">
        <v>420</v>
      </c>
      <c r="AJ411" s="178"/>
      <c r="AK411" s="199">
        <v>46134</v>
      </c>
      <c r="AL411" s="178">
        <v>46134</v>
      </c>
      <c r="AM411" s="178"/>
      <c r="AN411" s="178"/>
      <c r="AO411" s="143">
        <v>61</v>
      </c>
      <c r="AP411" s="143">
        <v>42</v>
      </c>
    </row>
    <row r="412" s="89" customFormat="1" hidden="1" customHeight="1" spans="1:42">
      <c r="A412" s="150">
        <v>46115</v>
      </c>
      <c r="B412" s="150" t="s">
        <v>467</v>
      </c>
      <c r="C412" s="171" t="s">
        <v>237</v>
      </c>
      <c r="D412" s="150" t="s">
        <v>838</v>
      </c>
      <c r="E412" s="171" t="s">
        <v>438</v>
      </c>
      <c r="F412" s="172">
        <v>10124150</v>
      </c>
      <c r="G412" s="172">
        <v>671988980</v>
      </c>
      <c r="H412" s="173" t="s">
        <v>35</v>
      </c>
      <c r="I412" s="174" t="s">
        <v>676</v>
      </c>
      <c r="J412" s="175">
        <v>56</v>
      </c>
      <c r="K412" s="174">
        <v>2</v>
      </c>
      <c r="L412" s="143">
        <v>28</v>
      </c>
      <c r="M412" s="150">
        <v>46176</v>
      </c>
      <c r="N412" s="150">
        <v>46174</v>
      </c>
      <c r="O412" s="150">
        <v>46176</v>
      </c>
      <c r="P412" s="150" t="s">
        <v>435</v>
      </c>
      <c r="Q412" s="173" t="s">
        <v>777</v>
      </c>
      <c r="R412" s="148" t="s">
        <v>826</v>
      </c>
      <c r="S412" s="150"/>
      <c r="T412" s="150"/>
      <c r="U412" s="150"/>
      <c r="V412" s="150"/>
      <c r="W412" s="173"/>
      <c r="X412" s="143" t="s">
        <v>839</v>
      </c>
      <c r="Y412" s="176">
        <v>22.9</v>
      </c>
      <c r="Z412" s="198">
        <f t="shared" si="85"/>
        <v>1282.4</v>
      </c>
      <c r="AA412" s="198">
        <f t="shared" si="86"/>
        <v>9938.6</v>
      </c>
      <c r="AB412" s="177" t="s">
        <v>903</v>
      </c>
      <c r="AC412" s="150"/>
      <c r="AD412" s="150"/>
      <c r="AE412" s="150" t="s">
        <v>12</v>
      </c>
      <c r="AF412" s="174"/>
      <c r="AG412" s="174"/>
      <c r="AH412" s="178">
        <v>46146</v>
      </c>
      <c r="AI412" s="178">
        <v>46171</v>
      </c>
      <c r="AJ412" s="178"/>
      <c r="AK412" s="178">
        <v>46146</v>
      </c>
      <c r="AL412" s="178">
        <v>46140</v>
      </c>
      <c r="AM412" s="178"/>
      <c r="AN412" s="178"/>
      <c r="AO412" s="143">
        <v>61</v>
      </c>
      <c r="AP412" s="143">
        <v>30</v>
      </c>
    </row>
    <row r="413" s="89" customFormat="1" hidden="1" customHeight="1" spans="1:42">
      <c r="A413" s="150">
        <v>46115</v>
      </c>
      <c r="B413" s="150" t="s">
        <v>467</v>
      </c>
      <c r="C413" s="171" t="s">
        <v>237</v>
      </c>
      <c r="D413" s="150" t="s">
        <v>838</v>
      </c>
      <c r="E413" s="171" t="s">
        <v>438</v>
      </c>
      <c r="F413" s="172">
        <v>10124150</v>
      </c>
      <c r="G413" s="172">
        <v>671988980</v>
      </c>
      <c r="H413" s="173">
        <v>47669</v>
      </c>
      <c r="I413" s="174" t="s">
        <v>723</v>
      </c>
      <c r="J413" s="175">
        <v>36</v>
      </c>
      <c r="K413" s="174">
        <v>4</v>
      </c>
      <c r="L413" s="143">
        <v>9</v>
      </c>
      <c r="M413" s="150">
        <v>46176</v>
      </c>
      <c r="N413" s="150">
        <v>46174</v>
      </c>
      <c r="O413" s="150">
        <v>46182</v>
      </c>
      <c r="P413" s="150" t="s">
        <v>435</v>
      </c>
      <c r="Q413" s="173" t="s">
        <v>777</v>
      </c>
      <c r="R413" s="148" t="s">
        <v>418</v>
      </c>
      <c r="S413" s="150"/>
      <c r="T413" s="150" t="s">
        <v>452</v>
      </c>
      <c r="U413" s="150"/>
      <c r="V413" s="150"/>
      <c r="W413" s="173"/>
      <c r="X413" s="143" t="s">
        <v>839</v>
      </c>
      <c r="Y413" s="176">
        <v>4.808</v>
      </c>
      <c r="Z413" s="198">
        <f t="shared" si="85"/>
        <v>173.09</v>
      </c>
      <c r="AA413" s="198">
        <f t="shared" si="86"/>
        <v>1341.45</v>
      </c>
      <c r="AB413" s="177" t="s">
        <v>903</v>
      </c>
      <c r="AC413" s="174"/>
      <c r="AD413" s="178"/>
      <c r="AE413" s="150" t="s">
        <v>12</v>
      </c>
      <c r="AF413" s="178">
        <v>46115</v>
      </c>
      <c r="AG413" s="178"/>
      <c r="AH413" s="178">
        <v>46115</v>
      </c>
      <c r="AI413" s="178">
        <v>46135</v>
      </c>
      <c r="AJ413" s="178"/>
      <c r="AK413" s="178" t="s">
        <v>420</v>
      </c>
      <c r="AL413" s="178" t="s">
        <v>420</v>
      </c>
      <c r="AM413" s="143"/>
      <c r="AN413" s="180"/>
      <c r="AO413" s="143">
        <v>61</v>
      </c>
      <c r="AP413" s="143">
        <v>61</v>
      </c>
    </row>
    <row r="414" s="89" customFormat="1" hidden="1" customHeight="1" spans="1:42">
      <c r="A414" s="150">
        <v>46115</v>
      </c>
      <c r="B414" s="150" t="s">
        <v>467</v>
      </c>
      <c r="C414" s="171" t="s">
        <v>237</v>
      </c>
      <c r="D414" s="150" t="s">
        <v>838</v>
      </c>
      <c r="E414" s="171" t="s">
        <v>438</v>
      </c>
      <c r="F414" s="172">
        <v>10124150</v>
      </c>
      <c r="G414" s="172">
        <v>671988980</v>
      </c>
      <c r="H414" s="173" t="s">
        <v>39</v>
      </c>
      <c r="I414" s="174" t="s">
        <v>710</v>
      </c>
      <c r="J414" s="175">
        <v>36</v>
      </c>
      <c r="K414" s="174">
        <v>2</v>
      </c>
      <c r="L414" s="143">
        <v>18</v>
      </c>
      <c r="M414" s="150">
        <v>46183</v>
      </c>
      <c r="N414" s="150">
        <v>46181</v>
      </c>
      <c r="O414" s="150">
        <v>46195</v>
      </c>
      <c r="P414" s="150" t="s">
        <v>435</v>
      </c>
      <c r="Q414" s="173" t="s">
        <v>777</v>
      </c>
      <c r="R414" s="148" t="s">
        <v>602</v>
      </c>
      <c r="S414" s="150"/>
      <c r="T414" s="150"/>
      <c r="U414" s="150"/>
      <c r="V414" s="150"/>
      <c r="W414" s="173"/>
      <c r="X414" s="143" t="s">
        <v>839</v>
      </c>
      <c r="Y414" s="176">
        <v>30.536</v>
      </c>
      <c r="Z414" s="198">
        <f t="shared" si="85"/>
        <v>1099.3</v>
      </c>
      <c r="AA414" s="198">
        <f t="shared" si="86"/>
        <v>8519.58</v>
      </c>
      <c r="AB414" s="177" t="s">
        <v>903</v>
      </c>
      <c r="AC414" s="150"/>
      <c r="AD414" s="150"/>
      <c r="AE414" s="150" t="s">
        <v>12</v>
      </c>
      <c r="AF414" s="174"/>
      <c r="AG414" s="174"/>
      <c r="AH414" s="178">
        <v>46129</v>
      </c>
      <c r="AI414" s="178">
        <v>46163</v>
      </c>
      <c r="AJ414" s="178"/>
      <c r="AK414" s="178">
        <v>46146</v>
      </c>
      <c r="AL414" s="178">
        <v>46140</v>
      </c>
      <c r="AM414" s="178"/>
      <c r="AN414" s="178"/>
      <c r="AO414" s="143">
        <v>68</v>
      </c>
      <c r="AP414" s="143">
        <v>54</v>
      </c>
    </row>
    <row r="415" s="89" customFormat="1" hidden="1" customHeight="1" spans="1:42">
      <c r="A415" s="150">
        <v>46115</v>
      </c>
      <c r="B415" s="150" t="s">
        <v>467</v>
      </c>
      <c r="C415" s="171" t="s">
        <v>237</v>
      </c>
      <c r="D415" s="150" t="s">
        <v>838</v>
      </c>
      <c r="E415" s="171" t="s">
        <v>438</v>
      </c>
      <c r="F415" s="172">
        <v>10124150</v>
      </c>
      <c r="G415" s="172">
        <v>671988980</v>
      </c>
      <c r="H415" s="173" t="s">
        <v>118</v>
      </c>
      <c r="I415" s="174" t="s">
        <v>833</v>
      </c>
      <c r="J415" s="175">
        <v>36</v>
      </c>
      <c r="K415" s="174">
        <v>4</v>
      </c>
      <c r="L415" s="143">
        <v>9</v>
      </c>
      <c r="M415" s="150">
        <v>46190</v>
      </c>
      <c r="N415" s="150">
        <v>46188</v>
      </c>
      <c r="O415" s="150">
        <v>46195</v>
      </c>
      <c r="P415" s="150" t="s">
        <v>435</v>
      </c>
      <c r="Q415" s="173" t="s">
        <v>777</v>
      </c>
      <c r="R415" s="148" t="s">
        <v>779</v>
      </c>
      <c r="S415" s="150"/>
      <c r="T415" s="150" t="s">
        <v>505</v>
      </c>
      <c r="U415" s="150"/>
      <c r="V415" s="150"/>
      <c r="W415" s="173"/>
      <c r="X415" s="143" t="s">
        <v>873</v>
      </c>
      <c r="Y415" s="176">
        <v>16.71</v>
      </c>
      <c r="Z415" s="198">
        <f t="shared" si="85"/>
        <v>601.56</v>
      </c>
      <c r="AA415" s="198">
        <f t="shared" si="86"/>
        <v>4662.09</v>
      </c>
      <c r="AB415" s="177" t="s">
        <v>903</v>
      </c>
      <c r="AC415" s="174"/>
      <c r="AD415" s="178"/>
      <c r="AE415" s="150" t="s">
        <v>12</v>
      </c>
      <c r="AF415" s="178"/>
      <c r="AG415" s="178"/>
      <c r="AH415" s="178">
        <v>46134</v>
      </c>
      <c r="AI415" s="178" t="s">
        <v>420</v>
      </c>
      <c r="AJ415" s="178"/>
      <c r="AK415" s="178">
        <v>46135</v>
      </c>
      <c r="AL415" s="178">
        <v>46134</v>
      </c>
      <c r="AM415" s="178"/>
      <c r="AN415" s="180"/>
      <c r="AO415" s="143">
        <v>75</v>
      </c>
      <c r="AP415" s="143">
        <v>56</v>
      </c>
    </row>
    <row r="416" s="89" customFormat="1" hidden="1" customHeight="1" spans="1:42">
      <c r="A416" s="150">
        <v>46115</v>
      </c>
      <c r="B416" s="150" t="s">
        <v>467</v>
      </c>
      <c r="C416" s="171" t="s">
        <v>237</v>
      </c>
      <c r="D416" s="150" t="s">
        <v>838</v>
      </c>
      <c r="E416" s="171" t="s">
        <v>438</v>
      </c>
      <c r="F416" s="172">
        <v>10124150</v>
      </c>
      <c r="G416" s="172">
        <v>671988980</v>
      </c>
      <c r="H416" s="173" t="s">
        <v>29</v>
      </c>
      <c r="I416" s="174" t="s">
        <v>825</v>
      </c>
      <c r="J416" s="175">
        <v>36</v>
      </c>
      <c r="K416" s="174">
        <v>4</v>
      </c>
      <c r="L416" s="143">
        <v>9</v>
      </c>
      <c r="M416" s="150">
        <v>46197</v>
      </c>
      <c r="N416" s="150">
        <v>46195</v>
      </c>
      <c r="O416" s="150">
        <v>46200</v>
      </c>
      <c r="P416" s="150" t="s">
        <v>435</v>
      </c>
      <c r="Q416" s="173" t="s">
        <v>777</v>
      </c>
      <c r="R416" s="148" t="s">
        <v>826</v>
      </c>
      <c r="S416" s="150"/>
      <c r="T416" s="150"/>
      <c r="U416" s="150"/>
      <c r="V416" s="150"/>
      <c r="W416" s="173"/>
      <c r="X416" s="143" t="s">
        <v>839</v>
      </c>
      <c r="Y416" s="176">
        <v>21.801</v>
      </c>
      <c r="Z416" s="198">
        <f t="shared" si="85"/>
        <v>784.84</v>
      </c>
      <c r="AA416" s="198">
        <f t="shared" si="86"/>
        <v>6082.51</v>
      </c>
      <c r="AB416" s="177" t="s">
        <v>903</v>
      </c>
      <c r="AC416" s="150"/>
      <c r="AD416" s="150"/>
      <c r="AE416" s="150" t="s">
        <v>12</v>
      </c>
      <c r="AF416" s="174"/>
      <c r="AG416" s="174"/>
      <c r="AH416" s="178">
        <v>46139</v>
      </c>
      <c r="AI416" s="178" t="s">
        <v>828</v>
      </c>
      <c r="AJ416" s="178"/>
      <c r="AK416" s="178">
        <v>46156</v>
      </c>
      <c r="AL416" s="178">
        <v>46140</v>
      </c>
      <c r="AM416" s="178"/>
      <c r="AN416" s="178"/>
      <c r="AO416" s="143">
        <v>82</v>
      </c>
      <c r="AP416" s="143">
        <v>58</v>
      </c>
    </row>
    <row r="417" s="89" customFormat="1" hidden="1" customHeight="1" spans="1:42">
      <c r="A417" s="150">
        <v>46115</v>
      </c>
      <c r="B417" s="150" t="s">
        <v>467</v>
      </c>
      <c r="C417" s="171" t="s">
        <v>237</v>
      </c>
      <c r="D417" s="150" t="s">
        <v>838</v>
      </c>
      <c r="E417" s="171" t="s">
        <v>438</v>
      </c>
      <c r="F417" s="172">
        <v>10124150</v>
      </c>
      <c r="G417" s="172">
        <v>671988980</v>
      </c>
      <c r="H417" s="173" t="s">
        <v>31</v>
      </c>
      <c r="I417" s="174" t="s">
        <v>830</v>
      </c>
      <c r="J417" s="175">
        <v>70</v>
      </c>
      <c r="K417" s="174">
        <v>1</v>
      </c>
      <c r="L417" s="143">
        <v>70</v>
      </c>
      <c r="M417" s="150">
        <v>46197</v>
      </c>
      <c r="N417" s="150">
        <v>46195</v>
      </c>
      <c r="O417" s="196">
        <v>46205</v>
      </c>
      <c r="P417" s="150" t="s">
        <v>435</v>
      </c>
      <c r="Q417" s="173" t="s">
        <v>777</v>
      </c>
      <c r="R417" s="148" t="s">
        <v>431</v>
      </c>
      <c r="S417" s="150"/>
      <c r="T417" s="150" t="s">
        <v>452</v>
      </c>
      <c r="U417" s="150"/>
      <c r="V417" s="150"/>
      <c r="W417" s="173"/>
      <c r="X417" s="143" t="s">
        <v>839</v>
      </c>
      <c r="Y417" s="176">
        <v>29.652</v>
      </c>
      <c r="Z417" s="198">
        <f t="shared" si="85"/>
        <v>2075.64</v>
      </c>
      <c r="AA417" s="198">
        <f t="shared" si="86"/>
        <v>16086.21</v>
      </c>
      <c r="AB417" s="177" t="s">
        <v>903</v>
      </c>
      <c r="AC417" s="174"/>
      <c r="AD417" s="178"/>
      <c r="AE417" s="150" t="s">
        <v>12</v>
      </c>
      <c r="AF417" s="178"/>
      <c r="AG417" s="178"/>
      <c r="AH417" s="178">
        <v>46149</v>
      </c>
      <c r="AI417" s="178"/>
      <c r="AJ417" s="178"/>
      <c r="AK417" s="178">
        <v>46158</v>
      </c>
      <c r="AL417" s="179">
        <v>46140</v>
      </c>
      <c r="AM417" s="143"/>
      <c r="AN417" s="180"/>
      <c r="AO417" s="143">
        <v>82</v>
      </c>
      <c r="AP417" s="143">
        <v>48</v>
      </c>
    </row>
    <row r="418" s="89" customFormat="1" customHeight="1" spans="1:42">
      <c r="A418" s="150">
        <v>46115</v>
      </c>
      <c r="B418" s="150" t="s">
        <v>467</v>
      </c>
      <c r="C418" s="171" t="s">
        <v>237</v>
      </c>
      <c r="D418" s="150" t="s">
        <v>838</v>
      </c>
      <c r="E418" s="171" t="s">
        <v>438</v>
      </c>
      <c r="F418" s="172">
        <v>10124150</v>
      </c>
      <c r="G418" s="172">
        <v>671988980</v>
      </c>
      <c r="H418" s="173" t="s">
        <v>120</v>
      </c>
      <c r="I418" s="174" t="s">
        <v>902</v>
      </c>
      <c r="J418" s="175">
        <v>70</v>
      </c>
      <c r="K418" s="174">
        <v>2</v>
      </c>
      <c r="L418" s="143">
        <v>35</v>
      </c>
      <c r="M418" s="150">
        <v>46197</v>
      </c>
      <c r="N418" s="150">
        <v>46195</v>
      </c>
      <c r="O418" s="196">
        <v>46205</v>
      </c>
      <c r="P418" s="150" t="s">
        <v>429</v>
      </c>
      <c r="Q418" s="173" t="s">
        <v>777</v>
      </c>
      <c r="R418" s="148" t="s">
        <v>418</v>
      </c>
      <c r="S418" s="150"/>
      <c r="T418" s="150" t="s">
        <v>452</v>
      </c>
      <c r="U418" s="150"/>
      <c r="V418" s="150"/>
      <c r="W418" s="173"/>
      <c r="X418" s="143" t="s">
        <v>839</v>
      </c>
      <c r="Y418" s="176">
        <v>21.246</v>
      </c>
      <c r="Z418" s="198">
        <f t="shared" si="85"/>
        <v>1487.22</v>
      </c>
      <c r="AA418" s="198">
        <f t="shared" si="86"/>
        <v>11525.96</v>
      </c>
      <c r="AB418" s="177" t="s">
        <v>903</v>
      </c>
      <c r="AC418" s="174"/>
      <c r="AD418" s="178"/>
      <c r="AE418" s="150" t="s">
        <v>12</v>
      </c>
      <c r="AF418" s="178"/>
      <c r="AG418" s="178"/>
      <c r="AH418" s="178">
        <v>46134</v>
      </c>
      <c r="AI418" s="178">
        <v>46128</v>
      </c>
      <c r="AJ418" s="178"/>
      <c r="AK418" s="178">
        <v>46149</v>
      </c>
      <c r="AL418" s="178">
        <v>46134</v>
      </c>
      <c r="AM418" s="178"/>
      <c r="AN418" s="180"/>
      <c r="AO418" s="143">
        <v>82</v>
      </c>
      <c r="AP418" s="143">
        <v>63</v>
      </c>
    </row>
    <row r="419" s="89" customFormat="1" hidden="1" customHeight="1" spans="1:42">
      <c r="A419" s="150">
        <v>46114</v>
      </c>
      <c r="B419" s="150" t="s">
        <v>467</v>
      </c>
      <c r="C419" s="171" t="s">
        <v>237</v>
      </c>
      <c r="D419" s="150" t="s">
        <v>838</v>
      </c>
      <c r="E419" s="171" t="s">
        <v>438</v>
      </c>
      <c r="F419" s="172">
        <v>10124085</v>
      </c>
      <c r="G419" s="172" t="s">
        <v>278</v>
      </c>
      <c r="H419" s="173" t="s">
        <v>113</v>
      </c>
      <c r="I419" s="174" t="s">
        <v>900</v>
      </c>
      <c r="J419" s="175">
        <v>700</v>
      </c>
      <c r="K419" s="174">
        <v>2</v>
      </c>
      <c r="L419" s="143">
        <v>350</v>
      </c>
      <c r="M419" s="150">
        <v>46176</v>
      </c>
      <c r="N419" s="150">
        <v>46174</v>
      </c>
      <c r="O419" s="147">
        <v>46183</v>
      </c>
      <c r="P419" s="150" t="s">
        <v>435</v>
      </c>
      <c r="Q419" s="173" t="s">
        <v>777</v>
      </c>
      <c r="R419" s="148" t="s">
        <v>771</v>
      </c>
      <c r="S419" s="150"/>
      <c r="T419" s="150" t="s">
        <v>452</v>
      </c>
      <c r="U419" s="150"/>
      <c r="V419" s="150"/>
      <c r="W419" s="173"/>
      <c r="X419" s="143" t="s">
        <v>839</v>
      </c>
      <c r="Y419" s="176">
        <v>5.97</v>
      </c>
      <c r="Z419" s="198">
        <f t="shared" si="85"/>
        <v>4179</v>
      </c>
      <c r="AA419" s="198">
        <f t="shared" si="86"/>
        <v>32387.25</v>
      </c>
      <c r="AB419" s="177" t="s">
        <v>904</v>
      </c>
      <c r="AC419" s="150"/>
      <c r="AD419" s="150"/>
      <c r="AE419" s="150" t="s">
        <v>12</v>
      </c>
      <c r="AF419" s="174"/>
      <c r="AG419" s="174"/>
      <c r="AH419" s="178">
        <v>46134</v>
      </c>
      <c r="AI419" s="178" t="s">
        <v>420</v>
      </c>
      <c r="AJ419" s="178"/>
      <c r="AK419" s="178">
        <v>46140</v>
      </c>
      <c r="AL419" s="178">
        <v>46134</v>
      </c>
      <c r="AM419" s="178"/>
      <c r="AN419" s="178"/>
      <c r="AO419" s="143">
        <v>62</v>
      </c>
      <c r="AP419" s="143">
        <v>42</v>
      </c>
    </row>
    <row r="420" s="89" customFormat="1" hidden="1" customHeight="1" spans="1:42">
      <c r="A420" s="150">
        <v>46114</v>
      </c>
      <c r="B420" s="150" t="s">
        <v>467</v>
      </c>
      <c r="C420" s="171" t="s">
        <v>237</v>
      </c>
      <c r="D420" s="150" t="s">
        <v>838</v>
      </c>
      <c r="E420" s="171" t="s">
        <v>438</v>
      </c>
      <c r="F420" s="172">
        <v>10124085</v>
      </c>
      <c r="G420" s="172" t="s">
        <v>278</v>
      </c>
      <c r="H420" s="173" t="s">
        <v>107</v>
      </c>
      <c r="I420" s="174" t="s">
        <v>709</v>
      </c>
      <c r="J420" s="175">
        <v>144</v>
      </c>
      <c r="K420" s="174">
        <v>4</v>
      </c>
      <c r="L420" s="143">
        <v>36</v>
      </c>
      <c r="M420" s="150">
        <v>46176</v>
      </c>
      <c r="N420" s="150">
        <v>46174</v>
      </c>
      <c r="O420" s="147">
        <v>46177</v>
      </c>
      <c r="P420" s="150" t="s">
        <v>435</v>
      </c>
      <c r="Q420" s="173" t="s">
        <v>777</v>
      </c>
      <c r="R420" s="148" t="s">
        <v>782</v>
      </c>
      <c r="S420" s="150"/>
      <c r="T420" s="150" t="s">
        <v>452</v>
      </c>
      <c r="U420" s="150"/>
      <c r="V420" s="150"/>
      <c r="W420" s="173"/>
      <c r="X420" s="143" t="s">
        <v>839</v>
      </c>
      <c r="Y420" s="176">
        <v>4.956</v>
      </c>
      <c r="Z420" s="198">
        <f t="shared" si="85"/>
        <v>713.66</v>
      </c>
      <c r="AA420" s="198">
        <f t="shared" si="86"/>
        <v>5530.87</v>
      </c>
      <c r="AB420" s="177" t="s">
        <v>904</v>
      </c>
      <c r="AC420" s="150"/>
      <c r="AD420" s="150"/>
      <c r="AE420" s="150" t="s">
        <v>12</v>
      </c>
      <c r="AF420" s="174"/>
      <c r="AG420" s="174"/>
      <c r="AH420" s="178">
        <v>46121</v>
      </c>
      <c r="AI420" s="178">
        <v>46128</v>
      </c>
      <c r="AJ420" s="178"/>
      <c r="AK420" s="178" t="s">
        <v>420</v>
      </c>
      <c r="AL420" s="178" t="s">
        <v>420</v>
      </c>
      <c r="AM420" s="178"/>
      <c r="AN420" s="178"/>
      <c r="AO420" s="143">
        <v>62</v>
      </c>
      <c r="AP420" s="143">
        <v>55</v>
      </c>
    </row>
    <row r="421" s="89" customFormat="1" hidden="1" customHeight="1" spans="1:42">
      <c r="A421" s="150">
        <v>46114</v>
      </c>
      <c r="B421" s="150" t="s">
        <v>467</v>
      </c>
      <c r="C421" s="171" t="s">
        <v>237</v>
      </c>
      <c r="D421" s="150" t="s">
        <v>838</v>
      </c>
      <c r="E421" s="171" t="s">
        <v>438</v>
      </c>
      <c r="F421" s="172">
        <v>10124085</v>
      </c>
      <c r="G421" s="172" t="s">
        <v>278</v>
      </c>
      <c r="H421" s="173" t="s">
        <v>105</v>
      </c>
      <c r="I421" s="174" t="s">
        <v>706</v>
      </c>
      <c r="J421" s="175">
        <v>200</v>
      </c>
      <c r="K421" s="174">
        <v>4</v>
      </c>
      <c r="L421" s="143">
        <v>50</v>
      </c>
      <c r="M421" s="150">
        <v>46176</v>
      </c>
      <c r="N421" s="150">
        <v>46174</v>
      </c>
      <c r="O421" s="147">
        <v>46177</v>
      </c>
      <c r="P421" s="150" t="s">
        <v>435</v>
      </c>
      <c r="Q421" s="173" t="s">
        <v>777</v>
      </c>
      <c r="R421" s="154" t="s">
        <v>782</v>
      </c>
      <c r="S421" s="150"/>
      <c r="T421" s="150" t="s">
        <v>452</v>
      </c>
      <c r="U421" s="150"/>
      <c r="V421" s="150"/>
      <c r="W421" s="173"/>
      <c r="X421" s="143" t="s">
        <v>839</v>
      </c>
      <c r="Y421" s="176">
        <v>2.994</v>
      </c>
      <c r="Z421" s="198">
        <f t="shared" si="85"/>
        <v>598.8</v>
      </c>
      <c r="AA421" s="198">
        <f t="shared" si="86"/>
        <v>4640.7</v>
      </c>
      <c r="AB421" s="177" t="s">
        <v>904</v>
      </c>
      <c r="AC421" s="150"/>
      <c r="AD421" s="150"/>
      <c r="AE421" s="150" t="s">
        <v>12</v>
      </c>
      <c r="AF421" s="174"/>
      <c r="AG421" s="174"/>
      <c r="AH421" s="178">
        <v>46121</v>
      </c>
      <c r="AI421" s="178">
        <v>46128</v>
      </c>
      <c r="AJ421" s="178"/>
      <c r="AK421" s="178" t="s">
        <v>420</v>
      </c>
      <c r="AL421" s="178" t="s">
        <v>420</v>
      </c>
      <c r="AM421" s="178"/>
      <c r="AN421" s="178"/>
      <c r="AO421" s="143">
        <v>62</v>
      </c>
      <c r="AP421" s="143">
        <v>55</v>
      </c>
    </row>
    <row r="422" s="89" customFormat="1" hidden="1" customHeight="1" spans="1:42">
      <c r="A422" s="150">
        <v>46114</v>
      </c>
      <c r="B422" s="150" t="s">
        <v>467</v>
      </c>
      <c r="C422" s="171" t="s">
        <v>237</v>
      </c>
      <c r="D422" s="150" t="s">
        <v>838</v>
      </c>
      <c r="E422" s="171" t="s">
        <v>438</v>
      </c>
      <c r="F422" s="172">
        <v>10124085</v>
      </c>
      <c r="G422" s="172" t="s">
        <v>278</v>
      </c>
      <c r="H422" s="173" t="s">
        <v>111</v>
      </c>
      <c r="I422" s="174" t="s">
        <v>901</v>
      </c>
      <c r="J422" s="175">
        <v>120</v>
      </c>
      <c r="K422" s="174">
        <v>4</v>
      </c>
      <c r="L422" s="143">
        <v>30</v>
      </c>
      <c r="M422" s="150">
        <v>46176</v>
      </c>
      <c r="N422" s="150">
        <v>46174</v>
      </c>
      <c r="O422" s="147">
        <v>46175</v>
      </c>
      <c r="P422" s="150" t="s">
        <v>435</v>
      </c>
      <c r="Q422" s="173" t="s">
        <v>777</v>
      </c>
      <c r="R422" s="148" t="s">
        <v>771</v>
      </c>
      <c r="S422" s="150"/>
      <c r="T422" s="150" t="s">
        <v>452</v>
      </c>
      <c r="U422" s="150"/>
      <c r="V422" s="150"/>
      <c r="W422" s="173"/>
      <c r="X422" s="143" t="s">
        <v>839</v>
      </c>
      <c r="Y422" s="176">
        <v>3.816</v>
      </c>
      <c r="Z422" s="198">
        <f t="shared" si="85"/>
        <v>457.92</v>
      </c>
      <c r="AA422" s="198">
        <f t="shared" si="86"/>
        <v>3548.88</v>
      </c>
      <c r="AB422" s="177" t="s">
        <v>904</v>
      </c>
      <c r="AC422" s="150"/>
      <c r="AD422" s="150"/>
      <c r="AE422" s="150" t="s">
        <v>12</v>
      </c>
      <c r="AF422" s="174"/>
      <c r="AG422" s="174"/>
      <c r="AH422" s="178">
        <v>46134</v>
      </c>
      <c r="AI422" s="178" t="s">
        <v>420</v>
      </c>
      <c r="AJ422" s="178"/>
      <c r="AK422" s="199">
        <v>46134</v>
      </c>
      <c r="AL422" s="178">
        <v>46134</v>
      </c>
      <c r="AM422" s="178"/>
      <c r="AN422" s="178"/>
      <c r="AO422" s="143">
        <v>62</v>
      </c>
      <c r="AP422" s="143">
        <v>42</v>
      </c>
    </row>
    <row r="423" s="89" customFormat="1" hidden="1" customHeight="1" spans="1:42">
      <c r="A423" s="150">
        <v>46114</v>
      </c>
      <c r="B423" s="150" t="s">
        <v>467</v>
      </c>
      <c r="C423" s="171" t="s">
        <v>237</v>
      </c>
      <c r="D423" s="150" t="s">
        <v>838</v>
      </c>
      <c r="E423" s="171" t="s">
        <v>438</v>
      </c>
      <c r="F423" s="172">
        <v>10124085</v>
      </c>
      <c r="G423" s="172" t="s">
        <v>278</v>
      </c>
      <c r="H423" s="173" t="s">
        <v>109</v>
      </c>
      <c r="I423" s="174" t="s">
        <v>905</v>
      </c>
      <c r="J423" s="175">
        <v>100</v>
      </c>
      <c r="K423" s="174">
        <v>4</v>
      </c>
      <c r="L423" s="143">
        <v>25</v>
      </c>
      <c r="M423" s="150">
        <v>46176</v>
      </c>
      <c r="N423" s="150">
        <v>46174</v>
      </c>
      <c r="O423" s="147">
        <v>46175</v>
      </c>
      <c r="P423" s="150" t="s">
        <v>435</v>
      </c>
      <c r="Q423" s="173" t="s">
        <v>777</v>
      </c>
      <c r="R423" s="148" t="s">
        <v>431</v>
      </c>
      <c r="S423" s="150"/>
      <c r="T423" s="150"/>
      <c r="U423" s="150"/>
      <c r="V423" s="150"/>
      <c r="W423" s="173"/>
      <c r="X423" s="143" t="s">
        <v>839</v>
      </c>
      <c r="Y423" s="176">
        <v>3.886</v>
      </c>
      <c r="Z423" s="198">
        <f t="shared" si="85"/>
        <v>388.6</v>
      </c>
      <c r="AA423" s="198">
        <f t="shared" si="86"/>
        <v>3011.65</v>
      </c>
      <c r="AB423" s="177" t="s">
        <v>904</v>
      </c>
      <c r="AC423" s="150"/>
      <c r="AD423" s="150"/>
      <c r="AE423" s="150" t="s">
        <v>12</v>
      </c>
      <c r="AF423" s="174"/>
      <c r="AG423" s="174"/>
      <c r="AH423" s="178">
        <v>46128</v>
      </c>
      <c r="AI423" s="178" t="s">
        <v>420</v>
      </c>
      <c r="AJ423" s="178"/>
      <c r="AK423" s="199">
        <v>46135</v>
      </c>
      <c r="AL423" s="178">
        <v>46128</v>
      </c>
      <c r="AM423" s="178"/>
      <c r="AN423" s="178"/>
      <c r="AO423" s="143">
        <v>62</v>
      </c>
      <c r="AP423" s="143">
        <v>48</v>
      </c>
    </row>
    <row r="424" s="89" customFormat="1" hidden="1" customHeight="1" spans="1:42">
      <c r="A424" s="150">
        <v>46114</v>
      </c>
      <c r="B424" s="150" t="s">
        <v>467</v>
      </c>
      <c r="C424" s="171" t="s">
        <v>237</v>
      </c>
      <c r="D424" s="150" t="s">
        <v>838</v>
      </c>
      <c r="E424" s="171" t="s">
        <v>438</v>
      </c>
      <c r="F424" s="172">
        <v>10124085</v>
      </c>
      <c r="G424" s="172" t="s">
        <v>278</v>
      </c>
      <c r="H424" s="173" t="s">
        <v>35</v>
      </c>
      <c r="I424" s="174" t="s">
        <v>676</v>
      </c>
      <c r="J424" s="175">
        <v>60</v>
      </c>
      <c r="K424" s="174">
        <v>2</v>
      </c>
      <c r="L424" s="143">
        <v>30</v>
      </c>
      <c r="M424" s="150">
        <v>46176</v>
      </c>
      <c r="N424" s="150">
        <v>46174</v>
      </c>
      <c r="O424" s="147">
        <v>46176</v>
      </c>
      <c r="P424" s="150" t="s">
        <v>435</v>
      </c>
      <c r="Q424" s="173" t="s">
        <v>777</v>
      </c>
      <c r="R424" s="148" t="s">
        <v>826</v>
      </c>
      <c r="S424" s="150"/>
      <c r="T424" s="150"/>
      <c r="U424" s="150"/>
      <c r="V424" s="150"/>
      <c r="W424" s="173"/>
      <c r="X424" s="143" t="s">
        <v>839</v>
      </c>
      <c r="Y424" s="176">
        <v>22.9</v>
      </c>
      <c r="Z424" s="198">
        <f t="shared" si="85"/>
        <v>1374</v>
      </c>
      <c r="AA424" s="198">
        <f t="shared" si="86"/>
        <v>10648.5</v>
      </c>
      <c r="AB424" s="177" t="s">
        <v>904</v>
      </c>
      <c r="AC424" s="150"/>
      <c r="AD424" s="150"/>
      <c r="AE424" s="150" t="s">
        <v>12</v>
      </c>
      <c r="AF424" s="174"/>
      <c r="AG424" s="174"/>
      <c r="AH424" s="178">
        <v>46146</v>
      </c>
      <c r="AI424" s="178">
        <v>46171</v>
      </c>
      <c r="AJ424" s="178"/>
      <c r="AK424" s="178">
        <v>46146</v>
      </c>
      <c r="AL424" s="178">
        <v>46140</v>
      </c>
      <c r="AM424" s="178"/>
      <c r="AN424" s="178"/>
      <c r="AO424" s="143">
        <v>62</v>
      </c>
      <c r="AP424" s="143">
        <v>30</v>
      </c>
    </row>
    <row r="425" s="89" customFormat="1" hidden="1" customHeight="1" spans="1:42">
      <c r="A425" s="150">
        <v>46114</v>
      </c>
      <c r="B425" s="150" t="s">
        <v>467</v>
      </c>
      <c r="C425" s="171" t="s">
        <v>237</v>
      </c>
      <c r="D425" s="150" t="s">
        <v>838</v>
      </c>
      <c r="E425" s="171" t="s">
        <v>438</v>
      </c>
      <c r="F425" s="172">
        <v>10124085</v>
      </c>
      <c r="G425" s="172" t="s">
        <v>278</v>
      </c>
      <c r="H425" s="173">
        <v>47669</v>
      </c>
      <c r="I425" s="174" t="s">
        <v>723</v>
      </c>
      <c r="J425" s="175">
        <v>160</v>
      </c>
      <c r="K425" s="174">
        <v>4</v>
      </c>
      <c r="L425" s="143">
        <v>40</v>
      </c>
      <c r="M425" s="150">
        <v>46176</v>
      </c>
      <c r="N425" s="150">
        <v>46174</v>
      </c>
      <c r="O425" s="147">
        <v>46182</v>
      </c>
      <c r="P425" s="150" t="s">
        <v>435</v>
      </c>
      <c r="Q425" s="173" t="s">
        <v>777</v>
      </c>
      <c r="R425" s="148" t="s">
        <v>418</v>
      </c>
      <c r="S425" s="150"/>
      <c r="T425" s="150" t="s">
        <v>452</v>
      </c>
      <c r="U425" s="150"/>
      <c r="V425" s="150"/>
      <c r="W425" s="173"/>
      <c r="X425" s="143" t="s">
        <v>839</v>
      </c>
      <c r="Y425" s="176">
        <v>4.808</v>
      </c>
      <c r="Z425" s="198">
        <f t="shared" si="85"/>
        <v>769.28</v>
      </c>
      <c r="AA425" s="198">
        <f t="shared" si="86"/>
        <v>5961.92</v>
      </c>
      <c r="AB425" s="177" t="s">
        <v>904</v>
      </c>
      <c r="AC425" s="174"/>
      <c r="AD425" s="178"/>
      <c r="AE425" s="150" t="s">
        <v>12</v>
      </c>
      <c r="AF425" s="178">
        <v>46115</v>
      </c>
      <c r="AG425" s="178"/>
      <c r="AH425" s="178">
        <v>46115</v>
      </c>
      <c r="AI425" s="178">
        <v>46135</v>
      </c>
      <c r="AJ425" s="178"/>
      <c r="AK425" s="178" t="s">
        <v>420</v>
      </c>
      <c r="AL425" s="178" t="s">
        <v>420</v>
      </c>
      <c r="AM425" s="143"/>
      <c r="AN425" s="180"/>
      <c r="AO425" s="143">
        <v>62</v>
      </c>
      <c r="AP425" s="143">
        <v>61</v>
      </c>
    </row>
    <row r="426" s="89" customFormat="1" hidden="1" customHeight="1" spans="1:42">
      <c r="A426" s="150">
        <v>46114</v>
      </c>
      <c r="B426" s="150" t="s">
        <v>467</v>
      </c>
      <c r="C426" s="171" t="s">
        <v>237</v>
      </c>
      <c r="D426" s="150" t="s">
        <v>838</v>
      </c>
      <c r="E426" s="171" t="s">
        <v>438</v>
      </c>
      <c r="F426" s="172">
        <v>10124085</v>
      </c>
      <c r="G426" s="172" t="s">
        <v>278</v>
      </c>
      <c r="H426" s="173" t="s">
        <v>39</v>
      </c>
      <c r="I426" s="174" t="s">
        <v>710</v>
      </c>
      <c r="J426" s="175">
        <v>20</v>
      </c>
      <c r="K426" s="174">
        <v>2</v>
      </c>
      <c r="L426" s="143">
        <v>10</v>
      </c>
      <c r="M426" s="150">
        <v>46183</v>
      </c>
      <c r="N426" s="150">
        <v>46181</v>
      </c>
      <c r="O426" s="150">
        <v>46195</v>
      </c>
      <c r="P426" s="150" t="s">
        <v>435</v>
      </c>
      <c r="Q426" s="173" t="s">
        <v>777</v>
      </c>
      <c r="R426" s="148" t="s">
        <v>906</v>
      </c>
      <c r="S426" s="150"/>
      <c r="T426" s="150"/>
      <c r="U426" s="150"/>
      <c r="V426" s="150"/>
      <c r="W426" s="173"/>
      <c r="X426" s="143" t="s">
        <v>839</v>
      </c>
      <c r="Y426" s="176">
        <v>30.536</v>
      </c>
      <c r="Z426" s="198">
        <f t="shared" si="85"/>
        <v>610.72</v>
      </c>
      <c r="AA426" s="198">
        <f t="shared" si="86"/>
        <v>4733.08</v>
      </c>
      <c r="AB426" s="177" t="s">
        <v>904</v>
      </c>
      <c r="AC426" s="150"/>
      <c r="AD426" s="150"/>
      <c r="AE426" s="150" t="s">
        <v>12</v>
      </c>
      <c r="AF426" s="174"/>
      <c r="AG426" s="174"/>
      <c r="AH426" s="178">
        <v>46129</v>
      </c>
      <c r="AI426" s="178">
        <v>46163</v>
      </c>
      <c r="AJ426" s="178"/>
      <c r="AK426" s="178">
        <v>46146</v>
      </c>
      <c r="AL426" s="178">
        <v>46140</v>
      </c>
      <c r="AM426" s="178"/>
      <c r="AN426" s="178"/>
      <c r="AO426" s="143">
        <v>69</v>
      </c>
      <c r="AP426" s="143">
        <v>54</v>
      </c>
    </row>
    <row r="427" s="89" customFormat="1" hidden="1" customHeight="1" spans="1:42">
      <c r="A427" s="150">
        <v>46114</v>
      </c>
      <c r="B427" s="150" t="s">
        <v>467</v>
      </c>
      <c r="C427" s="171" t="s">
        <v>237</v>
      </c>
      <c r="D427" s="150" t="s">
        <v>838</v>
      </c>
      <c r="E427" s="171" t="s">
        <v>438</v>
      </c>
      <c r="F427" s="172">
        <v>10124085</v>
      </c>
      <c r="G427" s="172" t="s">
        <v>278</v>
      </c>
      <c r="H427" s="173" t="s">
        <v>118</v>
      </c>
      <c r="I427" s="174" t="s">
        <v>833</v>
      </c>
      <c r="J427" s="175">
        <v>100</v>
      </c>
      <c r="K427" s="174">
        <v>4</v>
      </c>
      <c r="L427" s="143">
        <v>25</v>
      </c>
      <c r="M427" s="150">
        <v>46190</v>
      </c>
      <c r="N427" s="150">
        <v>46188</v>
      </c>
      <c r="O427" s="150">
        <v>46175</v>
      </c>
      <c r="P427" s="150" t="s">
        <v>435</v>
      </c>
      <c r="Q427" s="173" t="s">
        <v>777</v>
      </c>
      <c r="R427" s="148" t="s">
        <v>779</v>
      </c>
      <c r="S427" s="150"/>
      <c r="T427" s="150" t="s">
        <v>505</v>
      </c>
      <c r="U427" s="150"/>
      <c r="V427" s="150"/>
      <c r="W427" s="173"/>
      <c r="X427" s="143" t="s">
        <v>839</v>
      </c>
      <c r="Y427" s="176">
        <v>16.71</v>
      </c>
      <c r="Z427" s="198">
        <f t="shared" si="85"/>
        <v>1671</v>
      </c>
      <c r="AA427" s="198">
        <f t="shared" si="86"/>
        <v>12950.25</v>
      </c>
      <c r="AB427" s="177" t="s">
        <v>904</v>
      </c>
      <c r="AC427" s="174"/>
      <c r="AD427" s="178"/>
      <c r="AE427" s="150" t="s">
        <v>12</v>
      </c>
      <c r="AF427" s="178"/>
      <c r="AG427" s="178"/>
      <c r="AH427" s="178">
        <v>46134</v>
      </c>
      <c r="AI427" s="178" t="s">
        <v>420</v>
      </c>
      <c r="AJ427" s="178"/>
      <c r="AK427" s="178">
        <v>46135</v>
      </c>
      <c r="AL427" s="178">
        <v>46134</v>
      </c>
      <c r="AM427" s="143"/>
      <c r="AN427" s="180"/>
      <c r="AO427" s="143">
        <v>76</v>
      </c>
      <c r="AP427" s="143">
        <v>56</v>
      </c>
    </row>
    <row r="428" s="89" customFormat="1" hidden="1" customHeight="1" spans="1:42">
      <c r="A428" s="150">
        <v>46114</v>
      </c>
      <c r="B428" s="150" t="s">
        <v>467</v>
      </c>
      <c r="C428" s="171" t="s">
        <v>237</v>
      </c>
      <c r="D428" s="150" t="s">
        <v>838</v>
      </c>
      <c r="E428" s="171" t="s">
        <v>438</v>
      </c>
      <c r="F428" s="172">
        <v>10124085</v>
      </c>
      <c r="G428" s="172" t="s">
        <v>278</v>
      </c>
      <c r="H428" s="173" t="s">
        <v>31</v>
      </c>
      <c r="I428" s="174" t="s">
        <v>830</v>
      </c>
      <c r="J428" s="175">
        <v>220</v>
      </c>
      <c r="K428" s="174">
        <v>1</v>
      </c>
      <c r="L428" s="143">
        <v>220</v>
      </c>
      <c r="M428" s="150">
        <v>46197</v>
      </c>
      <c r="N428" s="150">
        <v>46195</v>
      </c>
      <c r="O428" s="150">
        <v>46197</v>
      </c>
      <c r="P428" s="150" t="s">
        <v>435</v>
      </c>
      <c r="Q428" s="173" t="s">
        <v>777</v>
      </c>
      <c r="R428" s="148" t="s">
        <v>826</v>
      </c>
      <c r="S428" s="150"/>
      <c r="T428" s="150" t="s">
        <v>452</v>
      </c>
      <c r="U428" s="150"/>
      <c r="V428" s="150"/>
      <c r="W428" s="173"/>
      <c r="X428" s="143" t="s">
        <v>839</v>
      </c>
      <c r="Y428" s="176">
        <v>29.652</v>
      </c>
      <c r="Z428" s="198">
        <f t="shared" si="85"/>
        <v>6523.44</v>
      </c>
      <c r="AA428" s="198">
        <f t="shared" si="86"/>
        <v>50556.66</v>
      </c>
      <c r="AB428" s="177" t="s">
        <v>904</v>
      </c>
      <c r="AC428" s="174"/>
      <c r="AD428" s="178"/>
      <c r="AE428" s="150" t="s">
        <v>12</v>
      </c>
      <c r="AF428" s="178"/>
      <c r="AG428" s="178"/>
      <c r="AH428" s="178">
        <v>46149</v>
      </c>
      <c r="AI428" s="178"/>
      <c r="AJ428" s="178"/>
      <c r="AK428" s="178">
        <v>46158</v>
      </c>
      <c r="AL428" s="179">
        <v>46140</v>
      </c>
      <c r="AM428" s="143"/>
      <c r="AN428" s="180"/>
      <c r="AO428" s="143">
        <v>83</v>
      </c>
      <c r="AP428" s="143">
        <v>48</v>
      </c>
    </row>
    <row r="429" s="89" customFormat="1" hidden="1" customHeight="1" spans="1:42">
      <c r="A429" s="150">
        <v>46114</v>
      </c>
      <c r="B429" s="150" t="s">
        <v>467</v>
      </c>
      <c r="C429" s="171" t="s">
        <v>237</v>
      </c>
      <c r="D429" s="150" t="s">
        <v>838</v>
      </c>
      <c r="E429" s="171" t="s">
        <v>438</v>
      </c>
      <c r="F429" s="172">
        <v>10124085</v>
      </c>
      <c r="G429" s="172" t="s">
        <v>278</v>
      </c>
      <c r="H429" s="173" t="s">
        <v>87</v>
      </c>
      <c r="I429" s="174" t="s">
        <v>830</v>
      </c>
      <c r="J429" s="175">
        <v>60</v>
      </c>
      <c r="K429" s="174">
        <v>1</v>
      </c>
      <c r="L429" s="143">
        <v>60</v>
      </c>
      <c r="M429" s="150">
        <v>46197</v>
      </c>
      <c r="N429" s="150">
        <v>46195</v>
      </c>
      <c r="O429" s="150">
        <v>46198</v>
      </c>
      <c r="P429" s="150" t="s">
        <v>435</v>
      </c>
      <c r="Q429" s="173" t="s">
        <v>777</v>
      </c>
      <c r="R429" s="148" t="s">
        <v>431</v>
      </c>
      <c r="S429" s="150"/>
      <c r="T429" s="150"/>
      <c r="U429" s="150"/>
      <c r="V429" s="150"/>
      <c r="W429" s="173"/>
      <c r="X429" s="143" t="s">
        <v>839</v>
      </c>
      <c r="Y429" s="176">
        <v>31.4</v>
      </c>
      <c r="Z429" s="198">
        <f t="shared" si="85"/>
        <v>1884</v>
      </c>
      <c r="AA429" s="198">
        <f t="shared" si="86"/>
        <v>14601</v>
      </c>
      <c r="AB429" s="177" t="s">
        <v>904</v>
      </c>
      <c r="AC429" s="174"/>
      <c r="AD429" s="178"/>
      <c r="AE429" s="150" t="s">
        <v>12</v>
      </c>
      <c r="AF429" s="178"/>
      <c r="AG429" s="178"/>
      <c r="AH429" s="178">
        <v>46149</v>
      </c>
      <c r="AI429" s="178">
        <v>46158</v>
      </c>
      <c r="AJ429" s="178"/>
      <c r="AK429" s="178">
        <v>46154</v>
      </c>
      <c r="AL429" s="179">
        <v>46140</v>
      </c>
      <c r="AM429" s="143"/>
      <c r="AN429" s="180"/>
      <c r="AO429" s="143">
        <v>83</v>
      </c>
      <c r="AP429" s="143">
        <v>48</v>
      </c>
    </row>
    <row r="430" s="89" customFormat="1" customHeight="1" spans="1:42">
      <c r="A430" s="150">
        <v>46114</v>
      </c>
      <c r="B430" s="150" t="s">
        <v>467</v>
      </c>
      <c r="C430" s="171" t="s">
        <v>237</v>
      </c>
      <c r="D430" s="150" t="s">
        <v>838</v>
      </c>
      <c r="E430" s="171" t="s">
        <v>438</v>
      </c>
      <c r="F430" s="172">
        <v>10124085</v>
      </c>
      <c r="G430" s="172" t="s">
        <v>278</v>
      </c>
      <c r="H430" s="173" t="s">
        <v>120</v>
      </c>
      <c r="I430" s="174" t="s">
        <v>902</v>
      </c>
      <c r="J430" s="175">
        <v>150</v>
      </c>
      <c r="K430" s="174">
        <v>2</v>
      </c>
      <c r="L430" s="143">
        <v>75</v>
      </c>
      <c r="M430" s="150">
        <v>46197</v>
      </c>
      <c r="N430" s="150">
        <v>46195</v>
      </c>
      <c r="O430" s="150">
        <v>46197</v>
      </c>
      <c r="P430" s="150" t="s">
        <v>435</v>
      </c>
      <c r="Q430" s="173" t="s">
        <v>777</v>
      </c>
      <c r="R430" s="148" t="s">
        <v>418</v>
      </c>
      <c r="S430" s="150"/>
      <c r="T430" s="150" t="s">
        <v>452</v>
      </c>
      <c r="U430" s="150"/>
      <c r="V430" s="150"/>
      <c r="W430" s="173"/>
      <c r="X430" s="143" t="s">
        <v>839</v>
      </c>
      <c r="Y430" s="176">
        <v>21.246</v>
      </c>
      <c r="Z430" s="198">
        <f t="shared" si="85"/>
        <v>3186.9</v>
      </c>
      <c r="AA430" s="198">
        <f t="shared" si="86"/>
        <v>24698.48</v>
      </c>
      <c r="AB430" s="177" t="s">
        <v>904</v>
      </c>
      <c r="AC430" s="174"/>
      <c r="AD430" s="178"/>
      <c r="AE430" s="150" t="s">
        <v>12</v>
      </c>
      <c r="AF430" s="178"/>
      <c r="AG430" s="178"/>
      <c r="AH430" s="178">
        <v>46134</v>
      </c>
      <c r="AI430" s="178">
        <v>46128</v>
      </c>
      <c r="AJ430" s="178"/>
      <c r="AK430" s="178">
        <v>46149</v>
      </c>
      <c r="AL430" s="178">
        <v>46134</v>
      </c>
      <c r="AM430" s="197"/>
      <c r="AN430" s="180"/>
      <c r="AO430" s="143">
        <v>83</v>
      </c>
      <c r="AP430" s="143">
        <v>63</v>
      </c>
    </row>
    <row r="431" s="89" customFormat="1" hidden="1" customHeight="1" spans="1:42">
      <c r="A431" s="150">
        <v>46115</v>
      </c>
      <c r="B431" s="150" t="s">
        <v>467</v>
      </c>
      <c r="C431" s="171" t="s">
        <v>237</v>
      </c>
      <c r="D431" s="150" t="s">
        <v>838</v>
      </c>
      <c r="E431" s="171" t="s">
        <v>438</v>
      </c>
      <c r="F431" s="172">
        <v>10124132</v>
      </c>
      <c r="G431" s="172">
        <v>40123982</v>
      </c>
      <c r="H431" s="173" t="s">
        <v>113</v>
      </c>
      <c r="I431" s="174" t="s">
        <v>900</v>
      </c>
      <c r="J431" s="175">
        <v>864</v>
      </c>
      <c r="K431" s="174">
        <v>2</v>
      </c>
      <c r="L431" s="143">
        <v>432</v>
      </c>
      <c r="M431" s="150">
        <v>46176</v>
      </c>
      <c r="N431" s="150">
        <v>46174</v>
      </c>
      <c r="O431" s="147">
        <v>46183</v>
      </c>
      <c r="P431" s="150" t="s">
        <v>435</v>
      </c>
      <c r="Q431" s="173" t="s">
        <v>777</v>
      </c>
      <c r="R431" s="148" t="s">
        <v>771</v>
      </c>
      <c r="S431" s="150"/>
      <c r="T431" s="150" t="s">
        <v>452</v>
      </c>
      <c r="U431" s="150"/>
      <c r="V431" s="150"/>
      <c r="W431" s="173"/>
      <c r="X431" s="143" t="s">
        <v>839</v>
      </c>
      <c r="Y431" s="176">
        <v>5.97</v>
      </c>
      <c r="Z431" s="198">
        <f t="shared" si="85"/>
        <v>5158.08</v>
      </c>
      <c r="AA431" s="198">
        <f t="shared" si="86"/>
        <v>39975.12</v>
      </c>
      <c r="AB431" s="177" t="s">
        <v>907</v>
      </c>
      <c r="AC431" s="150"/>
      <c r="AD431" s="150"/>
      <c r="AE431" s="150" t="s">
        <v>12</v>
      </c>
      <c r="AF431" s="174"/>
      <c r="AG431" s="174"/>
      <c r="AH431" s="178">
        <v>46134</v>
      </c>
      <c r="AI431" s="178" t="s">
        <v>420</v>
      </c>
      <c r="AJ431" s="178"/>
      <c r="AK431" s="178">
        <v>46140</v>
      </c>
      <c r="AL431" s="178">
        <v>46134</v>
      </c>
      <c r="AM431" s="178"/>
      <c r="AN431" s="178"/>
      <c r="AO431" s="143">
        <v>61</v>
      </c>
      <c r="AP431" s="143">
        <v>42</v>
      </c>
    </row>
    <row r="432" s="89" customFormat="1" hidden="1" customHeight="1" spans="1:42">
      <c r="A432" s="150">
        <v>46115</v>
      </c>
      <c r="B432" s="150" t="s">
        <v>467</v>
      </c>
      <c r="C432" s="171" t="s">
        <v>237</v>
      </c>
      <c r="D432" s="150" t="s">
        <v>838</v>
      </c>
      <c r="E432" s="171" t="s">
        <v>438</v>
      </c>
      <c r="F432" s="172">
        <v>10124132</v>
      </c>
      <c r="G432" s="172">
        <v>40123982</v>
      </c>
      <c r="H432" s="173" t="s">
        <v>107</v>
      </c>
      <c r="I432" s="174" t="s">
        <v>709</v>
      </c>
      <c r="J432" s="175">
        <v>112</v>
      </c>
      <c r="K432" s="174">
        <v>4</v>
      </c>
      <c r="L432" s="143">
        <v>28</v>
      </c>
      <c r="M432" s="150">
        <v>46176</v>
      </c>
      <c r="N432" s="150">
        <v>46174</v>
      </c>
      <c r="O432" s="147">
        <v>46177</v>
      </c>
      <c r="P432" s="150" t="s">
        <v>435</v>
      </c>
      <c r="Q432" s="173" t="s">
        <v>777</v>
      </c>
      <c r="R432" s="148" t="s">
        <v>418</v>
      </c>
      <c r="S432" s="150"/>
      <c r="T432" s="150" t="s">
        <v>452</v>
      </c>
      <c r="U432" s="150"/>
      <c r="V432" s="150"/>
      <c r="W432" s="173"/>
      <c r="X432" s="143" t="s">
        <v>839</v>
      </c>
      <c r="Y432" s="176">
        <v>4.956</v>
      </c>
      <c r="Z432" s="198">
        <f t="shared" si="85"/>
        <v>555.07</v>
      </c>
      <c r="AA432" s="198">
        <f t="shared" si="86"/>
        <v>4301.79</v>
      </c>
      <c r="AB432" s="177" t="s">
        <v>907</v>
      </c>
      <c r="AC432" s="150"/>
      <c r="AD432" s="150"/>
      <c r="AE432" s="150" t="s">
        <v>12</v>
      </c>
      <c r="AF432" s="174"/>
      <c r="AG432" s="174"/>
      <c r="AH432" s="178">
        <v>46121</v>
      </c>
      <c r="AI432" s="178">
        <v>46128</v>
      </c>
      <c r="AJ432" s="178"/>
      <c r="AK432" s="178" t="s">
        <v>420</v>
      </c>
      <c r="AL432" s="178" t="s">
        <v>420</v>
      </c>
      <c r="AM432" s="178"/>
      <c r="AN432" s="178"/>
      <c r="AO432" s="143">
        <v>61</v>
      </c>
      <c r="AP432" s="143">
        <v>55</v>
      </c>
    </row>
    <row r="433" s="89" customFormat="1" hidden="1" customHeight="1" spans="1:42">
      <c r="A433" s="150">
        <v>46115</v>
      </c>
      <c r="B433" s="150" t="s">
        <v>467</v>
      </c>
      <c r="C433" s="171" t="s">
        <v>237</v>
      </c>
      <c r="D433" s="150" t="s">
        <v>838</v>
      </c>
      <c r="E433" s="171" t="s">
        <v>438</v>
      </c>
      <c r="F433" s="172">
        <v>10124132</v>
      </c>
      <c r="G433" s="172">
        <v>40123982</v>
      </c>
      <c r="H433" s="173" t="s">
        <v>105</v>
      </c>
      <c r="I433" s="174" t="s">
        <v>706</v>
      </c>
      <c r="J433" s="175">
        <v>112</v>
      </c>
      <c r="K433" s="174">
        <v>4</v>
      </c>
      <c r="L433" s="143">
        <v>28</v>
      </c>
      <c r="M433" s="150">
        <v>46176</v>
      </c>
      <c r="N433" s="150">
        <v>46174</v>
      </c>
      <c r="O433" s="147">
        <v>46177</v>
      </c>
      <c r="P433" s="150" t="s">
        <v>435</v>
      </c>
      <c r="Q433" s="173" t="s">
        <v>777</v>
      </c>
      <c r="R433" s="154" t="s">
        <v>782</v>
      </c>
      <c r="S433" s="150"/>
      <c r="T433" s="150" t="s">
        <v>452</v>
      </c>
      <c r="U433" s="150"/>
      <c r="V433" s="150"/>
      <c r="W433" s="173"/>
      <c r="X433" s="143" t="s">
        <v>839</v>
      </c>
      <c r="Y433" s="176">
        <v>2.994</v>
      </c>
      <c r="Z433" s="198">
        <f t="shared" si="85"/>
        <v>335.33</v>
      </c>
      <c r="AA433" s="198">
        <f t="shared" si="86"/>
        <v>2598.81</v>
      </c>
      <c r="AB433" s="177" t="s">
        <v>907</v>
      </c>
      <c r="AC433" s="150"/>
      <c r="AD433" s="150"/>
      <c r="AE433" s="150" t="s">
        <v>12</v>
      </c>
      <c r="AF433" s="174"/>
      <c r="AG433" s="174"/>
      <c r="AH433" s="178">
        <v>46121</v>
      </c>
      <c r="AI433" s="178">
        <v>46128</v>
      </c>
      <c r="AJ433" s="178"/>
      <c r="AK433" s="178" t="s">
        <v>420</v>
      </c>
      <c r="AL433" s="178" t="s">
        <v>420</v>
      </c>
      <c r="AM433" s="178"/>
      <c r="AN433" s="178"/>
      <c r="AO433" s="143">
        <v>61</v>
      </c>
      <c r="AP433" s="143">
        <v>55</v>
      </c>
    </row>
    <row r="434" s="89" customFormat="1" hidden="1" customHeight="1" spans="1:42">
      <c r="A434" s="150">
        <v>46115</v>
      </c>
      <c r="B434" s="150" t="s">
        <v>467</v>
      </c>
      <c r="C434" s="171" t="s">
        <v>237</v>
      </c>
      <c r="D434" s="150" t="s">
        <v>838</v>
      </c>
      <c r="E434" s="171" t="s">
        <v>438</v>
      </c>
      <c r="F434" s="172">
        <v>10124132</v>
      </c>
      <c r="G434" s="172">
        <v>40123982</v>
      </c>
      <c r="H434" s="173" t="s">
        <v>111</v>
      </c>
      <c r="I434" s="174" t="s">
        <v>901</v>
      </c>
      <c r="J434" s="175">
        <v>308</v>
      </c>
      <c r="K434" s="174">
        <v>4</v>
      </c>
      <c r="L434" s="143">
        <v>77</v>
      </c>
      <c r="M434" s="150">
        <v>46176</v>
      </c>
      <c r="N434" s="150">
        <v>46174</v>
      </c>
      <c r="O434" s="150">
        <v>46175</v>
      </c>
      <c r="P434" s="150" t="s">
        <v>435</v>
      </c>
      <c r="Q434" s="173" t="s">
        <v>777</v>
      </c>
      <c r="R434" s="148" t="s">
        <v>826</v>
      </c>
      <c r="S434" s="150"/>
      <c r="T434" s="150" t="s">
        <v>452</v>
      </c>
      <c r="U434" s="150"/>
      <c r="V434" s="150"/>
      <c r="W434" s="173"/>
      <c r="X434" s="143" t="s">
        <v>839</v>
      </c>
      <c r="Y434" s="176">
        <v>3.816</v>
      </c>
      <c r="Z434" s="198">
        <f t="shared" si="85"/>
        <v>1175.33</v>
      </c>
      <c r="AA434" s="198">
        <f t="shared" si="86"/>
        <v>9108.81</v>
      </c>
      <c r="AB434" s="177" t="s">
        <v>907</v>
      </c>
      <c r="AC434" s="150"/>
      <c r="AD434" s="150"/>
      <c r="AE434" s="150" t="s">
        <v>12</v>
      </c>
      <c r="AF434" s="174"/>
      <c r="AG434" s="174"/>
      <c r="AH434" s="178">
        <v>46134</v>
      </c>
      <c r="AI434" s="178" t="s">
        <v>420</v>
      </c>
      <c r="AJ434" s="178"/>
      <c r="AK434" s="199">
        <v>46134</v>
      </c>
      <c r="AL434" s="178">
        <v>46134</v>
      </c>
      <c r="AM434" s="178"/>
      <c r="AN434" s="178"/>
      <c r="AO434" s="143">
        <v>61</v>
      </c>
      <c r="AP434" s="143">
        <v>42</v>
      </c>
    </row>
    <row r="435" s="89" customFormat="1" hidden="1" customHeight="1" spans="1:42">
      <c r="A435" s="150">
        <v>46115</v>
      </c>
      <c r="B435" s="150" t="s">
        <v>467</v>
      </c>
      <c r="C435" s="171" t="s">
        <v>237</v>
      </c>
      <c r="D435" s="150" t="s">
        <v>838</v>
      </c>
      <c r="E435" s="171" t="s">
        <v>438</v>
      </c>
      <c r="F435" s="172">
        <v>10124132</v>
      </c>
      <c r="G435" s="172">
        <v>40123982</v>
      </c>
      <c r="H435" s="173" t="s">
        <v>109</v>
      </c>
      <c r="I435" s="174" t="s">
        <v>905</v>
      </c>
      <c r="J435" s="175">
        <v>204</v>
      </c>
      <c r="K435" s="174">
        <v>4</v>
      </c>
      <c r="L435" s="143">
        <v>51</v>
      </c>
      <c r="M435" s="150">
        <v>46176</v>
      </c>
      <c r="N435" s="150">
        <v>46174</v>
      </c>
      <c r="O435" s="150">
        <v>46175</v>
      </c>
      <c r="P435" s="150" t="s">
        <v>435</v>
      </c>
      <c r="Q435" s="173" t="s">
        <v>777</v>
      </c>
      <c r="R435" s="148" t="s">
        <v>826</v>
      </c>
      <c r="S435" s="150"/>
      <c r="T435" s="150"/>
      <c r="U435" s="150"/>
      <c r="V435" s="150"/>
      <c r="W435" s="173"/>
      <c r="X435" s="143" t="s">
        <v>839</v>
      </c>
      <c r="Y435" s="176">
        <v>3.886</v>
      </c>
      <c r="Z435" s="198">
        <f t="shared" si="85"/>
        <v>792.74</v>
      </c>
      <c r="AA435" s="198">
        <f t="shared" si="86"/>
        <v>6143.74</v>
      </c>
      <c r="AB435" s="177" t="s">
        <v>907</v>
      </c>
      <c r="AC435" s="150"/>
      <c r="AD435" s="150"/>
      <c r="AE435" s="150" t="s">
        <v>12</v>
      </c>
      <c r="AF435" s="174"/>
      <c r="AG435" s="174"/>
      <c r="AH435" s="178">
        <v>46128</v>
      </c>
      <c r="AI435" s="178" t="s">
        <v>420</v>
      </c>
      <c r="AJ435" s="178"/>
      <c r="AK435" s="199">
        <v>46135</v>
      </c>
      <c r="AL435" s="178">
        <v>46128</v>
      </c>
      <c r="AM435" s="178"/>
      <c r="AN435" s="178"/>
      <c r="AO435" s="143">
        <v>61</v>
      </c>
      <c r="AP435" s="143">
        <v>48</v>
      </c>
    </row>
    <row r="436" s="89" customFormat="1" hidden="1" customHeight="1" spans="1:42">
      <c r="A436" s="150">
        <v>46115</v>
      </c>
      <c r="B436" s="150" t="s">
        <v>467</v>
      </c>
      <c r="C436" s="171" t="s">
        <v>237</v>
      </c>
      <c r="D436" s="150" t="s">
        <v>838</v>
      </c>
      <c r="E436" s="171" t="s">
        <v>438</v>
      </c>
      <c r="F436" s="172">
        <v>10124132</v>
      </c>
      <c r="G436" s="172">
        <v>40123982</v>
      </c>
      <c r="H436" s="173" t="s">
        <v>158</v>
      </c>
      <c r="I436" s="174" t="s">
        <v>728</v>
      </c>
      <c r="J436" s="175">
        <v>300</v>
      </c>
      <c r="K436" s="174">
        <v>2</v>
      </c>
      <c r="L436" s="143">
        <v>150</v>
      </c>
      <c r="M436" s="150">
        <v>46176</v>
      </c>
      <c r="N436" s="150">
        <v>46174</v>
      </c>
      <c r="O436" s="150">
        <v>46178</v>
      </c>
      <c r="P436" s="150" t="s">
        <v>435</v>
      </c>
      <c r="Q436" s="173" t="s">
        <v>777</v>
      </c>
      <c r="R436" s="148" t="s">
        <v>431</v>
      </c>
      <c r="S436" s="150"/>
      <c r="T436" s="150" t="s">
        <v>452</v>
      </c>
      <c r="U436" s="150"/>
      <c r="V436" s="150"/>
      <c r="W436" s="173"/>
      <c r="X436" s="143" t="s">
        <v>839</v>
      </c>
      <c r="Y436" s="176">
        <v>4.792</v>
      </c>
      <c r="Z436" s="198">
        <f t="shared" si="85"/>
        <v>1437.6</v>
      </c>
      <c r="AA436" s="198">
        <f t="shared" si="86"/>
        <v>11141.4</v>
      </c>
      <c r="AB436" s="177" t="s">
        <v>907</v>
      </c>
      <c r="AC436" s="150"/>
      <c r="AD436" s="150"/>
      <c r="AE436" s="150" t="s">
        <v>12</v>
      </c>
      <c r="AF436" s="174"/>
      <c r="AG436" s="174"/>
      <c r="AH436" s="178">
        <v>46115</v>
      </c>
      <c r="AI436" s="178" t="s">
        <v>420</v>
      </c>
      <c r="AJ436" s="178"/>
      <c r="AK436" s="178" t="s">
        <v>453</v>
      </c>
      <c r="AL436" s="178">
        <v>46128</v>
      </c>
      <c r="AM436" s="178"/>
      <c r="AN436" s="178"/>
      <c r="AO436" s="143">
        <v>61</v>
      </c>
      <c r="AP436" s="143">
        <v>61</v>
      </c>
    </row>
    <row r="437" s="89" customFormat="1" hidden="1" customHeight="1" spans="1:42">
      <c r="A437" s="150">
        <v>46115</v>
      </c>
      <c r="B437" s="150" t="s">
        <v>467</v>
      </c>
      <c r="C437" s="171" t="s">
        <v>237</v>
      </c>
      <c r="D437" s="150" t="s">
        <v>838</v>
      </c>
      <c r="E437" s="171" t="s">
        <v>438</v>
      </c>
      <c r="F437" s="172">
        <v>10124132</v>
      </c>
      <c r="G437" s="172">
        <v>40123982</v>
      </c>
      <c r="H437" s="173" t="s">
        <v>35</v>
      </c>
      <c r="I437" s="174" t="s">
        <v>676</v>
      </c>
      <c r="J437" s="175">
        <v>62</v>
      </c>
      <c r="K437" s="174">
        <v>2</v>
      </c>
      <c r="L437" s="143">
        <v>31</v>
      </c>
      <c r="M437" s="150">
        <v>46176</v>
      </c>
      <c r="N437" s="150">
        <v>46174</v>
      </c>
      <c r="O437" s="150">
        <v>46176</v>
      </c>
      <c r="P437" s="150" t="s">
        <v>435</v>
      </c>
      <c r="Q437" s="173" t="s">
        <v>777</v>
      </c>
      <c r="R437" s="148" t="s">
        <v>418</v>
      </c>
      <c r="S437" s="150"/>
      <c r="T437" s="150"/>
      <c r="U437" s="150"/>
      <c r="V437" s="150"/>
      <c r="W437" s="173"/>
      <c r="X437" s="143" t="s">
        <v>839</v>
      </c>
      <c r="Y437" s="176">
        <v>22.9</v>
      </c>
      <c r="Z437" s="198">
        <f t="shared" si="85"/>
        <v>1419.8</v>
      </c>
      <c r="AA437" s="198">
        <f t="shared" si="86"/>
        <v>11003.45</v>
      </c>
      <c r="AB437" s="177" t="s">
        <v>907</v>
      </c>
      <c r="AC437" s="150"/>
      <c r="AD437" s="150"/>
      <c r="AE437" s="150" t="s">
        <v>12</v>
      </c>
      <c r="AF437" s="174"/>
      <c r="AG437" s="174"/>
      <c r="AH437" s="178">
        <v>46146</v>
      </c>
      <c r="AI437" s="178">
        <v>46171</v>
      </c>
      <c r="AJ437" s="178"/>
      <c r="AK437" s="178">
        <v>46146</v>
      </c>
      <c r="AL437" s="178">
        <v>46140</v>
      </c>
      <c r="AM437" s="178"/>
      <c r="AN437" s="178"/>
      <c r="AO437" s="143">
        <v>61</v>
      </c>
      <c r="AP437" s="143">
        <v>30</v>
      </c>
    </row>
    <row r="438" s="89" customFormat="1" hidden="1" customHeight="1" spans="1:42">
      <c r="A438" s="150">
        <v>46115</v>
      </c>
      <c r="B438" s="150" t="s">
        <v>467</v>
      </c>
      <c r="C438" s="171" t="s">
        <v>237</v>
      </c>
      <c r="D438" s="150" t="s">
        <v>838</v>
      </c>
      <c r="E438" s="171" t="s">
        <v>438</v>
      </c>
      <c r="F438" s="172">
        <v>10124132</v>
      </c>
      <c r="G438" s="172">
        <v>40123982</v>
      </c>
      <c r="H438" s="173">
        <v>47669</v>
      </c>
      <c r="I438" s="174" t="s">
        <v>723</v>
      </c>
      <c r="J438" s="175">
        <v>160</v>
      </c>
      <c r="K438" s="174">
        <v>4</v>
      </c>
      <c r="L438" s="143">
        <v>40</v>
      </c>
      <c r="M438" s="150">
        <v>46176</v>
      </c>
      <c r="N438" s="150">
        <v>46174</v>
      </c>
      <c r="O438" s="150">
        <v>46182</v>
      </c>
      <c r="P438" s="150" t="s">
        <v>435</v>
      </c>
      <c r="Q438" s="173" t="s">
        <v>777</v>
      </c>
      <c r="R438" s="148" t="s">
        <v>418</v>
      </c>
      <c r="S438" s="150"/>
      <c r="T438" s="150" t="s">
        <v>452</v>
      </c>
      <c r="U438" s="150"/>
      <c r="V438" s="150"/>
      <c r="W438" s="173"/>
      <c r="X438" s="143" t="s">
        <v>839</v>
      </c>
      <c r="Y438" s="176">
        <v>4.808</v>
      </c>
      <c r="Z438" s="198">
        <f t="shared" si="85"/>
        <v>769.28</v>
      </c>
      <c r="AA438" s="198">
        <f t="shared" si="86"/>
        <v>5961.92</v>
      </c>
      <c r="AB438" s="177" t="s">
        <v>907</v>
      </c>
      <c r="AC438" s="174"/>
      <c r="AD438" s="178"/>
      <c r="AE438" s="150" t="s">
        <v>12</v>
      </c>
      <c r="AF438" s="178">
        <v>46115</v>
      </c>
      <c r="AG438" s="178"/>
      <c r="AH438" s="178">
        <v>46115</v>
      </c>
      <c r="AI438" s="178">
        <v>46135</v>
      </c>
      <c r="AJ438" s="178"/>
      <c r="AK438" s="178" t="s">
        <v>420</v>
      </c>
      <c r="AL438" s="178" t="s">
        <v>420</v>
      </c>
      <c r="AM438" s="143"/>
      <c r="AN438" s="180"/>
      <c r="AO438" s="143">
        <v>61</v>
      </c>
      <c r="AP438" s="143">
        <v>61</v>
      </c>
    </row>
    <row r="439" s="89" customFormat="1" hidden="1" customHeight="1" spans="1:42">
      <c r="A439" s="150">
        <v>46115</v>
      </c>
      <c r="B439" s="150" t="s">
        <v>467</v>
      </c>
      <c r="C439" s="171" t="s">
        <v>237</v>
      </c>
      <c r="D439" s="150" t="s">
        <v>838</v>
      </c>
      <c r="E439" s="171" t="s">
        <v>438</v>
      </c>
      <c r="F439" s="172">
        <v>10124132</v>
      </c>
      <c r="G439" s="172">
        <v>40123982</v>
      </c>
      <c r="H439" s="173" t="s">
        <v>39</v>
      </c>
      <c r="I439" s="174" t="s">
        <v>710</v>
      </c>
      <c r="J439" s="175">
        <v>40</v>
      </c>
      <c r="K439" s="174">
        <v>2</v>
      </c>
      <c r="L439" s="143">
        <v>20</v>
      </c>
      <c r="M439" s="150">
        <v>46183</v>
      </c>
      <c r="N439" s="150">
        <v>46181</v>
      </c>
      <c r="O439" s="150">
        <v>46195</v>
      </c>
      <c r="P439" s="150" t="s">
        <v>435</v>
      </c>
      <c r="Q439" s="173" t="s">
        <v>777</v>
      </c>
      <c r="R439" s="148" t="s">
        <v>602</v>
      </c>
      <c r="S439" s="150"/>
      <c r="T439" s="150"/>
      <c r="U439" s="150"/>
      <c r="V439" s="150"/>
      <c r="W439" s="173"/>
      <c r="X439" s="143" t="s">
        <v>839</v>
      </c>
      <c r="Y439" s="176">
        <v>30.536</v>
      </c>
      <c r="Z439" s="198">
        <f t="shared" si="85"/>
        <v>1221.44</v>
      </c>
      <c r="AA439" s="198">
        <f t="shared" si="86"/>
        <v>9466.16</v>
      </c>
      <c r="AB439" s="177" t="s">
        <v>907</v>
      </c>
      <c r="AC439" s="150"/>
      <c r="AD439" s="150"/>
      <c r="AE439" s="150" t="s">
        <v>12</v>
      </c>
      <c r="AF439" s="174"/>
      <c r="AG439" s="174"/>
      <c r="AH439" s="178">
        <v>46129</v>
      </c>
      <c r="AI439" s="178">
        <v>46163</v>
      </c>
      <c r="AJ439" s="178"/>
      <c r="AK439" s="178">
        <v>46146</v>
      </c>
      <c r="AL439" s="178">
        <v>46140</v>
      </c>
      <c r="AM439" s="178"/>
      <c r="AN439" s="178"/>
      <c r="AO439" s="143">
        <v>68</v>
      </c>
      <c r="AP439" s="143">
        <v>54</v>
      </c>
    </row>
    <row r="440" s="89" customFormat="1" hidden="1" customHeight="1" spans="1:42">
      <c r="A440" s="150">
        <v>46115</v>
      </c>
      <c r="B440" s="150" t="s">
        <v>467</v>
      </c>
      <c r="C440" s="171" t="s">
        <v>237</v>
      </c>
      <c r="D440" s="150" t="s">
        <v>838</v>
      </c>
      <c r="E440" s="171" t="s">
        <v>438</v>
      </c>
      <c r="F440" s="172">
        <v>10124132</v>
      </c>
      <c r="G440" s="172">
        <v>40123982</v>
      </c>
      <c r="H440" s="173" t="s">
        <v>118</v>
      </c>
      <c r="I440" s="174" t="s">
        <v>833</v>
      </c>
      <c r="J440" s="175">
        <v>96</v>
      </c>
      <c r="K440" s="174">
        <v>4</v>
      </c>
      <c r="L440" s="143">
        <v>24</v>
      </c>
      <c r="M440" s="150">
        <v>46190</v>
      </c>
      <c r="N440" s="150">
        <v>46188</v>
      </c>
      <c r="O440" s="150">
        <v>46198</v>
      </c>
      <c r="P440" s="150" t="s">
        <v>435</v>
      </c>
      <c r="Q440" s="173" t="s">
        <v>777</v>
      </c>
      <c r="R440" s="148" t="s">
        <v>779</v>
      </c>
      <c r="S440" s="150"/>
      <c r="T440" s="150" t="s">
        <v>505</v>
      </c>
      <c r="U440" s="150"/>
      <c r="V440" s="150"/>
      <c r="W440" s="173"/>
      <c r="X440" s="143" t="s">
        <v>873</v>
      </c>
      <c r="Y440" s="176">
        <v>16.71</v>
      </c>
      <c r="Z440" s="198">
        <f t="shared" si="85"/>
        <v>1604.16</v>
      </c>
      <c r="AA440" s="198">
        <f t="shared" si="86"/>
        <v>12432.24</v>
      </c>
      <c r="AB440" s="177" t="s">
        <v>907</v>
      </c>
      <c r="AC440" s="174"/>
      <c r="AD440" s="178"/>
      <c r="AE440" s="150" t="s">
        <v>12</v>
      </c>
      <c r="AF440" s="178"/>
      <c r="AG440" s="178"/>
      <c r="AH440" s="178">
        <v>46134</v>
      </c>
      <c r="AI440" s="178" t="s">
        <v>420</v>
      </c>
      <c r="AJ440" s="178"/>
      <c r="AK440" s="178">
        <v>46135</v>
      </c>
      <c r="AL440" s="178">
        <v>46134</v>
      </c>
      <c r="AM440" s="178"/>
      <c r="AN440" s="180"/>
      <c r="AO440" s="143">
        <v>75</v>
      </c>
      <c r="AP440" s="143">
        <v>56</v>
      </c>
    </row>
    <row r="441" s="89" customFormat="1" hidden="1" customHeight="1" spans="1:42">
      <c r="A441" s="150">
        <v>46115</v>
      </c>
      <c r="B441" s="150" t="s">
        <v>467</v>
      </c>
      <c r="C441" s="171" t="s">
        <v>237</v>
      </c>
      <c r="D441" s="150" t="s">
        <v>838</v>
      </c>
      <c r="E441" s="171" t="s">
        <v>438</v>
      </c>
      <c r="F441" s="172">
        <v>10124132</v>
      </c>
      <c r="G441" s="172">
        <v>40123982</v>
      </c>
      <c r="H441" s="173" t="s">
        <v>29</v>
      </c>
      <c r="I441" s="174" t="s">
        <v>825</v>
      </c>
      <c r="J441" s="175">
        <v>48</v>
      </c>
      <c r="K441" s="174">
        <v>4</v>
      </c>
      <c r="L441" s="143">
        <v>12</v>
      </c>
      <c r="M441" s="150">
        <v>46197</v>
      </c>
      <c r="N441" s="150">
        <v>46195</v>
      </c>
      <c r="O441" s="150">
        <v>46197</v>
      </c>
      <c r="P441" s="150" t="s">
        <v>435</v>
      </c>
      <c r="Q441" s="173" t="s">
        <v>777</v>
      </c>
      <c r="R441" s="148" t="s">
        <v>891</v>
      </c>
      <c r="S441" s="150"/>
      <c r="T441" s="150"/>
      <c r="U441" s="150"/>
      <c r="V441" s="150"/>
      <c r="W441" s="173"/>
      <c r="X441" s="143" t="s">
        <v>839</v>
      </c>
      <c r="Y441" s="176">
        <v>21.801</v>
      </c>
      <c r="Z441" s="198">
        <f t="shared" si="85"/>
        <v>1046.45</v>
      </c>
      <c r="AA441" s="198">
        <f t="shared" si="86"/>
        <v>8109.99</v>
      </c>
      <c r="AB441" s="177" t="s">
        <v>907</v>
      </c>
      <c r="AC441" s="150"/>
      <c r="AD441" s="150"/>
      <c r="AE441" s="150" t="s">
        <v>12</v>
      </c>
      <c r="AF441" s="174"/>
      <c r="AG441" s="174"/>
      <c r="AH441" s="178">
        <v>46139</v>
      </c>
      <c r="AI441" s="178" t="s">
        <v>828</v>
      </c>
      <c r="AJ441" s="178"/>
      <c r="AK441" s="178">
        <v>46156</v>
      </c>
      <c r="AL441" s="178">
        <v>46140</v>
      </c>
      <c r="AM441" s="178"/>
      <c r="AN441" s="178"/>
      <c r="AO441" s="143">
        <v>82</v>
      </c>
      <c r="AP441" s="143">
        <v>58</v>
      </c>
    </row>
    <row r="442" s="89" customFormat="1" hidden="1" customHeight="1" spans="1:42">
      <c r="A442" s="150">
        <v>46115</v>
      </c>
      <c r="B442" s="150" t="s">
        <v>467</v>
      </c>
      <c r="C442" s="171" t="s">
        <v>237</v>
      </c>
      <c r="D442" s="150" t="s">
        <v>838</v>
      </c>
      <c r="E442" s="171" t="s">
        <v>438</v>
      </c>
      <c r="F442" s="172">
        <v>10124132</v>
      </c>
      <c r="G442" s="172">
        <v>40123982</v>
      </c>
      <c r="H442" s="173" t="s">
        <v>31</v>
      </c>
      <c r="I442" s="174" t="s">
        <v>830</v>
      </c>
      <c r="J442" s="175">
        <v>90</v>
      </c>
      <c r="K442" s="174">
        <v>1</v>
      </c>
      <c r="L442" s="143">
        <v>90</v>
      </c>
      <c r="M442" s="150">
        <v>46197</v>
      </c>
      <c r="N442" s="150">
        <v>46195</v>
      </c>
      <c r="O442" s="150">
        <v>46197</v>
      </c>
      <c r="P442" s="150" t="s">
        <v>435</v>
      </c>
      <c r="Q442" s="173" t="s">
        <v>777</v>
      </c>
      <c r="R442" s="148" t="s">
        <v>431</v>
      </c>
      <c r="S442" s="150"/>
      <c r="T442" s="150" t="s">
        <v>452</v>
      </c>
      <c r="U442" s="150"/>
      <c r="V442" s="150"/>
      <c r="W442" s="173"/>
      <c r="X442" s="143" t="s">
        <v>839</v>
      </c>
      <c r="Y442" s="176">
        <v>29.652</v>
      </c>
      <c r="Z442" s="198">
        <f t="shared" si="85"/>
        <v>2668.68</v>
      </c>
      <c r="AA442" s="198">
        <f t="shared" si="86"/>
        <v>20682.27</v>
      </c>
      <c r="AB442" s="177" t="s">
        <v>907</v>
      </c>
      <c r="AC442" s="174"/>
      <c r="AD442" s="178"/>
      <c r="AE442" s="150" t="s">
        <v>12</v>
      </c>
      <c r="AF442" s="178"/>
      <c r="AG442" s="178"/>
      <c r="AH442" s="178">
        <v>46149</v>
      </c>
      <c r="AI442" s="178"/>
      <c r="AJ442" s="178"/>
      <c r="AK442" s="178">
        <v>46158</v>
      </c>
      <c r="AL442" s="179">
        <v>46140</v>
      </c>
      <c r="AM442" s="143"/>
      <c r="AN442" s="180"/>
      <c r="AO442" s="143">
        <v>82</v>
      </c>
      <c r="AP442" s="143">
        <v>48</v>
      </c>
    </row>
    <row r="443" s="118" customFormat="1" hidden="1" customHeight="1" spans="1:42">
      <c r="A443" s="150">
        <v>46115</v>
      </c>
      <c r="B443" s="150" t="s">
        <v>467</v>
      </c>
      <c r="C443" s="171" t="s">
        <v>237</v>
      </c>
      <c r="D443" s="150" t="s">
        <v>838</v>
      </c>
      <c r="E443" s="171" t="s">
        <v>438</v>
      </c>
      <c r="F443" s="172">
        <v>10124132</v>
      </c>
      <c r="G443" s="172">
        <v>40123982</v>
      </c>
      <c r="H443" s="173" t="s">
        <v>87</v>
      </c>
      <c r="I443" s="174" t="s">
        <v>830</v>
      </c>
      <c r="J443" s="175">
        <v>34</v>
      </c>
      <c r="K443" s="174">
        <v>1</v>
      </c>
      <c r="L443" s="143">
        <v>34</v>
      </c>
      <c r="M443" s="150">
        <v>46197</v>
      </c>
      <c r="N443" s="150">
        <v>46195</v>
      </c>
      <c r="O443" s="150">
        <v>46198</v>
      </c>
      <c r="P443" s="150" t="s">
        <v>435</v>
      </c>
      <c r="Q443" s="173" t="s">
        <v>777</v>
      </c>
      <c r="R443" s="148" t="s">
        <v>431</v>
      </c>
      <c r="S443" s="150"/>
      <c r="T443" s="150"/>
      <c r="U443" s="150"/>
      <c r="V443" s="150"/>
      <c r="W443" s="173"/>
      <c r="X443" s="143" t="s">
        <v>839</v>
      </c>
      <c r="Y443" s="176">
        <v>31.4</v>
      </c>
      <c r="Z443" s="198">
        <f t="shared" si="85"/>
        <v>1067.6</v>
      </c>
      <c r="AA443" s="198">
        <f t="shared" si="86"/>
        <v>8273.9</v>
      </c>
      <c r="AB443" s="177" t="s">
        <v>907</v>
      </c>
      <c r="AC443" s="174"/>
      <c r="AD443" s="178"/>
      <c r="AE443" s="150" t="s">
        <v>12</v>
      </c>
      <c r="AF443" s="178"/>
      <c r="AG443" s="178"/>
      <c r="AH443" s="178">
        <v>46149</v>
      </c>
      <c r="AI443" s="178">
        <v>46158</v>
      </c>
      <c r="AJ443" s="178"/>
      <c r="AK443" s="178">
        <v>46154</v>
      </c>
      <c r="AL443" s="179">
        <v>46140</v>
      </c>
      <c r="AM443" s="143"/>
      <c r="AN443" s="143"/>
      <c r="AO443" s="143">
        <v>82</v>
      </c>
      <c r="AP443" s="143">
        <v>48</v>
      </c>
    </row>
    <row r="444" s="118" customFormat="1" customHeight="1" spans="1:42">
      <c r="A444" s="150">
        <v>46115</v>
      </c>
      <c r="B444" s="150" t="s">
        <v>467</v>
      </c>
      <c r="C444" s="171" t="s">
        <v>237</v>
      </c>
      <c r="D444" s="150" t="s">
        <v>838</v>
      </c>
      <c r="E444" s="171" t="s">
        <v>438</v>
      </c>
      <c r="F444" s="172">
        <v>10124132</v>
      </c>
      <c r="G444" s="172">
        <v>40123982</v>
      </c>
      <c r="H444" s="173" t="s">
        <v>120</v>
      </c>
      <c r="I444" s="174" t="s">
        <v>902</v>
      </c>
      <c r="J444" s="175">
        <v>90</v>
      </c>
      <c r="K444" s="174">
        <v>2</v>
      </c>
      <c r="L444" s="143">
        <v>45</v>
      </c>
      <c r="M444" s="150">
        <v>46197</v>
      </c>
      <c r="N444" s="150">
        <v>46195</v>
      </c>
      <c r="O444" s="150">
        <v>46197</v>
      </c>
      <c r="P444" s="150" t="s">
        <v>429</v>
      </c>
      <c r="Q444" s="173" t="s">
        <v>777</v>
      </c>
      <c r="R444" s="148" t="s">
        <v>418</v>
      </c>
      <c r="S444" s="150"/>
      <c r="T444" s="150" t="s">
        <v>452</v>
      </c>
      <c r="U444" s="150"/>
      <c r="V444" s="150"/>
      <c r="W444" s="173"/>
      <c r="X444" s="143" t="s">
        <v>839</v>
      </c>
      <c r="Y444" s="176">
        <v>21.246</v>
      </c>
      <c r="Z444" s="198">
        <f t="shared" si="85"/>
        <v>1912.14</v>
      </c>
      <c r="AA444" s="198">
        <f t="shared" si="86"/>
        <v>14819.09</v>
      </c>
      <c r="AB444" s="177" t="s">
        <v>907</v>
      </c>
      <c r="AC444" s="174"/>
      <c r="AD444" s="178"/>
      <c r="AE444" s="150" t="s">
        <v>12</v>
      </c>
      <c r="AF444" s="178"/>
      <c r="AG444" s="178"/>
      <c r="AH444" s="178">
        <v>46134</v>
      </c>
      <c r="AI444" s="178">
        <v>46128</v>
      </c>
      <c r="AJ444" s="178"/>
      <c r="AK444" s="178">
        <v>46149</v>
      </c>
      <c r="AL444" s="178">
        <v>46134</v>
      </c>
      <c r="AM444" s="178"/>
      <c r="AN444" s="180"/>
      <c r="AO444" s="143">
        <v>82</v>
      </c>
      <c r="AP444" s="143">
        <v>63</v>
      </c>
    </row>
    <row r="445" s="89" customFormat="1" hidden="1" customHeight="1" spans="1:42">
      <c r="A445" s="150">
        <v>46099</v>
      </c>
      <c r="B445" s="150" t="s">
        <v>467</v>
      </c>
      <c r="C445" s="171" t="s">
        <v>237</v>
      </c>
      <c r="D445" s="150" t="s">
        <v>802</v>
      </c>
      <c r="E445" s="171" t="s">
        <v>727</v>
      </c>
      <c r="F445" s="172">
        <v>10122650</v>
      </c>
      <c r="G445" s="172">
        <v>1042269833</v>
      </c>
      <c r="H445" s="173" t="s">
        <v>160</v>
      </c>
      <c r="I445" s="174" t="s">
        <v>900</v>
      </c>
      <c r="J445" s="175">
        <v>148</v>
      </c>
      <c r="K445" s="174">
        <v>2</v>
      </c>
      <c r="L445" s="143">
        <v>74</v>
      </c>
      <c r="M445" s="150">
        <v>46190</v>
      </c>
      <c r="N445" s="150">
        <v>46188</v>
      </c>
      <c r="O445" s="150">
        <v>46196</v>
      </c>
      <c r="P445" s="150" t="s">
        <v>804</v>
      </c>
      <c r="Q445" s="173" t="s">
        <v>777</v>
      </c>
      <c r="R445" s="148" t="s">
        <v>826</v>
      </c>
      <c r="S445" s="150"/>
      <c r="T445" s="150" t="s">
        <v>805</v>
      </c>
      <c r="U445" s="150"/>
      <c r="V445" s="150"/>
      <c r="W445" s="173"/>
      <c r="X445" s="143"/>
      <c r="Y445" s="176">
        <v>5.743</v>
      </c>
      <c r="Z445" s="198">
        <f t="shared" si="85"/>
        <v>849.96</v>
      </c>
      <c r="AA445" s="198">
        <f t="shared" si="86"/>
        <v>6587.19</v>
      </c>
      <c r="AB445" s="200" t="s">
        <v>908</v>
      </c>
      <c r="AC445" s="150"/>
      <c r="AD445" s="150"/>
      <c r="AE445" s="150" t="s">
        <v>12</v>
      </c>
      <c r="AF445" s="174"/>
      <c r="AG445" s="174"/>
      <c r="AH445" s="178">
        <v>46115</v>
      </c>
      <c r="AI445" s="178" t="s">
        <v>420</v>
      </c>
      <c r="AJ445" s="178"/>
      <c r="AK445" s="178">
        <v>46140</v>
      </c>
      <c r="AL445" s="178">
        <v>46134</v>
      </c>
      <c r="AM445" s="178"/>
      <c r="AN445" s="178"/>
      <c r="AO445" s="143">
        <v>91</v>
      </c>
      <c r="AP445" s="143">
        <v>75</v>
      </c>
    </row>
    <row r="446" s="89" customFormat="1" hidden="1" customHeight="1" spans="1:42">
      <c r="A446" s="150">
        <v>46099</v>
      </c>
      <c r="B446" s="150" t="s">
        <v>467</v>
      </c>
      <c r="C446" s="171" t="s">
        <v>237</v>
      </c>
      <c r="D446" s="150" t="s">
        <v>802</v>
      </c>
      <c r="E446" s="171" t="s">
        <v>727</v>
      </c>
      <c r="F446" s="172">
        <v>10122650</v>
      </c>
      <c r="G446" s="172">
        <v>1042269833</v>
      </c>
      <c r="H446" s="173" t="s">
        <v>155</v>
      </c>
      <c r="I446" s="174" t="s">
        <v>728</v>
      </c>
      <c r="J446" s="175">
        <v>1268</v>
      </c>
      <c r="K446" s="174">
        <v>2</v>
      </c>
      <c r="L446" s="143">
        <v>634</v>
      </c>
      <c r="M446" s="150">
        <v>46190</v>
      </c>
      <c r="N446" s="150">
        <v>46188</v>
      </c>
      <c r="O446" s="150">
        <v>46196</v>
      </c>
      <c r="P446" s="150" t="s">
        <v>808</v>
      </c>
      <c r="Q446" s="173" t="s">
        <v>777</v>
      </c>
      <c r="R446" s="148" t="s">
        <v>812</v>
      </c>
      <c r="S446" s="150"/>
      <c r="T446" s="150" t="s">
        <v>805</v>
      </c>
      <c r="U446" s="150"/>
      <c r="V446" s="150"/>
      <c r="W446" s="173"/>
      <c r="X446" s="143"/>
      <c r="Y446" s="176">
        <v>4.637</v>
      </c>
      <c r="Z446" s="198">
        <f t="shared" si="85"/>
        <v>5879.72</v>
      </c>
      <c r="AA446" s="198">
        <f t="shared" si="86"/>
        <v>45567.83</v>
      </c>
      <c r="AB446" s="200" t="s">
        <v>908</v>
      </c>
      <c r="AC446" s="150"/>
      <c r="AD446" s="150"/>
      <c r="AE446" s="150" t="s">
        <v>12</v>
      </c>
      <c r="AF446" s="174"/>
      <c r="AG446" s="174"/>
      <c r="AH446" s="178">
        <v>46115</v>
      </c>
      <c r="AI446" s="178" t="s">
        <v>420</v>
      </c>
      <c r="AJ446" s="178"/>
      <c r="AK446" s="178" t="s">
        <v>453</v>
      </c>
      <c r="AL446" s="178">
        <v>46128</v>
      </c>
      <c r="AM446" s="178"/>
      <c r="AN446" s="178"/>
      <c r="AO446" s="143">
        <v>91</v>
      </c>
      <c r="AP446" s="143">
        <v>75</v>
      </c>
    </row>
    <row r="447" s="89" customFormat="1" hidden="1" customHeight="1" spans="1:42">
      <c r="A447" s="150">
        <v>46099</v>
      </c>
      <c r="B447" s="150" t="s">
        <v>467</v>
      </c>
      <c r="C447" s="171" t="s">
        <v>237</v>
      </c>
      <c r="D447" s="150" t="s">
        <v>802</v>
      </c>
      <c r="E447" s="171" t="s">
        <v>727</v>
      </c>
      <c r="F447" s="172">
        <v>10122650</v>
      </c>
      <c r="G447" s="172">
        <v>1042269833</v>
      </c>
      <c r="H447" s="173" t="s">
        <v>154</v>
      </c>
      <c r="I447" s="174" t="s">
        <v>723</v>
      </c>
      <c r="J447" s="175">
        <v>1376</v>
      </c>
      <c r="K447" s="174">
        <v>4</v>
      </c>
      <c r="L447" s="143">
        <v>344</v>
      </c>
      <c r="M447" s="150">
        <v>46190</v>
      </c>
      <c r="N447" s="150">
        <v>46188</v>
      </c>
      <c r="O447" s="150">
        <v>46196</v>
      </c>
      <c r="P447" s="150" t="s">
        <v>808</v>
      </c>
      <c r="Q447" s="173" t="s">
        <v>777</v>
      </c>
      <c r="R447" s="148" t="s">
        <v>418</v>
      </c>
      <c r="S447" s="150"/>
      <c r="T447" s="150" t="s">
        <v>805</v>
      </c>
      <c r="U447" s="150"/>
      <c r="V447" s="150"/>
      <c r="W447" s="173"/>
      <c r="X447" s="143"/>
      <c r="Y447" s="176">
        <v>4.684</v>
      </c>
      <c r="Z447" s="198">
        <f t="shared" si="85"/>
        <v>6445.18</v>
      </c>
      <c r="AA447" s="198">
        <f t="shared" si="86"/>
        <v>49950.15</v>
      </c>
      <c r="AB447" s="200" t="s">
        <v>908</v>
      </c>
      <c r="AC447" s="174"/>
      <c r="AD447" s="178"/>
      <c r="AE447" s="150" t="s">
        <v>12</v>
      </c>
      <c r="AF447" s="180"/>
      <c r="AG447" s="180"/>
      <c r="AH447" s="178">
        <v>46115</v>
      </c>
      <c r="AI447" s="178">
        <v>46135</v>
      </c>
      <c r="AJ447" s="178"/>
      <c r="AK447" s="178" t="s">
        <v>420</v>
      </c>
      <c r="AL447" s="178" t="s">
        <v>420</v>
      </c>
      <c r="AM447" s="143"/>
      <c r="AN447" s="180"/>
      <c r="AO447" s="143">
        <v>91</v>
      </c>
      <c r="AP447" s="143">
        <v>75</v>
      </c>
    </row>
    <row r="448" s="89" customFormat="1" hidden="1" customHeight="1" spans="1:42">
      <c r="A448" s="150">
        <v>46099</v>
      </c>
      <c r="B448" s="150" t="s">
        <v>467</v>
      </c>
      <c r="C448" s="171" t="s">
        <v>237</v>
      </c>
      <c r="D448" s="150" t="s">
        <v>802</v>
      </c>
      <c r="E448" s="171" t="s">
        <v>727</v>
      </c>
      <c r="F448" s="172">
        <v>10122652</v>
      </c>
      <c r="G448" s="172">
        <v>1042269841</v>
      </c>
      <c r="H448" s="173" t="s">
        <v>160</v>
      </c>
      <c r="I448" s="174" t="s">
        <v>900</v>
      </c>
      <c r="J448" s="175">
        <v>96</v>
      </c>
      <c r="K448" s="174">
        <v>2</v>
      </c>
      <c r="L448" s="143">
        <v>48</v>
      </c>
      <c r="M448" s="150">
        <v>46190</v>
      </c>
      <c r="N448" s="150">
        <v>46188</v>
      </c>
      <c r="O448" s="150">
        <v>46196</v>
      </c>
      <c r="P448" s="150" t="s">
        <v>804</v>
      </c>
      <c r="Q448" s="173" t="s">
        <v>777</v>
      </c>
      <c r="R448" s="148" t="s">
        <v>812</v>
      </c>
      <c r="S448" s="150"/>
      <c r="T448" s="150" t="s">
        <v>805</v>
      </c>
      <c r="U448" s="150"/>
      <c r="V448" s="150"/>
      <c r="W448" s="173"/>
      <c r="X448" s="143"/>
      <c r="Y448" s="176">
        <v>5.743</v>
      </c>
      <c r="Z448" s="198">
        <f t="shared" si="85"/>
        <v>551.33</v>
      </c>
      <c r="AA448" s="198">
        <f t="shared" si="86"/>
        <v>4272.81</v>
      </c>
      <c r="AB448" s="177" t="s">
        <v>909</v>
      </c>
      <c r="AC448" s="150"/>
      <c r="AD448" s="150"/>
      <c r="AE448" s="150" t="s">
        <v>12</v>
      </c>
      <c r="AF448" s="174"/>
      <c r="AG448" s="174"/>
      <c r="AH448" s="178">
        <v>46115</v>
      </c>
      <c r="AI448" s="178" t="s">
        <v>420</v>
      </c>
      <c r="AJ448" s="178"/>
      <c r="AK448" s="178">
        <v>46140</v>
      </c>
      <c r="AL448" s="178">
        <v>46134</v>
      </c>
      <c r="AM448" s="178"/>
      <c r="AN448" s="178"/>
      <c r="AO448" s="143">
        <v>91</v>
      </c>
      <c r="AP448" s="143">
        <v>75</v>
      </c>
    </row>
    <row r="449" s="89" customFormat="1" hidden="1" customHeight="1" spans="1:42">
      <c r="A449" s="150">
        <v>46099</v>
      </c>
      <c r="B449" s="150" t="s">
        <v>467</v>
      </c>
      <c r="C449" s="171" t="s">
        <v>237</v>
      </c>
      <c r="D449" s="150" t="s">
        <v>802</v>
      </c>
      <c r="E449" s="171" t="s">
        <v>727</v>
      </c>
      <c r="F449" s="172">
        <v>10122652</v>
      </c>
      <c r="G449" s="172">
        <v>1042269841</v>
      </c>
      <c r="H449" s="173" t="s">
        <v>155</v>
      </c>
      <c r="I449" s="174" t="s">
        <v>728</v>
      </c>
      <c r="J449" s="175">
        <v>824</v>
      </c>
      <c r="K449" s="174">
        <v>2</v>
      </c>
      <c r="L449" s="143">
        <v>412</v>
      </c>
      <c r="M449" s="150">
        <v>46190</v>
      </c>
      <c r="N449" s="150">
        <v>46188</v>
      </c>
      <c r="O449" s="150">
        <v>46196</v>
      </c>
      <c r="P449" s="150" t="s">
        <v>808</v>
      </c>
      <c r="Q449" s="173" t="s">
        <v>777</v>
      </c>
      <c r="R449" s="148" t="s">
        <v>418</v>
      </c>
      <c r="S449" s="150"/>
      <c r="T449" s="150" t="s">
        <v>805</v>
      </c>
      <c r="U449" s="150"/>
      <c r="V449" s="150"/>
      <c r="W449" s="173"/>
      <c r="X449" s="143"/>
      <c r="Y449" s="176">
        <v>4.637</v>
      </c>
      <c r="Z449" s="198">
        <f t="shared" ref="Z449:Z454" si="87">J449*Y449</f>
        <v>3820.89</v>
      </c>
      <c r="AA449" s="198">
        <f t="shared" ref="AA449:AA454" si="88">Z449*7.75</f>
        <v>29611.9</v>
      </c>
      <c r="AB449" s="177" t="s">
        <v>909</v>
      </c>
      <c r="AC449" s="150"/>
      <c r="AD449" s="150"/>
      <c r="AE449" s="150" t="s">
        <v>12</v>
      </c>
      <c r="AF449" s="174"/>
      <c r="AG449" s="174"/>
      <c r="AH449" s="178">
        <v>46115</v>
      </c>
      <c r="AI449" s="178" t="s">
        <v>420</v>
      </c>
      <c r="AJ449" s="178"/>
      <c r="AK449" s="178" t="s">
        <v>453</v>
      </c>
      <c r="AL449" s="178">
        <v>46128</v>
      </c>
      <c r="AM449" s="178"/>
      <c r="AN449" s="178"/>
      <c r="AO449" s="143">
        <v>91</v>
      </c>
      <c r="AP449" s="143">
        <v>75</v>
      </c>
    </row>
    <row r="450" s="89" customFormat="1" hidden="1" customHeight="1" spans="1:42">
      <c r="A450" s="150">
        <v>46099</v>
      </c>
      <c r="B450" s="150" t="s">
        <v>467</v>
      </c>
      <c r="C450" s="171" t="s">
        <v>237</v>
      </c>
      <c r="D450" s="150" t="s">
        <v>802</v>
      </c>
      <c r="E450" s="171" t="s">
        <v>727</v>
      </c>
      <c r="F450" s="172">
        <v>10122652</v>
      </c>
      <c r="G450" s="172">
        <v>1042269841</v>
      </c>
      <c r="H450" s="173" t="s">
        <v>154</v>
      </c>
      <c r="I450" s="174" t="s">
        <v>723</v>
      </c>
      <c r="J450" s="175">
        <v>960</v>
      </c>
      <c r="K450" s="174">
        <v>4</v>
      </c>
      <c r="L450" s="143">
        <v>240</v>
      </c>
      <c r="M450" s="150">
        <v>46190</v>
      </c>
      <c r="N450" s="150">
        <v>46188</v>
      </c>
      <c r="O450" s="150">
        <v>46196</v>
      </c>
      <c r="P450" s="150" t="s">
        <v>808</v>
      </c>
      <c r="Q450" s="173" t="s">
        <v>777</v>
      </c>
      <c r="R450" s="148" t="s">
        <v>418</v>
      </c>
      <c r="S450" s="150"/>
      <c r="T450" s="150" t="s">
        <v>805</v>
      </c>
      <c r="U450" s="150"/>
      <c r="V450" s="150"/>
      <c r="W450" s="173"/>
      <c r="X450" s="143"/>
      <c r="Y450" s="176">
        <v>4.684</v>
      </c>
      <c r="Z450" s="198">
        <f t="shared" si="87"/>
        <v>4496.64</v>
      </c>
      <c r="AA450" s="198">
        <f t="shared" si="88"/>
        <v>34848.96</v>
      </c>
      <c r="AB450" s="177" t="s">
        <v>909</v>
      </c>
      <c r="AC450" s="174"/>
      <c r="AD450" s="178"/>
      <c r="AE450" s="150" t="s">
        <v>12</v>
      </c>
      <c r="AF450" s="180"/>
      <c r="AG450" s="180"/>
      <c r="AH450" s="178">
        <v>46115</v>
      </c>
      <c r="AI450" s="178">
        <v>46135</v>
      </c>
      <c r="AJ450" s="178"/>
      <c r="AK450" s="178" t="s">
        <v>420</v>
      </c>
      <c r="AL450" s="178" t="s">
        <v>420</v>
      </c>
      <c r="AM450" s="143"/>
      <c r="AN450" s="180"/>
      <c r="AO450" s="143">
        <v>91</v>
      </c>
      <c r="AP450" s="143">
        <v>75</v>
      </c>
    </row>
    <row r="451" s="89" customFormat="1" hidden="1" customHeight="1" spans="1:42">
      <c r="A451" s="150">
        <v>46099</v>
      </c>
      <c r="B451" s="150" t="str">
        <f ca="1" t="shared" ref="B451:B453" si="89">IF(TODAY()&gt;=A451,IF(R451="","未",""),"")</f>
        <v/>
      </c>
      <c r="C451" s="171" t="s">
        <v>237</v>
      </c>
      <c r="D451" s="150" t="s">
        <v>802</v>
      </c>
      <c r="E451" s="171" t="s">
        <v>727</v>
      </c>
      <c r="F451" s="172">
        <v>10122654</v>
      </c>
      <c r="G451" s="172">
        <v>1042269848</v>
      </c>
      <c r="H451" s="173" t="s">
        <v>160</v>
      </c>
      <c r="I451" s="174" t="str">
        <f>IFERROR(VLOOKUP(H451,名称!A:C,2,0),"")</f>
        <v>绿色铲车</v>
      </c>
      <c r="J451" s="175">
        <v>62</v>
      </c>
      <c r="K451" s="174">
        <f>IFERROR(VLOOKUP(H451,名称!A:D,3,0),"")</f>
        <v>2</v>
      </c>
      <c r="L451" s="143">
        <f t="shared" ref="L451:L453" si="90">IFERROR((J451/K451),"")</f>
        <v>31</v>
      </c>
      <c r="M451" s="150">
        <v>46190</v>
      </c>
      <c r="N451" s="150">
        <f t="shared" ref="N451:N453" si="91">M451-2</f>
        <v>46188</v>
      </c>
      <c r="O451" s="150">
        <v>46196</v>
      </c>
      <c r="P451" s="150" t="s">
        <v>804</v>
      </c>
      <c r="Q451" s="173" t="s">
        <v>777</v>
      </c>
      <c r="R451" s="148" t="s">
        <v>812</v>
      </c>
      <c r="S451" s="150"/>
      <c r="T451" s="150" t="s">
        <v>805</v>
      </c>
      <c r="U451" s="150"/>
      <c r="V451" s="150"/>
      <c r="W451" s="173"/>
      <c r="X451" s="143"/>
      <c r="Y451" s="176">
        <v>5.743</v>
      </c>
      <c r="Z451" s="198">
        <f t="shared" si="87"/>
        <v>356.07</v>
      </c>
      <c r="AA451" s="198">
        <f t="shared" si="88"/>
        <v>2759.54</v>
      </c>
      <c r="AB451" s="177" t="s">
        <v>910</v>
      </c>
      <c r="AC451" s="150"/>
      <c r="AD451" s="150"/>
      <c r="AE451" s="150" t="str">
        <f>IFERROR(VLOOKUP(H451,名称!A:D,4,0),"")</f>
        <v>KIK</v>
      </c>
      <c r="AF451" s="174"/>
      <c r="AG451" s="174"/>
      <c r="AH451" s="178">
        <v>46115</v>
      </c>
      <c r="AI451" s="178" t="s">
        <v>420</v>
      </c>
      <c r="AJ451" s="178"/>
      <c r="AK451" s="178">
        <v>46140</v>
      </c>
      <c r="AL451" s="178">
        <v>46134</v>
      </c>
      <c r="AM451" s="178"/>
      <c r="AN451" s="178"/>
      <c r="AO451" s="143">
        <f t="shared" ref="AO451:AO453" si="92">M451-A451</f>
        <v>91</v>
      </c>
      <c r="AP451" s="143">
        <f t="shared" ref="AP451:AP453" si="93">M451-AH451</f>
        <v>75</v>
      </c>
    </row>
    <row r="452" s="89" customFormat="1" hidden="1" customHeight="1" spans="1:42">
      <c r="A452" s="150">
        <v>46099</v>
      </c>
      <c r="B452" s="150" t="str">
        <f ca="1" t="shared" si="89"/>
        <v/>
      </c>
      <c r="C452" s="171" t="s">
        <v>237</v>
      </c>
      <c r="D452" s="150" t="s">
        <v>802</v>
      </c>
      <c r="E452" s="171" t="s">
        <v>727</v>
      </c>
      <c r="F452" s="172">
        <v>10122654</v>
      </c>
      <c r="G452" s="172">
        <v>1042269848</v>
      </c>
      <c r="H452" s="173" t="s">
        <v>155</v>
      </c>
      <c r="I452" s="174" t="str">
        <f>IFERROR(VLOOKUP(H452,名称!A:C,2,0),"")</f>
        <v>JD LNS圆轮拖拉机</v>
      </c>
      <c r="J452" s="175">
        <v>742</v>
      </c>
      <c r="K452" s="174">
        <f>IFERROR(VLOOKUP(H452,名称!A:D,3,0),"")</f>
        <v>2</v>
      </c>
      <c r="L452" s="143">
        <f t="shared" si="90"/>
        <v>371</v>
      </c>
      <c r="M452" s="150">
        <v>46190</v>
      </c>
      <c r="N452" s="150">
        <f t="shared" si="91"/>
        <v>46188</v>
      </c>
      <c r="O452" s="150">
        <v>46196</v>
      </c>
      <c r="P452" s="150" t="s">
        <v>808</v>
      </c>
      <c r="Q452" s="173" t="s">
        <v>777</v>
      </c>
      <c r="R452" s="148" t="s">
        <v>418</v>
      </c>
      <c r="S452" s="150"/>
      <c r="T452" s="150" t="s">
        <v>805</v>
      </c>
      <c r="U452" s="150"/>
      <c r="V452" s="150"/>
      <c r="W452" s="173"/>
      <c r="X452" s="143"/>
      <c r="Y452" s="176">
        <v>4.637</v>
      </c>
      <c r="Z452" s="198">
        <f t="shared" si="87"/>
        <v>3440.65</v>
      </c>
      <c r="AA452" s="198">
        <f t="shared" si="88"/>
        <v>26665.04</v>
      </c>
      <c r="AB452" s="177" t="s">
        <v>910</v>
      </c>
      <c r="AC452" s="150"/>
      <c r="AD452" s="150"/>
      <c r="AE452" s="150" t="str">
        <f>IFERROR(VLOOKUP(H452,名称!A:D,4,0),"")</f>
        <v>KIK</v>
      </c>
      <c r="AF452" s="174"/>
      <c r="AG452" s="174"/>
      <c r="AH452" s="178">
        <v>46115</v>
      </c>
      <c r="AI452" s="178" t="s">
        <v>420</v>
      </c>
      <c r="AJ452" s="178"/>
      <c r="AK452" s="178" t="s">
        <v>453</v>
      </c>
      <c r="AL452" s="178">
        <v>46128</v>
      </c>
      <c r="AM452" s="178"/>
      <c r="AN452" s="178"/>
      <c r="AO452" s="143">
        <f t="shared" si="92"/>
        <v>91</v>
      </c>
      <c r="AP452" s="143">
        <f t="shared" si="93"/>
        <v>75</v>
      </c>
    </row>
    <row r="453" s="89" customFormat="1" hidden="1" customHeight="1" spans="1:42">
      <c r="A453" s="150">
        <v>46099</v>
      </c>
      <c r="B453" s="150" t="str">
        <f ca="1" t="shared" si="89"/>
        <v/>
      </c>
      <c r="C453" s="171" t="s">
        <v>237</v>
      </c>
      <c r="D453" s="150" t="s">
        <v>802</v>
      </c>
      <c r="E453" s="171" t="s">
        <v>727</v>
      </c>
      <c r="F453" s="172">
        <v>10122654</v>
      </c>
      <c r="G453" s="172">
        <v>1042269848</v>
      </c>
      <c r="H453" s="173" t="s">
        <v>154</v>
      </c>
      <c r="I453" s="174" t="str">
        <f>IFERROR(VLOOKUP(H453,名称!A:C,2,0),"")</f>
        <v>动物车</v>
      </c>
      <c r="J453" s="175">
        <v>792</v>
      </c>
      <c r="K453" s="174">
        <f>IFERROR(VLOOKUP(H453,名称!A:D,3,0),"")</f>
        <v>4</v>
      </c>
      <c r="L453" s="143">
        <f t="shared" si="90"/>
        <v>198</v>
      </c>
      <c r="M453" s="150">
        <v>46190</v>
      </c>
      <c r="N453" s="150">
        <f t="shared" si="91"/>
        <v>46188</v>
      </c>
      <c r="O453" s="150">
        <v>46196</v>
      </c>
      <c r="P453" s="150" t="s">
        <v>808</v>
      </c>
      <c r="Q453" s="173" t="s">
        <v>777</v>
      </c>
      <c r="R453" s="148" t="s">
        <v>418</v>
      </c>
      <c r="S453" s="150"/>
      <c r="T453" s="150" t="s">
        <v>805</v>
      </c>
      <c r="U453" s="150"/>
      <c r="V453" s="150"/>
      <c r="W453" s="173"/>
      <c r="X453" s="143"/>
      <c r="Y453" s="176">
        <v>4.684</v>
      </c>
      <c r="Z453" s="198">
        <f t="shared" si="87"/>
        <v>3709.73</v>
      </c>
      <c r="AA453" s="198">
        <f t="shared" si="88"/>
        <v>28750.41</v>
      </c>
      <c r="AB453" s="177" t="s">
        <v>910</v>
      </c>
      <c r="AC453" s="174"/>
      <c r="AD453" s="178"/>
      <c r="AE453" s="150" t="s">
        <v>12</v>
      </c>
      <c r="AF453" s="180"/>
      <c r="AG453" s="180"/>
      <c r="AH453" s="178">
        <v>46115</v>
      </c>
      <c r="AI453" s="178">
        <v>46135</v>
      </c>
      <c r="AJ453" s="178"/>
      <c r="AK453" s="178" t="s">
        <v>420</v>
      </c>
      <c r="AL453" s="178" t="s">
        <v>420</v>
      </c>
      <c r="AM453" s="143"/>
      <c r="AN453" s="180"/>
      <c r="AO453" s="143">
        <f t="shared" si="92"/>
        <v>91</v>
      </c>
      <c r="AP453" s="143">
        <f t="shared" si="93"/>
        <v>75</v>
      </c>
    </row>
    <row r="454" s="118" customFormat="1" hidden="1" customHeight="1" spans="1:42">
      <c r="A454" s="150">
        <v>46028</v>
      </c>
      <c r="B454" s="150"/>
      <c r="C454" s="171" t="s">
        <v>236</v>
      </c>
      <c r="D454" s="150" t="s">
        <v>442</v>
      </c>
      <c r="E454" s="171" t="s">
        <v>443</v>
      </c>
      <c r="F454" s="172">
        <v>10118391</v>
      </c>
      <c r="G454" s="172">
        <v>20218853</v>
      </c>
      <c r="H454" s="173" t="s">
        <v>102</v>
      </c>
      <c r="I454" s="174" t="s">
        <v>500</v>
      </c>
      <c r="J454" s="175">
        <f>2502-720</f>
        <v>1782</v>
      </c>
      <c r="K454" s="174">
        <v>18</v>
      </c>
      <c r="L454" s="143">
        <v>139</v>
      </c>
      <c r="M454" s="150">
        <v>46204</v>
      </c>
      <c r="N454" s="150">
        <v>46202</v>
      </c>
      <c r="O454" s="196">
        <v>46204</v>
      </c>
      <c r="P454" s="150" t="s">
        <v>435</v>
      </c>
      <c r="Q454" s="173" t="s">
        <v>430</v>
      </c>
      <c r="R454" s="148" t="s">
        <v>418</v>
      </c>
      <c r="S454" s="150"/>
      <c r="T454" s="150"/>
      <c r="U454" s="150"/>
      <c r="V454" s="150"/>
      <c r="W454" s="173"/>
      <c r="X454" s="143" t="s">
        <v>719</v>
      </c>
      <c r="Y454" s="176">
        <v>1.133</v>
      </c>
      <c r="Z454" s="198">
        <f t="shared" si="87"/>
        <v>2019.01</v>
      </c>
      <c r="AA454" s="198">
        <f t="shared" si="88"/>
        <v>15647.33</v>
      </c>
      <c r="AB454" s="177" t="s">
        <v>911</v>
      </c>
      <c r="AC454" s="150"/>
      <c r="AD454" s="150"/>
      <c r="AE454" s="150" t="s">
        <v>12</v>
      </c>
      <c r="AF454" s="174"/>
      <c r="AG454" s="174"/>
      <c r="AH454" s="178">
        <v>46044</v>
      </c>
      <c r="AI454" s="178" t="s">
        <v>420</v>
      </c>
      <c r="AJ454" s="178"/>
      <c r="AK454" s="178" t="s">
        <v>420</v>
      </c>
      <c r="AL454" s="178" t="s">
        <v>420</v>
      </c>
      <c r="AM454" s="178"/>
      <c r="AN454" s="178"/>
      <c r="AO454" s="143">
        <v>176</v>
      </c>
      <c r="AP454" s="143">
        <v>160</v>
      </c>
    </row>
    <row r="455" s="118" customFormat="1" hidden="1" customHeight="1" spans="1:42">
      <c r="A455" s="150">
        <v>46028</v>
      </c>
      <c r="B455" s="150" t="s">
        <v>467</v>
      </c>
      <c r="C455" s="171" t="s">
        <v>236</v>
      </c>
      <c r="D455" s="150" t="s">
        <v>442</v>
      </c>
      <c r="E455" s="171" t="s">
        <v>443</v>
      </c>
      <c r="F455" s="172">
        <v>10118391</v>
      </c>
      <c r="G455" s="172">
        <v>20218853</v>
      </c>
      <c r="H455" s="173" t="s">
        <v>102</v>
      </c>
      <c r="I455" s="174" t="s">
        <v>500</v>
      </c>
      <c r="J455" s="201">
        <v>720</v>
      </c>
      <c r="K455" s="174">
        <v>18</v>
      </c>
      <c r="L455" s="143">
        <v>139</v>
      </c>
      <c r="M455" s="150">
        <v>46204</v>
      </c>
      <c r="N455" s="150">
        <v>46202</v>
      </c>
      <c r="O455" s="196">
        <v>46204</v>
      </c>
      <c r="P455" s="150" t="s">
        <v>435</v>
      </c>
      <c r="Q455" s="173" t="s">
        <v>430</v>
      </c>
      <c r="R455" s="148" t="s">
        <v>418</v>
      </c>
      <c r="S455" s="150"/>
      <c r="T455" s="150"/>
      <c r="U455" s="150"/>
      <c r="V455" s="150"/>
      <c r="W455" s="173"/>
      <c r="X455" s="143" t="s">
        <v>719</v>
      </c>
      <c r="Y455" s="176">
        <v>1.133</v>
      </c>
      <c r="Z455" s="198">
        <f t="shared" ref="Z455:Z491" si="94">J455*Y455</f>
        <v>815.76</v>
      </c>
      <c r="AA455" s="198">
        <f t="shared" ref="AA455:AA491" si="95">Z455*7.75</f>
        <v>6322.14</v>
      </c>
      <c r="AB455" s="177" t="s">
        <v>912</v>
      </c>
      <c r="AC455" s="150"/>
      <c r="AD455" s="150"/>
      <c r="AE455" s="150" t="s">
        <v>12</v>
      </c>
      <c r="AF455" s="174"/>
      <c r="AG455" s="174"/>
      <c r="AH455" s="178">
        <v>46044</v>
      </c>
      <c r="AI455" s="178" t="s">
        <v>420</v>
      </c>
      <c r="AJ455" s="178"/>
      <c r="AK455" s="178" t="s">
        <v>420</v>
      </c>
      <c r="AL455" s="178" t="s">
        <v>420</v>
      </c>
      <c r="AM455" s="178"/>
      <c r="AN455" s="178"/>
      <c r="AO455" s="143">
        <v>176</v>
      </c>
      <c r="AP455" s="143">
        <v>160</v>
      </c>
    </row>
    <row r="456" s="89" customFormat="1" hidden="1" customHeight="1" spans="1:42">
      <c r="A456" s="150">
        <v>46109</v>
      </c>
      <c r="B456" s="150" t="s">
        <v>467</v>
      </c>
      <c r="C456" s="171" t="s">
        <v>236</v>
      </c>
      <c r="D456" s="150" t="s">
        <v>442</v>
      </c>
      <c r="E456" s="171" t="s">
        <v>519</v>
      </c>
      <c r="F456" s="172">
        <v>10123472</v>
      </c>
      <c r="G456" s="172">
        <v>20219018</v>
      </c>
      <c r="H456" s="173" t="s">
        <v>97</v>
      </c>
      <c r="I456" s="174" t="s">
        <v>913</v>
      </c>
      <c r="J456" s="175">
        <v>3000</v>
      </c>
      <c r="K456" s="174">
        <v>4</v>
      </c>
      <c r="L456" s="143">
        <v>750</v>
      </c>
      <c r="M456" s="202">
        <v>46204</v>
      </c>
      <c r="N456" s="202">
        <v>46202</v>
      </c>
      <c r="O456" s="196">
        <v>46204</v>
      </c>
      <c r="P456" s="150" t="s">
        <v>435</v>
      </c>
      <c r="Q456" s="173" t="s">
        <v>430</v>
      </c>
      <c r="R456" s="148" t="s">
        <v>700</v>
      </c>
      <c r="S456" s="150"/>
      <c r="T456" s="150"/>
      <c r="U456" s="150"/>
      <c r="V456" s="150"/>
      <c r="W456" s="173"/>
      <c r="X456" s="143"/>
      <c r="Y456" s="176">
        <v>3.362</v>
      </c>
      <c r="Z456" s="198">
        <f t="shared" si="94"/>
        <v>10086</v>
      </c>
      <c r="AA456" s="198">
        <f t="shared" si="95"/>
        <v>78166.5</v>
      </c>
      <c r="AB456" s="200" t="s">
        <v>911</v>
      </c>
      <c r="AC456" s="150"/>
      <c r="AD456" s="150"/>
      <c r="AE456" s="150" t="s">
        <v>12</v>
      </c>
      <c r="AF456" s="174"/>
      <c r="AG456" s="174"/>
      <c r="AH456" s="178">
        <v>46134</v>
      </c>
      <c r="AI456" s="178" t="s">
        <v>420</v>
      </c>
      <c r="AJ456" s="178"/>
      <c r="AK456" s="178" t="s">
        <v>420</v>
      </c>
      <c r="AL456" s="178" t="s">
        <v>420</v>
      </c>
      <c r="AM456" s="178"/>
      <c r="AN456" s="178"/>
      <c r="AO456" s="143">
        <v>95</v>
      </c>
      <c r="AP456" s="143">
        <v>70</v>
      </c>
    </row>
    <row r="457" s="89" customFormat="1" hidden="1" customHeight="1" spans="1:42">
      <c r="A457" s="150">
        <v>46109</v>
      </c>
      <c r="B457" s="150" t="s">
        <v>467</v>
      </c>
      <c r="C457" s="171" t="s">
        <v>236</v>
      </c>
      <c r="D457" s="150" t="s">
        <v>442</v>
      </c>
      <c r="E457" s="171" t="s">
        <v>519</v>
      </c>
      <c r="F457" s="172">
        <v>10123623</v>
      </c>
      <c r="G457" s="172">
        <v>20219019</v>
      </c>
      <c r="H457" s="173" t="s">
        <v>182</v>
      </c>
      <c r="I457" s="174" t="s">
        <v>914</v>
      </c>
      <c r="J457" s="175">
        <v>5004</v>
      </c>
      <c r="K457" s="174">
        <v>6</v>
      </c>
      <c r="L457" s="143">
        <v>834</v>
      </c>
      <c r="M457" s="202">
        <v>46204</v>
      </c>
      <c r="N457" s="202">
        <v>46202</v>
      </c>
      <c r="O457" s="196">
        <v>46209</v>
      </c>
      <c r="P457" s="150" t="s">
        <v>435</v>
      </c>
      <c r="Q457" s="173" t="s">
        <v>430</v>
      </c>
      <c r="R457" s="148" t="s">
        <v>876</v>
      </c>
      <c r="S457" s="150"/>
      <c r="T457" s="150"/>
      <c r="U457" s="150"/>
      <c r="V457" s="150"/>
      <c r="W457" s="173"/>
      <c r="X457" s="143"/>
      <c r="Y457" s="176">
        <v>1.405</v>
      </c>
      <c r="Z457" s="198">
        <f t="shared" si="94"/>
        <v>7030.62</v>
      </c>
      <c r="AA457" s="198">
        <f t="shared" si="95"/>
        <v>54487.31</v>
      </c>
      <c r="AB457" s="200" t="s">
        <v>911</v>
      </c>
      <c r="AC457" s="150"/>
      <c r="AD457" s="150"/>
      <c r="AE457" s="150" t="s">
        <v>12</v>
      </c>
      <c r="AF457" s="174"/>
      <c r="AG457" s="174"/>
      <c r="AH457" s="178">
        <v>46134</v>
      </c>
      <c r="AI457" s="178"/>
      <c r="AJ457" s="178"/>
      <c r="AK457" s="178" t="s">
        <v>420</v>
      </c>
      <c r="AL457" s="178" t="s">
        <v>420</v>
      </c>
      <c r="AM457" s="178"/>
      <c r="AN457" s="178"/>
      <c r="AO457" s="143">
        <v>95</v>
      </c>
      <c r="AP457" s="143">
        <v>70</v>
      </c>
    </row>
    <row r="458" s="89" customFormat="1" hidden="1" customHeight="1" spans="1:42">
      <c r="A458" s="150">
        <v>46115</v>
      </c>
      <c r="B458" s="150" t="s">
        <v>467</v>
      </c>
      <c r="C458" s="171" t="s">
        <v>237</v>
      </c>
      <c r="D458" s="150" t="s">
        <v>838</v>
      </c>
      <c r="E458" s="171" t="s">
        <v>438</v>
      </c>
      <c r="F458" s="172">
        <v>10124135</v>
      </c>
      <c r="G458" s="172">
        <v>1825547</v>
      </c>
      <c r="H458" s="173" t="s">
        <v>113</v>
      </c>
      <c r="I458" s="174" t="s">
        <v>900</v>
      </c>
      <c r="J458" s="175">
        <v>144</v>
      </c>
      <c r="K458" s="174">
        <v>2</v>
      </c>
      <c r="L458" s="143">
        <v>72</v>
      </c>
      <c r="M458" s="150">
        <v>46176</v>
      </c>
      <c r="N458" s="150">
        <v>46174</v>
      </c>
      <c r="O458" s="147">
        <v>46183</v>
      </c>
      <c r="P458" s="150" t="s">
        <v>435</v>
      </c>
      <c r="Q458" s="173" t="s">
        <v>777</v>
      </c>
      <c r="R458" s="148" t="s">
        <v>771</v>
      </c>
      <c r="S458" s="150"/>
      <c r="T458" s="150" t="s">
        <v>452</v>
      </c>
      <c r="U458" s="150"/>
      <c r="V458" s="150"/>
      <c r="W458" s="173"/>
      <c r="X458" s="143" t="s">
        <v>839</v>
      </c>
      <c r="Y458" s="176">
        <v>5.97</v>
      </c>
      <c r="Z458" s="198">
        <f t="shared" si="94"/>
        <v>859.68</v>
      </c>
      <c r="AA458" s="198">
        <f t="shared" si="95"/>
        <v>6662.52</v>
      </c>
      <c r="AB458" s="177" t="s">
        <v>915</v>
      </c>
      <c r="AC458" s="150"/>
      <c r="AD458" s="150"/>
      <c r="AE458" s="150" t="s">
        <v>12</v>
      </c>
      <c r="AF458" s="174"/>
      <c r="AG458" s="174"/>
      <c r="AH458" s="178">
        <v>46134</v>
      </c>
      <c r="AI458" s="178" t="s">
        <v>420</v>
      </c>
      <c r="AJ458" s="178"/>
      <c r="AK458" s="178">
        <v>46140</v>
      </c>
      <c r="AL458" s="178">
        <v>46134</v>
      </c>
      <c r="AM458" s="178"/>
      <c r="AN458" s="178"/>
      <c r="AO458" s="143">
        <v>61</v>
      </c>
      <c r="AP458" s="143">
        <v>42</v>
      </c>
    </row>
    <row r="459" s="89" customFormat="1" hidden="1" customHeight="1" spans="1:42">
      <c r="A459" s="150">
        <v>46115</v>
      </c>
      <c r="B459" s="150" t="s">
        <v>467</v>
      </c>
      <c r="C459" s="171" t="s">
        <v>237</v>
      </c>
      <c r="D459" s="150" t="s">
        <v>838</v>
      </c>
      <c r="E459" s="171" t="s">
        <v>438</v>
      </c>
      <c r="F459" s="172">
        <v>10124135</v>
      </c>
      <c r="G459" s="172">
        <v>1825547</v>
      </c>
      <c r="H459" s="173" t="s">
        <v>107</v>
      </c>
      <c r="I459" s="174" t="s">
        <v>709</v>
      </c>
      <c r="J459" s="175">
        <v>96</v>
      </c>
      <c r="K459" s="174">
        <v>4</v>
      </c>
      <c r="L459" s="143">
        <v>24</v>
      </c>
      <c r="M459" s="150">
        <v>46176</v>
      </c>
      <c r="N459" s="150">
        <v>46174</v>
      </c>
      <c r="O459" s="147">
        <v>46177</v>
      </c>
      <c r="P459" s="150" t="s">
        <v>435</v>
      </c>
      <c r="Q459" s="173" t="s">
        <v>777</v>
      </c>
      <c r="R459" s="148" t="s">
        <v>782</v>
      </c>
      <c r="S459" s="150"/>
      <c r="T459" s="150" t="s">
        <v>452</v>
      </c>
      <c r="U459" s="150"/>
      <c r="V459" s="150"/>
      <c r="W459" s="173"/>
      <c r="X459" s="143" t="s">
        <v>839</v>
      </c>
      <c r="Y459" s="176">
        <v>4.956</v>
      </c>
      <c r="Z459" s="198">
        <f t="shared" si="94"/>
        <v>475.78</v>
      </c>
      <c r="AA459" s="198">
        <f t="shared" si="95"/>
        <v>3687.3</v>
      </c>
      <c r="AB459" s="177" t="s">
        <v>915</v>
      </c>
      <c r="AC459" s="150"/>
      <c r="AD459" s="150"/>
      <c r="AE459" s="150" t="s">
        <v>12</v>
      </c>
      <c r="AF459" s="174"/>
      <c r="AG459" s="174"/>
      <c r="AH459" s="178">
        <v>46121</v>
      </c>
      <c r="AI459" s="178">
        <v>46128</v>
      </c>
      <c r="AJ459" s="178"/>
      <c r="AK459" s="178" t="s">
        <v>420</v>
      </c>
      <c r="AL459" s="178" t="s">
        <v>420</v>
      </c>
      <c r="AM459" s="178"/>
      <c r="AN459" s="178"/>
      <c r="AO459" s="143">
        <v>61</v>
      </c>
      <c r="AP459" s="143">
        <v>55</v>
      </c>
    </row>
    <row r="460" s="89" customFormat="1" hidden="1" customHeight="1" spans="1:42">
      <c r="A460" s="150">
        <v>46115</v>
      </c>
      <c r="B460" s="150" t="s">
        <v>467</v>
      </c>
      <c r="C460" s="171" t="s">
        <v>237</v>
      </c>
      <c r="D460" s="150" t="s">
        <v>838</v>
      </c>
      <c r="E460" s="171" t="s">
        <v>438</v>
      </c>
      <c r="F460" s="172">
        <v>10124135</v>
      </c>
      <c r="G460" s="172">
        <v>1825547</v>
      </c>
      <c r="H460" s="173" t="s">
        <v>105</v>
      </c>
      <c r="I460" s="174" t="s">
        <v>706</v>
      </c>
      <c r="J460" s="175">
        <v>96</v>
      </c>
      <c r="K460" s="174">
        <v>4</v>
      </c>
      <c r="L460" s="143">
        <v>24</v>
      </c>
      <c r="M460" s="150">
        <v>46176</v>
      </c>
      <c r="N460" s="150">
        <v>46174</v>
      </c>
      <c r="O460" s="147">
        <v>46177</v>
      </c>
      <c r="P460" s="150" t="s">
        <v>435</v>
      </c>
      <c r="Q460" s="173" t="s">
        <v>777</v>
      </c>
      <c r="R460" s="154" t="s">
        <v>782</v>
      </c>
      <c r="S460" s="150"/>
      <c r="T460" s="150" t="s">
        <v>452</v>
      </c>
      <c r="U460" s="150"/>
      <c r="V460" s="150"/>
      <c r="W460" s="173"/>
      <c r="X460" s="143" t="s">
        <v>839</v>
      </c>
      <c r="Y460" s="176">
        <v>2.994</v>
      </c>
      <c r="Z460" s="198">
        <f t="shared" si="94"/>
        <v>287.42</v>
      </c>
      <c r="AA460" s="198">
        <f t="shared" si="95"/>
        <v>2227.51</v>
      </c>
      <c r="AB460" s="177" t="s">
        <v>915</v>
      </c>
      <c r="AC460" s="150"/>
      <c r="AD460" s="150"/>
      <c r="AE460" s="150" t="s">
        <v>12</v>
      </c>
      <c r="AF460" s="174"/>
      <c r="AG460" s="174"/>
      <c r="AH460" s="178">
        <v>46121</v>
      </c>
      <c r="AI460" s="178">
        <v>46128</v>
      </c>
      <c r="AJ460" s="178"/>
      <c r="AK460" s="178" t="s">
        <v>420</v>
      </c>
      <c r="AL460" s="178" t="s">
        <v>420</v>
      </c>
      <c r="AM460" s="178"/>
      <c r="AN460" s="178"/>
      <c r="AO460" s="143">
        <v>61</v>
      </c>
      <c r="AP460" s="143">
        <v>55</v>
      </c>
    </row>
    <row r="461" s="89" customFormat="1" hidden="1" customHeight="1" spans="1:42">
      <c r="A461" s="150">
        <v>46115</v>
      </c>
      <c r="B461" s="150" t="s">
        <v>467</v>
      </c>
      <c r="C461" s="171" t="s">
        <v>237</v>
      </c>
      <c r="D461" s="150" t="s">
        <v>838</v>
      </c>
      <c r="E461" s="171" t="s">
        <v>438</v>
      </c>
      <c r="F461" s="172">
        <v>10124135</v>
      </c>
      <c r="G461" s="172">
        <v>1825547</v>
      </c>
      <c r="H461" s="173" t="s">
        <v>111</v>
      </c>
      <c r="I461" s="174" t="s">
        <v>901</v>
      </c>
      <c r="J461" s="175">
        <v>320</v>
      </c>
      <c r="K461" s="174">
        <v>4</v>
      </c>
      <c r="L461" s="143">
        <v>80</v>
      </c>
      <c r="M461" s="150">
        <v>46176</v>
      </c>
      <c r="N461" s="150">
        <v>46174</v>
      </c>
      <c r="O461" s="150">
        <v>46175</v>
      </c>
      <c r="P461" s="150" t="s">
        <v>435</v>
      </c>
      <c r="Q461" s="173" t="s">
        <v>777</v>
      </c>
      <c r="R461" s="148" t="s">
        <v>826</v>
      </c>
      <c r="S461" s="150"/>
      <c r="T461" s="150" t="s">
        <v>452</v>
      </c>
      <c r="U461" s="150"/>
      <c r="V461" s="150"/>
      <c r="W461" s="173"/>
      <c r="X461" s="143" t="s">
        <v>839</v>
      </c>
      <c r="Y461" s="176">
        <v>3.816</v>
      </c>
      <c r="Z461" s="198">
        <f t="shared" si="94"/>
        <v>1221.12</v>
      </c>
      <c r="AA461" s="198">
        <f t="shared" si="95"/>
        <v>9463.68</v>
      </c>
      <c r="AB461" s="177" t="s">
        <v>915</v>
      </c>
      <c r="AC461" s="150"/>
      <c r="AD461" s="150"/>
      <c r="AE461" s="150" t="s">
        <v>12</v>
      </c>
      <c r="AF461" s="174"/>
      <c r="AG461" s="174"/>
      <c r="AH461" s="178">
        <v>46134</v>
      </c>
      <c r="AI461" s="178" t="s">
        <v>420</v>
      </c>
      <c r="AJ461" s="178"/>
      <c r="AK461" s="199">
        <v>46134</v>
      </c>
      <c r="AL461" s="178">
        <v>46134</v>
      </c>
      <c r="AM461" s="178"/>
      <c r="AN461" s="178"/>
      <c r="AO461" s="143">
        <v>61</v>
      </c>
      <c r="AP461" s="143">
        <v>42</v>
      </c>
    </row>
    <row r="462" s="89" customFormat="1" hidden="1" customHeight="1" spans="1:42">
      <c r="A462" s="150">
        <v>46115</v>
      </c>
      <c r="B462" s="150" t="s">
        <v>467</v>
      </c>
      <c r="C462" s="171" t="s">
        <v>237</v>
      </c>
      <c r="D462" s="150" t="s">
        <v>838</v>
      </c>
      <c r="E462" s="171" t="s">
        <v>438</v>
      </c>
      <c r="F462" s="172">
        <v>10124135</v>
      </c>
      <c r="G462" s="172">
        <v>1825547</v>
      </c>
      <c r="H462" s="173" t="s">
        <v>158</v>
      </c>
      <c r="I462" s="174" t="s">
        <v>728</v>
      </c>
      <c r="J462" s="175">
        <v>188</v>
      </c>
      <c r="K462" s="174">
        <v>2</v>
      </c>
      <c r="L462" s="143">
        <v>94</v>
      </c>
      <c r="M462" s="150">
        <v>46176</v>
      </c>
      <c r="N462" s="150">
        <v>46174</v>
      </c>
      <c r="O462" s="147">
        <v>46177</v>
      </c>
      <c r="P462" s="150" t="s">
        <v>435</v>
      </c>
      <c r="Q462" s="173" t="s">
        <v>777</v>
      </c>
      <c r="R462" s="148" t="s">
        <v>418</v>
      </c>
      <c r="S462" s="150"/>
      <c r="T462" s="150" t="s">
        <v>452</v>
      </c>
      <c r="U462" s="150"/>
      <c r="V462" s="150"/>
      <c r="W462" s="173"/>
      <c r="X462" s="143" t="s">
        <v>839</v>
      </c>
      <c r="Y462" s="176">
        <v>4.792</v>
      </c>
      <c r="Z462" s="198">
        <f t="shared" si="94"/>
        <v>900.9</v>
      </c>
      <c r="AA462" s="198">
        <f t="shared" si="95"/>
        <v>6981.98</v>
      </c>
      <c r="AB462" s="177" t="s">
        <v>915</v>
      </c>
      <c r="AC462" s="150"/>
      <c r="AD462" s="150"/>
      <c r="AE462" s="150" t="s">
        <v>12</v>
      </c>
      <c r="AF462" s="174"/>
      <c r="AG462" s="174"/>
      <c r="AH462" s="178">
        <v>46115</v>
      </c>
      <c r="AI462" s="178" t="s">
        <v>420</v>
      </c>
      <c r="AJ462" s="178"/>
      <c r="AK462" s="178" t="s">
        <v>453</v>
      </c>
      <c r="AL462" s="178">
        <v>46128</v>
      </c>
      <c r="AM462" s="178"/>
      <c r="AN462" s="178"/>
      <c r="AO462" s="143">
        <v>61</v>
      </c>
      <c r="AP462" s="143">
        <v>61</v>
      </c>
    </row>
    <row r="463" s="89" customFormat="1" hidden="1" customHeight="1" spans="1:42">
      <c r="A463" s="150">
        <v>46115</v>
      </c>
      <c r="B463" s="150" t="s">
        <v>467</v>
      </c>
      <c r="C463" s="171" t="s">
        <v>237</v>
      </c>
      <c r="D463" s="150" t="s">
        <v>838</v>
      </c>
      <c r="E463" s="171" t="s">
        <v>438</v>
      </c>
      <c r="F463" s="172">
        <v>10124135</v>
      </c>
      <c r="G463" s="172">
        <v>1825547</v>
      </c>
      <c r="H463" s="173" t="s">
        <v>35</v>
      </c>
      <c r="I463" s="174" t="s">
        <v>676</v>
      </c>
      <c r="J463" s="175">
        <v>54</v>
      </c>
      <c r="K463" s="174">
        <v>2</v>
      </c>
      <c r="L463" s="143">
        <v>27</v>
      </c>
      <c r="M463" s="150">
        <v>46176</v>
      </c>
      <c r="N463" s="150">
        <v>46174</v>
      </c>
      <c r="O463" s="150">
        <v>46176</v>
      </c>
      <c r="P463" s="150" t="s">
        <v>435</v>
      </c>
      <c r="Q463" s="173" t="s">
        <v>777</v>
      </c>
      <c r="R463" s="148" t="s">
        <v>826</v>
      </c>
      <c r="S463" s="150"/>
      <c r="T463" s="150"/>
      <c r="U463" s="150"/>
      <c r="V463" s="150"/>
      <c r="W463" s="173"/>
      <c r="X463" s="143" t="s">
        <v>839</v>
      </c>
      <c r="Y463" s="176">
        <v>22.9</v>
      </c>
      <c r="Z463" s="198">
        <f t="shared" si="94"/>
        <v>1236.6</v>
      </c>
      <c r="AA463" s="198">
        <f t="shared" si="95"/>
        <v>9583.65</v>
      </c>
      <c r="AB463" s="177" t="s">
        <v>915</v>
      </c>
      <c r="AC463" s="150"/>
      <c r="AD463" s="150"/>
      <c r="AE463" s="150" t="s">
        <v>12</v>
      </c>
      <c r="AF463" s="174"/>
      <c r="AG463" s="174"/>
      <c r="AH463" s="178">
        <v>46146</v>
      </c>
      <c r="AI463" s="178">
        <v>46171</v>
      </c>
      <c r="AJ463" s="178"/>
      <c r="AK463" s="178">
        <v>46146</v>
      </c>
      <c r="AL463" s="178">
        <v>46140</v>
      </c>
      <c r="AM463" s="178"/>
      <c r="AN463" s="178"/>
      <c r="AO463" s="143">
        <v>61</v>
      </c>
      <c r="AP463" s="143">
        <v>30</v>
      </c>
    </row>
    <row r="464" s="89" customFormat="1" hidden="1" customHeight="1" spans="1:42">
      <c r="A464" s="150">
        <v>46115</v>
      </c>
      <c r="B464" s="150" t="s">
        <v>467</v>
      </c>
      <c r="C464" s="171" t="s">
        <v>237</v>
      </c>
      <c r="D464" s="150" t="s">
        <v>838</v>
      </c>
      <c r="E464" s="171" t="s">
        <v>438</v>
      </c>
      <c r="F464" s="172">
        <v>10124135</v>
      </c>
      <c r="G464" s="172">
        <v>1825547</v>
      </c>
      <c r="H464" s="173">
        <v>47669</v>
      </c>
      <c r="I464" s="174" t="s">
        <v>723</v>
      </c>
      <c r="J464" s="175">
        <v>80</v>
      </c>
      <c r="K464" s="174">
        <v>4</v>
      </c>
      <c r="L464" s="143">
        <v>20</v>
      </c>
      <c r="M464" s="150">
        <v>46176</v>
      </c>
      <c r="N464" s="150">
        <v>46174</v>
      </c>
      <c r="O464" s="150">
        <v>46182</v>
      </c>
      <c r="P464" s="150" t="s">
        <v>435</v>
      </c>
      <c r="Q464" s="173" t="s">
        <v>777</v>
      </c>
      <c r="R464" s="148" t="s">
        <v>418</v>
      </c>
      <c r="S464" s="150"/>
      <c r="T464" s="150" t="s">
        <v>452</v>
      </c>
      <c r="U464" s="150"/>
      <c r="V464" s="150"/>
      <c r="W464" s="173"/>
      <c r="X464" s="143" t="s">
        <v>839</v>
      </c>
      <c r="Y464" s="176">
        <v>4.808</v>
      </c>
      <c r="Z464" s="198">
        <f t="shared" si="94"/>
        <v>384.64</v>
      </c>
      <c r="AA464" s="198">
        <f t="shared" si="95"/>
        <v>2980.96</v>
      </c>
      <c r="AB464" s="177" t="s">
        <v>915</v>
      </c>
      <c r="AC464" s="174"/>
      <c r="AD464" s="178"/>
      <c r="AE464" s="150" t="s">
        <v>12</v>
      </c>
      <c r="AF464" s="178">
        <v>46115</v>
      </c>
      <c r="AG464" s="178"/>
      <c r="AH464" s="178">
        <v>46115</v>
      </c>
      <c r="AI464" s="178">
        <v>46135</v>
      </c>
      <c r="AJ464" s="178"/>
      <c r="AK464" s="178" t="s">
        <v>420</v>
      </c>
      <c r="AL464" s="178" t="s">
        <v>420</v>
      </c>
      <c r="AM464" s="143"/>
      <c r="AN464" s="180"/>
      <c r="AO464" s="143">
        <v>61</v>
      </c>
      <c r="AP464" s="143">
        <v>61</v>
      </c>
    </row>
    <row r="465" s="89" customFormat="1" hidden="1" customHeight="1" spans="1:42">
      <c r="A465" s="150">
        <v>46115</v>
      </c>
      <c r="B465" s="150" t="s">
        <v>467</v>
      </c>
      <c r="C465" s="171" t="s">
        <v>237</v>
      </c>
      <c r="D465" s="150" t="s">
        <v>838</v>
      </c>
      <c r="E465" s="171" t="s">
        <v>438</v>
      </c>
      <c r="F465" s="172">
        <v>10124135</v>
      </c>
      <c r="G465" s="172">
        <v>1825547</v>
      </c>
      <c r="H465" s="173" t="s">
        <v>118</v>
      </c>
      <c r="I465" s="174" t="s">
        <v>833</v>
      </c>
      <c r="J465" s="175">
        <v>80</v>
      </c>
      <c r="K465" s="174">
        <v>4</v>
      </c>
      <c r="L465" s="143">
        <v>20</v>
      </c>
      <c r="M465" s="150">
        <v>46190</v>
      </c>
      <c r="N465" s="150">
        <v>46188</v>
      </c>
      <c r="O465" s="150">
        <v>46198</v>
      </c>
      <c r="P465" s="150" t="s">
        <v>435</v>
      </c>
      <c r="Q465" s="173" t="s">
        <v>777</v>
      </c>
      <c r="R465" s="148" t="s">
        <v>779</v>
      </c>
      <c r="S465" s="150"/>
      <c r="T465" s="150" t="s">
        <v>505</v>
      </c>
      <c r="U465" s="150"/>
      <c r="V465" s="150"/>
      <c r="W465" s="173"/>
      <c r="X465" s="143" t="s">
        <v>873</v>
      </c>
      <c r="Y465" s="176">
        <v>16.71</v>
      </c>
      <c r="Z465" s="198">
        <f t="shared" si="94"/>
        <v>1336.8</v>
      </c>
      <c r="AA465" s="198">
        <f t="shared" si="95"/>
        <v>10360.2</v>
      </c>
      <c r="AB465" s="177" t="s">
        <v>915</v>
      </c>
      <c r="AC465" s="174"/>
      <c r="AD465" s="178"/>
      <c r="AE465" s="150" t="s">
        <v>12</v>
      </c>
      <c r="AF465" s="178"/>
      <c r="AG465" s="178"/>
      <c r="AH465" s="178">
        <v>46134</v>
      </c>
      <c r="AI465" s="178" t="s">
        <v>420</v>
      </c>
      <c r="AJ465" s="178"/>
      <c r="AK465" s="178">
        <v>46135</v>
      </c>
      <c r="AL465" s="178">
        <v>46134</v>
      </c>
      <c r="AM465" s="178"/>
      <c r="AN465" s="180"/>
      <c r="AO465" s="143">
        <v>75</v>
      </c>
      <c r="AP465" s="143">
        <v>56</v>
      </c>
    </row>
    <row r="466" s="89" customFormat="1" hidden="1" customHeight="1" spans="1:42">
      <c r="A466" s="150">
        <v>46115</v>
      </c>
      <c r="B466" s="150" t="s">
        <v>467</v>
      </c>
      <c r="C466" s="171" t="s">
        <v>237</v>
      </c>
      <c r="D466" s="150" t="s">
        <v>838</v>
      </c>
      <c r="E466" s="171" t="s">
        <v>438</v>
      </c>
      <c r="F466" s="172">
        <v>10124135</v>
      </c>
      <c r="G466" s="172">
        <v>1825547</v>
      </c>
      <c r="H466" s="173" t="s">
        <v>31</v>
      </c>
      <c r="I466" s="174" t="s">
        <v>830</v>
      </c>
      <c r="J466" s="175">
        <v>36</v>
      </c>
      <c r="K466" s="174">
        <v>1</v>
      </c>
      <c r="L466" s="143">
        <v>36</v>
      </c>
      <c r="M466" s="150">
        <v>46197</v>
      </c>
      <c r="N466" s="150">
        <v>46195</v>
      </c>
      <c r="O466" s="150">
        <v>46197</v>
      </c>
      <c r="P466" s="150" t="s">
        <v>435</v>
      </c>
      <c r="Q466" s="173" t="s">
        <v>777</v>
      </c>
      <c r="R466" s="148" t="s">
        <v>431</v>
      </c>
      <c r="S466" s="150"/>
      <c r="T466" s="150" t="s">
        <v>452</v>
      </c>
      <c r="U466" s="150"/>
      <c r="V466" s="150"/>
      <c r="W466" s="173"/>
      <c r="X466" s="143" t="s">
        <v>839</v>
      </c>
      <c r="Y466" s="176">
        <v>29.652</v>
      </c>
      <c r="Z466" s="198">
        <f t="shared" si="94"/>
        <v>1067.47</v>
      </c>
      <c r="AA466" s="198">
        <f t="shared" si="95"/>
        <v>8272.89</v>
      </c>
      <c r="AB466" s="177" t="s">
        <v>915</v>
      </c>
      <c r="AC466" s="174"/>
      <c r="AD466" s="178"/>
      <c r="AE466" s="150" t="s">
        <v>12</v>
      </c>
      <c r="AF466" s="178"/>
      <c r="AG466" s="178"/>
      <c r="AH466" s="178">
        <v>46149</v>
      </c>
      <c r="AI466" s="178"/>
      <c r="AJ466" s="178"/>
      <c r="AK466" s="178">
        <v>46158</v>
      </c>
      <c r="AL466" s="179">
        <v>46140</v>
      </c>
      <c r="AM466" s="143"/>
      <c r="AN466" s="180"/>
      <c r="AO466" s="143">
        <v>82</v>
      </c>
      <c r="AP466" s="143">
        <v>48</v>
      </c>
    </row>
    <row r="467" s="89" customFormat="1" customHeight="1" spans="1:42">
      <c r="A467" s="150">
        <v>46115</v>
      </c>
      <c r="B467" s="150" t="s">
        <v>467</v>
      </c>
      <c r="C467" s="171" t="s">
        <v>237</v>
      </c>
      <c r="D467" s="150" t="s">
        <v>838</v>
      </c>
      <c r="E467" s="171" t="s">
        <v>438</v>
      </c>
      <c r="F467" s="172">
        <v>10124135</v>
      </c>
      <c r="G467" s="172">
        <v>1825547</v>
      </c>
      <c r="H467" s="173" t="s">
        <v>120</v>
      </c>
      <c r="I467" s="174" t="s">
        <v>902</v>
      </c>
      <c r="J467" s="175">
        <v>40</v>
      </c>
      <c r="K467" s="174">
        <v>2</v>
      </c>
      <c r="L467" s="143">
        <v>20</v>
      </c>
      <c r="M467" s="150">
        <v>46197</v>
      </c>
      <c r="N467" s="150">
        <v>46195</v>
      </c>
      <c r="O467" s="150">
        <v>46197</v>
      </c>
      <c r="P467" s="150" t="s">
        <v>429</v>
      </c>
      <c r="Q467" s="173" t="s">
        <v>777</v>
      </c>
      <c r="R467" s="148" t="s">
        <v>418</v>
      </c>
      <c r="S467" s="150"/>
      <c r="T467" s="150" t="s">
        <v>452</v>
      </c>
      <c r="U467" s="150"/>
      <c r="V467" s="150"/>
      <c r="W467" s="173"/>
      <c r="X467" s="143" t="s">
        <v>839</v>
      </c>
      <c r="Y467" s="176">
        <v>21.246</v>
      </c>
      <c r="Z467" s="198">
        <f t="shared" si="94"/>
        <v>849.84</v>
      </c>
      <c r="AA467" s="198">
        <f t="shared" si="95"/>
        <v>6586.26</v>
      </c>
      <c r="AB467" s="177" t="s">
        <v>915</v>
      </c>
      <c r="AC467" s="174"/>
      <c r="AD467" s="178"/>
      <c r="AE467" s="150" t="s">
        <v>12</v>
      </c>
      <c r="AF467" s="178"/>
      <c r="AG467" s="178"/>
      <c r="AH467" s="178">
        <v>46134</v>
      </c>
      <c r="AI467" s="178">
        <v>46128</v>
      </c>
      <c r="AJ467" s="178"/>
      <c r="AK467" s="178">
        <v>46149</v>
      </c>
      <c r="AL467" s="178">
        <v>46134</v>
      </c>
      <c r="AM467" s="178"/>
      <c r="AN467" s="180"/>
      <c r="AO467" s="143">
        <v>82</v>
      </c>
      <c r="AP467" s="143">
        <v>63</v>
      </c>
    </row>
    <row r="468" s="89" customFormat="1" hidden="1" customHeight="1" spans="1:42">
      <c r="A468" s="150">
        <v>46120</v>
      </c>
      <c r="B468" s="150" t="s">
        <v>467</v>
      </c>
      <c r="C468" s="171" t="s">
        <v>237</v>
      </c>
      <c r="D468" s="150" t="s">
        <v>838</v>
      </c>
      <c r="E468" s="171" t="s">
        <v>438</v>
      </c>
      <c r="F468" s="172">
        <v>10124231</v>
      </c>
      <c r="G468" s="172">
        <v>5000050403</v>
      </c>
      <c r="H468" s="173" t="s">
        <v>113</v>
      </c>
      <c r="I468" s="174" t="s">
        <v>900</v>
      </c>
      <c r="J468" s="175">
        <v>72</v>
      </c>
      <c r="K468" s="174">
        <v>2</v>
      </c>
      <c r="L468" s="143">
        <v>36</v>
      </c>
      <c r="M468" s="150">
        <v>46176</v>
      </c>
      <c r="N468" s="150">
        <v>46174</v>
      </c>
      <c r="O468" s="150">
        <v>46177</v>
      </c>
      <c r="P468" s="150" t="s">
        <v>435</v>
      </c>
      <c r="Q468" s="173" t="s">
        <v>777</v>
      </c>
      <c r="R468" s="148" t="s">
        <v>771</v>
      </c>
      <c r="S468" s="150"/>
      <c r="T468" s="150" t="s">
        <v>452</v>
      </c>
      <c r="U468" s="150"/>
      <c r="V468" s="150"/>
      <c r="W468" s="173"/>
      <c r="X468" s="143" t="s">
        <v>839</v>
      </c>
      <c r="Y468" s="176">
        <v>5.97</v>
      </c>
      <c r="Z468" s="198">
        <f t="shared" si="94"/>
        <v>429.84</v>
      </c>
      <c r="AA468" s="198">
        <f t="shared" si="95"/>
        <v>3331.26</v>
      </c>
      <c r="AB468" s="177" t="s">
        <v>916</v>
      </c>
      <c r="AC468" s="150"/>
      <c r="AD468" s="150"/>
      <c r="AE468" s="150" t="s">
        <v>12</v>
      </c>
      <c r="AF468" s="174"/>
      <c r="AG468" s="174"/>
      <c r="AH468" s="178">
        <v>46134</v>
      </c>
      <c r="AI468" s="178" t="s">
        <v>420</v>
      </c>
      <c r="AJ468" s="178"/>
      <c r="AK468" s="178">
        <v>46140</v>
      </c>
      <c r="AL468" s="178">
        <v>46134</v>
      </c>
      <c r="AM468" s="178"/>
      <c r="AN468" s="178"/>
      <c r="AO468" s="143">
        <v>56</v>
      </c>
      <c r="AP468" s="143">
        <v>42</v>
      </c>
    </row>
    <row r="469" s="89" customFormat="1" customHeight="1" spans="1:42">
      <c r="A469" s="150">
        <v>46120</v>
      </c>
      <c r="B469" s="150" t="s">
        <v>467</v>
      </c>
      <c r="C469" s="171" t="s">
        <v>237</v>
      </c>
      <c r="D469" s="150" t="s">
        <v>838</v>
      </c>
      <c r="E469" s="171" t="s">
        <v>438</v>
      </c>
      <c r="F469" s="172">
        <v>10124231</v>
      </c>
      <c r="G469" s="172">
        <v>5000050403</v>
      </c>
      <c r="H469" s="173" t="s">
        <v>120</v>
      </c>
      <c r="I469" s="174" t="s">
        <v>902</v>
      </c>
      <c r="J469" s="175">
        <v>40</v>
      </c>
      <c r="K469" s="174">
        <v>2</v>
      </c>
      <c r="L469" s="143">
        <v>20</v>
      </c>
      <c r="M469" s="150">
        <v>46197</v>
      </c>
      <c r="N469" s="150">
        <v>46195</v>
      </c>
      <c r="O469" s="150">
        <v>46197</v>
      </c>
      <c r="P469" s="150" t="s">
        <v>435</v>
      </c>
      <c r="Q469" s="173" t="s">
        <v>777</v>
      </c>
      <c r="R469" s="148" t="s">
        <v>418</v>
      </c>
      <c r="S469" s="150"/>
      <c r="T469" s="150" t="s">
        <v>452</v>
      </c>
      <c r="U469" s="150"/>
      <c r="V469" s="150"/>
      <c r="W469" s="173"/>
      <c r="X469" s="143" t="s">
        <v>839</v>
      </c>
      <c r="Y469" s="176">
        <v>21.246</v>
      </c>
      <c r="Z469" s="198">
        <f t="shared" si="94"/>
        <v>849.84</v>
      </c>
      <c r="AA469" s="198">
        <f t="shared" si="95"/>
        <v>6586.26</v>
      </c>
      <c r="AB469" s="177" t="s">
        <v>916</v>
      </c>
      <c r="AC469" s="174"/>
      <c r="AD469" s="178"/>
      <c r="AE469" s="150" t="s">
        <v>12</v>
      </c>
      <c r="AF469" s="178"/>
      <c r="AG469" s="178"/>
      <c r="AH469" s="178">
        <v>46134</v>
      </c>
      <c r="AI469" s="178">
        <v>46128</v>
      </c>
      <c r="AJ469" s="178"/>
      <c r="AK469" s="178">
        <v>46149</v>
      </c>
      <c r="AL469" s="178">
        <v>46134</v>
      </c>
      <c r="AM469" s="178"/>
      <c r="AN469" s="180"/>
      <c r="AO469" s="143">
        <v>77</v>
      </c>
      <c r="AP469" s="143">
        <v>63</v>
      </c>
    </row>
    <row r="470" s="89" customFormat="1" hidden="1" customHeight="1" spans="1:42">
      <c r="A470" s="150">
        <v>46120</v>
      </c>
      <c r="B470" s="150">
        <v>0</v>
      </c>
      <c r="C470" s="171" t="s">
        <v>237</v>
      </c>
      <c r="D470" s="150" t="s">
        <v>838</v>
      </c>
      <c r="E470" s="171" t="s">
        <v>438</v>
      </c>
      <c r="F470" s="172">
        <v>10124239</v>
      </c>
      <c r="G470" s="172" t="s">
        <v>287</v>
      </c>
      <c r="H470" s="173" t="s">
        <v>107</v>
      </c>
      <c r="I470" s="174">
        <v>0</v>
      </c>
      <c r="J470" s="175">
        <v>16</v>
      </c>
      <c r="K470" s="174">
        <v>0</v>
      </c>
      <c r="L470" s="143">
        <v>0</v>
      </c>
      <c r="M470" s="150">
        <v>46176</v>
      </c>
      <c r="N470" s="150">
        <v>0</v>
      </c>
      <c r="O470" s="150">
        <v>46182</v>
      </c>
      <c r="P470" s="150" t="s">
        <v>435</v>
      </c>
      <c r="Q470" s="173" t="s">
        <v>777</v>
      </c>
      <c r="R470" s="148" t="s">
        <v>418</v>
      </c>
      <c r="S470" s="150"/>
      <c r="T470" s="150" t="s">
        <v>452</v>
      </c>
      <c r="U470" s="150"/>
      <c r="V470" s="150"/>
      <c r="W470" s="173"/>
      <c r="X470" s="143" t="s">
        <v>839</v>
      </c>
      <c r="Y470" s="176">
        <v>4.956</v>
      </c>
      <c r="Z470" s="198">
        <f t="shared" si="94"/>
        <v>79.3</v>
      </c>
      <c r="AA470" s="198">
        <f t="shared" si="95"/>
        <v>614.58</v>
      </c>
      <c r="AB470" s="177" t="s">
        <v>917</v>
      </c>
      <c r="AC470" s="150"/>
      <c r="AD470" s="150"/>
      <c r="AE470" s="150">
        <v>0</v>
      </c>
      <c r="AF470" s="174"/>
      <c r="AG470" s="174"/>
      <c r="AH470" s="178">
        <v>46121</v>
      </c>
      <c r="AI470" s="178">
        <v>46128</v>
      </c>
      <c r="AJ470" s="178"/>
      <c r="AK470" s="178" t="s">
        <v>420</v>
      </c>
      <c r="AL470" s="178" t="s">
        <v>420</v>
      </c>
      <c r="AM470" s="178"/>
      <c r="AN470" s="178"/>
      <c r="AO470" s="143">
        <v>0</v>
      </c>
      <c r="AP470" s="143">
        <v>0</v>
      </c>
    </row>
    <row r="471" s="89" customFormat="1" hidden="1" customHeight="1" spans="1:42">
      <c r="A471" s="150">
        <v>46120</v>
      </c>
      <c r="B471" s="150">
        <v>0</v>
      </c>
      <c r="C471" s="171" t="s">
        <v>237</v>
      </c>
      <c r="D471" s="150" t="s">
        <v>838</v>
      </c>
      <c r="E471" s="171" t="s">
        <v>438</v>
      </c>
      <c r="F471" s="172">
        <v>10124239</v>
      </c>
      <c r="G471" s="172" t="s">
        <v>287</v>
      </c>
      <c r="H471" s="173" t="s">
        <v>105</v>
      </c>
      <c r="I471" s="174">
        <v>0</v>
      </c>
      <c r="J471" s="175">
        <v>16</v>
      </c>
      <c r="K471" s="174">
        <v>0</v>
      </c>
      <c r="L471" s="143">
        <v>0</v>
      </c>
      <c r="M471" s="150">
        <v>46176</v>
      </c>
      <c r="N471" s="150">
        <v>0</v>
      </c>
      <c r="O471" s="150">
        <v>46177</v>
      </c>
      <c r="P471" s="150" t="s">
        <v>435</v>
      </c>
      <c r="Q471" s="173" t="s">
        <v>777</v>
      </c>
      <c r="R471" s="154" t="s">
        <v>782</v>
      </c>
      <c r="S471" s="150"/>
      <c r="T471" s="150" t="s">
        <v>452</v>
      </c>
      <c r="U471" s="150"/>
      <c r="V471" s="150"/>
      <c r="W471" s="173"/>
      <c r="X471" s="143" t="s">
        <v>839</v>
      </c>
      <c r="Y471" s="176">
        <v>2.994</v>
      </c>
      <c r="Z471" s="198">
        <f t="shared" si="94"/>
        <v>47.9</v>
      </c>
      <c r="AA471" s="198">
        <f t="shared" si="95"/>
        <v>371.23</v>
      </c>
      <c r="AB471" s="177" t="s">
        <v>917</v>
      </c>
      <c r="AC471" s="150"/>
      <c r="AD471" s="150"/>
      <c r="AE471" s="150">
        <v>0</v>
      </c>
      <c r="AF471" s="174"/>
      <c r="AG471" s="174"/>
      <c r="AH471" s="178">
        <v>46121</v>
      </c>
      <c r="AI471" s="178">
        <v>46128</v>
      </c>
      <c r="AJ471" s="178"/>
      <c r="AK471" s="178" t="s">
        <v>420</v>
      </c>
      <c r="AL471" s="178" t="s">
        <v>420</v>
      </c>
      <c r="AM471" s="178"/>
      <c r="AN471" s="178"/>
      <c r="AO471" s="143">
        <v>0</v>
      </c>
      <c r="AP471" s="143">
        <v>0</v>
      </c>
    </row>
    <row r="472" s="118" customFormat="1" hidden="1" customHeight="1" spans="1:42">
      <c r="A472" s="150">
        <v>46120</v>
      </c>
      <c r="B472" s="150">
        <v>0</v>
      </c>
      <c r="C472" s="171" t="s">
        <v>237</v>
      </c>
      <c r="D472" s="150" t="s">
        <v>838</v>
      </c>
      <c r="E472" s="171" t="s">
        <v>438</v>
      </c>
      <c r="F472" s="172">
        <v>10124239</v>
      </c>
      <c r="G472" s="172" t="s">
        <v>287</v>
      </c>
      <c r="H472" s="173" t="s">
        <v>31</v>
      </c>
      <c r="I472" s="174">
        <v>0</v>
      </c>
      <c r="J472" s="175">
        <v>4</v>
      </c>
      <c r="K472" s="174">
        <v>0</v>
      </c>
      <c r="L472" s="143">
        <v>0</v>
      </c>
      <c r="M472" s="150">
        <v>46197</v>
      </c>
      <c r="N472" s="150">
        <v>0</v>
      </c>
      <c r="O472" s="196">
        <v>46197</v>
      </c>
      <c r="P472" s="150" t="s">
        <v>435</v>
      </c>
      <c r="Q472" s="173" t="s">
        <v>777</v>
      </c>
      <c r="R472" s="148" t="s">
        <v>431</v>
      </c>
      <c r="S472" s="150"/>
      <c r="T472" s="150" t="s">
        <v>452</v>
      </c>
      <c r="U472" s="150"/>
      <c r="V472" s="150"/>
      <c r="W472" s="173"/>
      <c r="X472" s="143" t="s">
        <v>839</v>
      </c>
      <c r="Y472" s="176">
        <v>29.652</v>
      </c>
      <c r="Z472" s="198">
        <f t="shared" si="94"/>
        <v>118.61</v>
      </c>
      <c r="AA472" s="198">
        <f t="shared" si="95"/>
        <v>919.23</v>
      </c>
      <c r="AB472" s="177" t="s">
        <v>917</v>
      </c>
      <c r="AC472" s="174"/>
      <c r="AD472" s="178"/>
      <c r="AE472" s="150">
        <v>0</v>
      </c>
      <c r="AF472" s="178"/>
      <c r="AG472" s="178"/>
      <c r="AH472" s="178">
        <v>46149</v>
      </c>
      <c r="AI472" s="178"/>
      <c r="AJ472" s="178"/>
      <c r="AK472" s="178">
        <v>46158</v>
      </c>
      <c r="AL472" s="179">
        <v>46140</v>
      </c>
      <c r="AM472" s="178"/>
      <c r="AN472" s="180"/>
      <c r="AO472" s="143">
        <v>0</v>
      </c>
      <c r="AP472" s="143">
        <v>0</v>
      </c>
    </row>
    <row r="473" s="89" customFormat="1" customHeight="1" spans="1:42">
      <c r="A473" s="150">
        <v>46120</v>
      </c>
      <c r="B473" s="150">
        <v>0</v>
      </c>
      <c r="C473" s="171" t="s">
        <v>237</v>
      </c>
      <c r="D473" s="150" t="s">
        <v>838</v>
      </c>
      <c r="E473" s="171" t="s">
        <v>438</v>
      </c>
      <c r="F473" s="172">
        <v>10124239</v>
      </c>
      <c r="G473" s="172" t="s">
        <v>287</v>
      </c>
      <c r="H473" s="173" t="s">
        <v>120</v>
      </c>
      <c r="I473" s="174">
        <v>0</v>
      </c>
      <c r="J473" s="175">
        <v>40</v>
      </c>
      <c r="K473" s="174">
        <v>0</v>
      </c>
      <c r="L473" s="143">
        <v>0</v>
      </c>
      <c r="M473" s="150">
        <v>46197</v>
      </c>
      <c r="N473" s="150">
        <v>0</v>
      </c>
      <c r="O473" s="150">
        <v>46197</v>
      </c>
      <c r="P473" s="150" t="s">
        <v>435</v>
      </c>
      <c r="Q473" s="173" t="s">
        <v>777</v>
      </c>
      <c r="R473" s="148" t="s">
        <v>418</v>
      </c>
      <c r="S473" s="150"/>
      <c r="T473" s="150" t="s">
        <v>452</v>
      </c>
      <c r="U473" s="150"/>
      <c r="V473" s="150"/>
      <c r="W473" s="173"/>
      <c r="X473" s="143" t="s">
        <v>839</v>
      </c>
      <c r="Y473" s="176">
        <v>21.246</v>
      </c>
      <c r="Z473" s="198">
        <f t="shared" si="94"/>
        <v>849.84</v>
      </c>
      <c r="AA473" s="198">
        <f t="shared" si="95"/>
        <v>6586.26</v>
      </c>
      <c r="AB473" s="177" t="s">
        <v>917</v>
      </c>
      <c r="AC473" s="174"/>
      <c r="AD473" s="178"/>
      <c r="AE473" s="150">
        <v>0</v>
      </c>
      <c r="AF473" s="178"/>
      <c r="AG473" s="178"/>
      <c r="AH473" s="178">
        <v>46134</v>
      </c>
      <c r="AI473" s="178">
        <v>46128</v>
      </c>
      <c r="AJ473" s="178"/>
      <c r="AK473" s="178">
        <v>46149</v>
      </c>
      <c r="AL473" s="178">
        <v>46134</v>
      </c>
      <c r="AM473" s="178"/>
      <c r="AN473" s="180"/>
      <c r="AO473" s="143">
        <v>0</v>
      </c>
      <c r="AP473" s="143">
        <v>0</v>
      </c>
    </row>
    <row r="474" s="89" customFormat="1" hidden="1" customHeight="1" spans="1:42">
      <c r="A474" s="150">
        <v>46120</v>
      </c>
      <c r="B474" s="150" t="s">
        <v>467</v>
      </c>
      <c r="C474" s="171" t="s">
        <v>237</v>
      </c>
      <c r="D474" s="150" t="s">
        <v>838</v>
      </c>
      <c r="E474" s="171" t="s">
        <v>438</v>
      </c>
      <c r="F474" s="172">
        <v>10124236</v>
      </c>
      <c r="G474" s="172" t="s">
        <v>288</v>
      </c>
      <c r="H474" s="173" t="s">
        <v>105</v>
      </c>
      <c r="I474" s="174" t="s">
        <v>706</v>
      </c>
      <c r="J474" s="175">
        <v>112</v>
      </c>
      <c r="K474" s="174">
        <v>4</v>
      </c>
      <c r="L474" s="143">
        <v>28</v>
      </c>
      <c r="M474" s="150">
        <v>46176</v>
      </c>
      <c r="N474" s="150">
        <v>46174</v>
      </c>
      <c r="O474" s="150">
        <v>46177</v>
      </c>
      <c r="P474" s="150" t="s">
        <v>435</v>
      </c>
      <c r="Q474" s="173" t="s">
        <v>777</v>
      </c>
      <c r="R474" s="154" t="s">
        <v>782</v>
      </c>
      <c r="S474" s="150"/>
      <c r="T474" s="150" t="s">
        <v>452</v>
      </c>
      <c r="U474" s="150"/>
      <c r="V474" s="150"/>
      <c r="W474" s="173"/>
      <c r="X474" s="143" t="s">
        <v>839</v>
      </c>
      <c r="Y474" s="176">
        <v>2.994</v>
      </c>
      <c r="Z474" s="198">
        <f t="shared" si="94"/>
        <v>335.33</v>
      </c>
      <c r="AA474" s="198">
        <f t="shared" si="95"/>
        <v>2598.81</v>
      </c>
      <c r="AB474" s="177" t="s">
        <v>918</v>
      </c>
      <c r="AC474" s="150"/>
      <c r="AD474" s="150"/>
      <c r="AE474" s="150" t="s">
        <v>12</v>
      </c>
      <c r="AF474" s="174"/>
      <c r="AG474" s="174"/>
      <c r="AH474" s="178">
        <v>46121</v>
      </c>
      <c r="AI474" s="178">
        <v>46128</v>
      </c>
      <c r="AJ474" s="178"/>
      <c r="AK474" s="178" t="s">
        <v>420</v>
      </c>
      <c r="AL474" s="178" t="s">
        <v>420</v>
      </c>
      <c r="AM474" s="178"/>
      <c r="AN474" s="178"/>
      <c r="AO474" s="143">
        <v>56</v>
      </c>
      <c r="AP474" s="143">
        <v>55</v>
      </c>
    </row>
    <row r="475" s="89" customFormat="1" hidden="1" customHeight="1" spans="1:42">
      <c r="A475" s="150">
        <v>46120</v>
      </c>
      <c r="B475" s="150" t="s">
        <v>467</v>
      </c>
      <c r="C475" s="171" t="s">
        <v>237</v>
      </c>
      <c r="D475" s="150" t="s">
        <v>838</v>
      </c>
      <c r="E475" s="171" t="s">
        <v>438</v>
      </c>
      <c r="F475" s="172">
        <v>10124236</v>
      </c>
      <c r="G475" s="172" t="s">
        <v>288</v>
      </c>
      <c r="H475" s="173" t="s">
        <v>111</v>
      </c>
      <c r="I475" s="174" t="s">
        <v>901</v>
      </c>
      <c r="J475" s="175">
        <v>80</v>
      </c>
      <c r="K475" s="174">
        <v>4</v>
      </c>
      <c r="L475" s="143">
        <v>20</v>
      </c>
      <c r="M475" s="150">
        <v>46176</v>
      </c>
      <c r="N475" s="150">
        <v>46174</v>
      </c>
      <c r="O475" s="150">
        <v>46175</v>
      </c>
      <c r="P475" s="150" t="s">
        <v>435</v>
      </c>
      <c r="Q475" s="173" t="s">
        <v>777</v>
      </c>
      <c r="R475" s="148" t="s">
        <v>826</v>
      </c>
      <c r="S475" s="150"/>
      <c r="T475" s="150" t="s">
        <v>452</v>
      </c>
      <c r="U475" s="150"/>
      <c r="V475" s="150"/>
      <c r="W475" s="173"/>
      <c r="X475" s="143" t="s">
        <v>839</v>
      </c>
      <c r="Y475" s="176">
        <v>3.816</v>
      </c>
      <c r="Z475" s="198">
        <f t="shared" si="94"/>
        <v>305.28</v>
      </c>
      <c r="AA475" s="198">
        <f t="shared" si="95"/>
        <v>2365.92</v>
      </c>
      <c r="AB475" s="177" t="s">
        <v>918</v>
      </c>
      <c r="AC475" s="150"/>
      <c r="AD475" s="150"/>
      <c r="AE475" s="150" t="s">
        <v>12</v>
      </c>
      <c r="AF475" s="174"/>
      <c r="AG475" s="174"/>
      <c r="AH475" s="178">
        <v>46134</v>
      </c>
      <c r="AI475" s="178" t="s">
        <v>420</v>
      </c>
      <c r="AJ475" s="178"/>
      <c r="AK475" s="199">
        <v>46134</v>
      </c>
      <c r="AL475" s="178">
        <v>46134</v>
      </c>
      <c r="AM475" s="178"/>
      <c r="AN475" s="178"/>
      <c r="AO475" s="143">
        <v>56</v>
      </c>
      <c r="AP475" s="143">
        <v>42</v>
      </c>
    </row>
    <row r="476" s="89" customFormat="1" hidden="1" customHeight="1" spans="1:42">
      <c r="A476" s="150">
        <v>46120</v>
      </c>
      <c r="B476" s="150" t="s">
        <v>467</v>
      </c>
      <c r="C476" s="171" t="s">
        <v>237</v>
      </c>
      <c r="D476" s="150" t="s">
        <v>838</v>
      </c>
      <c r="E476" s="171" t="s">
        <v>438</v>
      </c>
      <c r="F476" s="172">
        <v>10124236</v>
      </c>
      <c r="G476" s="172" t="s">
        <v>288</v>
      </c>
      <c r="H476" s="173" t="s">
        <v>109</v>
      </c>
      <c r="I476" s="174" t="s">
        <v>905</v>
      </c>
      <c r="J476" s="175">
        <v>80</v>
      </c>
      <c r="K476" s="174">
        <v>4</v>
      </c>
      <c r="L476" s="143">
        <v>20</v>
      </c>
      <c r="M476" s="150">
        <v>46176</v>
      </c>
      <c r="N476" s="150">
        <v>46174</v>
      </c>
      <c r="O476" s="150">
        <v>46175</v>
      </c>
      <c r="P476" s="150" t="s">
        <v>435</v>
      </c>
      <c r="Q476" s="173" t="s">
        <v>777</v>
      </c>
      <c r="R476" s="148" t="s">
        <v>431</v>
      </c>
      <c r="S476" s="150"/>
      <c r="T476" s="150"/>
      <c r="U476" s="150"/>
      <c r="V476" s="150"/>
      <c r="W476" s="173"/>
      <c r="X476" s="143" t="s">
        <v>839</v>
      </c>
      <c r="Y476" s="176">
        <v>3.886</v>
      </c>
      <c r="Z476" s="198">
        <f t="shared" si="94"/>
        <v>310.88</v>
      </c>
      <c r="AA476" s="198">
        <f t="shared" si="95"/>
        <v>2409.32</v>
      </c>
      <c r="AB476" s="177" t="s">
        <v>918</v>
      </c>
      <c r="AC476" s="150"/>
      <c r="AD476" s="150"/>
      <c r="AE476" s="150" t="s">
        <v>12</v>
      </c>
      <c r="AF476" s="174"/>
      <c r="AG476" s="174"/>
      <c r="AH476" s="178">
        <v>46128</v>
      </c>
      <c r="AI476" s="178" t="s">
        <v>420</v>
      </c>
      <c r="AJ476" s="178"/>
      <c r="AK476" s="199">
        <v>46135</v>
      </c>
      <c r="AL476" s="178">
        <v>46128</v>
      </c>
      <c r="AM476" s="178"/>
      <c r="AN476" s="178"/>
      <c r="AO476" s="143">
        <v>56</v>
      </c>
      <c r="AP476" s="143">
        <v>48</v>
      </c>
    </row>
    <row r="477" s="89" customFormat="1" hidden="1" customHeight="1" spans="1:42">
      <c r="A477" s="150">
        <v>46120</v>
      </c>
      <c r="B477" s="150" t="s">
        <v>467</v>
      </c>
      <c r="C477" s="171" t="s">
        <v>237</v>
      </c>
      <c r="D477" s="150" t="s">
        <v>838</v>
      </c>
      <c r="E477" s="171" t="s">
        <v>438</v>
      </c>
      <c r="F477" s="172">
        <v>10124236</v>
      </c>
      <c r="G477" s="172" t="s">
        <v>288</v>
      </c>
      <c r="H477" s="173" t="s">
        <v>35</v>
      </c>
      <c r="I477" s="174" t="s">
        <v>676</v>
      </c>
      <c r="J477" s="175">
        <v>116</v>
      </c>
      <c r="K477" s="174">
        <v>2</v>
      </c>
      <c r="L477" s="143">
        <v>58</v>
      </c>
      <c r="M477" s="150">
        <v>46176</v>
      </c>
      <c r="N477" s="150">
        <v>46174</v>
      </c>
      <c r="O477" s="150">
        <v>46176</v>
      </c>
      <c r="P477" s="150" t="s">
        <v>435</v>
      </c>
      <c r="Q477" s="173" t="s">
        <v>777</v>
      </c>
      <c r="R477" s="148" t="s">
        <v>826</v>
      </c>
      <c r="S477" s="150"/>
      <c r="T477" s="150"/>
      <c r="U477" s="150"/>
      <c r="V477" s="150"/>
      <c r="W477" s="173"/>
      <c r="X477" s="143" t="s">
        <v>839</v>
      </c>
      <c r="Y477" s="176">
        <v>22.9</v>
      </c>
      <c r="Z477" s="198">
        <f t="shared" si="94"/>
        <v>2656.4</v>
      </c>
      <c r="AA477" s="198">
        <f t="shared" si="95"/>
        <v>20587.1</v>
      </c>
      <c r="AB477" s="177" t="s">
        <v>918</v>
      </c>
      <c r="AC477" s="150"/>
      <c r="AD477" s="150"/>
      <c r="AE477" s="150" t="s">
        <v>12</v>
      </c>
      <c r="AF477" s="174"/>
      <c r="AG477" s="174"/>
      <c r="AH477" s="178">
        <v>46146</v>
      </c>
      <c r="AI477" s="178">
        <v>46171</v>
      </c>
      <c r="AJ477" s="178"/>
      <c r="AK477" s="178">
        <v>46146</v>
      </c>
      <c r="AL477" s="178">
        <v>46140</v>
      </c>
      <c r="AM477" s="178"/>
      <c r="AN477" s="178"/>
      <c r="AO477" s="143">
        <v>56</v>
      </c>
      <c r="AP477" s="143">
        <v>30</v>
      </c>
    </row>
    <row r="478" s="89" customFormat="1" hidden="1" customHeight="1" spans="1:42">
      <c r="A478" s="150">
        <v>46120</v>
      </c>
      <c r="B478" s="150" t="s">
        <v>467</v>
      </c>
      <c r="C478" s="171" t="s">
        <v>237</v>
      </c>
      <c r="D478" s="150" t="s">
        <v>838</v>
      </c>
      <c r="E478" s="171" t="s">
        <v>438</v>
      </c>
      <c r="F478" s="172">
        <v>10124236</v>
      </c>
      <c r="G478" s="172" t="s">
        <v>288</v>
      </c>
      <c r="H478" s="173">
        <v>47669</v>
      </c>
      <c r="I478" s="174" t="s">
        <v>723</v>
      </c>
      <c r="J478" s="175">
        <v>124</v>
      </c>
      <c r="K478" s="174">
        <v>4</v>
      </c>
      <c r="L478" s="143">
        <v>31</v>
      </c>
      <c r="M478" s="150">
        <v>46176</v>
      </c>
      <c r="N478" s="150">
        <v>46174</v>
      </c>
      <c r="O478" s="150">
        <v>46182</v>
      </c>
      <c r="P478" s="150" t="s">
        <v>435</v>
      </c>
      <c r="Q478" s="173" t="s">
        <v>777</v>
      </c>
      <c r="R478" s="148" t="s">
        <v>418</v>
      </c>
      <c r="S478" s="150"/>
      <c r="T478" s="150" t="s">
        <v>452</v>
      </c>
      <c r="U478" s="150"/>
      <c r="V478" s="150"/>
      <c r="W478" s="173"/>
      <c r="X478" s="143" t="s">
        <v>839</v>
      </c>
      <c r="Y478" s="176">
        <v>4.808</v>
      </c>
      <c r="Z478" s="198">
        <f t="shared" si="94"/>
        <v>596.19</v>
      </c>
      <c r="AA478" s="198">
        <f t="shared" si="95"/>
        <v>4620.47</v>
      </c>
      <c r="AB478" s="177" t="s">
        <v>918</v>
      </c>
      <c r="AC478" s="174"/>
      <c r="AD478" s="178"/>
      <c r="AE478" s="150" t="s">
        <v>12</v>
      </c>
      <c r="AF478" s="178">
        <v>46115</v>
      </c>
      <c r="AG478" s="178"/>
      <c r="AH478" s="178">
        <v>46115</v>
      </c>
      <c r="AI478" s="178">
        <v>46135</v>
      </c>
      <c r="AJ478" s="178"/>
      <c r="AK478" s="178" t="s">
        <v>420</v>
      </c>
      <c r="AL478" s="178" t="s">
        <v>420</v>
      </c>
      <c r="AM478" s="178"/>
      <c r="AN478" s="180"/>
      <c r="AO478" s="143">
        <v>56</v>
      </c>
      <c r="AP478" s="143">
        <v>61</v>
      </c>
    </row>
    <row r="479" s="89" customFormat="1" hidden="1" customHeight="1" spans="1:42">
      <c r="A479" s="150">
        <v>46120</v>
      </c>
      <c r="B479" s="150" t="s">
        <v>467</v>
      </c>
      <c r="C479" s="171" t="s">
        <v>237</v>
      </c>
      <c r="D479" s="150" t="s">
        <v>838</v>
      </c>
      <c r="E479" s="171" t="s">
        <v>438</v>
      </c>
      <c r="F479" s="172">
        <v>10124236</v>
      </c>
      <c r="G479" s="172" t="s">
        <v>288</v>
      </c>
      <c r="H479" s="173" t="s">
        <v>39</v>
      </c>
      <c r="I479" s="174" t="s">
        <v>710</v>
      </c>
      <c r="J479" s="175">
        <v>78</v>
      </c>
      <c r="K479" s="174">
        <v>2</v>
      </c>
      <c r="L479" s="143">
        <v>39</v>
      </c>
      <c r="M479" s="150">
        <v>46183</v>
      </c>
      <c r="N479" s="150">
        <v>46181</v>
      </c>
      <c r="O479" s="150">
        <v>46195</v>
      </c>
      <c r="P479" s="150" t="s">
        <v>435</v>
      </c>
      <c r="Q479" s="173" t="s">
        <v>777</v>
      </c>
      <c r="R479" s="148" t="s">
        <v>602</v>
      </c>
      <c r="S479" s="150"/>
      <c r="T479" s="150"/>
      <c r="U479" s="150"/>
      <c r="V479" s="150"/>
      <c r="W479" s="173"/>
      <c r="X479" s="143" t="s">
        <v>839</v>
      </c>
      <c r="Y479" s="176">
        <v>30.536</v>
      </c>
      <c r="Z479" s="198">
        <f t="shared" si="94"/>
        <v>2381.81</v>
      </c>
      <c r="AA479" s="198">
        <f t="shared" si="95"/>
        <v>18459.03</v>
      </c>
      <c r="AB479" s="177" t="s">
        <v>918</v>
      </c>
      <c r="AC479" s="150"/>
      <c r="AD479" s="150"/>
      <c r="AE479" s="150" t="s">
        <v>12</v>
      </c>
      <c r="AF479" s="174"/>
      <c r="AG479" s="174"/>
      <c r="AH479" s="178">
        <v>46129</v>
      </c>
      <c r="AI479" s="178">
        <v>46163</v>
      </c>
      <c r="AJ479" s="178"/>
      <c r="AK479" s="178">
        <v>46146</v>
      </c>
      <c r="AL479" s="178">
        <v>46140</v>
      </c>
      <c r="AM479" s="178"/>
      <c r="AN479" s="178"/>
      <c r="AO479" s="143">
        <v>63</v>
      </c>
      <c r="AP479" s="143">
        <v>54</v>
      </c>
    </row>
    <row r="480" s="89" customFormat="1" hidden="1" customHeight="1" spans="1:42">
      <c r="A480" s="150">
        <v>46120</v>
      </c>
      <c r="B480" s="150" t="s">
        <v>467</v>
      </c>
      <c r="C480" s="171" t="s">
        <v>237</v>
      </c>
      <c r="D480" s="150" t="s">
        <v>838</v>
      </c>
      <c r="E480" s="171" t="s">
        <v>438</v>
      </c>
      <c r="F480" s="172">
        <v>10124236</v>
      </c>
      <c r="G480" s="172" t="s">
        <v>288</v>
      </c>
      <c r="H480" s="173" t="s">
        <v>29</v>
      </c>
      <c r="I480" s="174" t="s">
        <v>825</v>
      </c>
      <c r="J480" s="175">
        <v>28</v>
      </c>
      <c r="K480" s="174">
        <v>4</v>
      </c>
      <c r="L480" s="143">
        <v>7</v>
      </c>
      <c r="M480" s="150">
        <v>46197</v>
      </c>
      <c r="N480" s="150">
        <v>46195</v>
      </c>
      <c r="O480" s="150">
        <v>46197</v>
      </c>
      <c r="P480" s="150" t="s">
        <v>435</v>
      </c>
      <c r="Q480" s="173" t="s">
        <v>777</v>
      </c>
      <c r="R480" s="148" t="s">
        <v>826</v>
      </c>
      <c r="S480" s="150"/>
      <c r="T480" s="150"/>
      <c r="U480" s="150"/>
      <c r="V480" s="150"/>
      <c r="W480" s="173"/>
      <c r="X480" s="143" t="s">
        <v>839</v>
      </c>
      <c r="Y480" s="176">
        <v>21.801</v>
      </c>
      <c r="Z480" s="198">
        <f t="shared" si="94"/>
        <v>610.43</v>
      </c>
      <c r="AA480" s="198">
        <f t="shared" si="95"/>
        <v>4730.83</v>
      </c>
      <c r="AB480" s="177" t="s">
        <v>918</v>
      </c>
      <c r="AC480" s="150"/>
      <c r="AD480" s="150"/>
      <c r="AE480" s="150" t="s">
        <v>12</v>
      </c>
      <c r="AF480" s="174"/>
      <c r="AG480" s="174"/>
      <c r="AH480" s="178">
        <v>46139</v>
      </c>
      <c r="AI480" s="178" t="s">
        <v>828</v>
      </c>
      <c r="AJ480" s="178"/>
      <c r="AK480" s="178">
        <v>46156</v>
      </c>
      <c r="AL480" s="178">
        <v>46140</v>
      </c>
      <c r="AM480" s="178"/>
      <c r="AN480" s="178"/>
      <c r="AO480" s="143">
        <v>77</v>
      </c>
      <c r="AP480" s="143">
        <v>58</v>
      </c>
    </row>
    <row r="481" s="89" customFormat="1" hidden="1" customHeight="1" spans="1:42">
      <c r="A481" s="150">
        <v>46120</v>
      </c>
      <c r="B481" s="150" t="s">
        <v>467</v>
      </c>
      <c r="C481" s="171" t="s">
        <v>237</v>
      </c>
      <c r="D481" s="150" t="s">
        <v>838</v>
      </c>
      <c r="E481" s="171" t="s">
        <v>438</v>
      </c>
      <c r="F481" s="172">
        <v>10124236</v>
      </c>
      <c r="G481" s="172" t="s">
        <v>288</v>
      </c>
      <c r="H481" s="173" t="s">
        <v>31</v>
      </c>
      <c r="I481" s="174" t="s">
        <v>830</v>
      </c>
      <c r="J481" s="175">
        <v>100</v>
      </c>
      <c r="K481" s="174">
        <v>1</v>
      </c>
      <c r="L481" s="143">
        <v>100</v>
      </c>
      <c r="M481" s="150">
        <v>46197</v>
      </c>
      <c r="N481" s="150">
        <v>46195</v>
      </c>
      <c r="O481" s="150">
        <v>46197</v>
      </c>
      <c r="P481" s="150" t="s">
        <v>435</v>
      </c>
      <c r="Q481" s="173" t="s">
        <v>777</v>
      </c>
      <c r="R481" s="148" t="s">
        <v>431</v>
      </c>
      <c r="S481" s="150"/>
      <c r="T481" s="150" t="s">
        <v>452</v>
      </c>
      <c r="U481" s="150"/>
      <c r="V481" s="150"/>
      <c r="W481" s="173"/>
      <c r="X481" s="143" t="s">
        <v>839</v>
      </c>
      <c r="Y481" s="176">
        <v>29.652</v>
      </c>
      <c r="Z481" s="198">
        <f t="shared" si="94"/>
        <v>2965.2</v>
      </c>
      <c r="AA481" s="198">
        <f t="shared" si="95"/>
        <v>22980.3</v>
      </c>
      <c r="AB481" s="177" t="s">
        <v>918</v>
      </c>
      <c r="AC481" s="174"/>
      <c r="AD481" s="178"/>
      <c r="AE481" s="150" t="s">
        <v>12</v>
      </c>
      <c r="AF481" s="178"/>
      <c r="AG481" s="178"/>
      <c r="AH481" s="178">
        <v>46149</v>
      </c>
      <c r="AI481" s="178"/>
      <c r="AJ481" s="178"/>
      <c r="AK481" s="178">
        <v>46158</v>
      </c>
      <c r="AL481" s="179">
        <v>46140</v>
      </c>
      <c r="AM481" s="178"/>
      <c r="AN481" s="180"/>
      <c r="AO481" s="143">
        <v>77</v>
      </c>
      <c r="AP481" s="143">
        <v>48</v>
      </c>
    </row>
    <row r="482" s="89" customFormat="1" customHeight="1" spans="1:42">
      <c r="A482" s="150">
        <v>46120</v>
      </c>
      <c r="B482" s="150" t="s">
        <v>467</v>
      </c>
      <c r="C482" s="171" t="s">
        <v>237</v>
      </c>
      <c r="D482" s="150" t="s">
        <v>838</v>
      </c>
      <c r="E482" s="171" t="s">
        <v>438</v>
      </c>
      <c r="F482" s="172">
        <v>10124236</v>
      </c>
      <c r="G482" s="172" t="s">
        <v>288</v>
      </c>
      <c r="H482" s="173" t="s">
        <v>120</v>
      </c>
      <c r="I482" s="174" t="s">
        <v>902</v>
      </c>
      <c r="J482" s="175">
        <v>150</v>
      </c>
      <c r="K482" s="174">
        <v>2</v>
      </c>
      <c r="L482" s="143">
        <v>75</v>
      </c>
      <c r="M482" s="150">
        <v>46197</v>
      </c>
      <c r="N482" s="150">
        <v>46195</v>
      </c>
      <c r="O482" s="150">
        <v>46197</v>
      </c>
      <c r="P482" s="150" t="s">
        <v>429</v>
      </c>
      <c r="Q482" s="173" t="s">
        <v>777</v>
      </c>
      <c r="R482" s="148" t="s">
        <v>418</v>
      </c>
      <c r="S482" s="150"/>
      <c r="T482" s="150" t="s">
        <v>452</v>
      </c>
      <c r="U482" s="150"/>
      <c r="V482" s="150"/>
      <c r="W482" s="173"/>
      <c r="X482" s="143" t="s">
        <v>839</v>
      </c>
      <c r="Y482" s="176">
        <v>21.246</v>
      </c>
      <c r="Z482" s="198">
        <f t="shared" si="94"/>
        <v>3186.9</v>
      </c>
      <c r="AA482" s="198">
        <f t="shared" si="95"/>
        <v>24698.48</v>
      </c>
      <c r="AB482" s="177" t="s">
        <v>918</v>
      </c>
      <c r="AC482" s="174"/>
      <c r="AD482" s="178"/>
      <c r="AE482" s="150" t="s">
        <v>12</v>
      </c>
      <c r="AF482" s="178"/>
      <c r="AG482" s="178"/>
      <c r="AH482" s="178">
        <v>46134</v>
      </c>
      <c r="AI482" s="178">
        <v>46128</v>
      </c>
      <c r="AJ482" s="178"/>
      <c r="AK482" s="178">
        <v>46149</v>
      </c>
      <c r="AL482" s="178">
        <v>46134</v>
      </c>
      <c r="AM482" s="178"/>
      <c r="AN482" s="180"/>
      <c r="AO482" s="143">
        <v>77</v>
      </c>
      <c r="AP482" s="143">
        <v>63</v>
      </c>
    </row>
    <row r="483" s="89" customFormat="1" hidden="1" customHeight="1" spans="1:42">
      <c r="A483" s="150">
        <v>46142</v>
      </c>
      <c r="B483" s="150" t="str">
        <f ca="1" t="shared" ref="B483:B491" si="96">IF(TODAY()&gt;=A483,IF(R483="","未",""),"")</f>
        <v/>
      </c>
      <c r="C483" s="171" t="s">
        <v>237</v>
      </c>
      <c r="D483" s="150" t="s">
        <v>919</v>
      </c>
      <c r="E483" s="171" t="s">
        <v>438</v>
      </c>
      <c r="F483" s="172">
        <v>10126618</v>
      </c>
      <c r="G483" s="172">
        <v>288862504</v>
      </c>
      <c r="H483" s="173" t="s">
        <v>158</v>
      </c>
      <c r="I483" s="174" t="str">
        <f>IFERROR(VLOOKUP(H483,名称!A:C,2,0),"")</f>
        <v>JD LNS圆轮拖拉机</v>
      </c>
      <c r="J483" s="203">
        <v>6660</v>
      </c>
      <c r="K483" s="174">
        <f>IFERROR(VLOOKUP(H483,名称!A:D,3,0),"")</f>
        <v>2</v>
      </c>
      <c r="L483" s="143">
        <f t="shared" ref="L483:L491" si="97">IFERROR((J483/K483),"")</f>
        <v>3330</v>
      </c>
      <c r="M483" s="150">
        <v>46197</v>
      </c>
      <c r="N483" s="150">
        <f t="shared" ref="N483:N491" si="98">M483-2</f>
        <v>46195</v>
      </c>
      <c r="O483" s="150">
        <v>46196</v>
      </c>
      <c r="P483" s="150" t="s">
        <v>435</v>
      </c>
      <c r="Q483" s="173" t="s">
        <v>485</v>
      </c>
      <c r="R483" s="148" t="s">
        <v>418</v>
      </c>
      <c r="S483" s="150"/>
      <c r="T483" s="150" t="s">
        <v>452</v>
      </c>
      <c r="U483" s="150"/>
      <c r="V483" s="150"/>
      <c r="W483" s="173"/>
      <c r="X483" s="143" t="s">
        <v>920</v>
      </c>
      <c r="Y483" s="176">
        <v>4.792</v>
      </c>
      <c r="Z483" s="198">
        <f t="shared" si="94"/>
        <v>31914.72</v>
      </c>
      <c r="AA483" s="198">
        <f t="shared" si="95"/>
        <v>247339.08</v>
      </c>
      <c r="AB483" s="177" t="s">
        <v>921</v>
      </c>
      <c r="AC483" s="150"/>
      <c r="AD483" s="150"/>
      <c r="AE483" s="150" t="str">
        <f>IFERROR(VLOOKUP(H483,名称!A:D,4,0),"")</f>
        <v>KIK</v>
      </c>
      <c r="AF483" s="174"/>
      <c r="AG483" s="174"/>
      <c r="AH483" s="178">
        <v>46115</v>
      </c>
      <c r="AI483" s="178" t="s">
        <v>420</v>
      </c>
      <c r="AJ483" s="178"/>
      <c r="AK483" s="178" t="s">
        <v>453</v>
      </c>
      <c r="AL483" s="178">
        <v>46128</v>
      </c>
      <c r="AM483" s="178"/>
      <c r="AN483" s="178"/>
      <c r="AO483" s="143">
        <f t="shared" ref="AO483:AO491" si="99">M483-A483</f>
        <v>55</v>
      </c>
      <c r="AP483" s="143">
        <f t="shared" ref="AP483:AP491" si="100">M483-AH483</f>
        <v>82</v>
      </c>
    </row>
    <row r="484" s="89" customFormat="1" hidden="1" customHeight="1" spans="1:42">
      <c r="A484" s="150">
        <v>46142</v>
      </c>
      <c r="B484" s="150" t="str">
        <f ca="1" t="shared" si="96"/>
        <v/>
      </c>
      <c r="C484" s="171" t="s">
        <v>237</v>
      </c>
      <c r="D484" s="150" t="s">
        <v>919</v>
      </c>
      <c r="E484" s="171" t="s">
        <v>438</v>
      </c>
      <c r="F484" s="172">
        <v>10126616</v>
      </c>
      <c r="G484" s="172">
        <v>288862503</v>
      </c>
      <c r="H484" s="173" t="s">
        <v>158</v>
      </c>
      <c r="I484" s="174" t="str">
        <f>IFERROR(VLOOKUP(H484,名称!A:C,2,0),"")</f>
        <v>JD LNS圆轮拖拉机</v>
      </c>
      <c r="J484" s="203">
        <v>6660</v>
      </c>
      <c r="K484" s="174">
        <f>IFERROR(VLOOKUP(H484,名称!A:D,3,0),"")</f>
        <v>2</v>
      </c>
      <c r="L484" s="143">
        <f t="shared" si="97"/>
        <v>3330</v>
      </c>
      <c r="M484" s="150">
        <v>46197</v>
      </c>
      <c r="N484" s="150">
        <f t="shared" si="98"/>
        <v>46195</v>
      </c>
      <c r="O484" s="150">
        <v>46196</v>
      </c>
      <c r="P484" s="150" t="s">
        <v>435</v>
      </c>
      <c r="Q484" s="173" t="s">
        <v>485</v>
      </c>
      <c r="R484" s="148" t="s">
        <v>444</v>
      </c>
      <c r="S484" s="150"/>
      <c r="T484" s="150" t="s">
        <v>452</v>
      </c>
      <c r="U484" s="150"/>
      <c r="V484" s="150"/>
      <c r="W484" s="173"/>
      <c r="X484" s="143" t="s">
        <v>920</v>
      </c>
      <c r="Y484" s="176">
        <v>4.792</v>
      </c>
      <c r="Z484" s="198">
        <f t="shared" si="94"/>
        <v>31914.72</v>
      </c>
      <c r="AA484" s="198">
        <f t="shared" si="95"/>
        <v>247339.08</v>
      </c>
      <c r="AB484" s="177" t="s">
        <v>922</v>
      </c>
      <c r="AC484" s="150"/>
      <c r="AD484" s="150"/>
      <c r="AE484" s="150" t="str">
        <f>IFERROR(VLOOKUP(H484,名称!A:D,4,0),"")</f>
        <v>KIK</v>
      </c>
      <c r="AF484" s="174"/>
      <c r="AG484" s="174"/>
      <c r="AH484" s="178">
        <v>46115</v>
      </c>
      <c r="AI484" s="178" t="s">
        <v>420</v>
      </c>
      <c r="AJ484" s="178"/>
      <c r="AK484" s="178" t="s">
        <v>453</v>
      </c>
      <c r="AL484" s="178">
        <v>46128</v>
      </c>
      <c r="AM484" s="178"/>
      <c r="AN484" s="178"/>
      <c r="AO484" s="143">
        <f t="shared" si="99"/>
        <v>55</v>
      </c>
      <c r="AP484" s="143">
        <f t="shared" si="100"/>
        <v>82</v>
      </c>
    </row>
    <row r="485" s="89" customFormat="1" hidden="1" customHeight="1" spans="1:42">
      <c r="A485" s="150">
        <v>46156</v>
      </c>
      <c r="B485" s="150" t="str">
        <f ca="1" t="shared" si="96"/>
        <v/>
      </c>
      <c r="C485" s="171" t="s">
        <v>237</v>
      </c>
      <c r="D485" s="150" t="s">
        <v>919</v>
      </c>
      <c r="E485" s="171" t="s">
        <v>438</v>
      </c>
      <c r="F485" s="172">
        <v>10127474</v>
      </c>
      <c r="G485" s="172">
        <v>288859073</v>
      </c>
      <c r="H485" s="173" t="s">
        <v>35</v>
      </c>
      <c r="I485" s="174" t="str">
        <f>IFERROR(VLOOKUP(H485,名称!A:C,2,0),"")</f>
        <v>1:16拖车厢</v>
      </c>
      <c r="J485" s="203">
        <v>420</v>
      </c>
      <c r="K485" s="174">
        <f>IFERROR(VLOOKUP(H485,名称!A:D,3,0),"")</f>
        <v>2</v>
      </c>
      <c r="L485" s="143">
        <f t="shared" si="97"/>
        <v>210</v>
      </c>
      <c r="M485" s="150">
        <v>46190</v>
      </c>
      <c r="N485" s="150">
        <f t="shared" si="98"/>
        <v>46188</v>
      </c>
      <c r="O485" s="196">
        <v>46204</v>
      </c>
      <c r="P485" s="150" t="s">
        <v>435</v>
      </c>
      <c r="Q485" s="173" t="s">
        <v>485</v>
      </c>
      <c r="R485" s="148" t="s">
        <v>418</v>
      </c>
      <c r="S485" s="150"/>
      <c r="T485" s="150"/>
      <c r="U485" s="150"/>
      <c r="V485" s="150"/>
      <c r="W485" s="173"/>
      <c r="X485" s="143" t="s">
        <v>920</v>
      </c>
      <c r="Y485" s="176">
        <v>22.9</v>
      </c>
      <c r="Z485" s="198">
        <f t="shared" si="94"/>
        <v>9618</v>
      </c>
      <c r="AA485" s="198">
        <f t="shared" si="95"/>
        <v>74539.5</v>
      </c>
      <c r="AB485" s="177" t="s">
        <v>923</v>
      </c>
      <c r="AC485" s="150"/>
      <c r="AD485" s="150"/>
      <c r="AE485" s="150" t="str">
        <f>IFERROR(VLOOKUP(H485,名称!A:D,4,0),"")</f>
        <v>KIK</v>
      </c>
      <c r="AF485" s="174"/>
      <c r="AG485" s="174"/>
      <c r="AH485" s="178">
        <v>46146</v>
      </c>
      <c r="AI485" s="178">
        <v>46171</v>
      </c>
      <c r="AJ485" s="178"/>
      <c r="AK485" s="178">
        <v>46146</v>
      </c>
      <c r="AL485" s="178">
        <v>46140</v>
      </c>
      <c r="AM485" s="178"/>
      <c r="AN485" s="178"/>
      <c r="AO485" s="143"/>
      <c r="AP485" s="143"/>
    </row>
    <row r="486" s="89" customFormat="1" hidden="1" customHeight="1" spans="1:42">
      <c r="A486" s="150">
        <v>46156</v>
      </c>
      <c r="B486" s="150" t="str">
        <f ca="1" t="shared" si="96"/>
        <v/>
      </c>
      <c r="C486" s="171" t="s">
        <v>237</v>
      </c>
      <c r="D486" s="150" t="s">
        <v>919</v>
      </c>
      <c r="E486" s="171" t="s">
        <v>438</v>
      </c>
      <c r="F486" s="172">
        <v>10127474</v>
      </c>
      <c r="G486" s="172">
        <v>288859073</v>
      </c>
      <c r="H486" s="173" t="s">
        <v>158</v>
      </c>
      <c r="I486" s="174" t="str">
        <f>IFERROR(VLOOKUP(H486,名称!A:C,2,0),"")</f>
        <v>JD LNS圆轮拖拉机</v>
      </c>
      <c r="J486" s="203">
        <v>3380</v>
      </c>
      <c r="K486" s="174">
        <f>IFERROR(VLOOKUP(H486,名称!A:D,3,0),"")</f>
        <v>2</v>
      </c>
      <c r="L486" s="143">
        <f t="shared" si="97"/>
        <v>1690</v>
      </c>
      <c r="M486" s="150">
        <v>46190</v>
      </c>
      <c r="N486" s="150">
        <f t="shared" si="98"/>
        <v>46188</v>
      </c>
      <c r="O486" s="150">
        <v>46192</v>
      </c>
      <c r="P486" s="150" t="s">
        <v>435</v>
      </c>
      <c r="Q486" s="173" t="s">
        <v>485</v>
      </c>
      <c r="R486" s="148" t="s">
        <v>826</v>
      </c>
      <c r="S486" s="150"/>
      <c r="T486" s="150" t="s">
        <v>452</v>
      </c>
      <c r="U486" s="150"/>
      <c r="V486" s="150"/>
      <c r="W486" s="173"/>
      <c r="X486" s="143" t="s">
        <v>920</v>
      </c>
      <c r="Y486" s="176">
        <v>4.792</v>
      </c>
      <c r="Z486" s="198">
        <f t="shared" si="94"/>
        <v>16196.96</v>
      </c>
      <c r="AA486" s="198">
        <f t="shared" si="95"/>
        <v>125526.44</v>
      </c>
      <c r="AB486" s="177" t="s">
        <v>923</v>
      </c>
      <c r="AC486" s="150"/>
      <c r="AD486" s="150"/>
      <c r="AE486" s="150" t="str">
        <f>IFERROR(VLOOKUP(H486,名称!A:D,4,0),"")</f>
        <v>KIK</v>
      </c>
      <c r="AF486" s="174"/>
      <c r="AG486" s="174"/>
      <c r="AH486" s="178">
        <v>46156</v>
      </c>
      <c r="AI486" s="178" t="s">
        <v>420</v>
      </c>
      <c r="AJ486" s="178"/>
      <c r="AK486" s="178" t="s">
        <v>453</v>
      </c>
      <c r="AL486" s="178">
        <v>46128</v>
      </c>
      <c r="AM486" s="178"/>
      <c r="AN486" s="178"/>
      <c r="AO486" s="143"/>
      <c r="AP486" s="143"/>
    </row>
    <row r="487" s="89" customFormat="1" hidden="1" customHeight="1" spans="1:42">
      <c r="A487" s="150">
        <v>46156</v>
      </c>
      <c r="B487" s="150" t="str">
        <f ca="1" t="shared" si="96"/>
        <v/>
      </c>
      <c r="C487" s="171" t="s">
        <v>237</v>
      </c>
      <c r="D487" s="150" t="s">
        <v>919</v>
      </c>
      <c r="E487" s="171" t="s">
        <v>438</v>
      </c>
      <c r="F487" s="172">
        <v>10127474</v>
      </c>
      <c r="G487" s="172">
        <v>288859073</v>
      </c>
      <c r="H487" s="173">
        <v>47669</v>
      </c>
      <c r="I487" s="174" t="str">
        <f>IFERROR(VLOOKUP(H487,名称!A:C,2,0),"")</f>
        <v>动物车</v>
      </c>
      <c r="J487" s="203">
        <v>348</v>
      </c>
      <c r="K487" s="174">
        <f>IFERROR(VLOOKUP(H487,名称!A:D,3,0),"")</f>
        <v>4</v>
      </c>
      <c r="L487" s="143">
        <f t="shared" si="97"/>
        <v>87</v>
      </c>
      <c r="M487" s="150">
        <v>46190</v>
      </c>
      <c r="N487" s="150">
        <f t="shared" si="98"/>
        <v>46188</v>
      </c>
      <c r="O487" s="150">
        <v>46196</v>
      </c>
      <c r="P487" s="150" t="s">
        <v>435</v>
      </c>
      <c r="Q487" s="173" t="s">
        <v>485</v>
      </c>
      <c r="R487" s="148" t="s">
        <v>431</v>
      </c>
      <c r="S487" s="150"/>
      <c r="T487" s="150" t="s">
        <v>452</v>
      </c>
      <c r="U487" s="150"/>
      <c r="V487" s="150"/>
      <c r="W487" s="173"/>
      <c r="X487" s="143" t="s">
        <v>920</v>
      </c>
      <c r="Y487" s="176">
        <v>4.808</v>
      </c>
      <c r="Z487" s="198">
        <f t="shared" si="94"/>
        <v>1673.18</v>
      </c>
      <c r="AA487" s="198">
        <f t="shared" si="95"/>
        <v>12967.15</v>
      </c>
      <c r="AB487" s="177" t="s">
        <v>923</v>
      </c>
      <c r="AC487" s="150"/>
      <c r="AD487" s="150"/>
      <c r="AE487" s="150" t="str">
        <f>IFERROR(VLOOKUP(H487,名称!A:D,4,0),"")</f>
        <v>KIK</v>
      </c>
      <c r="AF487" s="174"/>
      <c r="AG487" s="174"/>
      <c r="AH487" s="178">
        <v>46177</v>
      </c>
      <c r="AI487" s="178">
        <v>46149</v>
      </c>
      <c r="AJ487" s="178"/>
      <c r="AK487" s="178" t="s">
        <v>420</v>
      </c>
      <c r="AL487" s="178" t="s">
        <v>420</v>
      </c>
      <c r="AM487" s="178"/>
      <c r="AN487" s="178"/>
      <c r="AO487" s="143">
        <f t="shared" si="99"/>
        <v>34</v>
      </c>
      <c r="AP487" s="143">
        <f t="shared" si="100"/>
        <v>13</v>
      </c>
    </row>
    <row r="488" s="89" customFormat="1" hidden="1" customHeight="1" spans="1:42">
      <c r="A488" s="150">
        <v>46156</v>
      </c>
      <c r="B488" s="150" t="str">
        <f ca="1" t="shared" si="96"/>
        <v/>
      </c>
      <c r="C488" s="171" t="s">
        <v>237</v>
      </c>
      <c r="D488" s="150" t="s">
        <v>919</v>
      </c>
      <c r="E488" s="171" t="s">
        <v>438</v>
      </c>
      <c r="F488" s="172">
        <v>10127468</v>
      </c>
      <c r="G488" s="172">
        <v>288858876</v>
      </c>
      <c r="H488" s="173" t="s">
        <v>29</v>
      </c>
      <c r="I488" s="174" t="str">
        <f>IFERROR(VLOOKUP(H488,名称!A:C,2,0),"")</f>
        <v>木材运输车</v>
      </c>
      <c r="J488" s="203">
        <v>1060</v>
      </c>
      <c r="K488" s="174">
        <f>IFERROR(VLOOKUP(H488,名称!A:D,3,0),"")</f>
        <v>4</v>
      </c>
      <c r="L488" s="143">
        <f t="shared" si="97"/>
        <v>265</v>
      </c>
      <c r="M488" s="150">
        <v>46197</v>
      </c>
      <c r="N488" s="150">
        <f t="shared" si="98"/>
        <v>46195</v>
      </c>
      <c r="O488" s="196">
        <v>46205</v>
      </c>
      <c r="P488" s="150" t="s">
        <v>435</v>
      </c>
      <c r="Q488" s="173" t="s">
        <v>485</v>
      </c>
      <c r="R488" s="148" t="s">
        <v>883</v>
      </c>
      <c r="S488" s="150"/>
      <c r="T488" s="150"/>
      <c r="U488" s="150"/>
      <c r="V488" s="150"/>
      <c r="W488" s="173"/>
      <c r="X488" s="143" t="s">
        <v>920</v>
      </c>
      <c r="Y488" s="176">
        <v>21.801</v>
      </c>
      <c r="Z488" s="198">
        <f t="shared" si="94"/>
        <v>23109.06</v>
      </c>
      <c r="AA488" s="198">
        <f t="shared" si="95"/>
        <v>179095.22</v>
      </c>
      <c r="AB488" s="177" t="s">
        <v>924</v>
      </c>
      <c r="AC488" s="150"/>
      <c r="AD488" s="150"/>
      <c r="AE488" s="150" t="str">
        <f>IFERROR(VLOOKUP(H488,名称!A:D,4,0),"")</f>
        <v>KIK</v>
      </c>
      <c r="AF488" s="174"/>
      <c r="AG488" s="174"/>
      <c r="AH488" s="178">
        <v>46139</v>
      </c>
      <c r="AI488" s="178" t="s">
        <v>828</v>
      </c>
      <c r="AJ488" s="178"/>
      <c r="AK488" s="178">
        <v>46156</v>
      </c>
      <c r="AL488" s="178">
        <v>46140</v>
      </c>
      <c r="AM488" s="178"/>
      <c r="AN488" s="178"/>
      <c r="AO488" s="143">
        <f t="shared" si="99"/>
        <v>41</v>
      </c>
      <c r="AP488" s="143">
        <f t="shared" si="100"/>
        <v>58</v>
      </c>
    </row>
    <row r="489" s="89" customFormat="1" hidden="1" customHeight="1" spans="1:42">
      <c r="A489" s="150">
        <v>46156</v>
      </c>
      <c r="B489" s="150" t="str">
        <f ca="1" t="shared" si="96"/>
        <v/>
      </c>
      <c r="C489" s="171" t="s">
        <v>237</v>
      </c>
      <c r="D489" s="150" t="s">
        <v>919</v>
      </c>
      <c r="E489" s="171" t="s">
        <v>438</v>
      </c>
      <c r="F489" s="172">
        <v>10127469</v>
      </c>
      <c r="G489" s="172">
        <v>288858877</v>
      </c>
      <c r="H489" s="173" t="s">
        <v>29</v>
      </c>
      <c r="I489" s="174" t="str">
        <f>IFERROR(VLOOKUP(H489,名称!A:C,2,0),"")</f>
        <v>木材运输车</v>
      </c>
      <c r="J489" s="203">
        <v>1060</v>
      </c>
      <c r="K489" s="174">
        <f>IFERROR(VLOOKUP(H489,名称!A:D,3,0),"")</f>
        <v>4</v>
      </c>
      <c r="L489" s="143">
        <f t="shared" si="97"/>
        <v>265</v>
      </c>
      <c r="M489" s="150">
        <v>46197</v>
      </c>
      <c r="N489" s="150">
        <f t="shared" si="98"/>
        <v>46195</v>
      </c>
      <c r="O489" s="196">
        <v>46205</v>
      </c>
      <c r="P489" s="150" t="s">
        <v>435</v>
      </c>
      <c r="Q489" s="173" t="s">
        <v>485</v>
      </c>
      <c r="R489" s="148" t="s">
        <v>826</v>
      </c>
      <c r="S489" s="150"/>
      <c r="T489" s="150"/>
      <c r="U489" s="150"/>
      <c r="V489" s="150"/>
      <c r="W489" s="173"/>
      <c r="X489" s="143" t="s">
        <v>920</v>
      </c>
      <c r="Y489" s="176">
        <v>21.801</v>
      </c>
      <c r="Z489" s="198">
        <f t="shared" si="94"/>
        <v>23109.06</v>
      </c>
      <c r="AA489" s="198">
        <f t="shared" si="95"/>
        <v>179095.22</v>
      </c>
      <c r="AB489" s="177" t="s">
        <v>925</v>
      </c>
      <c r="AC489" s="150"/>
      <c r="AD489" s="150"/>
      <c r="AE489" s="150" t="str">
        <f>IFERROR(VLOOKUP(H489,名称!A:D,4,0),"")</f>
        <v>KIK</v>
      </c>
      <c r="AF489" s="174"/>
      <c r="AG489" s="174"/>
      <c r="AH489" s="178">
        <v>46139</v>
      </c>
      <c r="AI489" s="178" t="s">
        <v>828</v>
      </c>
      <c r="AJ489" s="178"/>
      <c r="AK489" s="178">
        <v>46156</v>
      </c>
      <c r="AL489" s="178">
        <v>46140</v>
      </c>
      <c r="AM489" s="178"/>
      <c r="AN489" s="178"/>
      <c r="AO489" s="143">
        <f t="shared" si="99"/>
        <v>41</v>
      </c>
      <c r="AP489" s="143">
        <f t="shared" si="100"/>
        <v>58</v>
      </c>
    </row>
    <row r="490" s="89" customFormat="1" hidden="1" customHeight="1" spans="1:42">
      <c r="A490" s="150">
        <v>46095</v>
      </c>
      <c r="B490" s="150" t="str">
        <f ca="1" t="shared" si="96"/>
        <v/>
      </c>
      <c r="C490" s="171" t="s">
        <v>237</v>
      </c>
      <c r="D490" s="150" t="s">
        <v>427</v>
      </c>
      <c r="E490" s="171" t="s">
        <v>438</v>
      </c>
      <c r="F490" s="172">
        <v>10122386</v>
      </c>
      <c r="G490" s="172">
        <v>202607170299</v>
      </c>
      <c r="H490" s="173" t="s">
        <v>87</v>
      </c>
      <c r="I490" s="174" t="str">
        <f>IFERROR(VLOOKUP(H490,名称!A:C,2,0),"")</f>
        <v>1:16收割机</v>
      </c>
      <c r="J490" s="182">
        <v>315</v>
      </c>
      <c r="K490" s="174">
        <f>IFERROR(VLOOKUP(H490,名称!A:D,3,0),"")</f>
        <v>1</v>
      </c>
      <c r="L490" s="143">
        <f t="shared" si="97"/>
        <v>315</v>
      </c>
      <c r="M490" s="202">
        <v>46204</v>
      </c>
      <c r="N490" s="150">
        <f t="shared" si="98"/>
        <v>46202</v>
      </c>
      <c r="O490" s="196">
        <v>46205</v>
      </c>
      <c r="P490" s="150" t="s">
        <v>435</v>
      </c>
      <c r="Q490" s="173" t="s">
        <v>430</v>
      </c>
      <c r="R490" s="148" t="s">
        <v>826</v>
      </c>
      <c r="S490" s="150"/>
      <c r="T490" s="150"/>
      <c r="U490" s="150"/>
      <c r="V490" s="150"/>
      <c r="W490" s="173"/>
      <c r="X490" s="143"/>
      <c r="Y490" s="176">
        <v>31.4</v>
      </c>
      <c r="Z490" s="198">
        <f t="shared" si="94"/>
        <v>9891</v>
      </c>
      <c r="AA490" s="198">
        <f t="shared" si="95"/>
        <v>76655.25</v>
      </c>
      <c r="AB490" s="177" t="s">
        <v>926</v>
      </c>
      <c r="AC490" s="174"/>
      <c r="AD490" s="178"/>
      <c r="AE490" s="150" t="s">
        <v>12</v>
      </c>
      <c r="AF490" s="178"/>
      <c r="AG490" s="178"/>
      <c r="AH490" s="178">
        <v>46149</v>
      </c>
      <c r="AI490" s="178">
        <v>46158</v>
      </c>
      <c r="AJ490" s="178"/>
      <c r="AK490" s="178">
        <v>46154</v>
      </c>
      <c r="AL490" s="179">
        <v>46140</v>
      </c>
      <c r="AM490" s="143"/>
      <c r="AN490" s="180"/>
      <c r="AO490" s="143">
        <f t="shared" si="99"/>
        <v>109</v>
      </c>
      <c r="AP490" s="143">
        <f t="shared" si="100"/>
        <v>55</v>
      </c>
    </row>
    <row r="491" s="118" customFormat="1" hidden="1" customHeight="1" spans="1:42">
      <c r="A491" s="150">
        <v>46095</v>
      </c>
      <c r="B491" s="150" t="str">
        <f ca="1" t="shared" si="96"/>
        <v/>
      </c>
      <c r="C491" s="171" t="s">
        <v>237</v>
      </c>
      <c r="D491" s="150" t="s">
        <v>427</v>
      </c>
      <c r="E491" s="171" t="s">
        <v>438</v>
      </c>
      <c r="F491" s="172">
        <v>10122386</v>
      </c>
      <c r="G491" s="172">
        <v>202607170299</v>
      </c>
      <c r="H491" s="173" t="s">
        <v>35</v>
      </c>
      <c r="I491" s="174" t="str">
        <f>IFERROR(VLOOKUP(H491,名称!A:C,2,0),"")</f>
        <v>1:16拖车厢</v>
      </c>
      <c r="J491" s="175">
        <v>400</v>
      </c>
      <c r="K491" s="174">
        <f>IFERROR(VLOOKUP(H491,名称!A:D,3,0),"")</f>
        <v>2</v>
      </c>
      <c r="L491" s="143">
        <f t="shared" si="97"/>
        <v>200</v>
      </c>
      <c r="M491" s="202">
        <v>46211</v>
      </c>
      <c r="N491" s="150">
        <f t="shared" si="98"/>
        <v>46209</v>
      </c>
      <c r="O491" s="196">
        <v>46205</v>
      </c>
      <c r="P491" s="150" t="s">
        <v>435</v>
      </c>
      <c r="Q491" s="173" t="s">
        <v>430</v>
      </c>
      <c r="R491" s="148" t="s">
        <v>826</v>
      </c>
      <c r="S491" s="150"/>
      <c r="T491" s="150"/>
      <c r="U491" s="150"/>
      <c r="V491" s="150"/>
      <c r="W491" s="173"/>
      <c r="X491" s="143"/>
      <c r="Y491" s="176">
        <v>22.9</v>
      </c>
      <c r="Z491" s="198">
        <f t="shared" si="94"/>
        <v>9160</v>
      </c>
      <c r="AA491" s="198">
        <f t="shared" si="95"/>
        <v>70990</v>
      </c>
      <c r="AB491" s="177" t="s">
        <v>926</v>
      </c>
      <c r="AC491" s="150"/>
      <c r="AD491" s="150"/>
      <c r="AE491" s="150" t="str">
        <f>IFERROR(VLOOKUP(H491,名称!A:D,4,0),"")</f>
        <v>KIK</v>
      </c>
      <c r="AF491" s="174"/>
      <c r="AG491" s="174"/>
      <c r="AH491" s="178">
        <v>46146</v>
      </c>
      <c r="AI491" s="178">
        <v>46171</v>
      </c>
      <c r="AJ491" s="178"/>
      <c r="AK491" s="178">
        <v>46146</v>
      </c>
      <c r="AL491" s="178">
        <v>46140</v>
      </c>
      <c r="AM491" s="178"/>
      <c r="AN491" s="178"/>
      <c r="AO491" s="143">
        <f t="shared" si="99"/>
        <v>116</v>
      </c>
      <c r="AP491" s="143">
        <f t="shared" si="100"/>
        <v>65</v>
      </c>
    </row>
    <row r="492" s="89" customFormat="1" hidden="1" customHeight="1" spans="1:42">
      <c r="A492" s="150">
        <v>46112</v>
      </c>
      <c r="B492" s="150" t="s">
        <v>467</v>
      </c>
      <c r="C492" s="171" t="s">
        <v>237</v>
      </c>
      <c r="D492" s="150" t="s">
        <v>427</v>
      </c>
      <c r="E492" s="171" t="s">
        <v>428</v>
      </c>
      <c r="F492" s="172">
        <v>10123756</v>
      </c>
      <c r="G492" s="172">
        <v>202608570043</v>
      </c>
      <c r="H492" s="173" t="s">
        <v>97</v>
      </c>
      <c r="I492" s="174" t="s">
        <v>913</v>
      </c>
      <c r="J492" s="175">
        <v>5000</v>
      </c>
      <c r="K492" s="174">
        <v>4</v>
      </c>
      <c r="L492" s="143">
        <v>1250</v>
      </c>
      <c r="M492" s="150">
        <v>46204</v>
      </c>
      <c r="N492" s="150">
        <v>46202</v>
      </c>
      <c r="O492" s="196">
        <v>46205</v>
      </c>
      <c r="P492" s="150" t="s">
        <v>435</v>
      </c>
      <c r="Q492" s="173" t="s">
        <v>430</v>
      </c>
      <c r="R492" s="148" t="s">
        <v>431</v>
      </c>
      <c r="S492" s="150"/>
      <c r="T492" s="150"/>
      <c r="U492" s="150"/>
      <c r="V492" s="150"/>
      <c r="W492" s="173"/>
      <c r="X492" s="143"/>
      <c r="Y492" s="176">
        <v>3.362</v>
      </c>
      <c r="Z492" s="198">
        <v>16810</v>
      </c>
      <c r="AA492" s="198">
        <v>130277.5</v>
      </c>
      <c r="AB492" s="177" t="s">
        <v>927</v>
      </c>
      <c r="AC492" s="150"/>
      <c r="AD492" s="150"/>
      <c r="AE492" s="150" t="s">
        <v>12</v>
      </c>
      <c r="AF492" s="174"/>
      <c r="AG492" s="174"/>
      <c r="AH492" s="178">
        <v>46146</v>
      </c>
      <c r="AI492" s="178" t="s">
        <v>420</v>
      </c>
      <c r="AJ492" s="178"/>
      <c r="AK492" s="178" t="s">
        <v>420</v>
      </c>
      <c r="AL492" s="178" t="s">
        <v>420</v>
      </c>
      <c r="AM492" s="178"/>
      <c r="AN492" s="178"/>
      <c r="AO492" s="143">
        <v>92</v>
      </c>
      <c r="AP492" s="143">
        <v>58</v>
      </c>
    </row>
    <row r="493" s="89" customFormat="1" hidden="1" customHeight="1" spans="1:42">
      <c r="A493" s="150">
        <v>46112</v>
      </c>
      <c r="B493" s="150" t="s">
        <v>467</v>
      </c>
      <c r="C493" s="171" t="s">
        <v>237</v>
      </c>
      <c r="D493" s="150" t="s">
        <v>427</v>
      </c>
      <c r="E493" s="171" t="s">
        <v>428</v>
      </c>
      <c r="F493" s="172">
        <v>10123756</v>
      </c>
      <c r="G493" s="172">
        <v>202608570043</v>
      </c>
      <c r="H493" s="173" t="s">
        <v>95</v>
      </c>
      <c r="I493" s="174" t="s">
        <v>928</v>
      </c>
      <c r="J493" s="175">
        <v>5000</v>
      </c>
      <c r="K493" s="174">
        <v>4</v>
      </c>
      <c r="L493" s="143">
        <v>1250</v>
      </c>
      <c r="M493" s="150">
        <v>46204</v>
      </c>
      <c r="N493" s="150">
        <v>46202</v>
      </c>
      <c r="O493" s="150">
        <v>46204</v>
      </c>
      <c r="P493" s="150" t="s">
        <v>435</v>
      </c>
      <c r="Q493" s="173" t="s">
        <v>430</v>
      </c>
      <c r="R493" s="148" t="s">
        <v>431</v>
      </c>
      <c r="S493" s="150"/>
      <c r="T493" s="150"/>
      <c r="U493" s="150"/>
      <c r="V493" s="150"/>
      <c r="W493" s="173"/>
      <c r="X493" s="143"/>
      <c r="Y493" s="176">
        <v>2.205</v>
      </c>
      <c r="Z493" s="198">
        <v>11025</v>
      </c>
      <c r="AA493" s="198">
        <v>85443.75</v>
      </c>
      <c r="AB493" s="177" t="s">
        <v>927</v>
      </c>
      <c r="AC493" s="150"/>
      <c r="AD493" s="150"/>
      <c r="AE493" s="150" t="s">
        <v>12</v>
      </c>
      <c r="AF493" s="174"/>
      <c r="AG493" s="174"/>
      <c r="AH493" s="178">
        <v>46146</v>
      </c>
      <c r="AI493" s="178"/>
      <c r="AJ493" s="178"/>
      <c r="AK493" s="178" t="s">
        <v>420</v>
      </c>
      <c r="AL493" s="178" t="s">
        <v>420</v>
      </c>
      <c r="AM493" s="178"/>
      <c r="AN493" s="178"/>
      <c r="AO493" s="143">
        <v>92</v>
      </c>
      <c r="AP493" s="143">
        <v>58</v>
      </c>
    </row>
    <row r="494" s="89" customFormat="1" hidden="1" customHeight="1" spans="1:42">
      <c r="A494" s="150">
        <v>46095</v>
      </c>
      <c r="B494" s="150" t="str">
        <f ca="1" t="shared" ref="B494:B527" si="101">IF(TODAY()&gt;=A494,IF(R494="","未",""),"")</f>
        <v/>
      </c>
      <c r="C494" s="171" t="s">
        <v>237</v>
      </c>
      <c r="D494" s="150" t="s">
        <v>427</v>
      </c>
      <c r="E494" s="171" t="s">
        <v>438</v>
      </c>
      <c r="F494" s="172">
        <v>10122386</v>
      </c>
      <c r="G494" s="172">
        <v>202607170299</v>
      </c>
      <c r="H494" s="173" t="s">
        <v>87</v>
      </c>
      <c r="I494" s="174" t="str">
        <f>IFERROR(VLOOKUP(H494,名称!A:C,2,0),"")</f>
        <v>1:16收割机</v>
      </c>
      <c r="J494" s="182">
        <v>175</v>
      </c>
      <c r="K494" s="174">
        <f>IFERROR(VLOOKUP(H494,名称!A:D,3,0),"")</f>
        <v>1</v>
      </c>
      <c r="L494" s="143">
        <f t="shared" ref="L494:L527" si="102">IFERROR((J494/K494),"")</f>
        <v>175</v>
      </c>
      <c r="M494" s="202">
        <v>46204</v>
      </c>
      <c r="N494" s="150">
        <f t="shared" ref="N494:N527" si="103">M494-2</f>
        <v>46202</v>
      </c>
      <c r="O494" s="196">
        <v>46205</v>
      </c>
      <c r="P494" s="150" t="s">
        <v>435</v>
      </c>
      <c r="Q494" s="173" t="s">
        <v>430</v>
      </c>
      <c r="R494" s="148" t="s">
        <v>826</v>
      </c>
      <c r="S494" s="150"/>
      <c r="T494" s="150"/>
      <c r="U494" s="150"/>
      <c r="V494" s="150"/>
      <c r="W494" s="173"/>
      <c r="X494" s="143"/>
      <c r="Y494" s="176">
        <v>31.4</v>
      </c>
      <c r="Z494" s="198">
        <f t="shared" ref="Z494:Z527" si="104">J494*Y494</f>
        <v>5495</v>
      </c>
      <c r="AA494" s="198">
        <f t="shared" ref="AA494:AA527" si="105">Z494*7.75</f>
        <v>42586.25</v>
      </c>
      <c r="AB494" s="177" t="s">
        <v>927</v>
      </c>
      <c r="AC494" s="174"/>
      <c r="AD494" s="178"/>
      <c r="AE494" s="150" t="s">
        <v>12</v>
      </c>
      <c r="AF494" s="178"/>
      <c r="AG494" s="178"/>
      <c r="AH494" s="178">
        <v>46149</v>
      </c>
      <c r="AI494" s="178">
        <v>46158</v>
      </c>
      <c r="AJ494" s="178"/>
      <c r="AK494" s="178">
        <v>46154</v>
      </c>
      <c r="AL494" s="179">
        <v>46140</v>
      </c>
      <c r="AM494" s="143"/>
      <c r="AN494" s="180"/>
      <c r="AO494" s="143">
        <f t="shared" ref="AO494:AO497" si="106">M494-A494</f>
        <v>109</v>
      </c>
      <c r="AP494" s="143">
        <f t="shared" ref="AP494:AP497" si="107">M494-AH494</f>
        <v>55</v>
      </c>
    </row>
    <row r="495" s="89" customFormat="1" customHeight="1" spans="1:42">
      <c r="A495" s="150">
        <v>46095</v>
      </c>
      <c r="B495" s="150" t="str">
        <f ca="1" t="shared" si="101"/>
        <v/>
      </c>
      <c r="C495" s="171" t="s">
        <v>237</v>
      </c>
      <c r="D495" s="150" t="s">
        <v>427</v>
      </c>
      <c r="E495" s="171" t="s">
        <v>438</v>
      </c>
      <c r="F495" s="172">
        <v>10122386</v>
      </c>
      <c r="G495" s="172">
        <v>202607170299</v>
      </c>
      <c r="H495" s="173" t="s">
        <v>120</v>
      </c>
      <c r="I495" s="174" t="str">
        <f>IFERROR(VLOOKUP(H495,名称!A:C,2,0),"")</f>
        <v>绿色拖拉机</v>
      </c>
      <c r="J495" s="175">
        <v>400</v>
      </c>
      <c r="K495" s="174">
        <f>IFERROR(VLOOKUP(H495,名称!A:D,3,0),"")</f>
        <v>2</v>
      </c>
      <c r="L495" s="143">
        <f t="shared" si="102"/>
        <v>200</v>
      </c>
      <c r="M495" s="150">
        <v>46204</v>
      </c>
      <c r="N495" s="150">
        <f t="shared" si="103"/>
        <v>46202</v>
      </c>
      <c r="O495" s="196">
        <v>46205</v>
      </c>
      <c r="P495" s="150" t="s">
        <v>435</v>
      </c>
      <c r="Q495" s="173" t="s">
        <v>430</v>
      </c>
      <c r="R495" s="148" t="s">
        <v>425</v>
      </c>
      <c r="S495" s="150"/>
      <c r="T495" s="150" t="s">
        <v>452</v>
      </c>
      <c r="U495" s="150"/>
      <c r="V495" s="150"/>
      <c r="W495" s="173"/>
      <c r="X495" s="143" t="s">
        <v>452</v>
      </c>
      <c r="Y495" s="176">
        <v>21.246</v>
      </c>
      <c r="Z495" s="198">
        <f t="shared" si="104"/>
        <v>8498.4</v>
      </c>
      <c r="AA495" s="198">
        <f t="shared" si="105"/>
        <v>65862.6</v>
      </c>
      <c r="AB495" s="177" t="s">
        <v>927</v>
      </c>
      <c r="AC495" s="174"/>
      <c r="AD495" s="178"/>
      <c r="AE495" s="150" t="s">
        <v>12</v>
      </c>
      <c r="AF495" s="178"/>
      <c r="AG495" s="178"/>
      <c r="AH495" s="178">
        <v>46134</v>
      </c>
      <c r="AI495" s="178">
        <v>46128</v>
      </c>
      <c r="AJ495" s="178"/>
      <c r="AK495" s="178">
        <v>46149</v>
      </c>
      <c r="AL495" s="178">
        <v>46134</v>
      </c>
      <c r="AM495" s="197"/>
      <c r="AN495" s="180"/>
      <c r="AO495" s="143">
        <f t="shared" si="106"/>
        <v>109</v>
      </c>
      <c r="AP495" s="143">
        <f t="shared" si="107"/>
        <v>70</v>
      </c>
    </row>
    <row r="496" s="89" customFormat="1" hidden="1" customHeight="1" spans="1:42">
      <c r="A496" s="150">
        <v>46095</v>
      </c>
      <c r="B496" s="150" t="str">
        <f ca="1" t="shared" si="101"/>
        <v/>
      </c>
      <c r="C496" s="171" t="s">
        <v>237</v>
      </c>
      <c r="D496" s="150" t="s">
        <v>427</v>
      </c>
      <c r="E496" s="171" t="s">
        <v>438</v>
      </c>
      <c r="F496" s="172">
        <v>10122386</v>
      </c>
      <c r="G496" s="172">
        <v>202607170299</v>
      </c>
      <c r="H496" s="173" t="s">
        <v>118</v>
      </c>
      <c r="I496" s="174" t="str">
        <f>IFERROR(VLOOKUP(H496,名称!A:C,2,0),"")</f>
        <v>滑板拖车</v>
      </c>
      <c r="J496" s="175">
        <f>600-120</f>
        <v>480</v>
      </c>
      <c r="K496" s="174">
        <f>IFERROR(VLOOKUP(H496,名称!A:D,3,0),"")</f>
        <v>4</v>
      </c>
      <c r="L496" s="143">
        <f t="shared" si="102"/>
        <v>120</v>
      </c>
      <c r="M496" s="202">
        <v>46211</v>
      </c>
      <c r="N496" s="150">
        <f t="shared" si="103"/>
        <v>46209</v>
      </c>
      <c r="O496" s="196">
        <v>46204</v>
      </c>
      <c r="P496" s="150" t="s">
        <v>435</v>
      </c>
      <c r="Q496" s="173" t="s">
        <v>430</v>
      </c>
      <c r="R496" s="148" t="s">
        <v>891</v>
      </c>
      <c r="S496" s="150"/>
      <c r="T496" s="150" t="s">
        <v>505</v>
      </c>
      <c r="U496" s="150"/>
      <c r="V496" s="150"/>
      <c r="W496" s="173"/>
      <c r="X496" s="143" t="s">
        <v>452</v>
      </c>
      <c r="Y496" s="176">
        <v>16.71</v>
      </c>
      <c r="Z496" s="198">
        <f t="shared" si="104"/>
        <v>8020.8</v>
      </c>
      <c r="AA496" s="198">
        <f t="shared" si="105"/>
        <v>62161.2</v>
      </c>
      <c r="AB496" s="177" t="s">
        <v>927</v>
      </c>
      <c r="AC496" s="174"/>
      <c r="AD496" s="178"/>
      <c r="AE496" s="150" t="s">
        <v>12</v>
      </c>
      <c r="AF496" s="178"/>
      <c r="AG496" s="178"/>
      <c r="AH496" s="178">
        <v>46134</v>
      </c>
      <c r="AI496" s="178" t="s">
        <v>420</v>
      </c>
      <c r="AJ496" s="178"/>
      <c r="AK496" s="178">
        <v>46163</v>
      </c>
      <c r="AL496" s="178">
        <v>46134</v>
      </c>
      <c r="AM496" s="143"/>
      <c r="AN496" s="180"/>
      <c r="AO496" s="143">
        <f t="shared" si="106"/>
        <v>116</v>
      </c>
      <c r="AP496" s="143">
        <f t="shared" si="107"/>
        <v>77</v>
      </c>
    </row>
    <row r="497" s="89" customFormat="1" hidden="1" customHeight="1" spans="1:42">
      <c r="A497" s="150">
        <v>46095</v>
      </c>
      <c r="B497" s="150" t="str">
        <f ca="1" t="shared" si="101"/>
        <v/>
      </c>
      <c r="C497" s="171" t="s">
        <v>237</v>
      </c>
      <c r="D497" s="150" t="s">
        <v>427</v>
      </c>
      <c r="E497" s="171" t="s">
        <v>438</v>
      </c>
      <c r="F497" s="172">
        <v>10122386</v>
      </c>
      <c r="G497" s="172">
        <v>202607170299</v>
      </c>
      <c r="H497" s="173" t="s">
        <v>113</v>
      </c>
      <c r="I497" s="174" t="str">
        <f>IFERROR(VLOOKUP(H497,名称!A:C,2,0),"")</f>
        <v>绿色铲车</v>
      </c>
      <c r="J497" s="175">
        <v>2000</v>
      </c>
      <c r="K497" s="174">
        <f>IFERROR(VLOOKUP(H497,名称!A:D,3,0),"")</f>
        <v>2</v>
      </c>
      <c r="L497" s="143">
        <f t="shared" si="102"/>
        <v>1000</v>
      </c>
      <c r="M497" s="202">
        <v>46211</v>
      </c>
      <c r="N497" s="150">
        <f t="shared" si="103"/>
        <v>46209</v>
      </c>
      <c r="O497" s="196">
        <v>46205</v>
      </c>
      <c r="P497" s="150" t="s">
        <v>435</v>
      </c>
      <c r="Q497" s="173" t="s">
        <v>430</v>
      </c>
      <c r="R497" s="154" t="s">
        <v>782</v>
      </c>
      <c r="S497" s="150"/>
      <c r="T497" s="150" t="s">
        <v>452</v>
      </c>
      <c r="U497" s="150"/>
      <c r="V497" s="150"/>
      <c r="W497" s="173"/>
      <c r="X497" s="143" t="s">
        <v>452</v>
      </c>
      <c r="Y497" s="176">
        <v>5.97</v>
      </c>
      <c r="Z497" s="198">
        <f t="shared" si="104"/>
        <v>11940</v>
      </c>
      <c r="AA497" s="198">
        <f t="shared" si="105"/>
        <v>92535</v>
      </c>
      <c r="AB497" s="177" t="s">
        <v>927</v>
      </c>
      <c r="AC497" s="150"/>
      <c r="AD497" s="150"/>
      <c r="AE497" s="150" t="str">
        <f>IFERROR(VLOOKUP(H497,名称!A:D,4,0),"")</f>
        <v>KIK</v>
      </c>
      <c r="AF497" s="174"/>
      <c r="AG497" s="174"/>
      <c r="AH497" s="178">
        <v>46134</v>
      </c>
      <c r="AI497" s="178" t="s">
        <v>420</v>
      </c>
      <c r="AJ497" s="178"/>
      <c r="AK497" s="178">
        <v>46177</v>
      </c>
      <c r="AL497" s="178">
        <v>46134</v>
      </c>
      <c r="AM497" s="178"/>
      <c r="AN497" s="178"/>
      <c r="AO497" s="143">
        <f t="shared" si="106"/>
        <v>116</v>
      </c>
      <c r="AP497" s="143">
        <f t="shared" si="107"/>
        <v>77</v>
      </c>
    </row>
    <row r="498" s="89" customFormat="1" hidden="1" customHeight="1" spans="1:42">
      <c r="A498" s="150">
        <v>46158</v>
      </c>
      <c r="B498" s="150" t="str">
        <f ca="1" t="shared" si="101"/>
        <v/>
      </c>
      <c r="C498" s="171" t="s">
        <v>237</v>
      </c>
      <c r="D498" s="150" t="s">
        <v>919</v>
      </c>
      <c r="E498" s="171" t="s">
        <v>438</v>
      </c>
      <c r="F498" s="173">
        <v>10127719</v>
      </c>
      <c r="G498" s="172">
        <v>289048015</v>
      </c>
      <c r="H498" s="173" t="s">
        <v>35</v>
      </c>
      <c r="I498" s="174" t="str">
        <f>IFERROR(VLOOKUP(H498,名称!A:C,2,0),"")</f>
        <v>1:16拖车厢</v>
      </c>
      <c r="J498" s="175">
        <v>936</v>
      </c>
      <c r="K498" s="174">
        <f>IFERROR(VLOOKUP(H498,名称!A:D,3,0),"")</f>
        <v>2</v>
      </c>
      <c r="L498" s="143">
        <f t="shared" si="102"/>
        <v>468</v>
      </c>
      <c r="M498" s="150">
        <v>46183</v>
      </c>
      <c r="N498" s="150">
        <f t="shared" si="103"/>
        <v>46181</v>
      </c>
      <c r="O498" s="196">
        <v>46210</v>
      </c>
      <c r="P498" s="150" t="s">
        <v>429</v>
      </c>
      <c r="Q498" s="204" t="s">
        <v>929</v>
      </c>
      <c r="R498" s="148" t="s">
        <v>602</v>
      </c>
      <c r="S498" s="150"/>
      <c r="T498" s="150"/>
      <c r="U498" s="150"/>
      <c r="V498" s="150"/>
      <c r="W498" s="173"/>
      <c r="X498" s="143" t="s">
        <v>920</v>
      </c>
      <c r="Y498" s="176">
        <v>22.9</v>
      </c>
      <c r="Z498" s="198">
        <f t="shared" si="104"/>
        <v>21434.4</v>
      </c>
      <c r="AA498" s="198">
        <f t="shared" si="105"/>
        <v>166116.6</v>
      </c>
      <c r="AB498" s="205" t="s">
        <v>930</v>
      </c>
      <c r="AC498" s="150"/>
      <c r="AD498" s="150"/>
      <c r="AE498" s="150" t="str">
        <f>IFERROR(VLOOKUP(H498,名称!A:D,4,0),"")</f>
        <v>KIK</v>
      </c>
      <c r="AF498" s="174"/>
      <c r="AG498" s="174"/>
      <c r="AH498" s="178">
        <v>46146</v>
      </c>
      <c r="AI498" s="178">
        <v>46171</v>
      </c>
      <c r="AJ498" s="178"/>
      <c r="AK498" s="178">
        <v>46146</v>
      </c>
      <c r="AL498" s="178">
        <v>46140</v>
      </c>
      <c r="AM498" s="178"/>
      <c r="AN498" s="178"/>
      <c r="AO498" s="143"/>
      <c r="AP498" s="143"/>
    </row>
    <row r="499" s="89" customFormat="1" hidden="1" customHeight="1" spans="1:42">
      <c r="A499" s="150">
        <v>46142</v>
      </c>
      <c r="B499" s="150" t="str">
        <f ca="1" t="shared" si="101"/>
        <v/>
      </c>
      <c r="C499" s="171" t="s">
        <v>237</v>
      </c>
      <c r="D499" s="150" t="s">
        <v>919</v>
      </c>
      <c r="E499" s="171" t="s">
        <v>438</v>
      </c>
      <c r="F499" s="172">
        <v>10126612</v>
      </c>
      <c r="G499" s="172">
        <v>288858680</v>
      </c>
      <c r="H499" s="173" t="s">
        <v>31</v>
      </c>
      <c r="I499" s="174" t="str">
        <f>IFERROR(VLOOKUP(H499,名称!A:C,2,0),"")</f>
        <v>1:16收割机</v>
      </c>
      <c r="J499" s="175">
        <v>547</v>
      </c>
      <c r="K499" s="174">
        <f>IFERROR(VLOOKUP(H499,名称!A:D,3,0),"")</f>
        <v>1</v>
      </c>
      <c r="L499" s="143">
        <f t="shared" si="102"/>
        <v>547</v>
      </c>
      <c r="M499" s="150">
        <v>46190</v>
      </c>
      <c r="N499" s="150">
        <f t="shared" si="103"/>
        <v>46188</v>
      </c>
      <c r="O499" s="196">
        <v>46205</v>
      </c>
      <c r="P499" s="150" t="s">
        <v>435</v>
      </c>
      <c r="Q499" s="204" t="s">
        <v>929</v>
      </c>
      <c r="R499" s="148" t="s">
        <v>431</v>
      </c>
      <c r="S499" s="150"/>
      <c r="T499" s="150" t="s">
        <v>452</v>
      </c>
      <c r="U499" s="150"/>
      <c r="V499" s="150"/>
      <c r="W499" s="173"/>
      <c r="X499" s="143" t="s">
        <v>920</v>
      </c>
      <c r="Y499" s="102">
        <v>29.652</v>
      </c>
      <c r="Z499" s="198">
        <f t="shared" si="104"/>
        <v>16219.64</v>
      </c>
      <c r="AA499" s="198">
        <f t="shared" si="105"/>
        <v>125702.21</v>
      </c>
      <c r="AB499" s="205" t="s">
        <v>931</v>
      </c>
      <c r="AC499" s="174"/>
      <c r="AD499" s="178"/>
      <c r="AE499" s="150" t="str">
        <f>IFERROR(VLOOKUP(H499,名称!A:D,4,0),"")</f>
        <v>KIK</v>
      </c>
      <c r="AF499" s="178"/>
      <c r="AG499" s="178"/>
      <c r="AH499" s="178">
        <v>46149</v>
      </c>
      <c r="AI499" s="178"/>
      <c r="AJ499" s="178"/>
      <c r="AK499" s="178">
        <v>46158</v>
      </c>
      <c r="AL499" s="179">
        <v>46140</v>
      </c>
      <c r="AM499" s="178"/>
      <c r="AN499" s="180"/>
      <c r="AO499" s="143">
        <f t="shared" ref="AO499:AO527" si="108">M499-A499</f>
        <v>48</v>
      </c>
      <c r="AP499" s="143">
        <f t="shared" ref="AP499:AP527" si="109">M499-AH499</f>
        <v>41</v>
      </c>
    </row>
    <row r="500" s="89" customFormat="1" hidden="1" customHeight="1" spans="1:42">
      <c r="A500" s="150">
        <v>46142</v>
      </c>
      <c r="B500" s="150" t="str">
        <f ca="1" t="shared" si="101"/>
        <v/>
      </c>
      <c r="C500" s="171" t="s">
        <v>237</v>
      </c>
      <c r="D500" s="150" t="s">
        <v>919</v>
      </c>
      <c r="E500" s="171" t="s">
        <v>438</v>
      </c>
      <c r="F500" s="172">
        <v>10126609</v>
      </c>
      <c r="G500" s="172">
        <v>288858681</v>
      </c>
      <c r="H500" s="173" t="s">
        <v>31</v>
      </c>
      <c r="I500" s="174" t="str">
        <f>IFERROR(VLOOKUP(H500,名称!A:C,2,0),"")</f>
        <v>1:16收割机</v>
      </c>
      <c r="J500" s="175">
        <v>547</v>
      </c>
      <c r="K500" s="174">
        <f>IFERROR(VLOOKUP(H500,名称!A:D,3,0),"")</f>
        <v>1</v>
      </c>
      <c r="L500" s="143">
        <f t="shared" si="102"/>
        <v>547</v>
      </c>
      <c r="M500" s="150">
        <v>46190</v>
      </c>
      <c r="N500" s="150">
        <f t="shared" si="103"/>
        <v>46188</v>
      </c>
      <c r="O500" s="196">
        <v>46205</v>
      </c>
      <c r="P500" s="150" t="s">
        <v>435</v>
      </c>
      <c r="Q500" s="204" t="s">
        <v>929</v>
      </c>
      <c r="R500" s="148" t="s">
        <v>431</v>
      </c>
      <c r="S500" s="150"/>
      <c r="T500" s="150" t="s">
        <v>452</v>
      </c>
      <c r="U500" s="150"/>
      <c r="V500" s="150"/>
      <c r="W500" s="173"/>
      <c r="X500" s="143" t="s">
        <v>920</v>
      </c>
      <c r="Y500" s="176">
        <v>29.652</v>
      </c>
      <c r="Z500" s="198">
        <f t="shared" si="104"/>
        <v>16219.64</v>
      </c>
      <c r="AA500" s="198">
        <f t="shared" si="105"/>
        <v>125702.21</v>
      </c>
      <c r="AB500" s="205" t="s">
        <v>932</v>
      </c>
      <c r="AC500" s="174"/>
      <c r="AD500" s="178"/>
      <c r="AE500" s="150" t="str">
        <f>IFERROR(VLOOKUP(H500,名称!A:D,4,0),"")</f>
        <v>KIK</v>
      </c>
      <c r="AF500" s="178"/>
      <c r="AG500" s="178"/>
      <c r="AH500" s="178">
        <v>46149</v>
      </c>
      <c r="AI500" s="178"/>
      <c r="AJ500" s="178"/>
      <c r="AK500" s="178">
        <v>46158</v>
      </c>
      <c r="AL500" s="179">
        <v>46140</v>
      </c>
      <c r="AM500" s="178"/>
      <c r="AN500" s="180"/>
      <c r="AO500" s="143">
        <f t="shared" si="108"/>
        <v>48</v>
      </c>
      <c r="AP500" s="143">
        <f t="shared" si="109"/>
        <v>41</v>
      </c>
    </row>
    <row r="501" s="89" customFormat="1" hidden="1" customHeight="1" spans="1:42">
      <c r="A501" s="150">
        <v>46095</v>
      </c>
      <c r="B501" s="150" t="str">
        <f ca="1" t="shared" si="101"/>
        <v/>
      </c>
      <c r="C501" s="171" t="s">
        <v>237</v>
      </c>
      <c r="D501" s="150" t="s">
        <v>427</v>
      </c>
      <c r="E501" s="171" t="s">
        <v>438</v>
      </c>
      <c r="F501" s="172">
        <v>10122386</v>
      </c>
      <c r="G501" s="172">
        <v>202607170299</v>
      </c>
      <c r="H501" s="173" t="s">
        <v>87</v>
      </c>
      <c r="I501" s="174" t="str">
        <f>IFERROR(VLOOKUP(H501,名称!A:C,2,0),"")</f>
        <v>1:16收割机</v>
      </c>
      <c r="J501" s="99">
        <f>1762-447</f>
        <v>1315</v>
      </c>
      <c r="K501" s="174">
        <f>IFERROR(VLOOKUP(H501,名称!A:D,3,0),"")</f>
        <v>1</v>
      </c>
      <c r="L501" s="143">
        <f t="shared" si="102"/>
        <v>1315</v>
      </c>
      <c r="M501" s="150">
        <v>46218</v>
      </c>
      <c r="N501" s="150">
        <f t="shared" si="103"/>
        <v>46216</v>
      </c>
      <c r="O501" s="196">
        <v>46205</v>
      </c>
      <c r="P501" s="150" t="s">
        <v>435</v>
      </c>
      <c r="Q501" s="173" t="s">
        <v>430</v>
      </c>
      <c r="R501" s="148" t="s">
        <v>826</v>
      </c>
      <c r="S501" s="150"/>
      <c r="T501" s="150"/>
      <c r="U501" s="150"/>
      <c r="V501" s="150"/>
      <c r="W501" s="173"/>
      <c r="X501" s="143"/>
      <c r="Y501" s="176">
        <v>31.4</v>
      </c>
      <c r="Z501" s="198">
        <f t="shared" si="104"/>
        <v>41291</v>
      </c>
      <c r="AA501" s="198">
        <f t="shared" si="105"/>
        <v>320005.25</v>
      </c>
      <c r="AB501" s="205" t="s">
        <v>933</v>
      </c>
      <c r="AC501" s="174"/>
      <c r="AD501" s="178"/>
      <c r="AE501" s="150" t="s">
        <v>12</v>
      </c>
      <c r="AF501" s="178"/>
      <c r="AG501" s="178"/>
      <c r="AH501" s="178">
        <v>46149</v>
      </c>
      <c r="AI501" s="178">
        <v>46158</v>
      </c>
      <c r="AJ501" s="178"/>
      <c r="AK501" s="178">
        <v>46154</v>
      </c>
      <c r="AL501" s="179">
        <v>46140</v>
      </c>
      <c r="AM501" s="143"/>
      <c r="AN501" s="180"/>
      <c r="AO501" s="143">
        <f t="shared" si="108"/>
        <v>123</v>
      </c>
      <c r="AP501" s="143">
        <f t="shared" si="109"/>
        <v>69</v>
      </c>
    </row>
    <row r="502" s="89" customFormat="1" hidden="1" customHeight="1" spans="1:42">
      <c r="A502" s="150">
        <v>46095</v>
      </c>
      <c r="B502" s="150" t="str">
        <f ca="1" t="shared" si="101"/>
        <v/>
      </c>
      <c r="C502" s="171" t="s">
        <v>237</v>
      </c>
      <c r="D502" s="150" t="s">
        <v>427</v>
      </c>
      <c r="E502" s="171" t="s">
        <v>438</v>
      </c>
      <c r="F502" s="172">
        <v>10122386</v>
      </c>
      <c r="G502" s="172">
        <v>202607170299</v>
      </c>
      <c r="H502" s="173" t="s">
        <v>29</v>
      </c>
      <c r="I502" s="174" t="str">
        <f>IFERROR(VLOOKUP(H502,名称!A:C,2,0),"")</f>
        <v>木材运输车</v>
      </c>
      <c r="J502" s="175">
        <f>1000-120</f>
        <v>880</v>
      </c>
      <c r="K502" s="174">
        <f>IFERROR(VLOOKUP(H502,名称!A:D,3,0),"")</f>
        <v>4</v>
      </c>
      <c r="L502" s="143">
        <f t="shared" si="102"/>
        <v>220</v>
      </c>
      <c r="M502" s="150">
        <v>46218</v>
      </c>
      <c r="N502" s="150">
        <f t="shared" si="103"/>
        <v>46216</v>
      </c>
      <c r="O502" s="196">
        <v>46216</v>
      </c>
      <c r="P502" s="150" t="s">
        <v>435</v>
      </c>
      <c r="Q502" s="173" t="s">
        <v>430</v>
      </c>
      <c r="R502" s="148" t="s">
        <v>425</v>
      </c>
      <c r="S502" s="150" t="s">
        <v>395</v>
      </c>
      <c r="T502" s="150"/>
      <c r="U502" s="150"/>
      <c r="V502" s="150"/>
      <c r="W502" s="173"/>
      <c r="X502" s="143"/>
      <c r="Y502" s="176">
        <v>21.801</v>
      </c>
      <c r="Z502" s="198">
        <f t="shared" si="104"/>
        <v>19184.88</v>
      </c>
      <c r="AA502" s="198">
        <f t="shared" si="105"/>
        <v>148682.82</v>
      </c>
      <c r="AB502" s="205" t="s">
        <v>933</v>
      </c>
      <c r="AC502" s="150"/>
      <c r="AD502" s="150"/>
      <c r="AE502" s="150" t="str">
        <f>IFERROR(VLOOKUP(H502,名称!A:D,4,0),"")</f>
        <v>KIK</v>
      </c>
      <c r="AF502" s="174"/>
      <c r="AG502" s="174"/>
      <c r="AH502" s="178">
        <v>46139</v>
      </c>
      <c r="AI502" s="178" t="s">
        <v>828</v>
      </c>
      <c r="AJ502" s="178"/>
      <c r="AK502" s="178">
        <v>46156</v>
      </c>
      <c r="AL502" s="178">
        <v>46140</v>
      </c>
      <c r="AM502" s="178"/>
      <c r="AN502" s="178"/>
      <c r="AO502" s="143">
        <f t="shared" si="108"/>
        <v>123</v>
      </c>
      <c r="AP502" s="143">
        <f t="shared" si="109"/>
        <v>79</v>
      </c>
    </row>
    <row r="503" s="89" customFormat="1" hidden="1" customHeight="1" spans="1:42">
      <c r="A503" s="150">
        <v>46112</v>
      </c>
      <c r="B503" s="150" t="str">
        <f ca="1" t="shared" si="101"/>
        <v/>
      </c>
      <c r="C503" s="171" t="s">
        <v>237</v>
      </c>
      <c r="D503" s="150" t="s">
        <v>427</v>
      </c>
      <c r="E503" s="171" t="s">
        <v>428</v>
      </c>
      <c r="F503" s="172">
        <v>10123756</v>
      </c>
      <c r="G503" s="172">
        <v>202608570043</v>
      </c>
      <c r="H503" s="173" t="s">
        <v>153</v>
      </c>
      <c r="I503" s="174" t="str">
        <f>IFERROR(VLOOKUP(H503,名称!A:C,2,0),"")</f>
        <v>能量蘑菇</v>
      </c>
      <c r="J503" s="175">
        <v>2004</v>
      </c>
      <c r="K503" s="174">
        <f>IFERROR(VLOOKUP(H503,名称!A:D,3,0),"")</f>
        <v>6</v>
      </c>
      <c r="L503" s="143">
        <f t="shared" si="102"/>
        <v>334</v>
      </c>
      <c r="M503" s="150">
        <v>46218</v>
      </c>
      <c r="N503" s="150">
        <f t="shared" si="103"/>
        <v>46216</v>
      </c>
      <c r="O503" s="196">
        <v>46209</v>
      </c>
      <c r="P503" s="150" t="s">
        <v>435</v>
      </c>
      <c r="Q503" s="173" t="s">
        <v>430</v>
      </c>
      <c r="R503" s="148" t="s">
        <v>771</v>
      </c>
      <c r="S503" s="150"/>
      <c r="T503" s="150"/>
      <c r="U503" s="150"/>
      <c r="V503" s="150"/>
      <c r="W503" s="173"/>
      <c r="X503" s="143"/>
      <c r="Y503" s="176">
        <v>1.324</v>
      </c>
      <c r="Z503" s="198">
        <f t="shared" si="104"/>
        <v>2653.3</v>
      </c>
      <c r="AA503" s="198">
        <f t="shared" si="105"/>
        <v>20563.08</v>
      </c>
      <c r="AB503" s="205" t="s">
        <v>934</v>
      </c>
      <c r="AC503" s="150"/>
      <c r="AD503" s="150"/>
      <c r="AE503" s="150" t="str">
        <f>IFERROR(VLOOKUP(H503,名称!A:D,4,0),"")</f>
        <v>KIK</v>
      </c>
      <c r="AF503" s="174"/>
      <c r="AG503" s="174"/>
      <c r="AH503" s="178">
        <v>46134</v>
      </c>
      <c r="AI503" s="178"/>
      <c r="AJ503" s="178"/>
      <c r="AK503" s="178" t="s">
        <v>420</v>
      </c>
      <c r="AL503" s="178">
        <v>46134</v>
      </c>
      <c r="AM503" s="178"/>
      <c r="AN503" s="178"/>
      <c r="AO503" s="143">
        <f t="shared" si="108"/>
        <v>106</v>
      </c>
      <c r="AP503" s="143">
        <f t="shared" si="109"/>
        <v>84</v>
      </c>
    </row>
    <row r="504" s="89" customFormat="1" hidden="1" customHeight="1" spans="1:42">
      <c r="A504" s="150">
        <v>46112</v>
      </c>
      <c r="B504" s="150" t="str">
        <f ca="1" t="shared" si="101"/>
        <v/>
      </c>
      <c r="C504" s="171" t="s">
        <v>237</v>
      </c>
      <c r="D504" s="150" t="s">
        <v>427</v>
      </c>
      <c r="E504" s="171" t="s">
        <v>428</v>
      </c>
      <c r="F504" s="172">
        <v>10123756</v>
      </c>
      <c r="G504" s="172">
        <v>202608570043</v>
      </c>
      <c r="H504" s="173" t="s">
        <v>182</v>
      </c>
      <c r="I504" s="174" t="str">
        <f>IFERROR(VLOOKUP(H504,名称!A:C,2,0),"")</f>
        <v>马里奥能量蘑菇吸塑混装</v>
      </c>
      <c r="J504" s="175">
        <f>3000-1500</f>
        <v>1500</v>
      </c>
      <c r="K504" s="174">
        <f>IFERROR(VLOOKUP(H504,名称!A:D,3,0),"")</f>
        <v>6</v>
      </c>
      <c r="L504" s="143">
        <f t="shared" si="102"/>
        <v>250</v>
      </c>
      <c r="M504" s="150">
        <v>46218</v>
      </c>
      <c r="N504" s="150">
        <f t="shared" si="103"/>
        <v>46216</v>
      </c>
      <c r="O504" s="196">
        <v>46209</v>
      </c>
      <c r="P504" s="150" t="s">
        <v>435</v>
      </c>
      <c r="Q504" s="173" t="s">
        <v>430</v>
      </c>
      <c r="R504" s="148" t="s">
        <v>476</v>
      </c>
      <c r="S504" s="150"/>
      <c r="T504" s="150"/>
      <c r="U504" s="150"/>
      <c r="V504" s="150"/>
      <c r="W504" s="173"/>
      <c r="X504" s="143" t="s">
        <v>935</v>
      </c>
      <c r="Y504" s="176">
        <v>1.405</v>
      </c>
      <c r="Z504" s="198">
        <f t="shared" si="104"/>
        <v>2107.5</v>
      </c>
      <c r="AA504" s="198">
        <f t="shared" si="105"/>
        <v>16333.13</v>
      </c>
      <c r="AB504" s="205" t="s">
        <v>934</v>
      </c>
      <c r="AC504" s="150"/>
      <c r="AD504" s="150"/>
      <c r="AE504" s="150" t="str">
        <f>IFERROR(VLOOKUP(H504,名称!A:D,4,0),"")</f>
        <v>KIK</v>
      </c>
      <c r="AF504" s="174"/>
      <c r="AG504" s="174"/>
      <c r="AH504" s="178">
        <v>46134</v>
      </c>
      <c r="AI504" s="178"/>
      <c r="AJ504" s="178"/>
      <c r="AK504" s="178" t="s">
        <v>420</v>
      </c>
      <c r="AL504" s="178" t="s">
        <v>420</v>
      </c>
      <c r="AM504" s="178"/>
      <c r="AN504" s="178"/>
      <c r="AO504" s="143">
        <f t="shared" si="108"/>
        <v>106</v>
      </c>
      <c r="AP504" s="143">
        <f t="shared" si="109"/>
        <v>84</v>
      </c>
    </row>
    <row r="505" s="89" customFormat="1" hidden="1" customHeight="1" spans="1:42">
      <c r="A505" s="150">
        <v>46129</v>
      </c>
      <c r="B505" s="150" t="str">
        <f ca="1" t="shared" si="101"/>
        <v/>
      </c>
      <c r="C505" s="171" t="s">
        <v>237</v>
      </c>
      <c r="D505" s="150" t="s">
        <v>427</v>
      </c>
      <c r="E505" s="171" t="s">
        <v>428</v>
      </c>
      <c r="F505" s="172">
        <v>10125318</v>
      </c>
      <c r="G505" s="172" t="s">
        <v>292</v>
      </c>
      <c r="H505" s="173" t="s">
        <v>142</v>
      </c>
      <c r="I505" s="174" t="str">
        <f>IFERROR(VLOOKUP(H505,名称!A:C,2,0),"")</f>
        <v>浮水马里奥</v>
      </c>
      <c r="J505" s="203">
        <v>1002</v>
      </c>
      <c r="K505" s="174">
        <f>IFERROR(VLOOKUP(H505,名称!A:D,3,0),"")</f>
        <v>3</v>
      </c>
      <c r="L505" s="143">
        <f t="shared" si="102"/>
        <v>334</v>
      </c>
      <c r="M505" s="150">
        <v>46218</v>
      </c>
      <c r="N505" s="150">
        <f t="shared" si="103"/>
        <v>46216</v>
      </c>
      <c r="O505" s="150">
        <v>46198</v>
      </c>
      <c r="P505" s="150" t="s">
        <v>429</v>
      </c>
      <c r="Q505" s="173" t="s">
        <v>430</v>
      </c>
      <c r="R505" s="148" t="s">
        <v>771</v>
      </c>
      <c r="S505" s="150"/>
      <c r="T505" s="150"/>
      <c r="U505" s="150"/>
      <c r="V505" s="150"/>
      <c r="W505" s="173"/>
      <c r="X505" s="143"/>
      <c r="Y505" s="176">
        <v>3.182</v>
      </c>
      <c r="Z505" s="198">
        <f t="shared" si="104"/>
        <v>3188.36</v>
      </c>
      <c r="AA505" s="198">
        <f t="shared" si="105"/>
        <v>24709.79</v>
      </c>
      <c r="AB505" s="205" t="s">
        <v>936</v>
      </c>
      <c r="AC505" s="150"/>
      <c r="AD505" s="150"/>
      <c r="AE505" s="150" t="str">
        <f>IFERROR(VLOOKUP(H505,名称!A:D,4,0),"")</f>
        <v>KIK</v>
      </c>
      <c r="AF505" s="174"/>
      <c r="AG505" s="174"/>
      <c r="AH505" s="178">
        <v>46156</v>
      </c>
      <c r="AI505" s="178">
        <v>46177</v>
      </c>
      <c r="AJ505" s="178"/>
      <c r="AK505" s="178" t="s">
        <v>420</v>
      </c>
      <c r="AL505" s="178">
        <v>46134</v>
      </c>
      <c r="AM505" s="178"/>
      <c r="AN505" s="178">
        <v>46156</v>
      </c>
      <c r="AO505" s="143">
        <f t="shared" si="108"/>
        <v>89</v>
      </c>
      <c r="AP505" s="143">
        <f t="shared" si="109"/>
        <v>62</v>
      </c>
    </row>
    <row r="506" s="89" customFormat="1" hidden="1" customHeight="1" spans="1:42">
      <c r="A506" s="150">
        <v>46130</v>
      </c>
      <c r="B506" s="150" t="str">
        <f ca="1" t="shared" si="101"/>
        <v/>
      </c>
      <c r="C506" s="171" t="s">
        <v>237</v>
      </c>
      <c r="D506" s="150" t="s">
        <v>427</v>
      </c>
      <c r="E506" s="171" t="s">
        <v>428</v>
      </c>
      <c r="F506" s="172">
        <v>10125739</v>
      </c>
      <c r="G506" s="172" t="s">
        <v>297</v>
      </c>
      <c r="H506" s="173" t="s">
        <v>50</v>
      </c>
      <c r="I506" s="174" t="str">
        <f>IFERROR(VLOOKUP(H506,名称!A:C,2,0),"")</f>
        <v>布鲁伊家族沐浴玩具</v>
      </c>
      <c r="J506" s="203">
        <v>5000</v>
      </c>
      <c r="K506" s="174">
        <f>IFERROR(VLOOKUP(H506,名称!A:D,3,0),"")</f>
        <v>2</v>
      </c>
      <c r="L506" s="143">
        <f t="shared" si="102"/>
        <v>2500</v>
      </c>
      <c r="M506" s="150">
        <v>46218</v>
      </c>
      <c r="N506" s="150">
        <f t="shared" si="103"/>
        <v>46216</v>
      </c>
      <c r="O506" s="147">
        <v>46216</v>
      </c>
      <c r="P506" s="150" t="s">
        <v>429</v>
      </c>
      <c r="Q506" s="173" t="s">
        <v>430</v>
      </c>
      <c r="R506" s="148" t="s">
        <v>444</v>
      </c>
      <c r="S506" s="150"/>
      <c r="T506" s="150"/>
      <c r="U506" s="150"/>
      <c r="V506" s="150"/>
      <c r="W506" s="173"/>
      <c r="X506" s="143"/>
      <c r="Y506" s="176">
        <v>2.218</v>
      </c>
      <c r="Z506" s="198">
        <f t="shared" si="104"/>
        <v>11090</v>
      </c>
      <c r="AA506" s="198">
        <f t="shared" si="105"/>
        <v>85947.5</v>
      </c>
      <c r="AB506" s="205" t="s">
        <v>936</v>
      </c>
      <c r="AC506" s="150"/>
      <c r="AD506" s="150"/>
      <c r="AE506" s="150" t="str">
        <f>IFERROR(VLOOKUP(H506,名称!A:D,4,0),"")</f>
        <v>KIK</v>
      </c>
      <c r="AF506" s="174"/>
      <c r="AG506" s="174"/>
      <c r="AH506" s="178">
        <v>46156</v>
      </c>
      <c r="AI506" s="178" t="s">
        <v>420</v>
      </c>
      <c r="AJ506" s="178"/>
      <c r="AK506" s="178" t="s">
        <v>420</v>
      </c>
      <c r="AL506" s="206" t="s">
        <v>420</v>
      </c>
      <c r="AM506" s="178"/>
      <c r="AN506" s="178">
        <v>46156</v>
      </c>
      <c r="AO506" s="143">
        <f t="shared" si="108"/>
        <v>88</v>
      </c>
      <c r="AP506" s="143">
        <f t="shared" si="109"/>
        <v>62</v>
      </c>
    </row>
    <row r="507" s="89" customFormat="1" hidden="1" customHeight="1" spans="1:42">
      <c r="A507" s="150">
        <v>46151</v>
      </c>
      <c r="B507" s="150" t="str">
        <f ca="1" t="shared" si="101"/>
        <v/>
      </c>
      <c r="C507" s="171" t="s">
        <v>237</v>
      </c>
      <c r="D507" s="150" t="s">
        <v>427</v>
      </c>
      <c r="E507" s="173" t="s">
        <v>428</v>
      </c>
      <c r="F507" s="173">
        <v>10127013</v>
      </c>
      <c r="G507" s="172" t="s">
        <v>300</v>
      </c>
      <c r="H507" s="173" t="s">
        <v>52</v>
      </c>
      <c r="I507" s="174" t="str">
        <f>IFERROR(VLOOKUP(H507,名称!A:C,2,0),"")</f>
        <v>布鲁伊家族沐浴玩具</v>
      </c>
      <c r="J507" s="207">
        <v>5004</v>
      </c>
      <c r="K507" s="174">
        <f>IFERROR(VLOOKUP(H507,名称!A:D,3,0),"")</f>
        <v>6</v>
      </c>
      <c r="L507" s="143">
        <f t="shared" si="102"/>
        <v>834</v>
      </c>
      <c r="M507" s="150">
        <v>46218</v>
      </c>
      <c r="N507" s="150">
        <f t="shared" si="103"/>
        <v>46216</v>
      </c>
      <c r="O507" s="196">
        <v>46216</v>
      </c>
      <c r="P507" s="150" t="s">
        <v>429</v>
      </c>
      <c r="Q507" s="173" t="s">
        <v>430</v>
      </c>
      <c r="R507" s="148" t="s">
        <v>448</v>
      </c>
      <c r="S507" s="150"/>
      <c r="T507" s="150"/>
      <c r="U507" s="150"/>
      <c r="V507" s="208"/>
      <c r="W507" s="173"/>
      <c r="X507" s="143"/>
      <c r="Y507" s="176">
        <v>2.001</v>
      </c>
      <c r="Z507" s="198">
        <f t="shared" si="104"/>
        <v>10013</v>
      </c>
      <c r="AA507" s="198">
        <f t="shared" si="105"/>
        <v>77600.75</v>
      </c>
      <c r="AB507" s="205" t="s">
        <v>936</v>
      </c>
      <c r="AC507" s="150"/>
      <c r="AD507" s="150"/>
      <c r="AE507" s="150" t="str">
        <f>IFERROR(VLOOKUP(H507,名称!A:D,4,0),"")</f>
        <v>KIK</v>
      </c>
      <c r="AF507" s="173"/>
      <c r="AG507" s="173"/>
      <c r="AH507" s="178">
        <v>46171</v>
      </c>
      <c r="AI507" s="178" t="s">
        <v>420</v>
      </c>
      <c r="AJ507" s="209"/>
      <c r="AK507" s="178" t="s">
        <v>420</v>
      </c>
      <c r="AL507" s="206" t="s">
        <v>420</v>
      </c>
      <c r="AM507" s="210"/>
      <c r="AN507" s="211">
        <v>46170</v>
      </c>
      <c r="AO507" s="143">
        <f t="shared" si="108"/>
        <v>67</v>
      </c>
      <c r="AP507" s="143">
        <f t="shared" si="109"/>
        <v>47</v>
      </c>
    </row>
    <row r="508" s="89" customFormat="1" hidden="1" customHeight="1" spans="1:42">
      <c r="A508" s="150">
        <v>46129</v>
      </c>
      <c r="B508" s="150" t="str">
        <f ca="1" t="shared" si="101"/>
        <v/>
      </c>
      <c r="C508" s="171" t="s">
        <v>248</v>
      </c>
      <c r="D508" s="150" t="s">
        <v>437</v>
      </c>
      <c r="E508" s="171" t="s">
        <v>438</v>
      </c>
      <c r="F508" s="172">
        <v>10125309</v>
      </c>
      <c r="G508" s="172">
        <v>56810</v>
      </c>
      <c r="H508" s="173" t="s">
        <v>115</v>
      </c>
      <c r="I508" s="174" t="str">
        <f>IFERROR(VLOOKUP(H508,名称!A:C,2,0),"")</f>
        <v>布鲁伊混装</v>
      </c>
      <c r="J508" s="203">
        <v>7500</v>
      </c>
      <c r="K508" s="174">
        <f>IFERROR(VLOOKUP(H508,名称!A:D,3,0),"")</f>
        <v>4</v>
      </c>
      <c r="L508" s="143">
        <f t="shared" si="102"/>
        <v>1875</v>
      </c>
      <c r="M508" s="150">
        <v>46197</v>
      </c>
      <c r="N508" s="150">
        <f t="shared" si="103"/>
        <v>46195</v>
      </c>
      <c r="O508" s="196">
        <v>46210</v>
      </c>
      <c r="P508" s="150" t="s">
        <v>435</v>
      </c>
      <c r="Q508" s="204" t="s">
        <v>937</v>
      </c>
      <c r="R508" s="148" t="s">
        <v>891</v>
      </c>
      <c r="S508" s="150"/>
      <c r="T508" s="150"/>
      <c r="U508" s="150"/>
      <c r="V508" s="150"/>
      <c r="W508" s="173"/>
      <c r="X508" s="143" t="s">
        <v>441</v>
      </c>
      <c r="Y508" s="176">
        <v>2.115</v>
      </c>
      <c r="Z508" s="198">
        <f t="shared" si="104"/>
        <v>15862.5</v>
      </c>
      <c r="AA508" s="198">
        <f t="shared" si="105"/>
        <v>122934.38</v>
      </c>
      <c r="AB508" s="205" t="s">
        <v>938</v>
      </c>
      <c r="AC508" s="150"/>
      <c r="AD508" s="150"/>
      <c r="AE508" s="150" t="str">
        <f>IFERROR(VLOOKUP(H508,名称!A:D,4,0),"")</f>
        <v>KIK</v>
      </c>
      <c r="AF508" s="174"/>
      <c r="AG508" s="174"/>
      <c r="AH508" s="178">
        <v>46149</v>
      </c>
      <c r="AI508" s="178"/>
      <c r="AJ508" s="178"/>
      <c r="AK508" s="178"/>
      <c r="AL508" s="178">
        <v>46149</v>
      </c>
      <c r="AM508" s="178"/>
      <c r="AN508" s="178"/>
      <c r="AO508" s="143">
        <f t="shared" si="108"/>
        <v>68</v>
      </c>
      <c r="AP508" s="143">
        <f t="shared" si="109"/>
        <v>48</v>
      </c>
    </row>
    <row r="509" s="89" customFormat="1" hidden="1" customHeight="1" spans="1:42">
      <c r="A509" s="150">
        <v>46109</v>
      </c>
      <c r="B509" s="150" t="str">
        <f ca="1" t="shared" si="101"/>
        <v/>
      </c>
      <c r="C509" s="171" t="s">
        <v>235</v>
      </c>
      <c r="D509" s="150" t="s">
        <v>421</v>
      </c>
      <c r="E509" s="171" t="s">
        <v>422</v>
      </c>
      <c r="F509" s="172">
        <v>10115934</v>
      </c>
      <c r="G509" s="172">
        <v>4500031985</v>
      </c>
      <c r="H509" s="173" t="s">
        <v>97</v>
      </c>
      <c r="I509" s="174" t="str">
        <f>IFERROR(VLOOKUP(H509,名称!A:C,2,0),"")</f>
        <v>管道马里奥</v>
      </c>
      <c r="J509" s="175">
        <v>144</v>
      </c>
      <c r="K509" s="174">
        <f>IFERROR(VLOOKUP(H509,名称!A:D,3,0),"")</f>
        <v>4</v>
      </c>
      <c r="L509" s="143">
        <f t="shared" si="102"/>
        <v>36</v>
      </c>
      <c r="M509" s="202">
        <v>46218</v>
      </c>
      <c r="N509" s="202">
        <f t="shared" si="103"/>
        <v>46216</v>
      </c>
      <c r="O509" s="150">
        <v>46092</v>
      </c>
      <c r="P509" s="150" t="s">
        <v>435</v>
      </c>
      <c r="Q509" s="173" t="s">
        <v>424</v>
      </c>
      <c r="R509" s="148" t="s">
        <v>431</v>
      </c>
      <c r="S509" s="150"/>
      <c r="T509" s="150"/>
      <c r="U509" s="150"/>
      <c r="V509" s="150"/>
      <c r="W509" s="173"/>
      <c r="X509" s="143"/>
      <c r="Y509" s="176">
        <v>3.362</v>
      </c>
      <c r="Z509" s="198">
        <f t="shared" si="104"/>
        <v>484.13</v>
      </c>
      <c r="AA509" s="198">
        <f t="shared" si="105"/>
        <v>3752.01</v>
      </c>
      <c r="AB509" s="177" t="s">
        <v>939</v>
      </c>
      <c r="AC509" s="150"/>
      <c r="AD509" s="150"/>
      <c r="AE509" s="150" t="str">
        <f>IFERROR(VLOOKUP(H509,名称!A:D,4,0),"")</f>
        <v>KIK</v>
      </c>
      <c r="AF509" s="174"/>
      <c r="AG509" s="174"/>
      <c r="AH509" s="178">
        <v>46021</v>
      </c>
      <c r="AI509" s="178" t="s">
        <v>420</v>
      </c>
      <c r="AJ509" s="178"/>
      <c r="AK509" s="178" t="s">
        <v>420</v>
      </c>
      <c r="AL509" s="178" t="s">
        <v>420</v>
      </c>
      <c r="AM509" s="178"/>
      <c r="AN509" s="178"/>
      <c r="AO509" s="143">
        <f t="shared" si="108"/>
        <v>109</v>
      </c>
      <c r="AP509" s="143">
        <f t="shared" si="109"/>
        <v>197</v>
      </c>
    </row>
    <row r="510" s="119" customFormat="1" hidden="1" customHeight="1" spans="1:42">
      <c r="A510" s="150">
        <v>46107</v>
      </c>
      <c r="B510" s="150" t="str">
        <f ca="1" t="shared" si="101"/>
        <v/>
      </c>
      <c r="C510" s="171" t="s">
        <v>235</v>
      </c>
      <c r="D510" s="150" t="s">
        <v>421</v>
      </c>
      <c r="E510" s="171" t="s">
        <v>438</v>
      </c>
      <c r="F510" s="172">
        <v>10123389</v>
      </c>
      <c r="G510" s="172">
        <v>4500032518</v>
      </c>
      <c r="H510" s="173" t="s">
        <v>113</v>
      </c>
      <c r="I510" s="174" t="str">
        <f>IFERROR(VLOOKUP(H510,名称!A:C,2,0),"")</f>
        <v>绿色铲车</v>
      </c>
      <c r="J510" s="175">
        <v>920</v>
      </c>
      <c r="K510" s="174">
        <f>IFERROR(VLOOKUP(H510,名称!A:D,3,0),"")</f>
        <v>2</v>
      </c>
      <c r="L510" s="143">
        <f t="shared" si="102"/>
        <v>460</v>
      </c>
      <c r="M510" s="150">
        <v>46218</v>
      </c>
      <c r="N510" s="150">
        <f t="shared" si="103"/>
        <v>46216</v>
      </c>
      <c r="O510" s="147">
        <v>46224</v>
      </c>
      <c r="P510" s="150" t="s">
        <v>429</v>
      </c>
      <c r="Q510" s="173" t="s">
        <v>424</v>
      </c>
      <c r="R510" s="148" t="s">
        <v>826</v>
      </c>
      <c r="S510" s="150"/>
      <c r="T510" s="150" t="s">
        <v>452</v>
      </c>
      <c r="U510" s="150"/>
      <c r="V510" s="150"/>
      <c r="W510" s="173"/>
      <c r="X510" s="143"/>
      <c r="Y510" s="176">
        <v>5.97</v>
      </c>
      <c r="Z510" s="198">
        <f t="shared" si="104"/>
        <v>5492.4</v>
      </c>
      <c r="AA510" s="198">
        <f t="shared" si="105"/>
        <v>42566.1</v>
      </c>
      <c r="AB510" s="177" t="s">
        <v>939</v>
      </c>
      <c r="AC510" s="150"/>
      <c r="AD510" s="150"/>
      <c r="AE510" s="150" t="str">
        <f>IFERROR(VLOOKUP(H510,名称!A:D,4,0),"")</f>
        <v>KIK</v>
      </c>
      <c r="AF510" s="174"/>
      <c r="AG510" s="174"/>
      <c r="AH510" s="178">
        <v>46155</v>
      </c>
      <c r="AI510" s="178" t="s">
        <v>420</v>
      </c>
      <c r="AJ510" s="178"/>
      <c r="AK510" s="178">
        <v>46197</v>
      </c>
      <c r="AL510" s="178">
        <v>46134</v>
      </c>
      <c r="AM510" s="178"/>
      <c r="AN510" s="178"/>
      <c r="AO510" s="143">
        <f t="shared" si="108"/>
        <v>111</v>
      </c>
      <c r="AP510" s="143">
        <f t="shared" si="109"/>
        <v>63</v>
      </c>
    </row>
    <row r="511" s="89" customFormat="1" hidden="1" customHeight="1" spans="1:42">
      <c r="A511" s="150">
        <v>46112</v>
      </c>
      <c r="B511" s="150" t="str">
        <f ca="1" t="shared" si="101"/>
        <v/>
      </c>
      <c r="C511" s="212" t="s">
        <v>235</v>
      </c>
      <c r="D511" s="150" t="s">
        <v>421</v>
      </c>
      <c r="E511" s="171" t="s">
        <v>422</v>
      </c>
      <c r="F511" s="172">
        <v>10123689</v>
      </c>
      <c r="G511" s="172">
        <v>4500032549</v>
      </c>
      <c r="H511" s="173" t="s">
        <v>91</v>
      </c>
      <c r="I511" s="174" t="str">
        <f>IFERROR(VLOOKUP(H511,名称!A:C,2,0),"")</f>
        <v>马里奥和他的蘑菇</v>
      </c>
      <c r="J511" s="175">
        <v>1500</v>
      </c>
      <c r="K511" s="174">
        <f>IFERROR(VLOOKUP(H511,名称!A:D,3,0),"")</f>
        <v>6</v>
      </c>
      <c r="L511" s="143">
        <f t="shared" si="102"/>
        <v>250</v>
      </c>
      <c r="M511" s="133">
        <v>46218</v>
      </c>
      <c r="N511" s="202">
        <f t="shared" si="103"/>
        <v>46216</v>
      </c>
      <c r="O511" s="196">
        <v>46209</v>
      </c>
      <c r="P511" s="150" t="s">
        <v>435</v>
      </c>
      <c r="Q511" s="173" t="s">
        <v>424</v>
      </c>
      <c r="R511" s="148" t="s">
        <v>940</v>
      </c>
      <c r="S511" s="150"/>
      <c r="T511" s="150"/>
      <c r="U511" s="150"/>
      <c r="V511" s="150"/>
      <c r="W511" s="173"/>
      <c r="X511" s="143"/>
      <c r="Y511" s="176">
        <v>1.451</v>
      </c>
      <c r="Z511" s="198">
        <f t="shared" si="104"/>
        <v>2176.5</v>
      </c>
      <c r="AA511" s="198">
        <f t="shared" si="105"/>
        <v>16867.88</v>
      </c>
      <c r="AB511" s="177" t="s">
        <v>939</v>
      </c>
      <c r="AC511" s="150"/>
      <c r="AD511" s="150"/>
      <c r="AE511" s="150" t="str">
        <f>IFERROR(VLOOKUP(H511,名称!A:D,4,0),"")</f>
        <v>KIK</v>
      </c>
      <c r="AF511" s="174"/>
      <c r="AG511" s="174"/>
      <c r="AH511" s="178">
        <v>46134</v>
      </c>
      <c r="AI511" s="178"/>
      <c r="AJ511" s="178"/>
      <c r="AK511" s="178" t="s">
        <v>420</v>
      </c>
      <c r="AL511" s="178" t="s">
        <v>420</v>
      </c>
      <c r="AM511" s="178"/>
      <c r="AN511" s="178"/>
      <c r="AO511" s="143">
        <f t="shared" si="108"/>
        <v>106</v>
      </c>
      <c r="AP511" s="143">
        <f t="shared" si="109"/>
        <v>84</v>
      </c>
    </row>
    <row r="512" s="119" customFormat="1" hidden="1" customHeight="1" spans="1:42">
      <c r="A512" s="150">
        <v>46112</v>
      </c>
      <c r="B512" s="150" t="str">
        <f ca="1" t="shared" si="101"/>
        <v/>
      </c>
      <c r="C512" s="212" t="s">
        <v>235</v>
      </c>
      <c r="D512" s="150" t="s">
        <v>421</v>
      </c>
      <c r="E512" s="171" t="s">
        <v>422</v>
      </c>
      <c r="F512" s="172">
        <v>10123689</v>
      </c>
      <c r="G512" s="172">
        <v>4500032549</v>
      </c>
      <c r="H512" s="173" t="s">
        <v>97</v>
      </c>
      <c r="I512" s="174" t="str">
        <f>IFERROR(VLOOKUP(H512,名称!A:C,2,0),"")</f>
        <v>管道马里奥</v>
      </c>
      <c r="J512" s="175">
        <v>4200</v>
      </c>
      <c r="K512" s="174">
        <f>IFERROR(VLOOKUP(H512,名称!A:D,3,0),"")</f>
        <v>4</v>
      </c>
      <c r="L512" s="143">
        <f t="shared" si="102"/>
        <v>1050</v>
      </c>
      <c r="M512" s="133">
        <v>46218</v>
      </c>
      <c r="N512" s="202">
        <f t="shared" si="103"/>
        <v>46216</v>
      </c>
      <c r="O512" s="196">
        <v>46212</v>
      </c>
      <c r="P512" s="150" t="s">
        <v>435</v>
      </c>
      <c r="Q512" s="173" t="s">
        <v>424</v>
      </c>
      <c r="R512" s="148" t="s">
        <v>431</v>
      </c>
      <c r="S512" s="150"/>
      <c r="T512" s="150"/>
      <c r="U512" s="150"/>
      <c r="V512" s="150"/>
      <c r="W512" s="173"/>
      <c r="X512" s="143"/>
      <c r="Y512" s="176">
        <v>3.362</v>
      </c>
      <c r="Z512" s="198">
        <f t="shared" si="104"/>
        <v>14120.4</v>
      </c>
      <c r="AA512" s="198">
        <f t="shared" si="105"/>
        <v>109433.1</v>
      </c>
      <c r="AB512" s="177" t="s">
        <v>939</v>
      </c>
      <c r="AC512" s="150"/>
      <c r="AD512" s="150"/>
      <c r="AE512" s="150" t="str">
        <f>IFERROR(VLOOKUP(H512,名称!A:D,4,0),"")</f>
        <v>KIK</v>
      </c>
      <c r="AF512" s="174"/>
      <c r="AG512" s="174"/>
      <c r="AH512" s="178">
        <v>46146</v>
      </c>
      <c r="AI512" s="178" t="s">
        <v>420</v>
      </c>
      <c r="AJ512" s="178"/>
      <c r="AK512" s="178" t="s">
        <v>420</v>
      </c>
      <c r="AL512" s="178" t="s">
        <v>420</v>
      </c>
      <c r="AM512" s="178"/>
      <c r="AN512" s="178"/>
      <c r="AO512" s="143">
        <f t="shared" si="108"/>
        <v>106</v>
      </c>
      <c r="AP512" s="143">
        <f t="shared" si="109"/>
        <v>72</v>
      </c>
    </row>
    <row r="513" s="89" customFormat="1" hidden="1" customHeight="1" spans="1:42">
      <c r="A513" s="150">
        <v>46115</v>
      </c>
      <c r="B513" s="150" t="str">
        <f ca="1" t="shared" si="101"/>
        <v/>
      </c>
      <c r="C513" s="212" t="s">
        <v>235</v>
      </c>
      <c r="D513" s="150" t="s">
        <v>421</v>
      </c>
      <c r="E513" s="171" t="s">
        <v>438</v>
      </c>
      <c r="F513" s="172">
        <v>10124190</v>
      </c>
      <c r="G513" s="172">
        <v>4500032599</v>
      </c>
      <c r="H513" s="173" t="s">
        <v>113</v>
      </c>
      <c r="I513" s="174" t="str">
        <f>IFERROR(VLOOKUP(H513,名称!A:C,2,0),"")</f>
        <v>绿色铲车</v>
      </c>
      <c r="J513" s="175">
        <v>3000</v>
      </c>
      <c r="K513" s="174">
        <f>IFERROR(VLOOKUP(H513,名称!A:D,3,0),"")</f>
        <v>2</v>
      </c>
      <c r="L513" s="143">
        <f t="shared" si="102"/>
        <v>1500</v>
      </c>
      <c r="M513" s="202">
        <v>46218</v>
      </c>
      <c r="N513" s="202">
        <f t="shared" si="103"/>
        <v>46216</v>
      </c>
      <c r="O513" s="147">
        <v>46219</v>
      </c>
      <c r="P513" s="150" t="s">
        <v>429</v>
      </c>
      <c r="Q513" s="173" t="s">
        <v>424</v>
      </c>
      <c r="R513" s="148" t="s">
        <v>826</v>
      </c>
      <c r="S513" s="150"/>
      <c r="T513" s="150" t="s">
        <v>452</v>
      </c>
      <c r="U513" s="150"/>
      <c r="V513" s="150"/>
      <c r="W513" s="173"/>
      <c r="X513" s="143"/>
      <c r="Y513" s="176">
        <v>5.97</v>
      </c>
      <c r="Z513" s="198">
        <f t="shared" si="104"/>
        <v>17910</v>
      </c>
      <c r="AA513" s="198">
        <f t="shared" si="105"/>
        <v>138802.5</v>
      </c>
      <c r="AB513" s="177" t="s">
        <v>939</v>
      </c>
      <c r="AC513" s="150"/>
      <c r="AD513" s="150"/>
      <c r="AE513" s="150" t="str">
        <f>IFERROR(VLOOKUP(H513,名称!A:D,4,0),"")</f>
        <v>KIK</v>
      </c>
      <c r="AF513" s="174"/>
      <c r="AG513" s="174"/>
      <c r="AH513" s="178">
        <v>46155</v>
      </c>
      <c r="AI513" s="178" t="s">
        <v>420</v>
      </c>
      <c r="AJ513" s="178"/>
      <c r="AK513" s="178">
        <v>46197</v>
      </c>
      <c r="AL513" s="178">
        <v>46134</v>
      </c>
      <c r="AM513" s="178"/>
      <c r="AN513" s="178"/>
      <c r="AO513" s="143">
        <f t="shared" si="108"/>
        <v>103</v>
      </c>
      <c r="AP513" s="143">
        <f t="shared" si="109"/>
        <v>63</v>
      </c>
    </row>
    <row r="514" s="89" customFormat="1" hidden="1" customHeight="1" spans="1:42">
      <c r="A514" s="150">
        <v>46044</v>
      </c>
      <c r="B514" s="150" t="str">
        <f ca="1" t="shared" si="101"/>
        <v/>
      </c>
      <c r="C514" s="171" t="s">
        <v>235</v>
      </c>
      <c r="D514" s="150" t="s">
        <v>421</v>
      </c>
      <c r="E514" s="171" t="s">
        <v>422</v>
      </c>
      <c r="F514" s="172">
        <v>10119539</v>
      </c>
      <c r="G514" s="172">
        <v>4500032198</v>
      </c>
      <c r="H514" s="173" t="s">
        <v>144</v>
      </c>
      <c r="I514" s="174" t="str">
        <f>IFERROR(VLOOKUP(H514,名称!A:C,2,0),"")</f>
        <v>盲盒公仔(塑胶毛绒)</v>
      </c>
      <c r="J514" s="175">
        <v>3504</v>
      </c>
      <c r="K514" s="174">
        <f>IFERROR(VLOOKUP(H514,名称!A:D,3,0),"")</f>
        <v>6</v>
      </c>
      <c r="L514" s="143">
        <f t="shared" si="102"/>
        <v>584</v>
      </c>
      <c r="M514" s="202">
        <v>46218</v>
      </c>
      <c r="N514" s="202">
        <f t="shared" si="103"/>
        <v>46216</v>
      </c>
      <c r="O514" s="147">
        <v>46216</v>
      </c>
      <c r="P514" s="150" t="s">
        <v>423</v>
      </c>
      <c r="Q514" s="173" t="s">
        <v>424</v>
      </c>
      <c r="R514" s="148" t="s">
        <v>431</v>
      </c>
      <c r="S514" s="150"/>
      <c r="T514" s="150"/>
      <c r="U514" s="150"/>
      <c r="V514" s="150"/>
      <c r="W514" s="173"/>
      <c r="X514" s="143"/>
      <c r="Y514" s="176">
        <v>3.959</v>
      </c>
      <c r="Z514" s="198">
        <f t="shared" si="104"/>
        <v>13872.34</v>
      </c>
      <c r="AA514" s="198">
        <f t="shared" si="105"/>
        <v>107510.64</v>
      </c>
      <c r="AB514" s="177" t="s">
        <v>939</v>
      </c>
      <c r="AC514" s="150"/>
      <c r="AD514" s="150"/>
      <c r="AE514" s="150" t="str">
        <f>IFERROR(VLOOKUP(H514,名称!A:D,4,0),"")</f>
        <v>河源</v>
      </c>
      <c r="AF514" s="174"/>
      <c r="AG514" s="174"/>
      <c r="AH514" s="178">
        <v>46135</v>
      </c>
      <c r="AI514" s="178">
        <v>46129</v>
      </c>
      <c r="AJ514" s="178"/>
      <c r="AK514" s="178" t="s">
        <v>420</v>
      </c>
      <c r="AL514" s="178">
        <v>46134</v>
      </c>
      <c r="AM514" s="178"/>
      <c r="AN514" s="178" t="s">
        <v>426</v>
      </c>
      <c r="AO514" s="143">
        <f t="shared" si="108"/>
        <v>174</v>
      </c>
      <c r="AP514" s="143">
        <f t="shared" si="109"/>
        <v>83</v>
      </c>
    </row>
    <row r="515" s="89" customFormat="1" hidden="1" customHeight="1" spans="1:42">
      <c r="A515" s="150">
        <v>46120</v>
      </c>
      <c r="B515" s="150" t="str">
        <f ca="1" t="shared" si="101"/>
        <v/>
      </c>
      <c r="C515" s="212" t="s">
        <v>235</v>
      </c>
      <c r="D515" s="150" t="s">
        <v>421</v>
      </c>
      <c r="E515" s="171" t="s">
        <v>428</v>
      </c>
      <c r="F515" s="173">
        <v>10124233</v>
      </c>
      <c r="G515" s="172">
        <v>4500032599</v>
      </c>
      <c r="H515" s="173" t="s">
        <v>142</v>
      </c>
      <c r="I515" s="174" t="str">
        <f>IFERROR(VLOOKUP(H515,名称!A:C,2,0),"")</f>
        <v>浮水马里奥</v>
      </c>
      <c r="J515" s="175">
        <v>5001</v>
      </c>
      <c r="K515" s="174">
        <f>IFERROR(VLOOKUP(H515,名称!A:D,3,0),"")</f>
        <v>3</v>
      </c>
      <c r="L515" s="143">
        <f t="shared" si="102"/>
        <v>1667</v>
      </c>
      <c r="M515" s="202">
        <v>46218</v>
      </c>
      <c r="N515" s="202">
        <f t="shared" si="103"/>
        <v>46216</v>
      </c>
      <c r="O515" s="196">
        <v>46216</v>
      </c>
      <c r="P515" s="150" t="s">
        <v>429</v>
      </c>
      <c r="Q515" s="173" t="s">
        <v>424</v>
      </c>
      <c r="R515" s="148" t="s">
        <v>771</v>
      </c>
      <c r="S515" s="150"/>
      <c r="T515" s="150"/>
      <c r="U515" s="150"/>
      <c r="V515" s="150"/>
      <c r="W515" s="173"/>
      <c r="X515" s="143"/>
      <c r="Y515" s="176">
        <v>3.182</v>
      </c>
      <c r="Z515" s="198">
        <f t="shared" si="104"/>
        <v>15913.18</v>
      </c>
      <c r="AA515" s="198">
        <f t="shared" si="105"/>
        <v>123327.15</v>
      </c>
      <c r="AB515" s="177" t="s">
        <v>939</v>
      </c>
      <c r="AC515" s="150"/>
      <c r="AD515" s="150"/>
      <c r="AE515" s="150" t="str">
        <f>IFERROR(VLOOKUP(H515,名称!A:D,4,0),"")</f>
        <v>KIK</v>
      </c>
      <c r="AF515" s="174"/>
      <c r="AG515" s="174"/>
      <c r="AH515" s="178">
        <v>46139</v>
      </c>
      <c r="AI515" s="178">
        <v>46177</v>
      </c>
      <c r="AJ515" s="178"/>
      <c r="AK515" s="178" t="s">
        <v>420</v>
      </c>
      <c r="AL515" s="178">
        <v>46134</v>
      </c>
      <c r="AM515" s="178"/>
      <c r="AN515" s="178">
        <v>46141</v>
      </c>
      <c r="AO515" s="143">
        <f t="shared" si="108"/>
        <v>98</v>
      </c>
      <c r="AP515" s="143">
        <f t="shared" si="109"/>
        <v>79</v>
      </c>
    </row>
    <row r="516" s="89" customFormat="1" hidden="1" customHeight="1" spans="1:42">
      <c r="A516" s="150">
        <v>46107</v>
      </c>
      <c r="B516" s="150" t="str">
        <f ca="1" t="shared" si="101"/>
        <v/>
      </c>
      <c r="C516" s="171" t="s">
        <v>237</v>
      </c>
      <c r="D516" s="150" t="s">
        <v>838</v>
      </c>
      <c r="E516" s="171" t="s">
        <v>438</v>
      </c>
      <c r="F516" s="172">
        <v>10123384</v>
      </c>
      <c r="G516" s="172" t="s">
        <v>263</v>
      </c>
      <c r="H516" s="173" t="s">
        <v>31</v>
      </c>
      <c r="I516" s="174" t="str">
        <f>IFERROR(VLOOKUP(H516,名称!A:C,2,0),"")</f>
        <v>1:16收割机</v>
      </c>
      <c r="J516" s="175">
        <v>547</v>
      </c>
      <c r="K516" s="174">
        <f>IFERROR(VLOOKUP(H516,名称!A:D,3,0),"")</f>
        <v>1</v>
      </c>
      <c r="L516" s="143">
        <f t="shared" si="102"/>
        <v>547</v>
      </c>
      <c r="M516" s="150">
        <v>46197</v>
      </c>
      <c r="N516" s="150">
        <f t="shared" si="103"/>
        <v>46195</v>
      </c>
      <c r="O516" s="150">
        <v>46192</v>
      </c>
      <c r="P516" s="150" t="s">
        <v>435</v>
      </c>
      <c r="Q516" s="173" t="s">
        <v>777</v>
      </c>
      <c r="R516" s="148" t="s">
        <v>431</v>
      </c>
      <c r="S516" s="150"/>
      <c r="T516" s="150" t="s">
        <v>452</v>
      </c>
      <c r="U516" s="150"/>
      <c r="V516" s="150"/>
      <c r="W516" s="173"/>
      <c r="X516" s="143" t="s">
        <v>839</v>
      </c>
      <c r="Y516" s="176">
        <v>29.652</v>
      </c>
      <c r="Z516" s="198">
        <f t="shared" si="104"/>
        <v>16219.64</v>
      </c>
      <c r="AA516" s="198">
        <f t="shared" si="105"/>
        <v>125702.21</v>
      </c>
      <c r="AB516" s="177" t="s">
        <v>941</v>
      </c>
      <c r="AC516" s="174"/>
      <c r="AD516" s="178"/>
      <c r="AE516" s="150" t="s">
        <v>12</v>
      </c>
      <c r="AF516" s="178"/>
      <c r="AG516" s="178"/>
      <c r="AH516" s="178">
        <v>46149</v>
      </c>
      <c r="AI516" s="178"/>
      <c r="AJ516" s="178"/>
      <c r="AK516" s="178">
        <v>46158</v>
      </c>
      <c r="AL516" s="179">
        <v>46140</v>
      </c>
      <c r="AM516" s="143"/>
      <c r="AN516" s="180"/>
      <c r="AO516" s="143">
        <f t="shared" si="108"/>
        <v>90</v>
      </c>
      <c r="AP516" s="143">
        <f t="shared" si="109"/>
        <v>48</v>
      </c>
    </row>
    <row r="517" s="119" customFormat="1" hidden="1" customHeight="1" spans="1:42">
      <c r="A517" s="150">
        <v>46107</v>
      </c>
      <c r="B517" s="150" t="str">
        <f ca="1" t="shared" si="101"/>
        <v/>
      </c>
      <c r="C517" s="171" t="s">
        <v>237</v>
      </c>
      <c r="D517" s="150" t="s">
        <v>838</v>
      </c>
      <c r="E517" s="171" t="s">
        <v>438</v>
      </c>
      <c r="F517" s="172">
        <v>10123383</v>
      </c>
      <c r="G517" s="172" t="s">
        <v>264</v>
      </c>
      <c r="H517" s="173" t="s">
        <v>31</v>
      </c>
      <c r="I517" s="174" t="str">
        <f>IFERROR(VLOOKUP(H517,名称!A:C,2,0),"")</f>
        <v>1:16收割机</v>
      </c>
      <c r="J517" s="175">
        <v>547</v>
      </c>
      <c r="K517" s="174">
        <f>IFERROR(VLOOKUP(H517,名称!A:D,3,0),"")</f>
        <v>1</v>
      </c>
      <c r="L517" s="143">
        <f t="shared" si="102"/>
        <v>547</v>
      </c>
      <c r="M517" s="150">
        <v>46197</v>
      </c>
      <c r="N517" s="150">
        <f t="shared" si="103"/>
        <v>46195</v>
      </c>
      <c r="O517" s="196">
        <v>46213</v>
      </c>
      <c r="P517" s="150" t="s">
        <v>435</v>
      </c>
      <c r="Q517" s="173" t="s">
        <v>777</v>
      </c>
      <c r="R517" s="148" t="s">
        <v>431</v>
      </c>
      <c r="S517" s="150"/>
      <c r="T517" s="150" t="s">
        <v>452</v>
      </c>
      <c r="U517" s="150"/>
      <c r="V517" s="150"/>
      <c r="W517" s="173"/>
      <c r="X517" s="143" t="s">
        <v>839</v>
      </c>
      <c r="Y517" s="176">
        <v>29.652</v>
      </c>
      <c r="Z517" s="198">
        <f t="shared" si="104"/>
        <v>16219.64</v>
      </c>
      <c r="AA517" s="198">
        <f t="shared" si="105"/>
        <v>125702.21</v>
      </c>
      <c r="AB517" s="177" t="s">
        <v>942</v>
      </c>
      <c r="AC517" s="174"/>
      <c r="AD517" s="178"/>
      <c r="AE517" s="150" t="s">
        <v>12</v>
      </c>
      <c r="AF517" s="178"/>
      <c r="AG517" s="178"/>
      <c r="AH517" s="178">
        <v>46149</v>
      </c>
      <c r="AI517" s="178"/>
      <c r="AJ517" s="178"/>
      <c r="AK517" s="178">
        <v>46158</v>
      </c>
      <c r="AL517" s="179">
        <v>46140</v>
      </c>
      <c r="AM517" s="143"/>
      <c r="AN517" s="180"/>
      <c r="AO517" s="143">
        <f t="shared" si="108"/>
        <v>90</v>
      </c>
      <c r="AP517" s="143">
        <f t="shared" si="109"/>
        <v>48</v>
      </c>
    </row>
    <row r="518" s="89" customFormat="1" hidden="1" customHeight="1" spans="1:42">
      <c r="A518" s="150">
        <v>46135</v>
      </c>
      <c r="B518" s="150" t="str">
        <f ca="1" t="shared" si="101"/>
        <v/>
      </c>
      <c r="C518" s="171" t="s">
        <v>235</v>
      </c>
      <c r="D518" s="150" t="s">
        <v>421</v>
      </c>
      <c r="E518" s="171" t="s">
        <v>428</v>
      </c>
      <c r="F518" s="172">
        <v>10125936</v>
      </c>
      <c r="G518" s="172">
        <v>4500032690</v>
      </c>
      <c r="H518" s="173" t="s">
        <v>62</v>
      </c>
      <c r="I518" s="174" t="str">
        <f>IFERROR(VLOOKUP(H518,名称!A:C,2,0),"")</f>
        <v>泡泡壶</v>
      </c>
      <c r="J518" s="132">
        <v>680</v>
      </c>
      <c r="K518" s="174">
        <f>IFERROR(VLOOKUP(H518,名称!A:D,3,0),"")</f>
        <v>4</v>
      </c>
      <c r="L518" s="143">
        <f t="shared" si="102"/>
        <v>170</v>
      </c>
      <c r="M518" s="202">
        <v>46218</v>
      </c>
      <c r="N518" s="202">
        <f t="shared" si="103"/>
        <v>46216</v>
      </c>
      <c r="O518" s="147">
        <v>46218</v>
      </c>
      <c r="P518" s="150" t="s">
        <v>429</v>
      </c>
      <c r="Q518" s="173" t="s">
        <v>424</v>
      </c>
      <c r="R518" s="148" t="s">
        <v>476</v>
      </c>
      <c r="S518" s="150"/>
      <c r="T518" s="150"/>
      <c r="U518" s="150"/>
      <c r="V518" s="150"/>
      <c r="W518" s="173"/>
      <c r="X518" s="143" t="s">
        <v>769</v>
      </c>
      <c r="Y518" s="176">
        <v>3.243</v>
      </c>
      <c r="Z518" s="198">
        <f t="shared" si="104"/>
        <v>2205.24</v>
      </c>
      <c r="AA518" s="198">
        <f t="shared" si="105"/>
        <v>17090.61</v>
      </c>
      <c r="AB518" s="177" t="s">
        <v>943</v>
      </c>
      <c r="AC518" s="150"/>
      <c r="AD518" s="150"/>
      <c r="AE518" s="150" t="str">
        <f>IFERROR(VLOOKUP(H518,名称!A:D,4,0),"")</f>
        <v>KIK</v>
      </c>
      <c r="AF518" s="174"/>
      <c r="AG518" s="174"/>
      <c r="AH518" s="178">
        <v>46171</v>
      </c>
      <c r="AI518" s="178" t="s">
        <v>420</v>
      </c>
      <c r="AJ518" s="178"/>
      <c r="AK518" s="178" t="s">
        <v>420</v>
      </c>
      <c r="AL518" s="178">
        <v>46139</v>
      </c>
      <c r="AM518" s="178"/>
      <c r="AN518" s="178">
        <v>46163</v>
      </c>
      <c r="AO518" s="143">
        <f t="shared" si="108"/>
        <v>83</v>
      </c>
      <c r="AP518" s="143">
        <f t="shared" si="109"/>
        <v>47</v>
      </c>
    </row>
    <row r="519" s="89" customFormat="1" hidden="1" customHeight="1" spans="1:42">
      <c r="A519" s="150">
        <v>46107</v>
      </c>
      <c r="B519" s="150" t="str">
        <f ca="1" t="shared" si="101"/>
        <v/>
      </c>
      <c r="C519" s="171" t="s">
        <v>235</v>
      </c>
      <c r="D519" s="150" t="s">
        <v>421</v>
      </c>
      <c r="E519" s="171" t="s">
        <v>438</v>
      </c>
      <c r="F519" s="172">
        <v>10123389</v>
      </c>
      <c r="G519" s="172">
        <v>4500032518</v>
      </c>
      <c r="H519" s="173" t="s">
        <v>113</v>
      </c>
      <c r="I519" s="174" t="str">
        <f>IFERROR(VLOOKUP(H519,名称!A:C,2,0),"")</f>
        <v>绿色铲车</v>
      </c>
      <c r="J519" s="175">
        <v>3000</v>
      </c>
      <c r="K519" s="174">
        <f>IFERROR(VLOOKUP(H519,名称!A:D,3,0),"")</f>
        <v>2</v>
      </c>
      <c r="L519" s="143">
        <f t="shared" si="102"/>
        <v>1500</v>
      </c>
      <c r="M519" s="150">
        <v>46218</v>
      </c>
      <c r="N519" s="150">
        <f t="shared" si="103"/>
        <v>46216</v>
      </c>
      <c r="O519" s="147">
        <v>46224</v>
      </c>
      <c r="P519" s="150" t="s">
        <v>435</v>
      </c>
      <c r="Q519" s="173" t="s">
        <v>424</v>
      </c>
      <c r="R519" s="148" t="s">
        <v>418</v>
      </c>
      <c r="S519" s="150"/>
      <c r="T519" s="150" t="s">
        <v>452</v>
      </c>
      <c r="U519" s="150"/>
      <c r="V519" s="150"/>
      <c r="W519" s="173"/>
      <c r="X519" s="143"/>
      <c r="Y519" s="176">
        <v>5.97</v>
      </c>
      <c r="Z519" s="198">
        <f t="shared" si="104"/>
        <v>17910</v>
      </c>
      <c r="AA519" s="198">
        <f t="shared" si="105"/>
        <v>138802.5</v>
      </c>
      <c r="AB519" s="177" t="s">
        <v>943</v>
      </c>
      <c r="AC519" s="150"/>
      <c r="AD519" s="150"/>
      <c r="AE519" s="150" t="str">
        <f>IFERROR(VLOOKUP(H519,名称!A:D,4,0),"")</f>
        <v>KIK</v>
      </c>
      <c r="AF519" s="174"/>
      <c r="AG519" s="174"/>
      <c r="AH519" s="178">
        <v>46155</v>
      </c>
      <c r="AI519" s="178" t="s">
        <v>420</v>
      </c>
      <c r="AJ519" s="178"/>
      <c r="AK519" s="178">
        <v>46197</v>
      </c>
      <c r="AL519" s="178">
        <v>46134</v>
      </c>
      <c r="AM519" s="178"/>
      <c r="AN519" s="178"/>
      <c r="AO519" s="143">
        <f t="shared" si="108"/>
        <v>111</v>
      </c>
      <c r="AP519" s="143">
        <f t="shared" si="109"/>
        <v>63</v>
      </c>
    </row>
    <row r="520" s="119" customFormat="1" hidden="1" customHeight="1" spans="1:42">
      <c r="A520" s="150">
        <v>46107</v>
      </c>
      <c r="B520" s="150" t="str">
        <f ca="1" t="shared" si="101"/>
        <v/>
      </c>
      <c r="C520" s="171" t="s">
        <v>235</v>
      </c>
      <c r="D520" s="150" t="s">
        <v>421</v>
      </c>
      <c r="E520" s="171" t="s">
        <v>438</v>
      </c>
      <c r="F520" s="172">
        <v>10123389</v>
      </c>
      <c r="G520" s="172">
        <v>4500032518</v>
      </c>
      <c r="H520" s="173" t="s">
        <v>113</v>
      </c>
      <c r="I520" s="174" t="str">
        <f>IFERROR(VLOOKUP(H520,名称!A:C,2,0),"")</f>
        <v>绿色铲车</v>
      </c>
      <c r="J520" s="175">
        <f>2000-920</f>
        <v>1080</v>
      </c>
      <c r="K520" s="174">
        <f>IFERROR(VLOOKUP(H520,名称!A:D,3,0),"")</f>
        <v>2</v>
      </c>
      <c r="L520" s="143">
        <f t="shared" si="102"/>
        <v>540</v>
      </c>
      <c r="M520" s="150">
        <v>46218</v>
      </c>
      <c r="N520" s="150">
        <f t="shared" si="103"/>
        <v>46216</v>
      </c>
      <c r="O520" s="147">
        <v>46224</v>
      </c>
      <c r="P520" s="150" t="s">
        <v>429</v>
      </c>
      <c r="Q520" s="173" t="s">
        <v>424</v>
      </c>
      <c r="R520" s="148" t="s">
        <v>826</v>
      </c>
      <c r="S520" s="150"/>
      <c r="T520" s="150" t="s">
        <v>452</v>
      </c>
      <c r="U520" s="150"/>
      <c r="V520" s="150"/>
      <c r="W520" s="173"/>
      <c r="X520" s="143"/>
      <c r="Y520" s="176">
        <v>5.97</v>
      </c>
      <c r="Z520" s="198">
        <f t="shared" si="104"/>
        <v>6447.6</v>
      </c>
      <c r="AA520" s="198">
        <f t="shared" si="105"/>
        <v>49968.9</v>
      </c>
      <c r="AB520" s="177" t="s">
        <v>943</v>
      </c>
      <c r="AC520" s="150"/>
      <c r="AD520" s="150"/>
      <c r="AE520" s="150" t="str">
        <f>IFERROR(VLOOKUP(H520,名称!A:D,4,0),"")</f>
        <v>KIK</v>
      </c>
      <c r="AF520" s="174"/>
      <c r="AG520" s="174"/>
      <c r="AH520" s="178">
        <v>46155</v>
      </c>
      <c r="AI520" s="178" t="s">
        <v>420</v>
      </c>
      <c r="AJ520" s="178"/>
      <c r="AK520" s="178">
        <v>46197</v>
      </c>
      <c r="AL520" s="178">
        <v>46134</v>
      </c>
      <c r="AM520" s="178"/>
      <c r="AN520" s="178"/>
      <c r="AO520" s="143">
        <f t="shared" si="108"/>
        <v>111</v>
      </c>
      <c r="AP520" s="143">
        <f t="shared" si="109"/>
        <v>63</v>
      </c>
    </row>
    <row r="521" s="89" customFormat="1" hidden="1" customHeight="1" spans="1:42">
      <c r="A521" s="150">
        <v>46107</v>
      </c>
      <c r="B521" s="150" t="str">
        <f ca="1" t="shared" si="101"/>
        <v/>
      </c>
      <c r="C521" s="171" t="s">
        <v>237</v>
      </c>
      <c r="D521" s="150" t="s">
        <v>838</v>
      </c>
      <c r="E521" s="171" t="s">
        <v>438</v>
      </c>
      <c r="F521" s="172">
        <v>10123388</v>
      </c>
      <c r="G521" s="172" t="s">
        <v>267</v>
      </c>
      <c r="H521" s="173" t="s">
        <v>31</v>
      </c>
      <c r="I521" s="174" t="str">
        <f>IFERROR(VLOOKUP(H521,名称!A:C,2,0),"")</f>
        <v>1:16收割机</v>
      </c>
      <c r="J521" s="175">
        <v>547</v>
      </c>
      <c r="K521" s="174">
        <f>IFERROR(VLOOKUP(H521,名称!A:D,3,0),"")</f>
        <v>1</v>
      </c>
      <c r="L521" s="143">
        <f t="shared" si="102"/>
        <v>547</v>
      </c>
      <c r="M521" s="150">
        <v>46197</v>
      </c>
      <c r="N521" s="150">
        <f t="shared" si="103"/>
        <v>46195</v>
      </c>
      <c r="O521" s="196">
        <v>46209</v>
      </c>
      <c r="P521" s="150" t="s">
        <v>435</v>
      </c>
      <c r="Q521" s="173" t="s">
        <v>777</v>
      </c>
      <c r="R521" s="148" t="s">
        <v>431</v>
      </c>
      <c r="S521" s="150"/>
      <c r="T521" s="150" t="s">
        <v>452</v>
      </c>
      <c r="U521" s="150"/>
      <c r="V521" s="150"/>
      <c r="W521" s="173"/>
      <c r="X521" s="143" t="s">
        <v>839</v>
      </c>
      <c r="Y521" s="176">
        <v>29.652</v>
      </c>
      <c r="Z521" s="198">
        <f t="shared" si="104"/>
        <v>16219.64</v>
      </c>
      <c r="AA521" s="198">
        <f t="shared" si="105"/>
        <v>125702.21</v>
      </c>
      <c r="AB521" s="177" t="s">
        <v>944</v>
      </c>
      <c r="AC521" s="174"/>
      <c r="AD521" s="178"/>
      <c r="AE521" s="150" t="s">
        <v>12</v>
      </c>
      <c r="AF521" s="178"/>
      <c r="AG521" s="178"/>
      <c r="AH521" s="178">
        <v>46149</v>
      </c>
      <c r="AI521" s="178"/>
      <c r="AJ521" s="178"/>
      <c r="AK521" s="178">
        <v>46158</v>
      </c>
      <c r="AL521" s="179">
        <v>46140</v>
      </c>
      <c r="AM521" s="143"/>
      <c r="AN521" s="180"/>
      <c r="AO521" s="143">
        <f t="shared" si="108"/>
        <v>90</v>
      </c>
      <c r="AP521" s="143">
        <f t="shared" si="109"/>
        <v>48</v>
      </c>
    </row>
    <row r="522" s="89" customFormat="1" hidden="1" customHeight="1" spans="1:42">
      <c r="A522" s="150">
        <v>46095</v>
      </c>
      <c r="B522" s="150" t="str">
        <f ca="1" t="shared" si="101"/>
        <v/>
      </c>
      <c r="C522" s="171" t="s">
        <v>237</v>
      </c>
      <c r="D522" s="150" t="s">
        <v>427</v>
      </c>
      <c r="E522" s="171" t="s">
        <v>438</v>
      </c>
      <c r="F522" s="172">
        <v>10122386</v>
      </c>
      <c r="G522" s="172">
        <v>202607170299</v>
      </c>
      <c r="H522" s="173" t="s">
        <v>87</v>
      </c>
      <c r="I522" s="174" t="str">
        <f>IFERROR(VLOOKUP(H522,名称!A:C,2,0),"")</f>
        <v>1:16收割机</v>
      </c>
      <c r="J522" s="99">
        <v>447</v>
      </c>
      <c r="K522" s="174">
        <f>IFERROR(VLOOKUP(H522,名称!A:D,3,0),"")</f>
        <v>1</v>
      </c>
      <c r="L522" s="143">
        <f t="shared" si="102"/>
        <v>447</v>
      </c>
      <c r="M522" s="150">
        <v>46225</v>
      </c>
      <c r="N522" s="150">
        <f t="shared" si="103"/>
        <v>46223</v>
      </c>
      <c r="O522" s="196">
        <v>46205</v>
      </c>
      <c r="P522" s="150" t="s">
        <v>435</v>
      </c>
      <c r="Q522" s="173" t="s">
        <v>430</v>
      </c>
      <c r="R522" s="148" t="s">
        <v>826</v>
      </c>
      <c r="S522" s="150"/>
      <c r="T522" s="150"/>
      <c r="U522" s="150"/>
      <c r="V522" s="150"/>
      <c r="W522" s="173"/>
      <c r="X522" s="143"/>
      <c r="Y522" s="176">
        <v>31.4</v>
      </c>
      <c r="Z522" s="198">
        <f t="shared" si="104"/>
        <v>14035.8</v>
      </c>
      <c r="AA522" s="198">
        <f t="shared" si="105"/>
        <v>108777.45</v>
      </c>
      <c r="AB522" s="177" t="s">
        <v>945</v>
      </c>
      <c r="AC522" s="174"/>
      <c r="AD522" s="178"/>
      <c r="AE522" s="150" t="s">
        <v>12</v>
      </c>
      <c r="AF522" s="178"/>
      <c r="AG522" s="178"/>
      <c r="AH522" s="178">
        <v>46149</v>
      </c>
      <c r="AI522" s="178">
        <v>46158</v>
      </c>
      <c r="AJ522" s="178"/>
      <c r="AK522" s="178">
        <v>46154</v>
      </c>
      <c r="AL522" s="179">
        <v>46140</v>
      </c>
      <c r="AM522" s="143"/>
      <c r="AN522" s="180"/>
      <c r="AO522" s="143">
        <f t="shared" si="108"/>
        <v>130</v>
      </c>
      <c r="AP522" s="143">
        <f t="shared" si="109"/>
        <v>76</v>
      </c>
    </row>
    <row r="523" s="89" customFormat="1" hidden="1" customHeight="1" spans="1:42">
      <c r="A523" s="150">
        <v>46129</v>
      </c>
      <c r="B523" s="150" t="str">
        <f ca="1" t="shared" si="101"/>
        <v/>
      </c>
      <c r="C523" s="171" t="s">
        <v>237</v>
      </c>
      <c r="D523" s="150" t="s">
        <v>427</v>
      </c>
      <c r="E523" s="171" t="s">
        <v>428</v>
      </c>
      <c r="F523" s="173">
        <v>10125329</v>
      </c>
      <c r="G523" s="172" t="s">
        <v>293</v>
      </c>
      <c r="H523" s="173" t="s">
        <v>115</v>
      </c>
      <c r="I523" s="174" t="str">
        <f>IFERROR(VLOOKUP(H523,名称!A:C,2,0),"")</f>
        <v>布鲁伊混装</v>
      </c>
      <c r="J523" s="203">
        <v>1600</v>
      </c>
      <c r="K523" s="174">
        <f>IFERROR(VLOOKUP(H523,名称!A:D,3,0),"")</f>
        <v>4</v>
      </c>
      <c r="L523" s="143">
        <f t="shared" si="102"/>
        <v>400</v>
      </c>
      <c r="M523" s="202">
        <v>46225</v>
      </c>
      <c r="N523" s="202">
        <f t="shared" si="103"/>
        <v>46223</v>
      </c>
      <c r="O523" s="147">
        <v>46218</v>
      </c>
      <c r="P523" s="150" t="s">
        <v>429</v>
      </c>
      <c r="Q523" s="173" t="s">
        <v>430</v>
      </c>
      <c r="R523" s="148" t="s">
        <v>425</v>
      </c>
      <c r="S523" s="150"/>
      <c r="T523" s="150"/>
      <c r="U523" s="150"/>
      <c r="V523" s="150"/>
      <c r="W523" s="173"/>
      <c r="X523" s="143"/>
      <c r="Y523" s="176">
        <v>2.115</v>
      </c>
      <c r="Z523" s="198">
        <f t="shared" si="104"/>
        <v>3384</v>
      </c>
      <c r="AA523" s="198">
        <f t="shared" si="105"/>
        <v>26226</v>
      </c>
      <c r="AB523" s="177" t="s">
        <v>945</v>
      </c>
      <c r="AC523" s="150"/>
      <c r="AD523" s="150"/>
      <c r="AE523" s="150" t="str">
        <f>IFERROR(VLOOKUP(H523,名称!A:D,4,0),"")</f>
        <v>KIK</v>
      </c>
      <c r="AF523" s="174"/>
      <c r="AG523" s="174"/>
      <c r="AH523" s="178">
        <v>46149</v>
      </c>
      <c r="AI523" s="178"/>
      <c r="AJ523" s="178"/>
      <c r="AK523" s="178"/>
      <c r="AL523" s="178">
        <v>46149</v>
      </c>
      <c r="AM523" s="178"/>
      <c r="AN523" s="178"/>
      <c r="AO523" s="143">
        <f t="shared" si="108"/>
        <v>96</v>
      </c>
      <c r="AP523" s="143">
        <f t="shared" si="109"/>
        <v>76</v>
      </c>
    </row>
    <row r="524" s="89" customFormat="1" hidden="1" customHeight="1" spans="1:42">
      <c r="A524" s="150">
        <v>46156</v>
      </c>
      <c r="B524" s="150" t="str">
        <f ca="1" t="shared" si="101"/>
        <v/>
      </c>
      <c r="C524" s="171" t="s">
        <v>237</v>
      </c>
      <c r="D524" s="150" t="s">
        <v>919</v>
      </c>
      <c r="E524" s="171" t="s">
        <v>438</v>
      </c>
      <c r="F524" s="172">
        <v>10127470</v>
      </c>
      <c r="G524" s="172">
        <v>288858878</v>
      </c>
      <c r="H524" s="173" t="s">
        <v>29</v>
      </c>
      <c r="I524" s="174" t="str">
        <f>IFERROR(VLOOKUP(H524,名称!A:C,2,0),"")</f>
        <v>木材运输车</v>
      </c>
      <c r="J524" s="203">
        <v>1060</v>
      </c>
      <c r="K524" s="174">
        <f>IFERROR(VLOOKUP(H524,名称!A:D,3,0),"")</f>
        <v>4</v>
      </c>
      <c r="L524" s="143">
        <f t="shared" si="102"/>
        <v>265</v>
      </c>
      <c r="M524" s="150">
        <v>46204</v>
      </c>
      <c r="N524" s="150">
        <f t="shared" si="103"/>
        <v>46202</v>
      </c>
      <c r="O524" s="196">
        <v>46216</v>
      </c>
      <c r="P524" s="150" t="s">
        <v>429</v>
      </c>
      <c r="Q524" s="204" t="s">
        <v>929</v>
      </c>
      <c r="R524" s="148" t="s">
        <v>418</v>
      </c>
      <c r="S524" s="150"/>
      <c r="T524" s="150"/>
      <c r="U524" s="150"/>
      <c r="V524" s="150"/>
      <c r="W524" s="173"/>
      <c r="X524" s="143" t="s">
        <v>920</v>
      </c>
      <c r="Y524" s="176">
        <v>21.801</v>
      </c>
      <c r="Z524" s="198">
        <f t="shared" si="104"/>
        <v>23109.06</v>
      </c>
      <c r="AA524" s="198">
        <f t="shared" si="105"/>
        <v>179095.22</v>
      </c>
      <c r="AB524" s="177" t="s">
        <v>946</v>
      </c>
      <c r="AC524" s="150"/>
      <c r="AD524" s="150"/>
      <c r="AE524" s="150" t="str">
        <f>IFERROR(VLOOKUP(H524,名称!A:D,4,0),"")</f>
        <v>KIK</v>
      </c>
      <c r="AF524" s="174"/>
      <c r="AG524" s="174"/>
      <c r="AH524" s="178">
        <v>46139</v>
      </c>
      <c r="AI524" s="178" t="s">
        <v>828</v>
      </c>
      <c r="AJ524" s="178"/>
      <c r="AK524" s="178">
        <v>46156</v>
      </c>
      <c r="AL524" s="178">
        <v>46140</v>
      </c>
      <c r="AM524" s="178"/>
      <c r="AN524" s="178"/>
      <c r="AO524" s="143">
        <f t="shared" si="108"/>
        <v>48</v>
      </c>
      <c r="AP524" s="143">
        <f t="shared" si="109"/>
        <v>65</v>
      </c>
    </row>
    <row r="525" s="89" customFormat="1" hidden="1" customHeight="1" spans="1:42">
      <c r="A525" s="150">
        <v>46142</v>
      </c>
      <c r="B525" s="150" t="str">
        <f ca="1" t="shared" si="101"/>
        <v/>
      </c>
      <c r="C525" s="171" t="s">
        <v>237</v>
      </c>
      <c r="D525" s="150" t="s">
        <v>919</v>
      </c>
      <c r="E525" s="171" t="s">
        <v>438</v>
      </c>
      <c r="F525" s="172">
        <v>10126622</v>
      </c>
      <c r="G525" s="172">
        <v>288859075</v>
      </c>
      <c r="H525" s="173" t="s">
        <v>158</v>
      </c>
      <c r="I525" s="174" t="str">
        <f>IFERROR(VLOOKUP(H525,名称!A:C,2,0),"")</f>
        <v>JD LNS圆轮拖拉机</v>
      </c>
      <c r="J525" s="203">
        <v>6660</v>
      </c>
      <c r="K525" s="174">
        <f>IFERROR(VLOOKUP(H525,名称!A:D,3,0),"")</f>
        <v>2</v>
      </c>
      <c r="L525" s="143">
        <f t="shared" si="102"/>
        <v>3330</v>
      </c>
      <c r="M525" s="150">
        <v>46204</v>
      </c>
      <c r="N525" s="150">
        <f t="shared" si="103"/>
        <v>46202</v>
      </c>
      <c r="O525" s="196">
        <v>46204</v>
      </c>
      <c r="P525" s="150" t="s">
        <v>435</v>
      </c>
      <c r="Q525" s="204" t="s">
        <v>929</v>
      </c>
      <c r="R525" s="148" t="s">
        <v>418</v>
      </c>
      <c r="S525" s="150"/>
      <c r="T525" s="150" t="s">
        <v>452</v>
      </c>
      <c r="U525" s="150"/>
      <c r="V525" s="150"/>
      <c r="W525" s="173"/>
      <c r="X525" s="143" t="s">
        <v>920</v>
      </c>
      <c r="Y525" s="176">
        <v>4.792</v>
      </c>
      <c r="Z525" s="198">
        <f t="shared" si="104"/>
        <v>31914.72</v>
      </c>
      <c r="AA525" s="198">
        <f t="shared" si="105"/>
        <v>247339.08</v>
      </c>
      <c r="AB525" s="177" t="s">
        <v>947</v>
      </c>
      <c r="AC525" s="150"/>
      <c r="AD525" s="150"/>
      <c r="AE525" s="150" t="str">
        <f>IFERROR(VLOOKUP(H525,名称!A:D,4,0),"")</f>
        <v>KIK</v>
      </c>
      <c r="AF525" s="174"/>
      <c r="AG525" s="174"/>
      <c r="AH525" s="178">
        <v>46115</v>
      </c>
      <c r="AI525" s="178" t="s">
        <v>420</v>
      </c>
      <c r="AJ525" s="178"/>
      <c r="AK525" s="178" t="s">
        <v>453</v>
      </c>
      <c r="AL525" s="178">
        <v>46128</v>
      </c>
      <c r="AM525" s="178"/>
      <c r="AN525" s="178"/>
      <c r="AO525" s="143">
        <f t="shared" si="108"/>
        <v>62</v>
      </c>
      <c r="AP525" s="143">
        <f t="shared" si="109"/>
        <v>89</v>
      </c>
    </row>
    <row r="526" s="89" customFormat="1" hidden="1" customHeight="1" spans="1:42">
      <c r="A526" s="150">
        <v>46142</v>
      </c>
      <c r="B526" s="150" t="str">
        <f ca="1" t="shared" si="101"/>
        <v/>
      </c>
      <c r="C526" s="171" t="s">
        <v>237</v>
      </c>
      <c r="D526" s="150" t="s">
        <v>919</v>
      </c>
      <c r="E526" s="171" t="s">
        <v>438</v>
      </c>
      <c r="F526" s="172">
        <v>10126623</v>
      </c>
      <c r="G526" s="172">
        <v>288859076</v>
      </c>
      <c r="H526" s="173" t="s">
        <v>158</v>
      </c>
      <c r="I526" s="174" t="str">
        <f>IFERROR(VLOOKUP(H526,名称!A:C,2,0),"")</f>
        <v>JD LNS圆轮拖拉机</v>
      </c>
      <c r="J526" s="203">
        <v>6660</v>
      </c>
      <c r="K526" s="174">
        <f>IFERROR(VLOOKUP(H526,名称!A:D,3,0),"")</f>
        <v>2</v>
      </c>
      <c r="L526" s="143">
        <f t="shared" si="102"/>
        <v>3330</v>
      </c>
      <c r="M526" s="150">
        <v>46204</v>
      </c>
      <c r="N526" s="150">
        <f t="shared" si="103"/>
        <v>46202</v>
      </c>
      <c r="O526" s="196">
        <v>46216</v>
      </c>
      <c r="P526" s="150" t="s">
        <v>435</v>
      </c>
      <c r="Q526" s="204" t="s">
        <v>929</v>
      </c>
      <c r="R526" s="148" t="s">
        <v>418</v>
      </c>
      <c r="S526" s="150"/>
      <c r="T526" s="150" t="s">
        <v>452</v>
      </c>
      <c r="U526" s="150"/>
      <c r="V526" s="150"/>
      <c r="W526" s="173"/>
      <c r="X526" s="143" t="s">
        <v>920</v>
      </c>
      <c r="Y526" s="176">
        <v>4.792</v>
      </c>
      <c r="Z526" s="198">
        <f t="shared" si="104"/>
        <v>31914.72</v>
      </c>
      <c r="AA526" s="198">
        <f t="shared" si="105"/>
        <v>247339.08</v>
      </c>
      <c r="AB526" s="177" t="s">
        <v>948</v>
      </c>
      <c r="AC526" s="150"/>
      <c r="AD526" s="150"/>
      <c r="AE526" s="150" t="str">
        <f>IFERROR(VLOOKUP(H526,名称!A:D,4,0),"")</f>
        <v>KIK</v>
      </c>
      <c r="AF526" s="174"/>
      <c r="AG526" s="174"/>
      <c r="AH526" s="178">
        <v>46156</v>
      </c>
      <c r="AI526" s="178" t="s">
        <v>420</v>
      </c>
      <c r="AJ526" s="178"/>
      <c r="AK526" s="178" t="s">
        <v>453</v>
      </c>
      <c r="AL526" s="178">
        <v>46128</v>
      </c>
      <c r="AM526" s="178"/>
      <c r="AN526" s="178">
        <v>46156</v>
      </c>
      <c r="AO526" s="143">
        <f t="shared" si="108"/>
        <v>62</v>
      </c>
      <c r="AP526" s="143">
        <f t="shared" si="109"/>
        <v>48</v>
      </c>
    </row>
    <row r="527" s="89" customFormat="1" hidden="1" customHeight="1" spans="1:42">
      <c r="A527" s="150">
        <v>46142</v>
      </c>
      <c r="B527" s="150" t="str">
        <f ca="1" t="shared" si="101"/>
        <v/>
      </c>
      <c r="C527" s="171" t="s">
        <v>237</v>
      </c>
      <c r="D527" s="150" t="s">
        <v>919</v>
      </c>
      <c r="E527" s="171" t="s">
        <v>438</v>
      </c>
      <c r="F527" s="172">
        <v>10126620</v>
      </c>
      <c r="G527" s="172">
        <v>288862505</v>
      </c>
      <c r="H527" s="173" t="s">
        <v>158</v>
      </c>
      <c r="I527" s="174" t="str">
        <f>IFERROR(VLOOKUP(H527,名称!A:C,2,0),"")</f>
        <v>JD LNS圆轮拖拉机</v>
      </c>
      <c r="J527" s="203">
        <v>6660</v>
      </c>
      <c r="K527" s="174">
        <f>IFERROR(VLOOKUP(H527,名称!A:D,3,0),"")</f>
        <v>2</v>
      </c>
      <c r="L527" s="143">
        <f t="shared" si="102"/>
        <v>3330</v>
      </c>
      <c r="M527" s="150">
        <v>46204</v>
      </c>
      <c r="N527" s="150">
        <f t="shared" si="103"/>
        <v>46202</v>
      </c>
      <c r="O527" s="196">
        <v>46204</v>
      </c>
      <c r="P527" s="150" t="s">
        <v>435</v>
      </c>
      <c r="Q527" s="204" t="s">
        <v>929</v>
      </c>
      <c r="R527" s="148" t="s">
        <v>418</v>
      </c>
      <c r="S527" s="150"/>
      <c r="T527" s="150" t="s">
        <v>452</v>
      </c>
      <c r="U527" s="150"/>
      <c r="V527" s="150"/>
      <c r="W527" s="173"/>
      <c r="X527" s="143" t="s">
        <v>920</v>
      </c>
      <c r="Y527" s="176">
        <v>4.792</v>
      </c>
      <c r="Z527" s="198">
        <f t="shared" si="104"/>
        <v>31914.72</v>
      </c>
      <c r="AA527" s="198">
        <f t="shared" si="105"/>
        <v>247339.08</v>
      </c>
      <c r="AB527" s="177" t="s">
        <v>949</v>
      </c>
      <c r="AC527" s="150"/>
      <c r="AD527" s="150"/>
      <c r="AE527" s="150" t="str">
        <f>IFERROR(VLOOKUP(H527,名称!A:D,4,0),"")</f>
        <v>KIK</v>
      </c>
      <c r="AF527" s="174"/>
      <c r="AG527" s="174"/>
      <c r="AH527" s="178">
        <v>46115</v>
      </c>
      <c r="AI527" s="178" t="s">
        <v>420</v>
      </c>
      <c r="AJ527" s="178"/>
      <c r="AK527" s="178" t="s">
        <v>453</v>
      </c>
      <c r="AL527" s="178">
        <v>46128</v>
      </c>
      <c r="AM527" s="178"/>
      <c r="AN527" s="178"/>
      <c r="AO527" s="143">
        <f t="shared" si="108"/>
        <v>62</v>
      </c>
      <c r="AP527" s="143">
        <f t="shared" si="109"/>
        <v>89</v>
      </c>
    </row>
    <row r="528" s="89" customFormat="1" hidden="1" customHeight="1" spans="1:42">
      <c r="A528" s="150">
        <v>46156</v>
      </c>
      <c r="B528" s="150" t="s">
        <v>467</v>
      </c>
      <c r="C528" s="171" t="s">
        <v>237</v>
      </c>
      <c r="D528" s="150" t="s">
        <v>950</v>
      </c>
      <c r="E528" s="171" t="s">
        <v>438</v>
      </c>
      <c r="F528" s="173">
        <v>10127472</v>
      </c>
      <c r="G528" s="172">
        <v>288858880</v>
      </c>
      <c r="H528" s="173" t="s">
        <v>29</v>
      </c>
      <c r="I528" s="174" t="s">
        <v>825</v>
      </c>
      <c r="J528" s="175">
        <v>940</v>
      </c>
      <c r="K528" s="174">
        <v>4</v>
      </c>
      <c r="L528" s="143">
        <v>235</v>
      </c>
      <c r="M528" s="150">
        <v>46204</v>
      </c>
      <c r="N528" s="150">
        <v>46202</v>
      </c>
      <c r="O528" s="147" t="s">
        <v>951</v>
      </c>
      <c r="P528" s="150" t="s">
        <v>429</v>
      </c>
      <c r="Q528" s="204" t="s">
        <v>929</v>
      </c>
      <c r="R528" s="148" t="s">
        <v>431</v>
      </c>
      <c r="S528" s="150"/>
      <c r="T528" s="150"/>
      <c r="U528" s="150"/>
      <c r="V528" s="150"/>
      <c r="W528" s="173"/>
      <c r="X528" s="143" t="s">
        <v>920</v>
      </c>
      <c r="Y528" s="213">
        <v>21.801</v>
      </c>
      <c r="Z528" s="198">
        <v>20492.94</v>
      </c>
      <c r="AA528" s="198">
        <v>158820.29</v>
      </c>
      <c r="AB528" s="177" t="s">
        <v>952</v>
      </c>
      <c r="AC528" s="150"/>
      <c r="AD528" s="150"/>
      <c r="AE528" s="150" t="s">
        <v>12</v>
      </c>
      <c r="AF528" s="174"/>
      <c r="AG528" s="174"/>
      <c r="AH528" s="178">
        <v>46139</v>
      </c>
      <c r="AI528" s="178" t="s">
        <v>828</v>
      </c>
      <c r="AJ528" s="178"/>
      <c r="AK528" s="178">
        <v>46156</v>
      </c>
      <c r="AL528" s="178">
        <v>46140</v>
      </c>
      <c r="AM528" s="178"/>
      <c r="AN528" s="178"/>
      <c r="AO528" s="143">
        <v>48</v>
      </c>
      <c r="AP528" s="143">
        <v>65</v>
      </c>
    </row>
    <row r="529" s="89" customFormat="1" hidden="1" customHeight="1" spans="1:42">
      <c r="A529" s="150">
        <v>46156</v>
      </c>
      <c r="B529" s="150" t="s">
        <v>467</v>
      </c>
      <c r="C529" s="171" t="s">
        <v>237</v>
      </c>
      <c r="D529" s="150" t="s">
        <v>950</v>
      </c>
      <c r="E529" s="171" t="s">
        <v>438</v>
      </c>
      <c r="F529" s="172">
        <v>10127472</v>
      </c>
      <c r="G529" s="172">
        <v>288858880</v>
      </c>
      <c r="H529" s="173">
        <v>47669</v>
      </c>
      <c r="I529" s="174" t="s">
        <v>723</v>
      </c>
      <c r="J529" s="203">
        <v>700</v>
      </c>
      <c r="K529" s="174">
        <v>4</v>
      </c>
      <c r="L529" s="143">
        <v>175</v>
      </c>
      <c r="M529" s="150">
        <v>46204</v>
      </c>
      <c r="N529" s="150">
        <v>46202</v>
      </c>
      <c r="O529" s="196">
        <v>46204</v>
      </c>
      <c r="P529" s="150" t="s">
        <v>429</v>
      </c>
      <c r="Q529" s="204" t="s">
        <v>929</v>
      </c>
      <c r="R529" s="148" t="s">
        <v>826</v>
      </c>
      <c r="S529" s="150"/>
      <c r="T529" s="150" t="s">
        <v>452</v>
      </c>
      <c r="U529" s="150"/>
      <c r="V529" s="150"/>
      <c r="W529" s="173"/>
      <c r="X529" s="143" t="s">
        <v>920</v>
      </c>
      <c r="Y529" s="213">
        <v>4.808</v>
      </c>
      <c r="Z529" s="198">
        <v>3365.6</v>
      </c>
      <c r="AA529" s="198">
        <v>26083.4</v>
      </c>
      <c r="AB529" s="177" t="s">
        <v>952</v>
      </c>
      <c r="AC529" s="150"/>
      <c r="AD529" s="150"/>
      <c r="AE529" s="150" t="s">
        <v>12</v>
      </c>
      <c r="AF529" s="174"/>
      <c r="AG529" s="174"/>
      <c r="AH529" s="178">
        <v>46177</v>
      </c>
      <c r="AI529" s="178">
        <v>46149</v>
      </c>
      <c r="AJ529" s="178"/>
      <c r="AK529" s="178" t="s">
        <v>420</v>
      </c>
      <c r="AL529" s="178" t="s">
        <v>420</v>
      </c>
      <c r="AM529" s="178"/>
      <c r="AN529" s="178"/>
      <c r="AO529" s="143">
        <v>48</v>
      </c>
      <c r="AP529" s="143">
        <v>27</v>
      </c>
    </row>
    <row r="530" s="89" customFormat="1" hidden="1" customHeight="1" spans="1:42">
      <c r="A530" s="150">
        <v>46156</v>
      </c>
      <c r="B530" s="150" t="s">
        <v>467</v>
      </c>
      <c r="C530" s="171" t="s">
        <v>237</v>
      </c>
      <c r="D530" s="150" t="s">
        <v>950</v>
      </c>
      <c r="E530" s="171" t="s">
        <v>438</v>
      </c>
      <c r="F530" s="173">
        <v>10127472</v>
      </c>
      <c r="G530" s="172">
        <v>288858880</v>
      </c>
      <c r="H530" s="173" t="s">
        <v>31</v>
      </c>
      <c r="I530" s="174" t="s">
        <v>830</v>
      </c>
      <c r="J530" s="175">
        <v>16</v>
      </c>
      <c r="K530" s="174">
        <v>1</v>
      </c>
      <c r="L530" s="143">
        <v>16</v>
      </c>
      <c r="M530" s="150">
        <v>46204</v>
      </c>
      <c r="N530" s="150">
        <v>46202</v>
      </c>
      <c r="O530" s="196">
        <v>46205</v>
      </c>
      <c r="P530" s="150" t="s">
        <v>429</v>
      </c>
      <c r="Q530" s="204" t="s">
        <v>929</v>
      </c>
      <c r="R530" s="148" t="s">
        <v>418</v>
      </c>
      <c r="S530" s="150"/>
      <c r="T530" s="150" t="s">
        <v>452</v>
      </c>
      <c r="U530" s="150"/>
      <c r="V530" s="150"/>
      <c r="W530" s="173"/>
      <c r="X530" s="143" t="s">
        <v>920</v>
      </c>
      <c r="Y530" s="213">
        <v>29.652</v>
      </c>
      <c r="Z530" s="198">
        <v>474.43</v>
      </c>
      <c r="AA530" s="198">
        <v>3676.83</v>
      </c>
      <c r="AB530" s="177" t="s">
        <v>952</v>
      </c>
      <c r="AC530" s="150"/>
      <c r="AD530" s="150"/>
      <c r="AE530" s="150" t="s">
        <v>12</v>
      </c>
      <c r="AF530" s="174"/>
      <c r="AG530" s="174"/>
      <c r="AH530" s="178">
        <v>46149</v>
      </c>
      <c r="AI530" s="178"/>
      <c r="AJ530" s="178"/>
      <c r="AK530" s="178">
        <v>46158</v>
      </c>
      <c r="AL530" s="179">
        <v>46140</v>
      </c>
      <c r="AM530" s="178"/>
      <c r="AN530" s="178"/>
      <c r="AO530" s="143">
        <v>48</v>
      </c>
      <c r="AP530" s="143">
        <v>55</v>
      </c>
    </row>
    <row r="531" s="119" customFormat="1" hidden="1" customHeight="1" spans="1:42">
      <c r="A531" s="150">
        <v>46142</v>
      </c>
      <c r="B531" s="150" t="str">
        <f ca="1" t="shared" ref="B531:B539" si="110">IF(TODAY()&gt;=A531,IF(R531="","未",""),"")</f>
        <v/>
      </c>
      <c r="C531" s="171" t="s">
        <v>237</v>
      </c>
      <c r="D531" s="150" t="s">
        <v>919</v>
      </c>
      <c r="E531" s="171" t="s">
        <v>438</v>
      </c>
      <c r="F531" s="172">
        <v>10126624</v>
      </c>
      <c r="G531" s="172">
        <v>288859077</v>
      </c>
      <c r="H531" s="173" t="s">
        <v>158</v>
      </c>
      <c r="I531" s="174" t="str">
        <f>IFERROR(VLOOKUP(H531,名称!A:C,2,0),"")</f>
        <v>JD LNS圆轮拖拉机</v>
      </c>
      <c r="J531" s="203">
        <v>6660</v>
      </c>
      <c r="K531" s="174">
        <f>IFERROR(VLOOKUP(H531,名称!A:D,3,0),"")</f>
        <v>2</v>
      </c>
      <c r="L531" s="143">
        <f t="shared" ref="L531:L539" si="111">IFERROR((J531/K531),"")</f>
        <v>3330</v>
      </c>
      <c r="M531" s="150">
        <v>46211</v>
      </c>
      <c r="N531" s="150">
        <f t="shared" ref="N531:N539" si="112">M531-2</f>
        <v>46209</v>
      </c>
      <c r="O531" s="147">
        <v>46225</v>
      </c>
      <c r="P531" s="150" t="s">
        <v>435</v>
      </c>
      <c r="Q531" s="204" t="s">
        <v>929</v>
      </c>
      <c r="R531" s="148" t="s">
        <v>418</v>
      </c>
      <c r="S531" s="150"/>
      <c r="T531" s="150" t="s">
        <v>452</v>
      </c>
      <c r="U531" s="150"/>
      <c r="V531" s="150"/>
      <c r="W531" s="173"/>
      <c r="X531" s="143" t="s">
        <v>920</v>
      </c>
      <c r="Y531" s="176">
        <v>4.792</v>
      </c>
      <c r="Z531" s="198">
        <f t="shared" ref="Z531:Z539" si="113">J531*Y531</f>
        <v>31914.72</v>
      </c>
      <c r="AA531" s="198">
        <f t="shared" ref="AA531:AA539" si="114">Z531*7.75</f>
        <v>247339.08</v>
      </c>
      <c r="AB531" s="177" t="s">
        <v>953</v>
      </c>
      <c r="AC531" s="150"/>
      <c r="AD531" s="150"/>
      <c r="AE531" s="150" t="str">
        <f>IFERROR(VLOOKUP(H531,名称!A:D,4,0),"")</f>
        <v>KIK</v>
      </c>
      <c r="AF531" s="174"/>
      <c r="AG531" s="174"/>
      <c r="AH531" s="178">
        <v>46156</v>
      </c>
      <c r="AI531" s="178" t="s">
        <v>420</v>
      </c>
      <c r="AJ531" s="178"/>
      <c r="AK531" s="178">
        <v>46197</v>
      </c>
      <c r="AL531" s="178">
        <v>46128</v>
      </c>
      <c r="AM531" s="178"/>
      <c r="AN531" s="178">
        <v>46156</v>
      </c>
      <c r="AO531" s="143">
        <f t="shared" ref="AO531:AO539" si="115">M531-A531</f>
        <v>69</v>
      </c>
      <c r="AP531" s="143">
        <f t="shared" ref="AP531:AP539" si="116">M531-AH531</f>
        <v>55</v>
      </c>
    </row>
    <row r="532" s="89" customFormat="1" hidden="1" customHeight="1" spans="1:42">
      <c r="A532" s="150">
        <v>46142</v>
      </c>
      <c r="B532" s="150" t="str">
        <f ca="1" t="shared" si="110"/>
        <v/>
      </c>
      <c r="C532" s="171" t="s">
        <v>237</v>
      </c>
      <c r="D532" s="150" t="s">
        <v>919</v>
      </c>
      <c r="E532" s="171" t="s">
        <v>438</v>
      </c>
      <c r="F532" s="172">
        <v>10126626</v>
      </c>
      <c r="G532" s="172">
        <v>288859078</v>
      </c>
      <c r="H532" s="173" t="s">
        <v>158</v>
      </c>
      <c r="I532" s="174" t="str">
        <f>IFERROR(VLOOKUP(H532,名称!A:C,2,0),"")</f>
        <v>JD LNS圆轮拖拉机</v>
      </c>
      <c r="J532" s="203">
        <v>6660</v>
      </c>
      <c r="K532" s="174">
        <f>IFERROR(VLOOKUP(H532,名称!A:D,3,0),"")</f>
        <v>2</v>
      </c>
      <c r="L532" s="143">
        <f t="shared" si="111"/>
        <v>3330</v>
      </c>
      <c r="M532" s="150">
        <v>46211</v>
      </c>
      <c r="N532" s="150">
        <f t="shared" si="112"/>
        <v>46209</v>
      </c>
      <c r="O532" s="147">
        <v>46225</v>
      </c>
      <c r="P532" s="150" t="s">
        <v>435</v>
      </c>
      <c r="Q532" s="204" t="s">
        <v>929</v>
      </c>
      <c r="R532" s="148" t="s">
        <v>425</v>
      </c>
      <c r="S532" s="150"/>
      <c r="T532" s="150" t="s">
        <v>452</v>
      </c>
      <c r="U532" s="150"/>
      <c r="V532" s="150"/>
      <c r="W532" s="173"/>
      <c r="X532" s="143" t="s">
        <v>920</v>
      </c>
      <c r="Y532" s="176">
        <v>4.792</v>
      </c>
      <c r="Z532" s="198">
        <f t="shared" si="113"/>
        <v>31914.72</v>
      </c>
      <c r="AA532" s="198">
        <f t="shared" si="114"/>
        <v>247339.08</v>
      </c>
      <c r="AB532" s="177" t="s">
        <v>954</v>
      </c>
      <c r="AC532" s="150"/>
      <c r="AD532" s="150"/>
      <c r="AE532" s="150" t="str">
        <f>IFERROR(VLOOKUP(H532,名称!A:D,4,0),"")</f>
        <v>KIK</v>
      </c>
      <c r="AF532" s="174"/>
      <c r="AG532" s="174"/>
      <c r="AH532" s="178">
        <v>46156</v>
      </c>
      <c r="AI532" s="178" t="s">
        <v>420</v>
      </c>
      <c r="AJ532" s="178"/>
      <c r="AK532" s="178">
        <v>46189</v>
      </c>
      <c r="AL532" s="178">
        <v>46128</v>
      </c>
      <c r="AM532" s="178"/>
      <c r="AN532" s="178">
        <v>46156</v>
      </c>
      <c r="AO532" s="143">
        <f t="shared" si="115"/>
        <v>69</v>
      </c>
      <c r="AP532" s="143">
        <f t="shared" si="116"/>
        <v>55</v>
      </c>
    </row>
    <row r="533" s="89" customFormat="1" hidden="1" customHeight="1" spans="1:42">
      <c r="A533" s="150">
        <v>46107</v>
      </c>
      <c r="B533" s="150" t="str">
        <f ca="1" t="shared" si="110"/>
        <v/>
      </c>
      <c r="C533" s="171" t="s">
        <v>237</v>
      </c>
      <c r="D533" s="150" t="s">
        <v>838</v>
      </c>
      <c r="E533" s="171" t="s">
        <v>438</v>
      </c>
      <c r="F533" s="172">
        <v>10123387</v>
      </c>
      <c r="G533" s="214" t="s">
        <v>955</v>
      </c>
      <c r="H533" s="173" t="s">
        <v>31</v>
      </c>
      <c r="I533" s="174" t="str">
        <f>IFERROR(VLOOKUP(H533,名称!A:C,2,0),"")</f>
        <v>1:16收割机</v>
      </c>
      <c r="J533" s="175">
        <v>547</v>
      </c>
      <c r="K533" s="174">
        <f>IFERROR(VLOOKUP(H533,名称!A:D,3,0),"")</f>
        <v>1</v>
      </c>
      <c r="L533" s="143">
        <f t="shared" si="111"/>
        <v>547</v>
      </c>
      <c r="M533" s="150">
        <v>46197</v>
      </c>
      <c r="N533" s="150">
        <f t="shared" si="112"/>
        <v>46195</v>
      </c>
      <c r="O533" s="196">
        <v>46209</v>
      </c>
      <c r="P533" s="150" t="s">
        <v>435</v>
      </c>
      <c r="Q533" s="173" t="s">
        <v>777</v>
      </c>
      <c r="R533" s="148" t="s">
        <v>431</v>
      </c>
      <c r="S533" s="150"/>
      <c r="T533" s="150" t="s">
        <v>452</v>
      </c>
      <c r="U533" s="150"/>
      <c r="V533" s="150"/>
      <c r="W533" s="173"/>
      <c r="X533" s="143" t="s">
        <v>839</v>
      </c>
      <c r="Y533" s="176">
        <v>29.652</v>
      </c>
      <c r="Z533" s="198">
        <f t="shared" si="113"/>
        <v>16219.64</v>
      </c>
      <c r="AA533" s="198">
        <f t="shared" si="114"/>
        <v>125702.21</v>
      </c>
      <c r="AB533" s="177" t="s">
        <v>956</v>
      </c>
      <c r="AC533" s="174"/>
      <c r="AD533" s="178"/>
      <c r="AE533" s="150" t="s">
        <v>12</v>
      </c>
      <c r="AF533" s="178"/>
      <c r="AG533" s="178"/>
      <c r="AH533" s="178">
        <v>46149</v>
      </c>
      <c r="AI533" s="178"/>
      <c r="AJ533" s="178"/>
      <c r="AK533" s="178">
        <v>46158</v>
      </c>
      <c r="AL533" s="179">
        <v>46140</v>
      </c>
      <c r="AM533" s="143"/>
      <c r="AN533" s="180"/>
      <c r="AO533" s="143">
        <f t="shared" si="115"/>
        <v>90</v>
      </c>
      <c r="AP533" s="143">
        <f t="shared" si="116"/>
        <v>48</v>
      </c>
    </row>
    <row r="534" s="89" customFormat="1" hidden="1" customHeight="1" spans="1:42">
      <c r="A534" s="150">
        <v>46107</v>
      </c>
      <c r="B534" s="150" t="str">
        <f ca="1" t="shared" si="110"/>
        <v/>
      </c>
      <c r="C534" s="171" t="s">
        <v>237</v>
      </c>
      <c r="D534" s="150" t="s">
        <v>838</v>
      </c>
      <c r="E534" s="171" t="s">
        <v>438</v>
      </c>
      <c r="F534" s="172">
        <v>10123380</v>
      </c>
      <c r="G534" s="172" t="s">
        <v>266</v>
      </c>
      <c r="H534" s="173" t="s">
        <v>31</v>
      </c>
      <c r="I534" s="174" t="str">
        <f>IFERROR(VLOOKUP(H534,名称!A:C,2,0),"")</f>
        <v>1:16收割机</v>
      </c>
      <c r="J534" s="175">
        <v>547</v>
      </c>
      <c r="K534" s="174">
        <f>IFERROR(VLOOKUP(H534,名称!A:D,3,0),"")</f>
        <v>1</v>
      </c>
      <c r="L534" s="143">
        <f t="shared" si="111"/>
        <v>547</v>
      </c>
      <c r="M534" s="150">
        <v>46197</v>
      </c>
      <c r="N534" s="150">
        <f t="shared" si="112"/>
        <v>46195</v>
      </c>
      <c r="O534" s="196">
        <v>46213</v>
      </c>
      <c r="P534" s="150" t="s">
        <v>435</v>
      </c>
      <c r="Q534" s="173" t="s">
        <v>777</v>
      </c>
      <c r="R534" s="148" t="s">
        <v>431</v>
      </c>
      <c r="S534" s="150"/>
      <c r="T534" s="150" t="s">
        <v>452</v>
      </c>
      <c r="U534" s="150"/>
      <c r="V534" s="150"/>
      <c r="W534" s="173"/>
      <c r="X534" s="143" t="s">
        <v>839</v>
      </c>
      <c r="Y534" s="176">
        <v>29.652</v>
      </c>
      <c r="Z534" s="198">
        <f t="shared" si="113"/>
        <v>16219.64</v>
      </c>
      <c r="AA534" s="198">
        <f t="shared" si="114"/>
        <v>125702.21</v>
      </c>
      <c r="AB534" s="177" t="s">
        <v>957</v>
      </c>
      <c r="AC534" s="174"/>
      <c r="AD534" s="178"/>
      <c r="AE534" s="150" t="s">
        <v>12</v>
      </c>
      <c r="AF534" s="178"/>
      <c r="AG534" s="178"/>
      <c r="AH534" s="178">
        <v>46149</v>
      </c>
      <c r="AI534" s="178"/>
      <c r="AJ534" s="178"/>
      <c r="AK534" s="178">
        <v>46158</v>
      </c>
      <c r="AL534" s="179">
        <v>46140</v>
      </c>
      <c r="AM534" s="143"/>
      <c r="AN534" s="180"/>
      <c r="AO534" s="143">
        <f t="shared" si="115"/>
        <v>90</v>
      </c>
      <c r="AP534" s="143">
        <f t="shared" si="116"/>
        <v>48</v>
      </c>
    </row>
    <row r="535" s="119" customFormat="1" hidden="1" customHeight="1" spans="1:42">
      <c r="A535" s="150">
        <v>46114</v>
      </c>
      <c r="B535" s="150" t="str">
        <f ca="1" t="shared" si="110"/>
        <v/>
      </c>
      <c r="C535" s="171" t="s">
        <v>237</v>
      </c>
      <c r="D535" s="150" t="s">
        <v>838</v>
      </c>
      <c r="E535" s="171" t="s">
        <v>438</v>
      </c>
      <c r="F535" s="172">
        <v>10124078</v>
      </c>
      <c r="G535" s="172" t="s">
        <v>276</v>
      </c>
      <c r="H535" s="173" t="s">
        <v>31</v>
      </c>
      <c r="I535" s="174" t="str">
        <f>IFERROR(VLOOKUP(H535,名称!A:C,2,0),"")</f>
        <v>1:16收割机</v>
      </c>
      <c r="J535" s="175">
        <v>547</v>
      </c>
      <c r="K535" s="174">
        <f>IFERROR(VLOOKUP(H535,名称!A:D,3,0),"")</f>
        <v>1</v>
      </c>
      <c r="L535" s="143">
        <f t="shared" si="111"/>
        <v>547</v>
      </c>
      <c r="M535" s="150">
        <v>46197</v>
      </c>
      <c r="N535" s="150">
        <f t="shared" si="112"/>
        <v>46195</v>
      </c>
      <c r="O535" s="147">
        <v>46225</v>
      </c>
      <c r="P535" s="150" t="s">
        <v>435</v>
      </c>
      <c r="Q535" s="173" t="s">
        <v>777</v>
      </c>
      <c r="R535" s="148" t="s">
        <v>431</v>
      </c>
      <c r="S535" s="150"/>
      <c r="T535" s="150" t="s">
        <v>452</v>
      </c>
      <c r="U535" s="150"/>
      <c r="V535" s="150"/>
      <c r="W535" s="173"/>
      <c r="X535" s="143" t="s">
        <v>839</v>
      </c>
      <c r="Y535" s="176">
        <v>29.652</v>
      </c>
      <c r="Z535" s="198">
        <f t="shared" si="113"/>
        <v>16219.64</v>
      </c>
      <c r="AA535" s="198">
        <f t="shared" si="114"/>
        <v>125702.21</v>
      </c>
      <c r="AB535" s="177" t="s">
        <v>958</v>
      </c>
      <c r="AC535" s="174"/>
      <c r="AD535" s="178"/>
      <c r="AE535" s="150" t="s">
        <v>12</v>
      </c>
      <c r="AF535" s="178"/>
      <c r="AG535" s="178"/>
      <c r="AH535" s="178">
        <v>46149</v>
      </c>
      <c r="AI535" s="178"/>
      <c r="AJ535" s="178"/>
      <c r="AK535" s="178">
        <v>46158</v>
      </c>
      <c r="AL535" s="179">
        <v>46140</v>
      </c>
      <c r="AM535" s="143"/>
      <c r="AN535" s="180"/>
      <c r="AO535" s="143">
        <f t="shared" si="115"/>
        <v>83</v>
      </c>
      <c r="AP535" s="143">
        <f t="shared" si="116"/>
        <v>48</v>
      </c>
    </row>
    <row r="536" s="89" customFormat="1" hidden="1" customHeight="1" spans="1:42">
      <c r="A536" s="150">
        <v>46114</v>
      </c>
      <c r="B536" s="150" t="str">
        <f ca="1" t="shared" si="110"/>
        <v/>
      </c>
      <c r="C536" s="171" t="s">
        <v>237</v>
      </c>
      <c r="D536" s="150" t="s">
        <v>838</v>
      </c>
      <c r="E536" s="171" t="s">
        <v>438</v>
      </c>
      <c r="F536" s="172">
        <v>10124077</v>
      </c>
      <c r="G536" s="172" t="s">
        <v>274</v>
      </c>
      <c r="H536" s="173" t="s">
        <v>31</v>
      </c>
      <c r="I536" s="174" t="str">
        <f>IFERROR(VLOOKUP(H536,名称!A:C,2,0),"")</f>
        <v>1:16收割机</v>
      </c>
      <c r="J536" s="175">
        <v>547</v>
      </c>
      <c r="K536" s="174">
        <f>IFERROR(VLOOKUP(H536,名称!A:D,3,0),"")</f>
        <v>1</v>
      </c>
      <c r="L536" s="143">
        <f t="shared" si="111"/>
        <v>547</v>
      </c>
      <c r="M536" s="150">
        <v>46197</v>
      </c>
      <c r="N536" s="150">
        <f t="shared" si="112"/>
        <v>46195</v>
      </c>
      <c r="O536" s="147">
        <v>46225</v>
      </c>
      <c r="P536" s="150" t="s">
        <v>435</v>
      </c>
      <c r="Q536" s="173" t="s">
        <v>777</v>
      </c>
      <c r="R536" s="148" t="s">
        <v>431</v>
      </c>
      <c r="S536" s="150"/>
      <c r="T536" s="150" t="s">
        <v>452</v>
      </c>
      <c r="U536" s="150"/>
      <c r="V536" s="150"/>
      <c r="W536" s="173"/>
      <c r="X536" s="143" t="s">
        <v>839</v>
      </c>
      <c r="Y536" s="176">
        <v>29.652</v>
      </c>
      <c r="Z536" s="198">
        <f t="shared" si="113"/>
        <v>16219.64</v>
      </c>
      <c r="AA536" s="198">
        <f t="shared" si="114"/>
        <v>125702.21</v>
      </c>
      <c r="AB536" s="177" t="s">
        <v>959</v>
      </c>
      <c r="AC536" s="174"/>
      <c r="AD536" s="178"/>
      <c r="AE536" s="150" t="s">
        <v>12</v>
      </c>
      <c r="AF536" s="178"/>
      <c r="AG536" s="178"/>
      <c r="AH536" s="178">
        <v>46149</v>
      </c>
      <c r="AI536" s="178"/>
      <c r="AJ536" s="178"/>
      <c r="AK536" s="178">
        <v>46158</v>
      </c>
      <c r="AL536" s="179">
        <v>46140</v>
      </c>
      <c r="AM536" s="143"/>
      <c r="AN536" s="180"/>
      <c r="AO536" s="143">
        <f t="shared" si="115"/>
        <v>83</v>
      </c>
      <c r="AP536" s="143">
        <f t="shared" si="116"/>
        <v>48</v>
      </c>
    </row>
    <row r="537" s="89" customFormat="1" hidden="1" customHeight="1" spans="1:42">
      <c r="A537" s="150">
        <v>46142</v>
      </c>
      <c r="B537" s="150" t="str">
        <f ca="1" t="shared" si="110"/>
        <v/>
      </c>
      <c r="C537" s="171" t="s">
        <v>237</v>
      </c>
      <c r="D537" s="150" t="s">
        <v>919</v>
      </c>
      <c r="E537" s="171" t="s">
        <v>438</v>
      </c>
      <c r="F537" s="172">
        <v>10126614</v>
      </c>
      <c r="G537" s="172">
        <v>288858684</v>
      </c>
      <c r="H537" s="173" t="s">
        <v>39</v>
      </c>
      <c r="I537" s="174" t="str">
        <f>IFERROR(VLOOKUP(H537,名称!A:C,2,0),"")</f>
        <v>1:16货柜车</v>
      </c>
      <c r="J537" s="175">
        <v>804</v>
      </c>
      <c r="K537" s="174">
        <f>IFERROR(VLOOKUP(H537,名称!A:D,3,0),"")</f>
        <v>2</v>
      </c>
      <c r="L537" s="143">
        <f t="shared" si="111"/>
        <v>402</v>
      </c>
      <c r="M537" s="150">
        <v>46190</v>
      </c>
      <c r="N537" s="150">
        <f t="shared" si="112"/>
        <v>46188</v>
      </c>
      <c r="O537" s="150">
        <v>46195</v>
      </c>
      <c r="P537" s="150" t="s">
        <v>435</v>
      </c>
      <c r="Q537" s="204" t="s">
        <v>929</v>
      </c>
      <c r="R537" s="148" t="s">
        <v>602</v>
      </c>
      <c r="S537" s="150"/>
      <c r="T537" s="150"/>
      <c r="U537" s="150"/>
      <c r="V537" s="150"/>
      <c r="W537" s="173"/>
      <c r="X537" s="143" t="s">
        <v>920</v>
      </c>
      <c r="Y537" s="176">
        <v>30.536</v>
      </c>
      <c r="Z537" s="198">
        <f t="shared" si="113"/>
        <v>24550.94</v>
      </c>
      <c r="AA537" s="198">
        <f t="shared" si="114"/>
        <v>190269.79</v>
      </c>
      <c r="AB537" s="177" t="s">
        <v>960</v>
      </c>
      <c r="AC537" s="150"/>
      <c r="AD537" s="150"/>
      <c r="AE537" s="150" t="str">
        <f>IFERROR(VLOOKUP(H537,名称!A:D,4,0),"")</f>
        <v>KIK</v>
      </c>
      <c r="AF537" s="174"/>
      <c r="AG537" s="174"/>
      <c r="AH537" s="178">
        <v>46129</v>
      </c>
      <c r="AI537" s="178">
        <v>46163</v>
      </c>
      <c r="AJ537" s="178"/>
      <c r="AK537" s="178">
        <v>46146</v>
      </c>
      <c r="AL537" s="178">
        <v>46140</v>
      </c>
      <c r="AM537" s="178"/>
      <c r="AN537" s="178"/>
      <c r="AO537" s="143">
        <f t="shared" si="115"/>
        <v>48</v>
      </c>
      <c r="AP537" s="143">
        <f t="shared" si="116"/>
        <v>61</v>
      </c>
    </row>
    <row r="538" s="89" customFormat="1" hidden="1" customHeight="1" spans="1:42">
      <c r="A538" s="150">
        <v>46142</v>
      </c>
      <c r="B538" s="150" t="str">
        <f ca="1" t="shared" si="110"/>
        <v/>
      </c>
      <c r="C538" s="171" t="s">
        <v>237</v>
      </c>
      <c r="D538" s="150" t="s">
        <v>919</v>
      </c>
      <c r="E538" s="171" t="s">
        <v>438</v>
      </c>
      <c r="F538" s="172">
        <v>10126614</v>
      </c>
      <c r="G538" s="172">
        <v>288858684</v>
      </c>
      <c r="H538" s="173">
        <v>47669</v>
      </c>
      <c r="I538" s="174" t="str">
        <f>IFERROR(VLOOKUP(H538,名称!A:C,2,0),"")</f>
        <v>动物车</v>
      </c>
      <c r="J538" s="175">
        <v>576</v>
      </c>
      <c r="K538" s="174">
        <f>IFERROR(VLOOKUP(H538,名称!A:D,3,0),"")</f>
        <v>4</v>
      </c>
      <c r="L538" s="143">
        <f t="shared" si="111"/>
        <v>144</v>
      </c>
      <c r="M538" s="150">
        <v>46190</v>
      </c>
      <c r="N538" s="150">
        <f t="shared" si="112"/>
        <v>46188</v>
      </c>
      <c r="O538" s="150">
        <v>46196</v>
      </c>
      <c r="P538" s="150" t="s">
        <v>435</v>
      </c>
      <c r="Q538" s="204" t="s">
        <v>929</v>
      </c>
      <c r="R538" s="148" t="s">
        <v>431</v>
      </c>
      <c r="S538" s="150"/>
      <c r="T538" s="150" t="s">
        <v>452</v>
      </c>
      <c r="U538" s="150"/>
      <c r="V538" s="150"/>
      <c r="W538" s="173"/>
      <c r="X538" s="143"/>
      <c r="Y538" s="176">
        <v>4.808</v>
      </c>
      <c r="Z538" s="198">
        <f t="shared" si="113"/>
        <v>2769.41</v>
      </c>
      <c r="AA538" s="198">
        <f t="shared" si="114"/>
        <v>21462.93</v>
      </c>
      <c r="AB538" s="177" t="s">
        <v>960</v>
      </c>
      <c r="AC538" s="174"/>
      <c r="AD538" s="178"/>
      <c r="AE538" s="150" t="str">
        <f>IFERROR(VLOOKUP(H538,名称!A:D,4,0),"")</f>
        <v>KIK</v>
      </c>
      <c r="AF538" s="178"/>
      <c r="AG538" s="178"/>
      <c r="AH538" s="178">
        <v>46177</v>
      </c>
      <c r="AI538" s="178">
        <v>46149</v>
      </c>
      <c r="AJ538" s="178"/>
      <c r="AK538" s="178" t="s">
        <v>420</v>
      </c>
      <c r="AL538" s="178" t="s">
        <v>420</v>
      </c>
      <c r="AM538" s="178"/>
      <c r="AN538" s="180"/>
      <c r="AO538" s="143">
        <f t="shared" si="115"/>
        <v>48</v>
      </c>
      <c r="AP538" s="143">
        <f t="shared" si="116"/>
        <v>13</v>
      </c>
    </row>
    <row r="539" s="89" customFormat="1" hidden="1" customHeight="1" spans="1:42">
      <c r="A539" s="150">
        <v>46129</v>
      </c>
      <c r="B539" s="150" t="str">
        <f ca="1" t="shared" si="110"/>
        <v/>
      </c>
      <c r="C539" s="171" t="s">
        <v>237</v>
      </c>
      <c r="D539" s="150" t="s">
        <v>427</v>
      </c>
      <c r="E539" s="171" t="s">
        <v>428</v>
      </c>
      <c r="F539" s="173">
        <v>10125329</v>
      </c>
      <c r="G539" s="172" t="s">
        <v>293</v>
      </c>
      <c r="H539" s="173" t="s">
        <v>115</v>
      </c>
      <c r="I539" s="174" t="str">
        <f>IFERROR(VLOOKUP(H539,名称!A:C,2,0),"")</f>
        <v>布鲁伊混装</v>
      </c>
      <c r="J539" s="203">
        <f>5000-1600-1700</f>
        <v>1700</v>
      </c>
      <c r="K539" s="174">
        <f>IFERROR(VLOOKUP(H539,名称!A:D,3,0),"")</f>
        <v>4</v>
      </c>
      <c r="L539" s="143">
        <f t="shared" si="111"/>
        <v>425</v>
      </c>
      <c r="M539" s="150">
        <v>46225</v>
      </c>
      <c r="N539" s="150">
        <f t="shared" si="112"/>
        <v>46223</v>
      </c>
      <c r="O539" s="147">
        <v>46218</v>
      </c>
      <c r="P539" s="150" t="s">
        <v>429</v>
      </c>
      <c r="Q539" s="173" t="s">
        <v>430</v>
      </c>
      <c r="R539" s="148" t="s">
        <v>425</v>
      </c>
      <c r="S539" s="150"/>
      <c r="T539" s="150"/>
      <c r="U539" s="150"/>
      <c r="V539" s="150"/>
      <c r="W539" s="173"/>
      <c r="X539" s="143"/>
      <c r="Y539" s="176">
        <v>2.115</v>
      </c>
      <c r="Z539" s="198">
        <f t="shared" si="113"/>
        <v>3595.5</v>
      </c>
      <c r="AA539" s="198">
        <f t="shared" si="114"/>
        <v>27865.13</v>
      </c>
      <c r="AB539" s="177" t="s">
        <v>961</v>
      </c>
      <c r="AC539" s="150"/>
      <c r="AD539" s="150"/>
      <c r="AE539" s="150" t="str">
        <f>IFERROR(VLOOKUP(H539,名称!A:D,4,0),"")</f>
        <v>KIK</v>
      </c>
      <c r="AF539" s="174"/>
      <c r="AG539" s="174"/>
      <c r="AH539" s="178">
        <v>46149</v>
      </c>
      <c r="AI539" s="178"/>
      <c r="AJ539" s="178"/>
      <c r="AK539" s="178"/>
      <c r="AL539" s="178">
        <v>46149</v>
      </c>
      <c r="AM539" s="178"/>
      <c r="AN539" s="178"/>
      <c r="AO539" s="143">
        <f t="shared" si="115"/>
        <v>96</v>
      </c>
      <c r="AP539" s="143">
        <f t="shared" si="116"/>
        <v>76</v>
      </c>
    </row>
    <row r="540" s="89" customFormat="1" hidden="1" customHeight="1" spans="1:42">
      <c r="A540" s="150">
        <v>46099</v>
      </c>
      <c r="B540" s="150" t="s">
        <v>467</v>
      </c>
      <c r="C540" s="171" t="s">
        <v>237</v>
      </c>
      <c r="D540" s="150" t="s">
        <v>802</v>
      </c>
      <c r="E540" s="171" t="s">
        <v>727</v>
      </c>
      <c r="F540" s="172">
        <v>10122658</v>
      </c>
      <c r="G540" s="172">
        <v>1042269844</v>
      </c>
      <c r="H540" s="173" t="s">
        <v>160</v>
      </c>
      <c r="I540" s="174" t="s">
        <v>900</v>
      </c>
      <c r="J540" s="175">
        <v>160</v>
      </c>
      <c r="K540" s="174">
        <v>2</v>
      </c>
      <c r="L540" s="143">
        <v>80</v>
      </c>
      <c r="M540" s="150">
        <v>46197</v>
      </c>
      <c r="N540" s="150">
        <v>46195</v>
      </c>
      <c r="O540" s="150">
        <v>46196</v>
      </c>
      <c r="P540" s="150" t="s">
        <v>804</v>
      </c>
      <c r="Q540" s="173" t="s">
        <v>777</v>
      </c>
      <c r="R540" s="148" t="s">
        <v>812</v>
      </c>
      <c r="S540" s="150"/>
      <c r="T540" s="150" t="s">
        <v>805</v>
      </c>
      <c r="U540" s="150"/>
      <c r="V540" s="150"/>
      <c r="W540" s="173"/>
      <c r="X540" s="143"/>
      <c r="Y540" s="176">
        <v>5.743</v>
      </c>
      <c r="Z540" s="198">
        <v>918.88</v>
      </c>
      <c r="AA540" s="198">
        <v>7121.32</v>
      </c>
      <c r="AB540" s="177" t="s">
        <v>962</v>
      </c>
      <c r="AC540" s="150"/>
      <c r="AD540" s="150"/>
      <c r="AE540" s="150" t="s">
        <v>12</v>
      </c>
      <c r="AF540" s="174"/>
      <c r="AG540" s="174"/>
      <c r="AH540" s="178">
        <v>46115</v>
      </c>
      <c r="AI540" s="178" t="s">
        <v>420</v>
      </c>
      <c r="AJ540" s="178"/>
      <c r="AK540" s="178">
        <v>46177</v>
      </c>
      <c r="AL540" s="178">
        <v>46134</v>
      </c>
      <c r="AM540" s="178"/>
      <c r="AN540" s="178"/>
      <c r="AO540" s="143">
        <v>98</v>
      </c>
      <c r="AP540" s="143">
        <v>82</v>
      </c>
    </row>
    <row r="541" s="119" customFormat="1" hidden="1" customHeight="1" spans="1:42">
      <c r="A541" s="150">
        <v>46099</v>
      </c>
      <c r="B541" s="150" t="s">
        <v>467</v>
      </c>
      <c r="C541" s="171" t="s">
        <v>237</v>
      </c>
      <c r="D541" s="150" t="s">
        <v>802</v>
      </c>
      <c r="E541" s="171" t="s">
        <v>727</v>
      </c>
      <c r="F541" s="172">
        <v>10122658</v>
      </c>
      <c r="G541" s="172">
        <v>1042269844</v>
      </c>
      <c r="H541" s="173" t="s">
        <v>155</v>
      </c>
      <c r="I541" s="174" t="s">
        <v>728</v>
      </c>
      <c r="J541" s="175">
        <v>1348</v>
      </c>
      <c r="K541" s="174">
        <v>2</v>
      </c>
      <c r="L541" s="143">
        <v>674</v>
      </c>
      <c r="M541" s="150">
        <v>46197</v>
      </c>
      <c r="N541" s="150">
        <v>46195</v>
      </c>
      <c r="O541" s="150">
        <v>46196</v>
      </c>
      <c r="P541" s="150" t="s">
        <v>808</v>
      </c>
      <c r="Q541" s="173" t="s">
        <v>777</v>
      </c>
      <c r="R541" s="148" t="s">
        <v>418</v>
      </c>
      <c r="S541" s="150"/>
      <c r="T541" s="150" t="s">
        <v>805</v>
      </c>
      <c r="U541" s="150"/>
      <c r="V541" s="150"/>
      <c r="W541" s="173"/>
      <c r="X541" s="143"/>
      <c r="Y541" s="176">
        <v>4.637</v>
      </c>
      <c r="Z541" s="198">
        <v>6250.68</v>
      </c>
      <c r="AA541" s="198">
        <v>48442.77</v>
      </c>
      <c r="AB541" s="177" t="s">
        <v>962</v>
      </c>
      <c r="AC541" s="150"/>
      <c r="AD541" s="150"/>
      <c r="AE541" s="150" t="s">
        <v>12</v>
      </c>
      <c r="AF541" s="174"/>
      <c r="AG541" s="174"/>
      <c r="AH541" s="178">
        <v>46115</v>
      </c>
      <c r="AI541" s="178" t="s">
        <v>420</v>
      </c>
      <c r="AJ541" s="178"/>
      <c r="AK541" s="178" t="s">
        <v>453</v>
      </c>
      <c r="AL541" s="178">
        <v>46128</v>
      </c>
      <c r="AM541" s="178"/>
      <c r="AN541" s="178"/>
      <c r="AO541" s="143">
        <v>98</v>
      </c>
      <c r="AP541" s="143">
        <v>82</v>
      </c>
    </row>
    <row r="542" s="89" customFormat="1" hidden="1" customHeight="1" spans="1:42">
      <c r="A542" s="150">
        <v>46099</v>
      </c>
      <c r="B542" s="150" t="s">
        <v>467</v>
      </c>
      <c r="C542" s="171" t="s">
        <v>237</v>
      </c>
      <c r="D542" s="150" t="s">
        <v>802</v>
      </c>
      <c r="E542" s="171" t="s">
        <v>727</v>
      </c>
      <c r="F542" s="172">
        <v>10122658</v>
      </c>
      <c r="G542" s="172">
        <v>1042269844</v>
      </c>
      <c r="H542" s="173" t="s">
        <v>154</v>
      </c>
      <c r="I542" s="174" t="s">
        <v>723</v>
      </c>
      <c r="J542" s="175">
        <v>1500</v>
      </c>
      <c r="K542" s="174">
        <v>4</v>
      </c>
      <c r="L542" s="143">
        <v>375</v>
      </c>
      <c r="M542" s="150">
        <v>46197</v>
      </c>
      <c r="N542" s="150">
        <v>46195</v>
      </c>
      <c r="O542" s="150">
        <v>46196</v>
      </c>
      <c r="P542" s="150" t="s">
        <v>808</v>
      </c>
      <c r="Q542" s="173" t="s">
        <v>777</v>
      </c>
      <c r="R542" s="148" t="s">
        <v>418</v>
      </c>
      <c r="S542" s="150"/>
      <c r="T542" s="150" t="s">
        <v>805</v>
      </c>
      <c r="U542" s="150"/>
      <c r="V542" s="150"/>
      <c r="W542" s="173"/>
      <c r="X542" s="143"/>
      <c r="Y542" s="176">
        <v>4.684</v>
      </c>
      <c r="Z542" s="198">
        <v>7026</v>
      </c>
      <c r="AA542" s="198">
        <v>54451.5</v>
      </c>
      <c r="AB542" s="177" t="s">
        <v>962</v>
      </c>
      <c r="AC542" s="174"/>
      <c r="AD542" s="178"/>
      <c r="AE542" s="150" t="s">
        <v>12</v>
      </c>
      <c r="AF542" s="180"/>
      <c r="AG542" s="180"/>
      <c r="AH542" s="178">
        <v>46115</v>
      </c>
      <c r="AI542" s="178">
        <v>46149</v>
      </c>
      <c r="AJ542" s="178"/>
      <c r="AK542" s="178" t="s">
        <v>420</v>
      </c>
      <c r="AL542" s="178" t="s">
        <v>420</v>
      </c>
      <c r="AM542" s="143"/>
      <c r="AN542" s="180"/>
      <c r="AO542" s="143">
        <v>98</v>
      </c>
      <c r="AP542" s="143">
        <v>82</v>
      </c>
    </row>
    <row r="543" s="89" customFormat="1" hidden="1" customHeight="1" spans="1:42">
      <c r="A543" s="150">
        <v>46099</v>
      </c>
      <c r="B543" s="150" t="s">
        <v>467</v>
      </c>
      <c r="C543" s="171" t="s">
        <v>237</v>
      </c>
      <c r="D543" s="150" t="s">
        <v>802</v>
      </c>
      <c r="E543" s="171" t="s">
        <v>727</v>
      </c>
      <c r="F543" s="172">
        <v>10122660</v>
      </c>
      <c r="G543" s="172">
        <v>1042269854</v>
      </c>
      <c r="H543" s="173" t="s">
        <v>160</v>
      </c>
      <c r="I543" s="174" t="s">
        <v>900</v>
      </c>
      <c r="J543" s="175">
        <v>34</v>
      </c>
      <c r="K543" s="174">
        <v>2</v>
      </c>
      <c r="L543" s="143">
        <v>17</v>
      </c>
      <c r="M543" s="150">
        <v>46197</v>
      </c>
      <c r="N543" s="150">
        <v>46195</v>
      </c>
      <c r="O543" s="150">
        <v>46196</v>
      </c>
      <c r="P543" s="150" t="s">
        <v>804</v>
      </c>
      <c r="Q543" s="173" t="s">
        <v>777</v>
      </c>
      <c r="R543" s="148" t="s">
        <v>812</v>
      </c>
      <c r="S543" s="150"/>
      <c r="T543" s="150" t="s">
        <v>805</v>
      </c>
      <c r="U543" s="150"/>
      <c r="V543" s="150"/>
      <c r="W543" s="173"/>
      <c r="X543" s="143"/>
      <c r="Y543" s="176">
        <v>5.743</v>
      </c>
      <c r="Z543" s="198">
        <v>195.26</v>
      </c>
      <c r="AA543" s="198">
        <v>1513.27</v>
      </c>
      <c r="AB543" s="177" t="s">
        <v>963</v>
      </c>
      <c r="AC543" s="150"/>
      <c r="AD543" s="150"/>
      <c r="AE543" s="150" t="s">
        <v>12</v>
      </c>
      <c r="AF543" s="174"/>
      <c r="AG543" s="174"/>
      <c r="AH543" s="178">
        <v>46115</v>
      </c>
      <c r="AI543" s="178" t="s">
        <v>420</v>
      </c>
      <c r="AJ543" s="178"/>
      <c r="AK543" s="178">
        <v>46177</v>
      </c>
      <c r="AL543" s="178">
        <v>46134</v>
      </c>
      <c r="AM543" s="178"/>
      <c r="AN543" s="178"/>
      <c r="AO543" s="143">
        <v>98</v>
      </c>
      <c r="AP543" s="143">
        <v>82</v>
      </c>
    </row>
    <row r="544" s="89" customFormat="1" hidden="1" customHeight="1" spans="1:42">
      <c r="A544" s="150">
        <v>46099</v>
      </c>
      <c r="B544" s="150" t="s">
        <v>467</v>
      </c>
      <c r="C544" s="171" t="s">
        <v>237</v>
      </c>
      <c r="D544" s="150" t="s">
        <v>802</v>
      </c>
      <c r="E544" s="171" t="s">
        <v>727</v>
      </c>
      <c r="F544" s="172">
        <v>10122660</v>
      </c>
      <c r="G544" s="172">
        <v>1042269854</v>
      </c>
      <c r="H544" s="173" t="s">
        <v>155</v>
      </c>
      <c r="I544" s="174" t="s">
        <v>728</v>
      </c>
      <c r="J544" s="175">
        <v>746</v>
      </c>
      <c r="K544" s="174">
        <v>2</v>
      </c>
      <c r="L544" s="143">
        <v>373</v>
      </c>
      <c r="M544" s="150">
        <v>46197</v>
      </c>
      <c r="N544" s="150">
        <v>46195</v>
      </c>
      <c r="O544" s="150">
        <v>46196</v>
      </c>
      <c r="P544" s="150" t="s">
        <v>808</v>
      </c>
      <c r="Q544" s="173" t="s">
        <v>777</v>
      </c>
      <c r="R544" s="148" t="s">
        <v>418</v>
      </c>
      <c r="S544" s="150"/>
      <c r="T544" s="150" t="s">
        <v>805</v>
      </c>
      <c r="U544" s="150"/>
      <c r="V544" s="150"/>
      <c r="W544" s="173"/>
      <c r="X544" s="143"/>
      <c r="Y544" s="176">
        <v>4.637</v>
      </c>
      <c r="Z544" s="198">
        <v>3459.2</v>
      </c>
      <c r="AA544" s="198">
        <v>26808.8</v>
      </c>
      <c r="AB544" s="177" t="s">
        <v>963</v>
      </c>
      <c r="AC544" s="150"/>
      <c r="AD544" s="150"/>
      <c r="AE544" s="150" t="s">
        <v>12</v>
      </c>
      <c r="AF544" s="174"/>
      <c r="AG544" s="174"/>
      <c r="AH544" s="178">
        <v>46115</v>
      </c>
      <c r="AI544" s="178" t="s">
        <v>420</v>
      </c>
      <c r="AJ544" s="178"/>
      <c r="AK544" s="178" t="s">
        <v>453</v>
      </c>
      <c r="AL544" s="178">
        <v>46128</v>
      </c>
      <c r="AM544" s="178"/>
      <c r="AN544" s="178"/>
      <c r="AO544" s="143">
        <v>98</v>
      </c>
      <c r="AP544" s="143">
        <v>82</v>
      </c>
    </row>
    <row r="545" s="89" customFormat="1" hidden="1" customHeight="1" spans="1:42">
      <c r="A545" s="150">
        <v>46099</v>
      </c>
      <c r="B545" s="150" t="s">
        <v>467</v>
      </c>
      <c r="C545" s="171" t="s">
        <v>237</v>
      </c>
      <c r="D545" s="150" t="s">
        <v>802</v>
      </c>
      <c r="E545" s="171" t="s">
        <v>727</v>
      </c>
      <c r="F545" s="172">
        <v>10122660</v>
      </c>
      <c r="G545" s="172">
        <v>1042269854</v>
      </c>
      <c r="H545" s="173" t="s">
        <v>154</v>
      </c>
      <c r="I545" s="174" t="s">
        <v>723</v>
      </c>
      <c r="J545" s="175">
        <v>716</v>
      </c>
      <c r="K545" s="174">
        <v>4</v>
      </c>
      <c r="L545" s="143">
        <v>179</v>
      </c>
      <c r="M545" s="150">
        <v>46197</v>
      </c>
      <c r="N545" s="150">
        <v>46195</v>
      </c>
      <c r="O545" s="150">
        <v>46204</v>
      </c>
      <c r="P545" s="150" t="s">
        <v>808</v>
      </c>
      <c r="Q545" s="173" t="s">
        <v>777</v>
      </c>
      <c r="R545" s="148" t="s">
        <v>418</v>
      </c>
      <c r="S545" s="150"/>
      <c r="T545" s="150" t="s">
        <v>805</v>
      </c>
      <c r="U545" s="150"/>
      <c r="V545" s="150"/>
      <c r="W545" s="173"/>
      <c r="X545" s="143"/>
      <c r="Y545" s="176">
        <v>4.684</v>
      </c>
      <c r="Z545" s="198">
        <v>3353.74</v>
      </c>
      <c r="AA545" s="198">
        <v>25991.49</v>
      </c>
      <c r="AB545" s="177" t="s">
        <v>963</v>
      </c>
      <c r="AC545" s="174"/>
      <c r="AD545" s="178"/>
      <c r="AE545" s="150" t="s">
        <v>12</v>
      </c>
      <c r="AF545" s="180"/>
      <c r="AG545" s="180"/>
      <c r="AH545" s="178">
        <v>46115</v>
      </c>
      <c r="AI545" s="178">
        <v>46149</v>
      </c>
      <c r="AJ545" s="178"/>
      <c r="AK545" s="178" t="s">
        <v>420</v>
      </c>
      <c r="AL545" s="178" t="s">
        <v>420</v>
      </c>
      <c r="AM545" s="143"/>
      <c r="AN545" s="180"/>
      <c r="AO545" s="143">
        <v>98</v>
      </c>
      <c r="AP545" s="143">
        <v>82</v>
      </c>
    </row>
    <row r="546" s="89" customFormat="1" hidden="1" customHeight="1" spans="1:42">
      <c r="A546" s="150">
        <v>46099</v>
      </c>
      <c r="B546" s="150" t="s">
        <v>467</v>
      </c>
      <c r="C546" s="171" t="s">
        <v>237</v>
      </c>
      <c r="D546" s="150" t="s">
        <v>802</v>
      </c>
      <c r="E546" s="171" t="s">
        <v>727</v>
      </c>
      <c r="F546" s="172">
        <v>10122663</v>
      </c>
      <c r="G546" s="172">
        <v>1042269846</v>
      </c>
      <c r="H546" s="173" t="s">
        <v>160</v>
      </c>
      <c r="I546" s="174" t="s">
        <v>900</v>
      </c>
      <c r="J546" s="175">
        <v>62</v>
      </c>
      <c r="K546" s="174">
        <v>2</v>
      </c>
      <c r="L546" s="143">
        <v>31</v>
      </c>
      <c r="M546" s="150">
        <v>46204</v>
      </c>
      <c r="N546" s="150">
        <v>46202</v>
      </c>
      <c r="O546" s="150">
        <v>46196</v>
      </c>
      <c r="P546" s="150" t="s">
        <v>804</v>
      </c>
      <c r="Q546" s="173" t="s">
        <v>777</v>
      </c>
      <c r="R546" s="148" t="s">
        <v>418</v>
      </c>
      <c r="S546" s="150"/>
      <c r="T546" s="150" t="s">
        <v>805</v>
      </c>
      <c r="U546" s="150"/>
      <c r="V546" s="150"/>
      <c r="W546" s="173"/>
      <c r="X546" s="143"/>
      <c r="Y546" s="176">
        <v>5.743</v>
      </c>
      <c r="Z546" s="198">
        <v>356.07</v>
      </c>
      <c r="AA546" s="198">
        <v>2759.54</v>
      </c>
      <c r="AB546" s="177" t="s">
        <v>964</v>
      </c>
      <c r="AC546" s="150"/>
      <c r="AD546" s="150"/>
      <c r="AE546" s="150" t="s">
        <v>12</v>
      </c>
      <c r="AF546" s="174"/>
      <c r="AG546" s="174"/>
      <c r="AH546" s="178">
        <v>46115</v>
      </c>
      <c r="AI546" s="178" t="s">
        <v>420</v>
      </c>
      <c r="AJ546" s="178"/>
      <c r="AK546" s="178">
        <v>46177</v>
      </c>
      <c r="AL546" s="178">
        <v>46134</v>
      </c>
      <c r="AM546" s="178"/>
      <c r="AN546" s="178"/>
      <c r="AO546" s="143">
        <v>105</v>
      </c>
      <c r="AP546" s="143">
        <v>89</v>
      </c>
    </row>
    <row r="547" s="89" customFormat="1" hidden="1" customHeight="1" spans="1:42">
      <c r="A547" s="150">
        <v>46099</v>
      </c>
      <c r="B547" s="150" t="s">
        <v>467</v>
      </c>
      <c r="C547" s="171" t="s">
        <v>237</v>
      </c>
      <c r="D547" s="150" t="s">
        <v>802</v>
      </c>
      <c r="E547" s="171" t="s">
        <v>727</v>
      </c>
      <c r="F547" s="172">
        <v>10122663</v>
      </c>
      <c r="G547" s="172">
        <v>1042269846</v>
      </c>
      <c r="H547" s="173" t="s">
        <v>155</v>
      </c>
      <c r="I547" s="174" t="s">
        <v>728</v>
      </c>
      <c r="J547" s="175">
        <v>762</v>
      </c>
      <c r="K547" s="174">
        <v>2</v>
      </c>
      <c r="L547" s="143">
        <v>381</v>
      </c>
      <c r="M547" s="150">
        <v>46204</v>
      </c>
      <c r="N547" s="150">
        <v>46202</v>
      </c>
      <c r="O547" s="196">
        <v>46213</v>
      </c>
      <c r="P547" s="150" t="s">
        <v>808</v>
      </c>
      <c r="Q547" s="173" t="s">
        <v>777</v>
      </c>
      <c r="R547" s="148" t="s">
        <v>418</v>
      </c>
      <c r="S547" s="150"/>
      <c r="T547" s="150" t="s">
        <v>805</v>
      </c>
      <c r="U547" s="150"/>
      <c r="V547" s="150"/>
      <c r="W547" s="173"/>
      <c r="X547" s="143"/>
      <c r="Y547" s="176">
        <v>4.637</v>
      </c>
      <c r="Z547" s="198">
        <v>3533.39</v>
      </c>
      <c r="AA547" s="198">
        <v>27383.77</v>
      </c>
      <c r="AB547" s="177" t="s">
        <v>964</v>
      </c>
      <c r="AC547" s="150"/>
      <c r="AD547" s="150"/>
      <c r="AE547" s="150" t="s">
        <v>12</v>
      </c>
      <c r="AF547" s="174"/>
      <c r="AG547" s="174"/>
      <c r="AH547" s="178">
        <v>46115</v>
      </c>
      <c r="AI547" s="178" t="s">
        <v>420</v>
      </c>
      <c r="AJ547" s="178"/>
      <c r="AK547" s="178" t="s">
        <v>453</v>
      </c>
      <c r="AL547" s="178">
        <v>46128</v>
      </c>
      <c r="AM547" s="178"/>
      <c r="AN547" s="178"/>
      <c r="AO547" s="143">
        <v>105</v>
      </c>
      <c r="AP547" s="143">
        <v>89</v>
      </c>
    </row>
    <row r="548" s="89" customFormat="1" hidden="1" customHeight="1" spans="1:42">
      <c r="A548" s="150">
        <v>46099</v>
      </c>
      <c r="B548" s="150" t="s">
        <v>467</v>
      </c>
      <c r="C548" s="171" t="s">
        <v>237</v>
      </c>
      <c r="D548" s="150" t="s">
        <v>802</v>
      </c>
      <c r="E548" s="171" t="s">
        <v>727</v>
      </c>
      <c r="F548" s="172">
        <v>10122663</v>
      </c>
      <c r="G548" s="172">
        <v>1042269846</v>
      </c>
      <c r="H548" s="173" t="s">
        <v>154</v>
      </c>
      <c r="I548" s="174" t="s">
        <v>723</v>
      </c>
      <c r="J548" s="175">
        <v>832</v>
      </c>
      <c r="K548" s="174">
        <v>4</v>
      </c>
      <c r="L548" s="143">
        <v>208</v>
      </c>
      <c r="M548" s="150">
        <v>46204</v>
      </c>
      <c r="N548" s="150">
        <v>46202</v>
      </c>
      <c r="O548" s="196">
        <v>46204</v>
      </c>
      <c r="P548" s="150" t="s">
        <v>808</v>
      </c>
      <c r="Q548" s="173" t="s">
        <v>777</v>
      </c>
      <c r="R548" s="148" t="s">
        <v>418</v>
      </c>
      <c r="S548" s="150"/>
      <c r="T548" s="150" t="s">
        <v>805</v>
      </c>
      <c r="U548" s="150"/>
      <c r="V548" s="150"/>
      <c r="W548" s="173"/>
      <c r="X548" s="143"/>
      <c r="Y548" s="176">
        <v>4.684</v>
      </c>
      <c r="Z548" s="198">
        <v>3897.09</v>
      </c>
      <c r="AA548" s="198">
        <v>30202.45</v>
      </c>
      <c r="AB548" s="177" t="s">
        <v>964</v>
      </c>
      <c r="AC548" s="174"/>
      <c r="AD548" s="178"/>
      <c r="AE548" s="150" t="s">
        <v>12</v>
      </c>
      <c r="AF548" s="180"/>
      <c r="AG548" s="180"/>
      <c r="AH548" s="178">
        <v>46115</v>
      </c>
      <c r="AI548" s="178">
        <v>46149</v>
      </c>
      <c r="AJ548" s="178"/>
      <c r="AK548" s="178" t="s">
        <v>420</v>
      </c>
      <c r="AL548" s="178" t="s">
        <v>420</v>
      </c>
      <c r="AM548" s="143"/>
      <c r="AN548" s="180"/>
      <c r="AO548" s="143">
        <v>105</v>
      </c>
      <c r="AP548" s="143">
        <v>89</v>
      </c>
    </row>
    <row r="549" s="89" customFormat="1" hidden="1" customHeight="1" spans="1:42">
      <c r="A549" s="150">
        <v>46142</v>
      </c>
      <c r="B549" s="150" t="str">
        <f ca="1" t="shared" ref="B549:B558" si="117">IF(TODAY()&gt;=A549,IF(R549="","未",""),"")</f>
        <v/>
      </c>
      <c r="C549" s="171" t="s">
        <v>237</v>
      </c>
      <c r="D549" s="150" t="s">
        <v>919</v>
      </c>
      <c r="E549" s="171" t="s">
        <v>438</v>
      </c>
      <c r="F549" s="172">
        <v>10126615</v>
      </c>
      <c r="G549" s="172">
        <v>288859064</v>
      </c>
      <c r="H549" s="173" t="s">
        <v>113</v>
      </c>
      <c r="I549" s="174" t="str">
        <f>IFERROR(VLOOKUP(H549,名称!A:C,2,0),"")</f>
        <v>绿色铲车</v>
      </c>
      <c r="J549" s="203">
        <v>2132</v>
      </c>
      <c r="K549" s="174">
        <f>IFERROR(VLOOKUP(H549,名称!A:D,3,0),"")</f>
        <v>2</v>
      </c>
      <c r="L549" s="143">
        <f t="shared" ref="L549:L565" si="118">IFERROR((J549/K549),"")</f>
        <v>1066</v>
      </c>
      <c r="M549" s="150">
        <v>46190</v>
      </c>
      <c r="N549" s="150">
        <f t="shared" ref="N549:N565" si="119">M549-2</f>
        <v>46188</v>
      </c>
      <c r="O549" s="196">
        <v>46199</v>
      </c>
      <c r="P549" s="150" t="s">
        <v>435</v>
      </c>
      <c r="Q549" s="204" t="s">
        <v>929</v>
      </c>
      <c r="R549" s="148" t="s">
        <v>602</v>
      </c>
      <c r="S549" s="150"/>
      <c r="T549" s="150"/>
      <c r="U549" s="150"/>
      <c r="V549" s="150"/>
      <c r="W549" s="173"/>
      <c r="X549" s="143" t="s">
        <v>920</v>
      </c>
      <c r="Y549" s="176">
        <v>5.97</v>
      </c>
      <c r="Z549" s="198">
        <f t="shared" ref="Z549:Z565" si="120">J549*Y549</f>
        <v>12728.04</v>
      </c>
      <c r="AA549" s="198">
        <f t="shared" ref="AA549:AA565" si="121">Z549*7.75</f>
        <v>98642.31</v>
      </c>
      <c r="AB549" s="177" t="s">
        <v>965</v>
      </c>
      <c r="AC549" s="150"/>
      <c r="AD549" s="150"/>
      <c r="AE549" s="150" t="str">
        <f>IFERROR(VLOOKUP(H549,名称!A:D,4,0),"")</f>
        <v>KIK</v>
      </c>
      <c r="AF549" s="174"/>
      <c r="AG549" s="174"/>
      <c r="AH549" s="178">
        <v>46134</v>
      </c>
      <c r="AI549" s="178" t="s">
        <v>420</v>
      </c>
      <c r="AJ549" s="178"/>
      <c r="AK549" s="178">
        <v>46177</v>
      </c>
      <c r="AL549" s="178">
        <v>46134</v>
      </c>
      <c r="AM549" s="178"/>
      <c r="AN549" s="178"/>
      <c r="AO549" s="143">
        <f t="shared" ref="AO549:AO558" si="122">M549-A549</f>
        <v>48</v>
      </c>
      <c r="AP549" s="143">
        <f t="shared" ref="AP549:AP558" si="123">M549-AH549</f>
        <v>56</v>
      </c>
    </row>
    <row r="550" s="89" customFormat="1" customHeight="1" spans="1:42">
      <c r="A550" s="150">
        <v>46142</v>
      </c>
      <c r="B550" s="150" t="str">
        <f ca="1" t="shared" si="117"/>
        <v/>
      </c>
      <c r="C550" s="171" t="s">
        <v>237</v>
      </c>
      <c r="D550" s="150" t="s">
        <v>919</v>
      </c>
      <c r="E550" s="171" t="s">
        <v>438</v>
      </c>
      <c r="F550" s="172">
        <v>10126615</v>
      </c>
      <c r="G550" s="172">
        <v>288859064</v>
      </c>
      <c r="H550" s="173" t="s">
        <v>120</v>
      </c>
      <c r="I550" s="174" t="str">
        <f>IFERROR(VLOOKUP(H550,名称!A:C,2,0),"")</f>
        <v>绿色拖拉机</v>
      </c>
      <c r="J550" s="175">
        <v>710</v>
      </c>
      <c r="K550" s="174">
        <f>IFERROR(VLOOKUP(H550,名称!A:D,3,0),"")</f>
        <v>2</v>
      </c>
      <c r="L550" s="143">
        <f t="shared" si="118"/>
        <v>355</v>
      </c>
      <c r="M550" s="150">
        <v>46197</v>
      </c>
      <c r="N550" s="150">
        <f t="shared" si="119"/>
        <v>46195</v>
      </c>
      <c r="O550" s="150">
        <v>46197</v>
      </c>
      <c r="P550" s="150" t="s">
        <v>435</v>
      </c>
      <c r="Q550" s="204" t="s">
        <v>929</v>
      </c>
      <c r="R550" s="148" t="s">
        <v>418</v>
      </c>
      <c r="S550" s="150"/>
      <c r="T550" s="150" t="s">
        <v>452</v>
      </c>
      <c r="U550" s="150"/>
      <c r="V550" s="150"/>
      <c r="W550" s="173"/>
      <c r="X550" s="143" t="s">
        <v>920</v>
      </c>
      <c r="Y550" s="176">
        <v>21.246</v>
      </c>
      <c r="Z550" s="198">
        <f t="shared" si="120"/>
        <v>15084.66</v>
      </c>
      <c r="AA550" s="198">
        <f t="shared" si="121"/>
        <v>116906.12</v>
      </c>
      <c r="AB550" s="177" t="s">
        <v>965</v>
      </c>
      <c r="AC550" s="174"/>
      <c r="AD550" s="178"/>
      <c r="AE550" s="150" t="str">
        <f>IFERROR(VLOOKUP(H550,名称!A:D,4,0),"")</f>
        <v>KIK</v>
      </c>
      <c r="AF550" s="178"/>
      <c r="AG550" s="178"/>
      <c r="AH550" s="178">
        <v>46134</v>
      </c>
      <c r="AI550" s="178">
        <v>46128</v>
      </c>
      <c r="AJ550" s="178"/>
      <c r="AK550" s="178">
        <v>46149</v>
      </c>
      <c r="AL550" s="178">
        <v>46134</v>
      </c>
      <c r="AM550" s="178"/>
      <c r="AN550" s="180"/>
      <c r="AO550" s="143">
        <f t="shared" si="122"/>
        <v>55</v>
      </c>
      <c r="AP550" s="143">
        <f t="shared" si="123"/>
        <v>63</v>
      </c>
    </row>
    <row r="551" s="89" customFormat="1" hidden="1" customHeight="1" spans="1:42">
      <c r="A551" s="150">
        <v>46156</v>
      </c>
      <c r="B551" s="150" t="str">
        <f ca="1" t="shared" si="117"/>
        <v/>
      </c>
      <c r="C551" s="171" t="s">
        <v>236</v>
      </c>
      <c r="D551" s="150" t="s">
        <v>442</v>
      </c>
      <c r="E551" s="171" t="s">
        <v>443</v>
      </c>
      <c r="F551" s="172">
        <v>10127318</v>
      </c>
      <c r="G551" s="172">
        <v>20219135</v>
      </c>
      <c r="H551" s="173" t="s">
        <v>118</v>
      </c>
      <c r="I551" s="174" t="str">
        <f>IFERROR(VLOOKUP(H551,名称!A:C,2,0),"")</f>
        <v>滑板拖车</v>
      </c>
      <c r="J551" s="203">
        <v>120</v>
      </c>
      <c r="K551" s="174">
        <f>IFERROR(VLOOKUP(H551,名称!A:D,3,0),"")</f>
        <v>4</v>
      </c>
      <c r="L551" s="143">
        <f t="shared" si="118"/>
        <v>30</v>
      </c>
      <c r="M551" s="202">
        <v>46232</v>
      </c>
      <c r="N551" s="202">
        <f t="shared" si="119"/>
        <v>46230</v>
      </c>
      <c r="O551" s="196">
        <v>46204</v>
      </c>
      <c r="P551" s="150" t="s">
        <v>435</v>
      </c>
      <c r="Q551" s="173" t="s">
        <v>430</v>
      </c>
      <c r="R551" s="148" t="s">
        <v>883</v>
      </c>
      <c r="S551" s="150"/>
      <c r="T551" s="150" t="s">
        <v>505</v>
      </c>
      <c r="U551" s="150"/>
      <c r="V551" s="150"/>
      <c r="W551" s="173"/>
      <c r="X551" s="143" t="s">
        <v>966</v>
      </c>
      <c r="Y551" s="176">
        <v>16.71</v>
      </c>
      <c r="Z551" s="198">
        <f t="shared" si="120"/>
        <v>2005.2</v>
      </c>
      <c r="AA551" s="198">
        <f t="shared" si="121"/>
        <v>15540.3</v>
      </c>
      <c r="AB551" s="177" t="s">
        <v>842</v>
      </c>
      <c r="AC551" s="150"/>
      <c r="AD551" s="150"/>
      <c r="AE551" s="150" t="str">
        <f>IFERROR(VLOOKUP(H551,名称!A:D,4,0),"")</f>
        <v>KIK</v>
      </c>
      <c r="AF551" s="174"/>
      <c r="AG551" s="174"/>
      <c r="AH551" s="178">
        <v>46134</v>
      </c>
      <c r="AI551" s="178" t="s">
        <v>420</v>
      </c>
      <c r="AJ551" s="178"/>
      <c r="AK551" s="178">
        <v>46163</v>
      </c>
      <c r="AL551" s="178">
        <v>46134</v>
      </c>
      <c r="AM551" s="178"/>
      <c r="AN551" s="178"/>
      <c r="AO551" s="143">
        <f t="shared" si="122"/>
        <v>76</v>
      </c>
      <c r="AP551" s="143">
        <f t="shared" si="123"/>
        <v>98</v>
      </c>
    </row>
    <row r="552" s="89" customFormat="1" hidden="1" customHeight="1" spans="1:42">
      <c r="A552" s="150">
        <v>46095</v>
      </c>
      <c r="B552" s="150" t="str">
        <f ca="1" t="shared" si="117"/>
        <v/>
      </c>
      <c r="C552" s="171" t="s">
        <v>236</v>
      </c>
      <c r="D552" s="150" t="s">
        <v>442</v>
      </c>
      <c r="E552" s="171" t="s">
        <v>443</v>
      </c>
      <c r="F552" s="172">
        <v>10122397</v>
      </c>
      <c r="G552" s="172">
        <v>20218952</v>
      </c>
      <c r="H552" s="173" t="s">
        <v>158</v>
      </c>
      <c r="I552" s="174" t="str">
        <f>IFERROR(VLOOKUP(H552,名称!A:C,2,0),"")</f>
        <v>JD LNS圆轮拖拉机</v>
      </c>
      <c r="J552" s="175">
        <v>300</v>
      </c>
      <c r="K552" s="174">
        <f>IFERROR(VLOOKUP(H552,名称!A:D,3,0),"")</f>
        <v>2</v>
      </c>
      <c r="L552" s="143">
        <f t="shared" si="118"/>
        <v>150</v>
      </c>
      <c r="M552" s="150">
        <v>46204</v>
      </c>
      <c r="N552" s="150">
        <f t="shared" si="119"/>
        <v>46202</v>
      </c>
      <c r="O552" s="147">
        <v>46170</v>
      </c>
      <c r="P552" s="150" t="s">
        <v>435</v>
      </c>
      <c r="Q552" s="173" t="s">
        <v>430</v>
      </c>
      <c r="R552" s="148" t="s">
        <v>445</v>
      </c>
      <c r="S552" s="150" t="s">
        <v>967</v>
      </c>
      <c r="T552" s="150" t="s">
        <v>452</v>
      </c>
      <c r="U552" s="150"/>
      <c r="V552" s="150"/>
      <c r="W552" s="173"/>
      <c r="X552" s="143" t="s">
        <v>452</v>
      </c>
      <c r="Y552" s="176">
        <v>4.792</v>
      </c>
      <c r="Z552" s="198">
        <f t="shared" si="120"/>
        <v>1437.6</v>
      </c>
      <c r="AA552" s="198">
        <f t="shared" si="121"/>
        <v>11141.4</v>
      </c>
      <c r="AB552" s="177" t="s">
        <v>842</v>
      </c>
      <c r="AC552" s="150"/>
      <c r="AD552" s="150"/>
      <c r="AE552" s="150" t="str">
        <f>IFERROR(VLOOKUP(H552,名称!A:D,4,0),"")</f>
        <v>KIK</v>
      </c>
      <c r="AF552" s="174"/>
      <c r="AG552" s="174"/>
      <c r="AH552" s="178">
        <v>46115</v>
      </c>
      <c r="AI552" s="178" t="s">
        <v>420</v>
      </c>
      <c r="AJ552" s="178"/>
      <c r="AK552" s="178" t="s">
        <v>453</v>
      </c>
      <c r="AL552" s="178">
        <v>46128</v>
      </c>
      <c r="AM552" s="178"/>
      <c r="AN552" s="178"/>
      <c r="AO552" s="143">
        <f t="shared" si="122"/>
        <v>109</v>
      </c>
      <c r="AP552" s="143">
        <f t="shared" si="123"/>
        <v>89</v>
      </c>
    </row>
    <row r="553" s="89" customFormat="1" hidden="1" customHeight="1" spans="1:42">
      <c r="A553" s="150">
        <v>46095</v>
      </c>
      <c r="B553" s="150" t="str">
        <f ca="1" t="shared" si="117"/>
        <v/>
      </c>
      <c r="C553" s="171" t="s">
        <v>236</v>
      </c>
      <c r="D553" s="150" t="s">
        <v>442</v>
      </c>
      <c r="E553" s="171" t="s">
        <v>443</v>
      </c>
      <c r="F553" s="172">
        <v>10122397</v>
      </c>
      <c r="G553" s="172">
        <v>20218952</v>
      </c>
      <c r="H553" s="173" t="s">
        <v>111</v>
      </c>
      <c r="I553" s="174" t="str">
        <f>IFERROR(VLOOKUP(H553,名称!A:C,2,0),"")</f>
        <v>黄色铲车</v>
      </c>
      <c r="J553" s="175">
        <v>120</v>
      </c>
      <c r="K553" s="174">
        <f>IFERROR(VLOOKUP(H553,名称!A:D,3,0),"")</f>
        <v>4</v>
      </c>
      <c r="L553" s="143">
        <f t="shared" si="118"/>
        <v>30</v>
      </c>
      <c r="M553" s="150">
        <v>46204</v>
      </c>
      <c r="N553" s="150">
        <f t="shared" si="119"/>
        <v>46202</v>
      </c>
      <c r="O553" s="150">
        <v>46175</v>
      </c>
      <c r="P553" s="150" t="s">
        <v>435</v>
      </c>
      <c r="Q553" s="173" t="s">
        <v>430</v>
      </c>
      <c r="R553" s="148" t="s">
        <v>425</v>
      </c>
      <c r="S553" s="150"/>
      <c r="T553" s="150" t="s">
        <v>452</v>
      </c>
      <c r="U553" s="150"/>
      <c r="V553" s="150"/>
      <c r="W553" s="173"/>
      <c r="X553" s="143" t="s">
        <v>452</v>
      </c>
      <c r="Y553" s="176">
        <v>3.816</v>
      </c>
      <c r="Z553" s="198">
        <f t="shared" si="120"/>
        <v>457.92</v>
      </c>
      <c r="AA553" s="198">
        <f t="shared" si="121"/>
        <v>3548.88</v>
      </c>
      <c r="AB553" s="177" t="s">
        <v>842</v>
      </c>
      <c r="AC553" s="150"/>
      <c r="AD553" s="150"/>
      <c r="AE553" s="150" t="str">
        <f>IFERROR(VLOOKUP(H553,名称!A:D,4,0),"")</f>
        <v>KIK</v>
      </c>
      <c r="AF553" s="174"/>
      <c r="AG553" s="174"/>
      <c r="AH553" s="178">
        <v>46134</v>
      </c>
      <c r="AI553" s="178" t="s">
        <v>420</v>
      </c>
      <c r="AJ553" s="178"/>
      <c r="AK553" s="199">
        <v>46134</v>
      </c>
      <c r="AL553" s="178">
        <v>46134</v>
      </c>
      <c r="AM553" s="178"/>
      <c r="AN553" s="178"/>
      <c r="AO553" s="143">
        <f t="shared" si="122"/>
        <v>109</v>
      </c>
      <c r="AP553" s="143">
        <f t="shared" si="123"/>
        <v>70</v>
      </c>
    </row>
    <row r="554" s="89" customFormat="1" hidden="1" customHeight="1" spans="1:42">
      <c r="A554" s="150">
        <v>46100</v>
      </c>
      <c r="B554" s="150" t="str">
        <f ca="1" t="shared" si="117"/>
        <v/>
      </c>
      <c r="C554" s="171" t="s">
        <v>236</v>
      </c>
      <c r="D554" s="150" t="s">
        <v>442</v>
      </c>
      <c r="E554" s="171" t="s">
        <v>443</v>
      </c>
      <c r="F554" s="172">
        <v>10122856</v>
      </c>
      <c r="G554" s="172">
        <v>20218982</v>
      </c>
      <c r="H554" s="173" t="s">
        <v>111</v>
      </c>
      <c r="I554" s="174" t="str">
        <f>IFERROR(VLOOKUP(H554,名称!A:C,2,0),"")</f>
        <v>黄色铲车</v>
      </c>
      <c r="J554" s="175">
        <v>120</v>
      </c>
      <c r="K554" s="174">
        <f>IFERROR(VLOOKUP(H554,名称!A:D,3,0),"")</f>
        <v>4</v>
      </c>
      <c r="L554" s="143">
        <f t="shared" si="118"/>
        <v>30</v>
      </c>
      <c r="M554" s="150">
        <v>46204</v>
      </c>
      <c r="N554" s="150">
        <f t="shared" si="119"/>
        <v>46202</v>
      </c>
      <c r="O554" s="150">
        <v>46198</v>
      </c>
      <c r="P554" s="150" t="s">
        <v>435</v>
      </c>
      <c r="Q554" s="173" t="s">
        <v>430</v>
      </c>
      <c r="R554" s="148" t="s">
        <v>418</v>
      </c>
      <c r="S554" s="150"/>
      <c r="T554" s="150" t="s">
        <v>452</v>
      </c>
      <c r="U554" s="150"/>
      <c r="V554" s="150"/>
      <c r="W554" s="173"/>
      <c r="X554" s="143"/>
      <c r="Y554" s="176">
        <v>3.816</v>
      </c>
      <c r="Z554" s="198">
        <f t="shared" si="120"/>
        <v>457.92</v>
      </c>
      <c r="AA554" s="198">
        <f t="shared" si="121"/>
        <v>3548.88</v>
      </c>
      <c r="AB554" s="177" t="s">
        <v>968</v>
      </c>
      <c r="AC554" s="150"/>
      <c r="AD554" s="150"/>
      <c r="AE554" s="150" t="str">
        <f>IFERROR(VLOOKUP(H554,名称!A:D,4,0),"")</f>
        <v>KIK</v>
      </c>
      <c r="AF554" s="174"/>
      <c r="AG554" s="174"/>
      <c r="AH554" s="178">
        <v>46146</v>
      </c>
      <c r="AI554" s="178" t="s">
        <v>420</v>
      </c>
      <c r="AJ554" s="178"/>
      <c r="AK554" s="199">
        <v>46134</v>
      </c>
      <c r="AL554" s="178">
        <v>46134</v>
      </c>
      <c r="AM554" s="178"/>
      <c r="AN554" s="178"/>
      <c r="AO554" s="143">
        <f t="shared" si="122"/>
        <v>104</v>
      </c>
      <c r="AP554" s="143">
        <f t="shared" si="123"/>
        <v>58</v>
      </c>
    </row>
    <row r="555" s="89" customFormat="1" hidden="1" customHeight="1" spans="1:42">
      <c r="A555" s="150">
        <v>46100</v>
      </c>
      <c r="B555" s="150" t="str">
        <f ca="1" t="shared" si="117"/>
        <v/>
      </c>
      <c r="C555" s="171" t="s">
        <v>236</v>
      </c>
      <c r="D555" s="150" t="s">
        <v>442</v>
      </c>
      <c r="E555" s="171" t="s">
        <v>443</v>
      </c>
      <c r="F555" s="172">
        <v>10122856</v>
      </c>
      <c r="G555" s="172">
        <v>20218982</v>
      </c>
      <c r="H555" s="173" t="s">
        <v>35</v>
      </c>
      <c r="I555" s="174" t="str">
        <f>IFERROR(VLOOKUP(H555,名称!A:C,2,0),"")</f>
        <v>1:16拖车厢</v>
      </c>
      <c r="J555" s="175">
        <v>120</v>
      </c>
      <c r="K555" s="174">
        <f>IFERROR(VLOOKUP(H555,名称!A:D,3,0),"")</f>
        <v>2</v>
      </c>
      <c r="L555" s="143">
        <f t="shared" si="118"/>
        <v>60</v>
      </c>
      <c r="M555" s="150">
        <v>46204</v>
      </c>
      <c r="N555" s="150">
        <f t="shared" si="119"/>
        <v>46202</v>
      </c>
      <c r="O555" s="196">
        <v>46205</v>
      </c>
      <c r="P555" s="150" t="s">
        <v>435</v>
      </c>
      <c r="Q555" s="173" t="s">
        <v>430</v>
      </c>
      <c r="R555" s="148" t="s">
        <v>826</v>
      </c>
      <c r="S555" s="150" t="s">
        <v>395</v>
      </c>
      <c r="T555" s="150"/>
      <c r="U555" s="150"/>
      <c r="V555" s="150"/>
      <c r="W555" s="173"/>
      <c r="X555" s="143"/>
      <c r="Y555" s="176">
        <v>22.9</v>
      </c>
      <c r="Z555" s="198">
        <f t="shared" si="120"/>
        <v>2748</v>
      </c>
      <c r="AA555" s="198">
        <f t="shared" si="121"/>
        <v>21297</v>
      </c>
      <c r="AB555" s="177" t="s">
        <v>968</v>
      </c>
      <c r="AC555" s="150"/>
      <c r="AD555" s="150"/>
      <c r="AE555" s="150" t="str">
        <f>IFERROR(VLOOKUP(H555,名称!A:D,4,0),"")</f>
        <v>KIK</v>
      </c>
      <c r="AF555" s="174"/>
      <c r="AG555" s="174"/>
      <c r="AH555" s="178">
        <v>46146</v>
      </c>
      <c r="AI555" s="178">
        <v>46171</v>
      </c>
      <c r="AJ555" s="178"/>
      <c r="AK555" s="178">
        <v>46146</v>
      </c>
      <c r="AL555" s="178">
        <v>46140</v>
      </c>
      <c r="AM555" s="178"/>
      <c r="AN555" s="178"/>
      <c r="AO555" s="143">
        <f t="shared" si="122"/>
        <v>104</v>
      </c>
      <c r="AP555" s="143">
        <f t="shared" si="123"/>
        <v>58</v>
      </c>
    </row>
    <row r="556" s="89" customFormat="1" hidden="1" customHeight="1" spans="1:42">
      <c r="A556" s="150">
        <v>46100</v>
      </c>
      <c r="B556" s="150" t="str">
        <f ca="1" t="shared" si="117"/>
        <v/>
      </c>
      <c r="C556" s="171" t="s">
        <v>236</v>
      </c>
      <c r="D556" s="150" t="s">
        <v>442</v>
      </c>
      <c r="E556" s="171" t="s">
        <v>443</v>
      </c>
      <c r="F556" s="172">
        <v>10122856</v>
      </c>
      <c r="G556" s="172">
        <v>20218982</v>
      </c>
      <c r="H556" s="173" t="s">
        <v>31</v>
      </c>
      <c r="I556" s="174" t="str">
        <f>IFERROR(VLOOKUP(H556,名称!A:C,2,0),"")</f>
        <v>1:16收割机</v>
      </c>
      <c r="J556" s="175">
        <v>300</v>
      </c>
      <c r="K556" s="174">
        <f>IFERROR(VLOOKUP(H556,名称!A:D,3,0),"")</f>
        <v>1</v>
      </c>
      <c r="L556" s="143">
        <f t="shared" si="118"/>
        <v>300</v>
      </c>
      <c r="M556" s="150">
        <v>46204</v>
      </c>
      <c r="N556" s="150">
        <f t="shared" si="119"/>
        <v>46202</v>
      </c>
      <c r="O556" s="150">
        <v>46192</v>
      </c>
      <c r="P556" s="150" t="s">
        <v>435</v>
      </c>
      <c r="Q556" s="173" t="s">
        <v>430</v>
      </c>
      <c r="R556" s="148" t="s">
        <v>826</v>
      </c>
      <c r="S556" s="150"/>
      <c r="T556" s="150" t="s">
        <v>452</v>
      </c>
      <c r="U556" s="150"/>
      <c r="V556" s="150"/>
      <c r="W556" s="173"/>
      <c r="X556" s="143"/>
      <c r="Y556" s="176">
        <v>29.652</v>
      </c>
      <c r="Z556" s="198">
        <f t="shared" si="120"/>
        <v>8895.6</v>
      </c>
      <c r="AA556" s="198">
        <f t="shared" si="121"/>
        <v>68940.9</v>
      </c>
      <c r="AB556" s="177" t="s">
        <v>968</v>
      </c>
      <c r="AC556" s="174"/>
      <c r="AD556" s="178"/>
      <c r="AE556" s="150" t="s">
        <v>12</v>
      </c>
      <c r="AF556" s="178"/>
      <c r="AG556" s="178"/>
      <c r="AH556" s="178">
        <v>46149</v>
      </c>
      <c r="AI556" s="178"/>
      <c r="AJ556" s="178"/>
      <c r="AK556" s="178">
        <v>46158</v>
      </c>
      <c r="AL556" s="179">
        <v>46140</v>
      </c>
      <c r="AM556" s="143"/>
      <c r="AN556" s="180"/>
      <c r="AO556" s="143">
        <f t="shared" si="122"/>
        <v>104</v>
      </c>
      <c r="AP556" s="143">
        <f t="shared" si="123"/>
        <v>55</v>
      </c>
    </row>
    <row r="557" s="89" customFormat="1" hidden="1" customHeight="1" spans="1:42">
      <c r="A557" s="150">
        <v>46100</v>
      </c>
      <c r="B557" s="150" t="str">
        <f ca="1" t="shared" si="117"/>
        <v/>
      </c>
      <c r="C557" s="171" t="s">
        <v>236</v>
      </c>
      <c r="D557" s="150" t="s">
        <v>442</v>
      </c>
      <c r="E557" s="171" t="s">
        <v>443</v>
      </c>
      <c r="F557" s="172">
        <v>10122856</v>
      </c>
      <c r="G557" s="172">
        <v>20218982</v>
      </c>
      <c r="H557" s="173" t="s">
        <v>87</v>
      </c>
      <c r="I557" s="174" t="str">
        <f>IFERROR(VLOOKUP(H557,名称!A:C,2,0),"")</f>
        <v>1:16收割机</v>
      </c>
      <c r="J557" s="175">
        <v>120</v>
      </c>
      <c r="K557" s="174">
        <f>IFERROR(VLOOKUP(H557,名称!A:D,3,0),"")</f>
        <v>1</v>
      </c>
      <c r="L557" s="143">
        <f t="shared" si="118"/>
        <v>120</v>
      </c>
      <c r="M557" s="150">
        <v>46204</v>
      </c>
      <c r="N557" s="150">
        <f t="shared" si="119"/>
        <v>46202</v>
      </c>
      <c r="O557" s="150">
        <v>46200</v>
      </c>
      <c r="P557" s="150" t="s">
        <v>435</v>
      </c>
      <c r="Q557" s="173" t="s">
        <v>430</v>
      </c>
      <c r="R557" s="148" t="s">
        <v>431</v>
      </c>
      <c r="S557" s="150"/>
      <c r="T557" s="150"/>
      <c r="U557" s="150"/>
      <c r="V557" s="150"/>
      <c r="W557" s="173"/>
      <c r="X557" s="143"/>
      <c r="Y557" s="176">
        <v>31.4</v>
      </c>
      <c r="Z557" s="198">
        <f t="shared" si="120"/>
        <v>3768</v>
      </c>
      <c r="AA557" s="198">
        <f t="shared" si="121"/>
        <v>29202</v>
      </c>
      <c r="AB557" s="177" t="s">
        <v>968</v>
      </c>
      <c r="AC557" s="174"/>
      <c r="AD557" s="178"/>
      <c r="AE557" s="150" t="s">
        <v>12</v>
      </c>
      <c r="AF557" s="178"/>
      <c r="AG557" s="178"/>
      <c r="AH557" s="178">
        <v>46149</v>
      </c>
      <c r="AI557" s="178">
        <v>46158</v>
      </c>
      <c r="AJ557" s="178"/>
      <c r="AK557" s="178">
        <v>46154</v>
      </c>
      <c r="AL557" s="179">
        <v>46140</v>
      </c>
      <c r="AM557" s="143"/>
      <c r="AN557" s="180"/>
      <c r="AO557" s="143">
        <f t="shared" si="122"/>
        <v>104</v>
      </c>
      <c r="AP557" s="143">
        <f t="shared" si="123"/>
        <v>55</v>
      </c>
    </row>
    <row r="558" s="89" customFormat="1" customHeight="1" spans="1:42">
      <c r="A558" s="150">
        <v>46000</v>
      </c>
      <c r="B558" s="150" t="str">
        <f ca="1" t="shared" si="117"/>
        <v/>
      </c>
      <c r="C558" s="171" t="s">
        <v>236</v>
      </c>
      <c r="D558" s="150" t="s">
        <v>442</v>
      </c>
      <c r="E558" s="171" t="s">
        <v>519</v>
      </c>
      <c r="F558" s="172">
        <v>10116617</v>
      </c>
      <c r="G558" s="172">
        <v>20218811</v>
      </c>
      <c r="H558" s="173" t="s">
        <v>120</v>
      </c>
      <c r="I558" s="174" t="str">
        <f>IFERROR(VLOOKUP(H558,名称!A:C,2,0),"")</f>
        <v>绿色拖拉机</v>
      </c>
      <c r="J558" s="175">
        <v>420</v>
      </c>
      <c r="K558" s="174">
        <f>IFERROR(VLOOKUP(H558,名称!A:D,3,0),"")</f>
        <v>2</v>
      </c>
      <c r="L558" s="143">
        <f t="shared" si="118"/>
        <v>210</v>
      </c>
      <c r="M558" s="150">
        <v>46204</v>
      </c>
      <c r="N558" s="150">
        <f t="shared" si="119"/>
        <v>46202</v>
      </c>
      <c r="O558" s="150">
        <v>46177</v>
      </c>
      <c r="P558" s="150" t="s">
        <v>423</v>
      </c>
      <c r="Q558" s="173" t="s">
        <v>430</v>
      </c>
      <c r="R558" s="148" t="s">
        <v>418</v>
      </c>
      <c r="S558" s="150" t="s">
        <v>593</v>
      </c>
      <c r="T558" s="150" t="s">
        <v>452</v>
      </c>
      <c r="U558" s="150"/>
      <c r="V558" s="150"/>
      <c r="W558" s="173"/>
      <c r="X558" s="143"/>
      <c r="Y558" s="176">
        <v>21.352</v>
      </c>
      <c r="Z558" s="198">
        <f t="shared" si="120"/>
        <v>8967.84</v>
      </c>
      <c r="AA558" s="198">
        <f t="shared" si="121"/>
        <v>69500.76</v>
      </c>
      <c r="AB558" s="177" t="s">
        <v>912</v>
      </c>
      <c r="AC558" s="174"/>
      <c r="AD558" s="178"/>
      <c r="AE558" s="150" t="s">
        <v>12</v>
      </c>
      <c r="AF558" s="178"/>
      <c r="AG558" s="178"/>
      <c r="AH558" s="178">
        <v>46107</v>
      </c>
      <c r="AI558" s="178">
        <v>46128</v>
      </c>
      <c r="AJ558" s="178"/>
      <c r="AK558" s="178">
        <v>46105</v>
      </c>
      <c r="AL558" s="178">
        <v>46134</v>
      </c>
      <c r="AM558" s="197"/>
      <c r="AN558" s="178">
        <v>46105</v>
      </c>
      <c r="AO558" s="143">
        <f t="shared" si="122"/>
        <v>204</v>
      </c>
      <c r="AP558" s="143">
        <f t="shared" si="123"/>
        <v>97</v>
      </c>
    </row>
    <row r="559" s="89" customFormat="1" hidden="1" customHeight="1" spans="1:42">
      <c r="A559" s="150">
        <v>46000</v>
      </c>
      <c r="B559" s="150"/>
      <c r="C559" s="171" t="s">
        <v>236</v>
      </c>
      <c r="D559" s="196" t="s">
        <v>442</v>
      </c>
      <c r="E559" s="171" t="s">
        <v>519</v>
      </c>
      <c r="F559" s="172">
        <v>10116617</v>
      </c>
      <c r="G559" s="172">
        <v>20218811</v>
      </c>
      <c r="H559" s="204" t="s">
        <v>118</v>
      </c>
      <c r="I559" s="174" t="str">
        <f>IFERROR(VLOOKUP(H559,名称!A:C,2,0),"")</f>
        <v>滑板拖车</v>
      </c>
      <c r="J559" s="175">
        <v>152</v>
      </c>
      <c r="K559" s="174">
        <v>4</v>
      </c>
      <c r="L559" s="143">
        <f t="shared" si="118"/>
        <v>38</v>
      </c>
      <c r="M559" s="150">
        <v>46204</v>
      </c>
      <c r="N559" s="150">
        <f t="shared" si="119"/>
        <v>46202</v>
      </c>
      <c r="O559" s="150">
        <v>46177</v>
      </c>
      <c r="P559" s="150" t="s">
        <v>423</v>
      </c>
      <c r="Q559" s="173" t="s">
        <v>430</v>
      </c>
      <c r="R559" s="148"/>
      <c r="S559" s="150"/>
      <c r="T559" s="150"/>
      <c r="U559" s="150"/>
      <c r="V559" s="150"/>
      <c r="W559" s="173"/>
      <c r="X559" s="143"/>
      <c r="Y559" s="176">
        <v>16.71</v>
      </c>
      <c r="Z559" s="198">
        <f t="shared" si="120"/>
        <v>2539.92</v>
      </c>
      <c r="AA559" s="198">
        <f t="shared" si="121"/>
        <v>19684.38</v>
      </c>
      <c r="AB559" s="177" t="s">
        <v>912</v>
      </c>
      <c r="AC559" s="174"/>
      <c r="AD559" s="178"/>
      <c r="AE559" s="150" t="s">
        <v>12</v>
      </c>
      <c r="AF559" s="178"/>
      <c r="AG559" s="178"/>
      <c r="AH559" s="178"/>
      <c r="AI559" s="178"/>
      <c r="AJ559" s="178"/>
      <c r="AK559" s="178"/>
      <c r="AL559" s="178"/>
      <c r="AM559" s="197"/>
      <c r="AN559" s="178"/>
      <c r="AO559" s="143"/>
      <c r="AP559" s="143"/>
    </row>
    <row r="560" s="119" customFormat="1" hidden="1" customHeight="1" spans="1:42">
      <c r="A560" s="150">
        <v>46109</v>
      </c>
      <c r="B560" s="150" t="str">
        <f ca="1" t="shared" ref="B560:B565" si="124">IF(TODAY()&gt;=A560,IF(R560="","未",""),"")</f>
        <v/>
      </c>
      <c r="C560" s="171" t="s">
        <v>236</v>
      </c>
      <c r="D560" s="150" t="s">
        <v>442</v>
      </c>
      <c r="E560" s="171" t="s">
        <v>519</v>
      </c>
      <c r="F560" s="172">
        <v>10123472</v>
      </c>
      <c r="G560" s="172">
        <v>20219018</v>
      </c>
      <c r="H560" s="173" t="s">
        <v>95</v>
      </c>
      <c r="I560" s="174" t="str">
        <f>IFERROR(VLOOKUP(H560,名称!A:C,2,0),"")</f>
        <v>宝箱马里奥</v>
      </c>
      <c r="J560" s="175">
        <v>1000</v>
      </c>
      <c r="K560" s="174">
        <f>IFERROR(VLOOKUP(H560,名称!A:D,3,0),"")</f>
        <v>4</v>
      </c>
      <c r="L560" s="143">
        <f t="shared" si="118"/>
        <v>250</v>
      </c>
      <c r="M560" s="150">
        <v>46204</v>
      </c>
      <c r="N560" s="150">
        <f t="shared" si="119"/>
        <v>46202</v>
      </c>
      <c r="O560" s="196">
        <v>46204</v>
      </c>
      <c r="P560" s="150" t="s">
        <v>435</v>
      </c>
      <c r="Q560" s="173" t="s">
        <v>430</v>
      </c>
      <c r="R560" s="148" t="s">
        <v>700</v>
      </c>
      <c r="S560" s="150"/>
      <c r="T560" s="150"/>
      <c r="U560" s="150"/>
      <c r="V560" s="150"/>
      <c r="W560" s="173"/>
      <c r="X560" s="143"/>
      <c r="Y560" s="176">
        <v>2.205</v>
      </c>
      <c r="Z560" s="198">
        <f t="shared" si="120"/>
        <v>2205</v>
      </c>
      <c r="AA560" s="198">
        <f t="shared" si="121"/>
        <v>17088.75</v>
      </c>
      <c r="AB560" s="177" t="s">
        <v>912</v>
      </c>
      <c r="AC560" s="150"/>
      <c r="AD560" s="150"/>
      <c r="AE560" s="150" t="str">
        <f>IFERROR(VLOOKUP(H560,名称!A:D,4,0),"")</f>
        <v>KIK</v>
      </c>
      <c r="AF560" s="174"/>
      <c r="AG560" s="174"/>
      <c r="AH560" s="178">
        <v>46134</v>
      </c>
      <c r="AI560" s="178"/>
      <c r="AJ560" s="178"/>
      <c r="AK560" s="178" t="s">
        <v>420</v>
      </c>
      <c r="AL560" s="178" t="s">
        <v>420</v>
      </c>
      <c r="AM560" s="178"/>
      <c r="AN560" s="178"/>
      <c r="AO560" s="143">
        <f t="shared" ref="AO560:AO565" si="125">M560-A560</f>
        <v>95</v>
      </c>
      <c r="AP560" s="143">
        <f t="shared" ref="AP560:AP565" si="126">M560-AH560</f>
        <v>70</v>
      </c>
    </row>
    <row r="561" s="89" customFormat="1" hidden="1" customHeight="1" spans="1:42">
      <c r="A561" s="150">
        <v>46044</v>
      </c>
      <c r="B561" s="150" t="str">
        <f ca="1" t="shared" si="124"/>
        <v/>
      </c>
      <c r="C561" s="171" t="s">
        <v>236</v>
      </c>
      <c r="D561" s="150" t="s">
        <v>442</v>
      </c>
      <c r="E561" s="171" t="s">
        <v>443</v>
      </c>
      <c r="F561" s="172">
        <v>10119563</v>
      </c>
      <c r="G561" s="172">
        <v>20218876</v>
      </c>
      <c r="H561" s="173" t="s">
        <v>62</v>
      </c>
      <c r="I561" s="174" t="str">
        <f>IFERROR(VLOOKUP(H561,名称!A:C,2,0),"")</f>
        <v>泡泡壶</v>
      </c>
      <c r="J561" s="175">
        <v>1100</v>
      </c>
      <c r="K561" s="174">
        <f>IFERROR(VLOOKUP(H561,名称!A:D,3,0),"")</f>
        <v>4</v>
      </c>
      <c r="L561" s="143">
        <f t="shared" si="118"/>
        <v>275</v>
      </c>
      <c r="M561" s="150">
        <v>46204</v>
      </c>
      <c r="N561" s="150">
        <f t="shared" si="119"/>
        <v>46202</v>
      </c>
      <c r="O561" s="150">
        <v>46129</v>
      </c>
      <c r="P561" s="150" t="s">
        <v>717</v>
      </c>
      <c r="Q561" s="173" t="s">
        <v>430</v>
      </c>
      <c r="R561" s="148" t="s">
        <v>425</v>
      </c>
      <c r="S561" s="150"/>
      <c r="T561" s="150"/>
      <c r="U561" s="150"/>
      <c r="V561" s="150"/>
      <c r="W561" s="173"/>
      <c r="X561" s="143" t="s">
        <v>769</v>
      </c>
      <c r="Y561" s="176">
        <v>3.243</v>
      </c>
      <c r="Z561" s="198">
        <f t="shared" si="120"/>
        <v>3567.3</v>
      </c>
      <c r="AA561" s="198">
        <f t="shared" si="121"/>
        <v>27646.58</v>
      </c>
      <c r="AB561" s="177" t="s">
        <v>969</v>
      </c>
      <c r="AC561" s="150"/>
      <c r="AD561" s="150"/>
      <c r="AE561" s="150" t="str">
        <f>IFERROR(VLOOKUP(H561,名称!A:D,4,0),"")</f>
        <v>KIK</v>
      </c>
      <c r="AF561" s="174"/>
      <c r="AG561" s="174"/>
      <c r="AH561" s="178">
        <v>46059</v>
      </c>
      <c r="AI561" s="178" t="s">
        <v>420</v>
      </c>
      <c r="AJ561" s="178"/>
      <c r="AK561" s="178" t="s">
        <v>420</v>
      </c>
      <c r="AL561" s="178">
        <v>46139</v>
      </c>
      <c r="AM561" s="178"/>
      <c r="AN561" s="178"/>
      <c r="AO561" s="143">
        <f t="shared" si="125"/>
        <v>160</v>
      </c>
      <c r="AP561" s="143">
        <f t="shared" si="126"/>
        <v>145</v>
      </c>
    </row>
    <row r="562" s="89" customFormat="1" hidden="1" customHeight="1" spans="1:42">
      <c r="A562" s="150">
        <v>46151</v>
      </c>
      <c r="B562" s="150" t="str">
        <f ca="1" t="shared" si="124"/>
        <v/>
      </c>
      <c r="C562" s="171" t="s">
        <v>236</v>
      </c>
      <c r="D562" s="150" t="s">
        <v>442</v>
      </c>
      <c r="E562" s="171" t="s">
        <v>443</v>
      </c>
      <c r="F562" s="172">
        <v>10127016</v>
      </c>
      <c r="G562" s="172">
        <v>20219123</v>
      </c>
      <c r="H562" s="173" t="s">
        <v>95</v>
      </c>
      <c r="I562" s="174" t="str">
        <f>IFERROR(VLOOKUP(H562,名称!A:C,2,0),"")</f>
        <v>宝箱马里奥</v>
      </c>
      <c r="J562" s="203">
        <v>2000</v>
      </c>
      <c r="K562" s="174">
        <f>IFERROR(VLOOKUP(H562,名称!A:D,3,0),"")</f>
        <v>4</v>
      </c>
      <c r="L562" s="143">
        <f t="shared" si="118"/>
        <v>500</v>
      </c>
      <c r="M562" s="150">
        <v>46204</v>
      </c>
      <c r="N562" s="150">
        <f t="shared" si="119"/>
        <v>46202</v>
      </c>
      <c r="O562" s="196">
        <v>46204</v>
      </c>
      <c r="P562" s="150" t="s">
        <v>435</v>
      </c>
      <c r="Q562" s="173" t="s">
        <v>430</v>
      </c>
      <c r="R562" s="148" t="s">
        <v>418</v>
      </c>
      <c r="S562" s="150"/>
      <c r="T562" s="150"/>
      <c r="U562" s="150"/>
      <c r="V562" s="150"/>
      <c r="W562" s="173"/>
      <c r="X562" s="143" t="s">
        <v>970</v>
      </c>
      <c r="Y562" s="176">
        <v>2.205</v>
      </c>
      <c r="Z562" s="198">
        <f t="shared" si="120"/>
        <v>4410</v>
      </c>
      <c r="AA562" s="198">
        <f t="shared" si="121"/>
        <v>34177.5</v>
      </c>
      <c r="AB562" s="177" t="s">
        <v>969</v>
      </c>
      <c r="AC562" s="150"/>
      <c r="AD562" s="150"/>
      <c r="AE562" s="150" t="str">
        <f>IFERROR(VLOOKUP(H562,名称!A:D,4,0),"")</f>
        <v>KIK</v>
      </c>
      <c r="AF562" s="174"/>
      <c r="AG562" s="174"/>
      <c r="AH562" s="178">
        <v>46134</v>
      </c>
      <c r="AI562" s="178"/>
      <c r="AJ562" s="178"/>
      <c r="AK562" s="178" t="s">
        <v>420</v>
      </c>
      <c r="AL562" s="178" t="s">
        <v>420</v>
      </c>
      <c r="AM562" s="178"/>
      <c r="AN562" s="178"/>
      <c r="AO562" s="143">
        <f t="shared" si="125"/>
        <v>53</v>
      </c>
      <c r="AP562" s="143">
        <f t="shared" si="126"/>
        <v>70</v>
      </c>
    </row>
    <row r="563" s="89" customFormat="1" hidden="1" customHeight="1" spans="1:42">
      <c r="A563" s="150">
        <v>46044</v>
      </c>
      <c r="B563" s="150" t="str">
        <f ca="1" t="shared" si="124"/>
        <v/>
      </c>
      <c r="C563" s="171" t="s">
        <v>236</v>
      </c>
      <c r="D563" s="150" t="s">
        <v>442</v>
      </c>
      <c r="E563" s="171" t="s">
        <v>443</v>
      </c>
      <c r="F563" s="172">
        <v>10119622</v>
      </c>
      <c r="G563" s="172">
        <v>20218877</v>
      </c>
      <c r="H563" s="173" t="s">
        <v>142</v>
      </c>
      <c r="I563" s="174" t="str">
        <f>IFERROR(VLOOKUP(H563,名称!A:C,2,0),"")</f>
        <v>浮水马里奥</v>
      </c>
      <c r="J563" s="175">
        <v>2400</v>
      </c>
      <c r="K563" s="174">
        <f>IFERROR(VLOOKUP(H563,名称!A:D,3,0),"")</f>
        <v>3</v>
      </c>
      <c r="L563" s="143">
        <f t="shared" si="118"/>
        <v>800</v>
      </c>
      <c r="M563" s="150">
        <v>46204</v>
      </c>
      <c r="N563" s="150">
        <f t="shared" si="119"/>
        <v>46202</v>
      </c>
      <c r="O563" s="196">
        <v>46200</v>
      </c>
      <c r="P563" s="150" t="s">
        <v>435</v>
      </c>
      <c r="Q563" s="173" t="s">
        <v>430</v>
      </c>
      <c r="R563" s="148" t="s">
        <v>763</v>
      </c>
      <c r="S563" s="150"/>
      <c r="T563" s="150"/>
      <c r="U563" s="150"/>
      <c r="V563" s="150"/>
      <c r="W563" s="173"/>
      <c r="X563" s="143"/>
      <c r="Y563" s="176">
        <v>3.182</v>
      </c>
      <c r="Z563" s="198">
        <f t="shared" si="120"/>
        <v>7636.8</v>
      </c>
      <c r="AA563" s="198">
        <f t="shared" si="121"/>
        <v>59185.2</v>
      </c>
      <c r="AB563" s="177" t="s">
        <v>969</v>
      </c>
      <c r="AC563" s="150"/>
      <c r="AD563" s="150"/>
      <c r="AE563" s="150" t="str">
        <f>IFERROR(VLOOKUP(H563,名称!A:D,4,0),"")</f>
        <v>KIK</v>
      </c>
      <c r="AF563" s="174"/>
      <c r="AG563" s="174"/>
      <c r="AH563" s="178">
        <v>46139</v>
      </c>
      <c r="AI563" s="178">
        <v>46149</v>
      </c>
      <c r="AJ563" s="178"/>
      <c r="AK563" s="178" t="s">
        <v>420</v>
      </c>
      <c r="AL563" s="178">
        <v>46134</v>
      </c>
      <c r="AM563" s="178"/>
      <c r="AN563" s="178">
        <v>46141</v>
      </c>
      <c r="AO563" s="143">
        <f t="shared" si="125"/>
        <v>160</v>
      </c>
      <c r="AP563" s="143">
        <f t="shared" si="126"/>
        <v>65</v>
      </c>
    </row>
    <row r="564" s="89" customFormat="1" hidden="1" customHeight="1" spans="1:42">
      <c r="A564" s="150">
        <v>46028</v>
      </c>
      <c r="B564" s="150" t="str">
        <f ca="1" t="shared" si="124"/>
        <v/>
      </c>
      <c r="C564" s="171" t="s">
        <v>236</v>
      </c>
      <c r="D564" s="150" t="s">
        <v>442</v>
      </c>
      <c r="E564" s="171" t="s">
        <v>443</v>
      </c>
      <c r="F564" s="172">
        <v>10118393</v>
      </c>
      <c r="G564" s="172">
        <v>20218861</v>
      </c>
      <c r="H564" s="173" t="s">
        <v>53</v>
      </c>
      <c r="I564" s="174" t="str">
        <f>IFERROR(VLOOKUP(H564,名称!A:C,2,0),"")</f>
        <v>布鲁伊+宾果沐浴玩具混装</v>
      </c>
      <c r="J564" s="175">
        <v>3000</v>
      </c>
      <c r="K564" s="174">
        <f>IFERROR(VLOOKUP(H564,名称!A:D,3,0),"")</f>
        <v>6</v>
      </c>
      <c r="L564" s="143">
        <f t="shared" si="118"/>
        <v>500</v>
      </c>
      <c r="M564" s="150">
        <v>46204</v>
      </c>
      <c r="N564" s="150">
        <f t="shared" si="119"/>
        <v>46202</v>
      </c>
      <c r="O564" s="150">
        <v>46155</v>
      </c>
      <c r="P564" s="150" t="s">
        <v>423</v>
      </c>
      <c r="Q564" s="173" t="s">
        <v>430</v>
      </c>
      <c r="R564" s="148" t="s">
        <v>779</v>
      </c>
      <c r="S564" s="150"/>
      <c r="T564" s="150"/>
      <c r="U564" s="150"/>
      <c r="V564" s="150"/>
      <c r="W564" s="173"/>
      <c r="X564" s="143"/>
      <c r="Y564" s="176">
        <v>1.398</v>
      </c>
      <c r="Z564" s="198">
        <f t="shared" si="120"/>
        <v>4194</v>
      </c>
      <c r="AA564" s="198">
        <f t="shared" si="121"/>
        <v>32503.5</v>
      </c>
      <c r="AB564" s="177" t="s">
        <v>969</v>
      </c>
      <c r="AC564" s="150"/>
      <c r="AD564" s="150"/>
      <c r="AE564" s="150" t="str">
        <f>IFERROR(VLOOKUP(H564,名称!A:D,4,0),"")</f>
        <v>KIK</v>
      </c>
      <c r="AF564" s="174"/>
      <c r="AG564" s="174"/>
      <c r="AH564" s="178" t="s">
        <v>522</v>
      </c>
      <c r="AI564" s="206" t="s">
        <v>420</v>
      </c>
      <c r="AJ564" s="178"/>
      <c r="AK564" s="206" t="s">
        <v>420</v>
      </c>
      <c r="AL564" s="178"/>
      <c r="AM564" s="178"/>
      <c r="AN564" s="178"/>
      <c r="AO564" s="143">
        <f t="shared" si="125"/>
        <v>176</v>
      </c>
      <c r="AP564" s="143" t="e">
        <f t="shared" si="126"/>
        <v>#VALUE!</v>
      </c>
    </row>
    <row r="565" s="89" customFormat="1" hidden="1" customHeight="1" spans="1:42">
      <c r="A565" s="150">
        <v>46107</v>
      </c>
      <c r="B565" s="150" t="str">
        <f ca="1" t="shared" si="124"/>
        <v/>
      </c>
      <c r="C565" s="171" t="s">
        <v>237</v>
      </c>
      <c r="D565" s="150" t="s">
        <v>838</v>
      </c>
      <c r="E565" s="171" t="s">
        <v>438</v>
      </c>
      <c r="F565" s="172">
        <v>10123382</v>
      </c>
      <c r="G565" s="172" t="s">
        <v>269</v>
      </c>
      <c r="H565" s="173" t="s">
        <v>113</v>
      </c>
      <c r="I565" s="174" t="str">
        <f>IFERROR(VLOOKUP(H565,名称!A:C,2,0),"")</f>
        <v>绿色铲车</v>
      </c>
      <c r="J565" s="175">
        <v>4360</v>
      </c>
      <c r="K565" s="174">
        <f>IFERROR(VLOOKUP(H565,名称!A:D,3,0),"")</f>
        <v>2</v>
      </c>
      <c r="L565" s="143">
        <f t="shared" si="118"/>
        <v>2180</v>
      </c>
      <c r="M565" s="150">
        <v>46176</v>
      </c>
      <c r="N565" s="150">
        <f t="shared" si="119"/>
        <v>46174</v>
      </c>
      <c r="O565" s="147">
        <v>46183</v>
      </c>
      <c r="P565" s="150" t="s">
        <v>435</v>
      </c>
      <c r="Q565" s="173" t="s">
        <v>777</v>
      </c>
      <c r="R565" s="148" t="s">
        <v>771</v>
      </c>
      <c r="S565" s="150"/>
      <c r="T565" s="150" t="s">
        <v>452</v>
      </c>
      <c r="U565" s="150"/>
      <c r="V565" s="150"/>
      <c r="W565" s="173"/>
      <c r="X565" s="143" t="s">
        <v>839</v>
      </c>
      <c r="Y565" s="176">
        <v>5.97</v>
      </c>
      <c r="Z565" s="198">
        <f t="shared" si="120"/>
        <v>26029.2</v>
      </c>
      <c r="AA565" s="198">
        <f t="shared" si="121"/>
        <v>201726.3</v>
      </c>
      <c r="AB565" s="177" t="s">
        <v>971</v>
      </c>
      <c r="AC565" s="150"/>
      <c r="AD565" s="150"/>
      <c r="AE565" s="150" t="str">
        <f>IFERROR(VLOOKUP(H565,名称!A:D,4,0),"")</f>
        <v>KIK</v>
      </c>
      <c r="AF565" s="174"/>
      <c r="AG565" s="174"/>
      <c r="AH565" s="178">
        <v>46134</v>
      </c>
      <c r="AI565" s="178" t="s">
        <v>420</v>
      </c>
      <c r="AJ565" s="178"/>
      <c r="AK565" s="178">
        <v>46140</v>
      </c>
      <c r="AL565" s="178">
        <v>46134</v>
      </c>
      <c r="AM565" s="178"/>
      <c r="AN565" s="178"/>
      <c r="AO565" s="143">
        <f t="shared" si="125"/>
        <v>69</v>
      </c>
      <c r="AP565" s="143">
        <f t="shared" si="126"/>
        <v>42</v>
      </c>
    </row>
    <row r="566" s="119" customFormat="1" hidden="1" customHeight="1" spans="1:42">
      <c r="A566" s="150">
        <v>46112</v>
      </c>
      <c r="B566" s="150" t="s">
        <v>467</v>
      </c>
      <c r="C566" s="212" t="s">
        <v>235</v>
      </c>
      <c r="D566" s="150" t="s">
        <v>421</v>
      </c>
      <c r="E566" s="171" t="s">
        <v>422</v>
      </c>
      <c r="F566" s="172">
        <v>10123689</v>
      </c>
      <c r="G566" s="172">
        <v>4500032549</v>
      </c>
      <c r="H566" s="173" t="s">
        <v>153</v>
      </c>
      <c r="I566" s="174" t="s">
        <v>972</v>
      </c>
      <c r="J566" s="175">
        <v>1200</v>
      </c>
      <c r="K566" s="174">
        <v>6</v>
      </c>
      <c r="L566" s="143">
        <v>200</v>
      </c>
      <c r="M566" s="150">
        <v>46204</v>
      </c>
      <c r="N566" s="150">
        <v>46202</v>
      </c>
      <c r="O566" s="196">
        <v>46205</v>
      </c>
      <c r="P566" s="150" t="s">
        <v>435</v>
      </c>
      <c r="Q566" s="173" t="s">
        <v>424</v>
      </c>
      <c r="R566" s="148" t="s">
        <v>973</v>
      </c>
      <c r="S566" s="150"/>
      <c r="T566" s="150"/>
      <c r="U566" s="150"/>
      <c r="V566" s="150"/>
      <c r="W566" s="173"/>
      <c r="X566" s="143"/>
      <c r="Y566" s="176">
        <v>1.324</v>
      </c>
      <c r="Z566" s="198">
        <v>1588.8</v>
      </c>
      <c r="AA566" s="198">
        <v>12313.2</v>
      </c>
      <c r="AB566" s="177" t="s">
        <v>974</v>
      </c>
      <c r="AC566" s="150"/>
      <c r="AD566" s="150"/>
      <c r="AE566" s="150" t="s">
        <v>12</v>
      </c>
      <c r="AF566" s="174"/>
      <c r="AG566" s="174"/>
      <c r="AH566" s="178">
        <v>46134</v>
      </c>
      <c r="AI566" s="178"/>
      <c r="AJ566" s="178"/>
      <c r="AK566" s="178" t="s">
        <v>420</v>
      </c>
      <c r="AL566" s="178">
        <v>46134</v>
      </c>
      <c r="AM566" s="178"/>
      <c r="AN566" s="178"/>
      <c r="AO566" s="143">
        <v>92</v>
      </c>
      <c r="AP566" s="143">
        <v>70</v>
      </c>
    </row>
    <row r="567" s="89" customFormat="1" hidden="1" customHeight="1" spans="1:42">
      <c r="A567" s="150">
        <v>46112</v>
      </c>
      <c r="B567" s="150" t="s">
        <v>467</v>
      </c>
      <c r="C567" s="212" t="s">
        <v>235</v>
      </c>
      <c r="D567" s="150" t="s">
        <v>421</v>
      </c>
      <c r="E567" s="171" t="s">
        <v>422</v>
      </c>
      <c r="F567" s="172">
        <v>10123689</v>
      </c>
      <c r="G567" s="172">
        <v>4500032549</v>
      </c>
      <c r="H567" s="173" t="s">
        <v>182</v>
      </c>
      <c r="I567" s="174" t="s">
        <v>914</v>
      </c>
      <c r="J567" s="175">
        <v>1500</v>
      </c>
      <c r="K567" s="174">
        <v>6</v>
      </c>
      <c r="L567" s="143">
        <v>250</v>
      </c>
      <c r="M567" s="150">
        <v>46204</v>
      </c>
      <c r="N567" s="150">
        <v>46202</v>
      </c>
      <c r="O567" s="196">
        <v>46209</v>
      </c>
      <c r="P567" s="150" t="s">
        <v>435</v>
      </c>
      <c r="Q567" s="173" t="s">
        <v>424</v>
      </c>
      <c r="R567" s="148" t="s">
        <v>476</v>
      </c>
      <c r="S567" s="150"/>
      <c r="T567" s="150"/>
      <c r="U567" s="150"/>
      <c r="V567" s="150"/>
      <c r="W567" s="173"/>
      <c r="X567" s="143" t="s">
        <v>935</v>
      </c>
      <c r="Y567" s="176">
        <v>1.405</v>
      </c>
      <c r="Z567" s="198">
        <v>2107.5</v>
      </c>
      <c r="AA567" s="198">
        <v>16333.13</v>
      </c>
      <c r="AB567" s="177" t="s">
        <v>974</v>
      </c>
      <c r="AC567" s="150"/>
      <c r="AD567" s="150"/>
      <c r="AE567" s="150" t="s">
        <v>12</v>
      </c>
      <c r="AF567" s="174"/>
      <c r="AG567" s="174"/>
      <c r="AH567" s="178">
        <v>46134</v>
      </c>
      <c r="AI567" s="178"/>
      <c r="AJ567" s="178"/>
      <c r="AK567" s="178" t="s">
        <v>420</v>
      </c>
      <c r="AL567" s="178" t="s">
        <v>420</v>
      </c>
      <c r="AM567" s="178"/>
      <c r="AN567" s="178"/>
      <c r="AO567" s="143">
        <v>92</v>
      </c>
      <c r="AP567" s="143">
        <v>70</v>
      </c>
    </row>
    <row r="568" s="89" customFormat="1" hidden="1" customHeight="1" spans="1:42">
      <c r="A568" s="150">
        <v>46109</v>
      </c>
      <c r="B568" s="150" t="str">
        <f ca="1" t="shared" ref="B568:B585" si="127">IF(TODAY()&gt;=A568,IF(R568="","未",""),"")</f>
        <v/>
      </c>
      <c r="C568" s="171" t="s">
        <v>235</v>
      </c>
      <c r="D568" s="150" t="s">
        <v>421</v>
      </c>
      <c r="E568" s="171" t="s">
        <v>422</v>
      </c>
      <c r="F568" s="172">
        <v>10115934</v>
      </c>
      <c r="G568" s="172">
        <v>4500031985</v>
      </c>
      <c r="H568" s="173" t="s">
        <v>97</v>
      </c>
      <c r="I568" s="174" t="str">
        <f>IFERROR(VLOOKUP(H568,名称!A:C,2,0),"")</f>
        <v>管道马里奥</v>
      </c>
      <c r="J568" s="175">
        <v>1856</v>
      </c>
      <c r="K568" s="174">
        <f>IFERROR(VLOOKUP(H568,名称!A:D,3,0),"")</f>
        <v>4</v>
      </c>
      <c r="L568" s="143">
        <f t="shared" ref="L568:L585" si="128">IFERROR((J568/K568),"")</f>
        <v>464</v>
      </c>
      <c r="M568" s="150">
        <v>46204</v>
      </c>
      <c r="N568" s="150">
        <f t="shared" ref="N568:N585" si="129">M568-2</f>
        <v>46202</v>
      </c>
      <c r="O568" s="150">
        <v>46092</v>
      </c>
      <c r="P568" s="150" t="s">
        <v>435</v>
      </c>
      <c r="Q568" s="173" t="s">
        <v>424</v>
      </c>
      <c r="R568" s="148" t="s">
        <v>431</v>
      </c>
      <c r="S568" s="150"/>
      <c r="T568" s="150"/>
      <c r="U568" s="150"/>
      <c r="V568" s="150"/>
      <c r="W568" s="173"/>
      <c r="X568" s="143"/>
      <c r="Y568" s="176">
        <v>3.362</v>
      </c>
      <c r="Z568" s="198">
        <f t="shared" ref="Z568:Z585" si="130">J568*Y568</f>
        <v>6239.87</v>
      </c>
      <c r="AA568" s="198">
        <f t="shared" ref="AA568:AA585" si="131">Z568*7.75</f>
        <v>48358.99</v>
      </c>
      <c r="AB568" s="177" t="s">
        <v>974</v>
      </c>
      <c r="AC568" s="150"/>
      <c r="AD568" s="150"/>
      <c r="AE568" s="150" t="str">
        <f>IFERROR(VLOOKUP(H568,名称!A:D,4,0),"")</f>
        <v>KIK</v>
      </c>
      <c r="AF568" s="174"/>
      <c r="AG568" s="174"/>
      <c r="AH568" s="178">
        <v>46021</v>
      </c>
      <c r="AI568" s="178" t="s">
        <v>420</v>
      </c>
      <c r="AJ568" s="178"/>
      <c r="AK568" s="178" t="s">
        <v>420</v>
      </c>
      <c r="AL568" s="178" t="s">
        <v>420</v>
      </c>
      <c r="AM568" s="178"/>
      <c r="AN568" s="178"/>
      <c r="AO568" s="143">
        <f t="shared" ref="AO568:AO585" si="132">M568-A568</f>
        <v>95</v>
      </c>
      <c r="AP568" s="143">
        <f t="shared" ref="AP568:AP585" si="133">M568-AH568</f>
        <v>183</v>
      </c>
    </row>
    <row r="569" s="89" customFormat="1" hidden="1" customHeight="1" spans="1:42">
      <c r="A569" s="150">
        <v>46044</v>
      </c>
      <c r="B569" s="150" t="str">
        <f ca="1" t="shared" si="127"/>
        <v/>
      </c>
      <c r="C569" s="171" t="s">
        <v>235</v>
      </c>
      <c r="D569" s="150" t="s">
        <v>421</v>
      </c>
      <c r="E569" s="171" t="s">
        <v>422</v>
      </c>
      <c r="F569" s="172">
        <v>10119539</v>
      </c>
      <c r="G569" s="172">
        <v>4500032198</v>
      </c>
      <c r="H569" s="173" t="s">
        <v>144</v>
      </c>
      <c r="I569" s="174" t="str">
        <f>IFERROR(VLOOKUP(H569,名称!A:C,2,0),"")</f>
        <v>盲盒公仔(塑胶毛绒)</v>
      </c>
      <c r="J569" s="175">
        <v>4482</v>
      </c>
      <c r="K569" s="174">
        <f>IFERROR(VLOOKUP(H569,名称!A:D,3,0),"")</f>
        <v>6</v>
      </c>
      <c r="L569" s="143">
        <f t="shared" si="128"/>
        <v>747</v>
      </c>
      <c r="M569" s="150">
        <v>46204</v>
      </c>
      <c r="N569" s="150">
        <f t="shared" si="129"/>
        <v>46202</v>
      </c>
      <c r="O569" s="150">
        <v>46184</v>
      </c>
      <c r="P569" s="150" t="s">
        <v>423</v>
      </c>
      <c r="Q569" s="173" t="s">
        <v>424</v>
      </c>
      <c r="R569" s="148" t="s">
        <v>425</v>
      </c>
      <c r="S569" s="150"/>
      <c r="T569" s="150"/>
      <c r="U569" s="150"/>
      <c r="V569" s="150"/>
      <c r="W569" s="173"/>
      <c r="X569" s="143"/>
      <c r="Y569" s="176">
        <v>3.959</v>
      </c>
      <c r="Z569" s="198">
        <f t="shared" si="130"/>
        <v>17744.24</v>
      </c>
      <c r="AA569" s="198">
        <f t="shared" si="131"/>
        <v>137517.86</v>
      </c>
      <c r="AB569" s="177" t="s">
        <v>974</v>
      </c>
      <c r="AC569" s="150"/>
      <c r="AD569" s="150"/>
      <c r="AE569" s="150" t="str">
        <f>IFERROR(VLOOKUP(H569,名称!A:D,4,0),"")</f>
        <v>河源</v>
      </c>
      <c r="AF569" s="174"/>
      <c r="AG569" s="174"/>
      <c r="AH569" s="178">
        <v>46135</v>
      </c>
      <c r="AI569" s="178">
        <v>46129</v>
      </c>
      <c r="AJ569" s="178"/>
      <c r="AK569" s="178" t="s">
        <v>420</v>
      </c>
      <c r="AL569" s="178">
        <v>46134</v>
      </c>
      <c r="AM569" s="178"/>
      <c r="AN569" s="178" t="s">
        <v>426</v>
      </c>
      <c r="AO569" s="143">
        <f t="shared" si="132"/>
        <v>160</v>
      </c>
      <c r="AP569" s="143">
        <f t="shared" si="133"/>
        <v>69</v>
      </c>
    </row>
    <row r="570" s="89" customFormat="1" hidden="1" customHeight="1" spans="1:42">
      <c r="A570" s="150">
        <v>46091</v>
      </c>
      <c r="B570" s="150" t="str">
        <f ca="1" t="shared" si="127"/>
        <v/>
      </c>
      <c r="C570" s="171" t="s">
        <v>235</v>
      </c>
      <c r="D570" s="150" t="s">
        <v>421</v>
      </c>
      <c r="E570" s="171" t="s">
        <v>422</v>
      </c>
      <c r="F570" s="172">
        <v>10121711</v>
      </c>
      <c r="G570" s="172">
        <v>4500032422</v>
      </c>
      <c r="H570" s="173" t="s">
        <v>142</v>
      </c>
      <c r="I570" s="174" t="str">
        <f>IFERROR(VLOOKUP(H570,名称!A:C,2,0),"")</f>
        <v>浮水马里奥</v>
      </c>
      <c r="J570" s="175">
        <v>2001</v>
      </c>
      <c r="K570" s="174">
        <f>IFERROR(VLOOKUP(H570,名称!A:D,3,0),"")</f>
        <v>3</v>
      </c>
      <c r="L570" s="143">
        <f t="shared" si="128"/>
        <v>667</v>
      </c>
      <c r="M570" s="150">
        <v>46204</v>
      </c>
      <c r="N570" s="150">
        <f t="shared" si="129"/>
        <v>46202</v>
      </c>
      <c r="O570" s="196">
        <v>46209</v>
      </c>
      <c r="P570" s="150" t="s">
        <v>435</v>
      </c>
      <c r="Q570" s="173" t="s">
        <v>424</v>
      </c>
      <c r="R570" s="148" t="s">
        <v>722</v>
      </c>
      <c r="S570" s="150"/>
      <c r="T570" s="150"/>
      <c r="U570" s="150"/>
      <c r="V570" s="150"/>
      <c r="W570" s="173"/>
      <c r="X570" s="143"/>
      <c r="Y570" s="176">
        <v>3.151</v>
      </c>
      <c r="Z570" s="198">
        <f t="shared" si="130"/>
        <v>6305.15</v>
      </c>
      <c r="AA570" s="198">
        <f t="shared" si="131"/>
        <v>48864.91</v>
      </c>
      <c r="AB570" s="177" t="s">
        <v>975</v>
      </c>
      <c r="AC570" s="150"/>
      <c r="AD570" s="150"/>
      <c r="AE570" s="150" t="str">
        <f>IFERROR(VLOOKUP(H570,名称!A:D,4,0),"")</f>
        <v>KIK</v>
      </c>
      <c r="AF570" s="174"/>
      <c r="AG570" s="174"/>
      <c r="AH570" s="178">
        <v>46139</v>
      </c>
      <c r="AI570" s="178">
        <v>46157</v>
      </c>
      <c r="AJ570" s="178"/>
      <c r="AK570" s="178" t="s">
        <v>420</v>
      </c>
      <c r="AL570" s="178">
        <v>46134</v>
      </c>
      <c r="AM570" s="178"/>
      <c r="AN570" s="178">
        <v>46141</v>
      </c>
      <c r="AO570" s="143">
        <f t="shared" si="132"/>
        <v>113</v>
      </c>
      <c r="AP570" s="143">
        <f t="shared" si="133"/>
        <v>65</v>
      </c>
    </row>
    <row r="571" s="89" customFormat="1" hidden="1" customHeight="1" spans="1:42">
      <c r="A571" s="150">
        <v>46091</v>
      </c>
      <c r="B571" s="150" t="str">
        <f ca="1" t="shared" si="127"/>
        <v/>
      </c>
      <c r="C571" s="171" t="s">
        <v>235</v>
      </c>
      <c r="D571" s="150" t="s">
        <v>421</v>
      </c>
      <c r="E571" s="171" t="s">
        <v>422</v>
      </c>
      <c r="F571" s="172">
        <v>10121711</v>
      </c>
      <c r="G571" s="172">
        <v>4500032422</v>
      </c>
      <c r="H571" s="173" t="s">
        <v>142</v>
      </c>
      <c r="I571" s="174" t="str">
        <f>IFERROR(VLOOKUP(H571,名称!A:C,2,0),"")</f>
        <v>浮水马里奥</v>
      </c>
      <c r="J571" s="175">
        <v>3402</v>
      </c>
      <c r="K571" s="174">
        <f>IFERROR(VLOOKUP(H571,名称!A:D,3,0),"")</f>
        <v>3</v>
      </c>
      <c r="L571" s="143">
        <f t="shared" si="128"/>
        <v>1134</v>
      </c>
      <c r="M571" s="150">
        <v>46204</v>
      </c>
      <c r="N571" s="150">
        <f t="shared" si="129"/>
        <v>46202</v>
      </c>
      <c r="O571" s="196">
        <v>46209</v>
      </c>
      <c r="P571" s="150" t="s">
        <v>435</v>
      </c>
      <c r="Q571" s="173" t="s">
        <v>424</v>
      </c>
      <c r="R571" s="148" t="s">
        <v>425</v>
      </c>
      <c r="S571" s="150"/>
      <c r="T571" s="150"/>
      <c r="U571" s="150"/>
      <c r="V571" s="150"/>
      <c r="W571" s="173"/>
      <c r="X571" s="143"/>
      <c r="Y571" s="176">
        <v>3.151</v>
      </c>
      <c r="Z571" s="198">
        <f t="shared" si="130"/>
        <v>10719.7</v>
      </c>
      <c r="AA571" s="198">
        <f t="shared" si="131"/>
        <v>83077.68</v>
      </c>
      <c r="AB571" s="177" t="s">
        <v>975</v>
      </c>
      <c r="AC571" s="150"/>
      <c r="AD571" s="150"/>
      <c r="AE571" s="150" t="str">
        <f>IFERROR(VLOOKUP(H571,名称!A:D,4,0),"")</f>
        <v>KIK</v>
      </c>
      <c r="AF571" s="174"/>
      <c r="AG571" s="174"/>
      <c r="AH571" s="178">
        <v>46139</v>
      </c>
      <c r="AI571" s="178">
        <v>46171</v>
      </c>
      <c r="AJ571" s="178"/>
      <c r="AK571" s="178" t="s">
        <v>420</v>
      </c>
      <c r="AL571" s="178">
        <v>46134</v>
      </c>
      <c r="AM571" s="178"/>
      <c r="AN571" s="178">
        <v>46141</v>
      </c>
      <c r="AO571" s="143">
        <f t="shared" si="132"/>
        <v>113</v>
      </c>
      <c r="AP571" s="143">
        <f t="shared" si="133"/>
        <v>65</v>
      </c>
    </row>
    <row r="572" s="119" customFormat="1" customHeight="1" spans="1:42">
      <c r="A572" s="150">
        <v>46112</v>
      </c>
      <c r="B572" s="150" t="str">
        <f ca="1" t="shared" si="127"/>
        <v/>
      </c>
      <c r="C572" s="171" t="s">
        <v>248</v>
      </c>
      <c r="D572" s="150" t="s">
        <v>421</v>
      </c>
      <c r="E572" s="171" t="s">
        <v>422</v>
      </c>
      <c r="F572" s="172">
        <v>10123697</v>
      </c>
      <c r="G572" s="172">
        <v>4500032554</v>
      </c>
      <c r="H572" s="173" t="s">
        <v>95</v>
      </c>
      <c r="I572" s="174" t="str">
        <f>IFERROR(VLOOKUP(H572,名称!A:C,2,0),"")</f>
        <v>宝箱马里奥</v>
      </c>
      <c r="J572" s="175">
        <v>500</v>
      </c>
      <c r="K572" s="174">
        <f>IFERROR(VLOOKUP(H572,名称!A:D,3,0),"")</f>
        <v>4</v>
      </c>
      <c r="L572" s="143">
        <f t="shared" si="128"/>
        <v>125</v>
      </c>
      <c r="M572" s="202">
        <v>46232</v>
      </c>
      <c r="N572" s="202">
        <f t="shared" si="129"/>
        <v>46230</v>
      </c>
      <c r="O572" s="150">
        <v>46204</v>
      </c>
      <c r="P572" s="150" t="s">
        <v>435</v>
      </c>
      <c r="Q572" s="173" t="s">
        <v>424</v>
      </c>
      <c r="R572" s="148" t="s">
        <v>940</v>
      </c>
      <c r="S572" s="150"/>
      <c r="T572" s="150"/>
      <c r="U572" s="150"/>
      <c r="V572" s="150"/>
      <c r="W572" s="173"/>
      <c r="X572" s="143"/>
      <c r="Y572" s="176">
        <v>2.205</v>
      </c>
      <c r="Z572" s="198">
        <f t="shared" si="130"/>
        <v>1102.5</v>
      </c>
      <c r="AA572" s="198">
        <f t="shared" si="131"/>
        <v>8544.38</v>
      </c>
      <c r="AB572" s="177" t="s">
        <v>976</v>
      </c>
      <c r="AC572" s="150"/>
      <c r="AD572" s="150"/>
      <c r="AE572" s="150" t="str">
        <f>IFERROR(VLOOKUP(H572,名称!A:D,4,0),"")</f>
        <v>KIK</v>
      </c>
      <c r="AF572" s="174"/>
      <c r="AG572" s="174"/>
      <c r="AH572" s="178">
        <v>46146</v>
      </c>
      <c r="AI572" s="178"/>
      <c r="AJ572" s="178"/>
      <c r="AK572" s="178" t="s">
        <v>420</v>
      </c>
      <c r="AL572" s="178" t="s">
        <v>420</v>
      </c>
      <c r="AM572" s="178"/>
      <c r="AN572" s="178"/>
      <c r="AO572" s="143">
        <f t="shared" si="132"/>
        <v>120</v>
      </c>
      <c r="AP572" s="143">
        <f t="shared" si="133"/>
        <v>86</v>
      </c>
    </row>
    <row r="573" s="89" customFormat="1" customHeight="1" spans="1:42">
      <c r="A573" s="150">
        <v>46112</v>
      </c>
      <c r="B573" s="150" t="str">
        <f ca="1" t="shared" si="127"/>
        <v/>
      </c>
      <c r="C573" s="171" t="s">
        <v>248</v>
      </c>
      <c r="D573" s="150" t="s">
        <v>421</v>
      </c>
      <c r="E573" s="171" t="s">
        <v>422</v>
      </c>
      <c r="F573" s="172">
        <v>10123697</v>
      </c>
      <c r="G573" s="172">
        <v>4500032554</v>
      </c>
      <c r="H573" s="173" t="s">
        <v>182</v>
      </c>
      <c r="I573" s="174" t="str">
        <f>IFERROR(VLOOKUP(H573,名称!A:C,2,0),"")</f>
        <v>马里奥能量蘑菇吸塑混装</v>
      </c>
      <c r="J573" s="175">
        <v>720</v>
      </c>
      <c r="K573" s="174">
        <f>IFERROR(VLOOKUP(H573,名称!A:D,3,0),"")</f>
        <v>6</v>
      </c>
      <c r="L573" s="143">
        <f t="shared" si="128"/>
        <v>120</v>
      </c>
      <c r="M573" s="202">
        <v>46232</v>
      </c>
      <c r="N573" s="202">
        <f t="shared" si="129"/>
        <v>46230</v>
      </c>
      <c r="O573" s="196">
        <v>46209</v>
      </c>
      <c r="P573" s="150" t="s">
        <v>435</v>
      </c>
      <c r="Q573" s="173" t="s">
        <v>424</v>
      </c>
      <c r="R573" s="148" t="s">
        <v>476</v>
      </c>
      <c r="S573" s="150"/>
      <c r="T573" s="150"/>
      <c r="U573" s="150"/>
      <c r="V573" s="150"/>
      <c r="W573" s="173"/>
      <c r="X573" s="143"/>
      <c r="Y573" s="176">
        <v>1.405</v>
      </c>
      <c r="Z573" s="198">
        <f t="shared" si="130"/>
        <v>1011.6</v>
      </c>
      <c r="AA573" s="198">
        <f t="shared" si="131"/>
        <v>7839.9</v>
      </c>
      <c r="AB573" s="177" t="s">
        <v>976</v>
      </c>
      <c r="AC573" s="150"/>
      <c r="AD573" s="150"/>
      <c r="AE573" s="150" t="str">
        <f>IFERROR(VLOOKUP(H573,名称!A:D,4,0),"")</f>
        <v>KIK</v>
      </c>
      <c r="AF573" s="174"/>
      <c r="AG573" s="174"/>
      <c r="AH573" s="178">
        <v>46134</v>
      </c>
      <c r="AI573" s="178"/>
      <c r="AJ573" s="178"/>
      <c r="AK573" s="178" t="s">
        <v>420</v>
      </c>
      <c r="AL573" s="178" t="s">
        <v>420</v>
      </c>
      <c r="AM573" s="178"/>
      <c r="AN573" s="178"/>
      <c r="AO573" s="143">
        <f t="shared" si="132"/>
        <v>120</v>
      </c>
      <c r="AP573" s="143">
        <f t="shared" si="133"/>
        <v>98</v>
      </c>
    </row>
    <row r="574" s="89" customFormat="1" customHeight="1" spans="1:42">
      <c r="A574" s="150">
        <v>46135</v>
      </c>
      <c r="B574" s="150" t="str">
        <f ca="1" t="shared" si="127"/>
        <v/>
      </c>
      <c r="C574" s="171" t="s">
        <v>235</v>
      </c>
      <c r="D574" s="150" t="s">
        <v>421</v>
      </c>
      <c r="E574" s="171" t="s">
        <v>428</v>
      </c>
      <c r="F574" s="172">
        <v>10125936</v>
      </c>
      <c r="G574" s="172">
        <v>4500032690</v>
      </c>
      <c r="H574" s="173" t="s">
        <v>62</v>
      </c>
      <c r="I574" s="174" t="str">
        <f>IFERROR(VLOOKUP(H574,名称!A:C,2,0),"")</f>
        <v>泡泡壶</v>
      </c>
      <c r="J574" s="99">
        <v>1320</v>
      </c>
      <c r="K574" s="174">
        <f>IFERROR(VLOOKUP(H574,名称!A:D,3,0),"")</f>
        <v>4</v>
      </c>
      <c r="L574" s="143">
        <f t="shared" si="128"/>
        <v>330</v>
      </c>
      <c r="M574" s="150">
        <v>46225</v>
      </c>
      <c r="N574" s="150">
        <f t="shared" si="129"/>
        <v>46223</v>
      </c>
      <c r="O574" s="147">
        <v>46218</v>
      </c>
      <c r="P574" s="150" t="s">
        <v>429</v>
      </c>
      <c r="Q574" s="173" t="s">
        <v>424</v>
      </c>
      <c r="R574" s="148" t="s">
        <v>476</v>
      </c>
      <c r="S574" s="150"/>
      <c r="T574" s="150"/>
      <c r="U574" s="150"/>
      <c r="V574" s="150"/>
      <c r="W574" s="173"/>
      <c r="X574" s="143" t="s">
        <v>769</v>
      </c>
      <c r="Y574" s="176">
        <v>3.243</v>
      </c>
      <c r="Z574" s="198">
        <f t="shared" si="130"/>
        <v>4280.76</v>
      </c>
      <c r="AA574" s="198">
        <f t="shared" si="131"/>
        <v>33175.89</v>
      </c>
      <c r="AB574" s="177" t="s">
        <v>977</v>
      </c>
      <c r="AC574" s="150"/>
      <c r="AD574" s="150"/>
      <c r="AE574" s="150" t="str">
        <f>IFERROR(VLOOKUP(H574,名称!A:D,4,0),"")</f>
        <v>KIK</v>
      </c>
      <c r="AF574" s="174"/>
      <c r="AG574" s="174"/>
      <c r="AH574" s="178">
        <v>46171</v>
      </c>
      <c r="AI574" s="178" t="s">
        <v>420</v>
      </c>
      <c r="AJ574" s="178"/>
      <c r="AK574" s="178" t="s">
        <v>420</v>
      </c>
      <c r="AL574" s="178">
        <v>46139</v>
      </c>
      <c r="AM574" s="178"/>
      <c r="AN574" s="178">
        <v>46163</v>
      </c>
      <c r="AO574" s="143">
        <f t="shared" si="132"/>
        <v>90</v>
      </c>
      <c r="AP574" s="143">
        <f t="shared" si="133"/>
        <v>54</v>
      </c>
    </row>
    <row r="575" s="89" customFormat="1" customHeight="1" spans="1:42">
      <c r="A575" s="150">
        <v>46136</v>
      </c>
      <c r="B575" s="150" t="str">
        <f ca="1" t="shared" si="127"/>
        <v/>
      </c>
      <c r="C575" s="171" t="s">
        <v>235</v>
      </c>
      <c r="D575" s="150" t="s">
        <v>421</v>
      </c>
      <c r="E575" s="171" t="s">
        <v>422</v>
      </c>
      <c r="F575" s="172">
        <v>10126040</v>
      </c>
      <c r="G575" s="172">
        <v>4500032689</v>
      </c>
      <c r="H575" s="173" t="s">
        <v>97</v>
      </c>
      <c r="I575" s="174" t="str">
        <f>IFERROR(VLOOKUP(H575,名称!A:C,2,0),"")</f>
        <v>管道马里奥</v>
      </c>
      <c r="J575" s="203">
        <v>3000</v>
      </c>
      <c r="K575" s="174">
        <f>IFERROR(VLOOKUP(H575,名称!A:D,3,0),"")</f>
        <v>4</v>
      </c>
      <c r="L575" s="143">
        <f t="shared" si="128"/>
        <v>750</v>
      </c>
      <c r="M575" s="150">
        <v>46225</v>
      </c>
      <c r="N575" s="150">
        <f t="shared" si="129"/>
        <v>46223</v>
      </c>
      <c r="O575" s="196">
        <v>46225</v>
      </c>
      <c r="P575" s="150" t="s">
        <v>429</v>
      </c>
      <c r="Q575" s="173" t="s">
        <v>424</v>
      </c>
      <c r="R575" s="148" t="s">
        <v>826</v>
      </c>
      <c r="S575" s="150"/>
      <c r="T575" s="150"/>
      <c r="U575" s="150"/>
      <c r="V575" s="150"/>
      <c r="W575" s="173"/>
      <c r="X575" s="143"/>
      <c r="Y575" s="176">
        <v>3.43</v>
      </c>
      <c r="Z575" s="198">
        <f t="shared" si="130"/>
        <v>10290</v>
      </c>
      <c r="AA575" s="198">
        <f t="shared" si="131"/>
        <v>79747.5</v>
      </c>
      <c r="AB575" s="177" t="s">
        <v>977</v>
      </c>
      <c r="AC575" s="150"/>
      <c r="AD575" s="150"/>
      <c r="AE575" s="150" t="str">
        <f>IFERROR(VLOOKUP(H575,名称!A:D,4,0),"")</f>
        <v>KIK</v>
      </c>
      <c r="AF575" s="174"/>
      <c r="AG575" s="174"/>
      <c r="AH575" s="178">
        <v>46163</v>
      </c>
      <c r="AI575" s="178" t="s">
        <v>420</v>
      </c>
      <c r="AJ575" s="178"/>
      <c r="AK575" s="178" t="s">
        <v>420</v>
      </c>
      <c r="AL575" s="178" t="s">
        <v>420</v>
      </c>
      <c r="AM575" s="178"/>
      <c r="AN575" s="178">
        <v>46163</v>
      </c>
      <c r="AO575" s="143">
        <f t="shared" si="132"/>
        <v>89</v>
      </c>
      <c r="AP575" s="143">
        <f t="shared" si="133"/>
        <v>62</v>
      </c>
    </row>
    <row r="576" s="89" customFormat="1" customHeight="1" spans="1:42">
      <c r="A576" s="150">
        <v>46107</v>
      </c>
      <c r="B576" s="150" t="str">
        <f ca="1" t="shared" si="127"/>
        <v/>
      </c>
      <c r="C576" s="171" t="s">
        <v>237</v>
      </c>
      <c r="D576" s="150" t="s">
        <v>838</v>
      </c>
      <c r="E576" s="171" t="s">
        <v>438</v>
      </c>
      <c r="F576" s="172">
        <v>10123385</v>
      </c>
      <c r="G576" s="172" t="s">
        <v>262</v>
      </c>
      <c r="H576" s="173" t="s">
        <v>31</v>
      </c>
      <c r="I576" s="174" t="str">
        <f>IFERROR(VLOOKUP(H576,名称!A:C,2,0),"")</f>
        <v>1:16收割机</v>
      </c>
      <c r="J576" s="175">
        <v>547</v>
      </c>
      <c r="K576" s="174">
        <f>IFERROR(VLOOKUP(H576,名称!A:D,3,0),"")</f>
        <v>1</v>
      </c>
      <c r="L576" s="143">
        <f t="shared" si="128"/>
        <v>547</v>
      </c>
      <c r="M576" s="150">
        <v>46197</v>
      </c>
      <c r="N576" s="150">
        <f t="shared" si="129"/>
        <v>46195</v>
      </c>
      <c r="O576" s="196">
        <v>46209</v>
      </c>
      <c r="P576" s="150" t="s">
        <v>435</v>
      </c>
      <c r="Q576" s="173" t="s">
        <v>777</v>
      </c>
      <c r="R576" s="148" t="s">
        <v>891</v>
      </c>
      <c r="S576" s="150"/>
      <c r="T576" s="150" t="s">
        <v>452</v>
      </c>
      <c r="U576" s="150"/>
      <c r="V576" s="150"/>
      <c r="W576" s="173"/>
      <c r="X576" s="143" t="s">
        <v>839</v>
      </c>
      <c r="Y576" s="176">
        <v>29.652</v>
      </c>
      <c r="Z576" s="198">
        <f t="shared" si="130"/>
        <v>16219.64</v>
      </c>
      <c r="AA576" s="198">
        <f t="shared" si="131"/>
        <v>125702.21</v>
      </c>
      <c r="AB576" s="177" t="s">
        <v>978</v>
      </c>
      <c r="AC576" s="174"/>
      <c r="AD576" s="178"/>
      <c r="AE576" s="150" t="s">
        <v>12</v>
      </c>
      <c r="AF576" s="178"/>
      <c r="AG576" s="178"/>
      <c r="AH576" s="178">
        <v>46149</v>
      </c>
      <c r="AI576" s="178"/>
      <c r="AJ576" s="178"/>
      <c r="AK576" s="178">
        <v>46158</v>
      </c>
      <c r="AL576" s="179">
        <v>46140</v>
      </c>
      <c r="AM576" s="143"/>
      <c r="AN576" s="180"/>
      <c r="AO576" s="143">
        <f t="shared" si="132"/>
        <v>90</v>
      </c>
      <c r="AP576" s="143">
        <f t="shared" si="133"/>
        <v>48</v>
      </c>
    </row>
    <row r="577" s="89" customFormat="1" customHeight="1" spans="1:42">
      <c r="A577" s="150">
        <v>46156</v>
      </c>
      <c r="B577" s="150" t="str">
        <f ca="1" t="shared" si="127"/>
        <v/>
      </c>
      <c r="C577" s="171" t="s">
        <v>236</v>
      </c>
      <c r="D577" s="150" t="s">
        <v>507</v>
      </c>
      <c r="E577" s="171" t="s">
        <v>443</v>
      </c>
      <c r="F577" s="172">
        <v>10127318</v>
      </c>
      <c r="G577" s="172">
        <v>20219135</v>
      </c>
      <c r="H577" s="173" t="s">
        <v>29</v>
      </c>
      <c r="I577" s="174" t="str">
        <f>IFERROR(VLOOKUP(H577,名称!A:C,2,0),"")</f>
        <v>木材运输车</v>
      </c>
      <c r="J577" s="203">
        <v>120</v>
      </c>
      <c r="K577" s="174">
        <f>IFERROR(VLOOKUP(H577,名称!A:D,3,0),"")</f>
        <v>4</v>
      </c>
      <c r="L577" s="143">
        <f t="shared" si="128"/>
        <v>30</v>
      </c>
      <c r="M577" s="202">
        <v>46232</v>
      </c>
      <c r="N577" s="202">
        <f t="shared" si="129"/>
        <v>46230</v>
      </c>
      <c r="O577" s="147">
        <v>46216</v>
      </c>
      <c r="P577" s="150" t="s">
        <v>429</v>
      </c>
      <c r="Q577" s="173" t="s">
        <v>430</v>
      </c>
      <c r="R577" s="148" t="s">
        <v>906</v>
      </c>
      <c r="S577" s="150"/>
      <c r="T577" s="150"/>
      <c r="U577" s="150"/>
      <c r="V577" s="150"/>
      <c r="W577" s="173"/>
      <c r="X577" s="143" t="s">
        <v>966</v>
      </c>
      <c r="Y577" s="176">
        <v>21.801</v>
      </c>
      <c r="Z577" s="198">
        <f t="shared" si="130"/>
        <v>2616.12</v>
      </c>
      <c r="AA577" s="198">
        <f t="shared" si="131"/>
        <v>20274.93</v>
      </c>
      <c r="AB577" s="177" t="s">
        <v>979</v>
      </c>
      <c r="AC577" s="150"/>
      <c r="AD577" s="150"/>
      <c r="AE577" s="150" t="str">
        <f>IFERROR(VLOOKUP(H577,名称!A:D,4,0),"")</f>
        <v>KIK</v>
      </c>
      <c r="AF577" s="174"/>
      <c r="AG577" s="174"/>
      <c r="AH577" s="178">
        <v>46139</v>
      </c>
      <c r="AI577" s="178" t="s">
        <v>828</v>
      </c>
      <c r="AJ577" s="178"/>
      <c r="AK577" s="178">
        <v>46185</v>
      </c>
      <c r="AL577" s="178">
        <v>46140</v>
      </c>
      <c r="AM577" s="178"/>
      <c r="AN577" s="178"/>
      <c r="AO577" s="143">
        <f t="shared" si="132"/>
        <v>76</v>
      </c>
      <c r="AP577" s="143">
        <f t="shared" si="133"/>
        <v>93</v>
      </c>
    </row>
    <row r="578" s="89" customFormat="1" customHeight="1" spans="1:42">
      <c r="A578" s="150">
        <v>46135</v>
      </c>
      <c r="B578" s="150" t="str">
        <f ca="1" t="shared" si="127"/>
        <v/>
      </c>
      <c r="C578" s="171" t="s">
        <v>236</v>
      </c>
      <c r="D578" s="150" t="s">
        <v>442</v>
      </c>
      <c r="E578" s="171" t="s">
        <v>443</v>
      </c>
      <c r="F578" s="172">
        <v>10125943</v>
      </c>
      <c r="G578" s="172">
        <v>20219067</v>
      </c>
      <c r="H578" s="173" t="s">
        <v>62</v>
      </c>
      <c r="I578" s="174" t="str">
        <f>IFERROR(VLOOKUP(H578,名称!A:C,2,0),"")</f>
        <v>泡泡壶</v>
      </c>
      <c r="J578" s="203">
        <v>3000</v>
      </c>
      <c r="K578" s="174">
        <f>IFERROR(VLOOKUP(H578,名称!A:D,3,0),"")</f>
        <v>4</v>
      </c>
      <c r="L578" s="143">
        <f t="shared" si="128"/>
        <v>750</v>
      </c>
      <c r="M578" s="202">
        <v>46232</v>
      </c>
      <c r="N578" s="202">
        <f t="shared" si="129"/>
        <v>46230</v>
      </c>
      <c r="O578" s="147">
        <v>46218</v>
      </c>
      <c r="P578" s="150" t="s">
        <v>429</v>
      </c>
      <c r="Q578" s="173" t="s">
        <v>430</v>
      </c>
      <c r="R578" s="148" t="s">
        <v>476</v>
      </c>
      <c r="S578" s="150"/>
      <c r="T578" s="150"/>
      <c r="U578" s="150"/>
      <c r="V578" s="150"/>
      <c r="W578" s="173"/>
      <c r="X578" s="143" t="s">
        <v>769</v>
      </c>
      <c r="Y578" s="176">
        <v>3.243</v>
      </c>
      <c r="Z578" s="198">
        <f t="shared" si="130"/>
        <v>9729</v>
      </c>
      <c r="AA578" s="198">
        <f t="shared" si="131"/>
        <v>75399.75</v>
      </c>
      <c r="AB578" s="177" t="s">
        <v>979</v>
      </c>
      <c r="AC578" s="150"/>
      <c r="AD578" s="150"/>
      <c r="AE578" s="150" t="str">
        <f>IFERROR(VLOOKUP(H578,名称!A:D,4,0),"")</f>
        <v>KIK</v>
      </c>
      <c r="AF578" s="174"/>
      <c r="AG578" s="174"/>
      <c r="AH578" s="178">
        <v>46171</v>
      </c>
      <c r="AI578" s="178" t="s">
        <v>420</v>
      </c>
      <c r="AJ578" s="178"/>
      <c r="AK578" s="178" t="s">
        <v>420</v>
      </c>
      <c r="AL578" s="178">
        <v>46139</v>
      </c>
      <c r="AM578" s="178"/>
      <c r="AN578" s="178">
        <v>46163</v>
      </c>
      <c r="AO578" s="143">
        <f t="shared" si="132"/>
        <v>97</v>
      </c>
      <c r="AP578" s="143">
        <f t="shared" si="133"/>
        <v>61</v>
      </c>
    </row>
    <row r="579" s="89" customFormat="1" customHeight="1" spans="1:42">
      <c r="A579" s="150">
        <v>46112</v>
      </c>
      <c r="B579" s="150" t="str">
        <f ca="1" t="shared" si="127"/>
        <v/>
      </c>
      <c r="C579" s="171" t="s">
        <v>237</v>
      </c>
      <c r="D579" s="150" t="s">
        <v>427</v>
      </c>
      <c r="E579" s="171" t="s">
        <v>428</v>
      </c>
      <c r="F579" s="172">
        <v>10123756</v>
      </c>
      <c r="G579" s="172">
        <v>202608570043</v>
      </c>
      <c r="H579" s="173" t="s">
        <v>183</v>
      </c>
      <c r="I579" s="174" t="str">
        <f>IFERROR(VLOOKUP(H579,名称!A:C,2,0),"")</f>
        <v>宝箱马里奥</v>
      </c>
      <c r="J579" s="175">
        <v>3000</v>
      </c>
      <c r="K579" s="174">
        <f>IFERROR(VLOOKUP(H579,名称!A:D,3,0),"")</f>
        <v>4</v>
      </c>
      <c r="L579" s="143">
        <f t="shared" si="128"/>
        <v>750</v>
      </c>
      <c r="M579" s="202">
        <v>46246</v>
      </c>
      <c r="N579" s="202">
        <f t="shared" si="129"/>
        <v>46244</v>
      </c>
      <c r="O579" s="196">
        <v>46231</v>
      </c>
      <c r="P579" s="150" t="s">
        <v>429</v>
      </c>
      <c r="Q579" s="173" t="s">
        <v>430</v>
      </c>
      <c r="R579" s="148" t="s">
        <v>434</v>
      </c>
      <c r="S579" s="150"/>
      <c r="T579" s="150"/>
      <c r="U579" s="150"/>
      <c r="V579" s="150"/>
      <c r="W579" s="173"/>
      <c r="X579" s="143"/>
      <c r="Y579" s="176">
        <v>2.15</v>
      </c>
      <c r="Z579" s="198">
        <f t="shared" si="130"/>
        <v>6450</v>
      </c>
      <c r="AA579" s="198">
        <f t="shared" si="131"/>
        <v>49987.5</v>
      </c>
      <c r="AB579" s="177" t="s">
        <v>980</v>
      </c>
      <c r="AC579" s="150"/>
      <c r="AD579" s="150"/>
      <c r="AE579" s="150" t="str">
        <f>IFERROR(VLOOKUP(H579,名称!A:D,4,0),"")</f>
        <v>KIK</v>
      </c>
      <c r="AF579" s="174"/>
      <c r="AG579" s="174"/>
      <c r="AH579" s="178">
        <v>46189</v>
      </c>
      <c r="AI579" s="178"/>
      <c r="AJ579" s="178"/>
      <c r="AK579" s="178" t="s">
        <v>420</v>
      </c>
      <c r="AL579" s="178" t="s">
        <v>420</v>
      </c>
      <c r="AM579" s="178"/>
      <c r="AN579" s="178" t="s">
        <v>433</v>
      </c>
      <c r="AO579" s="143">
        <f t="shared" si="132"/>
        <v>134</v>
      </c>
      <c r="AP579" s="143">
        <f t="shared" si="133"/>
        <v>57</v>
      </c>
    </row>
    <row r="580" s="89" customFormat="1" customHeight="1" spans="1:42">
      <c r="A580" s="150">
        <v>46129</v>
      </c>
      <c r="B580" s="150" t="str">
        <f ca="1" t="shared" si="127"/>
        <v/>
      </c>
      <c r="C580" s="171" t="s">
        <v>237</v>
      </c>
      <c r="D580" s="150" t="s">
        <v>427</v>
      </c>
      <c r="E580" s="171" t="s">
        <v>428</v>
      </c>
      <c r="F580" s="173">
        <v>10125329</v>
      </c>
      <c r="G580" s="172" t="s">
        <v>293</v>
      </c>
      <c r="H580" s="173" t="s">
        <v>115</v>
      </c>
      <c r="I580" s="174" t="str">
        <f>IFERROR(VLOOKUP(H580,名称!A:C,2,0),"")</f>
        <v>布鲁伊混装</v>
      </c>
      <c r="J580" s="203">
        <f>5000-1600-1700</f>
        <v>1700</v>
      </c>
      <c r="K580" s="174">
        <f>IFERROR(VLOOKUP(H580,名称!A:D,3,0),"")</f>
        <v>4</v>
      </c>
      <c r="L580" s="143">
        <f t="shared" si="128"/>
        <v>425</v>
      </c>
      <c r="M580" s="150">
        <v>46225</v>
      </c>
      <c r="N580" s="150">
        <f t="shared" si="129"/>
        <v>46223</v>
      </c>
      <c r="O580" s="147">
        <v>46218</v>
      </c>
      <c r="P580" s="150" t="s">
        <v>429</v>
      </c>
      <c r="Q580" s="173" t="s">
        <v>430</v>
      </c>
      <c r="R580" s="148" t="s">
        <v>425</v>
      </c>
      <c r="S580" s="150"/>
      <c r="T580" s="150"/>
      <c r="U580" s="150"/>
      <c r="V580" s="150"/>
      <c r="W580" s="173"/>
      <c r="X580" s="143"/>
      <c r="Y580" s="176">
        <v>2.115</v>
      </c>
      <c r="Z580" s="198">
        <f t="shared" si="130"/>
        <v>3595.5</v>
      </c>
      <c r="AA580" s="198">
        <f t="shared" si="131"/>
        <v>27865.13</v>
      </c>
      <c r="AB580" s="177" t="s">
        <v>980</v>
      </c>
      <c r="AC580" s="150"/>
      <c r="AD580" s="150"/>
      <c r="AE580" s="150" t="str">
        <f>IFERROR(VLOOKUP(H580,名称!A:D,4,0),"")</f>
        <v>KIK</v>
      </c>
      <c r="AF580" s="174"/>
      <c r="AG580" s="174"/>
      <c r="AH580" s="178">
        <v>46149</v>
      </c>
      <c r="AI580" s="178"/>
      <c r="AJ580" s="178"/>
      <c r="AK580" s="178"/>
      <c r="AL580" s="178">
        <v>46149</v>
      </c>
      <c r="AM580" s="178"/>
      <c r="AN580" s="178"/>
      <c r="AO580" s="143">
        <f t="shared" si="132"/>
        <v>96</v>
      </c>
      <c r="AP580" s="143">
        <f t="shared" si="133"/>
        <v>76</v>
      </c>
    </row>
    <row r="581" s="119" customFormat="1" customHeight="1" spans="1:42">
      <c r="A581" s="150">
        <v>46129</v>
      </c>
      <c r="B581" s="150" t="str">
        <f ca="1" t="shared" si="127"/>
        <v/>
      </c>
      <c r="C581" s="171" t="s">
        <v>237</v>
      </c>
      <c r="D581" s="150" t="s">
        <v>427</v>
      </c>
      <c r="E581" s="171" t="s">
        <v>438</v>
      </c>
      <c r="F581" s="172">
        <v>10125380</v>
      </c>
      <c r="G581" s="172" t="s">
        <v>981</v>
      </c>
      <c r="H581" s="173" t="s">
        <v>158</v>
      </c>
      <c r="I581" s="174" t="str">
        <f>IFERROR(VLOOKUP(H581,名称!A:C,2,0),"")</f>
        <v>JD LNS圆轮拖拉机</v>
      </c>
      <c r="J581" s="203">
        <v>5000</v>
      </c>
      <c r="K581" s="174">
        <f>IFERROR(VLOOKUP(H581,名称!A:D,3,0),"")</f>
        <v>2</v>
      </c>
      <c r="L581" s="143">
        <f t="shared" si="128"/>
        <v>2500</v>
      </c>
      <c r="M581" s="150">
        <v>46232</v>
      </c>
      <c r="N581" s="150">
        <f t="shared" si="129"/>
        <v>46230</v>
      </c>
      <c r="O581" s="196">
        <v>46231</v>
      </c>
      <c r="P581" s="150" t="s">
        <v>429</v>
      </c>
      <c r="Q581" s="173" t="s">
        <v>430</v>
      </c>
      <c r="R581" s="148" t="s">
        <v>418</v>
      </c>
      <c r="S581" s="150"/>
      <c r="T581" s="150" t="s">
        <v>452</v>
      </c>
      <c r="U581" s="150"/>
      <c r="V581" s="150"/>
      <c r="W581" s="173"/>
      <c r="X581" s="143"/>
      <c r="Y581" s="176">
        <v>4.792</v>
      </c>
      <c r="Z581" s="198">
        <f t="shared" si="130"/>
        <v>23960</v>
      </c>
      <c r="AA581" s="198">
        <f t="shared" si="131"/>
        <v>185690</v>
      </c>
      <c r="AB581" s="177" t="s">
        <v>980</v>
      </c>
      <c r="AC581" s="150"/>
      <c r="AD581" s="150"/>
      <c r="AE581" s="150" t="str">
        <f>IFERROR(VLOOKUP(H581,名称!A:D,4,0),"")</f>
        <v>KIK</v>
      </c>
      <c r="AF581" s="174"/>
      <c r="AG581" s="174"/>
      <c r="AH581" s="178">
        <v>46157</v>
      </c>
      <c r="AI581" s="178" t="s">
        <v>420</v>
      </c>
      <c r="AJ581" s="178"/>
      <c r="AK581" s="178">
        <v>46197</v>
      </c>
      <c r="AL581" s="178">
        <v>46128</v>
      </c>
      <c r="AM581" s="178"/>
      <c r="AN581" s="178">
        <v>46163</v>
      </c>
      <c r="AO581" s="143">
        <f t="shared" si="132"/>
        <v>103</v>
      </c>
      <c r="AP581" s="143">
        <f t="shared" si="133"/>
        <v>75</v>
      </c>
    </row>
    <row r="582" s="89" customFormat="1" customHeight="1" spans="1:42">
      <c r="A582" s="150">
        <v>46112</v>
      </c>
      <c r="B582" s="150" t="str">
        <f ca="1" t="shared" si="127"/>
        <v/>
      </c>
      <c r="C582" s="171" t="s">
        <v>237</v>
      </c>
      <c r="D582" s="150" t="s">
        <v>427</v>
      </c>
      <c r="E582" s="171" t="s">
        <v>428</v>
      </c>
      <c r="F582" s="172">
        <v>10123756</v>
      </c>
      <c r="G582" s="172">
        <v>202608570043</v>
      </c>
      <c r="H582" s="173" t="s">
        <v>183</v>
      </c>
      <c r="I582" s="174" t="str">
        <f>IFERROR(VLOOKUP(H582,名称!A:C,2,0),"")</f>
        <v>宝箱马里奥</v>
      </c>
      <c r="J582" s="175">
        <v>600</v>
      </c>
      <c r="K582" s="174">
        <f>IFERROR(VLOOKUP(H582,名称!A:D,3,0),"")</f>
        <v>4</v>
      </c>
      <c r="L582" s="143">
        <f t="shared" si="128"/>
        <v>150</v>
      </c>
      <c r="M582" s="202">
        <v>46246</v>
      </c>
      <c r="N582" s="202">
        <f t="shared" si="129"/>
        <v>46244</v>
      </c>
      <c r="O582" s="196">
        <v>46231</v>
      </c>
      <c r="P582" s="150" t="s">
        <v>429</v>
      </c>
      <c r="Q582" s="173" t="s">
        <v>430</v>
      </c>
      <c r="R582" s="148" t="s">
        <v>434</v>
      </c>
      <c r="S582" s="150"/>
      <c r="T582" s="150"/>
      <c r="U582" s="150"/>
      <c r="V582" s="150"/>
      <c r="W582" s="173"/>
      <c r="X582" s="143"/>
      <c r="Y582" s="176">
        <v>2.15</v>
      </c>
      <c r="Z582" s="198">
        <f t="shared" si="130"/>
        <v>1290</v>
      </c>
      <c r="AA582" s="198">
        <f t="shared" si="131"/>
        <v>9997.5</v>
      </c>
      <c r="AB582" s="177" t="s">
        <v>982</v>
      </c>
      <c r="AC582" s="150"/>
      <c r="AD582" s="150"/>
      <c r="AE582" s="150" t="str">
        <f>IFERROR(VLOOKUP(H582,名称!A:D,4,0),"")</f>
        <v>KIK</v>
      </c>
      <c r="AF582" s="174"/>
      <c r="AG582" s="174"/>
      <c r="AH582" s="178">
        <v>46189</v>
      </c>
      <c r="AI582" s="178"/>
      <c r="AJ582" s="178"/>
      <c r="AK582" s="178" t="s">
        <v>420</v>
      </c>
      <c r="AL582" s="178" t="s">
        <v>420</v>
      </c>
      <c r="AM582" s="178"/>
      <c r="AN582" s="178" t="s">
        <v>433</v>
      </c>
      <c r="AO582" s="143">
        <f t="shared" si="132"/>
        <v>134</v>
      </c>
      <c r="AP582" s="143">
        <f t="shared" si="133"/>
        <v>57</v>
      </c>
    </row>
    <row r="583" s="89" customFormat="1" customHeight="1" spans="1:42">
      <c r="A583" s="150">
        <v>46099</v>
      </c>
      <c r="B583" s="150" t="str">
        <f ca="1" t="shared" si="127"/>
        <v/>
      </c>
      <c r="C583" s="171" t="s">
        <v>237</v>
      </c>
      <c r="D583" s="150" t="s">
        <v>802</v>
      </c>
      <c r="E583" s="171" t="s">
        <v>727</v>
      </c>
      <c r="F583" s="172">
        <v>10122655</v>
      </c>
      <c r="G583" s="172">
        <v>1042269836</v>
      </c>
      <c r="H583" s="173" t="s">
        <v>160</v>
      </c>
      <c r="I583" s="174" t="str">
        <f>IFERROR(VLOOKUP(H583,名称!A:C,2,0),"")</f>
        <v>绿色铲车</v>
      </c>
      <c r="J583" s="175">
        <v>130</v>
      </c>
      <c r="K583" s="174">
        <f>IFERROR(VLOOKUP(H583,名称!A:D,3,0),"")</f>
        <v>2</v>
      </c>
      <c r="L583" s="143">
        <f t="shared" si="128"/>
        <v>65</v>
      </c>
      <c r="M583" s="150">
        <v>46197</v>
      </c>
      <c r="N583" s="150">
        <f t="shared" si="129"/>
        <v>46195</v>
      </c>
      <c r="O583" s="150">
        <v>46196</v>
      </c>
      <c r="P583" s="150" t="s">
        <v>804</v>
      </c>
      <c r="Q583" s="173" t="s">
        <v>777</v>
      </c>
      <c r="R583" s="148" t="s">
        <v>779</v>
      </c>
      <c r="S583" s="150"/>
      <c r="T583" s="150" t="s">
        <v>805</v>
      </c>
      <c r="U583" s="150"/>
      <c r="V583" s="150"/>
      <c r="W583" s="173"/>
      <c r="X583" s="143"/>
      <c r="Y583" s="176">
        <v>5.743</v>
      </c>
      <c r="Z583" s="198">
        <f t="shared" si="130"/>
        <v>746.59</v>
      </c>
      <c r="AA583" s="198">
        <f t="shared" si="131"/>
        <v>5786.07</v>
      </c>
      <c r="AB583" s="177" t="s">
        <v>983</v>
      </c>
      <c r="AC583" s="150"/>
      <c r="AD583" s="150"/>
      <c r="AE583" s="150" t="str">
        <f>IFERROR(VLOOKUP(H583,名称!A:D,4,0),"")</f>
        <v>KIK</v>
      </c>
      <c r="AF583" s="174"/>
      <c r="AG583" s="174"/>
      <c r="AH583" s="178">
        <v>46115</v>
      </c>
      <c r="AI583" s="178" t="s">
        <v>420</v>
      </c>
      <c r="AJ583" s="178"/>
      <c r="AK583" s="178">
        <v>46177</v>
      </c>
      <c r="AL583" s="178">
        <v>46134</v>
      </c>
      <c r="AM583" s="178"/>
      <c r="AN583" s="178"/>
      <c r="AO583" s="143">
        <f t="shared" si="132"/>
        <v>98</v>
      </c>
      <c r="AP583" s="143">
        <f t="shared" si="133"/>
        <v>82</v>
      </c>
    </row>
    <row r="584" s="89" customFormat="1" customHeight="1" spans="1:42">
      <c r="A584" s="150">
        <v>46099</v>
      </c>
      <c r="B584" s="150" t="str">
        <f ca="1" t="shared" si="127"/>
        <v/>
      </c>
      <c r="C584" s="171" t="s">
        <v>237</v>
      </c>
      <c r="D584" s="150" t="s">
        <v>802</v>
      </c>
      <c r="E584" s="171" t="s">
        <v>727</v>
      </c>
      <c r="F584" s="172">
        <v>10122655</v>
      </c>
      <c r="G584" s="172">
        <v>1042269836</v>
      </c>
      <c r="H584" s="173" t="s">
        <v>155</v>
      </c>
      <c r="I584" s="174" t="str">
        <f>IFERROR(VLOOKUP(H584,名称!A:C,2,0),"")</f>
        <v>JD LNS圆轮拖拉机</v>
      </c>
      <c r="J584" s="175">
        <v>1162</v>
      </c>
      <c r="K584" s="174">
        <f>IFERROR(VLOOKUP(H584,名称!A:D,3,0),"")</f>
        <v>2</v>
      </c>
      <c r="L584" s="143">
        <f t="shared" si="128"/>
        <v>581</v>
      </c>
      <c r="M584" s="150">
        <v>46197</v>
      </c>
      <c r="N584" s="150">
        <f t="shared" si="129"/>
        <v>46195</v>
      </c>
      <c r="O584" s="150">
        <v>46196</v>
      </c>
      <c r="P584" s="150" t="s">
        <v>808</v>
      </c>
      <c r="Q584" s="173" t="s">
        <v>777</v>
      </c>
      <c r="R584" s="148" t="s">
        <v>812</v>
      </c>
      <c r="S584" s="150"/>
      <c r="T584" s="150" t="s">
        <v>805</v>
      </c>
      <c r="U584" s="150"/>
      <c r="V584" s="150"/>
      <c r="W584" s="173"/>
      <c r="X584" s="143"/>
      <c r="Y584" s="176">
        <v>4.637</v>
      </c>
      <c r="Z584" s="198">
        <f t="shared" si="130"/>
        <v>5388.19</v>
      </c>
      <c r="AA584" s="198">
        <f t="shared" si="131"/>
        <v>41758.47</v>
      </c>
      <c r="AB584" s="177" t="s">
        <v>983</v>
      </c>
      <c r="AC584" s="150"/>
      <c r="AD584" s="150"/>
      <c r="AE584" s="150" t="str">
        <f>IFERROR(VLOOKUP(H584,名称!A:D,4,0),"")</f>
        <v>KIK</v>
      </c>
      <c r="AF584" s="174"/>
      <c r="AG584" s="174"/>
      <c r="AH584" s="178">
        <v>46115</v>
      </c>
      <c r="AI584" s="178" t="s">
        <v>420</v>
      </c>
      <c r="AJ584" s="178"/>
      <c r="AK584" s="178" t="s">
        <v>453</v>
      </c>
      <c r="AL584" s="178">
        <v>46128</v>
      </c>
      <c r="AM584" s="178"/>
      <c r="AN584" s="178"/>
      <c r="AO584" s="143">
        <f t="shared" si="132"/>
        <v>98</v>
      </c>
      <c r="AP584" s="143">
        <f t="shared" si="133"/>
        <v>82</v>
      </c>
    </row>
    <row r="585" s="89" customFormat="1" customHeight="1" spans="1:42">
      <c r="A585" s="150">
        <v>46099</v>
      </c>
      <c r="B585" s="150" t="str">
        <f ca="1" t="shared" si="127"/>
        <v/>
      </c>
      <c r="C585" s="171" t="s">
        <v>237</v>
      </c>
      <c r="D585" s="150" t="s">
        <v>802</v>
      </c>
      <c r="E585" s="171" t="s">
        <v>727</v>
      </c>
      <c r="F585" s="172">
        <v>10122655</v>
      </c>
      <c r="G585" s="172">
        <v>1042269836</v>
      </c>
      <c r="H585" s="173" t="s">
        <v>154</v>
      </c>
      <c r="I585" s="174" t="str">
        <f>IFERROR(VLOOKUP(H585,名称!A:C,2,0),"")</f>
        <v>动物车</v>
      </c>
      <c r="J585" s="175">
        <v>1276</v>
      </c>
      <c r="K585" s="174">
        <f>IFERROR(VLOOKUP(H585,名称!A:D,3,0),"")</f>
        <v>4</v>
      </c>
      <c r="L585" s="143">
        <f t="shared" si="128"/>
        <v>319</v>
      </c>
      <c r="M585" s="150">
        <v>46197</v>
      </c>
      <c r="N585" s="150">
        <f t="shared" si="129"/>
        <v>46195</v>
      </c>
      <c r="O585" s="150">
        <v>46196</v>
      </c>
      <c r="P585" s="150" t="s">
        <v>808</v>
      </c>
      <c r="Q585" s="173" t="s">
        <v>777</v>
      </c>
      <c r="R585" s="148" t="s">
        <v>418</v>
      </c>
      <c r="S585" s="150"/>
      <c r="T585" s="150" t="s">
        <v>805</v>
      </c>
      <c r="U585" s="150"/>
      <c r="V585" s="150"/>
      <c r="W585" s="173"/>
      <c r="X585" s="143"/>
      <c r="Y585" s="176">
        <v>4.684</v>
      </c>
      <c r="Z585" s="198">
        <f t="shared" si="130"/>
        <v>5976.78</v>
      </c>
      <c r="AA585" s="198">
        <f t="shared" si="131"/>
        <v>46320.05</v>
      </c>
      <c r="AB585" s="177" t="s">
        <v>983</v>
      </c>
      <c r="AC585" s="174"/>
      <c r="AD585" s="178"/>
      <c r="AE585" s="150" t="s">
        <v>12</v>
      </c>
      <c r="AF585" s="180"/>
      <c r="AG585" s="180"/>
      <c r="AH585" s="178">
        <v>46115</v>
      </c>
      <c r="AI585" s="178">
        <v>46149</v>
      </c>
      <c r="AJ585" s="178"/>
      <c r="AK585" s="178" t="s">
        <v>420</v>
      </c>
      <c r="AL585" s="178" t="s">
        <v>420</v>
      </c>
      <c r="AM585" s="143"/>
      <c r="AN585" s="180"/>
      <c r="AO585" s="143">
        <f t="shared" si="132"/>
        <v>98</v>
      </c>
      <c r="AP585" s="143">
        <f t="shared" si="133"/>
        <v>82</v>
      </c>
    </row>
    <row r="586" s="89" customFormat="1" customHeight="1" spans="1:42">
      <c r="A586" s="150">
        <v>46099</v>
      </c>
      <c r="B586" s="150" t="s">
        <v>467</v>
      </c>
      <c r="C586" s="171" t="s">
        <v>237</v>
      </c>
      <c r="D586" s="150" t="s">
        <v>802</v>
      </c>
      <c r="E586" s="171" t="s">
        <v>727</v>
      </c>
      <c r="F586" s="172">
        <v>10122665</v>
      </c>
      <c r="G586" s="172">
        <v>1042269852</v>
      </c>
      <c r="H586" s="173" t="s">
        <v>160</v>
      </c>
      <c r="I586" s="174" t="s">
        <v>900</v>
      </c>
      <c r="J586" s="175">
        <v>32</v>
      </c>
      <c r="K586" s="174">
        <v>2</v>
      </c>
      <c r="L586" s="143">
        <v>16</v>
      </c>
      <c r="M586" s="150">
        <v>46204</v>
      </c>
      <c r="N586" s="150">
        <v>46202</v>
      </c>
      <c r="O586" s="150">
        <v>46196</v>
      </c>
      <c r="P586" s="150" t="s">
        <v>804</v>
      </c>
      <c r="Q586" s="173" t="s">
        <v>777</v>
      </c>
      <c r="R586" s="148" t="s">
        <v>812</v>
      </c>
      <c r="S586" s="150"/>
      <c r="T586" s="150" t="s">
        <v>805</v>
      </c>
      <c r="U586" s="150"/>
      <c r="V586" s="150"/>
      <c r="W586" s="173"/>
      <c r="X586" s="143"/>
      <c r="Y586" s="176">
        <v>5.743</v>
      </c>
      <c r="Z586" s="198">
        <v>183.78</v>
      </c>
      <c r="AA586" s="198">
        <v>1424.3</v>
      </c>
      <c r="AB586" s="177" t="s">
        <v>984</v>
      </c>
      <c r="AC586" s="150"/>
      <c r="AD586" s="150"/>
      <c r="AE586" s="150" t="s">
        <v>12</v>
      </c>
      <c r="AF586" s="174"/>
      <c r="AG586" s="174"/>
      <c r="AH586" s="178">
        <v>46115</v>
      </c>
      <c r="AI586" s="178" t="s">
        <v>420</v>
      </c>
      <c r="AJ586" s="178"/>
      <c r="AK586" s="178">
        <v>46177</v>
      </c>
      <c r="AL586" s="178">
        <v>46134</v>
      </c>
      <c r="AM586" s="178"/>
      <c r="AN586" s="178"/>
      <c r="AO586" s="143">
        <v>105</v>
      </c>
      <c r="AP586" s="143">
        <v>89</v>
      </c>
    </row>
    <row r="587" s="89" customFormat="1" customHeight="1" spans="1:42">
      <c r="A587" s="150">
        <v>46099</v>
      </c>
      <c r="B587" s="150" t="s">
        <v>467</v>
      </c>
      <c r="C587" s="171" t="s">
        <v>237</v>
      </c>
      <c r="D587" s="150" t="s">
        <v>802</v>
      </c>
      <c r="E587" s="171" t="s">
        <v>727</v>
      </c>
      <c r="F587" s="172">
        <v>10122665</v>
      </c>
      <c r="G587" s="172">
        <v>1042269852</v>
      </c>
      <c r="H587" s="173" t="s">
        <v>155</v>
      </c>
      <c r="I587" s="174" t="s">
        <v>728</v>
      </c>
      <c r="J587" s="175">
        <v>260</v>
      </c>
      <c r="K587" s="174">
        <v>2</v>
      </c>
      <c r="L587" s="143">
        <v>130</v>
      </c>
      <c r="M587" s="150">
        <v>46204</v>
      </c>
      <c r="N587" s="150">
        <v>46202</v>
      </c>
      <c r="O587" s="196">
        <v>46213</v>
      </c>
      <c r="P587" s="150" t="s">
        <v>808</v>
      </c>
      <c r="Q587" s="173" t="s">
        <v>777</v>
      </c>
      <c r="R587" s="148" t="s">
        <v>418</v>
      </c>
      <c r="S587" s="150"/>
      <c r="T587" s="150" t="s">
        <v>805</v>
      </c>
      <c r="U587" s="150"/>
      <c r="V587" s="150"/>
      <c r="W587" s="173"/>
      <c r="X587" s="143"/>
      <c r="Y587" s="176">
        <v>4.637</v>
      </c>
      <c r="Z587" s="198">
        <v>1205.62</v>
      </c>
      <c r="AA587" s="198">
        <v>9343.56</v>
      </c>
      <c r="AB587" s="177" t="s">
        <v>984</v>
      </c>
      <c r="AC587" s="150"/>
      <c r="AD587" s="150"/>
      <c r="AE587" s="150" t="s">
        <v>12</v>
      </c>
      <c r="AF587" s="174"/>
      <c r="AG587" s="174"/>
      <c r="AH587" s="178">
        <v>46115</v>
      </c>
      <c r="AI587" s="178" t="s">
        <v>420</v>
      </c>
      <c r="AJ587" s="178"/>
      <c r="AK587" s="178" t="s">
        <v>453</v>
      </c>
      <c r="AL587" s="178">
        <v>46128</v>
      </c>
      <c r="AM587" s="178"/>
      <c r="AN587" s="178"/>
      <c r="AO587" s="143">
        <v>105</v>
      </c>
      <c r="AP587" s="143">
        <v>89</v>
      </c>
    </row>
    <row r="588" s="119" customFormat="1" customHeight="1" spans="1:42">
      <c r="A588" s="150">
        <v>46099</v>
      </c>
      <c r="B588" s="150" t="s">
        <v>467</v>
      </c>
      <c r="C588" s="171" t="s">
        <v>237</v>
      </c>
      <c r="D588" s="150" t="s">
        <v>802</v>
      </c>
      <c r="E588" s="171" t="s">
        <v>727</v>
      </c>
      <c r="F588" s="172">
        <v>10122665</v>
      </c>
      <c r="G588" s="172">
        <v>1042269852</v>
      </c>
      <c r="H588" s="173" t="s">
        <v>154</v>
      </c>
      <c r="I588" s="174" t="s">
        <v>723</v>
      </c>
      <c r="J588" s="175">
        <v>276</v>
      </c>
      <c r="K588" s="174">
        <v>4</v>
      </c>
      <c r="L588" s="143">
        <v>69</v>
      </c>
      <c r="M588" s="150">
        <v>46204</v>
      </c>
      <c r="N588" s="150">
        <v>46202</v>
      </c>
      <c r="O588" s="196">
        <v>46209</v>
      </c>
      <c r="P588" s="150" t="s">
        <v>808</v>
      </c>
      <c r="Q588" s="173" t="s">
        <v>777</v>
      </c>
      <c r="R588" s="148" t="s">
        <v>418</v>
      </c>
      <c r="S588" s="150"/>
      <c r="T588" s="150" t="s">
        <v>805</v>
      </c>
      <c r="U588" s="150"/>
      <c r="V588" s="150"/>
      <c r="W588" s="173"/>
      <c r="X588" s="143"/>
      <c r="Y588" s="176">
        <v>4.684</v>
      </c>
      <c r="Z588" s="198">
        <v>1292.78</v>
      </c>
      <c r="AA588" s="198">
        <v>10019.05</v>
      </c>
      <c r="AB588" s="177" t="s">
        <v>984</v>
      </c>
      <c r="AC588" s="174"/>
      <c r="AD588" s="178"/>
      <c r="AE588" s="150" t="s">
        <v>12</v>
      </c>
      <c r="AF588" s="180"/>
      <c r="AG588" s="180"/>
      <c r="AH588" s="178">
        <v>46115</v>
      </c>
      <c r="AI588" s="178">
        <v>46149</v>
      </c>
      <c r="AJ588" s="178"/>
      <c r="AK588" s="178" t="s">
        <v>420</v>
      </c>
      <c r="AL588" s="178" t="s">
        <v>420</v>
      </c>
      <c r="AM588" s="143"/>
      <c r="AN588" s="180"/>
      <c r="AO588" s="143">
        <v>105</v>
      </c>
      <c r="AP588" s="143">
        <v>89</v>
      </c>
    </row>
    <row r="589" s="89" customFormat="1" customHeight="1" spans="1:42">
      <c r="A589" s="150">
        <v>46099</v>
      </c>
      <c r="B589" s="150" t="s">
        <v>467</v>
      </c>
      <c r="C589" s="171" t="s">
        <v>237</v>
      </c>
      <c r="D589" s="150" t="s">
        <v>802</v>
      </c>
      <c r="E589" s="171" t="s">
        <v>727</v>
      </c>
      <c r="F589" s="172">
        <v>10122667</v>
      </c>
      <c r="G589" s="172">
        <v>1042269838</v>
      </c>
      <c r="H589" s="173" t="s">
        <v>155</v>
      </c>
      <c r="I589" s="174" t="s">
        <v>728</v>
      </c>
      <c r="J589" s="175">
        <v>298</v>
      </c>
      <c r="K589" s="174">
        <v>2</v>
      </c>
      <c r="L589" s="143">
        <v>149</v>
      </c>
      <c r="M589" s="150">
        <v>46204</v>
      </c>
      <c r="N589" s="150">
        <v>46202</v>
      </c>
      <c r="O589" s="196">
        <v>46205</v>
      </c>
      <c r="P589" s="150" t="s">
        <v>808</v>
      </c>
      <c r="Q589" s="173" t="s">
        <v>777</v>
      </c>
      <c r="R589" s="148" t="s">
        <v>418</v>
      </c>
      <c r="S589" s="150"/>
      <c r="T589" s="150" t="s">
        <v>805</v>
      </c>
      <c r="U589" s="150"/>
      <c r="V589" s="150"/>
      <c r="W589" s="173"/>
      <c r="X589" s="143" t="s">
        <v>806</v>
      </c>
      <c r="Y589" s="176">
        <v>4.684</v>
      </c>
      <c r="Z589" s="198">
        <v>1395.83</v>
      </c>
      <c r="AA589" s="198">
        <v>10817.68</v>
      </c>
      <c r="AB589" s="177" t="s">
        <v>985</v>
      </c>
      <c r="AC589" s="150"/>
      <c r="AD589" s="150"/>
      <c r="AE589" s="150" t="s">
        <v>12</v>
      </c>
      <c r="AF589" s="174"/>
      <c r="AG589" s="174"/>
      <c r="AH589" s="178">
        <v>46115</v>
      </c>
      <c r="AI589" s="178" t="s">
        <v>420</v>
      </c>
      <c r="AJ589" s="178"/>
      <c r="AK589" s="178" t="s">
        <v>453</v>
      </c>
      <c r="AL589" s="178">
        <v>46128</v>
      </c>
      <c r="AM589" s="178"/>
      <c r="AN589" s="178"/>
      <c r="AO589" s="143">
        <v>105</v>
      </c>
      <c r="AP589" s="143">
        <v>89</v>
      </c>
    </row>
    <row r="590" s="89" customFormat="1" customHeight="1" spans="1:42">
      <c r="A590" s="150">
        <v>46099</v>
      </c>
      <c r="B590" s="150" t="s">
        <v>467</v>
      </c>
      <c r="C590" s="171" t="s">
        <v>237</v>
      </c>
      <c r="D590" s="150" t="s">
        <v>802</v>
      </c>
      <c r="E590" s="171" t="s">
        <v>727</v>
      </c>
      <c r="F590" s="172">
        <v>10122667</v>
      </c>
      <c r="G590" s="172">
        <v>1042269838</v>
      </c>
      <c r="H590" s="173" t="s">
        <v>154</v>
      </c>
      <c r="I590" s="174" t="s">
        <v>723</v>
      </c>
      <c r="J590" s="175">
        <v>168</v>
      </c>
      <c r="K590" s="174">
        <v>4</v>
      </c>
      <c r="L590" s="143">
        <v>42</v>
      </c>
      <c r="M590" s="150">
        <v>46204</v>
      </c>
      <c r="N590" s="150">
        <v>46202</v>
      </c>
      <c r="O590" s="196">
        <v>46204</v>
      </c>
      <c r="P590" s="150" t="s">
        <v>808</v>
      </c>
      <c r="Q590" s="173" t="s">
        <v>777</v>
      </c>
      <c r="R590" s="148" t="s">
        <v>418</v>
      </c>
      <c r="S590" s="150"/>
      <c r="T590" s="150" t="s">
        <v>805</v>
      </c>
      <c r="U590" s="150"/>
      <c r="V590" s="150"/>
      <c r="W590" s="173"/>
      <c r="X590" s="143" t="s">
        <v>806</v>
      </c>
      <c r="Y590" s="176">
        <v>4.828</v>
      </c>
      <c r="Z590" s="198">
        <v>811.1</v>
      </c>
      <c r="AA590" s="198">
        <v>6286.03</v>
      </c>
      <c r="AB590" s="177" t="s">
        <v>985</v>
      </c>
      <c r="AC590" s="174"/>
      <c r="AD590" s="178"/>
      <c r="AE590" s="150" t="s">
        <v>12</v>
      </c>
      <c r="AF590" s="180"/>
      <c r="AG590" s="180"/>
      <c r="AH590" s="178">
        <v>46115</v>
      </c>
      <c r="AI590" s="178">
        <v>46149</v>
      </c>
      <c r="AJ590" s="178"/>
      <c r="AK590" s="178" t="s">
        <v>420</v>
      </c>
      <c r="AL590" s="178" t="s">
        <v>420</v>
      </c>
      <c r="AM590" s="143"/>
      <c r="AN590" s="180"/>
      <c r="AO590" s="143">
        <v>105</v>
      </c>
      <c r="AP590" s="143">
        <v>89</v>
      </c>
    </row>
    <row r="591" s="89" customFormat="1" customHeight="1" spans="1:42">
      <c r="A591" s="150">
        <v>46099</v>
      </c>
      <c r="B591" s="150" t="s">
        <v>467</v>
      </c>
      <c r="C591" s="171" t="s">
        <v>237</v>
      </c>
      <c r="D591" s="150" t="s">
        <v>802</v>
      </c>
      <c r="E591" s="171" t="s">
        <v>727</v>
      </c>
      <c r="F591" s="173">
        <v>10122669</v>
      </c>
      <c r="G591" s="172">
        <v>1042269828</v>
      </c>
      <c r="H591" s="173" t="s">
        <v>160</v>
      </c>
      <c r="I591" s="174" t="s">
        <v>900</v>
      </c>
      <c r="J591" s="175">
        <v>90</v>
      </c>
      <c r="K591" s="174">
        <v>2</v>
      </c>
      <c r="L591" s="143">
        <v>45</v>
      </c>
      <c r="M591" s="150">
        <v>46204</v>
      </c>
      <c r="N591" s="150">
        <v>46202</v>
      </c>
      <c r="O591" s="150">
        <v>46196</v>
      </c>
      <c r="P591" s="150" t="s">
        <v>804</v>
      </c>
      <c r="Q591" s="173" t="s">
        <v>777</v>
      </c>
      <c r="R591" s="148" t="s">
        <v>812</v>
      </c>
      <c r="S591" s="150"/>
      <c r="T591" s="150" t="s">
        <v>805</v>
      </c>
      <c r="U591" s="150"/>
      <c r="V591" s="150"/>
      <c r="W591" s="173"/>
      <c r="X591" s="143"/>
      <c r="Y591" s="176">
        <v>5.743</v>
      </c>
      <c r="Z591" s="198">
        <v>516.87</v>
      </c>
      <c r="AA591" s="198">
        <v>4005.74</v>
      </c>
      <c r="AB591" s="177" t="s">
        <v>986</v>
      </c>
      <c r="AC591" s="150"/>
      <c r="AD591" s="150"/>
      <c r="AE591" s="150" t="s">
        <v>12</v>
      </c>
      <c r="AF591" s="174"/>
      <c r="AG591" s="174"/>
      <c r="AH591" s="178">
        <v>46115</v>
      </c>
      <c r="AI591" s="178" t="s">
        <v>420</v>
      </c>
      <c r="AJ591" s="178"/>
      <c r="AK591" s="178">
        <v>46177</v>
      </c>
      <c r="AL591" s="178">
        <v>46134</v>
      </c>
      <c r="AM591" s="178"/>
      <c r="AN591" s="178"/>
      <c r="AO591" s="143">
        <v>105</v>
      </c>
      <c r="AP591" s="143">
        <v>89</v>
      </c>
    </row>
    <row r="592" s="119" customFormat="1" customHeight="1" spans="1:42">
      <c r="A592" s="150">
        <v>46099</v>
      </c>
      <c r="B592" s="150" t="s">
        <v>467</v>
      </c>
      <c r="C592" s="171" t="s">
        <v>237</v>
      </c>
      <c r="D592" s="150" t="s">
        <v>802</v>
      </c>
      <c r="E592" s="171" t="s">
        <v>727</v>
      </c>
      <c r="F592" s="173">
        <v>10122669</v>
      </c>
      <c r="G592" s="172">
        <v>1042269828</v>
      </c>
      <c r="H592" s="173" t="s">
        <v>155</v>
      </c>
      <c r="I592" s="174" t="s">
        <v>728</v>
      </c>
      <c r="J592" s="175">
        <v>658</v>
      </c>
      <c r="K592" s="174">
        <v>2</v>
      </c>
      <c r="L592" s="143">
        <v>329</v>
      </c>
      <c r="M592" s="150">
        <v>46204</v>
      </c>
      <c r="N592" s="150">
        <v>46202</v>
      </c>
      <c r="O592" s="196">
        <v>46213</v>
      </c>
      <c r="P592" s="150" t="s">
        <v>808</v>
      </c>
      <c r="Q592" s="173" t="s">
        <v>777</v>
      </c>
      <c r="R592" s="148" t="s">
        <v>418</v>
      </c>
      <c r="S592" s="150"/>
      <c r="T592" s="150" t="s">
        <v>805</v>
      </c>
      <c r="U592" s="150"/>
      <c r="V592" s="150"/>
      <c r="W592" s="173"/>
      <c r="X592" s="143"/>
      <c r="Y592" s="176">
        <v>4.637</v>
      </c>
      <c r="Z592" s="198">
        <v>3051.15</v>
      </c>
      <c r="AA592" s="198">
        <v>23646.41</v>
      </c>
      <c r="AB592" s="177" t="s">
        <v>986</v>
      </c>
      <c r="AC592" s="150"/>
      <c r="AD592" s="150"/>
      <c r="AE592" s="150" t="s">
        <v>12</v>
      </c>
      <c r="AF592" s="174"/>
      <c r="AG592" s="174"/>
      <c r="AH592" s="178">
        <v>46115</v>
      </c>
      <c r="AI592" s="178" t="s">
        <v>420</v>
      </c>
      <c r="AJ592" s="178"/>
      <c r="AK592" s="178" t="s">
        <v>453</v>
      </c>
      <c r="AL592" s="178">
        <v>46128</v>
      </c>
      <c r="AM592" s="178"/>
      <c r="AN592" s="178"/>
      <c r="AO592" s="143">
        <v>105</v>
      </c>
      <c r="AP592" s="143">
        <v>89</v>
      </c>
    </row>
    <row r="593" s="89" customFormat="1" customHeight="1" spans="1:43">
      <c r="A593" s="150">
        <v>46099</v>
      </c>
      <c r="B593" s="150" t="s">
        <v>467</v>
      </c>
      <c r="C593" s="171" t="s">
        <v>237</v>
      </c>
      <c r="D593" s="150" t="s">
        <v>802</v>
      </c>
      <c r="E593" s="171" t="s">
        <v>727</v>
      </c>
      <c r="F593" s="173">
        <v>10122669</v>
      </c>
      <c r="G593" s="172">
        <v>1042269828</v>
      </c>
      <c r="H593" s="173" t="s">
        <v>154</v>
      </c>
      <c r="I593" s="174" t="s">
        <v>723</v>
      </c>
      <c r="J593" s="175">
        <v>740</v>
      </c>
      <c r="K593" s="174">
        <v>4</v>
      </c>
      <c r="L593" s="143">
        <v>185</v>
      </c>
      <c r="M593" s="150">
        <v>46204</v>
      </c>
      <c r="N593" s="150">
        <v>46202</v>
      </c>
      <c r="O593" s="196">
        <v>46209</v>
      </c>
      <c r="P593" s="150" t="s">
        <v>808</v>
      </c>
      <c r="Q593" s="173" t="s">
        <v>777</v>
      </c>
      <c r="R593" s="148" t="s">
        <v>418</v>
      </c>
      <c r="S593" s="150"/>
      <c r="T593" s="150" t="s">
        <v>805</v>
      </c>
      <c r="U593" s="150"/>
      <c r="V593" s="150"/>
      <c r="W593" s="173"/>
      <c r="X593" s="143"/>
      <c r="Y593" s="176">
        <v>4.684</v>
      </c>
      <c r="Z593" s="198">
        <v>3466.16</v>
      </c>
      <c r="AA593" s="198">
        <v>26862.74</v>
      </c>
      <c r="AB593" s="177" t="s">
        <v>986</v>
      </c>
      <c r="AC593" s="174"/>
      <c r="AD593" s="178"/>
      <c r="AE593" s="150" t="s">
        <v>12</v>
      </c>
      <c r="AF593" s="180"/>
      <c r="AG593" s="180"/>
      <c r="AH593" s="178">
        <v>46115</v>
      </c>
      <c r="AI593" s="178">
        <v>46149</v>
      </c>
      <c r="AJ593" s="178"/>
      <c r="AK593" s="178" t="s">
        <v>420</v>
      </c>
      <c r="AL593" s="178" t="s">
        <v>420</v>
      </c>
      <c r="AM593" s="143"/>
      <c r="AN593" s="180"/>
      <c r="AO593" s="143">
        <v>105</v>
      </c>
      <c r="AP593" s="143">
        <v>89</v>
      </c>
    </row>
    <row r="594" s="89" customFormat="1" customHeight="1" spans="1:43">
      <c r="A594" s="150">
        <v>46099</v>
      </c>
      <c r="B594" s="150" t="str">
        <f ca="1" t="shared" ref="B594:B597" si="134">IF(TODAY()&gt;=A594,IF(R594="","未",""),"")</f>
        <v/>
      </c>
      <c r="C594" s="171" t="s">
        <v>237</v>
      </c>
      <c r="D594" s="150" t="s">
        <v>802</v>
      </c>
      <c r="E594" s="171" t="s">
        <v>727</v>
      </c>
      <c r="F594" s="172">
        <v>10122662</v>
      </c>
      <c r="G594" s="172">
        <v>1042269830</v>
      </c>
      <c r="H594" s="173" t="s">
        <v>155</v>
      </c>
      <c r="I594" s="174" t="str">
        <f>IFERROR(VLOOKUP(H594,名称!A:C,2,0),"")</f>
        <v>JD LNS圆轮拖拉机</v>
      </c>
      <c r="J594" s="175">
        <v>452</v>
      </c>
      <c r="K594" s="174">
        <f>IFERROR(VLOOKUP(H594,名称!A:D,3,0),"")</f>
        <v>2</v>
      </c>
      <c r="L594" s="143">
        <f t="shared" ref="L594:L597" si="135">IFERROR((J594/K594),"")</f>
        <v>226</v>
      </c>
      <c r="M594" s="150">
        <v>46204</v>
      </c>
      <c r="N594" s="150">
        <f t="shared" ref="N594:N597" si="136">M594-2</f>
        <v>46202</v>
      </c>
      <c r="O594" s="196">
        <v>46213</v>
      </c>
      <c r="P594" s="150" t="s">
        <v>808</v>
      </c>
      <c r="Q594" s="173" t="s">
        <v>777</v>
      </c>
      <c r="R594" s="148" t="s">
        <v>812</v>
      </c>
      <c r="S594" s="150"/>
      <c r="T594" s="150" t="s">
        <v>805</v>
      </c>
      <c r="U594" s="150"/>
      <c r="V594" s="150"/>
      <c r="W594" s="173"/>
      <c r="X594" s="143"/>
      <c r="Y594" s="176">
        <v>4.637</v>
      </c>
      <c r="Z594" s="198">
        <f t="shared" ref="Z594:Z597" si="137">J594*Y594</f>
        <v>2095.92</v>
      </c>
      <c r="AA594" s="198">
        <f t="shared" ref="AA594:AA597" si="138">Z594*7.75</f>
        <v>16243.38</v>
      </c>
      <c r="AB594" s="177" t="s">
        <v>987</v>
      </c>
      <c r="AC594" s="150"/>
      <c r="AD594" s="150"/>
      <c r="AE594" s="150" t="str">
        <f>IFERROR(VLOOKUP(H594,名称!A:D,4,0),"")</f>
        <v>KIK</v>
      </c>
      <c r="AF594" s="174"/>
      <c r="AG594" s="174"/>
      <c r="AH594" s="178">
        <v>46115</v>
      </c>
      <c r="AI594" s="178" t="s">
        <v>420</v>
      </c>
      <c r="AJ594" s="178"/>
      <c r="AK594" s="178" t="s">
        <v>453</v>
      </c>
      <c r="AL594" s="178">
        <v>46128</v>
      </c>
      <c r="AM594" s="178"/>
      <c r="AN594" s="178"/>
      <c r="AO594" s="143">
        <f t="shared" ref="AO594:AO597" si="139">M594-A594</f>
        <v>105</v>
      </c>
      <c r="AP594" s="143">
        <f t="shared" ref="AP594:AP597" si="140">M594-AH594</f>
        <v>89</v>
      </c>
    </row>
    <row r="595" s="89" customFormat="1" customHeight="1" spans="1:43">
      <c r="A595" s="150">
        <v>46099</v>
      </c>
      <c r="B595" s="150" t="str">
        <f ca="1" t="shared" si="134"/>
        <v/>
      </c>
      <c r="C595" s="171" t="s">
        <v>237</v>
      </c>
      <c r="D595" s="150" t="s">
        <v>802</v>
      </c>
      <c r="E595" s="171" t="s">
        <v>727</v>
      </c>
      <c r="F595" s="172">
        <v>10122662</v>
      </c>
      <c r="G595" s="172">
        <v>1042269830</v>
      </c>
      <c r="H595" s="173" t="s">
        <v>154</v>
      </c>
      <c r="I595" s="174" t="str">
        <f>IFERROR(VLOOKUP(H595,名称!A:C,2,0),"")</f>
        <v>动物车</v>
      </c>
      <c r="J595" s="175">
        <v>312</v>
      </c>
      <c r="K595" s="174">
        <f>IFERROR(VLOOKUP(H595,名称!A:D,3,0),"")</f>
        <v>4</v>
      </c>
      <c r="L595" s="143">
        <f t="shared" si="135"/>
        <v>78</v>
      </c>
      <c r="M595" s="150">
        <v>46204</v>
      </c>
      <c r="N595" s="150">
        <f t="shared" si="136"/>
        <v>46202</v>
      </c>
      <c r="O595" s="196">
        <v>46204</v>
      </c>
      <c r="P595" s="150" t="s">
        <v>808</v>
      </c>
      <c r="Q595" s="173" t="s">
        <v>777</v>
      </c>
      <c r="R595" s="148" t="s">
        <v>418</v>
      </c>
      <c r="S595" s="150"/>
      <c r="T595" s="150" t="s">
        <v>805</v>
      </c>
      <c r="U595" s="150"/>
      <c r="V595" s="150"/>
      <c r="W595" s="173"/>
      <c r="X595" s="143"/>
      <c r="Y595" s="176">
        <v>4.684</v>
      </c>
      <c r="Z595" s="198">
        <f t="shared" si="137"/>
        <v>1461.41</v>
      </c>
      <c r="AA595" s="198">
        <f t="shared" si="138"/>
        <v>11325.93</v>
      </c>
      <c r="AB595" s="177" t="s">
        <v>987</v>
      </c>
      <c r="AC595" s="174"/>
      <c r="AD595" s="178"/>
      <c r="AE595" s="150" t="s">
        <v>12</v>
      </c>
      <c r="AF595" s="180"/>
      <c r="AG595" s="180"/>
      <c r="AH595" s="178">
        <v>46115</v>
      </c>
      <c r="AI595" s="178">
        <v>46149</v>
      </c>
      <c r="AJ595" s="178"/>
      <c r="AK595" s="178" t="s">
        <v>420</v>
      </c>
      <c r="AL595" s="178" t="s">
        <v>420</v>
      </c>
      <c r="AM595" s="143"/>
      <c r="AN595" s="180"/>
      <c r="AO595" s="143">
        <f t="shared" si="139"/>
        <v>105</v>
      </c>
      <c r="AP595" s="143">
        <f t="shared" si="140"/>
        <v>89</v>
      </c>
    </row>
    <row r="596" s="89" customFormat="1" customHeight="1" spans="1:43">
      <c r="A596" s="150">
        <v>46101</v>
      </c>
      <c r="B596" s="150" t="str">
        <f ca="1" t="shared" si="134"/>
        <v/>
      </c>
      <c r="C596" s="171" t="s">
        <v>258</v>
      </c>
      <c r="D596" s="150" t="s">
        <v>988</v>
      </c>
      <c r="E596" s="171" t="s">
        <v>446</v>
      </c>
      <c r="F596" s="173">
        <v>10122908</v>
      </c>
      <c r="G596" s="172">
        <v>56793</v>
      </c>
      <c r="H596" s="173" t="s">
        <v>161</v>
      </c>
      <c r="I596" s="174" t="str">
        <f>IFERROR(VLOOKUP(H596,名称!A:C,2,0),"")</f>
        <v>47674PL/47714PL混装</v>
      </c>
      <c r="J596" s="175">
        <v>12000</v>
      </c>
      <c r="K596" s="174">
        <f>IFERROR(VLOOKUP(H596,名称!A:D,3,0),"")</f>
        <v>4</v>
      </c>
      <c r="L596" s="143">
        <f t="shared" si="135"/>
        <v>3000</v>
      </c>
      <c r="M596" s="150">
        <v>46239</v>
      </c>
      <c r="N596" s="150">
        <f t="shared" si="136"/>
        <v>46237</v>
      </c>
      <c r="O596" s="196">
        <v>46210</v>
      </c>
      <c r="P596" s="150" t="s">
        <v>435</v>
      </c>
      <c r="Q596" s="173" t="s">
        <v>485</v>
      </c>
      <c r="R596" s="148" t="s">
        <v>891</v>
      </c>
      <c r="S596" s="150" t="s">
        <v>593</v>
      </c>
      <c r="T596" s="150"/>
      <c r="U596" s="150"/>
      <c r="V596" s="150"/>
      <c r="W596" s="173"/>
      <c r="X596" s="143"/>
      <c r="Y596" s="176">
        <v>5.8</v>
      </c>
      <c r="Z596" s="198">
        <f t="shared" si="137"/>
        <v>69600</v>
      </c>
      <c r="AA596" s="198">
        <f t="shared" si="138"/>
        <v>539400</v>
      </c>
      <c r="AB596" s="177" t="s">
        <v>989</v>
      </c>
      <c r="AC596" s="150"/>
      <c r="AD596" s="150"/>
      <c r="AE596" s="150" t="str">
        <f>IFERROR(VLOOKUP(H596,名称!A:D,4,0),"")</f>
        <v>KIK</v>
      </c>
      <c r="AF596" s="174"/>
      <c r="AG596" s="174"/>
      <c r="AH596" s="178">
        <v>46146</v>
      </c>
      <c r="AI596" s="178"/>
      <c r="AJ596" s="178"/>
      <c r="AK596" s="178" t="s">
        <v>453</v>
      </c>
      <c r="AL596" s="178"/>
      <c r="AM596" s="178"/>
      <c r="AN596" s="178"/>
      <c r="AO596" s="143">
        <f t="shared" si="139"/>
        <v>138</v>
      </c>
      <c r="AP596" s="143">
        <f t="shared" si="140"/>
        <v>93</v>
      </c>
    </row>
    <row r="597" s="89" customFormat="1" customHeight="1" spans="1:43">
      <c r="A597" s="150">
        <v>46156</v>
      </c>
      <c r="B597" s="150" t="str">
        <f ca="1" t="shared" si="134"/>
        <v/>
      </c>
      <c r="C597" s="171" t="s">
        <v>237</v>
      </c>
      <c r="D597" s="150" t="s">
        <v>919</v>
      </c>
      <c r="E597" s="171" t="s">
        <v>438</v>
      </c>
      <c r="F597" s="172">
        <v>10127473</v>
      </c>
      <c r="G597" s="172">
        <v>288858879</v>
      </c>
      <c r="H597" s="173" t="s">
        <v>29</v>
      </c>
      <c r="I597" s="174" t="str">
        <f>IFERROR(VLOOKUP(H597,名称!A:C,2,0),"")</f>
        <v>木材运输车</v>
      </c>
      <c r="J597" s="203">
        <v>1060</v>
      </c>
      <c r="K597" s="174">
        <f>IFERROR(VLOOKUP(H597,名称!A:D,3,0),"")</f>
        <v>4</v>
      </c>
      <c r="L597" s="143">
        <f t="shared" si="135"/>
        <v>265</v>
      </c>
      <c r="M597" s="150">
        <v>46204</v>
      </c>
      <c r="N597" s="150">
        <f t="shared" si="136"/>
        <v>46202</v>
      </c>
      <c r="O597" s="147">
        <v>46230</v>
      </c>
      <c r="P597" s="150" t="s">
        <v>429</v>
      </c>
      <c r="Q597" s="204" t="s">
        <v>929</v>
      </c>
      <c r="R597" s="148" t="s">
        <v>826</v>
      </c>
      <c r="S597" s="150"/>
      <c r="T597" s="150"/>
      <c r="U597" s="150"/>
      <c r="V597" s="150"/>
      <c r="W597" s="173"/>
      <c r="X597" s="143" t="s">
        <v>920</v>
      </c>
      <c r="Y597" s="176">
        <v>21.801</v>
      </c>
      <c r="Z597" s="198">
        <f t="shared" si="137"/>
        <v>23109.06</v>
      </c>
      <c r="AA597" s="198">
        <f t="shared" si="138"/>
        <v>179095.22</v>
      </c>
      <c r="AB597" s="177" t="s">
        <v>990</v>
      </c>
      <c r="AC597" s="150"/>
      <c r="AD597" s="150"/>
      <c r="AE597" s="150" t="str">
        <f>IFERROR(VLOOKUP(H597,名称!A:D,4,0),"")</f>
        <v>KIK</v>
      </c>
      <c r="AF597" s="174"/>
      <c r="AG597" s="174"/>
      <c r="AH597" s="178">
        <v>46139</v>
      </c>
      <c r="AI597" s="178" t="s">
        <v>828</v>
      </c>
      <c r="AJ597" s="178"/>
      <c r="AK597" s="178">
        <v>46156</v>
      </c>
      <c r="AL597" s="178">
        <v>46140</v>
      </c>
      <c r="AM597" s="178"/>
      <c r="AN597" s="178"/>
      <c r="AO597" s="143">
        <f t="shared" si="139"/>
        <v>48</v>
      </c>
      <c r="AP597" s="143">
        <f t="shared" si="140"/>
        <v>65</v>
      </c>
    </row>
    <row r="598" s="119" customFormat="1" customHeight="1" spans="1:43">
      <c r="A598" s="93"/>
      <c r="B598" s="93"/>
      <c r="C598" s="95"/>
      <c r="D598" s="93"/>
      <c r="E598" s="95"/>
      <c r="F598" s="96"/>
      <c r="G598" s="96"/>
      <c r="H598" s="97"/>
      <c r="I598" s="98"/>
      <c r="J598" s="99"/>
      <c r="K598" s="98"/>
      <c r="L598" s="100"/>
      <c r="M598" s="93"/>
      <c r="N598" s="93"/>
      <c r="O598" s="215"/>
      <c r="P598" s="93"/>
      <c r="Q598" s="97"/>
      <c r="R598" s="216"/>
      <c r="S598" s="93"/>
      <c r="T598" s="93"/>
      <c r="U598" s="93"/>
      <c r="V598" s="93"/>
      <c r="W598" s="97"/>
      <c r="X598" s="100"/>
      <c r="Y598" s="102"/>
      <c r="Z598" s="103"/>
      <c r="AA598" s="145"/>
      <c r="AB598" s="177"/>
      <c r="AC598" s="217"/>
      <c r="AD598" s="105"/>
      <c r="AE598" s="93"/>
      <c r="AF598" s="139"/>
      <c r="AG598" s="139"/>
      <c r="AH598" s="105"/>
      <c r="AI598" s="105"/>
      <c r="AJ598" s="105"/>
      <c r="AK598" s="105"/>
      <c r="AL598" s="105"/>
      <c r="AM598" s="100"/>
      <c r="AN598" s="139"/>
      <c r="AO598" s="100"/>
      <c r="AP598" s="142"/>
    </row>
    <row r="599" s="119" customFormat="1" customHeight="1" spans="1:43">
      <c r="A599" s="93"/>
      <c r="B599" s="93"/>
      <c r="C599" s="95"/>
      <c r="D599" s="93"/>
      <c r="E599" s="95"/>
      <c r="F599" s="96"/>
      <c r="G599" s="96"/>
      <c r="H599" s="97"/>
      <c r="I599" s="98"/>
      <c r="J599" s="99"/>
      <c r="K599" s="98"/>
      <c r="L599" s="100"/>
      <c r="M599" s="93"/>
      <c r="N599" s="93"/>
      <c r="O599" s="215"/>
      <c r="P599" s="93"/>
      <c r="Q599" s="97"/>
      <c r="R599" s="216"/>
      <c r="S599" s="93"/>
      <c r="T599" s="93"/>
      <c r="U599" s="93"/>
      <c r="V599" s="93"/>
      <c r="W599" s="97"/>
      <c r="X599" s="100"/>
      <c r="Y599" s="102"/>
      <c r="Z599" s="103"/>
      <c r="AA599" s="145"/>
      <c r="AB599" s="177"/>
      <c r="AC599" s="217"/>
      <c r="AD599" s="105"/>
      <c r="AE599" s="93"/>
      <c r="AF599" s="139"/>
      <c r="AG599" s="139"/>
      <c r="AH599" s="105"/>
      <c r="AI599" s="105"/>
      <c r="AJ599" s="105"/>
      <c r="AK599" s="105"/>
      <c r="AL599" s="105"/>
      <c r="AM599" s="100"/>
      <c r="AN599" s="139"/>
      <c r="AO599" s="100"/>
      <c r="AP599" s="142"/>
    </row>
    <row r="600" s="119" customFormat="1" customHeight="1" spans="1:43">
      <c r="A600" s="93"/>
      <c r="B600" s="93"/>
      <c r="C600" s="95"/>
      <c r="D600" s="93"/>
      <c r="E600" s="95"/>
      <c r="F600" s="96"/>
      <c r="G600" s="96"/>
      <c r="H600" s="97"/>
      <c r="I600" s="98"/>
      <c r="J600" s="99"/>
      <c r="K600" s="98"/>
      <c r="L600" s="100"/>
      <c r="M600" s="93"/>
      <c r="N600" s="93"/>
      <c r="O600" s="215"/>
      <c r="P600" s="93"/>
      <c r="Q600" s="97"/>
      <c r="R600" s="216"/>
      <c r="S600" s="93"/>
      <c r="T600" s="93"/>
      <c r="U600" s="93"/>
      <c r="V600" s="93"/>
      <c r="W600" s="97"/>
      <c r="X600" s="100"/>
      <c r="Y600" s="102"/>
      <c r="Z600" s="103"/>
      <c r="AA600" s="145"/>
      <c r="AB600" s="177"/>
      <c r="AC600" s="217"/>
      <c r="AD600" s="105"/>
      <c r="AE600" s="93"/>
      <c r="AF600" s="139"/>
      <c r="AG600" s="139"/>
      <c r="AH600" s="105"/>
      <c r="AI600" s="105"/>
      <c r="AJ600" s="105"/>
      <c r="AK600" s="105"/>
      <c r="AL600" s="105"/>
      <c r="AM600" s="100"/>
      <c r="AN600" s="139"/>
      <c r="AO600" s="100"/>
      <c r="AP600" s="142"/>
    </row>
    <row r="601" s="119" customFormat="1" customHeight="1" spans="1:43">
      <c r="A601" s="93"/>
      <c r="B601" s="93"/>
      <c r="C601" s="95"/>
      <c r="D601" s="93"/>
      <c r="E601" s="95"/>
      <c r="F601" s="96"/>
      <c r="G601" s="96"/>
      <c r="H601" s="97"/>
      <c r="I601" s="98"/>
      <c r="J601" s="99"/>
      <c r="K601" s="98"/>
      <c r="L601" s="100"/>
      <c r="M601" s="93"/>
      <c r="N601" s="93"/>
      <c r="O601" s="215"/>
      <c r="P601" s="93"/>
      <c r="Q601" s="97"/>
      <c r="R601" s="216"/>
      <c r="S601" s="93"/>
      <c r="T601" s="93"/>
      <c r="U601" s="93"/>
      <c r="V601" s="93"/>
      <c r="W601" s="97"/>
      <c r="X601" s="100"/>
      <c r="Y601" s="102"/>
      <c r="Z601" s="103"/>
      <c r="AA601" s="145"/>
      <c r="AB601" s="177"/>
      <c r="AC601" s="217"/>
      <c r="AD601" s="105"/>
      <c r="AE601" s="93"/>
      <c r="AF601" s="139"/>
      <c r="AG601" s="139"/>
      <c r="AH601" s="105"/>
      <c r="AI601" s="105"/>
      <c r="AJ601" s="105"/>
      <c r="AK601" s="105"/>
      <c r="AL601" s="105"/>
      <c r="AM601" s="100"/>
      <c r="AN601" s="139"/>
      <c r="AO601" s="100"/>
      <c r="AP601" s="142"/>
    </row>
    <row r="602" s="119" customFormat="1" customHeight="1" spans="1:43">
      <c r="A602" s="93"/>
      <c r="B602" s="93"/>
      <c r="C602" s="95"/>
      <c r="D602" s="93"/>
      <c r="E602" s="95"/>
      <c r="F602" s="96"/>
      <c r="G602" s="96"/>
      <c r="H602" s="97"/>
      <c r="I602" s="98"/>
      <c r="J602" s="99"/>
      <c r="K602" s="98"/>
      <c r="L602" s="100"/>
      <c r="M602" s="93"/>
      <c r="N602" s="93"/>
      <c r="O602" s="215"/>
      <c r="P602" s="93"/>
      <c r="Q602" s="97"/>
      <c r="R602" s="216"/>
      <c r="S602" s="93"/>
      <c r="T602" s="93"/>
      <c r="U602" s="93"/>
      <c r="V602" s="93"/>
      <c r="W602" s="97"/>
      <c r="X602" s="100"/>
      <c r="Y602" s="102"/>
      <c r="Z602" s="103"/>
      <c r="AA602" s="145"/>
      <c r="AB602" s="177"/>
      <c r="AC602" s="217"/>
      <c r="AD602" s="105"/>
      <c r="AE602" s="93"/>
      <c r="AF602" s="139"/>
      <c r="AG602" s="139"/>
      <c r="AH602" s="105"/>
      <c r="AI602" s="105"/>
      <c r="AJ602" s="105"/>
      <c r="AK602" s="105"/>
      <c r="AL602" s="105"/>
      <c r="AM602" s="100"/>
      <c r="AN602" s="139"/>
      <c r="AO602" s="100"/>
      <c r="AP602" s="142"/>
    </row>
    <row r="603" s="119" customFormat="1" customHeight="1" spans="1:43">
      <c r="A603" s="93"/>
      <c r="B603" s="93"/>
      <c r="C603" s="95"/>
      <c r="D603" s="93"/>
      <c r="E603" s="95"/>
      <c r="F603" s="96"/>
      <c r="G603" s="96"/>
      <c r="H603" s="97"/>
      <c r="I603" s="98"/>
      <c r="J603" s="99"/>
      <c r="K603" s="98"/>
      <c r="L603" s="100"/>
      <c r="M603" s="93"/>
      <c r="N603" s="93"/>
      <c r="O603" s="215"/>
      <c r="P603" s="93"/>
      <c r="Q603" s="97"/>
      <c r="R603" s="216"/>
      <c r="S603" s="93"/>
      <c r="T603" s="93"/>
      <c r="U603" s="93"/>
      <c r="V603" s="93"/>
      <c r="W603" s="97"/>
      <c r="X603" s="100"/>
      <c r="Y603" s="102"/>
      <c r="Z603" s="103"/>
      <c r="AA603" s="145"/>
      <c r="AB603" s="177"/>
      <c r="AC603" s="217"/>
      <c r="AD603" s="105"/>
      <c r="AE603" s="93"/>
      <c r="AF603" s="139"/>
      <c r="AG603" s="139"/>
      <c r="AH603" s="105"/>
      <c r="AI603" s="105"/>
      <c r="AJ603" s="105"/>
      <c r="AK603" s="105"/>
      <c r="AL603" s="105"/>
      <c r="AM603" s="100"/>
      <c r="AN603" s="139"/>
      <c r="AO603" s="100"/>
      <c r="AP603" s="142"/>
    </row>
    <row r="604" s="119" customFormat="1" customHeight="1" spans="1:43">
      <c r="A604" s="93"/>
      <c r="B604" s="93"/>
      <c r="C604" s="95"/>
      <c r="D604" s="93"/>
      <c r="E604" s="95"/>
      <c r="F604" s="96"/>
      <c r="G604" s="96"/>
      <c r="H604" s="97"/>
      <c r="I604" s="98"/>
      <c r="J604" s="99"/>
      <c r="K604" s="98"/>
      <c r="L604" s="100"/>
      <c r="M604" s="93"/>
      <c r="N604" s="93"/>
      <c r="O604" s="215"/>
      <c r="P604" s="93"/>
      <c r="Q604" s="97"/>
      <c r="R604" s="216"/>
      <c r="S604" s="93"/>
      <c r="T604" s="93"/>
      <c r="U604" s="93"/>
      <c r="V604" s="93"/>
      <c r="W604" s="97"/>
      <c r="X604" s="100"/>
      <c r="Y604" s="102"/>
      <c r="Z604" s="103"/>
      <c r="AA604" s="145"/>
      <c r="AB604" s="177"/>
      <c r="AC604" s="217"/>
      <c r="AD604" s="105"/>
      <c r="AE604" s="93"/>
      <c r="AF604" s="139"/>
      <c r="AG604" s="139"/>
      <c r="AH604" s="105"/>
      <c r="AI604" s="105"/>
      <c r="AJ604" s="105"/>
      <c r="AK604" s="105"/>
      <c r="AL604" s="105"/>
      <c r="AM604" s="100"/>
      <c r="AN604" s="139"/>
      <c r="AO604" s="100"/>
      <c r="AP604" s="142"/>
    </row>
    <row r="605" s="90" customFormat="1" customHeight="1" spans="1:43">
      <c r="A605" s="113"/>
      <c r="B605" s="113"/>
      <c r="C605" s="30"/>
      <c r="D605" s="30"/>
      <c r="E605" s="30"/>
      <c r="F605" s="30"/>
      <c r="G605" s="110"/>
      <c r="H605" s="30"/>
      <c r="I605" s="30" t="s">
        <v>517</v>
      </c>
      <c r="J605" s="33">
        <f>SUM(J2:J453)</f>
        <v>670128</v>
      </c>
      <c r="K605" s="114"/>
      <c r="L605" s="114"/>
      <c r="M605" s="113"/>
      <c r="N605" s="113"/>
      <c r="O605" s="113"/>
      <c r="P605" s="113"/>
      <c r="Q605" s="113"/>
      <c r="R605" s="30"/>
      <c r="S605" s="30"/>
      <c r="T605" s="37"/>
      <c r="U605" s="113"/>
      <c r="V605" s="30"/>
      <c r="W605" s="30"/>
      <c r="X605" s="34"/>
      <c r="Y605" s="111"/>
      <c r="Z605" s="115">
        <f>SUM(Z2:Z604)</f>
        <v>3610502.98</v>
      </c>
      <c r="AA605" s="218">
        <f>SUM(AA2:AA604)</f>
        <v>27981398.69</v>
      </c>
      <c r="AB605" s="85"/>
      <c r="AC605" s="219"/>
      <c r="AD605" s="113"/>
      <c r="AE605" s="113"/>
      <c r="AF605" s="113"/>
      <c r="AG605" s="113"/>
      <c r="AH605" s="113"/>
      <c r="AI605" s="113"/>
      <c r="AJ605" s="113"/>
      <c r="AK605" s="113"/>
      <c r="AL605" s="113"/>
      <c r="AM605" s="113"/>
      <c r="AN605" s="113"/>
      <c r="AO605" s="33"/>
      <c r="AP605" s="220"/>
      <c r="AQ605" s="221"/>
    </row>
    <row r="606" customHeight="1" spans="1:43">
      <c r="AB606" s="222"/>
    </row>
    <row r="609" customHeight="1" spans="7:7">
      <c r="G609" s="1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S597" etc:filterBottomFollowUsedRange="0">
    <filterColumn colId="7">
      <customFilters>
        <customFilter operator="equal" val="47712A"/>
      </customFilters>
    </filterColumn>
    <sortState ref="A1:AS597">
      <sortCondition ref="A1"/>
    </sortState>
    <extLst/>
  </autoFilter>
  <conditionalFormatting sqref="AO2">
    <cfRule type="cellIs" dxfId="1" priority="764" operator="lessThan">
      <formula>90</formula>
    </cfRule>
  </conditionalFormatting>
  <conditionalFormatting sqref="AP2">
    <cfRule type="cellIs" dxfId="0" priority="763" operator="lessThan">
      <formula>55</formula>
    </cfRule>
  </conditionalFormatting>
  <conditionalFormatting sqref="AO3">
    <cfRule type="cellIs" dxfId="1" priority="762" operator="lessThan">
      <formula>90</formula>
    </cfRule>
  </conditionalFormatting>
  <conditionalFormatting sqref="AP3">
    <cfRule type="cellIs" dxfId="0" priority="761" operator="lessThan">
      <formula>55</formula>
    </cfRule>
  </conditionalFormatting>
  <conditionalFormatting sqref="AO4">
    <cfRule type="cellIs" dxfId="1" priority="760" operator="lessThan">
      <formula>90</formula>
    </cfRule>
  </conditionalFormatting>
  <conditionalFormatting sqref="AP4">
    <cfRule type="cellIs" dxfId="0" priority="759" operator="lessThan">
      <formula>55</formula>
    </cfRule>
  </conditionalFormatting>
  <conditionalFormatting sqref="AO5">
    <cfRule type="cellIs" dxfId="1" priority="756" operator="lessThan">
      <formula>90</formula>
    </cfRule>
  </conditionalFormatting>
  <conditionalFormatting sqref="AP5">
    <cfRule type="cellIs" dxfId="0" priority="755" operator="lessThan">
      <formula>55</formula>
    </cfRule>
  </conditionalFormatting>
  <conditionalFormatting sqref="AO6">
    <cfRule type="cellIs" dxfId="1" priority="758" operator="lessThan">
      <formula>90</formula>
    </cfRule>
  </conditionalFormatting>
  <conditionalFormatting sqref="AP6">
    <cfRule type="cellIs" dxfId="0" priority="757" operator="lessThan">
      <formula>55</formula>
    </cfRule>
  </conditionalFormatting>
  <conditionalFormatting sqref="AO7">
    <cfRule type="cellIs" dxfId="1" priority="754" operator="lessThan">
      <formula>90</formula>
    </cfRule>
  </conditionalFormatting>
  <conditionalFormatting sqref="AP7">
    <cfRule type="cellIs" dxfId="0" priority="753" operator="lessThan">
      <formula>55</formula>
    </cfRule>
  </conditionalFormatting>
  <conditionalFormatting sqref="AO8">
    <cfRule type="cellIs" dxfId="1" priority="752" operator="lessThan">
      <formula>90</formula>
    </cfRule>
  </conditionalFormatting>
  <conditionalFormatting sqref="AP8">
    <cfRule type="cellIs" dxfId="0" priority="751" operator="lessThan">
      <formula>55</formula>
    </cfRule>
  </conditionalFormatting>
  <conditionalFormatting sqref="AO9">
    <cfRule type="cellIs" dxfId="1" priority="748" operator="lessThan">
      <formula>90</formula>
    </cfRule>
  </conditionalFormatting>
  <conditionalFormatting sqref="AP9">
    <cfRule type="cellIs" dxfId="0" priority="747" operator="lessThan">
      <formula>55</formula>
    </cfRule>
  </conditionalFormatting>
  <conditionalFormatting sqref="AO10">
    <cfRule type="cellIs" dxfId="1" priority="750" operator="lessThan">
      <formula>90</formula>
    </cfRule>
  </conditionalFormatting>
  <conditionalFormatting sqref="AP10">
    <cfRule type="cellIs" dxfId="0" priority="749" operator="lessThan">
      <formula>55</formula>
    </cfRule>
  </conditionalFormatting>
  <conditionalFormatting sqref="AO11">
    <cfRule type="cellIs" dxfId="1" priority="746" operator="lessThan">
      <formula>90</formula>
    </cfRule>
  </conditionalFormatting>
  <conditionalFormatting sqref="AP11">
    <cfRule type="cellIs" dxfId="0" priority="745" operator="lessThan">
      <formula>55</formula>
    </cfRule>
  </conditionalFormatting>
  <conditionalFormatting sqref="AO12">
    <cfRule type="cellIs" dxfId="1" priority="742" operator="lessThan">
      <formula>90</formula>
    </cfRule>
  </conditionalFormatting>
  <conditionalFormatting sqref="AP12">
    <cfRule type="cellIs" dxfId="0" priority="741" operator="lessThan">
      <formula>55</formula>
    </cfRule>
  </conditionalFormatting>
  <conditionalFormatting sqref="AO13">
    <cfRule type="cellIs" dxfId="1" priority="744" operator="lessThan">
      <formula>90</formula>
    </cfRule>
  </conditionalFormatting>
  <conditionalFormatting sqref="AP13">
    <cfRule type="cellIs" dxfId="0" priority="743" operator="lessThan">
      <formula>55</formula>
    </cfRule>
  </conditionalFormatting>
  <conditionalFormatting sqref="AO14">
    <cfRule type="cellIs" dxfId="1" priority="740" operator="lessThan">
      <formula>90</formula>
    </cfRule>
  </conditionalFormatting>
  <conditionalFormatting sqref="AP14">
    <cfRule type="cellIs" dxfId="0" priority="739" operator="lessThan">
      <formula>55</formula>
    </cfRule>
  </conditionalFormatting>
  <conditionalFormatting sqref="AO15">
    <cfRule type="cellIs" dxfId="1" priority="736" operator="lessThan">
      <formula>90</formula>
    </cfRule>
  </conditionalFormatting>
  <conditionalFormatting sqref="AP15">
    <cfRule type="cellIs" dxfId="0" priority="735" operator="lessThan">
      <formula>55</formula>
    </cfRule>
  </conditionalFormatting>
  <conditionalFormatting sqref="AO16">
    <cfRule type="cellIs" dxfId="1" priority="738" operator="lessThan">
      <formula>90</formula>
    </cfRule>
  </conditionalFormatting>
  <conditionalFormatting sqref="AP16">
    <cfRule type="cellIs" dxfId="0" priority="737" operator="lessThan">
      <formula>55</formula>
    </cfRule>
  </conditionalFormatting>
  <conditionalFormatting sqref="AO17">
    <cfRule type="cellIs" dxfId="1" priority="730" operator="lessThan">
      <formula>90</formula>
    </cfRule>
  </conditionalFormatting>
  <conditionalFormatting sqref="AP17">
    <cfRule type="cellIs" dxfId="0" priority="729" operator="lessThan">
      <formula>55</formula>
    </cfRule>
  </conditionalFormatting>
  <conditionalFormatting sqref="AO18">
    <cfRule type="cellIs" dxfId="1" priority="734" operator="lessThan">
      <formula>90</formula>
    </cfRule>
  </conditionalFormatting>
  <conditionalFormatting sqref="AP18">
    <cfRule type="cellIs" dxfId="0" priority="733" operator="lessThan">
      <formula>55</formula>
    </cfRule>
  </conditionalFormatting>
  <conditionalFormatting sqref="AO19">
    <cfRule type="cellIs" dxfId="1" priority="732" operator="lessThan">
      <formula>90</formula>
    </cfRule>
  </conditionalFormatting>
  <conditionalFormatting sqref="AP19">
    <cfRule type="cellIs" dxfId="0" priority="731" operator="lessThan">
      <formula>55</formula>
    </cfRule>
  </conditionalFormatting>
  <conditionalFormatting sqref="AO20">
    <cfRule type="cellIs" dxfId="1" priority="728" operator="lessThan">
      <formula>90</formula>
    </cfRule>
  </conditionalFormatting>
  <conditionalFormatting sqref="AP20">
    <cfRule type="cellIs" dxfId="0" priority="727" operator="lessThan">
      <formula>55</formula>
    </cfRule>
  </conditionalFormatting>
  <conditionalFormatting sqref="AO21">
    <cfRule type="cellIs" dxfId="1" priority="724" operator="lessThan">
      <formula>90</formula>
    </cfRule>
  </conditionalFormatting>
  <conditionalFormatting sqref="AP21">
    <cfRule type="cellIs" dxfId="0" priority="723" operator="lessThan">
      <formula>55</formula>
    </cfRule>
  </conditionalFormatting>
  <conditionalFormatting sqref="AO22">
    <cfRule type="cellIs" dxfId="1" priority="726" operator="lessThan">
      <formula>90</formula>
    </cfRule>
  </conditionalFormatting>
  <conditionalFormatting sqref="AP22">
    <cfRule type="cellIs" dxfId="0" priority="725" operator="lessThan">
      <formula>55</formula>
    </cfRule>
  </conditionalFormatting>
  <conditionalFormatting sqref="AO23">
    <cfRule type="cellIs" dxfId="1" priority="722" operator="lessThan">
      <formula>90</formula>
    </cfRule>
  </conditionalFormatting>
  <conditionalFormatting sqref="AP23">
    <cfRule type="cellIs" dxfId="0" priority="721" operator="lessThan">
      <formula>55</formula>
    </cfRule>
  </conditionalFormatting>
  <conditionalFormatting sqref="AO24">
    <cfRule type="cellIs" dxfId="1" priority="720" operator="lessThan">
      <formula>90</formula>
    </cfRule>
  </conditionalFormatting>
  <conditionalFormatting sqref="AP24">
    <cfRule type="cellIs" dxfId="0" priority="719" operator="lessThan">
      <formula>55</formula>
    </cfRule>
  </conditionalFormatting>
  <conditionalFormatting sqref="AO25">
    <cfRule type="cellIs" dxfId="1" priority="718" operator="lessThan">
      <formula>90</formula>
    </cfRule>
  </conditionalFormatting>
  <conditionalFormatting sqref="AP25">
    <cfRule type="cellIs" dxfId="0" priority="717" operator="lessThan">
      <formula>55</formula>
    </cfRule>
  </conditionalFormatting>
  <conditionalFormatting sqref="AO26">
    <cfRule type="cellIs" dxfId="1" priority="714" operator="lessThan">
      <formula>90</formula>
    </cfRule>
  </conditionalFormatting>
  <conditionalFormatting sqref="AP26">
    <cfRule type="cellIs" dxfId="0" priority="713" operator="lessThan">
      <formula>55</formula>
    </cfRule>
  </conditionalFormatting>
  <conditionalFormatting sqref="AO27">
    <cfRule type="cellIs" dxfId="1" priority="712" operator="lessThan">
      <formula>90</formula>
    </cfRule>
  </conditionalFormatting>
  <conditionalFormatting sqref="AP27">
    <cfRule type="cellIs" dxfId="0" priority="711" operator="lessThan">
      <formula>55</formula>
    </cfRule>
  </conditionalFormatting>
  <conditionalFormatting sqref="AO28">
    <cfRule type="cellIs" dxfId="1" priority="716" operator="lessThan">
      <formula>90</formula>
    </cfRule>
  </conditionalFormatting>
  <conditionalFormatting sqref="AP28">
    <cfRule type="cellIs" dxfId="0" priority="715" operator="lessThan">
      <formula>55</formula>
    </cfRule>
  </conditionalFormatting>
  <conditionalFormatting sqref="AO29">
    <cfRule type="cellIs" dxfId="1" priority="710" operator="lessThan">
      <formula>90</formula>
    </cfRule>
  </conditionalFormatting>
  <conditionalFormatting sqref="AP29">
    <cfRule type="cellIs" dxfId="0" priority="709" operator="lessThan">
      <formula>55</formula>
    </cfRule>
  </conditionalFormatting>
  <conditionalFormatting sqref="AO30">
    <cfRule type="cellIs" dxfId="1" priority="708" operator="lessThan">
      <formula>90</formula>
    </cfRule>
  </conditionalFormatting>
  <conditionalFormatting sqref="AP30">
    <cfRule type="cellIs" dxfId="0" priority="707" operator="lessThan">
      <formula>55</formula>
    </cfRule>
  </conditionalFormatting>
  <conditionalFormatting sqref="AO31">
    <cfRule type="cellIs" dxfId="1" priority="706" operator="lessThan">
      <formula>90</formula>
    </cfRule>
  </conditionalFormatting>
  <conditionalFormatting sqref="AP31">
    <cfRule type="cellIs" dxfId="0" priority="705" operator="lessThan">
      <formula>55</formula>
    </cfRule>
  </conditionalFormatting>
  <conditionalFormatting sqref="AO34">
    <cfRule type="cellIs" dxfId="1" priority="702" operator="lessThan">
      <formula>90</formula>
    </cfRule>
  </conditionalFormatting>
  <conditionalFormatting sqref="AP34">
    <cfRule type="cellIs" dxfId="0" priority="701" operator="lessThan">
      <formula>55</formula>
    </cfRule>
  </conditionalFormatting>
  <conditionalFormatting sqref="AO35">
    <cfRule type="cellIs" dxfId="1" priority="700" operator="lessThan">
      <formula>90</formula>
    </cfRule>
  </conditionalFormatting>
  <conditionalFormatting sqref="AP35">
    <cfRule type="cellIs" dxfId="0" priority="699" operator="lessThan">
      <formula>55</formula>
    </cfRule>
  </conditionalFormatting>
  <conditionalFormatting sqref="AO36">
    <cfRule type="cellIs" dxfId="1" priority="698" operator="lessThan">
      <formula>90</formula>
    </cfRule>
  </conditionalFormatting>
  <conditionalFormatting sqref="AP36">
    <cfRule type="cellIs" dxfId="0" priority="697" operator="lessThan">
      <formula>55</formula>
    </cfRule>
  </conditionalFormatting>
  <conditionalFormatting sqref="AO37">
    <cfRule type="cellIs" dxfId="1" priority="696" operator="lessThan">
      <formula>90</formula>
    </cfRule>
  </conditionalFormatting>
  <conditionalFormatting sqref="AP37">
    <cfRule type="cellIs" dxfId="0" priority="695" operator="lessThan">
      <formula>55</formula>
    </cfRule>
  </conditionalFormatting>
  <conditionalFormatting sqref="AO38">
    <cfRule type="cellIs" dxfId="1" priority="692" operator="lessThan">
      <formula>90</formula>
    </cfRule>
  </conditionalFormatting>
  <conditionalFormatting sqref="AP38">
    <cfRule type="cellIs" dxfId="0" priority="691" operator="lessThan">
      <formula>55</formula>
    </cfRule>
  </conditionalFormatting>
  <conditionalFormatting sqref="AO41">
    <cfRule type="cellIs" dxfId="1" priority="690" operator="lessThan">
      <formula>90</formula>
    </cfRule>
  </conditionalFormatting>
  <conditionalFormatting sqref="AP41">
    <cfRule type="cellIs" dxfId="0" priority="689" operator="lessThan">
      <formula>55</formula>
    </cfRule>
  </conditionalFormatting>
  <conditionalFormatting sqref="AO42">
    <cfRule type="cellIs" dxfId="1" priority="688" operator="lessThan">
      <formula>90</formula>
    </cfRule>
  </conditionalFormatting>
  <conditionalFormatting sqref="AP42">
    <cfRule type="cellIs" dxfId="0" priority="687" operator="lessThan">
      <formula>55</formula>
    </cfRule>
  </conditionalFormatting>
  <conditionalFormatting sqref="AO43">
    <cfRule type="cellIs" dxfId="1" priority="686" operator="lessThan">
      <formula>90</formula>
    </cfRule>
  </conditionalFormatting>
  <conditionalFormatting sqref="AP43">
    <cfRule type="cellIs" dxfId="0" priority="685" operator="lessThan">
      <formula>55</formula>
    </cfRule>
  </conditionalFormatting>
  <conditionalFormatting sqref="AO44">
    <cfRule type="cellIs" dxfId="1" priority="682" operator="lessThan">
      <formula>90</formula>
    </cfRule>
  </conditionalFormatting>
  <conditionalFormatting sqref="AP44">
    <cfRule type="cellIs" dxfId="0" priority="681" operator="lessThan">
      <formula>55</formula>
    </cfRule>
  </conditionalFormatting>
  <conditionalFormatting sqref="AO48">
    <cfRule type="cellIs" dxfId="1" priority="680" operator="lessThan">
      <formula>90</formula>
    </cfRule>
  </conditionalFormatting>
  <conditionalFormatting sqref="AP48">
    <cfRule type="cellIs" dxfId="0" priority="679" operator="lessThan">
      <formula>55</formula>
    </cfRule>
  </conditionalFormatting>
  <conditionalFormatting sqref="AO49">
    <cfRule type="cellIs" dxfId="1" priority="676" operator="lessThan">
      <formula>90</formula>
    </cfRule>
  </conditionalFormatting>
  <conditionalFormatting sqref="AP49">
    <cfRule type="cellIs" dxfId="0" priority="675" operator="lessThan">
      <formula>55</formula>
    </cfRule>
  </conditionalFormatting>
  <conditionalFormatting sqref="AO52">
    <cfRule type="cellIs" dxfId="1" priority="668" operator="lessThan">
      <formula>90</formula>
    </cfRule>
  </conditionalFormatting>
  <conditionalFormatting sqref="AP52">
    <cfRule type="cellIs" dxfId="0" priority="667" operator="lessThan">
      <formula>55</formula>
    </cfRule>
  </conditionalFormatting>
  <conditionalFormatting sqref="AO53">
    <cfRule type="cellIs" dxfId="1" priority="666" operator="lessThan">
      <formula>90</formula>
    </cfRule>
  </conditionalFormatting>
  <conditionalFormatting sqref="AP53">
    <cfRule type="cellIs" dxfId="0" priority="665" operator="lessThan">
      <formula>55</formula>
    </cfRule>
  </conditionalFormatting>
  <conditionalFormatting sqref="AO54">
    <cfRule type="cellIs" dxfId="1" priority="672" operator="lessThan">
      <formula>90</formula>
    </cfRule>
  </conditionalFormatting>
  <conditionalFormatting sqref="AP54">
    <cfRule type="cellIs" dxfId="0" priority="671" operator="lessThan">
      <formula>55</formula>
    </cfRule>
  </conditionalFormatting>
  <conditionalFormatting sqref="AO55">
    <cfRule type="cellIs" dxfId="1" priority="674" operator="lessThan">
      <formula>90</formula>
    </cfRule>
  </conditionalFormatting>
  <conditionalFormatting sqref="AP55">
    <cfRule type="cellIs" dxfId="0" priority="673" operator="lessThan">
      <formula>55</formula>
    </cfRule>
  </conditionalFormatting>
  <conditionalFormatting sqref="AO56">
    <cfRule type="cellIs" dxfId="1" priority="670" operator="lessThan">
      <formula>90</formula>
    </cfRule>
  </conditionalFormatting>
  <conditionalFormatting sqref="AP56">
    <cfRule type="cellIs" dxfId="0" priority="669" operator="lessThan">
      <formula>55</formula>
    </cfRule>
  </conditionalFormatting>
  <conditionalFormatting sqref="AO57">
    <cfRule type="cellIs" dxfId="1" priority="664" operator="lessThan">
      <formula>90</formula>
    </cfRule>
  </conditionalFormatting>
  <conditionalFormatting sqref="AP57">
    <cfRule type="cellIs" dxfId="0" priority="663" operator="lessThan">
      <formula>55</formula>
    </cfRule>
  </conditionalFormatting>
  <conditionalFormatting sqref="AO58">
    <cfRule type="cellIs" dxfId="1" priority="660" operator="lessThan">
      <formula>90</formula>
    </cfRule>
  </conditionalFormatting>
  <conditionalFormatting sqref="AP58">
    <cfRule type="cellIs" dxfId="0" priority="659" operator="lessThan">
      <formula>55</formula>
    </cfRule>
  </conditionalFormatting>
  <conditionalFormatting sqref="AO59">
    <cfRule type="cellIs" dxfId="1" priority="662" operator="lessThan">
      <formula>90</formula>
    </cfRule>
  </conditionalFormatting>
  <conditionalFormatting sqref="AP59">
    <cfRule type="cellIs" dxfId="0" priority="661" operator="lessThan">
      <formula>55</formula>
    </cfRule>
  </conditionalFormatting>
  <conditionalFormatting sqref="AO60">
    <cfRule type="cellIs" dxfId="1" priority="658" operator="lessThan">
      <formula>90</formula>
    </cfRule>
  </conditionalFormatting>
  <conditionalFormatting sqref="AP60">
    <cfRule type="cellIs" dxfId="0" priority="657" operator="lessThan">
      <formula>55</formula>
    </cfRule>
  </conditionalFormatting>
  <conditionalFormatting sqref="AO61">
    <cfRule type="cellIs" dxfId="1" priority="650" operator="lessThan">
      <formula>90</formula>
    </cfRule>
  </conditionalFormatting>
  <conditionalFormatting sqref="AP61">
    <cfRule type="cellIs" dxfId="0" priority="649" operator="lessThan">
      <formula>55</formula>
    </cfRule>
  </conditionalFormatting>
  <conditionalFormatting sqref="AO62">
    <cfRule type="cellIs" dxfId="1" priority="652" operator="lessThan">
      <formula>90</formula>
    </cfRule>
  </conditionalFormatting>
  <conditionalFormatting sqref="AP62">
    <cfRule type="cellIs" dxfId="0" priority="651" operator="lessThan">
      <formula>55</formula>
    </cfRule>
  </conditionalFormatting>
  <conditionalFormatting sqref="AO63">
    <cfRule type="cellIs" dxfId="1" priority="656" operator="lessThan">
      <formula>90</formula>
    </cfRule>
  </conditionalFormatting>
  <conditionalFormatting sqref="AP63">
    <cfRule type="cellIs" dxfId="0" priority="655" operator="lessThan">
      <formula>55</formula>
    </cfRule>
  </conditionalFormatting>
  <conditionalFormatting sqref="AO64">
    <cfRule type="cellIs" dxfId="1" priority="654" operator="lessThan">
      <formula>90</formula>
    </cfRule>
  </conditionalFormatting>
  <conditionalFormatting sqref="AP64">
    <cfRule type="cellIs" dxfId="0" priority="653" operator="lessThan">
      <formula>55</formula>
    </cfRule>
  </conditionalFormatting>
  <conditionalFormatting sqref="AO65">
    <cfRule type="cellIs" dxfId="1" priority="648" operator="lessThan">
      <formula>90</formula>
    </cfRule>
  </conditionalFormatting>
  <conditionalFormatting sqref="AP65">
    <cfRule type="cellIs" dxfId="0" priority="647" operator="lessThan">
      <formula>55</formula>
    </cfRule>
  </conditionalFormatting>
  <conditionalFormatting sqref="AO66">
    <cfRule type="cellIs" dxfId="1" priority="646" operator="lessThan">
      <formula>90</formula>
    </cfRule>
  </conditionalFormatting>
  <conditionalFormatting sqref="AP66">
    <cfRule type="cellIs" dxfId="0" priority="645" operator="lessThan">
      <formula>55</formula>
    </cfRule>
  </conditionalFormatting>
  <conditionalFormatting sqref="AO67">
    <cfRule type="cellIs" dxfId="1" priority="636" operator="lessThan">
      <formula>90</formula>
    </cfRule>
  </conditionalFormatting>
  <conditionalFormatting sqref="AP67">
    <cfRule type="cellIs" dxfId="0" priority="635" operator="lessThan">
      <formula>55</formula>
    </cfRule>
  </conditionalFormatting>
  <conditionalFormatting sqref="AO72">
    <cfRule type="cellIs" dxfId="1" priority="640" operator="lessThan">
      <formula>90</formula>
    </cfRule>
  </conditionalFormatting>
  <conditionalFormatting sqref="AP72">
    <cfRule type="cellIs" dxfId="0" priority="639" operator="lessThan">
      <formula>55</formula>
    </cfRule>
  </conditionalFormatting>
  <conditionalFormatting sqref="AO73">
    <cfRule type="cellIs" dxfId="1" priority="638" operator="lessThan">
      <formula>90</formula>
    </cfRule>
  </conditionalFormatting>
  <conditionalFormatting sqref="AP73">
    <cfRule type="cellIs" dxfId="0" priority="637" operator="lessThan">
      <formula>55</formula>
    </cfRule>
  </conditionalFormatting>
  <conditionalFormatting sqref="AO74">
    <cfRule type="cellIs" dxfId="1" priority="634" operator="lessThan">
      <formula>90</formula>
    </cfRule>
  </conditionalFormatting>
  <conditionalFormatting sqref="AP74">
    <cfRule type="cellIs" dxfId="0" priority="633" operator="lessThan">
      <formula>55</formula>
    </cfRule>
  </conditionalFormatting>
  <conditionalFormatting sqref="AO75">
    <cfRule type="cellIs" dxfId="1" priority="632" operator="lessThan">
      <formula>90</formula>
    </cfRule>
  </conditionalFormatting>
  <conditionalFormatting sqref="AP75">
    <cfRule type="cellIs" dxfId="0" priority="631" operator="lessThan">
      <formula>55</formula>
    </cfRule>
  </conditionalFormatting>
  <conditionalFormatting sqref="AO76">
    <cfRule type="cellIs" dxfId="1" priority="630" operator="lessThan">
      <formula>90</formula>
    </cfRule>
  </conditionalFormatting>
  <conditionalFormatting sqref="AP76">
    <cfRule type="cellIs" dxfId="0" priority="629" operator="lessThan">
      <formula>55</formula>
    </cfRule>
  </conditionalFormatting>
  <conditionalFormatting sqref="AO77">
    <cfRule type="cellIs" dxfId="1" priority="628" operator="lessThan">
      <formula>90</formula>
    </cfRule>
  </conditionalFormatting>
  <conditionalFormatting sqref="AP77">
    <cfRule type="cellIs" dxfId="0" priority="627" operator="lessThan">
      <formula>55</formula>
    </cfRule>
  </conditionalFormatting>
  <conditionalFormatting sqref="AO78">
    <cfRule type="cellIs" dxfId="1" priority="626" operator="lessThan">
      <formula>90</formula>
    </cfRule>
  </conditionalFormatting>
  <conditionalFormatting sqref="AP78">
    <cfRule type="cellIs" dxfId="0" priority="625" operator="lessThan">
      <formula>55</formula>
    </cfRule>
  </conditionalFormatting>
  <conditionalFormatting sqref="AO79">
    <cfRule type="cellIs" dxfId="1" priority="624" operator="lessThan">
      <formula>90</formula>
    </cfRule>
  </conditionalFormatting>
  <conditionalFormatting sqref="AP79">
    <cfRule type="cellIs" dxfId="0" priority="623" operator="lessThan">
      <formula>55</formula>
    </cfRule>
  </conditionalFormatting>
  <conditionalFormatting sqref="AO80">
    <cfRule type="cellIs" dxfId="1" priority="622" operator="lessThan">
      <formula>90</formula>
    </cfRule>
  </conditionalFormatting>
  <conditionalFormatting sqref="AP80">
    <cfRule type="cellIs" dxfId="0" priority="621" operator="lessThan">
      <formula>55</formula>
    </cfRule>
  </conditionalFormatting>
  <conditionalFormatting sqref="AO81">
    <cfRule type="cellIs" dxfId="1" priority="618" operator="lessThan">
      <formula>90</formula>
    </cfRule>
  </conditionalFormatting>
  <conditionalFormatting sqref="AP81">
    <cfRule type="cellIs" dxfId="0" priority="617" operator="lessThan">
      <formula>55</formula>
    </cfRule>
  </conditionalFormatting>
  <conditionalFormatting sqref="AO82">
    <cfRule type="cellIs" dxfId="1" priority="620" operator="lessThan">
      <formula>90</formula>
    </cfRule>
  </conditionalFormatting>
  <conditionalFormatting sqref="AP82">
    <cfRule type="cellIs" dxfId="0" priority="619" operator="lessThan">
      <formula>55</formula>
    </cfRule>
  </conditionalFormatting>
  <conditionalFormatting sqref="AO83">
    <cfRule type="cellIs" dxfId="1" priority="616" operator="lessThan">
      <formula>90</formula>
    </cfRule>
  </conditionalFormatting>
  <conditionalFormatting sqref="AP83">
    <cfRule type="cellIs" dxfId="0" priority="615" operator="lessThan">
      <formula>55</formula>
    </cfRule>
  </conditionalFormatting>
  <conditionalFormatting sqref="AO84">
    <cfRule type="cellIs" dxfId="1" priority="612" operator="lessThan">
      <formula>90</formula>
    </cfRule>
  </conditionalFormatting>
  <conditionalFormatting sqref="AP84">
    <cfRule type="cellIs" dxfId="0" priority="611" operator="lessThan">
      <formula>55</formula>
    </cfRule>
  </conditionalFormatting>
  <conditionalFormatting sqref="AO85">
    <cfRule type="cellIs" dxfId="1" priority="610" operator="lessThan">
      <formula>90</formula>
    </cfRule>
  </conditionalFormatting>
  <conditionalFormatting sqref="AP85">
    <cfRule type="cellIs" dxfId="0" priority="609" operator="lessThan">
      <formula>55</formula>
    </cfRule>
  </conditionalFormatting>
  <conditionalFormatting sqref="AO86">
    <cfRule type="cellIs" dxfId="1" priority="608" operator="lessThan">
      <formula>90</formula>
    </cfRule>
  </conditionalFormatting>
  <conditionalFormatting sqref="AP86">
    <cfRule type="cellIs" dxfId="0" priority="607" operator="lessThan">
      <formula>55</formula>
    </cfRule>
  </conditionalFormatting>
  <conditionalFormatting sqref="AO87">
    <cfRule type="cellIs" dxfId="1" priority="606" operator="lessThan">
      <formula>90</formula>
    </cfRule>
  </conditionalFormatting>
  <conditionalFormatting sqref="AP87">
    <cfRule type="cellIs" dxfId="0" priority="605" operator="lessThan">
      <formula>55</formula>
    </cfRule>
  </conditionalFormatting>
  <conditionalFormatting sqref="AO88">
    <cfRule type="cellIs" dxfId="1" priority="604" operator="lessThan">
      <formula>90</formula>
    </cfRule>
  </conditionalFormatting>
  <conditionalFormatting sqref="AP88">
    <cfRule type="cellIs" dxfId="0" priority="603" operator="lessThan">
      <formula>55</formula>
    </cfRule>
  </conditionalFormatting>
  <conditionalFormatting sqref="AO89">
    <cfRule type="cellIs" dxfId="1" priority="602" operator="lessThan">
      <formula>90</formula>
    </cfRule>
  </conditionalFormatting>
  <conditionalFormatting sqref="AP89">
    <cfRule type="cellIs" dxfId="0" priority="601" operator="lessThan">
      <formula>55</formula>
    </cfRule>
  </conditionalFormatting>
  <conditionalFormatting sqref="AO90">
    <cfRule type="cellIs" dxfId="1" priority="600" operator="lessThan">
      <formula>90</formula>
    </cfRule>
  </conditionalFormatting>
  <conditionalFormatting sqref="AP90">
    <cfRule type="cellIs" dxfId="0" priority="599" operator="lessThan">
      <formula>55</formula>
    </cfRule>
  </conditionalFormatting>
  <conditionalFormatting sqref="AO91">
    <cfRule type="cellIs" dxfId="1" priority="598" operator="lessThan">
      <formula>90</formula>
    </cfRule>
  </conditionalFormatting>
  <conditionalFormatting sqref="AP91">
    <cfRule type="cellIs" dxfId="0" priority="597" operator="lessThan">
      <formula>55</formula>
    </cfRule>
  </conditionalFormatting>
  <conditionalFormatting sqref="AO92">
    <cfRule type="cellIs" dxfId="1" priority="596" operator="lessThan">
      <formula>90</formula>
    </cfRule>
  </conditionalFormatting>
  <conditionalFormatting sqref="AP92">
    <cfRule type="cellIs" dxfId="0" priority="595" operator="lessThan">
      <formula>55</formula>
    </cfRule>
  </conditionalFormatting>
  <conditionalFormatting sqref="AO93">
    <cfRule type="cellIs" dxfId="1" priority="594" operator="lessThan">
      <formula>90</formula>
    </cfRule>
  </conditionalFormatting>
  <conditionalFormatting sqref="AP93">
    <cfRule type="cellIs" dxfId="0" priority="593" operator="lessThan">
      <formula>55</formula>
    </cfRule>
  </conditionalFormatting>
  <conditionalFormatting sqref="AO94">
    <cfRule type="cellIs" dxfId="1" priority="592" operator="lessThan">
      <formula>90</formula>
    </cfRule>
  </conditionalFormatting>
  <conditionalFormatting sqref="AP94">
    <cfRule type="cellIs" dxfId="0" priority="591" operator="lessThan">
      <formula>55</formula>
    </cfRule>
  </conditionalFormatting>
  <conditionalFormatting sqref="AO95">
    <cfRule type="cellIs" dxfId="1" priority="590" operator="lessThan">
      <formula>90</formula>
    </cfRule>
  </conditionalFormatting>
  <conditionalFormatting sqref="AP95">
    <cfRule type="cellIs" dxfId="0" priority="589" operator="lessThan">
      <formula>55</formula>
    </cfRule>
  </conditionalFormatting>
  <conditionalFormatting sqref="AO96">
    <cfRule type="cellIs" dxfId="1" priority="588" operator="lessThan">
      <formula>90</formula>
    </cfRule>
  </conditionalFormatting>
  <conditionalFormatting sqref="AP96">
    <cfRule type="cellIs" dxfId="0" priority="587" operator="lessThan">
      <formula>55</formula>
    </cfRule>
  </conditionalFormatting>
  <conditionalFormatting sqref="AO97">
    <cfRule type="cellIs" dxfId="1" priority="586" operator="lessThan">
      <formula>90</formula>
    </cfRule>
  </conditionalFormatting>
  <conditionalFormatting sqref="AP97">
    <cfRule type="cellIs" dxfId="0" priority="585" operator="lessThan">
      <formula>55</formula>
    </cfRule>
  </conditionalFormatting>
  <conditionalFormatting sqref="AO98">
    <cfRule type="cellIs" dxfId="1" priority="584" operator="lessThan">
      <formula>90</formula>
    </cfRule>
  </conditionalFormatting>
  <conditionalFormatting sqref="AP98">
    <cfRule type="cellIs" dxfId="0" priority="583" operator="lessThan">
      <formula>55</formula>
    </cfRule>
  </conditionalFormatting>
  <conditionalFormatting sqref="AO99">
    <cfRule type="cellIs" dxfId="1" priority="582" operator="lessThan">
      <formula>90</formula>
    </cfRule>
  </conditionalFormatting>
  <conditionalFormatting sqref="AP99">
    <cfRule type="cellIs" dxfId="0" priority="581" operator="lessThan">
      <formula>55</formula>
    </cfRule>
  </conditionalFormatting>
  <conditionalFormatting sqref="AO100">
    <cfRule type="cellIs" dxfId="1" priority="580" operator="lessThan">
      <formula>90</formula>
    </cfRule>
  </conditionalFormatting>
  <conditionalFormatting sqref="AP100">
    <cfRule type="cellIs" dxfId="0" priority="579" operator="lessThan">
      <formula>55</formula>
    </cfRule>
  </conditionalFormatting>
  <conditionalFormatting sqref="AO101">
    <cfRule type="cellIs" dxfId="1" priority="578" operator="lessThan">
      <formula>90</formula>
    </cfRule>
  </conditionalFormatting>
  <conditionalFormatting sqref="AP101">
    <cfRule type="cellIs" dxfId="0" priority="577" operator="lessThan">
      <formula>55</formula>
    </cfRule>
  </conditionalFormatting>
  <conditionalFormatting sqref="AO102">
    <cfRule type="cellIs" dxfId="1" priority="576" operator="lessThan">
      <formula>90</formula>
    </cfRule>
  </conditionalFormatting>
  <conditionalFormatting sqref="AP102">
    <cfRule type="cellIs" dxfId="0" priority="575" operator="lessThan">
      <formula>55</formula>
    </cfRule>
  </conditionalFormatting>
  <conditionalFormatting sqref="AO103">
    <cfRule type="cellIs" dxfId="1" priority="574" operator="lessThan">
      <formula>90</formula>
    </cfRule>
  </conditionalFormatting>
  <conditionalFormatting sqref="AP103">
    <cfRule type="cellIs" dxfId="0" priority="573" operator="lessThan">
      <formula>55</formula>
    </cfRule>
  </conditionalFormatting>
  <conditionalFormatting sqref="AO104">
    <cfRule type="cellIs" dxfId="1" priority="572" operator="lessThan">
      <formula>90</formula>
    </cfRule>
  </conditionalFormatting>
  <conditionalFormatting sqref="AP104">
    <cfRule type="cellIs" dxfId="0" priority="571" operator="lessThan">
      <formula>55</formula>
    </cfRule>
  </conditionalFormatting>
  <conditionalFormatting sqref="AO105">
    <cfRule type="cellIs" dxfId="1" priority="570" operator="lessThan">
      <formula>90</formula>
    </cfRule>
  </conditionalFormatting>
  <conditionalFormatting sqref="AP105">
    <cfRule type="cellIs" dxfId="0" priority="569" operator="lessThan">
      <formula>55</formula>
    </cfRule>
  </conditionalFormatting>
  <conditionalFormatting sqref="AO111">
    <cfRule type="cellIs" dxfId="1" priority="564" operator="lessThan">
      <formula>90</formula>
    </cfRule>
  </conditionalFormatting>
  <conditionalFormatting sqref="AP111">
    <cfRule type="cellIs" dxfId="0" priority="563" operator="lessThan">
      <formula>55</formula>
    </cfRule>
  </conditionalFormatting>
  <conditionalFormatting sqref="AO112">
    <cfRule type="cellIs" dxfId="1" priority="562" operator="lessThan">
      <formula>90</formula>
    </cfRule>
  </conditionalFormatting>
  <conditionalFormatting sqref="AP112">
    <cfRule type="cellIs" dxfId="0" priority="561" operator="lessThan">
      <formula>55</formula>
    </cfRule>
  </conditionalFormatting>
  <conditionalFormatting sqref="AO113">
    <cfRule type="cellIs" dxfId="1" priority="556" operator="lessThan">
      <formula>90</formula>
    </cfRule>
  </conditionalFormatting>
  <conditionalFormatting sqref="AP113">
    <cfRule type="cellIs" dxfId="0" priority="555" operator="lessThan">
      <formula>55</formula>
    </cfRule>
  </conditionalFormatting>
  <conditionalFormatting sqref="AO114">
    <cfRule type="cellIs" dxfId="1" priority="558" operator="lessThan">
      <formula>90</formula>
    </cfRule>
  </conditionalFormatting>
  <conditionalFormatting sqref="AP114">
    <cfRule type="cellIs" dxfId="0" priority="557" operator="lessThan">
      <formula>55</formula>
    </cfRule>
  </conditionalFormatting>
  <conditionalFormatting sqref="AO115">
    <cfRule type="cellIs" dxfId="1" priority="560" operator="lessThan">
      <formula>90</formula>
    </cfRule>
  </conditionalFormatting>
  <conditionalFormatting sqref="AP115">
    <cfRule type="cellIs" dxfId="0" priority="559" operator="lessThan">
      <formula>55</formula>
    </cfRule>
  </conditionalFormatting>
  <conditionalFormatting sqref="AP116">
    <cfRule type="cellIs" dxfId="1" priority="552" operator="lessThan">
      <formula>90</formula>
    </cfRule>
  </conditionalFormatting>
  <conditionalFormatting sqref="AQ116">
    <cfRule type="cellIs" dxfId="0" priority="551" operator="lessThan">
      <formula>55</formula>
    </cfRule>
  </conditionalFormatting>
  <conditionalFormatting sqref="AP117">
    <cfRule type="cellIs" dxfId="1" priority="550" operator="lessThan">
      <formula>90</formula>
    </cfRule>
  </conditionalFormatting>
  <conditionalFormatting sqref="AQ117">
    <cfRule type="cellIs" dxfId="0" priority="549" operator="lessThan">
      <formula>55</formula>
    </cfRule>
  </conditionalFormatting>
  <conditionalFormatting sqref="AP118">
    <cfRule type="cellIs" dxfId="1" priority="548" operator="lessThan">
      <formula>90</formula>
    </cfRule>
  </conditionalFormatting>
  <conditionalFormatting sqref="AQ118">
    <cfRule type="cellIs" dxfId="0" priority="547" operator="lessThan">
      <formula>55</formula>
    </cfRule>
  </conditionalFormatting>
  <conditionalFormatting sqref="AP119">
    <cfRule type="cellIs" dxfId="1" priority="546" operator="lessThan">
      <formula>90</formula>
    </cfRule>
  </conditionalFormatting>
  <conditionalFormatting sqref="AQ119">
    <cfRule type="cellIs" dxfId="0" priority="545" operator="lessThan">
      <formula>55</formula>
    </cfRule>
  </conditionalFormatting>
  <conditionalFormatting sqref="AP121">
    <cfRule type="cellIs" dxfId="1" priority="542" operator="lessThan">
      <formula>90</formula>
    </cfRule>
  </conditionalFormatting>
  <conditionalFormatting sqref="AQ121">
    <cfRule type="cellIs" dxfId="0" priority="541" operator="lessThan">
      <formula>55</formula>
    </cfRule>
  </conditionalFormatting>
  <conditionalFormatting sqref="AP122">
    <cfRule type="cellIs" dxfId="1" priority="540" operator="lessThan">
      <formula>90</formula>
    </cfRule>
  </conditionalFormatting>
  <conditionalFormatting sqref="AQ122">
    <cfRule type="cellIs" dxfId="0" priority="539" operator="lessThan">
      <formula>55</formula>
    </cfRule>
  </conditionalFormatting>
  <conditionalFormatting sqref="AP123">
    <cfRule type="cellIs" dxfId="1" priority="538" operator="lessThan">
      <formula>90</formula>
    </cfRule>
  </conditionalFormatting>
  <conditionalFormatting sqref="AQ123">
    <cfRule type="cellIs" dxfId="0" priority="537" operator="lessThan">
      <formula>55</formula>
    </cfRule>
  </conditionalFormatting>
  <conditionalFormatting sqref="AP124">
    <cfRule type="cellIs" dxfId="1" priority="536" operator="lessThan">
      <formula>90</formula>
    </cfRule>
  </conditionalFormatting>
  <conditionalFormatting sqref="AQ124">
    <cfRule type="cellIs" dxfId="0" priority="535" operator="lessThan">
      <formula>55</formula>
    </cfRule>
  </conditionalFormatting>
  <conditionalFormatting sqref="AP125">
    <cfRule type="cellIs" dxfId="1" priority="534" operator="lessThan">
      <formula>90</formula>
    </cfRule>
  </conditionalFormatting>
  <conditionalFormatting sqref="AQ125">
    <cfRule type="cellIs" dxfId="0" priority="533" operator="lessThan">
      <formula>55</formula>
    </cfRule>
  </conditionalFormatting>
  <conditionalFormatting sqref="AP126">
    <cfRule type="cellIs" dxfId="1" priority="532" operator="lessThan">
      <formula>90</formula>
    </cfRule>
  </conditionalFormatting>
  <conditionalFormatting sqref="AQ126">
    <cfRule type="cellIs" dxfId="0" priority="531" operator="lessThan">
      <formula>55</formula>
    </cfRule>
  </conditionalFormatting>
  <conditionalFormatting sqref="AP127">
    <cfRule type="cellIs" dxfId="1" priority="530" operator="lessThan">
      <formula>90</formula>
    </cfRule>
  </conditionalFormatting>
  <conditionalFormatting sqref="AQ127">
    <cfRule type="cellIs" dxfId="0" priority="529" operator="lessThan">
      <formula>55</formula>
    </cfRule>
  </conditionalFormatting>
  <conditionalFormatting sqref="AP128">
    <cfRule type="cellIs" dxfId="1" priority="528" operator="lessThan">
      <formula>90</formula>
    </cfRule>
  </conditionalFormatting>
  <conditionalFormatting sqref="AQ128">
    <cfRule type="cellIs" dxfId="0" priority="527" operator="lessThan">
      <formula>55</formula>
    </cfRule>
  </conditionalFormatting>
  <conditionalFormatting sqref="AP129">
    <cfRule type="cellIs" dxfId="1" priority="526" operator="lessThan">
      <formula>90</formula>
    </cfRule>
  </conditionalFormatting>
  <conditionalFormatting sqref="AQ129">
    <cfRule type="cellIs" dxfId="0" priority="525" operator="lessThan">
      <formula>55</formula>
    </cfRule>
  </conditionalFormatting>
  <conditionalFormatting sqref="AP130">
    <cfRule type="cellIs" dxfId="1" priority="524" operator="lessThan">
      <formula>90</formula>
    </cfRule>
  </conditionalFormatting>
  <conditionalFormatting sqref="AQ130">
    <cfRule type="cellIs" dxfId="0" priority="523" operator="lessThan">
      <formula>55</formula>
    </cfRule>
  </conditionalFormatting>
  <conditionalFormatting sqref="AP131">
    <cfRule type="cellIs" dxfId="1" priority="522" operator="lessThan">
      <formula>90</formula>
    </cfRule>
  </conditionalFormatting>
  <conditionalFormatting sqref="AQ131">
    <cfRule type="cellIs" dxfId="0" priority="521" operator="lessThan">
      <formula>55</formula>
    </cfRule>
  </conditionalFormatting>
  <conditionalFormatting sqref="AP132">
    <cfRule type="cellIs" dxfId="1" priority="520" operator="lessThan">
      <formula>90</formula>
    </cfRule>
  </conditionalFormatting>
  <conditionalFormatting sqref="AQ132">
    <cfRule type="cellIs" dxfId="0" priority="519" operator="lessThan">
      <formula>55</formula>
    </cfRule>
  </conditionalFormatting>
  <conditionalFormatting sqref="AP134">
    <cfRule type="cellIs" dxfId="1" priority="516" operator="lessThan">
      <formula>90</formula>
    </cfRule>
  </conditionalFormatting>
  <conditionalFormatting sqref="AQ134">
    <cfRule type="cellIs" dxfId="0" priority="515" operator="lessThan">
      <formula>55</formula>
    </cfRule>
  </conditionalFormatting>
  <conditionalFormatting sqref="AP135">
    <cfRule type="cellIs" dxfId="1" priority="514" operator="lessThan">
      <formula>90</formula>
    </cfRule>
  </conditionalFormatting>
  <conditionalFormatting sqref="AQ135">
    <cfRule type="cellIs" dxfId="0" priority="513" operator="lessThan">
      <formula>55</formula>
    </cfRule>
  </conditionalFormatting>
  <conditionalFormatting sqref="AP136">
    <cfRule type="cellIs" dxfId="1" priority="512" operator="lessThan">
      <formula>90</formula>
    </cfRule>
  </conditionalFormatting>
  <conditionalFormatting sqref="AQ136">
    <cfRule type="cellIs" dxfId="0" priority="511" operator="lessThan">
      <formula>55</formula>
    </cfRule>
  </conditionalFormatting>
  <conditionalFormatting sqref="AP137">
    <cfRule type="cellIs" dxfId="1" priority="510" operator="lessThan">
      <formula>90</formula>
    </cfRule>
  </conditionalFormatting>
  <conditionalFormatting sqref="AQ137">
    <cfRule type="cellIs" dxfId="0" priority="509" operator="lessThan">
      <formula>55</formula>
    </cfRule>
  </conditionalFormatting>
  <conditionalFormatting sqref="AP138">
    <cfRule type="cellIs" dxfId="1" priority="508" operator="lessThan">
      <formula>90</formula>
    </cfRule>
  </conditionalFormatting>
  <conditionalFormatting sqref="AQ138">
    <cfRule type="cellIs" dxfId="0" priority="507" operator="lessThan">
      <formula>55</formula>
    </cfRule>
  </conditionalFormatting>
  <conditionalFormatting sqref="AP139">
    <cfRule type="cellIs" dxfId="1" priority="506" operator="lessThan">
      <formula>90</formula>
    </cfRule>
  </conditionalFormatting>
  <conditionalFormatting sqref="AQ139">
    <cfRule type="cellIs" dxfId="0" priority="505" operator="lessThan">
      <formula>55</formula>
    </cfRule>
  </conditionalFormatting>
  <conditionalFormatting sqref="AP140">
    <cfRule type="cellIs" dxfId="1" priority="504" operator="lessThan">
      <formula>90</formula>
    </cfRule>
  </conditionalFormatting>
  <conditionalFormatting sqref="AQ140">
    <cfRule type="cellIs" dxfId="0" priority="503" operator="lessThan">
      <formula>55</formula>
    </cfRule>
  </conditionalFormatting>
  <conditionalFormatting sqref="AP141">
    <cfRule type="cellIs" dxfId="1" priority="500" operator="lessThan">
      <formula>90</formula>
    </cfRule>
  </conditionalFormatting>
  <conditionalFormatting sqref="AQ141">
    <cfRule type="cellIs" dxfId="0" priority="499" operator="lessThan">
      <formula>55</formula>
    </cfRule>
  </conditionalFormatting>
  <conditionalFormatting sqref="AP142">
    <cfRule type="cellIs" dxfId="1" priority="502" operator="lessThan">
      <formula>90</formula>
    </cfRule>
  </conditionalFormatting>
  <conditionalFormatting sqref="AQ142">
    <cfRule type="cellIs" dxfId="0" priority="501" operator="lessThan">
      <formula>55</formula>
    </cfRule>
  </conditionalFormatting>
  <conditionalFormatting sqref="AP164">
    <cfRule type="cellIs" dxfId="1" priority="496" operator="lessThan">
      <formula>90</formula>
    </cfRule>
  </conditionalFormatting>
  <conditionalFormatting sqref="AQ164">
    <cfRule type="cellIs" dxfId="0" priority="495" operator="lessThan">
      <formula>55</formula>
    </cfRule>
  </conditionalFormatting>
  <conditionalFormatting sqref="AP165">
    <cfRule type="cellIs" dxfId="1" priority="494" operator="lessThan">
      <formula>90</formula>
    </cfRule>
  </conditionalFormatting>
  <conditionalFormatting sqref="AQ165">
    <cfRule type="cellIs" dxfId="0" priority="493" operator="lessThan">
      <formula>55</formula>
    </cfRule>
  </conditionalFormatting>
  <conditionalFormatting sqref="AP166">
    <cfRule type="cellIs" dxfId="1" priority="492" operator="lessThan">
      <formula>90</formula>
    </cfRule>
  </conditionalFormatting>
  <conditionalFormatting sqref="AQ166">
    <cfRule type="cellIs" dxfId="0" priority="491" operator="lessThan">
      <formula>55</formula>
    </cfRule>
  </conditionalFormatting>
  <conditionalFormatting sqref="AP167">
    <cfRule type="cellIs" dxfId="1" priority="498" operator="lessThan">
      <formula>90</formula>
    </cfRule>
  </conditionalFormatting>
  <conditionalFormatting sqref="AQ167">
    <cfRule type="cellIs" dxfId="0" priority="497" operator="lessThan">
      <formula>55</formula>
    </cfRule>
  </conditionalFormatting>
  <conditionalFormatting sqref="AP170">
    <cfRule type="cellIs" dxfId="1" priority="488" operator="lessThan">
      <formula>90</formula>
    </cfRule>
  </conditionalFormatting>
  <conditionalFormatting sqref="AQ170">
    <cfRule type="cellIs" dxfId="0" priority="487" operator="lessThan">
      <formula>55</formula>
    </cfRule>
  </conditionalFormatting>
  <conditionalFormatting sqref="AP179">
    <cfRule type="cellIs" dxfId="1" priority="482" operator="lessThan">
      <formula>90</formula>
    </cfRule>
  </conditionalFormatting>
  <conditionalFormatting sqref="AQ179">
    <cfRule type="cellIs" dxfId="0" priority="481" operator="lessThan">
      <formula>55</formula>
    </cfRule>
  </conditionalFormatting>
  <conditionalFormatting sqref="AP180">
    <cfRule type="cellIs" dxfId="1" priority="480" operator="lessThan">
      <formula>90</formula>
    </cfRule>
  </conditionalFormatting>
  <conditionalFormatting sqref="AQ180">
    <cfRule type="cellIs" dxfId="0" priority="479" operator="lessThan">
      <formula>55</formula>
    </cfRule>
  </conditionalFormatting>
  <conditionalFormatting sqref="AP181">
    <cfRule type="cellIs" dxfId="1" priority="478" operator="lessThan">
      <formula>90</formula>
    </cfRule>
  </conditionalFormatting>
  <conditionalFormatting sqref="AQ181">
    <cfRule type="cellIs" dxfId="0" priority="477" operator="lessThan">
      <formula>55</formula>
    </cfRule>
  </conditionalFormatting>
  <conditionalFormatting sqref="AP182">
    <cfRule type="cellIs" dxfId="1" priority="476" operator="lessThan">
      <formula>90</formula>
    </cfRule>
  </conditionalFormatting>
  <conditionalFormatting sqref="AQ182">
    <cfRule type="cellIs" dxfId="0" priority="475" operator="lessThan">
      <formula>55</formula>
    </cfRule>
  </conditionalFormatting>
  <conditionalFormatting sqref="AP183">
    <cfRule type="cellIs" dxfId="1" priority="474" operator="lessThan">
      <formula>90</formula>
    </cfRule>
  </conditionalFormatting>
  <conditionalFormatting sqref="AQ183">
    <cfRule type="cellIs" dxfId="0" priority="473" operator="lessThan">
      <formula>55</formula>
    </cfRule>
  </conditionalFormatting>
  <conditionalFormatting sqref="AP184">
    <cfRule type="cellIs" dxfId="1" priority="472" operator="lessThan">
      <formula>90</formula>
    </cfRule>
  </conditionalFormatting>
  <conditionalFormatting sqref="AQ184">
    <cfRule type="cellIs" dxfId="0" priority="471" operator="lessThan">
      <formula>55</formula>
    </cfRule>
  </conditionalFormatting>
  <conditionalFormatting sqref="AP185">
    <cfRule type="cellIs" dxfId="1" priority="470" operator="lessThan">
      <formula>90</formula>
    </cfRule>
  </conditionalFormatting>
  <conditionalFormatting sqref="AQ185">
    <cfRule type="cellIs" dxfId="0" priority="469" operator="lessThan">
      <formula>55</formula>
    </cfRule>
  </conditionalFormatting>
  <conditionalFormatting sqref="AP188">
    <cfRule type="cellIs" dxfId="1" priority="466" operator="lessThan">
      <formula>90</formula>
    </cfRule>
  </conditionalFormatting>
  <conditionalFormatting sqref="AQ188">
    <cfRule type="cellIs" dxfId="0" priority="465" operator="lessThan">
      <formula>55</formula>
    </cfRule>
  </conditionalFormatting>
  <conditionalFormatting sqref="AP189">
    <cfRule type="cellIs" dxfId="1" priority="464" operator="lessThan">
      <formula>90</formula>
    </cfRule>
  </conditionalFormatting>
  <conditionalFormatting sqref="AQ189">
    <cfRule type="cellIs" dxfId="0" priority="463" operator="lessThan">
      <formula>55</formula>
    </cfRule>
  </conditionalFormatting>
  <conditionalFormatting sqref="AP194">
    <cfRule type="cellIs" dxfId="1" priority="460" operator="lessThan">
      <formula>90</formula>
    </cfRule>
  </conditionalFormatting>
  <conditionalFormatting sqref="AQ194">
    <cfRule type="cellIs" dxfId="0" priority="459" operator="lessThan">
      <formula>55</formula>
    </cfRule>
  </conditionalFormatting>
  <conditionalFormatting sqref="AP195">
    <cfRule type="cellIs" dxfId="1" priority="458" operator="lessThan">
      <formula>90</formula>
    </cfRule>
  </conditionalFormatting>
  <conditionalFormatting sqref="AQ195">
    <cfRule type="cellIs" dxfId="0" priority="457" operator="lessThan">
      <formula>55</formula>
    </cfRule>
  </conditionalFormatting>
  <conditionalFormatting sqref="AP196">
    <cfRule type="cellIs" dxfId="1" priority="456" operator="lessThan">
      <formula>90</formula>
    </cfRule>
  </conditionalFormatting>
  <conditionalFormatting sqref="AQ196">
    <cfRule type="cellIs" dxfId="0" priority="455" operator="lessThan">
      <formula>55</formula>
    </cfRule>
  </conditionalFormatting>
  <conditionalFormatting sqref="AP202">
    <cfRule type="cellIs" dxfId="1" priority="450" operator="lessThan">
      <formula>90</formula>
    </cfRule>
  </conditionalFormatting>
  <conditionalFormatting sqref="AQ202">
    <cfRule type="cellIs" dxfId="0" priority="449" operator="lessThan">
      <formula>55</formula>
    </cfRule>
  </conditionalFormatting>
  <conditionalFormatting sqref="AP203">
    <cfRule type="cellIs" dxfId="1" priority="448" operator="lessThan">
      <formula>90</formula>
    </cfRule>
  </conditionalFormatting>
  <conditionalFormatting sqref="AQ203">
    <cfRule type="cellIs" dxfId="0" priority="447" operator="lessThan">
      <formula>55</formula>
    </cfRule>
  </conditionalFormatting>
  <conditionalFormatting sqref="AP204">
    <cfRule type="cellIs" dxfId="1" priority="446" operator="lessThan">
      <formula>90</formula>
    </cfRule>
  </conditionalFormatting>
  <conditionalFormatting sqref="AQ204">
    <cfRule type="cellIs" dxfId="0" priority="445" operator="lessThan">
      <formula>55</formula>
    </cfRule>
  </conditionalFormatting>
  <conditionalFormatting sqref="AP209">
    <cfRule type="cellIs" dxfId="1" priority="442" operator="lessThan">
      <formula>90</formula>
    </cfRule>
  </conditionalFormatting>
  <conditionalFormatting sqref="AQ209">
    <cfRule type="cellIs" dxfId="0" priority="441" operator="lessThan">
      <formula>55</formula>
    </cfRule>
  </conditionalFormatting>
  <conditionalFormatting sqref="AP211">
    <cfRule type="cellIs" dxfId="1" priority="436" operator="lessThan">
      <formula>90</formula>
    </cfRule>
  </conditionalFormatting>
  <conditionalFormatting sqref="AQ211">
    <cfRule type="cellIs" dxfId="0" priority="435" operator="lessThan">
      <formula>55</formula>
    </cfRule>
  </conditionalFormatting>
  <conditionalFormatting sqref="AP212">
    <cfRule type="cellIs" dxfId="1" priority="434" operator="lessThan">
      <formula>90</formula>
    </cfRule>
  </conditionalFormatting>
  <conditionalFormatting sqref="AQ212">
    <cfRule type="cellIs" dxfId="0" priority="433" operator="lessThan">
      <formula>55</formula>
    </cfRule>
  </conditionalFormatting>
  <conditionalFormatting sqref="AP213">
    <cfRule type="cellIs" dxfId="1" priority="432" operator="lessThan">
      <formula>90</formula>
    </cfRule>
  </conditionalFormatting>
  <conditionalFormatting sqref="AQ213">
    <cfRule type="cellIs" dxfId="0" priority="431" operator="lessThan">
      <formula>55</formula>
    </cfRule>
  </conditionalFormatting>
  <conditionalFormatting sqref="AP214">
    <cfRule type="cellIs" dxfId="1" priority="430" operator="lessThan">
      <formula>90</formula>
    </cfRule>
  </conditionalFormatting>
  <conditionalFormatting sqref="AQ214">
    <cfRule type="cellIs" dxfId="0" priority="429" operator="lessThan">
      <formula>55</formula>
    </cfRule>
  </conditionalFormatting>
  <conditionalFormatting sqref="AP215">
    <cfRule type="cellIs" dxfId="1" priority="428" operator="lessThan">
      <formula>90</formula>
    </cfRule>
  </conditionalFormatting>
  <conditionalFormatting sqref="AQ215">
    <cfRule type="cellIs" dxfId="0" priority="427" operator="lessThan">
      <formula>55</formula>
    </cfRule>
  </conditionalFormatting>
  <conditionalFormatting sqref="AP216">
    <cfRule type="cellIs" dxfId="1" priority="426" operator="lessThan">
      <formula>90</formula>
    </cfRule>
  </conditionalFormatting>
  <conditionalFormatting sqref="AQ216">
    <cfRule type="cellIs" dxfId="0" priority="425" operator="lessThan">
      <formula>55</formula>
    </cfRule>
  </conditionalFormatting>
  <conditionalFormatting sqref="AP217">
    <cfRule type="cellIs" dxfId="1" priority="424" operator="lessThan">
      <formula>90</formula>
    </cfRule>
  </conditionalFormatting>
  <conditionalFormatting sqref="AQ217">
    <cfRule type="cellIs" dxfId="0" priority="423" operator="lessThan">
      <formula>55</formula>
    </cfRule>
  </conditionalFormatting>
  <conditionalFormatting sqref="AP219">
    <cfRule type="cellIs" dxfId="1" priority="420" operator="lessThan">
      <formula>90</formula>
    </cfRule>
  </conditionalFormatting>
  <conditionalFormatting sqref="AQ219">
    <cfRule type="cellIs" dxfId="0" priority="419" operator="lessThan">
      <formula>55</formula>
    </cfRule>
  </conditionalFormatting>
  <conditionalFormatting sqref="AP220">
    <cfRule type="cellIs" dxfId="1" priority="418" operator="lessThan">
      <formula>90</formula>
    </cfRule>
  </conditionalFormatting>
  <conditionalFormatting sqref="AQ220">
    <cfRule type="cellIs" dxfId="0" priority="417" operator="lessThan">
      <formula>55</formula>
    </cfRule>
  </conditionalFormatting>
  <conditionalFormatting sqref="AN226">
    <cfRule type="cellIs" dxfId="1" priority="416" operator="lessThan">
      <formula>90</formula>
    </cfRule>
  </conditionalFormatting>
  <conditionalFormatting sqref="AO226">
    <cfRule type="cellIs" dxfId="0" priority="415" operator="lessThan">
      <formula>55</formula>
    </cfRule>
  </conditionalFormatting>
  <conditionalFormatting sqref="AN227">
    <cfRule type="cellIs" dxfId="1" priority="414" operator="lessThan">
      <formula>90</formula>
    </cfRule>
  </conditionalFormatting>
  <conditionalFormatting sqref="AO227">
    <cfRule type="cellIs" dxfId="0" priority="413" operator="lessThan">
      <formula>55</formula>
    </cfRule>
  </conditionalFormatting>
  <conditionalFormatting sqref="AN228">
    <cfRule type="cellIs" dxfId="1" priority="412" operator="lessThan">
      <formula>90</formula>
    </cfRule>
  </conditionalFormatting>
  <conditionalFormatting sqref="AO228">
    <cfRule type="cellIs" dxfId="0" priority="411" operator="lessThan">
      <formula>55</formula>
    </cfRule>
  </conditionalFormatting>
  <conditionalFormatting sqref="AO238">
    <cfRule type="cellIs" dxfId="1" priority="408" operator="lessThan">
      <formula>90</formula>
    </cfRule>
  </conditionalFormatting>
  <conditionalFormatting sqref="AP238">
    <cfRule type="cellIs" dxfId="0" priority="407" operator="lessThan">
      <formula>55</formula>
    </cfRule>
  </conditionalFormatting>
  <conditionalFormatting sqref="AO245">
    <cfRule type="cellIs" dxfId="1" priority="404" operator="lessThan">
      <formula>90</formula>
    </cfRule>
  </conditionalFormatting>
  <conditionalFormatting sqref="AP245">
    <cfRule type="cellIs" dxfId="0" priority="403" operator="lessThan">
      <formula>55</formula>
    </cfRule>
  </conditionalFormatting>
  <conditionalFormatting sqref="AO246">
    <cfRule type="cellIs" dxfId="1" priority="402" operator="lessThan">
      <formula>90</formula>
    </cfRule>
  </conditionalFormatting>
  <conditionalFormatting sqref="AP246">
    <cfRule type="cellIs" dxfId="0" priority="401" operator="lessThan">
      <formula>55</formula>
    </cfRule>
  </conditionalFormatting>
  <conditionalFormatting sqref="AO247">
    <cfRule type="cellIs" dxfId="1" priority="400" operator="lessThan">
      <formula>90</formula>
    </cfRule>
  </conditionalFormatting>
  <conditionalFormatting sqref="AP247">
    <cfRule type="cellIs" dxfId="0" priority="399" operator="lessThan">
      <formula>55</formula>
    </cfRule>
  </conditionalFormatting>
  <conditionalFormatting sqref="AO248">
    <cfRule type="cellIs" dxfId="1" priority="398" operator="lessThan">
      <formula>90</formula>
    </cfRule>
  </conditionalFormatting>
  <conditionalFormatting sqref="AP248">
    <cfRule type="cellIs" dxfId="0" priority="397" operator="lessThan">
      <formula>55</formula>
    </cfRule>
  </conditionalFormatting>
  <conditionalFormatting sqref="AO249">
    <cfRule type="cellIs" dxfId="1" priority="396" operator="lessThan">
      <formula>90</formula>
    </cfRule>
  </conditionalFormatting>
  <conditionalFormatting sqref="AP249">
    <cfRule type="cellIs" dxfId="0" priority="395" operator="lessThan">
      <formula>55</formula>
    </cfRule>
  </conditionalFormatting>
  <conditionalFormatting sqref="AO250">
    <cfRule type="cellIs" dxfId="1" priority="394" operator="lessThan">
      <formula>90</formula>
    </cfRule>
  </conditionalFormatting>
  <conditionalFormatting sqref="AP250">
    <cfRule type="cellIs" dxfId="0" priority="393" operator="lessThan">
      <formula>55</formula>
    </cfRule>
  </conditionalFormatting>
  <conditionalFormatting sqref="AO251">
    <cfRule type="cellIs" dxfId="1" priority="392" operator="lessThan">
      <formula>90</formula>
    </cfRule>
  </conditionalFormatting>
  <conditionalFormatting sqref="AP251">
    <cfRule type="cellIs" dxfId="0" priority="391" operator="lessThan">
      <formula>55</formula>
    </cfRule>
  </conditionalFormatting>
  <conditionalFormatting sqref="AO252">
    <cfRule type="cellIs" dxfId="1" priority="390" operator="lessThan">
      <formula>90</formula>
    </cfRule>
  </conditionalFormatting>
  <conditionalFormatting sqref="AP252">
    <cfRule type="cellIs" dxfId="0" priority="389" operator="lessThan">
      <formula>55</formula>
    </cfRule>
  </conditionalFormatting>
  <conditionalFormatting sqref="AO253">
    <cfRule type="cellIs" dxfId="1" priority="388" operator="lessThan">
      <formula>90</formula>
    </cfRule>
  </conditionalFormatting>
  <conditionalFormatting sqref="AP253">
    <cfRule type="cellIs" dxfId="0" priority="387" operator="lessThan">
      <formula>55</formula>
    </cfRule>
  </conditionalFormatting>
  <conditionalFormatting sqref="AO254">
    <cfRule type="cellIs" dxfId="1" priority="386" operator="lessThan">
      <formula>90</formula>
    </cfRule>
  </conditionalFormatting>
  <conditionalFormatting sqref="AP254">
    <cfRule type="cellIs" dxfId="0" priority="385" operator="lessThan">
      <formula>55</formula>
    </cfRule>
  </conditionalFormatting>
  <conditionalFormatting sqref="AO255">
    <cfRule type="cellIs" dxfId="1" priority="384" operator="lessThan">
      <formula>90</formula>
    </cfRule>
  </conditionalFormatting>
  <conditionalFormatting sqref="AP255">
    <cfRule type="cellIs" dxfId="0" priority="383" operator="lessThan">
      <formula>55</formula>
    </cfRule>
  </conditionalFormatting>
  <conditionalFormatting sqref="AO259">
    <cfRule type="cellIs" dxfId="1" priority="380" operator="lessThan">
      <formula>90</formula>
    </cfRule>
  </conditionalFormatting>
  <conditionalFormatting sqref="AP259">
    <cfRule type="cellIs" dxfId="0" priority="379" operator="lessThan">
      <formula>55</formula>
    </cfRule>
  </conditionalFormatting>
  <conditionalFormatting sqref="AO260">
    <cfRule type="cellIs" dxfId="1" priority="378" operator="lessThan">
      <formula>90</formula>
    </cfRule>
  </conditionalFormatting>
  <conditionalFormatting sqref="AP260">
    <cfRule type="cellIs" dxfId="0" priority="377" operator="lessThan">
      <formula>55</formula>
    </cfRule>
  </conditionalFormatting>
  <conditionalFormatting sqref="AO261">
    <cfRule type="cellIs" dxfId="1" priority="376" operator="lessThan">
      <formula>90</formula>
    </cfRule>
  </conditionalFormatting>
  <conditionalFormatting sqref="AP261">
    <cfRule type="cellIs" dxfId="0" priority="375" operator="lessThan">
      <formula>55</formula>
    </cfRule>
  </conditionalFormatting>
  <conditionalFormatting sqref="AO263">
    <cfRule type="cellIs" dxfId="1" priority="372" operator="lessThan">
      <formula>90</formula>
    </cfRule>
  </conditionalFormatting>
  <conditionalFormatting sqref="AP263">
    <cfRule type="cellIs" dxfId="0" priority="371" operator="lessThan">
      <formula>55</formula>
    </cfRule>
  </conditionalFormatting>
  <conditionalFormatting sqref="AO264">
    <cfRule type="cellIs" dxfId="1" priority="370" operator="lessThan">
      <formula>90</formula>
    </cfRule>
  </conditionalFormatting>
  <conditionalFormatting sqref="AP264">
    <cfRule type="cellIs" dxfId="0" priority="369" operator="lessThan">
      <formula>55</formula>
    </cfRule>
  </conditionalFormatting>
  <conditionalFormatting sqref="AO265">
    <cfRule type="cellIs" dxfId="1" priority="368" operator="lessThan">
      <formula>90</formula>
    </cfRule>
  </conditionalFormatting>
  <conditionalFormatting sqref="AP265">
    <cfRule type="cellIs" dxfId="0" priority="367" operator="lessThan">
      <formula>55</formula>
    </cfRule>
  </conditionalFormatting>
  <conditionalFormatting sqref="AO266">
    <cfRule type="cellIs" dxfId="1" priority="366" operator="lessThan">
      <formula>90</formula>
    </cfRule>
  </conditionalFormatting>
  <conditionalFormatting sqref="AP266">
    <cfRule type="cellIs" dxfId="0" priority="365" operator="lessThan">
      <formula>55</formula>
    </cfRule>
  </conditionalFormatting>
  <conditionalFormatting sqref="AO267">
    <cfRule type="cellIs" dxfId="1" priority="364" operator="lessThan">
      <formula>90</formula>
    </cfRule>
  </conditionalFormatting>
  <conditionalFormatting sqref="AP267">
    <cfRule type="cellIs" dxfId="0" priority="363" operator="lessThan">
      <formula>55</formula>
    </cfRule>
  </conditionalFormatting>
  <conditionalFormatting sqref="AO268">
    <cfRule type="cellIs" dxfId="1" priority="362" operator="lessThan">
      <formula>90</formula>
    </cfRule>
  </conditionalFormatting>
  <conditionalFormatting sqref="AP268">
    <cfRule type="cellIs" dxfId="0" priority="361" operator="lessThan">
      <formula>55</formula>
    </cfRule>
  </conditionalFormatting>
  <conditionalFormatting sqref="AO269">
    <cfRule type="cellIs" dxfId="1" priority="360" operator="lessThan">
      <formula>90</formula>
    </cfRule>
  </conditionalFormatting>
  <conditionalFormatting sqref="AP269">
    <cfRule type="cellIs" dxfId="0" priority="359" operator="lessThan">
      <formula>55</formula>
    </cfRule>
  </conditionalFormatting>
  <conditionalFormatting sqref="AO272">
    <cfRule type="cellIs" dxfId="1" priority="356" operator="lessThan">
      <formula>90</formula>
    </cfRule>
  </conditionalFormatting>
  <conditionalFormatting sqref="AP272">
    <cfRule type="cellIs" dxfId="0" priority="355" operator="lessThan">
      <formula>55</formula>
    </cfRule>
  </conditionalFormatting>
  <conditionalFormatting sqref="AO273">
    <cfRule type="cellIs" dxfId="1" priority="354" operator="lessThan">
      <formula>90</formula>
    </cfRule>
  </conditionalFormatting>
  <conditionalFormatting sqref="AP273">
    <cfRule type="cellIs" dxfId="0" priority="353" operator="lessThan">
      <formula>55</formula>
    </cfRule>
  </conditionalFormatting>
  <conditionalFormatting sqref="AO274">
    <cfRule type="cellIs" dxfId="1" priority="352" operator="lessThan">
      <formula>90</formula>
    </cfRule>
  </conditionalFormatting>
  <conditionalFormatting sqref="AP274">
    <cfRule type="cellIs" dxfId="0" priority="351" operator="lessThan">
      <formula>55</formula>
    </cfRule>
  </conditionalFormatting>
  <conditionalFormatting sqref="AO277">
    <cfRule type="cellIs" dxfId="1" priority="348" operator="lessThan">
      <formula>90</formula>
    </cfRule>
  </conditionalFormatting>
  <conditionalFormatting sqref="AP277">
    <cfRule type="cellIs" dxfId="0" priority="347" operator="lessThan">
      <formula>55</formula>
    </cfRule>
  </conditionalFormatting>
  <conditionalFormatting sqref="AO278">
    <cfRule type="cellIs" dxfId="1" priority="346" operator="lessThan">
      <formula>90</formula>
    </cfRule>
  </conditionalFormatting>
  <conditionalFormatting sqref="AP278">
    <cfRule type="cellIs" dxfId="0" priority="345" operator="lessThan">
      <formula>55</formula>
    </cfRule>
  </conditionalFormatting>
  <conditionalFormatting sqref="AO279">
    <cfRule type="cellIs" dxfId="1" priority="344" operator="lessThan">
      <formula>90</formula>
    </cfRule>
  </conditionalFormatting>
  <conditionalFormatting sqref="AP279">
    <cfRule type="cellIs" dxfId="0" priority="343" operator="lessThan">
      <formula>55</formula>
    </cfRule>
  </conditionalFormatting>
  <conditionalFormatting sqref="AO280">
    <cfRule type="cellIs" dxfId="1" priority="342" operator="lessThan">
      <formula>90</formula>
    </cfRule>
  </conditionalFormatting>
  <conditionalFormatting sqref="AP280">
    <cfRule type="cellIs" dxfId="0" priority="341" operator="lessThan">
      <formula>55</formula>
    </cfRule>
  </conditionalFormatting>
  <conditionalFormatting sqref="AO281">
    <cfRule type="cellIs" dxfId="1" priority="340" operator="lessThan">
      <formula>90</formula>
    </cfRule>
  </conditionalFormatting>
  <conditionalFormatting sqref="AP281">
    <cfRule type="cellIs" dxfId="0" priority="339" operator="lessThan">
      <formula>55</formula>
    </cfRule>
  </conditionalFormatting>
  <conditionalFormatting sqref="AO282">
    <cfRule type="cellIs" dxfId="1" priority="338" operator="lessThan">
      <formula>90</formula>
    </cfRule>
  </conditionalFormatting>
  <conditionalFormatting sqref="AP282">
    <cfRule type="cellIs" dxfId="0" priority="337" operator="lessThan">
      <formula>55</formula>
    </cfRule>
  </conditionalFormatting>
  <conditionalFormatting sqref="AO283">
    <cfRule type="cellIs" dxfId="1" priority="336" operator="lessThan">
      <formula>90</formula>
    </cfRule>
  </conditionalFormatting>
  <conditionalFormatting sqref="AP283">
    <cfRule type="cellIs" dxfId="0" priority="335" operator="lessThan">
      <formula>55</formula>
    </cfRule>
  </conditionalFormatting>
  <conditionalFormatting sqref="AO284">
    <cfRule type="cellIs" dxfId="1" priority="334" operator="lessThan">
      <formula>90</formula>
    </cfRule>
  </conditionalFormatting>
  <conditionalFormatting sqref="AP284">
    <cfRule type="cellIs" dxfId="0" priority="333" operator="lessThan">
      <formula>55</formula>
    </cfRule>
  </conditionalFormatting>
  <conditionalFormatting sqref="AO285">
    <cfRule type="cellIs" dxfId="1" priority="332" operator="lessThan">
      <formula>90</formula>
    </cfRule>
  </conditionalFormatting>
  <conditionalFormatting sqref="AP285">
    <cfRule type="cellIs" dxfId="0" priority="331" operator="lessThan">
      <formula>55</formula>
    </cfRule>
  </conditionalFormatting>
  <conditionalFormatting sqref="AO286">
    <cfRule type="cellIs" dxfId="1" priority="330" operator="lessThan">
      <formula>90</formula>
    </cfRule>
  </conditionalFormatting>
  <conditionalFormatting sqref="AP286">
    <cfRule type="cellIs" dxfId="0" priority="329" operator="lessThan">
      <formula>55</formula>
    </cfRule>
  </conditionalFormatting>
  <conditionalFormatting sqref="AO287">
    <cfRule type="cellIs" dxfId="1" priority="328" operator="lessThan">
      <formula>90</formula>
    </cfRule>
  </conditionalFormatting>
  <conditionalFormatting sqref="AP287">
    <cfRule type="cellIs" dxfId="0" priority="327" operator="lessThan">
      <formula>55</formula>
    </cfRule>
  </conditionalFormatting>
  <conditionalFormatting sqref="AO288">
    <cfRule type="cellIs" dxfId="1" priority="326" operator="lessThan">
      <formula>90</formula>
    </cfRule>
  </conditionalFormatting>
  <conditionalFormatting sqref="AP288">
    <cfRule type="cellIs" dxfId="0" priority="325" operator="lessThan">
      <formula>55</formula>
    </cfRule>
  </conditionalFormatting>
  <conditionalFormatting sqref="AO289">
    <cfRule type="cellIs" dxfId="1" priority="324" operator="lessThan">
      <formula>90</formula>
    </cfRule>
  </conditionalFormatting>
  <conditionalFormatting sqref="AP289">
    <cfRule type="cellIs" dxfId="0" priority="323" operator="lessThan">
      <formula>55</formula>
    </cfRule>
  </conditionalFormatting>
  <conditionalFormatting sqref="AO290">
    <cfRule type="cellIs" dxfId="1" priority="322" operator="lessThan">
      <formula>90</formula>
    </cfRule>
  </conditionalFormatting>
  <conditionalFormatting sqref="AP290">
    <cfRule type="cellIs" dxfId="0" priority="321" operator="lessThan">
      <formula>55</formula>
    </cfRule>
  </conditionalFormatting>
  <conditionalFormatting sqref="AO291">
    <cfRule type="cellIs" dxfId="1" priority="320" operator="lessThan">
      <formula>90</formula>
    </cfRule>
  </conditionalFormatting>
  <conditionalFormatting sqref="AP291">
    <cfRule type="cellIs" dxfId="0" priority="319" operator="lessThan">
      <formula>55</formula>
    </cfRule>
  </conditionalFormatting>
  <conditionalFormatting sqref="AO292">
    <cfRule type="cellIs" dxfId="1" priority="318" operator="lessThan">
      <formula>90</formula>
    </cfRule>
  </conditionalFormatting>
  <conditionalFormatting sqref="AP292">
    <cfRule type="cellIs" dxfId="0" priority="317" operator="lessThan">
      <formula>55</formula>
    </cfRule>
  </conditionalFormatting>
  <conditionalFormatting sqref="AO293">
    <cfRule type="cellIs" dxfId="1" priority="316" operator="lessThan">
      <formula>90</formula>
    </cfRule>
  </conditionalFormatting>
  <conditionalFormatting sqref="AP293">
    <cfRule type="cellIs" dxfId="0" priority="315" operator="lessThan">
      <formula>55</formula>
    </cfRule>
  </conditionalFormatting>
  <conditionalFormatting sqref="AO294">
    <cfRule type="cellIs" dxfId="1" priority="314" operator="lessThan">
      <formula>90</formula>
    </cfRule>
  </conditionalFormatting>
  <conditionalFormatting sqref="AP294">
    <cfRule type="cellIs" dxfId="0" priority="313" operator="lessThan">
      <formula>55</formula>
    </cfRule>
  </conditionalFormatting>
  <conditionalFormatting sqref="AO295">
    <cfRule type="cellIs" dxfId="1" priority="312" operator="lessThan">
      <formula>90</formula>
    </cfRule>
  </conditionalFormatting>
  <conditionalFormatting sqref="AP295">
    <cfRule type="cellIs" dxfId="0" priority="311" operator="lessThan">
      <formula>55</formula>
    </cfRule>
  </conditionalFormatting>
  <conditionalFormatting sqref="AO296">
    <cfRule type="cellIs" dxfId="1" priority="310" operator="lessThan">
      <formula>90</formula>
    </cfRule>
  </conditionalFormatting>
  <conditionalFormatting sqref="AP296">
    <cfRule type="cellIs" dxfId="0" priority="309" operator="lessThan">
      <formula>55</formula>
    </cfRule>
  </conditionalFormatting>
  <conditionalFormatting sqref="AO297">
    <cfRule type="cellIs" dxfId="1" priority="308" operator="lessThan">
      <formula>90</formula>
    </cfRule>
  </conditionalFormatting>
  <conditionalFormatting sqref="AP297">
    <cfRule type="cellIs" dxfId="0" priority="307" operator="lessThan">
      <formula>55</formula>
    </cfRule>
  </conditionalFormatting>
  <conditionalFormatting sqref="AO298">
    <cfRule type="cellIs" dxfId="1" priority="306" operator="lessThan">
      <formula>90</formula>
    </cfRule>
  </conditionalFormatting>
  <conditionalFormatting sqref="AP298">
    <cfRule type="cellIs" dxfId="0" priority="305" operator="lessThan">
      <formula>55</formula>
    </cfRule>
  </conditionalFormatting>
  <conditionalFormatting sqref="AO299">
    <cfRule type="cellIs" dxfId="1" priority="304" operator="lessThan">
      <formula>90</formula>
    </cfRule>
  </conditionalFormatting>
  <conditionalFormatting sqref="AP299">
    <cfRule type="cellIs" dxfId="0" priority="303" operator="lessThan">
      <formula>55</formula>
    </cfRule>
  </conditionalFormatting>
  <conditionalFormatting sqref="AO300">
    <cfRule type="cellIs" dxfId="1" priority="302" operator="lessThan">
      <formula>90</formula>
    </cfRule>
  </conditionalFormatting>
  <conditionalFormatting sqref="AP300">
    <cfRule type="cellIs" dxfId="0" priority="301" operator="lessThan">
      <formula>55</formula>
    </cfRule>
  </conditionalFormatting>
  <conditionalFormatting sqref="AO301">
    <cfRule type="cellIs" dxfId="1" priority="300" operator="lessThan">
      <formula>90</formula>
    </cfRule>
  </conditionalFormatting>
  <conditionalFormatting sqref="AP301">
    <cfRule type="cellIs" dxfId="0" priority="299" operator="lessThan">
      <formula>55</formula>
    </cfRule>
  </conditionalFormatting>
  <conditionalFormatting sqref="AO302">
    <cfRule type="cellIs" dxfId="1" priority="298" operator="lessThan">
      <formula>90</formula>
    </cfRule>
  </conditionalFormatting>
  <conditionalFormatting sqref="AP302">
    <cfRule type="cellIs" dxfId="0" priority="297" operator="lessThan">
      <formula>55</formula>
    </cfRule>
  </conditionalFormatting>
  <conditionalFormatting sqref="AO303">
    <cfRule type="cellIs" dxfId="1" priority="296" operator="lessThan">
      <formula>90</formula>
    </cfRule>
  </conditionalFormatting>
  <conditionalFormatting sqref="AP303">
    <cfRule type="cellIs" dxfId="0" priority="295" operator="lessThan">
      <formula>55</formula>
    </cfRule>
  </conditionalFormatting>
  <conditionalFormatting sqref="AO304">
    <cfRule type="cellIs" dxfId="1" priority="294" operator="lessThan">
      <formula>90</formula>
    </cfRule>
  </conditionalFormatting>
  <conditionalFormatting sqref="AP304">
    <cfRule type="cellIs" dxfId="0" priority="293" operator="lessThan">
      <formula>55</formula>
    </cfRule>
  </conditionalFormatting>
  <conditionalFormatting sqref="AO305">
    <cfRule type="cellIs" dxfId="1" priority="292" operator="lessThan">
      <formula>90</formula>
    </cfRule>
  </conditionalFormatting>
  <conditionalFormatting sqref="AP305">
    <cfRule type="cellIs" dxfId="0" priority="291" operator="lessThan">
      <formula>55</formula>
    </cfRule>
  </conditionalFormatting>
  <conditionalFormatting sqref="AO306">
    <cfRule type="cellIs" dxfId="1" priority="290" operator="lessThan">
      <formula>90</formula>
    </cfRule>
  </conditionalFormatting>
  <conditionalFormatting sqref="AP306">
    <cfRule type="cellIs" dxfId="0" priority="289" operator="lessThan">
      <formula>55</formula>
    </cfRule>
  </conditionalFormatting>
  <conditionalFormatting sqref="AO307">
    <cfRule type="cellIs" dxfId="1" priority="288" operator="lessThan">
      <formula>90</formula>
    </cfRule>
  </conditionalFormatting>
  <conditionalFormatting sqref="AP307">
    <cfRule type="cellIs" dxfId="0" priority="287" operator="lessThan">
      <formula>55</formula>
    </cfRule>
  </conditionalFormatting>
  <conditionalFormatting sqref="AO308">
    <cfRule type="cellIs" dxfId="1" priority="286" operator="lessThan">
      <formula>90</formula>
    </cfRule>
  </conditionalFormatting>
  <conditionalFormatting sqref="AP308">
    <cfRule type="cellIs" dxfId="0" priority="285" operator="lessThan">
      <formula>55</formula>
    </cfRule>
  </conditionalFormatting>
  <conditionalFormatting sqref="AO309">
    <cfRule type="cellIs" dxfId="1" priority="284" operator="lessThan">
      <formula>90</formula>
    </cfRule>
  </conditionalFormatting>
  <conditionalFormatting sqref="AP309">
    <cfRule type="cellIs" dxfId="0" priority="283" operator="lessThan">
      <formula>55</formula>
    </cfRule>
  </conditionalFormatting>
  <conditionalFormatting sqref="AO312">
    <cfRule type="cellIs" dxfId="1" priority="280" operator="lessThan">
      <formula>90</formula>
    </cfRule>
  </conditionalFormatting>
  <conditionalFormatting sqref="AP312">
    <cfRule type="cellIs" dxfId="0" priority="279" operator="lessThan">
      <formula>55</formula>
    </cfRule>
  </conditionalFormatting>
  <conditionalFormatting sqref="AO314">
    <cfRule type="cellIs" dxfId="1" priority="278" operator="lessThan">
      <formula>90</formula>
    </cfRule>
  </conditionalFormatting>
  <conditionalFormatting sqref="AP314">
    <cfRule type="cellIs" dxfId="0" priority="277" operator="lessThan">
      <formula>55</formula>
    </cfRule>
  </conditionalFormatting>
  <conditionalFormatting sqref="AO315">
    <cfRule type="cellIs" dxfId="1" priority="276" operator="lessThan">
      <formula>90</formula>
    </cfRule>
  </conditionalFormatting>
  <conditionalFormatting sqref="AP315">
    <cfRule type="cellIs" dxfId="0" priority="275" operator="lessThan">
      <formula>55</formula>
    </cfRule>
  </conditionalFormatting>
  <conditionalFormatting sqref="AO316">
    <cfRule type="cellIs" dxfId="1" priority="274" operator="lessThan">
      <formula>90</formula>
    </cfRule>
  </conditionalFormatting>
  <conditionalFormatting sqref="AP316">
    <cfRule type="cellIs" dxfId="0" priority="273" operator="lessThan">
      <formula>55</formula>
    </cfRule>
  </conditionalFormatting>
  <conditionalFormatting sqref="AO319">
    <cfRule type="cellIs" dxfId="1" priority="270" operator="lessThan">
      <formula>90</formula>
    </cfRule>
  </conditionalFormatting>
  <conditionalFormatting sqref="AP319">
    <cfRule type="cellIs" dxfId="0" priority="269" operator="lessThan">
      <formula>55</formula>
    </cfRule>
  </conditionalFormatting>
  <conditionalFormatting sqref="AO320">
    <cfRule type="cellIs" dxfId="1" priority="268" operator="lessThan">
      <formula>90</formula>
    </cfRule>
  </conditionalFormatting>
  <conditionalFormatting sqref="AP320">
    <cfRule type="cellIs" dxfId="0" priority="267" operator="lessThan">
      <formula>55</formula>
    </cfRule>
  </conditionalFormatting>
  <conditionalFormatting sqref="AO321">
    <cfRule type="cellIs" dxfId="1" priority="266" operator="lessThan">
      <formula>90</formula>
    </cfRule>
  </conditionalFormatting>
  <conditionalFormatting sqref="AP321">
    <cfRule type="cellIs" dxfId="0" priority="265" operator="lessThan">
      <formula>55</formula>
    </cfRule>
  </conditionalFormatting>
  <conditionalFormatting sqref="AO322">
    <cfRule type="cellIs" dxfId="1" priority="264" operator="lessThan">
      <formula>90</formula>
    </cfRule>
  </conditionalFormatting>
  <conditionalFormatting sqref="AP322">
    <cfRule type="cellIs" dxfId="0" priority="263" operator="lessThan">
      <formula>55</formula>
    </cfRule>
  </conditionalFormatting>
  <conditionalFormatting sqref="AO323">
    <cfRule type="cellIs" dxfId="1" priority="262" operator="lessThan">
      <formula>90</formula>
    </cfRule>
  </conditionalFormatting>
  <conditionalFormatting sqref="AP323">
    <cfRule type="cellIs" dxfId="0" priority="261" operator="lessThan">
      <formula>55</formula>
    </cfRule>
  </conditionalFormatting>
  <conditionalFormatting sqref="AO324">
    <cfRule type="cellIs" dxfId="1" priority="260" operator="lessThan">
      <formula>90</formula>
    </cfRule>
  </conditionalFormatting>
  <conditionalFormatting sqref="AP324">
    <cfRule type="cellIs" dxfId="0" priority="259" operator="lessThan">
      <formula>55</formula>
    </cfRule>
  </conditionalFormatting>
  <conditionalFormatting sqref="AO325">
    <cfRule type="cellIs" dxfId="1" priority="258" operator="lessThan">
      <formula>90</formula>
    </cfRule>
  </conditionalFormatting>
  <conditionalFormatting sqref="AP325">
    <cfRule type="cellIs" dxfId="0" priority="257" operator="lessThan">
      <formula>55</formula>
    </cfRule>
  </conditionalFormatting>
  <conditionalFormatting sqref="AO326">
    <cfRule type="cellIs" dxfId="1" priority="256" operator="lessThan">
      <formula>90</formula>
    </cfRule>
  </conditionalFormatting>
  <conditionalFormatting sqref="AP326">
    <cfRule type="cellIs" dxfId="0" priority="255" operator="lessThan">
      <formula>55</formula>
    </cfRule>
  </conditionalFormatting>
  <conditionalFormatting sqref="AO327">
    <cfRule type="cellIs" dxfId="1" priority="254" operator="lessThan">
      <formula>90</formula>
    </cfRule>
  </conditionalFormatting>
  <conditionalFormatting sqref="AP327">
    <cfRule type="cellIs" dxfId="0" priority="253" operator="lessThan">
      <formula>55</formula>
    </cfRule>
  </conditionalFormatting>
  <conditionalFormatting sqref="AO335">
    <cfRule type="cellIs" dxfId="1" priority="248" operator="lessThan">
      <formula>90</formula>
    </cfRule>
  </conditionalFormatting>
  <conditionalFormatting sqref="AP335">
    <cfRule type="cellIs" dxfId="0" priority="247" operator="lessThan">
      <formula>55</formula>
    </cfRule>
  </conditionalFormatting>
  <conditionalFormatting sqref="AO336">
    <cfRule type="cellIs" dxfId="1" priority="246" operator="lessThan">
      <formula>90</formula>
    </cfRule>
  </conditionalFormatting>
  <conditionalFormatting sqref="AP336">
    <cfRule type="cellIs" dxfId="0" priority="245" operator="lessThan">
      <formula>55</formula>
    </cfRule>
  </conditionalFormatting>
  <conditionalFormatting sqref="AO337">
    <cfRule type="cellIs" dxfId="1" priority="244" operator="lessThan">
      <formula>90</formula>
    </cfRule>
  </conditionalFormatting>
  <conditionalFormatting sqref="AP337">
    <cfRule type="cellIs" dxfId="0" priority="243" operator="lessThan">
      <formula>55</formula>
    </cfRule>
  </conditionalFormatting>
  <conditionalFormatting sqref="AO338">
    <cfRule type="cellIs" dxfId="1" priority="242" operator="lessThan">
      <formula>90</formula>
    </cfRule>
  </conditionalFormatting>
  <conditionalFormatting sqref="AP338">
    <cfRule type="cellIs" dxfId="0" priority="241" operator="lessThan">
      <formula>55</formula>
    </cfRule>
  </conditionalFormatting>
  <conditionalFormatting sqref="AO341">
    <cfRule type="cellIs" dxfId="1" priority="238" operator="lessThan">
      <formula>90</formula>
    </cfRule>
  </conditionalFormatting>
  <conditionalFormatting sqref="AP341">
    <cfRule type="cellIs" dxfId="0" priority="237" operator="lessThan">
      <formula>55</formula>
    </cfRule>
  </conditionalFormatting>
  <conditionalFormatting sqref="AO342">
    <cfRule type="cellIs" dxfId="1" priority="236" operator="lessThan">
      <formula>90</formula>
    </cfRule>
  </conditionalFormatting>
  <conditionalFormatting sqref="AP342">
    <cfRule type="cellIs" dxfId="0" priority="235" operator="lessThan">
      <formula>55</formula>
    </cfRule>
  </conditionalFormatting>
  <conditionalFormatting sqref="AO343">
    <cfRule type="cellIs" dxfId="1" priority="234" operator="lessThan">
      <formula>90</formula>
    </cfRule>
  </conditionalFormatting>
  <conditionalFormatting sqref="AP343">
    <cfRule type="cellIs" dxfId="0" priority="233" operator="lessThan">
      <formula>55</formula>
    </cfRule>
  </conditionalFormatting>
  <conditionalFormatting sqref="AO344">
    <cfRule type="cellIs" dxfId="1" priority="232" operator="lessThan">
      <formula>90</formula>
    </cfRule>
  </conditionalFormatting>
  <conditionalFormatting sqref="AP344">
    <cfRule type="cellIs" dxfId="0" priority="231" operator="lessThan">
      <formula>55</formula>
    </cfRule>
  </conditionalFormatting>
  <conditionalFormatting sqref="AO345">
    <cfRule type="cellIs" dxfId="1" priority="230" operator="lessThan">
      <formula>90</formula>
    </cfRule>
  </conditionalFormatting>
  <conditionalFormatting sqref="AP345">
    <cfRule type="cellIs" dxfId="0" priority="229" operator="lessThan">
      <formula>55</formula>
    </cfRule>
  </conditionalFormatting>
  <conditionalFormatting sqref="AO346">
    <cfRule type="cellIs" dxfId="1" priority="228" operator="lessThan">
      <formula>90</formula>
    </cfRule>
  </conditionalFormatting>
  <conditionalFormatting sqref="AP346">
    <cfRule type="cellIs" dxfId="0" priority="227" operator="lessThan">
      <formula>55</formula>
    </cfRule>
  </conditionalFormatting>
  <conditionalFormatting sqref="AO347">
    <cfRule type="cellIs" dxfId="1" priority="226" operator="lessThan">
      <formula>90</formula>
    </cfRule>
  </conditionalFormatting>
  <conditionalFormatting sqref="AP347">
    <cfRule type="cellIs" dxfId="0" priority="225" operator="lessThan">
      <formula>55</formula>
    </cfRule>
  </conditionalFormatting>
  <conditionalFormatting sqref="AO348">
    <cfRule type="cellIs" dxfId="1" priority="224" operator="lessThan">
      <formula>90</formula>
    </cfRule>
  </conditionalFormatting>
  <conditionalFormatting sqref="AP348">
    <cfRule type="cellIs" dxfId="0" priority="223" operator="lessThan">
      <formula>55</formula>
    </cfRule>
  </conditionalFormatting>
  <conditionalFormatting sqref="AO349">
    <cfRule type="cellIs" dxfId="1" priority="222" operator="lessThan">
      <formula>90</formula>
    </cfRule>
  </conditionalFormatting>
  <conditionalFormatting sqref="AP349">
    <cfRule type="cellIs" dxfId="0" priority="221" operator="lessThan">
      <formula>55</formula>
    </cfRule>
  </conditionalFormatting>
  <conditionalFormatting sqref="AO350">
    <cfRule type="cellIs" dxfId="1" priority="220" operator="lessThan">
      <formula>90</formula>
    </cfRule>
  </conditionalFormatting>
  <conditionalFormatting sqref="AP350">
    <cfRule type="cellIs" dxfId="0" priority="219" operator="lessThan">
      <formula>55</formula>
    </cfRule>
  </conditionalFormatting>
  <conditionalFormatting sqref="AO351">
    <cfRule type="cellIs" dxfId="1" priority="218" operator="lessThan">
      <formula>90</formula>
    </cfRule>
  </conditionalFormatting>
  <conditionalFormatting sqref="AP351">
    <cfRule type="cellIs" dxfId="0" priority="217" operator="lessThan">
      <formula>55</formula>
    </cfRule>
  </conditionalFormatting>
  <conditionalFormatting sqref="AO352">
    <cfRule type="cellIs" dxfId="1" priority="216" operator="lessThan">
      <formula>90</formula>
    </cfRule>
  </conditionalFormatting>
  <conditionalFormatting sqref="AP352">
    <cfRule type="cellIs" dxfId="0" priority="215" operator="lessThan">
      <formula>55</formula>
    </cfRule>
  </conditionalFormatting>
  <conditionalFormatting sqref="AO353">
    <cfRule type="cellIs" dxfId="1" priority="214" operator="lessThan">
      <formula>90</formula>
    </cfRule>
  </conditionalFormatting>
  <conditionalFormatting sqref="AP353">
    <cfRule type="cellIs" dxfId="0" priority="213" operator="lessThan">
      <formula>55</formula>
    </cfRule>
  </conditionalFormatting>
  <conditionalFormatting sqref="AO354">
    <cfRule type="cellIs" dxfId="1" priority="212" operator="lessThan">
      <formula>90</formula>
    </cfRule>
  </conditionalFormatting>
  <conditionalFormatting sqref="AP354">
    <cfRule type="cellIs" dxfId="0" priority="211" operator="lessThan">
      <formula>55</formula>
    </cfRule>
  </conditionalFormatting>
  <conditionalFormatting sqref="AO355">
    <cfRule type="cellIs" dxfId="1" priority="210" operator="lessThan">
      <formula>90</formula>
    </cfRule>
  </conditionalFormatting>
  <conditionalFormatting sqref="AP355">
    <cfRule type="cellIs" dxfId="0" priority="209" operator="lessThan">
      <formula>55</formula>
    </cfRule>
  </conditionalFormatting>
  <conditionalFormatting sqref="AO356">
    <cfRule type="cellIs" dxfId="1" priority="208" operator="lessThan">
      <formula>90</formula>
    </cfRule>
  </conditionalFormatting>
  <conditionalFormatting sqref="AP356">
    <cfRule type="cellIs" dxfId="0" priority="207" operator="lessThan">
      <formula>55</formula>
    </cfRule>
  </conditionalFormatting>
  <conditionalFormatting sqref="AO357">
    <cfRule type="cellIs" dxfId="1" priority="206" operator="lessThan">
      <formula>90</formula>
    </cfRule>
  </conditionalFormatting>
  <conditionalFormatting sqref="AP357">
    <cfRule type="cellIs" dxfId="0" priority="205" operator="lessThan">
      <formula>55</formula>
    </cfRule>
  </conditionalFormatting>
  <conditionalFormatting sqref="AO358">
    <cfRule type="cellIs" dxfId="1" priority="204" operator="lessThan">
      <formula>90</formula>
    </cfRule>
  </conditionalFormatting>
  <conditionalFormatting sqref="AP358">
    <cfRule type="cellIs" dxfId="0" priority="203" operator="lessThan">
      <formula>55</formula>
    </cfRule>
  </conditionalFormatting>
  <conditionalFormatting sqref="AO359">
    <cfRule type="cellIs" dxfId="1" priority="202" operator="lessThan">
      <formula>90</formula>
    </cfRule>
  </conditionalFormatting>
  <conditionalFormatting sqref="AP359">
    <cfRule type="cellIs" dxfId="0" priority="201" operator="lessThan">
      <formula>55</formula>
    </cfRule>
  </conditionalFormatting>
  <conditionalFormatting sqref="AO360">
    <cfRule type="cellIs" dxfId="1" priority="200" operator="lessThan">
      <formula>90</formula>
    </cfRule>
  </conditionalFormatting>
  <conditionalFormatting sqref="AP360">
    <cfRule type="cellIs" dxfId="0" priority="199" operator="lessThan">
      <formula>55</formula>
    </cfRule>
  </conditionalFormatting>
  <conditionalFormatting sqref="AO361">
    <cfRule type="cellIs" dxfId="1" priority="198" operator="lessThan">
      <formula>90</formula>
    </cfRule>
  </conditionalFormatting>
  <conditionalFormatting sqref="AP361">
    <cfRule type="cellIs" dxfId="0" priority="197" operator="lessThan">
      <formula>55</formula>
    </cfRule>
  </conditionalFormatting>
  <conditionalFormatting sqref="AO362">
    <cfRule type="cellIs" dxfId="1" priority="196" operator="lessThan">
      <formula>90</formula>
    </cfRule>
  </conditionalFormatting>
  <conditionalFormatting sqref="AP362">
    <cfRule type="cellIs" dxfId="0" priority="195" operator="lessThan">
      <formula>55</formula>
    </cfRule>
  </conditionalFormatting>
  <conditionalFormatting sqref="AO363">
    <cfRule type="cellIs" dxfId="1" priority="194" operator="lessThan">
      <formula>90</formula>
    </cfRule>
  </conditionalFormatting>
  <conditionalFormatting sqref="AP363">
    <cfRule type="cellIs" dxfId="0" priority="193" operator="lessThan">
      <formula>55</formula>
    </cfRule>
  </conditionalFormatting>
  <conditionalFormatting sqref="AO364">
    <cfRule type="cellIs" dxfId="1" priority="192" operator="lessThan">
      <formula>90</formula>
    </cfRule>
  </conditionalFormatting>
  <conditionalFormatting sqref="AP364">
    <cfRule type="cellIs" dxfId="0" priority="191" operator="lessThan">
      <formula>55</formula>
    </cfRule>
  </conditionalFormatting>
  <conditionalFormatting sqref="AO365">
    <cfRule type="cellIs" dxfId="1" priority="190" operator="lessThan">
      <formula>90</formula>
    </cfRule>
  </conditionalFormatting>
  <conditionalFormatting sqref="AP365">
    <cfRule type="cellIs" dxfId="0" priority="189" operator="lessThan">
      <formula>55</formula>
    </cfRule>
  </conditionalFormatting>
  <conditionalFormatting sqref="AO366">
    <cfRule type="cellIs" dxfId="1" priority="188" operator="lessThan">
      <formula>90</formula>
    </cfRule>
  </conditionalFormatting>
  <conditionalFormatting sqref="AP366">
    <cfRule type="cellIs" dxfId="0" priority="187" operator="lessThan">
      <formula>55</formula>
    </cfRule>
  </conditionalFormatting>
  <conditionalFormatting sqref="AO367">
    <cfRule type="cellIs" dxfId="1" priority="186" operator="lessThan">
      <formula>90</formula>
    </cfRule>
  </conditionalFormatting>
  <conditionalFormatting sqref="AP367">
    <cfRule type="cellIs" dxfId="0" priority="185" operator="lessThan">
      <formula>55</formula>
    </cfRule>
  </conditionalFormatting>
  <conditionalFormatting sqref="AO368">
    <cfRule type="cellIs" dxfId="1" priority="184" operator="lessThan">
      <formula>90</formula>
    </cfRule>
  </conditionalFormatting>
  <conditionalFormatting sqref="AP368">
    <cfRule type="cellIs" dxfId="0" priority="183" operator="lessThan">
      <formula>55</formula>
    </cfRule>
  </conditionalFormatting>
  <conditionalFormatting sqref="AO369">
    <cfRule type="cellIs" dxfId="1" priority="182" operator="lessThan">
      <formula>90</formula>
    </cfRule>
  </conditionalFormatting>
  <conditionalFormatting sqref="AP369">
    <cfRule type="cellIs" dxfId="0" priority="181" operator="lessThan">
      <formula>55</formula>
    </cfRule>
  </conditionalFormatting>
  <conditionalFormatting sqref="AO370">
    <cfRule type="cellIs" dxfId="1" priority="180" operator="lessThan">
      <formula>90</formula>
    </cfRule>
  </conditionalFormatting>
  <conditionalFormatting sqref="AP370">
    <cfRule type="cellIs" dxfId="0" priority="179" operator="lessThan">
      <formula>55</formula>
    </cfRule>
  </conditionalFormatting>
  <conditionalFormatting sqref="AO371">
    <cfRule type="cellIs" dxfId="1" priority="178" operator="lessThan">
      <formula>90</formula>
    </cfRule>
  </conditionalFormatting>
  <conditionalFormatting sqref="AP371">
    <cfRule type="cellIs" dxfId="0" priority="177" operator="lessThan">
      <formula>55</formula>
    </cfRule>
  </conditionalFormatting>
  <conditionalFormatting sqref="AO372">
    <cfRule type="cellIs" dxfId="1" priority="176" operator="lessThan">
      <formula>90</formula>
    </cfRule>
  </conditionalFormatting>
  <conditionalFormatting sqref="AP372">
    <cfRule type="cellIs" dxfId="0" priority="175" operator="lessThan">
      <formula>55</formula>
    </cfRule>
  </conditionalFormatting>
  <conditionalFormatting sqref="AO373">
    <cfRule type="cellIs" dxfId="1" priority="174" operator="lessThan">
      <formula>90</formula>
    </cfRule>
  </conditionalFormatting>
  <conditionalFormatting sqref="AP373">
    <cfRule type="cellIs" dxfId="0" priority="173" operator="lessThan">
      <formula>55</formula>
    </cfRule>
  </conditionalFormatting>
  <conditionalFormatting sqref="AO374">
    <cfRule type="cellIs" dxfId="1" priority="172" operator="lessThan">
      <formula>90</formula>
    </cfRule>
  </conditionalFormatting>
  <conditionalFormatting sqref="AP374">
    <cfRule type="cellIs" dxfId="0" priority="171" operator="lessThan">
      <formula>55</formula>
    </cfRule>
  </conditionalFormatting>
  <conditionalFormatting sqref="AO375">
    <cfRule type="cellIs" dxfId="1" priority="170" operator="lessThan">
      <formula>90</formula>
    </cfRule>
  </conditionalFormatting>
  <conditionalFormatting sqref="AP375">
    <cfRule type="cellIs" dxfId="0" priority="169" operator="lessThan">
      <formula>55</formula>
    </cfRule>
  </conditionalFormatting>
  <conditionalFormatting sqref="AO376">
    <cfRule type="cellIs" dxfId="1" priority="168" operator="lessThan">
      <formula>90</formula>
    </cfRule>
  </conditionalFormatting>
  <conditionalFormatting sqref="AP376">
    <cfRule type="cellIs" dxfId="0" priority="167" operator="lessThan">
      <formula>55</formula>
    </cfRule>
  </conditionalFormatting>
  <conditionalFormatting sqref="AO377">
    <cfRule type="cellIs" dxfId="1" priority="166" operator="lessThan">
      <formula>90</formula>
    </cfRule>
  </conditionalFormatting>
  <conditionalFormatting sqref="AP377">
    <cfRule type="cellIs" dxfId="0" priority="165" operator="lessThan">
      <formula>55</formula>
    </cfRule>
  </conditionalFormatting>
  <conditionalFormatting sqref="AO378">
    <cfRule type="cellIs" dxfId="1" priority="164" operator="lessThan">
      <formula>90</formula>
    </cfRule>
  </conditionalFormatting>
  <conditionalFormatting sqref="AP378">
    <cfRule type="cellIs" dxfId="0" priority="163" operator="lessThan">
      <formula>55</formula>
    </cfRule>
  </conditionalFormatting>
  <conditionalFormatting sqref="AO379">
    <cfRule type="cellIs" dxfId="1" priority="162" operator="lessThan">
      <formula>90</formula>
    </cfRule>
  </conditionalFormatting>
  <conditionalFormatting sqref="AP379">
    <cfRule type="cellIs" dxfId="0" priority="161" operator="lessThan">
      <formula>55</formula>
    </cfRule>
  </conditionalFormatting>
  <conditionalFormatting sqref="AO380">
    <cfRule type="cellIs" dxfId="1" priority="160" operator="lessThan">
      <formula>90</formula>
    </cfRule>
  </conditionalFormatting>
  <conditionalFormatting sqref="AP380">
    <cfRule type="cellIs" dxfId="0" priority="159" operator="lessThan">
      <formula>55</formula>
    </cfRule>
  </conditionalFormatting>
  <conditionalFormatting sqref="AO384">
    <cfRule type="cellIs" dxfId="1" priority="156" operator="lessThan">
      <formula>90</formula>
    </cfRule>
  </conditionalFormatting>
  <conditionalFormatting sqref="AP384">
    <cfRule type="cellIs" dxfId="0" priority="155" operator="lessThan">
      <formula>55</formula>
    </cfRule>
  </conditionalFormatting>
  <conditionalFormatting sqref="AO385">
    <cfRule type="cellIs" dxfId="1" priority="154" operator="lessThan">
      <formula>90</formula>
    </cfRule>
  </conditionalFormatting>
  <conditionalFormatting sqref="AP385">
    <cfRule type="cellIs" dxfId="0" priority="153" operator="lessThan">
      <formula>55</formula>
    </cfRule>
  </conditionalFormatting>
  <conditionalFormatting sqref="AO386">
    <cfRule type="cellIs" dxfId="1" priority="152" operator="lessThan">
      <formula>90</formula>
    </cfRule>
  </conditionalFormatting>
  <conditionalFormatting sqref="AP386">
    <cfRule type="cellIs" dxfId="0" priority="151" operator="lessThan">
      <formula>55</formula>
    </cfRule>
  </conditionalFormatting>
  <conditionalFormatting sqref="AO387">
    <cfRule type="cellIs" dxfId="1" priority="150" operator="lessThan">
      <formula>90</formula>
    </cfRule>
  </conditionalFormatting>
  <conditionalFormatting sqref="AP387">
    <cfRule type="cellIs" dxfId="0" priority="149" operator="lessThan">
      <formula>55</formula>
    </cfRule>
  </conditionalFormatting>
  <conditionalFormatting sqref="AO388">
    <cfRule type="cellIs" dxfId="1" priority="148" operator="lessThan">
      <formula>90</formula>
    </cfRule>
  </conditionalFormatting>
  <conditionalFormatting sqref="AP388">
    <cfRule type="cellIs" dxfId="0" priority="147" operator="lessThan">
      <formula>55</formula>
    </cfRule>
  </conditionalFormatting>
  <conditionalFormatting sqref="AO389">
    <cfRule type="cellIs" dxfId="1" priority="146" operator="lessThan">
      <formula>90</formula>
    </cfRule>
  </conditionalFormatting>
  <conditionalFormatting sqref="AP389">
    <cfRule type="cellIs" dxfId="0" priority="145" operator="lessThan">
      <formula>55</formula>
    </cfRule>
  </conditionalFormatting>
  <conditionalFormatting sqref="AO390">
    <cfRule type="cellIs" dxfId="1" priority="144" operator="lessThan">
      <formula>90</formula>
    </cfRule>
  </conditionalFormatting>
  <conditionalFormatting sqref="AP390">
    <cfRule type="cellIs" dxfId="0" priority="143" operator="lessThan">
      <formula>55</formula>
    </cfRule>
  </conditionalFormatting>
  <conditionalFormatting sqref="AO391">
    <cfRule type="cellIs" dxfId="1" priority="142" operator="lessThan">
      <formula>90</formula>
    </cfRule>
  </conditionalFormatting>
  <conditionalFormatting sqref="AP391">
    <cfRule type="cellIs" dxfId="0" priority="141" operator="lessThan">
      <formula>55</formula>
    </cfRule>
  </conditionalFormatting>
  <conditionalFormatting sqref="AO392">
    <cfRule type="cellIs" dxfId="1" priority="140" operator="lessThan">
      <formula>90</formula>
    </cfRule>
  </conditionalFormatting>
  <conditionalFormatting sqref="AP392">
    <cfRule type="cellIs" dxfId="0" priority="139" operator="lessThan">
      <formula>55</formula>
    </cfRule>
  </conditionalFormatting>
  <conditionalFormatting sqref="AO393">
    <cfRule type="cellIs" dxfId="1" priority="138" operator="lessThan">
      <formula>90</formula>
    </cfRule>
  </conditionalFormatting>
  <conditionalFormatting sqref="AP393">
    <cfRule type="cellIs" dxfId="0" priority="137" operator="lessThan">
      <formula>55</formula>
    </cfRule>
  </conditionalFormatting>
  <conditionalFormatting sqref="AO394">
    <cfRule type="cellIs" dxfId="1" priority="136" operator="lessThan">
      <formula>90</formula>
    </cfRule>
  </conditionalFormatting>
  <conditionalFormatting sqref="AP394">
    <cfRule type="cellIs" dxfId="0" priority="135" operator="lessThan">
      <formula>55</formula>
    </cfRule>
  </conditionalFormatting>
  <conditionalFormatting sqref="AO395">
    <cfRule type="cellIs" dxfId="1" priority="134" operator="lessThan">
      <formula>90</formula>
    </cfRule>
  </conditionalFormatting>
  <conditionalFormatting sqref="AP395">
    <cfRule type="cellIs" dxfId="0" priority="133" operator="lessThan">
      <formula>55</formula>
    </cfRule>
  </conditionalFormatting>
  <conditionalFormatting sqref="AO396">
    <cfRule type="cellIs" dxfId="1" priority="132" operator="lessThan">
      <formula>90</formula>
    </cfRule>
  </conditionalFormatting>
  <conditionalFormatting sqref="AP396">
    <cfRule type="cellIs" dxfId="0" priority="131" operator="lessThan">
      <formula>55</formula>
    </cfRule>
  </conditionalFormatting>
  <conditionalFormatting sqref="AO483">
    <cfRule type="cellIs" dxfId="1" priority="130" operator="lessThan">
      <formula>90</formula>
    </cfRule>
  </conditionalFormatting>
  <conditionalFormatting sqref="AP483">
    <cfRule type="cellIs" dxfId="0" priority="129" operator="lessThan">
      <formula>55</formula>
    </cfRule>
  </conditionalFormatting>
  <conditionalFormatting sqref="AO484">
    <cfRule type="cellIs" dxfId="1" priority="128" operator="lessThan">
      <formula>90</formula>
    </cfRule>
  </conditionalFormatting>
  <conditionalFormatting sqref="AP484">
    <cfRule type="cellIs" dxfId="0" priority="127" operator="lessThan">
      <formula>55</formula>
    </cfRule>
  </conditionalFormatting>
  <conditionalFormatting sqref="AO488">
    <cfRule type="cellIs" dxfId="1" priority="124" operator="lessThan">
      <formula>90</formula>
    </cfRule>
  </conditionalFormatting>
  <conditionalFormatting sqref="AP488">
    <cfRule type="cellIs" dxfId="0" priority="123" operator="lessThan">
      <formula>55</formula>
    </cfRule>
  </conditionalFormatting>
  <conditionalFormatting sqref="AO489">
    <cfRule type="cellIs" dxfId="1" priority="122" operator="lessThan">
      <formula>90</formula>
    </cfRule>
  </conditionalFormatting>
  <conditionalFormatting sqref="AP489">
    <cfRule type="cellIs" dxfId="0" priority="121" operator="lessThan">
      <formula>55</formula>
    </cfRule>
  </conditionalFormatting>
  <conditionalFormatting sqref="AO490">
    <cfRule type="cellIs" dxfId="1" priority="120" operator="lessThan">
      <formula>90</formula>
    </cfRule>
  </conditionalFormatting>
  <conditionalFormatting sqref="AP490">
    <cfRule type="cellIs" dxfId="0" priority="119" operator="lessThan">
      <formula>55</formula>
    </cfRule>
  </conditionalFormatting>
  <conditionalFormatting sqref="AO491">
    <cfRule type="cellIs" dxfId="1" priority="118" operator="lessThan">
      <formula>90</formula>
    </cfRule>
  </conditionalFormatting>
  <conditionalFormatting sqref="AP491">
    <cfRule type="cellIs" dxfId="0" priority="117" operator="lessThan">
      <formula>55</formula>
    </cfRule>
  </conditionalFormatting>
  <conditionalFormatting sqref="AO498">
    <cfRule type="cellIs" dxfId="1" priority="114" operator="lessThan">
      <formula>90</formula>
    </cfRule>
  </conditionalFormatting>
  <conditionalFormatting sqref="AP498">
    <cfRule type="cellIs" dxfId="0" priority="113" operator="lessThan">
      <formula>55</formula>
    </cfRule>
  </conditionalFormatting>
  <conditionalFormatting sqref="AO499">
    <cfRule type="cellIs" dxfId="1" priority="112" operator="lessThan">
      <formula>90</formula>
    </cfRule>
  </conditionalFormatting>
  <conditionalFormatting sqref="AP499">
    <cfRule type="cellIs" dxfId="0" priority="111" operator="lessThan">
      <formula>55</formula>
    </cfRule>
  </conditionalFormatting>
  <conditionalFormatting sqref="AO500">
    <cfRule type="cellIs" dxfId="1" priority="110" operator="lessThan">
      <formula>90</formula>
    </cfRule>
  </conditionalFormatting>
  <conditionalFormatting sqref="AP500">
    <cfRule type="cellIs" dxfId="0" priority="109" operator="lessThan">
      <formula>55</formula>
    </cfRule>
  </conditionalFormatting>
  <conditionalFormatting sqref="AO505">
    <cfRule type="cellIs" dxfId="1" priority="104" operator="lessThan">
      <formula>90</formula>
    </cfRule>
  </conditionalFormatting>
  <conditionalFormatting sqref="AP505">
    <cfRule type="cellIs" dxfId="0" priority="103" operator="lessThan">
      <formula>55</formula>
    </cfRule>
  </conditionalFormatting>
  <conditionalFormatting sqref="AO506">
    <cfRule type="cellIs" dxfId="1" priority="102" operator="lessThan">
      <formula>90</formula>
    </cfRule>
  </conditionalFormatting>
  <conditionalFormatting sqref="AP506">
    <cfRule type="cellIs" dxfId="0" priority="101" operator="lessThan">
      <formula>55</formula>
    </cfRule>
  </conditionalFormatting>
  <conditionalFormatting sqref="AO507">
    <cfRule type="cellIs" dxfId="1" priority="100" operator="lessThan">
      <formula>90</formula>
    </cfRule>
  </conditionalFormatting>
  <conditionalFormatting sqref="AP507">
    <cfRule type="cellIs" dxfId="0" priority="99" operator="lessThan">
      <formula>55</formula>
    </cfRule>
  </conditionalFormatting>
  <conditionalFormatting sqref="AO508">
    <cfRule type="cellIs" dxfId="1" priority="98" operator="lessThan">
      <formula>90</formula>
    </cfRule>
  </conditionalFormatting>
  <conditionalFormatting sqref="AP508">
    <cfRule type="cellIs" dxfId="0" priority="97" operator="lessThan">
      <formula>55</formula>
    </cfRule>
  </conditionalFormatting>
  <conditionalFormatting sqref="AO511">
    <cfRule type="cellIs" dxfId="1" priority="96" operator="lessThan">
      <formula>90</formula>
    </cfRule>
  </conditionalFormatting>
  <conditionalFormatting sqref="AP511">
    <cfRule type="cellIs" dxfId="0" priority="95" operator="lessThan">
      <formula>55</formula>
    </cfRule>
  </conditionalFormatting>
  <conditionalFormatting sqref="AO512">
    <cfRule type="cellIs" dxfId="1" priority="94" operator="lessThan">
      <formula>90</formula>
    </cfRule>
  </conditionalFormatting>
  <conditionalFormatting sqref="AP512">
    <cfRule type="cellIs" dxfId="0" priority="93" operator="lessThan">
      <formula>55</formula>
    </cfRule>
  </conditionalFormatting>
  <conditionalFormatting sqref="AO513">
    <cfRule type="cellIs" dxfId="1" priority="92" operator="lessThan">
      <formula>90</formula>
    </cfRule>
  </conditionalFormatting>
  <conditionalFormatting sqref="AP513">
    <cfRule type="cellIs" dxfId="0" priority="91" operator="lessThan">
      <formula>55</formula>
    </cfRule>
  </conditionalFormatting>
  <conditionalFormatting sqref="AO514">
    <cfRule type="cellIs" dxfId="1" priority="90" operator="lessThan">
      <formula>90</formula>
    </cfRule>
  </conditionalFormatting>
  <conditionalFormatting sqref="AP514">
    <cfRule type="cellIs" dxfId="0" priority="89" operator="lessThan">
      <formula>55</formula>
    </cfRule>
  </conditionalFormatting>
  <conditionalFormatting sqref="AO515">
    <cfRule type="cellIs" dxfId="1" priority="88" operator="lessThan">
      <formula>90</formula>
    </cfRule>
  </conditionalFormatting>
  <conditionalFormatting sqref="AP515">
    <cfRule type="cellIs" dxfId="0" priority="87" operator="lessThan">
      <formula>55</formula>
    </cfRule>
  </conditionalFormatting>
  <conditionalFormatting sqref="AO516">
    <cfRule type="cellIs" dxfId="1" priority="86" operator="lessThan">
      <formula>90</formula>
    </cfRule>
  </conditionalFormatting>
  <conditionalFormatting sqref="AP516">
    <cfRule type="cellIs" dxfId="0" priority="85" operator="lessThan">
      <formula>55</formula>
    </cfRule>
  </conditionalFormatting>
  <conditionalFormatting sqref="AO517">
    <cfRule type="cellIs" dxfId="1" priority="84" operator="lessThan">
      <formula>90</formula>
    </cfRule>
  </conditionalFormatting>
  <conditionalFormatting sqref="AP517">
    <cfRule type="cellIs" dxfId="0" priority="83" operator="lessThan">
      <formula>55</formula>
    </cfRule>
  </conditionalFormatting>
  <conditionalFormatting sqref="AO518">
    <cfRule type="cellIs" dxfId="1" priority="82" operator="lessThan">
      <formula>90</formula>
    </cfRule>
  </conditionalFormatting>
  <conditionalFormatting sqref="AP518">
    <cfRule type="cellIs" dxfId="0" priority="81" operator="lessThan">
      <formula>55</formula>
    </cfRule>
  </conditionalFormatting>
  <conditionalFormatting sqref="AO521">
    <cfRule type="cellIs" dxfId="1" priority="78" operator="lessThan">
      <formula>90</formula>
    </cfRule>
  </conditionalFormatting>
  <conditionalFormatting sqref="AP521">
    <cfRule type="cellIs" dxfId="0" priority="77" operator="lessThan">
      <formula>55</formula>
    </cfRule>
  </conditionalFormatting>
  <conditionalFormatting sqref="AO522">
    <cfRule type="cellIs" dxfId="1" priority="76" operator="lessThan">
      <formula>90</formula>
    </cfRule>
  </conditionalFormatting>
  <conditionalFormatting sqref="AP522">
    <cfRule type="cellIs" dxfId="0" priority="75" operator="lessThan">
      <formula>55</formula>
    </cfRule>
  </conditionalFormatting>
  <conditionalFormatting sqref="AO523">
    <cfRule type="cellIs" dxfId="1" priority="74" operator="lessThan">
      <formula>90</formula>
    </cfRule>
  </conditionalFormatting>
  <conditionalFormatting sqref="AP523">
    <cfRule type="cellIs" dxfId="0" priority="73" operator="lessThan">
      <formula>55</formula>
    </cfRule>
  </conditionalFormatting>
  <conditionalFormatting sqref="AO524">
    <cfRule type="cellIs" dxfId="1" priority="72" operator="lessThan">
      <formula>90</formula>
    </cfRule>
  </conditionalFormatting>
  <conditionalFormatting sqref="AP524">
    <cfRule type="cellIs" dxfId="0" priority="71" operator="lessThan">
      <formula>55</formula>
    </cfRule>
  </conditionalFormatting>
  <conditionalFormatting sqref="AO525">
    <cfRule type="cellIs" dxfId="1" priority="70" operator="lessThan">
      <formula>90</formula>
    </cfRule>
  </conditionalFormatting>
  <conditionalFormatting sqref="AP525">
    <cfRule type="cellIs" dxfId="0" priority="69" operator="lessThan">
      <formula>55</formula>
    </cfRule>
  </conditionalFormatting>
  <conditionalFormatting sqref="AO526">
    <cfRule type="cellIs" dxfId="1" priority="68" operator="lessThan">
      <formula>90</formula>
    </cfRule>
  </conditionalFormatting>
  <conditionalFormatting sqref="AP526">
    <cfRule type="cellIs" dxfId="0" priority="67" operator="lessThan">
      <formula>55</formula>
    </cfRule>
  </conditionalFormatting>
  <conditionalFormatting sqref="AO527">
    <cfRule type="cellIs" dxfId="1" priority="66" operator="lessThan">
      <formula>90</formula>
    </cfRule>
  </conditionalFormatting>
  <conditionalFormatting sqref="AP527">
    <cfRule type="cellIs" dxfId="0" priority="65" operator="lessThan">
      <formula>55</formula>
    </cfRule>
  </conditionalFormatting>
  <conditionalFormatting sqref="AO531">
    <cfRule type="cellIs" dxfId="1" priority="64" operator="lessThan">
      <formula>90</formula>
    </cfRule>
  </conditionalFormatting>
  <conditionalFormatting sqref="AP531">
    <cfRule type="cellIs" dxfId="0" priority="63" operator="lessThan">
      <formula>55</formula>
    </cfRule>
  </conditionalFormatting>
  <conditionalFormatting sqref="AO532">
    <cfRule type="cellIs" dxfId="1" priority="62" operator="lessThan">
      <formula>90</formula>
    </cfRule>
  </conditionalFormatting>
  <conditionalFormatting sqref="AP532">
    <cfRule type="cellIs" dxfId="0" priority="61" operator="lessThan">
      <formula>55</formula>
    </cfRule>
  </conditionalFormatting>
  <conditionalFormatting sqref="AO533">
    <cfRule type="cellIs" dxfId="1" priority="60" operator="lessThan">
      <formula>90</formula>
    </cfRule>
  </conditionalFormatting>
  <conditionalFormatting sqref="AP533">
    <cfRule type="cellIs" dxfId="0" priority="59" operator="lessThan">
      <formula>55</formula>
    </cfRule>
  </conditionalFormatting>
  <conditionalFormatting sqref="AO534">
    <cfRule type="cellIs" dxfId="1" priority="58" operator="lessThan">
      <formula>90</formula>
    </cfRule>
  </conditionalFormatting>
  <conditionalFormatting sqref="AP534">
    <cfRule type="cellIs" dxfId="0" priority="57" operator="lessThan">
      <formula>55</formula>
    </cfRule>
  </conditionalFormatting>
  <conditionalFormatting sqref="AO535">
    <cfRule type="cellIs" dxfId="1" priority="56" operator="lessThan">
      <formula>90</formula>
    </cfRule>
  </conditionalFormatting>
  <conditionalFormatting sqref="AP535">
    <cfRule type="cellIs" dxfId="0" priority="55" operator="lessThan">
      <formula>55</formula>
    </cfRule>
  </conditionalFormatting>
  <conditionalFormatting sqref="AO536">
    <cfRule type="cellIs" dxfId="1" priority="54" operator="lessThan">
      <formula>90</formula>
    </cfRule>
  </conditionalFormatting>
  <conditionalFormatting sqref="AP536">
    <cfRule type="cellIs" dxfId="0" priority="53" operator="lessThan">
      <formula>55</formula>
    </cfRule>
  </conditionalFormatting>
  <conditionalFormatting sqref="AO539">
    <cfRule type="cellIs" dxfId="1" priority="50" operator="lessThan">
      <formula>90</formula>
    </cfRule>
  </conditionalFormatting>
  <conditionalFormatting sqref="AP539">
    <cfRule type="cellIs" dxfId="0" priority="49" operator="lessThan">
      <formula>55</formula>
    </cfRule>
  </conditionalFormatting>
  <conditionalFormatting sqref="AO551">
    <cfRule type="cellIs" dxfId="1" priority="46" operator="lessThan">
      <formula>90</formula>
    </cfRule>
  </conditionalFormatting>
  <conditionalFormatting sqref="AP551">
    <cfRule type="cellIs" dxfId="0" priority="45" operator="lessThan">
      <formula>55</formula>
    </cfRule>
  </conditionalFormatting>
  <conditionalFormatting sqref="AO560">
    <cfRule type="cellIs" dxfId="1" priority="38" operator="lessThan">
      <formula>90</formula>
    </cfRule>
  </conditionalFormatting>
  <conditionalFormatting sqref="AP560">
    <cfRule type="cellIs" dxfId="0" priority="37" operator="lessThan">
      <formula>55</formula>
    </cfRule>
  </conditionalFormatting>
  <conditionalFormatting sqref="AO561">
    <cfRule type="cellIs" dxfId="1" priority="36" operator="lessThan">
      <formula>90</formula>
    </cfRule>
  </conditionalFormatting>
  <conditionalFormatting sqref="AP561">
    <cfRule type="cellIs" dxfId="0" priority="35" operator="lessThan">
      <formula>55</formula>
    </cfRule>
  </conditionalFormatting>
  <conditionalFormatting sqref="AO562">
    <cfRule type="cellIs" dxfId="1" priority="34" operator="lessThan">
      <formula>90</formula>
    </cfRule>
  </conditionalFormatting>
  <conditionalFormatting sqref="AP562">
    <cfRule type="cellIs" dxfId="0" priority="33" operator="lessThan">
      <formula>55</formula>
    </cfRule>
  </conditionalFormatting>
  <conditionalFormatting sqref="AO563">
    <cfRule type="cellIs" dxfId="1" priority="32" operator="lessThan">
      <formula>90</formula>
    </cfRule>
  </conditionalFormatting>
  <conditionalFormatting sqref="AP563">
    <cfRule type="cellIs" dxfId="0" priority="31" operator="lessThan">
      <formula>55</formula>
    </cfRule>
  </conditionalFormatting>
  <conditionalFormatting sqref="AO564">
    <cfRule type="cellIs" dxfId="1" priority="30" operator="lessThan">
      <formula>90</formula>
    </cfRule>
  </conditionalFormatting>
  <conditionalFormatting sqref="AP564">
    <cfRule type="cellIs" dxfId="0" priority="29" operator="lessThan">
      <formula>55</formula>
    </cfRule>
  </conditionalFormatting>
  <conditionalFormatting sqref="AO565">
    <cfRule type="cellIs" dxfId="1" priority="28" operator="lessThan">
      <formula>90</formula>
    </cfRule>
  </conditionalFormatting>
  <conditionalFormatting sqref="AP565">
    <cfRule type="cellIs" dxfId="0" priority="27" operator="lessThan">
      <formula>55</formula>
    </cfRule>
  </conditionalFormatting>
  <conditionalFormatting sqref="AO568">
    <cfRule type="cellIs" dxfId="1" priority="26" operator="lessThan">
      <formula>90</formula>
    </cfRule>
  </conditionalFormatting>
  <conditionalFormatting sqref="AP568">
    <cfRule type="cellIs" dxfId="0" priority="25" operator="lessThan">
      <formula>55</formula>
    </cfRule>
  </conditionalFormatting>
  <conditionalFormatting sqref="AO569">
    <cfRule type="cellIs" dxfId="1" priority="24" operator="lessThan">
      <formula>90</formula>
    </cfRule>
  </conditionalFormatting>
  <conditionalFormatting sqref="AP569">
    <cfRule type="cellIs" dxfId="0" priority="23" operator="lessThan">
      <formula>55</formula>
    </cfRule>
  </conditionalFormatting>
  <conditionalFormatting sqref="AO574">
    <cfRule type="cellIs" dxfId="1" priority="18" operator="lessThan">
      <formula>90</formula>
    </cfRule>
  </conditionalFormatting>
  <conditionalFormatting sqref="AP574">
    <cfRule type="cellIs" dxfId="0" priority="17" operator="lessThan">
      <formula>55</formula>
    </cfRule>
  </conditionalFormatting>
  <conditionalFormatting sqref="AO575">
    <cfRule type="cellIs" dxfId="1" priority="16" operator="lessThan">
      <formula>90</formula>
    </cfRule>
  </conditionalFormatting>
  <conditionalFormatting sqref="AP575">
    <cfRule type="cellIs" dxfId="0" priority="15" operator="lessThan">
      <formula>55</formula>
    </cfRule>
  </conditionalFormatting>
  <conditionalFormatting sqref="AO576">
    <cfRule type="cellIs" dxfId="1" priority="14" operator="lessThan">
      <formula>90</formula>
    </cfRule>
  </conditionalFormatting>
  <conditionalFormatting sqref="AP576">
    <cfRule type="cellIs" dxfId="0" priority="13" operator="lessThan">
      <formula>55</formula>
    </cfRule>
  </conditionalFormatting>
  <conditionalFormatting sqref="AO577">
    <cfRule type="cellIs" dxfId="1" priority="12" operator="lessThan">
      <formula>90</formula>
    </cfRule>
  </conditionalFormatting>
  <conditionalFormatting sqref="AP577">
    <cfRule type="cellIs" dxfId="0" priority="11" operator="lessThan">
      <formula>55</formula>
    </cfRule>
  </conditionalFormatting>
  <conditionalFormatting sqref="AO578">
    <cfRule type="cellIs" dxfId="1" priority="10" operator="lessThan">
      <formula>90</formula>
    </cfRule>
  </conditionalFormatting>
  <conditionalFormatting sqref="AP578">
    <cfRule type="cellIs" dxfId="0" priority="9" operator="lessThan">
      <formula>55</formula>
    </cfRule>
  </conditionalFormatting>
  <conditionalFormatting sqref="AO579">
    <cfRule type="cellIs" dxfId="1" priority="8" operator="lessThan">
      <formula>90</formula>
    </cfRule>
  </conditionalFormatting>
  <conditionalFormatting sqref="AP579">
    <cfRule type="cellIs" dxfId="0" priority="7" operator="lessThan">
      <formula>55</formula>
    </cfRule>
  </conditionalFormatting>
  <conditionalFormatting sqref="AO580">
    <cfRule type="cellIs" dxfId="1" priority="6" operator="lessThan">
      <formula>90</formula>
    </cfRule>
  </conditionalFormatting>
  <conditionalFormatting sqref="AP580">
    <cfRule type="cellIs" dxfId="0" priority="5" operator="lessThan">
      <formula>55</formula>
    </cfRule>
  </conditionalFormatting>
  <conditionalFormatting sqref="AO581">
    <cfRule type="cellIs" dxfId="1" priority="4" operator="lessThan">
      <formula>90</formula>
    </cfRule>
  </conditionalFormatting>
  <conditionalFormatting sqref="AP581">
    <cfRule type="cellIs" dxfId="0" priority="3" operator="lessThan">
      <formula>55</formula>
    </cfRule>
  </conditionalFormatting>
  <conditionalFormatting sqref="AO582">
    <cfRule type="cellIs" dxfId="1" priority="2" operator="lessThan">
      <formula>90</formula>
    </cfRule>
  </conditionalFormatting>
  <conditionalFormatting sqref="AP582">
    <cfRule type="cellIs" dxfId="0" priority="1" operator="lessThan">
      <formula>55</formula>
    </cfRule>
  </conditionalFormatting>
  <conditionalFormatting sqref="AO32:AO33">
    <cfRule type="cellIs" dxfId="1" priority="704" operator="lessThan">
      <formula>90</formula>
    </cfRule>
  </conditionalFormatting>
  <conditionalFormatting sqref="AO39:AO40">
    <cfRule type="cellIs" dxfId="1" priority="694" operator="lessThan">
      <formula>90</formula>
    </cfRule>
  </conditionalFormatting>
  <conditionalFormatting sqref="AO45:AO47">
    <cfRule type="cellIs" dxfId="1" priority="684" operator="lessThan">
      <formula>90</formula>
    </cfRule>
  </conditionalFormatting>
  <conditionalFormatting sqref="AO50:AO51">
    <cfRule type="cellIs" dxfId="1" priority="678" operator="lessThan">
      <formula>90</formula>
    </cfRule>
  </conditionalFormatting>
  <conditionalFormatting sqref="AO106:AO107">
    <cfRule type="cellIs" dxfId="1" priority="568" operator="lessThan">
      <formula>90</formula>
    </cfRule>
  </conditionalFormatting>
  <conditionalFormatting sqref="AO108:AO110">
    <cfRule type="cellIs" dxfId="1" priority="566" operator="lessThan">
      <formula>90</formula>
    </cfRule>
  </conditionalFormatting>
  <conditionalFormatting sqref="AO236:AO237">
    <cfRule type="cellIs" dxfId="1" priority="410" operator="lessThan">
      <formula>90</formula>
    </cfRule>
  </conditionalFormatting>
  <conditionalFormatting sqref="AO239:AO244">
    <cfRule type="cellIs" dxfId="1" priority="406" operator="lessThan">
      <formula>90</formula>
    </cfRule>
  </conditionalFormatting>
  <conditionalFormatting sqref="AO256:AO258">
    <cfRule type="cellIs" dxfId="1" priority="382" operator="lessThan">
      <formula>90</formula>
    </cfRule>
  </conditionalFormatting>
  <conditionalFormatting sqref="AO270:AO271">
    <cfRule type="cellIs" dxfId="1" priority="358" operator="lessThan">
      <formula>90</formula>
    </cfRule>
  </conditionalFormatting>
  <conditionalFormatting sqref="AO275:AO276">
    <cfRule type="cellIs" dxfId="1" priority="350" operator="lessThan">
      <formula>90</formula>
    </cfRule>
  </conditionalFormatting>
  <conditionalFormatting sqref="AO310:AO311">
    <cfRule type="cellIs" dxfId="1" priority="282" operator="lessThan">
      <formula>90</formula>
    </cfRule>
  </conditionalFormatting>
  <conditionalFormatting sqref="AO317:AO318">
    <cfRule type="cellIs" dxfId="1" priority="272" operator="lessThan">
      <formula>90</formula>
    </cfRule>
  </conditionalFormatting>
  <conditionalFormatting sqref="AO328:AO332">
    <cfRule type="cellIs" dxfId="1" priority="252" operator="lessThan">
      <formula>90</formula>
    </cfRule>
  </conditionalFormatting>
  <conditionalFormatting sqref="AO333:AO334">
    <cfRule type="cellIs" dxfId="1" priority="250" operator="lessThan">
      <formula>90</formula>
    </cfRule>
  </conditionalFormatting>
  <conditionalFormatting sqref="AO339:AO340">
    <cfRule type="cellIs" dxfId="1" priority="240" operator="lessThan">
      <formula>90</formula>
    </cfRule>
  </conditionalFormatting>
  <conditionalFormatting sqref="AO381:AO383">
    <cfRule type="cellIs" dxfId="1" priority="158" operator="lessThan">
      <formula>90</formula>
    </cfRule>
  </conditionalFormatting>
  <conditionalFormatting sqref="AO485:AO487">
    <cfRule type="cellIs" dxfId="1" priority="126" operator="lessThan">
      <formula>90</formula>
    </cfRule>
  </conditionalFormatting>
  <conditionalFormatting sqref="AO494:AO497">
    <cfRule type="cellIs" dxfId="1" priority="116" operator="lessThan">
      <formula>90</formula>
    </cfRule>
  </conditionalFormatting>
  <conditionalFormatting sqref="AO501:AO502">
    <cfRule type="cellIs" dxfId="1" priority="108" operator="lessThan">
      <formula>90</formula>
    </cfRule>
  </conditionalFormatting>
  <conditionalFormatting sqref="AO503:AO504">
    <cfRule type="cellIs" dxfId="1" priority="106" operator="lessThan">
      <formula>90</formula>
    </cfRule>
  </conditionalFormatting>
  <conditionalFormatting sqref="AO519:AO520">
    <cfRule type="cellIs" dxfId="1" priority="80" operator="lessThan">
      <formula>90</formula>
    </cfRule>
  </conditionalFormatting>
  <conditionalFormatting sqref="AO537:AO538">
    <cfRule type="cellIs" dxfId="1" priority="52" operator="lessThan">
      <formula>90</formula>
    </cfRule>
  </conditionalFormatting>
  <conditionalFormatting sqref="AO552:AO553">
    <cfRule type="cellIs" dxfId="1" priority="44" operator="lessThan">
      <formula>90</formula>
    </cfRule>
  </conditionalFormatting>
  <conditionalFormatting sqref="AO554:AO557">
    <cfRule type="cellIs" dxfId="1" priority="42" operator="lessThan">
      <formula>90</formula>
    </cfRule>
  </conditionalFormatting>
  <conditionalFormatting sqref="AO558:AO559">
    <cfRule type="cellIs" dxfId="1" priority="40" operator="lessThan">
      <formula>90</formula>
    </cfRule>
  </conditionalFormatting>
  <conditionalFormatting sqref="AO572:AO573">
    <cfRule type="cellIs" dxfId="1" priority="20" operator="lessThan">
      <formula>90</formula>
    </cfRule>
  </conditionalFormatting>
  <conditionalFormatting sqref="AP32:AP33">
    <cfRule type="cellIs" dxfId="0" priority="703" operator="lessThan">
      <formula>55</formula>
    </cfRule>
  </conditionalFormatting>
  <conditionalFormatting sqref="AP39:AP40">
    <cfRule type="cellIs" dxfId="0" priority="693" operator="lessThan">
      <formula>55</formula>
    </cfRule>
  </conditionalFormatting>
  <conditionalFormatting sqref="AP45:AP47">
    <cfRule type="cellIs" dxfId="0" priority="683" operator="lessThan">
      <formula>55</formula>
    </cfRule>
  </conditionalFormatting>
  <conditionalFormatting sqref="AP50:AP51">
    <cfRule type="cellIs" dxfId="0" priority="677" operator="lessThan">
      <formula>55</formula>
    </cfRule>
  </conditionalFormatting>
  <conditionalFormatting sqref="AP106:AP107">
    <cfRule type="cellIs" dxfId="0" priority="567" operator="lessThan">
      <formula>55</formula>
    </cfRule>
  </conditionalFormatting>
  <conditionalFormatting sqref="AP108:AP110">
    <cfRule type="cellIs" dxfId="0" priority="565" operator="lessThan">
      <formula>55</formula>
    </cfRule>
  </conditionalFormatting>
  <conditionalFormatting sqref="AP168:AP169">
    <cfRule type="cellIs" dxfId="1" priority="490" operator="lessThan">
      <formula>90</formula>
    </cfRule>
  </conditionalFormatting>
  <conditionalFormatting sqref="AP171:AP172">
    <cfRule type="cellIs" dxfId="1" priority="486" operator="lessThan">
      <formula>90</formula>
    </cfRule>
  </conditionalFormatting>
  <conditionalFormatting sqref="AP173:AP178">
    <cfRule type="cellIs" dxfId="1" priority="484" operator="lessThan">
      <formula>90</formula>
    </cfRule>
  </conditionalFormatting>
  <conditionalFormatting sqref="AP186:AP187">
    <cfRule type="cellIs" dxfId="1" priority="468" operator="lessThan">
      <formula>90</formula>
    </cfRule>
  </conditionalFormatting>
  <conditionalFormatting sqref="AP190:AP193">
    <cfRule type="cellIs" dxfId="1" priority="462" operator="lessThan">
      <formula>90</formula>
    </cfRule>
  </conditionalFormatting>
  <conditionalFormatting sqref="AP197:AP199">
    <cfRule type="cellIs" dxfId="1" priority="454" operator="lessThan">
      <formula>90</formula>
    </cfRule>
  </conditionalFormatting>
  <conditionalFormatting sqref="AP200:AP201">
    <cfRule type="cellIs" dxfId="1" priority="452" operator="lessThan">
      <formula>90</formula>
    </cfRule>
  </conditionalFormatting>
  <conditionalFormatting sqref="AP205:AP206">
    <cfRule type="cellIs" dxfId="1" priority="444" operator="lessThan">
      <formula>90</formula>
    </cfRule>
  </conditionalFormatting>
  <conditionalFormatting sqref="AP236:AP237">
    <cfRule type="cellIs" dxfId="0" priority="409" operator="lessThan">
      <formula>55</formula>
    </cfRule>
  </conditionalFormatting>
  <conditionalFormatting sqref="AP239:AP244">
    <cfRule type="cellIs" dxfId="0" priority="405" operator="lessThan">
      <formula>55</formula>
    </cfRule>
  </conditionalFormatting>
  <conditionalFormatting sqref="AP256:AP258">
    <cfRule type="cellIs" dxfId="0" priority="381" operator="lessThan">
      <formula>55</formula>
    </cfRule>
  </conditionalFormatting>
  <conditionalFormatting sqref="AP270:AP271">
    <cfRule type="cellIs" dxfId="0" priority="357" operator="lessThan">
      <formula>55</formula>
    </cfRule>
  </conditionalFormatting>
  <conditionalFormatting sqref="AP275:AP276">
    <cfRule type="cellIs" dxfId="0" priority="349" operator="lessThan">
      <formula>55</formula>
    </cfRule>
  </conditionalFormatting>
  <conditionalFormatting sqref="AP310:AP311">
    <cfRule type="cellIs" dxfId="0" priority="281" operator="lessThan">
      <formula>55</formula>
    </cfRule>
  </conditionalFormatting>
  <conditionalFormatting sqref="AP317:AP318">
    <cfRule type="cellIs" dxfId="0" priority="271" operator="lessThan">
      <formula>55</formula>
    </cfRule>
  </conditionalFormatting>
  <conditionalFormatting sqref="AP328:AP332">
    <cfRule type="cellIs" dxfId="0" priority="251" operator="lessThan">
      <formula>55</formula>
    </cfRule>
  </conditionalFormatting>
  <conditionalFormatting sqref="AP333:AP334">
    <cfRule type="cellIs" dxfId="0" priority="249" operator="lessThan">
      <formula>55</formula>
    </cfRule>
  </conditionalFormatting>
  <conditionalFormatting sqref="AP339:AP340">
    <cfRule type="cellIs" dxfId="0" priority="239" operator="lessThan">
      <formula>55</formula>
    </cfRule>
  </conditionalFormatting>
  <conditionalFormatting sqref="AP381:AP383">
    <cfRule type="cellIs" dxfId="0" priority="157" operator="lessThan">
      <formula>55</formula>
    </cfRule>
  </conditionalFormatting>
  <conditionalFormatting sqref="AP485:AP487">
    <cfRule type="cellIs" dxfId="0" priority="125" operator="lessThan">
      <formula>55</formula>
    </cfRule>
  </conditionalFormatting>
  <conditionalFormatting sqref="AP494:AP497">
    <cfRule type="cellIs" dxfId="0" priority="115" operator="lessThan">
      <formula>55</formula>
    </cfRule>
  </conditionalFormatting>
  <conditionalFormatting sqref="AP501:AP502">
    <cfRule type="cellIs" dxfId="0" priority="107" operator="lessThan">
      <formula>55</formula>
    </cfRule>
  </conditionalFormatting>
  <conditionalFormatting sqref="AP503:AP504">
    <cfRule type="cellIs" dxfId="0" priority="105" operator="lessThan">
      <formula>55</formula>
    </cfRule>
  </conditionalFormatting>
  <conditionalFormatting sqref="AP519:AP520">
    <cfRule type="cellIs" dxfId="0" priority="79" operator="lessThan">
      <formula>55</formula>
    </cfRule>
  </conditionalFormatting>
  <conditionalFormatting sqref="AP537:AP538">
    <cfRule type="cellIs" dxfId="0" priority="51" operator="lessThan">
      <formula>55</formula>
    </cfRule>
  </conditionalFormatting>
  <conditionalFormatting sqref="AP552:AP553">
    <cfRule type="cellIs" dxfId="0" priority="43" operator="lessThan">
      <formula>55</formula>
    </cfRule>
  </conditionalFormatting>
  <conditionalFormatting sqref="AP554:AP557">
    <cfRule type="cellIs" dxfId="0" priority="41" operator="lessThan">
      <formula>55</formula>
    </cfRule>
  </conditionalFormatting>
  <conditionalFormatting sqref="AP558:AP559">
    <cfRule type="cellIs" dxfId="0" priority="39" operator="lessThan">
      <formula>55</formula>
    </cfRule>
  </conditionalFormatting>
  <conditionalFormatting sqref="AP572:AP573">
    <cfRule type="cellIs" dxfId="0" priority="19" operator="lessThan">
      <formula>55</formula>
    </cfRule>
  </conditionalFormatting>
  <conditionalFormatting sqref="AQ168:AQ169">
    <cfRule type="cellIs" dxfId="0" priority="489" operator="lessThan">
      <formula>55</formula>
    </cfRule>
  </conditionalFormatting>
  <conditionalFormatting sqref="AQ171:AQ172">
    <cfRule type="cellIs" dxfId="0" priority="485" operator="lessThan">
      <formula>55</formula>
    </cfRule>
  </conditionalFormatting>
  <conditionalFormatting sqref="AQ173:AQ178">
    <cfRule type="cellIs" dxfId="0" priority="483" operator="lessThan">
      <formula>55</formula>
    </cfRule>
  </conditionalFormatting>
  <conditionalFormatting sqref="AQ186:AQ187">
    <cfRule type="cellIs" dxfId="0" priority="467" operator="lessThan">
      <formula>55</formula>
    </cfRule>
  </conditionalFormatting>
  <conditionalFormatting sqref="AQ190:AQ193">
    <cfRule type="cellIs" dxfId="0" priority="461" operator="lessThan">
      <formula>55</formula>
    </cfRule>
  </conditionalFormatting>
  <conditionalFormatting sqref="AQ197:AQ199">
    <cfRule type="cellIs" dxfId="0" priority="453" operator="lessThan">
      <formula>55</formula>
    </cfRule>
  </conditionalFormatting>
  <conditionalFormatting sqref="AQ200:AQ201">
    <cfRule type="cellIs" dxfId="0" priority="451" operator="lessThan">
      <formula>55</formula>
    </cfRule>
  </conditionalFormatting>
  <conditionalFormatting sqref="AQ205:AQ206">
    <cfRule type="cellIs" dxfId="0" priority="443" operator="lessThan">
      <formula>55</formula>
    </cfRule>
  </conditionalFormatting>
  <conditionalFormatting sqref="AO68 AO69">
    <cfRule type="cellIs" dxfId="1" priority="644" operator="lessThan">
      <formula>90</formula>
    </cfRule>
  </conditionalFormatting>
  <conditionalFormatting sqref="AP68 AP69">
    <cfRule type="cellIs" dxfId="0" priority="643" operator="lessThan">
      <formula>55</formula>
    </cfRule>
  </conditionalFormatting>
  <conditionalFormatting sqref="AO70 AO71">
    <cfRule type="cellIs" dxfId="1" priority="642" operator="lessThan">
      <formula>90</formula>
    </cfRule>
  </conditionalFormatting>
  <conditionalFormatting sqref="AP70 AP71">
    <cfRule type="cellIs" dxfId="0" priority="641" operator="lessThan">
      <formula>55</formula>
    </cfRule>
  </conditionalFormatting>
  <conditionalFormatting sqref="AP120 AP207:AP208">
    <cfRule type="cellIs" dxfId="1" priority="544" operator="lessThan">
      <formula>90</formula>
    </cfRule>
  </conditionalFormatting>
  <conditionalFormatting sqref="AQ120 AQ207:AQ208">
    <cfRule type="cellIs" dxfId="0" priority="543" operator="lessThan">
      <formula>55</formula>
    </cfRule>
  </conditionalFormatting>
  <conditionalFormatting sqref="AP133 AP143:AP163">
    <cfRule type="cellIs" dxfId="1" priority="518" operator="lessThan">
      <formula>90</formula>
    </cfRule>
  </conditionalFormatting>
  <conditionalFormatting sqref="AQ133 AQ143:AQ163">
    <cfRule type="cellIs" dxfId="0" priority="517" operator="lessThan">
      <formula>55</formula>
    </cfRule>
  </conditionalFormatting>
  <conditionalFormatting sqref="AP210 AP453:AP482 AP492:AP493 AP509:AP510 AP528:AP530 AP540:AP548 AP588:AP604">
    <cfRule type="cellIs" dxfId="1" priority="440" operator="lessThan">
      <formula>90</formula>
    </cfRule>
  </conditionalFormatting>
  <conditionalFormatting sqref="AQ210 AQ453:AQ482 AQ492:AQ493 AQ509:AQ510 AQ528:AQ530 AQ540:AQ548 AQ588:AQ604">
    <cfRule type="cellIs" dxfId="0" priority="439" operator="lessThan">
      <formula>55</formula>
    </cfRule>
  </conditionalFormatting>
  <conditionalFormatting sqref="AP218 AP221:AP225 AP229:AP235">
    <cfRule type="cellIs" dxfId="1" priority="422" operator="lessThan">
      <formula>90</formula>
    </cfRule>
  </conditionalFormatting>
  <conditionalFormatting sqref="AQ218 AQ221:AQ225 AQ229:AQ235">
    <cfRule type="cellIs" dxfId="0" priority="421" operator="lessThan">
      <formula>55</formula>
    </cfRule>
  </conditionalFormatting>
  <conditionalFormatting sqref="AO262 AO397:AO452">
    <cfRule type="cellIs" dxfId="1" priority="374" operator="lessThan">
      <formula>90</formula>
    </cfRule>
  </conditionalFormatting>
  <conditionalFormatting sqref="AP262 AP397:AP452">
    <cfRule type="cellIs" dxfId="0" priority="373" operator="lessThan">
      <formula>55</formula>
    </cfRule>
  </conditionalFormatting>
  <conditionalFormatting sqref="AO549:AO550 AO566:AO567">
    <cfRule type="cellIs" dxfId="1" priority="48" operator="lessThan">
      <formula>90</formula>
    </cfRule>
  </conditionalFormatting>
  <conditionalFormatting sqref="AP549:AP550 AP566:AP567">
    <cfRule type="cellIs" dxfId="0" priority="47" operator="lessThan">
      <formula>55</formula>
    </cfRule>
  </conditionalFormatting>
  <conditionalFormatting sqref="AO570:AO571 AO583:AO587">
    <cfRule type="cellIs" dxfId="1" priority="22" operator="lessThan">
      <formula>90</formula>
    </cfRule>
  </conditionalFormatting>
  <conditionalFormatting sqref="AP570:AP571 AP583:AP587">
    <cfRule type="cellIs" dxfId="0" priority="21" operator="lessThan">
      <formula>55</formula>
    </cfRule>
  </conditionalFormatting>
  <pageMargins left="0.196527777777778" right="0.161111111111111" top="0.0152777777777778" bottom="0.2125" header="0.5" footer="0.5"/>
  <pageSetup paperSize="9" scale="43" fitToHeight="0" orientation="landscape" horizontalDpi="600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FF"/>
    <pageSetUpPr fitToPage="1"/>
  </sheetPr>
  <dimension ref="A1:AS17"/>
  <sheetViews>
    <sheetView workbookViewId="0">
      <pane xSplit="12" ySplit="1" topLeftCell="M2" activePane="bottomRight" state="frozen"/>
      <selection/>
      <selection pane="topRight"/>
      <selection pane="bottomLeft"/>
      <selection pane="bottomRight" activeCell="I20" sqref="I20"/>
    </sheetView>
  </sheetViews>
  <sheetFormatPr defaultColWidth="9" defaultRowHeight="25" customHeight="1"/>
  <cols>
    <col min="1" max="1" width="11.5" style="17" customWidth="1"/>
    <col min="2" max="2" width="6.625" style="17" hidden="1" customWidth="1"/>
    <col min="3" max="4" width="10.625" style="18" customWidth="1"/>
    <col min="5" max="5" width="8.625" style="18" customWidth="1"/>
    <col min="6" max="6" width="12.625" style="18" customWidth="1"/>
    <col min="7" max="7" width="12.625" style="19" customWidth="1"/>
    <col min="8" max="9" width="10.625" style="18" customWidth="1"/>
    <col min="10" max="10" width="6.625" style="20" customWidth="1"/>
    <col min="11" max="11" width="5.625" style="18" customWidth="1"/>
    <col min="12" max="12" width="6.625" style="20" customWidth="1"/>
    <col min="13" max="13" width="12.625" style="17" customWidth="1"/>
    <col min="14" max="14" width="13.9" style="17" customWidth="1"/>
    <col min="15" max="17" width="12.625" style="17" customWidth="1"/>
    <col min="18" max="19" width="10.625" style="18" hidden="1" customWidth="1"/>
    <col min="20" max="20" width="12.625" style="21" hidden="1" customWidth="1"/>
    <col min="21" max="21" width="12.625" style="17" hidden="1" customWidth="1"/>
    <col min="22" max="23" width="12.625" style="18" hidden="1" customWidth="1"/>
    <col min="24" max="24" width="15.625" style="20" customWidth="1"/>
    <col min="25" max="25" width="8.625" style="22" customWidth="1"/>
    <col min="26" max="27" width="12.625" style="23" customWidth="1"/>
    <col min="28" max="28" width="10.625" style="24" customWidth="1"/>
    <col min="29" max="30" width="10.625" style="17" customWidth="1"/>
    <col min="31" max="31" width="8.625" style="17" customWidth="1"/>
    <col min="32" max="32" width="10.625" style="17" customWidth="1"/>
    <col min="33" max="33" width="11.5" style="17" customWidth="1"/>
    <col min="34" max="40" width="11.5" style="91" customWidth="1"/>
    <col min="41" max="41" width="6.625" style="20" customWidth="1"/>
    <col min="42" max="16384" width="9" style="15"/>
  </cols>
  <sheetData>
    <row r="1" s="15" customFormat="1" customHeight="1" spans="1:45">
      <c r="A1" s="26" t="s">
        <v>384</v>
      </c>
      <c r="B1" s="27" t="s">
        <v>385</v>
      </c>
      <c r="C1" s="28" t="s">
        <v>200</v>
      </c>
      <c r="D1" s="26" t="s">
        <v>386</v>
      </c>
      <c r="E1" s="28" t="s">
        <v>387</v>
      </c>
      <c r="F1" s="28" t="s">
        <v>201</v>
      </c>
      <c r="G1" s="29" t="s">
        <v>202</v>
      </c>
      <c r="H1" s="28" t="s">
        <v>203</v>
      </c>
      <c r="I1" s="30" t="s">
        <v>197</v>
      </c>
      <c r="J1" s="31" t="s">
        <v>204</v>
      </c>
      <c r="K1" s="32" t="s">
        <v>388</v>
      </c>
      <c r="L1" s="33" t="s">
        <v>389</v>
      </c>
      <c r="M1" s="26" t="s">
        <v>205</v>
      </c>
      <c r="N1" s="26" t="s">
        <v>390</v>
      </c>
      <c r="O1" s="26" t="s">
        <v>391</v>
      </c>
      <c r="P1" s="26" t="s">
        <v>392</v>
      </c>
      <c r="Q1" s="28" t="s">
        <v>393</v>
      </c>
      <c r="R1" s="28" t="s">
        <v>394</v>
      </c>
      <c r="S1" s="26" t="s">
        <v>395</v>
      </c>
      <c r="T1" s="26" t="s">
        <v>396</v>
      </c>
      <c r="U1" s="26" t="s">
        <v>397</v>
      </c>
      <c r="V1" s="26" t="s">
        <v>398</v>
      </c>
      <c r="W1" s="28" t="s">
        <v>399</v>
      </c>
      <c r="X1" s="34" t="s">
        <v>400</v>
      </c>
      <c r="Y1" s="92" t="s">
        <v>231</v>
      </c>
      <c r="Z1" s="35" t="s">
        <v>232</v>
      </c>
      <c r="AA1" s="35" t="s">
        <v>233</v>
      </c>
      <c r="AB1" s="36" t="s">
        <v>401</v>
      </c>
      <c r="AC1" s="33" t="s">
        <v>402</v>
      </c>
      <c r="AD1" s="37" t="s">
        <v>403</v>
      </c>
      <c r="AE1" s="37" t="s">
        <v>234</v>
      </c>
      <c r="AF1" s="30" t="s">
        <v>404</v>
      </c>
      <c r="AG1" s="39" t="s">
        <v>622</v>
      </c>
      <c r="AH1" s="39" t="s">
        <v>623</v>
      </c>
      <c r="AI1" s="39" t="s">
        <v>406</v>
      </c>
      <c r="AJ1" s="39" t="s">
        <v>407</v>
      </c>
      <c r="AK1" s="40" t="s">
        <v>408</v>
      </c>
      <c r="AL1" s="39" t="s">
        <v>518</v>
      </c>
      <c r="AM1" s="39" t="s">
        <v>411</v>
      </c>
      <c r="AN1" s="39" t="s">
        <v>412</v>
      </c>
      <c r="AO1" s="41" t="s">
        <v>413</v>
      </c>
      <c r="AP1" s="41" t="s">
        <v>414</v>
      </c>
    </row>
    <row r="2" s="89" customFormat="1" customHeight="1" spans="1:45">
      <c r="A2" s="93"/>
      <c r="B2" s="94"/>
      <c r="C2" s="95"/>
      <c r="D2" s="93"/>
      <c r="E2" s="95"/>
      <c r="F2" s="96"/>
      <c r="G2" s="96"/>
      <c r="H2" s="97"/>
      <c r="I2" s="98"/>
      <c r="J2" s="99"/>
      <c r="K2" s="98"/>
      <c r="L2" s="100"/>
      <c r="M2" s="93"/>
      <c r="N2" s="94"/>
      <c r="O2" s="94"/>
      <c r="P2" s="94"/>
      <c r="Q2" s="101"/>
      <c r="R2" s="101"/>
      <c r="S2" s="94"/>
      <c r="T2" s="94"/>
      <c r="U2" s="94"/>
      <c r="V2" s="93"/>
      <c r="W2" s="101"/>
      <c r="X2" s="100"/>
      <c r="Y2" s="102"/>
      <c r="Z2" s="103">
        <f t="shared" ref="Z2:Z12" si="0">J2*Y2</f>
        <v>0</v>
      </c>
      <c r="AA2" s="103">
        <f t="shared" ref="AA2:AA12" si="1">Z2*7.75</f>
        <v>0</v>
      </c>
      <c r="AB2" s="104"/>
      <c r="AC2" s="93"/>
      <c r="AD2" s="93"/>
      <c r="AE2" s="93"/>
      <c r="AF2" s="98"/>
      <c r="AG2" s="105"/>
      <c r="AH2" s="105"/>
      <c r="AI2" s="105"/>
      <c r="AJ2" s="105"/>
      <c r="AK2" s="105"/>
      <c r="AL2" s="105"/>
      <c r="AM2" s="105"/>
      <c r="AN2" s="105"/>
      <c r="AO2" s="106"/>
      <c r="AP2" s="106"/>
      <c r="AQ2" s="107"/>
      <c r="AR2" s="107"/>
      <c r="AS2" s="107"/>
    </row>
    <row r="3" s="89" customFormat="1" customHeight="1" spans="1:45">
      <c r="A3" s="93"/>
      <c r="B3" s="94"/>
      <c r="C3" s="95"/>
      <c r="D3" s="93"/>
      <c r="E3" s="95"/>
      <c r="F3" s="96"/>
      <c r="G3" s="96"/>
      <c r="H3" s="97"/>
      <c r="I3" s="98"/>
      <c r="J3" s="99"/>
      <c r="K3" s="98"/>
      <c r="L3" s="100"/>
      <c r="M3" s="93"/>
      <c r="N3" s="94"/>
      <c r="O3" s="94"/>
      <c r="P3" s="94"/>
      <c r="Q3" s="101"/>
      <c r="R3" s="101"/>
      <c r="S3" s="94"/>
      <c r="T3" s="94"/>
      <c r="U3" s="94"/>
      <c r="V3" s="93"/>
      <c r="W3" s="101"/>
      <c r="X3" s="100"/>
      <c r="Y3" s="102"/>
      <c r="Z3" s="103">
        <f t="shared" si="0"/>
        <v>0</v>
      </c>
      <c r="AA3" s="103">
        <f t="shared" si="1"/>
        <v>0</v>
      </c>
      <c r="AB3" s="104"/>
      <c r="AC3" s="93"/>
      <c r="AD3" s="93"/>
      <c r="AE3" s="93"/>
      <c r="AF3" s="98"/>
      <c r="AG3" s="105"/>
      <c r="AH3" s="105"/>
      <c r="AI3" s="105"/>
      <c r="AJ3" s="105"/>
      <c r="AK3" s="105"/>
      <c r="AL3" s="105"/>
      <c r="AM3" s="105"/>
      <c r="AN3" s="105"/>
      <c r="AO3" s="106"/>
      <c r="AP3" s="106"/>
      <c r="AQ3" s="107"/>
      <c r="AR3" s="107"/>
      <c r="AS3" s="107"/>
    </row>
    <row r="4" s="89" customFormat="1" customHeight="1" spans="1:45">
      <c r="A4" s="93"/>
      <c r="B4" s="94"/>
      <c r="C4" s="95"/>
      <c r="D4" s="93"/>
      <c r="E4" s="95"/>
      <c r="F4" s="96"/>
      <c r="G4" s="96"/>
      <c r="H4" s="97"/>
      <c r="I4" s="98"/>
      <c r="J4" s="99"/>
      <c r="K4" s="98"/>
      <c r="L4" s="100"/>
      <c r="M4" s="93"/>
      <c r="N4" s="94"/>
      <c r="O4" s="94"/>
      <c r="P4" s="94"/>
      <c r="Q4" s="101"/>
      <c r="R4" s="101"/>
      <c r="S4" s="94"/>
      <c r="T4" s="94"/>
      <c r="U4" s="94"/>
      <c r="V4" s="93"/>
      <c r="W4" s="101"/>
      <c r="X4" s="100"/>
      <c r="Y4" s="102"/>
      <c r="Z4" s="103">
        <f t="shared" si="0"/>
        <v>0</v>
      </c>
      <c r="AA4" s="103">
        <f t="shared" si="1"/>
        <v>0</v>
      </c>
      <c r="AB4" s="104"/>
      <c r="AC4" s="93"/>
      <c r="AD4" s="93"/>
      <c r="AE4" s="93"/>
      <c r="AF4" s="98"/>
      <c r="AG4" s="105"/>
      <c r="AH4" s="105"/>
      <c r="AI4" s="105"/>
      <c r="AJ4" s="105"/>
      <c r="AK4" s="105"/>
      <c r="AL4" s="105"/>
      <c r="AM4" s="105"/>
      <c r="AN4" s="105"/>
      <c r="AO4" s="106"/>
      <c r="AP4" s="106"/>
      <c r="AQ4" s="107"/>
      <c r="AR4" s="107"/>
      <c r="AS4" s="107"/>
    </row>
    <row r="5" s="89" customFormat="1" customHeight="1" spans="1:45">
      <c r="A5" s="93"/>
      <c r="B5" s="94"/>
      <c r="C5" s="95"/>
      <c r="D5" s="93"/>
      <c r="E5" s="95"/>
      <c r="F5" s="96"/>
      <c r="G5" s="96"/>
      <c r="H5" s="97"/>
      <c r="I5" s="98"/>
      <c r="J5" s="99"/>
      <c r="K5" s="98"/>
      <c r="L5" s="100"/>
      <c r="M5" s="93"/>
      <c r="N5" s="94"/>
      <c r="O5" s="94"/>
      <c r="P5" s="94"/>
      <c r="Q5" s="101"/>
      <c r="R5" s="101"/>
      <c r="S5" s="94"/>
      <c r="T5" s="94"/>
      <c r="U5" s="94"/>
      <c r="V5" s="93"/>
      <c r="W5" s="101"/>
      <c r="X5" s="100"/>
      <c r="Y5" s="102"/>
      <c r="Z5" s="103">
        <f t="shared" si="0"/>
        <v>0</v>
      </c>
      <c r="AA5" s="103">
        <f t="shared" si="1"/>
        <v>0</v>
      </c>
      <c r="AB5" s="104"/>
      <c r="AC5" s="93"/>
      <c r="AD5" s="93"/>
      <c r="AE5" s="93"/>
      <c r="AF5" s="98"/>
      <c r="AG5" s="105"/>
      <c r="AH5" s="105"/>
      <c r="AI5" s="105"/>
      <c r="AJ5" s="105"/>
      <c r="AK5" s="105"/>
      <c r="AL5" s="105"/>
      <c r="AM5" s="105"/>
      <c r="AN5" s="105"/>
      <c r="AO5" s="106"/>
      <c r="AP5" s="106"/>
      <c r="AQ5" s="107"/>
      <c r="AR5" s="107"/>
      <c r="AS5" s="107"/>
    </row>
    <row r="6" s="89" customFormat="1" customHeight="1" spans="1:45">
      <c r="A6" s="93"/>
      <c r="B6" s="94"/>
      <c r="C6" s="95"/>
      <c r="D6" s="93"/>
      <c r="E6" s="95"/>
      <c r="F6" s="96"/>
      <c r="G6" s="96"/>
      <c r="H6" s="97"/>
      <c r="I6" s="98"/>
      <c r="J6" s="99"/>
      <c r="K6" s="98"/>
      <c r="L6" s="100"/>
      <c r="M6" s="93"/>
      <c r="N6" s="94"/>
      <c r="O6" s="94"/>
      <c r="P6" s="94"/>
      <c r="Q6" s="101"/>
      <c r="R6" s="101"/>
      <c r="S6" s="94"/>
      <c r="T6" s="94"/>
      <c r="U6" s="94"/>
      <c r="V6" s="93"/>
      <c r="W6" s="101"/>
      <c r="X6" s="100"/>
      <c r="Y6" s="102"/>
      <c r="Z6" s="103">
        <f t="shared" si="0"/>
        <v>0</v>
      </c>
      <c r="AA6" s="103">
        <f t="shared" si="1"/>
        <v>0</v>
      </c>
      <c r="AB6" s="104"/>
      <c r="AC6" s="93"/>
      <c r="AD6" s="93"/>
      <c r="AE6" s="93"/>
      <c r="AF6" s="98"/>
      <c r="AG6" s="105"/>
      <c r="AH6" s="105"/>
      <c r="AI6" s="105"/>
      <c r="AJ6" s="105"/>
      <c r="AK6" s="105"/>
      <c r="AL6" s="105"/>
      <c r="AM6" s="105"/>
      <c r="AN6" s="105"/>
      <c r="AO6" s="106"/>
      <c r="AP6" s="106"/>
      <c r="AQ6" s="107"/>
      <c r="AR6" s="107"/>
      <c r="AS6" s="107"/>
    </row>
    <row r="7" s="89" customFormat="1" customHeight="1" spans="1:45">
      <c r="A7" s="93"/>
      <c r="B7" s="94"/>
      <c r="C7" s="95"/>
      <c r="D7" s="93"/>
      <c r="E7" s="95"/>
      <c r="F7" s="96"/>
      <c r="G7" s="96"/>
      <c r="H7" s="97"/>
      <c r="I7" s="98"/>
      <c r="J7" s="99"/>
      <c r="K7" s="98"/>
      <c r="L7" s="100"/>
      <c r="M7" s="93"/>
      <c r="N7" s="94"/>
      <c r="O7" s="94"/>
      <c r="P7" s="94"/>
      <c r="Q7" s="101"/>
      <c r="R7" s="101"/>
      <c r="S7" s="94"/>
      <c r="T7" s="94"/>
      <c r="U7" s="94"/>
      <c r="V7" s="93"/>
      <c r="W7" s="101"/>
      <c r="X7" s="100"/>
      <c r="Y7" s="102"/>
      <c r="Z7" s="103">
        <f t="shared" si="0"/>
        <v>0</v>
      </c>
      <c r="AA7" s="103">
        <f t="shared" si="1"/>
        <v>0</v>
      </c>
      <c r="AB7" s="104"/>
      <c r="AC7" s="93"/>
      <c r="AD7" s="93"/>
      <c r="AE7" s="93"/>
      <c r="AF7" s="98"/>
      <c r="AG7" s="105"/>
      <c r="AH7" s="105"/>
      <c r="AI7" s="105"/>
      <c r="AJ7" s="105"/>
      <c r="AK7" s="105"/>
      <c r="AL7" s="105"/>
      <c r="AM7" s="105"/>
      <c r="AN7" s="105"/>
      <c r="AO7" s="106"/>
      <c r="AP7" s="106"/>
      <c r="AQ7" s="107"/>
      <c r="AR7" s="107"/>
      <c r="AS7" s="107"/>
    </row>
    <row r="8" s="89" customFormat="1" customHeight="1" spans="1:45">
      <c r="A8" s="93"/>
      <c r="B8" s="94"/>
      <c r="C8" s="95"/>
      <c r="D8" s="93"/>
      <c r="E8" s="95"/>
      <c r="F8" s="96"/>
      <c r="G8" s="96"/>
      <c r="H8" s="97"/>
      <c r="I8" s="98"/>
      <c r="J8" s="99"/>
      <c r="K8" s="98"/>
      <c r="L8" s="100"/>
      <c r="M8" s="93"/>
      <c r="N8" s="94"/>
      <c r="O8" s="94"/>
      <c r="P8" s="94"/>
      <c r="Q8" s="101"/>
      <c r="R8" s="101"/>
      <c r="S8" s="94"/>
      <c r="T8" s="94"/>
      <c r="U8" s="94"/>
      <c r="V8" s="93"/>
      <c r="W8" s="101"/>
      <c r="X8" s="100"/>
      <c r="Y8" s="102"/>
      <c r="Z8" s="103">
        <f t="shared" si="0"/>
        <v>0</v>
      </c>
      <c r="AA8" s="103">
        <f t="shared" si="1"/>
        <v>0</v>
      </c>
      <c r="AB8" s="104"/>
      <c r="AC8" s="93"/>
      <c r="AD8" s="93"/>
      <c r="AE8" s="93"/>
      <c r="AF8" s="98"/>
      <c r="AG8" s="105"/>
      <c r="AH8" s="105"/>
      <c r="AI8" s="105"/>
      <c r="AJ8" s="105"/>
      <c r="AK8" s="105"/>
      <c r="AL8" s="105"/>
      <c r="AM8" s="105"/>
      <c r="AN8" s="105"/>
      <c r="AO8" s="106"/>
      <c r="AP8" s="106"/>
      <c r="AQ8" s="107"/>
      <c r="AR8" s="107"/>
      <c r="AS8" s="107"/>
    </row>
    <row r="9" s="89" customFormat="1" customHeight="1" spans="1:45">
      <c r="A9" s="93"/>
      <c r="B9" s="94"/>
      <c r="C9" s="95"/>
      <c r="D9" s="93"/>
      <c r="E9" s="95"/>
      <c r="F9" s="96"/>
      <c r="G9" s="96"/>
      <c r="H9" s="97"/>
      <c r="I9" s="98"/>
      <c r="J9" s="99"/>
      <c r="K9" s="98"/>
      <c r="L9" s="100"/>
      <c r="M9" s="93"/>
      <c r="N9" s="94"/>
      <c r="O9" s="94"/>
      <c r="P9" s="94"/>
      <c r="Q9" s="101"/>
      <c r="R9" s="101"/>
      <c r="S9" s="94"/>
      <c r="T9" s="94"/>
      <c r="U9" s="94"/>
      <c r="V9" s="93"/>
      <c r="W9" s="101"/>
      <c r="X9" s="100"/>
      <c r="Y9" s="102"/>
      <c r="Z9" s="103">
        <f t="shared" si="0"/>
        <v>0</v>
      </c>
      <c r="AA9" s="103">
        <f t="shared" si="1"/>
        <v>0</v>
      </c>
      <c r="AB9" s="104"/>
      <c r="AC9" s="93"/>
      <c r="AD9" s="93"/>
      <c r="AE9" s="93"/>
      <c r="AF9" s="98"/>
      <c r="AG9" s="105"/>
      <c r="AH9" s="105"/>
      <c r="AI9" s="105"/>
      <c r="AJ9" s="105"/>
      <c r="AK9" s="105"/>
      <c r="AL9" s="105"/>
      <c r="AM9" s="105"/>
      <c r="AN9" s="105"/>
      <c r="AO9" s="106"/>
      <c r="AP9" s="106"/>
      <c r="AQ9" s="107"/>
      <c r="AR9" s="107"/>
      <c r="AS9" s="107"/>
    </row>
    <row r="10" s="89" customFormat="1" customHeight="1" spans="1:45">
      <c r="A10" s="93"/>
      <c r="B10" s="94"/>
      <c r="C10" s="95"/>
      <c r="D10" s="93"/>
      <c r="E10" s="95"/>
      <c r="F10" s="96"/>
      <c r="G10" s="96"/>
      <c r="H10" s="97"/>
      <c r="I10" s="98"/>
      <c r="J10" s="99"/>
      <c r="K10" s="98"/>
      <c r="L10" s="100"/>
      <c r="M10" s="93"/>
      <c r="N10" s="94"/>
      <c r="O10" s="94"/>
      <c r="P10" s="94"/>
      <c r="Q10" s="101"/>
      <c r="R10" s="101"/>
      <c r="S10" s="94"/>
      <c r="T10" s="94"/>
      <c r="U10" s="94"/>
      <c r="V10" s="93"/>
      <c r="W10" s="101"/>
      <c r="X10" s="100"/>
      <c r="Y10" s="102"/>
      <c r="Z10" s="103">
        <f t="shared" si="0"/>
        <v>0</v>
      </c>
      <c r="AA10" s="103">
        <f t="shared" si="1"/>
        <v>0</v>
      </c>
      <c r="AB10" s="104"/>
      <c r="AC10" s="93"/>
      <c r="AD10" s="93"/>
      <c r="AE10" s="93"/>
      <c r="AF10" s="98"/>
      <c r="AG10" s="105"/>
      <c r="AH10" s="105"/>
      <c r="AI10" s="105"/>
      <c r="AJ10" s="105"/>
      <c r="AK10" s="105"/>
      <c r="AL10" s="105"/>
      <c r="AM10" s="105"/>
      <c r="AN10" s="105"/>
      <c r="AO10" s="106"/>
      <c r="AP10" s="106"/>
      <c r="AQ10" s="107"/>
      <c r="AR10" s="107"/>
      <c r="AS10" s="107"/>
    </row>
    <row r="11" s="89" customFormat="1" customHeight="1" spans="1:45">
      <c r="A11" s="93"/>
      <c r="B11" s="94"/>
      <c r="C11" s="95"/>
      <c r="D11" s="93"/>
      <c r="E11" s="95"/>
      <c r="F11" s="96"/>
      <c r="G11" s="96"/>
      <c r="H11" s="97"/>
      <c r="I11" s="98"/>
      <c r="J11" s="99"/>
      <c r="K11" s="98"/>
      <c r="L11" s="100"/>
      <c r="M11" s="93"/>
      <c r="N11" s="94"/>
      <c r="O11" s="94"/>
      <c r="P11" s="94"/>
      <c r="Q11" s="101"/>
      <c r="R11" s="101"/>
      <c r="S11" s="94"/>
      <c r="T11" s="94"/>
      <c r="U11" s="94"/>
      <c r="V11" s="93"/>
      <c r="W11" s="101"/>
      <c r="X11" s="100"/>
      <c r="Y11" s="102"/>
      <c r="Z11" s="103">
        <f t="shared" si="0"/>
        <v>0</v>
      </c>
      <c r="AA11" s="103">
        <f t="shared" si="1"/>
        <v>0</v>
      </c>
      <c r="AB11" s="104"/>
      <c r="AC11" s="93"/>
      <c r="AD11" s="93"/>
      <c r="AE11" s="93"/>
      <c r="AF11" s="98"/>
      <c r="AG11" s="105"/>
      <c r="AH11" s="105"/>
      <c r="AI11" s="105"/>
      <c r="AJ11" s="105"/>
      <c r="AK11" s="105"/>
      <c r="AL11" s="105"/>
      <c r="AM11" s="105"/>
      <c r="AN11" s="105"/>
      <c r="AO11" s="106"/>
      <c r="AP11" s="106"/>
      <c r="AQ11" s="107"/>
      <c r="AR11" s="107"/>
      <c r="AS11" s="107"/>
    </row>
    <row r="12" s="15" customFormat="1" customHeight="1" spans="1:45">
      <c r="A12" s="108"/>
      <c r="B12" s="108"/>
      <c r="C12" s="109"/>
      <c r="D12" s="109"/>
      <c r="E12" s="109"/>
      <c r="F12" s="30"/>
      <c r="G12" s="110"/>
      <c r="H12" s="30"/>
      <c r="I12" s="32"/>
      <c r="J12" s="31"/>
      <c r="K12" s="32"/>
      <c r="L12" s="33"/>
      <c r="M12" s="108"/>
      <c r="N12" s="108"/>
      <c r="O12" s="108"/>
      <c r="P12" s="108"/>
      <c r="Q12" s="108"/>
      <c r="R12" s="30"/>
      <c r="S12" s="30"/>
      <c r="T12" s="28"/>
      <c r="U12" s="108"/>
      <c r="V12" s="30"/>
      <c r="W12" s="30"/>
      <c r="X12" s="33"/>
      <c r="Y12" s="111"/>
      <c r="Z12" s="103">
        <f t="shared" si="0"/>
        <v>0</v>
      </c>
      <c r="AA12" s="103">
        <f t="shared" si="1"/>
        <v>0</v>
      </c>
      <c r="AB12" s="5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12">
        <f>M12-A12</f>
        <v>0</v>
      </c>
      <c r="AP12" s="112">
        <f>M12-AI12</f>
        <v>0</v>
      </c>
    </row>
    <row r="13" s="90" customFormat="1" customHeight="1" spans="1:45">
      <c r="A13" s="113"/>
      <c r="B13" s="113"/>
      <c r="C13" s="30"/>
      <c r="D13" s="30"/>
      <c r="E13" s="30"/>
      <c r="F13" s="30"/>
      <c r="G13" s="110"/>
      <c r="H13" s="30"/>
      <c r="I13" s="30" t="s">
        <v>517</v>
      </c>
      <c r="J13" s="33">
        <f>SUM(J2:J12)</f>
        <v>0</v>
      </c>
      <c r="K13" s="114"/>
      <c r="L13" s="114"/>
      <c r="M13" s="113"/>
      <c r="N13" s="113"/>
      <c r="O13" s="113"/>
      <c r="P13" s="113"/>
      <c r="Q13" s="113"/>
      <c r="R13" s="30"/>
      <c r="S13" s="30"/>
      <c r="T13" s="37"/>
      <c r="U13" s="113"/>
      <c r="V13" s="30"/>
      <c r="W13" s="30"/>
      <c r="X13" s="34"/>
      <c r="Y13" s="111"/>
      <c r="Z13" s="115">
        <f>SUM(Z2:Z12)</f>
        <v>0</v>
      </c>
      <c r="AA13" s="115">
        <f>SUM(AA2:AA12)</f>
        <v>0</v>
      </c>
      <c r="AB13" s="58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33"/>
      <c r="AP13" s="116"/>
    </row>
    <row r="17" customHeight="1" spans="7:7">
      <c r="G17" s="18"/>
    </row>
  </sheetData>
  <sheetProtection formatCells="0" formatColumns="0" formatRows="0" insertRows="0" insertColumns="0" insertHyperlinks="0" deleteColumns="0" deleteRows="0" sort="0" autoFilter="0" pivotTables="0"/>
  <conditionalFormatting sqref="AO2:AO11">
    <cfRule type="cellIs" dxfId="1" priority="86" operator="lessThan">
      <formula>90</formula>
    </cfRule>
  </conditionalFormatting>
  <conditionalFormatting sqref="AP2:AP11">
    <cfRule type="cellIs" dxfId="0" priority="85" operator="lessThan">
      <formula>55</formula>
    </cfRule>
  </conditionalFormatting>
  <pageMargins left="0.196527777777778" right="0.161111111111111" top="0.0152777777777778" bottom="0.2125" header="0.5" footer="0.5"/>
  <pageSetup paperSize="9" scale="43" fitToHeight="0" orientation="landscape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AS70"/>
  <sheetViews>
    <sheetView workbookViewId="0">
      <pane xSplit="11" ySplit="1" topLeftCell="AM63" activePane="bottomRight" state="frozen"/>
      <selection/>
      <selection pane="topRight"/>
      <selection pane="bottomLeft"/>
      <selection pane="bottomRight" activeCell="AR62" sqref="AR62"/>
    </sheetView>
  </sheetViews>
  <sheetFormatPr defaultColWidth="9" defaultRowHeight="25" customHeight="1"/>
  <cols>
    <col min="1" max="1" width="11.5" style="17" customWidth="1"/>
    <col min="2" max="2" width="6.625" style="17" hidden="1" customWidth="1"/>
    <col min="3" max="5" width="8.625" style="18" customWidth="1"/>
    <col min="6" max="6" width="12.625" style="19" customWidth="1"/>
    <col min="7" max="8" width="10.625" style="18" customWidth="1"/>
    <col min="9" max="9" width="10.625" style="20" customWidth="1"/>
    <col min="10" max="10" width="6.625" style="18" customWidth="1"/>
    <col min="11" max="11" width="5.625" style="20" customWidth="1"/>
    <col min="12" max="12" width="5.625" style="17" customWidth="1"/>
    <col min="13" max="14" width="12.625" style="17" customWidth="1"/>
    <col min="15" max="16" width="12.625" style="18" hidden="1" customWidth="1"/>
    <col min="17" max="17" width="12.625" style="21" hidden="1" customWidth="1"/>
    <col min="18" max="18" width="12.625" style="17" hidden="1" customWidth="1"/>
    <col min="19" max="19" width="12.625" style="18" hidden="1" customWidth="1"/>
    <col min="20" max="20" width="12.625" style="20" customWidth="1"/>
    <col min="21" max="21" width="10.625" style="22" hidden="1" customWidth="1"/>
    <col min="22" max="23" width="12.625" style="23" hidden="1" customWidth="1"/>
    <col min="24" max="24" width="15.625" style="24" customWidth="1"/>
    <col min="25" max="25" width="8.625" style="17" customWidth="1"/>
    <col min="26" max="27" width="11.5" style="17" customWidth="1"/>
    <col min="28" max="30" width="11.5" customWidth="1"/>
    <col min="31" max="31" width="8.625" customWidth="1"/>
    <col min="32" max="32" width="11.5" customWidth="1"/>
    <col min="33" max="34" width="6.625" style="25" customWidth="1"/>
    <col min="35" max="35" width="12.125" style="15"/>
    <col min="36" max="39" width="11.25" style="15"/>
    <col min="40" max="40" width="12.125" style="15"/>
    <col min="41" max="16384" width="9" style="15"/>
  </cols>
  <sheetData>
    <row r="1" s="15" customFormat="1" customHeight="1" spans="1:45">
      <c r="A1" s="26" t="s">
        <v>384</v>
      </c>
      <c r="B1" s="27" t="s">
        <v>385</v>
      </c>
      <c r="C1" s="28" t="s">
        <v>200</v>
      </c>
      <c r="D1" s="26" t="s">
        <v>386</v>
      </c>
      <c r="E1" s="28" t="s">
        <v>387</v>
      </c>
      <c r="F1" s="28" t="s">
        <v>201</v>
      </c>
      <c r="G1" s="29" t="s">
        <v>202</v>
      </c>
      <c r="H1" s="28" t="s">
        <v>203</v>
      </c>
      <c r="I1" s="30" t="s">
        <v>197</v>
      </c>
      <c r="J1" s="31" t="s">
        <v>204</v>
      </c>
      <c r="K1" s="32" t="s">
        <v>388</v>
      </c>
      <c r="L1" s="33" t="s">
        <v>389</v>
      </c>
      <c r="M1" s="26" t="s">
        <v>205</v>
      </c>
      <c r="N1" s="26" t="s">
        <v>390</v>
      </c>
      <c r="O1" s="26" t="s">
        <v>391</v>
      </c>
      <c r="P1" s="26" t="s">
        <v>392</v>
      </c>
      <c r="Q1" s="26" t="s">
        <v>393</v>
      </c>
      <c r="R1" s="28" t="s">
        <v>394</v>
      </c>
      <c r="S1" s="28" t="s">
        <v>395</v>
      </c>
      <c r="T1" s="28" t="s">
        <v>396</v>
      </c>
      <c r="U1" s="26" t="s">
        <v>397</v>
      </c>
      <c r="V1" s="28" t="s">
        <v>398</v>
      </c>
      <c r="W1" s="28" t="s">
        <v>399</v>
      </c>
      <c r="X1" s="34" t="s">
        <v>400</v>
      </c>
      <c r="Y1" s="35" t="s">
        <v>231</v>
      </c>
      <c r="Z1" s="35" t="s">
        <v>232</v>
      </c>
      <c r="AA1" s="35" t="s">
        <v>233</v>
      </c>
      <c r="AB1" s="36" t="s">
        <v>401</v>
      </c>
      <c r="AC1" s="33" t="s">
        <v>402</v>
      </c>
      <c r="AD1" s="37" t="s">
        <v>403</v>
      </c>
      <c r="AE1" s="37" t="s">
        <v>234</v>
      </c>
      <c r="AF1" s="30" t="s">
        <v>404</v>
      </c>
      <c r="AG1" s="38" t="s">
        <v>622</v>
      </c>
      <c r="AH1" s="38" t="s">
        <v>623</v>
      </c>
      <c r="AI1" s="39" t="s">
        <v>406</v>
      </c>
      <c r="AJ1" s="39" t="s">
        <v>407</v>
      </c>
      <c r="AK1" s="40" t="s">
        <v>408</v>
      </c>
      <c r="AL1" s="39" t="s">
        <v>409</v>
      </c>
      <c r="AM1" s="39" t="s">
        <v>410</v>
      </c>
      <c r="AN1" s="39" t="s">
        <v>411</v>
      </c>
      <c r="AO1" s="41" t="s">
        <v>412</v>
      </c>
      <c r="AP1" s="41" t="s">
        <v>413</v>
      </c>
      <c r="AQ1" s="42" t="s">
        <v>414</v>
      </c>
      <c r="AR1" s="42" t="s">
        <v>991</v>
      </c>
    </row>
    <row r="2" s="16" customFormat="1" customHeight="1" spans="1:45">
      <c r="A2" s="43">
        <v>45869</v>
      </c>
      <c r="B2" s="43" t="str">
        <f ca="1" t="shared" ref="B2:B19" si="0">IF(TODAY()&gt;=A2,IF(R2="","未",""),"")</f>
        <v>未</v>
      </c>
      <c r="C2" s="44" t="s">
        <v>237</v>
      </c>
      <c r="D2" s="43" t="s">
        <v>427</v>
      </c>
      <c r="E2" s="44" t="s">
        <v>428</v>
      </c>
      <c r="F2" s="45">
        <v>10108291</v>
      </c>
      <c r="G2" s="45">
        <v>202520972529</v>
      </c>
      <c r="H2" s="46" t="s">
        <v>91</v>
      </c>
      <c r="I2" s="47" t="str">
        <f>VLOOKUP(H2,名称!A:C,2,0)</f>
        <v>马里奥和他的蘑菇</v>
      </c>
      <c r="J2" s="48">
        <v>3204</v>
      </c>
      <c r="K2" s="47">
        <f>VLOOKUP(H2,名称!A:D,3,0)</f>
        <v>6</v>
      </c>
      <c r="L2" s="49">
        <f t="shared" ref="L2:L19" si="1">J2/K2</f>
        <v>534</v>
      </c>
      <c r="M2" s="43">
        <v>46050</v>
      </c>
      <c r="N2" s="43">
        <f t="shared" ref="N2:N19" si="2">M2-2</f>
        <v>46048</v>
      </c>
      <c r="O2" s="43"/>
      <c r="P2" s="43" t="s">
        <v>624</v>
      </c>
      <c r="Q2" s="46" t="s">
        <v>430</v>
      </c>
      <c r="R2" s="46"/>
      <c r="S2" s="43"/>
      <c r="T2" s="43"/>
      <c r="U2" s="43"/>
      <c r="V2" s="43"/>
      <c r="W2" s="46"/>
      <c r="X2" s="49"/>
      <c r="Y2" s="50">
        <v>1.422</v>
      </c>
      <c r="Z2" s="51">
        <f t="shared" ref="Z2:Z19" si="3">J2*Y2</f>
        <v>4556.09</v>
      </c>
      <c r="AA2" s="51">
        <f t="shared" ref="AA2:AA19" si="4">Z2*7.75</f>
        <v>35309.7</v>
      </c>
      <c r="AB2" s="52">
        <v>46030</v>
      </c>
      <c r="AC2" s="43"/>
      <c r="AD2" s="43"/>
      <c r="AE2" s="43" t="str">
        <f>VLOOKUP(H2,名称!A:D,4,0)</f>
        <v>KIK</v>
      </c>
      <c r="AF2" s="47"/>
      <c r="AG2" s="53"/>
      <c r="AH2" s="53"/>
      <c r="AI2" s="53"/>
      <c r="AJ2" s="53"/>
      <c r="AK2" s="53"/>
      <c r="AL2" s="53"/>
      <c r="AM2" s="53"/>
      <c r="AN2" s="53">
        <v>46029</v>
      </c>
      <c r="AO2" s="54">
        <f t="shared" ref="AO2:AO19" si="5">M2-A2</f>
        <v>181</v>
      </c>
      <c r="AP2" s="54">
        <f t="shared" ref="AP2:AP19" si="6">M2-AI2</f>
        <v>46050</v>
      </c>
      <c r="AQ2" s="55"/>
      <c r="AR2" s="55"/>
      <c r="AS2" s="56"/>
    </row>
    <row r="3" s="16" customFormat="1" customHeight="1" spans="1:45">
      <c r="A3" s="43">
        <v>45812</v>
      </c>
      <c r="B3" s="43" t="str">
        <f ca="1" t="shared" si="0"/>
        <v/>
      </c>
      <c r="C3" s="44" t="s">
        <v>237</v>
      </c>
      <c r="D3" s="43" t="s">
        <v>427</v>
      </c>
      <c r="E3" s="44" t="s">
        <v>727</v>
      </c>
      <c r="F3" s="45">
        <v>10103300</v>
      </c>
      <c r="G3" s="45" t="s">
        <v>992</v>
      </c>
      <c r="H3" s="46" t="s">
        <v>44</v>
      </c>
      <c r="I3" s="47" t="str">
        <f>VLOOKUP(H3,名称!A:C,2,0)</f>
        <v>JD LNS圆轮拖拉机</v>
      </c>
      <c r="J3" s="48">
        <v>2</v>
      </c>
      <c r="K3" s="47">
        <f>VLOOKUP(H3,名称!A:D,3,0)</f>
        <v>2</v>
      </c>
      <c r="L3" s="49">
        <f t="shared" si="1"/>
        <v>1</v>
      </c>
      <c r="M3" s="43">
        <v>45812</v>
      </c>
      <c r="N3" s="43">
        <f t="shared" si="2"/>
        <v>45810</v>
      </c>
      <c r="O3" s="43">
        <v>45812</v>
      </c>
      <c r="P3" s="43" t="s">
        <v>993</v>
      </c>
      <c r="Q3" s="46" t="s">
        <v>994</v>
      </c>
      <c r="R3" s="46" t="s">
        <v>995</v>
      </c>
      <c r="S3" s="43"/>
      <c r="T3" s="43"/>
      <c r="U3" s="43"/>
      <c r="V3" s="43"/>
      <c r="W3" s="46" t="s">
        <v>522</v>
      </c>
      <c r="X3" s="49"/>
      <c r="Y3" s="57"/>
      <c r="Z3" s="51">
        <f t="shared" si="3"/>
        <v>0</v>
      </c>
      <c r="AA3" s="51">
        <f t="shared" si="4"/>
        <v>0</v>
      </c>
      <c r="AB3" s="58"/>
      <c r="AC3" s="43"/>
      <c r="AD3" s="43"/>
      <c r="AE3" s="43" t="str">
        <f>VLOOKUP(H3,名称!A:D,4,0)</f>
        <v>KIK</v>
      </c>
      <c r="AF3" s="47"/>
      <c r="AG3" s="53"/>
      <c r="AH3" s="53"/>
      <c r="AI3" s="53"/>
      <c r="AJ3" s="53"/>
      <c r="AK3" s="53"/>
      <c r="AL3" s="53"/>
      <c r="AM3" s="53"/>
      <c r="AN3" s="53"/>
      <c r="AO3" s="54">
        <f t="shared" si="5"/>
        <v>0</v>
      </c>
      <c r="AP3" s="54">
        <f t="shared" si="6"/>
        <v>45812</v>
      </c>
      <c r="AQ3" s="55"/>
      <c r="AR3" s="55"/>
    </row>
    <row r="4" s="16" customFormat="1" customHeight="1" spans="1:45">
      <c r="A4" s="43">
        <v>45881</v>
      </c>
      <c r="B4" s="43" t="str">
        <f ca="1" t="shared" si="0"/>
        <v/>
      </c>
      <c r="C4" s="44" t="s">
        <v>237</v>
      </c>
      <c r="D4" s="43"/>
      <c r="E4" s="44" t="s">
        <v>428</v>
      </c>
      <c r="F4" s="45">
        <v>10108952</v>
      </c>
      <c r="G4" s="45" t="s">
        <v>996</v>
      </c>
      <c r="H4" s="46" t="s">
        <v>62</v>
      </c>
      <c r="I4" s="47" t="str">
        <f>VLOOKUP(H4,名称!A:C,2,0)</f>
        <v>泡泡壶</v>
      </c>
      <c r="J4" s="48">
        <v>2</v>
      </c>
      <c r="K4" s="47">
        <f>VLOOKUP(H4,名称!A:D,3,0)</f>
        <v>4</v>
      </c>
      <c r="L4" s="49">
        <f t="shared" si="1"/>
        <v>0.5</v>
      </c>
      <c r="M4" s="43">
        <v>45881</v>
      </c>
      <c r="N4" s="43">
        <f t="shared" si="2"/>
        <v>45879</v>
      </c>
      <c r="O4" s="43">
        <v>45882</v>
      </c>
      <c r="P4" s="43" t="s">
        <v>630</v>
      </c>
      <c r="Q4" s="46" t="s">
        <v>430</v>
      </c>
      <c r="R4" s="46" t="s">
        <v>649</v>
      </c>
      <c r="S4" s="43"/>
      <c r="T4" s="43"/>
      <c r="U4" s="43"/>
      <c r="V4" s="43"/>
      <c r="W4" s="46"/>
      <c r="X4" s="49"/>
      <c r="Y4" s="57">
        <v>3.243</v>
      </c>
      <c r="Z4" s="51">
        <f t="shared" si="3"/>
        <v>6.49</v>
      </c>
      <c r="AA4" s="51">
        <f t="shared" si="4"/>
        <v>50.3</v>
      </c>
      <c r="AB4" s="58"/>
      <c r="AC4" s="43"/>
      <c r="AD4" s="43"/>
      <c r="AE4" s="43" t="str">
        <f>VLOOKUP(H4,名称!A:D,4,0)</f>
        <v>KIK</v>
      </c>
      <c r="AF4" s="47"/>
      <c r="AG4" s="53"/>
      <c r="AH4" s="53"/>
      <c r="AI4" s="53">
        <v>46059</v>
      </c>
      <c r="AJ4" s="53"/>
      <c r="AK4" s="53"/>
      <c r="AL4" s="53"/>
      <c r="AM4" s="53"/>
      <c r="AN4" s="53"/>
      <c r="AO4" s="54">
        <f t="shared" si="5"/>
        <v>0</v>
      </c>
      <c r="AP4" s="54">
        <f t="shared" si="6"/>
        <v>-178</v>
      </c>
      <c r="AQ4" s="55"/>
      <c r="AR4" s="55"/>
    </row>
    <row r="5" s="16" customFormat="1" customHeight="1" spans="1:45">
      <c r="A5" s="43">
        <v>46049</v>
      </c>
      <c r="B5" s="43" t="str">
        <f ca="1" t="shared" si="0"/>
        <v>未</v>
      </c>
      <c r="C5" s="44" t="s">
        <v>248</v>
      </c>
      <c r="D5" s="43" t="s">
        <v>421</v>
      </c>
      <c r="E5" s="44" t="s">
        <v>438</v>
      </c>
      <c r="F5" s="45">
        <v>10119985</v>
      </c>
      <c r="G5" s="45">
        <v>4500032230</v>
      </c>
      <c r="H5" s="46" t="s">
        <v>107</v>
      </c>
      <c r="I5" s="47" t="str">
        <f>VLOOKUP(H5,名称!A:C,2,0)</f>
        <v>农场女孩套装</v>
      </c>
      <c r="J5" s="48">
        <v>1048</v>
      </c>
      <c r="K5" s="47">
        <f>VLOOKUP(H5,名称!A:D,3,0)</f>
        <v>4</v>
      </c>
      <c r="L5" s="49">
        <f t="shared" si="1"/>
        <v>262</v>
      </c>
      <c r="M5" s="43">
        <v>46176</v>
      </c>
      <c r="N5" s="43">
        <f t="shared" si="2"/>
        <v>46174</v>
      </c>
      <c r="O5" s="43"/>
      <c r="P5" s="43" t="s">
        <v>435</v>
      </c>
      <c r="Q5" s="46" t="s">
        <v>424</v>
      </c>
      <c r="R5" s="46"/>
      <c r="S5" s="43"/>
      <c r="T5" s="43" t="s">
        <v>452</v>
      </c>
      <c r="U5" s="43"/>
      <c r="V5" s="43"/>
      <c r="W5" s="46"/>
      <c r="X5" s="49"/>
      <c r="Y5" s="57">
        <v>4.857</v>
      </c>
      <c r="Z5" s="51">
        <f t="shared" si="3"/>
        <v>5090.14</v>
      </c>
      <c r="AA5" s="51">
        <f t="shared" si="4"/>
        <v>39448.59</v>
      </c>
      <c r="AB5" s="52">
        <v>46079</v>
      </c>
      <c r="AC5" s="43"/>
      <c r="AD5" s="43"/>
      <c r="AE5" s="43" t="str">
        <f>VLOOKUP(H5,名称!A:D,4,0)</f>
        <v>KIK</v>
      </c>
      <c r="AF5" s="47"/>
      <c r="AG5" s="53"/>
      <c r="AH5" s="53"/>
      <c r="AI5" s="53"/>
      <c r="AJ5" s="53"/>
      <c r="AK5" s="53"/>
      <c r="AL5" s="53"/>
      <c r="AM5" s="53"/>
      <c r="AN5" s="53"/>
      <c r="AO5" s="54">
        <f t="shared" si="5"/>
        <v>127</v>
      </c>
      <c r="AP5" s="54">
        <f t="shared" si="6"/>
        <v>46176</v>
      </c>
      <c r="AQ5" s="55"/>
      <c r="AR5" s="55"/>
    </row>
    <row r="6" s="16" customFormat="1" customHeight="1" spans="1:45">
      <c r="A6" s="43">
        <v>46049</v>
      </c>
      <c r="B6" s="43" t="str">
        <f ca="1" t="shared" si="0"/>
        <v>未</v>
      </c>
      <c r="C6" s="44" t="s">
        <v>248</v>
      </c>
      <c r="D6" s="43" t="s">
        <v>421</v>
      </c>
      <c r="E6" s="44" t="s">
        <v>438</v>
      </c>
      <c r="F6" s="45">
        <v>10119985</v>
      </c>
      <c r="G6" s="45">
        <v>4500032230</v>
      </c>
      <c r="H6" s="46" t="s">
        <v>105</v>
      </c>
      <c r="I6" s="47" t="str">
        <f>VLOOKUP(H6,名称!A:C,2,0)</f>
        <v>农场男孩套装</v>
      </c>
      <c r="J6" s="48">
        <v>1500</v>
      </c>
      <c r="K6" s="47">
        <f>VLOOKUP(H6,名称!A:D,3,0)</f>
        <v>4</v>
      </c>
      <c r="L6" s="49">
        <f t="shared" si="1"/>
        <v>375</v>
      </c>
      <c r="M6" s="43">
        <v>46148</v>
      </c>
      <c r="N6" s="43">
        <f t="shared" si="2"/>
        <v>46146</v>
      </c>
      <c r="O6" s="43"/>
      <c r="P6" s="43" t="s">
        <v>423</v>
      </c>
      <c r="Q6" s="46" t="s">
        <v>424</v>
      </c>
      <c r="R6" s="46"/>
      <c r="S6" s="43"/>
      <c r="T6" s="43" t="s">
        <v>452</v>
      </c>
      <c r="U6" s="43"/>
      <c r="V6" s="43"/>
      <c r="W6" s="46"/>
      <c r="X6" s="49"/>
      <c r="Y6" s="57">
        <v>2.934</v>
      </c>
      <c r="Z6" s="51">
        <f t="shared" si="3"/>
        <v>4401</v>
      </c>
      <c r="AA6" s="51">
        <f t="shared" si="4"/>
        <v>34107.75</v>
      </c>
      <c r="AB6" s="52">
        <v>46079</v>
      </c>
      <c r="AC6" s="43"/>
      <c r="AD6" s="43"/>
      <c r="AE6" s="43" t="str">
        <f>VLOOKUP(H6,名称!A:D,4,0)</f>
        <v>KIK</v>
      </c>
      <c r="AF6" s="47"/>
      <c r="AG6" s="53"/>
      <c r="AH6" s="53"/>
      <c r="AI6" s="53"/>
      <c r="AJ6" s="53"/>
      <c r="AK6" s="53"/>
      <c r="AL6" s="53"/>
      <c r="AM6" s="53"/>
      <c r="AN6" s="53"/>
      <c r="AO6" s="54">
        <f t="shared" si="5"/>
        <v>99</v>
      </c>
      <c r="AP6" s="54">
        <f t="shared" si="6"/>
        <v>46148</v>
      </c>
      <c r="AQ6" s="55"/>
      <c r="AR6" s="55"/>
    </row>
    <row r="7" s="16" customFormat="1" customHeight="1" spans="1:45">
      <c r="A7" s="43">
        <v>46049</v>
      </c>
      <c r="B7" s="43" t="str">
        <f ca="1" t="shared" si="0"/>
        <v>未</v>
      </c>
      <c r="C7" s="44" t="s">
        <v>248</v>
      </c>
      <c r="D7" s="43" t="s">
        <v>421</v>
      </c>
      <c r="E7" s="44" t="s">
        <v>438</v>
      </c>
      <c r="F7" s="45">
        <v>10119985</v>
      </c>
      <c r="G7" s="45">
        <v>4500032230</v>
      </c>
      <c r="H7" s="46" t="s">
        <v>107</v>
      </c>
      <c r="I7" s="47" t="str">
        <f>VLOOKUP(H7,名称!A:C,2,0)</f>
        <v>农场女孩套装</v>
      </c>
      <c r="J7" s="48">
        <v>452</v>
      </c>
      <c r="K7" s="47">
        <f>VLOOKUP(H7,名称!A:D,3,0)</f>
        <v>4</v>
      </c>
      <c r="L7" s="49">
        <f t="shared" si="1"/>
        <v>113</v>
      </c>
      <c r="M7" s="43">
        <v>46148</v>
      </c>
      <c r="N7" s="43">
        <f t="shared" si="2"/>
        <v>46146</v>
      </c>
      <c r="O7" s="43"/>
      <c r="P7" s="43" t="s">
        <v>423</v>
      </c>
      <c r="Q7" s="46" t="s">
        <v>424</v>
      </c>
      <c r="R7" s="46"/>
      <c r="S7" s="43"/>
      <c r="T7" s="43" t="s">
        <v>452</v>
      </c>
      <c r="U7" s="43"/>
      <c r="V7" s="43"/>
      <c r="W7" s="46"/>
      <c r="X7" s="49"/>
      <c r="Y7" s="57">
        <v>4.857</v>
      </c>
      <c r="Z7" s="51">
        <f t="shared" si="3"/>
        <v>2195.36</v>
      </c>
      <c r="AA7" s="51">
        <f t="shared" si="4"/>
        <v>17014.04</v>
      </c>
      <c r="AB7" s="52">
        <v>46079</v>
      </c>
      <c r="AC7" s="43"/>
      <c r="AD7" s="43"/>
      <c r="AE7" s="43" t="str">
        <f>VLOOKUP(H7,名称!A:D,4,0)</f>
        <v>KIK</v>
      </c>
      <c r="AF7" s="47"/>
      <c r="AG7" s="53"/>
      <c r="AH7" s="53"/>
      <c r="AI7" s="53"/>
      <c r="AJ7" s="53"/>
      <c r="AK7" s="53"/>
      <c r="AL7" s="53"/>
      <c r="AM7" s="53"/>
      <c r="AN7" s="53"/>
      <c r="AO7" s="54">
        <f t="shared" si="5"/>
        <v>99</v>
      </c>
      <c r="AP7" s="54">
        <f t="shared" si="6"/>
        <v>46148</v>
      </c>
      <c r="AQ7" s="55"/>
      <c r="AR7" s="55"/>
    </row>
    <row r="8" s="16" customFormat="1" customHeight="1" spans="1:45">
      <c r="A8" s="43">
        <v>46049</v>
      </c>
      <c r="B8" s="43" t="str">
        <f ca="1" t="shared" si="0"/>
        <v>未</v>
      </c>
      <c r="C8" s="44" t="s">
        <v>248</v>
      </c>
      <c r="D8" s="43" t="s">
        <v>421</v>
      </c>
      <c r="E8" s="44" t="s">
        <v>438</v>
      </c>
      <c r="F8" s="45">
        <v>10119985</v>
      </c>
      <c r="G8" s="45">
        <v>4500032230</v>
      </c>
      <c r="H8" s="46" t="s">
        <v>105</v>
      </c>
      <c r="I8" s="47" t="str">
        <f>VLOOKUP(H8,名称!A:C,2,0)</f>
        <v>农场男孩套装</v>
      </c>
      <c r="J8" s="48">
        <v>900</v>
      </c>
      <c r="K8" s="47">
        <f>VLOOKUP(H8,名称!A:D,3,0)</f>
        <v>4</v>
      </c>
      <c r="L8" s="49">
        <f t="shared" si="1"/>
        <v>225</v>
      </c>
      <c r="M8" s="43">
        <v>46176</v>
      </c>
      <c r="N8" s="43">
        <f t="shared" si="2"/>
        <v>46174</v>
      </c>
      <c r="O8" s="43"/>
      <c r="P8" s="43" t="s">
        <v>435</v>
      </c>
      <c r="Q8" s="46" t="s">
        <v>424</v>
      </c>
      <c r="R8" s="46"/>
      <c r="S8" s="43"/>
      <c r="T8" s="43" t="s">
        <v>452</v>
      </c>
      <c r="U8" s="43"/>
      <c r="V8" s="43"/>
      <c r="W8" s="46"/>
      <c r="X8" s="49"/>
      <c r="Y8" s="57">
        <v>2.934</v>
      </c>
      <c r="Z8" s="51">
        <f t="shared" si="3"/>
        <v>2640.6</v>
      </c>
      <c r="AA8" s="51">
        <f t="shared" si="4"/>
        <v>20464.65</v>
      </c>
      <c r="AB8" s="52">
        <v>46079</v>
      </c>
      <c r="AC8" s="43"/>
      <c r="AD8" s="43"/>
      <c r="AE8" s="43" t="str">
        <f>VLOOKUP(H8,名称!A:D,4,0)</f>
        <v>KIK</v>
      </c>
      <c r="AF8" s="47"/>
      <c r="AG8" s="53"/>
      <c r="AH8" s="53"/>
      <c r="AI8" s="53"/>
      <c r="AJ8" s="53"/>
      <c r="AK8" s="53"/>
      <c r="AL8" s="53"/>
      <c r="AM8" s="53"/>
      <c r="AN8" s="53"/>
      <c r="AO8" s="54">
        <f t="shared" si="5"/>
        <v>127</v>
      </c>
      <c r="AP8" s="54">
        <f t="shared" si="6"/>
        <v>46176</v>
      </c>
      <c r="AQ8" s="55"/>
      <c r="AR8" s="55"/>
    </row>
    <row r="9" s="16" customFormat="1" customHeight="1" spans="1:45">
      <c r="A9" s="43">
        <v>46037</v>
      </c>
      <c r="B9" s="43" t="str">
        <f ca="1" t="shared" si="0"/>
        <v>未</v>
      </c>
      <c r="C9" s="44" t="s">
        <v>237</v>
      </c>
      <c r="D9" s="43" t="s">
        <v>427</v>
      </c>
      <c r="E9" s="44" t="s">
        <v>428</v>
      </c>
      <c r="F9" s="45">
        <v>10119018</v>
      </c>
      <c r="G9" s="45">
        <v>202601272243</v>
      </c>
      <c r="H9" s="46" t="s">
        <v>142</v>
      </c>
      <c r="I9" s="47" t="str">
        <f>VLOOKUP(H9,名称!A:C,2,0)</f>
        <v>浮水马里奥</v>
      </c>
      <c r="J9" s="48">
        <v>3999</v>
      </c>
      <c r="K9" s="47">
        <f>VLOOKUP(H9,名称!A:D,3,0)</f>
        <v>3</v>
      </c>
      <c r="L9" s="49">
        <f t="shared" si="1"/>
        <v>1333</v>
      </c>
      <c r="M9" s="43">
        <v>46176</v>
      </c>
      <c r="N9" s="43">
        <f t="shared" si="2"/>
        <v>46174</v>
      </c>
      <c r="O9" s="43"/>
      <c r="P9" s="43" t="s">
        <v>435</v>
      </c>
      <c r="Q9" s="46" t="s">
        <v>430</v>
      </c>
      <c r="R9" s="46"/>
      <c r="S9" s="43"/>
      <c r="T9" s="43"/>
      <c r="U9" s="43"/>
      <c r="V9" s="43"/>
      <c r="W9" s="46"/>
      <c r="X9" s="49"/>
      <c r="Y9" s="57">
        <v>3.182</v>
      </c>
      <c r="Z9" s="51">
        <f t="shared" si="3"/>
        <v>12724.82</v>
      </c>
      <c r="AA9" s="51">
        <f t="shared" si="4"/>
        <v>98617.36</v>
      </c>
      <c r="AB9" s="52">
        <v>46098</v>
      </c>
      <c r="AC9" s="43"/>
      <c r="AD9" s="43"/>
      <c r="AE9" s="43" t="str">
        <f>VLOOKUP(H9,名称!A:D,4,0)</f>
        <v>KIK</v>
      </c>
      <c r="AF9" s="47"/>
      <c r="AG9" s="53"/>
      <c r="AH9" s="53"/>
      <c r="AI9" s="53"/>
      <c r="AJ9" s="53"/>
      <c r="AK9" s="53"/>
      <c r="AL9" s="53"/>
      <c r="AM9" s="53"/>
      <c r="AN9" s="53"/>
      <c r="AO9" s="54">
        <f t="shared" si="5"/>
        <v>139</v>
      </c>
      <c r="AP9" s="54">
        <f t="shared" si="6"/>
        <v>46176</v>
      </c>
      <c r="AQ9" s="55"/>
      <c r="AR9" s="55"/>
    </row>
    <row r="10" s="16" customFormat="1" customHeight="1" spans="1:45">
      <c r="A10" s="43">
        <v>46031</v>
      </c>
      <c r="B10" s="43" t="str">
        <f ca="1" t="shared" si="0"/>
        <v/>
      </c>
      <c r="C10" s="44" t="s">
        <v>271</v>
      </c>
      <c r="D10" s="43" t="s">
        <v>894</v>
      </c>
      <c r="E10" s="44" t="s">
        <v>438</v>
      </c>
      <c r="F10" s="45">
        <v>10118672</v>
      </c>
      <c r="G10" s="45">
        <v>56759</v>
      </c>
      <c r="H10" s="46" t="s">
        <v>50</v>
      </c>
      <c r="I10" s="47" t="str">
        <f>VLOOKUP(H10,名称!A:C,2,0)</f>
        <v>布鲁伊家族沐浴玩具</v>
      </c>
      <c r="J10" s="48">
        <f>600-600</f>
        <v>0</v>
      </c>
      <c r="K10" s="47">
        <f>VLOOKUP(H10,名称!A:D,3,0)</f>
        <v>2</v>
      </c>
      <c r="L10" s="49">
        <f t="shared" si="1"/>
        <v>0</v>
      </c>
      <c r="M10" s="43">
        <v>46099</v>
      </c>
      <c r="N10" s="43">
        <f t="shared" si="2"/>
        <v>46097</v>
      </c>
      <c r="O10" s="43">
        <v>46044</v>
      </c>
      <c r="P10" s="43" t="s">
        <v>680</v>
      </c>
      <c r="Q10" s="46" t="s">
        <v>692</v>
      </c>
      <c r="R10" s="46" t="s">
        <v>700</v>
      </c>
      <c r="S10" s="43"/>
      <c r="T10" s="43"/>
      <c r="U10" s="43"/>
      <c r="V10" s="43"/>
      <c r="W10" s="46"/>
      <c r="X10" s="49" t="s">
        <v>441</v>
      </c>
      <c r="Y10" s="57">
        <v>2.218</v>
      </c>
      <c r="Z10" s="51">
        <f t="shared" si="3"/>
        <v>0</v>
      </c>
      <c r="AA10" s="51">
        <f t="shared" si="4"/>
        <v>0</v>
      </c>
      <c r="AB10" s="52">
        <v>46099</v>
      </c>
      <c r="AC10" s="43"/>
      <c r="AD10" s="43"/>
      <c r="AE10" s="43" t="str">
        <f>VLOOKUP(H10,名称!A:D,4,0)</f>
        <v>KIK</v>
      </c>
      <c r="AF10" s="47"/>
      <c r="AG10" s="53"/>
      <c r="AH10" s="53">
        <v>46044</v>
      </c>
      <c r="AI10" s="53" t="s">
        <v>997</v>
      </c>
      <c r="AJ10" s="53"/>
      <c r="AK10" s="53"/>
      <c r="AL10" s="53"/>
      <c r="AM10" s="53"/>
      <c r="AN10" s="53"/>
      <c r="AO10" s="54">
        <f t="shared" si="5"/>
        <v>68</v>
      </c>
      <c r="AP10" s="54" t="e">
        <f t="shared" si="6"/>
        <v>#VALUE!</v>
      </c>
      <c r="AQ10" s="55"/>
      <c r="AR10" s="55"/>
    </row>
    <row r="11" s="16" customFormat="1" customHeight="1" spans="1:45">
      <c r="A11" s="43">
        <v>46031</v>
      </c>
      <c r="B11" s="43" t="str">
        <f ca="1" t="shared" si="0"/>
        <v/>
      </c>
      <c r="C11" s="44" t="s">
        <v>271</v>
      </c>
      <c r="D11" s="43" t="s">
        <v>894</v>
      </c>
      <c r="E11" s="44" t="s">
        <v>438</v>
      </c>
      <c r="F11" s="45">
        <v>10118672</v>
      </c>
      <c r="G11" s="45">
        <v>56759</v>
      </c>
      <c r="H11" s="46" t="s">
        <v>95</v>
      </c>
      <c r="I11" s="47" t="str">
        <f>VLOOKUP(H11,名称!A:C,2,0)</f>
        <v>宝箱马里奥</v>
      </c>
      <c r="J11" s="48">
        <f>480-480</f>
        <v>0</v>
      </c>
      <c r="K11" s="47">
        <f>VLOOKUP(H11,名称!A:D,3,0)</f>
        <v>4</v>
      </c>
      <c r="L11" s="49">
        <f t="shared" si="1"/>
        <v>0</v>
      </c>
      <c r="M11" s="43">
        <v>46099</v>
      </c>
      <c r="N11" s="43">
        <f t="shared" si="2"/>
        <v>46097</v>
      </c>
      <c r="O11" s="43"/>
      <c r="P11" s="43" t="s">
        <v>680</v>
      </c>
      <c r="Q11" s="46" t="s">
        <v>692</v>
      </c>
      <c r="R11" s="46" t="s">
        <v>700</v>
      </c>
      <c r="S11" s="43"/>
      <c r="T11" s="43"/>
      <c r="U11" s="43"/>
      <c r="V11" s="43"/>
      <c r="W11" s="46"/>
      <c r="X11" s="49" t="s">
        <v>441</v>
      </c>
      <c r="Y11" s="57">
        <v>2.205</v>
      </c>
      <c r="Z11" s="51">
        <f t="shared" si="3"/>
        <v>0</v>
      </c>
      <c r="AA11" s="51">
        <f t="shared" si="4"/>
        <v>0</v>
      </c>
      <c r="AB11" s="52">
        <v>46099</v>
      </c>
      <c r="AC11" s="43"/>
      <c r="AD11" s="43"/>
      <c r="AE11" s="43" t="str">
        <f>VLOOKUP(H11,名称!A:D,4,0)</f>
        <v>KIK</v>
      </c>
      <c r="AF11" s="47"/>
      <c r="AG11" s="53"/>
      <c r="AH11" s="53">
        <v>46044</v>
      </c>
      <c r="AI11" s="53" t="s">
        <v>997</v>
      </c>
      <c r="AJ11" s="53"/>
      <c r="AK11" s="53"/>
      <c r="AL11" s="53"/>
      <c r="AM11" s="53"/>
      <c r="AN11" s="53"/>
      <c r="AO11" s="54">
        <f t="shared" si="5"/>
        <v>68</v>
      </c>
      <c r="AP11" s="54" t="e">
        <f t="shared" si="6"/>
        <v>#VALUE!</v>
      </c>
      <c r="AQ11" s="55"/>
      <c r="AR11" s="55"/>
    </row>
    <row r="12" s="16" customFormat="1" customHeight="1" spans="1:45">
      <c r="A12" s="43">
        <v>46031</v>
      </c>
      <c r="B12" s="43" t="str">
        <f ca="1" t="shared" si="0"/>
        <v/>
      </c>
      <c r="C12" s="44" t="s">
        <v>271</v>
      </c>
      <c r="D12" s="43" t="s">
        <v>894</v>
      </c>
      <c r="E12" s="44" t="s">
        <v>438</v>
      </c>
      <c r="F12" s="45">
        <v>10118672</v>
      </c>
      <c r="G12" s="45">
        <v>56759</v>
      </c>
      <c r="H12" s="46" t="s">
        <v>97</v>
      </c>
      <c r="I12" s="47" t="str">
        <f>VLOOKUP(H12,名称!A:C,2,0)</f>
        <v>管道马里奥</v>
      </c>
      <c r="J12" s="48">
        <f>600-600</f>
        <v>0</v>
      </c>
      <c r="K12" s="47">
        <f>VLOOKUP(H12,名称!A:D,3,0)</f>
        <v>4</v>
      </c>
      <c r="L12" s="49">
        <f t="shared" si="1"/>
        <v>0</v>
      </c>
      <c r="M12" s="43">
        <v>46099</v>
      </c>
      <c r="N12" s="43">
        <f t="shared" si="2"/>
        <v>46097</v>
      </c>
      <c r="O12" s="43"/>
      <c r="P12" s="43" t="s">
        <v>680</v>
      </c>
      <c r="Q12" s="46" t="s">
        <v>692</v>
      </c>
      <c r="R12" s="46" t="s">
        <v>700</v>
      </c>
      <c r="S12" s="43"/>
      <c r="T12" s="43"/>
      <c r="U12" s="43"/>
      <c r="V12" s="43"/>
      <c r="W12" s="46"/>
      <c r="X12" s="49" t="s">
        <v>441</v>
      </c>
      <c r="Y12" s="57">
        <v>3.43</v>
      </c>
      <c r="Z12" s="51">
        <f t="shared" si="3"/>
        <v>0</v>
      </c>
      <c r="AA12" s="51">
        <f t="shared" si="4"/>
        <v>0</v>
      </c>
      <c r="AB12" s="52">
        <v>46099</v>
      </c>
      <c r="AC12" s="43"/>
      <c r="AD12" s="43"/>
      <c r="AE12" s="43" t="str">
        <f>VLOOKUP(H12,名称!A:D,4,0)</f>
        <v>KIK</v>
      </c>
      <c r="AF12" s="47"/>
      <c r="AG12" s="53"/>
      <c r="AH12" s="53">
        <v>46044</v>
      </c>
      <c r="AI12" s="53" t="s">
        <v>997</v>
      </c>
      <c r="AJ12" s="53"/>
      <c r="AK12" s="53"/>
      <c r="AL12" s="53"/>
      <c r="AM12" s="53"/>
      <c r="AN12" s="53"/>
      <c r="AO12" s="54">
        <f t="shared" si="5"/>
        <v>68</v>
      </c>
      <c r="AP12" s="54" t="e">
        <f t="shared" si="6"/>
        <v>#VALUE!</v>
      </c>
      <c r="AQ12" s="55"/>
      <c r="AR12" s="55"/>
    </row>
    <row r="13" s="16" customFormat="1" customHeight="1" spans="1:45">
      <c r="A13" s="43">
        <v>46031</v>
      </c>
      <c r="B13" s="43" t="str">
        <f ca="1" t="shared" si="0"/>
        <v/>
      </c>
      <c r="C13" s="44" t="s">
        <v>271</v>
      </c>
      <c r="D13" s="43" t="s">
        <v>894</v>
      </c>
      <c r="E13" s="44" t="s">
        <v>438</v>
      </c>
      <c r="F13" s="45">
        <v>10118672</v>
      </c>
      <c r="G13" s="45">
        <v>56759</v>
      </c>
      <c r="H13" s="46" t="s">
        <v>91</v>
      </c>
      <c r="I13" s="47" t="str">
        <f>VLOOKUP(H13,名称!A:C,2,0)</f>
        <v>马里奥和他的蘑菇</v>
      </c>
      <c r="J13" s="48">
        <f>480-480</f>
        <v>0</v>
      </c>
      <c r="K13" s="47">
        <f>VLOOKUP(H13,名称!A:D,3,0)</f>
        <v>6</v>
      </c>
      <c r="L13" s="49">
        <f t="shared" si="1"/>
        <v>0</v>
      </c>
      <c r="M13" s="43">
        <v>46099</v>
      </c>
      <c r="N13" s="43">
        <f t="shared" si="2"/>
        <v>46097</v>
      </c>
      <c r="O13" s="43"/>
      <c r="P13" s="43" t="s">
        <v>680</v>
      </c>
      <c r="Q13" s="46" t="s">
        <v>692</v>
      </c>
      <c r="R13" s="46" t="s">
        <v>700</v>
      </c>
      <c r="S13" s="43"/>
      <c r="T13" s="43"/>
      <c r="U13" s="43"/>
      <c r="V13" s="43"/>
      <c r="W13" s="46"/>
      <c r="X13" s="49" t="s">
        <v>441</v>
      </c>
      <c r="Y13" s="57">
        <v>1.451</v>
      </c>
      <c r="Z13" s="51">
        <f t="shared" si="3"/>
        <v>0</v>
      </c>
      <c r="AA13" s="51">
        <f t="shared" si="4"/>
        <v>0</v>
      </c>
      <c r="AB13" s="52">
        <v>46099</v>
      </c>
      <c r="AC13" s="43"/>
      <c r="AD13" s="43"/>
      <c r="AE13" s="43" t="str">
        <f>VLOOKUP(H13,名称!A:D,4,0)</f>
        <v>KIK</v>
      </c>
      <c r="AF13" s="47"/>
      <c r="AG13" s="53"/>
      <c r="AH13" s="53">
        <v>46044</v>
      </c>
      <c r="AI13" s="53" t="s">
        <v>997</v>
      </c>
      <c r="AJ13" s="53"/>
      <c r="AK13" s="53"/>
      <c r="AL13" s="53"/>
      <c r="AM13" s="53"/>
      <c r="AN13" s="53"/>
      <c r="AO13" s="54">
        <f t="shared" si="5"/>
        <v>68</v>
      </c>
      <c r="AP13" s="54" t="e">
        <f t="shared" si="6"/>
        <v>#VALUE!</v>
      </c>
      <c r="AQ13" s="55"/>
      <c r="AR13" s="55"/>
    </row>
    <row r="14" s="16" customFormat="1" customHeight="1" spans="1:45">
      <c r="A14" s="43">
        <v>46031</v>
      </c>
      <c r="B14" s="43" t="str">
        <f ca="1" t="shared" si="0"/>
        <v/>
      </c>
      <c r="C14" s="44" t="s">
        <v>271</v>
      </c>
      <c r="D14" s="43" t="s">
        <v>894</v>
      </c>
      <c r="E14" s="44" t="s">
        <v>438</v>
      </c>
      <c r="F14" s="45">
        <v>10118672</v>
      </c>
      <c r="G14" s="45">
        <v>56759</v>
      </c>
      <c r="H14" s="46" t="s">
        <v>89</v>
      </c>
      <c r="I14" s="47" t="str">
        <f>VLOOKUP(H14,名称!A:C,2,0)</f>
        <v>马里奥能量蘑菇吸塑混装</v>
      </c>
      <c r="J14" s="48">
        <f>600-600</f>
        <v>0</v>
      </c>
      <c r="K14" s="47">
        <f>VLOOKUP(H14,名称!A:D,3,0)</f>
        <v>6</v>
      </c>
      <c r="L14" s="49">
        <f t="shared" si="1"/>
        <v>0</v>
      </c>
      <c r="M14" s="43">
        <v>46099</v>
      </c>
      <c r="N14" s="43">
        <f t="shared" si="2"/>
        <v>46097</v>
      </c>
      <c r="O14" s="43"/>
      <c r="P14" s="43" t="s">
        <v>680</v>
      </c>
      <c r="Q14" s="46" t="s">
        <v>692</v>
      </c>
      <c r="R14" s="46" t="s">
        <v>700</v>
      </c>
      <c r="S14" s="43"/>
      <c r="T14" s="43"/>
      <c r="U14" s="43"/>
      <c r="V14" s="43"/>
      <c r="W14" s="46"/>
      <c r="X14" s="49" t="s">
        <v>441</v>
      </c>
      <c r="Y14" s="57">
        <v>1.377</v>
      </c>
      <c r="Z14" s="51">
        <f t="shared" si="3"/>
        <v>0</v>
      </c>
      <c r="AA14" s="51">
        <f t="shared" si="4"/>
        <v>0</v>
      </c>
      <c r="AB14" s="52">
        <v>46099</v>
      </c>
      <c r="AC14" s="43"/>
      <c r="AD14" s="43"/>
      <c r="AE14" s="43" t="str">
        <f>VLOOKUP(H14,名称!A:D,4,0)</f>
        <v>KIK</v>
      </c>
      <c r="AF14" s="47"/>
      <c r="AG14" s="53"/>
      <c r="AH14" s="53">
        <v>46044</v>
      </c>
      <c r="AI14" s="53" t="s">
        <v>997</v>
      </c>
      <c r="AJ14" s="53"/>
      <c r="AK14" s="53"/>
      <c r="AL14" s="53"/>
      <c r="AM14" s="53"/>
      <c r="AN14" s="53"/>
      <c r="AO14" s="54">
        <f t="shared" si="5"/>
        <v>68</v>
      </c>
      <c r="AP14" s="54" t="e">
        <f t="shared" si="6"/>
        <v>#VALUE!</v>
      </c>
      <c r="AQ14" s="55"/>
      <c r="AR14" s="55"/>
    </row>
    <row r="15" s="16" customFormat="1" customHeight="1" spans="1:45">
      <c r="A15" s="43">
        <v>46031</v>
      </c>
      <c r="B15" s="43" t="str">
        <f ca="1" t="shared" si="0"/>
        <v/>
      </c>
      <c r="C15" s="44" t="s">
        <v>271</v>
      </c>
      <c r="D15" s="43" t="s">
        <v>894</v>
      </c>
      <c r="E15" s="44" t="s">
        <v>438</v>
      </c>
      <c r="F15" s="45">
        <v>10118672</v>
      </c>
      <c r="G15" s="45">
        <v>56759</v>
      </c>
      <c r="H15" s="46" t="s">
        <v>141</v>
      </c>
      <c r="I15" s="47" t="str">
        <f>VLOOKUP(H15,名称!A:C,2,0)</f>
        <v>马里奥能量蘑菇密封盒混装</v>
      </c>
      <c r="J15" s="48">
        <f>1200-1200</f>
        <v>0</v>
      </c>
      <c r="K15" s="47">
        <f>VLOOKUP(H15,名称!A:D,3,0)</f>
        <v>6</v>
      </c>
      <c r="L15" s="49">
        <f t="shared" si="1"/>
        <v>0</v>
      </c>
      <c r="M15" s="43">
        <v>46099</v>
      </c>
      <c r="N15" s="43">
        <f t="shared" si="2"/>
        <v>46097</v>
      </c>
      <c r="O15" s="43"/>
      <c r="P15" s="43" t="s">
        <v>680</v>
      </c>
      <c r="Q15" s="46" t="s">
        <v>692</v>
      </c>
      <c r="R15" s="46" t="s">
        <v>700</v>
      </c>
      <c r="S15" s="43"/>
      <c r="T15" s="43"/>
      <c r="U15" s="43"/>
      <c r="V15" s="43"/>
      <c r="W15" s="46"/>
      <c r="X15" s="49" t="s">
        <v>441</v>
      </c>
      <c r="Y15" s="57">
        <v>2.398</v>
      </c>
      <c r="Z15" s="51">
        <f t="shared" si="3"/>
        <v>0</v>
      </c>
      <c r="AA15" s="51">
        <f t="shared" si="4"/>
        <v>0</v>
      </c>
      <c r="AB15" s="52">
        <v>46099</v>
      </c>
      <c r="AC15" s="43"/>
      <c r="AD15" s="43"/>
      <c r="AE15" s="43" t="str">
        <f>VLOOKUP(H15,名称!A:D,4,0)</f>
        <v>KIK</v>
      </c>
      <c r="AF15" s="47"/>
      <c r="AG15" s="53"/>
      <c r="AH15" s="53">
        <v>46044</v>
      </c>
      <c r="AI15" s="53" t="s">
        <v>997</v>
      </c>
      <c r="AJ15" s="53"/>
      <c r="AK15" s="53"/>
      <c r="AL15" s="53"/>
      <c r="AM15" s="53"/>
      <c r="AN15" s="53"/>
      <c r="AO15" s="54">
        <f t="shared" si="5"/>
        <v>68</v>
      </c>
      <c r="AP15" s="54" t="e">
        <f t="shared" si="6"/>
        <v>#VALUE!</v>
      </c>
      <c r="AQ15" s="55"/>
      <c r="AR15" s="55"/>
    </row>
    <row r="16" s="16" customFormat="1" customHeight="1" spans="1:45">
      <c r="A16" s="43">
        <v>45987</v>
      </c>
      <c r="B16" s="43" t="str">
        <f ca="1" t="shared" si="0"/>
        <v/>
      </c>
      <c r="C16" s="44" t="s">
        <v>237</v>
      </c>
      <c r="D16" s="43" t="s">
        <v>427</v>
      </c>
      <c r="E16" s="44" t="s">
        <v>428</v>
      </c>
      <c r="F16" s="45">
        <v>10115579</v>
      </c>
      <c r="G16" s="45">
        <v>202532872357</v>
      </c>
      <c r="H16" s="46" t="s">
        <v>123</v>
      </c>
      <c r="I16" s="47" t="str">
        <f>VLOOKUP(H16,名称!A:C,2,0)</f>
        <v>能量蘑菇</v>
      </c>
      <c r="J16" s="48">
        <v>1800</v>
      </c>
      <c r="K16" s="47">
        <f>VLOOKUP(H16,名称!A:D,3,0)</f>
        <v>6</v>
      </c>
      <c r="L16" s="49">
        <f t="shared" si="1"/>
        <v>300</v>
      </c>
      <c r="M16" s="43">
        <v>46092</v>
      </c>
      <c r="N16" s="43">
        <f t="shared" si="2"/>
        <v>46090</v>
      </c>
      <c r="O16" s="43">
        <v>46094</v>
      </c>
      <c r="P16" s="43" t="s">
        <v>624</v>
      </c>
      <c r="Q16" s="46" t="s">
        <v>430</v>
      </c>
      <c r="R16" s="46" t="s">
        <v>627</v>
      </c>
      <c r="S16" s="43"/>
      <c r="T16" s="43"/>
      <c r="U16" s="43"/>
      <c r="V16" s="43"/>
      <c r="W16" s="46"/>
      <c r="X16" s="49" t="s">
        <v>647</v>
      </c>
      <c r="Y16" s="57">
        <v>1.304</v>
      </c>
      <c r="Z16" s="51">
        <f t="shared" si="3"/>
        <v>2347.2</v>
      </c>
      <c r="AA16" s="51">
        <f t="shared" si="4"/>
        <v>18190.8</v>
      </c>
      <c r="AB16" s="52">
        <v>46099</v>
      </c>
      <c r="AC16" s="43"/>
      <c r="AD16" s="43"/>
      <c r="AE16" s="43" t="str">
        <f>VLOOKUP(H16,名称!A:D,4,0)</f>
        <v>KIK</v>
      </c>
      <c r="AF16" s="47"/>
      <c r="AG16" s="53"/>
      <c r="AH16" s="53">
        <v>46045</v>
      </c>
      <c r="AI16" s="53">
        <v>46010</v>
      </c>
      <c r="AJ16" s="53"/>
      <c r="AK16" s="53"/>
      <c r="AL16" s="53"/>
      <c r="AM16" s="53"/>
      <c r="AN16" s="53">
        <v>46006</v>
      </c>
      <c r="AO16" s="54">
        <f t="shared" si="5"/>
        <v>105</v>
      </c>
      <c r="AP16" s="54">
        <f t="shared" si="6"/>
        <v>82</v>
      </c>
      <c r="AQ16" s="55"/>
      <c r="AR16" s="55"/>
    </row>
    <row r="17" s="16" customFormat="1" customHeight="1" spans="1:44">
      <c r="A17" s="43">
        <v>46099</v>
      </c>
      <c r="B17" s="43" t="str">
        <f ca="1" t="shared" si="0"/>
        <v>未</v>
      </c>
      <c r="C17" s="44" t="s">
        <v>237</v>
      </c>
      <c r="D17" s="43" t="s">
        <v>802</v>
      </c>
      <c r="E17" s="44" t="s">
        <v>727</v>
      </c>
      <c r="F17" s="45">
        <v>1012266</v>
      </c>
      <c r="G17" s="45">
        <v>1042269828</v>
      </c>
      <c r="H17" s="46" t="s">
        <v>160</v>
      </c>
      <c r="I17" s="47" t="str">
        <f>VLOOKUP(H17,名称!A:C,2,0)</f>
        <v>绿色铲车</v>
      </c>
      <c r="J17" s="48">
        <v>90</v>
      </c>
      <c r="K17" s="47">
        <f>VLOOKUP(H17,名称!A:D,3,0)</f>
        <v>2</v>
      </c>
      <c r="L17" s="49">
        <f t="shared" si="1"/>
        <v>45</v>
      </c>
      <c r="M17" s="43">
        <v>46218</v>
      </c>
      <c r="N17" s="43">
        <f t="shared" si="2"/>
        <v>46216</v>
      </c>
      <c r="O17" s="43"/>
      <c r="P17" s="43" t="s">
        <v>429</v>
      </c>
      <c r="Q17" s="46" t="s">
        <v>929</v>
      </c>
      <c r="R17" s="46"/>
      <c r="S17" s="43"/>
      <c r="T17" s="43" t="s">
        <v>452</v>
      </c>
      <c r="U17" s="43"/>
      <c r="V17" s="43"/>
      <c r="W17" s="46"/>
      <c r="X17" s="49"/>
      <c r="Y17" s="57">
        <v>5.97</v>
      </c>
      <c r="Z17" s="51">
        <f t="shared" si="3"/>
        <v>537.3</v>
      </c>
      <c r="AA17" s="51">
        <f t="shared" si="4"/>
        <v>4164.08</v>
      </c>
      <c r="AB17" s="58"/>
      <c r="AC17" s="43"/>
      <c r="AD17" s="43"/>
      <c r="AE17" s="43" t="str">
        <f>VLOOKUP(H17,名称!A:D,4,0)</f>
        <v>KIK</v>
      </c>
      <c r="AF17" s="47"/>
      <c r="AG17" s="53"/>
      <c r="AH17" s="53"/>
      <c r="AI17" s="53"/>
      <c r="AJ17" s="53"/>
      <c r="AK17" s="53"/>
      <c r="AL17" s="53"/>
      <c r="AM17" s="53"/>
      <c r="AN17" s="53"/>
      <c r="AO17" s="54">
        <f t="shared" si="5"/>
        <v>119</v>
      </c>
      <c r="AP17" s="54">
        <f t="shared" si="6"/>
        <v>46218</v>
      </c>
      <c r="AQ17" s="55"/>
      <c r="AR17" s="55"/>
    </row>
    <row r="18" s="16" customFormat="1" customHeight="1" spans="1:44">
      <c r="A18" s="43">
        <v>46099</v>
      </c>
      <c r="B18" s="43" t="str">
        <f ca="1" t="shared" si="0"/>
        <v>未</v>
      </c>
      <c r="C18" s="44" t="s">
        <v>237</v>
      </c>
      <c r="D18" s="43" t="s">
        <v>802</v>
      </c>
      <c r="E18" s="44" t="s">
        <v>727</v>
      </c>
      <c r="F18" s="45">
        <v>1012266</v>
      </c>
      <c r="G18" s="45">
        <v>1042269828</v>
      </c>
      <c r="H18" s="46" t="s">
        <v>155</v>
      </c>
      <c r="I18" s="47" t="str">
        <f>VLOOKUP(H18,名称!A:C,2,0)</f>
        <v>JD LNS圆轮拖拉机</v>
      </c>
      <c r="J18" s="48">
        <v>658</v>
      </c>
      <c r="K18" s="47">
        <f>VLOOKUP(H18,名称!A:D,3,0)</f>
        <v>2</v>
      </c>
      <c r="L18" s="49">
        <f t="shared" si="1"/>
        <v>329</v>
      </c>
      <c r="M18" s="43">
        <v>46218</v>
      </c>
      <c r="N18" s="43">
        <f t="shared" si="2"/>
        <v>46216</v>
      </c>
      <c r="O18" s="43"/>
      <c r="P18" s="43" t="s">
        <v>429</v>
      </c>
      <c r="Q18" s="46" t="s">
        <v>929</v>
      </c>
      <c r="R18" s="46"/>
      <c r="S18" s="43"/>
      <c r="T18" s="43" t="s">
        <v>452</v>
      </c>
      <c r="U18" s="43"/>
      <c r="V18" s="43"/>
      <c r="W18" s="46"/>
      <c r="X18" s="49"/>
      <c r="Y18" s="57">
        <v>5.225</v>
      </c>
      <c r="Z18" s="51">
        <f t="shared" si="3"/>
        <v>3438.05</v>
      </c>
      <c r="AA18" s="51">
        <f t="shared" si="4"/>
        <v>26644.89</v>
      </c>
      <c r="AB18" s="58"/>
      <c r="AC18" s="43"/>
      <c r="AD18" s="43"/>
      <c r="AE18" s="43" t="str">
        <f>VLOOKUP(H18,名称!A:D,4,0)</f>
        <v>KIK</v>
      </c>
      <c r="AF18" s="47"/>
      <c r="AG18" s="53"/>
      <c r="AH18" s="53"/>
      <c r="AI18" s="53"/>
      <c r="AJ18" s="53"/>
      <c r="AK18" s="53"/>
      <c r="AL18" s="53"/>
      <c r="AM18" s="53"/>
      <c r="AN18" s="53"/>
      <c r="AO18" s="54">
        <f t="shared" si="5"/>
        <v>119</v>
      </c>
      <c r="AP18" s="54">
        <f t="shared" si="6"/>
        <v>46218</v>
      </c>
      <c r="AQ18" s="55"/>
      <c r="AR18" s="55"/>
    </row>
    <row r="19" s="16" customFormat="1" customHeight="1" spans="1:44">
      <c r="A19" s="43">
        <v>46099</v>
      </c>
      <c r="B19" s="43" t="str">
        <f ca="1" t="shared" si="0"/>
        <v>未</v>
      </c>
      <c r="C19" s="44" t="s">
        <v>237</v>
      </c>
      <c r="D19" s="43" t="s">
        <v>802</v>
      </c>
      <c r="E19" s="44" t="s">
        <v>727</v>
      </c>
      <c r="F19" s="45">
        <v>1012266</v>
      </c>
      <c r="G19" s="45">
        <v>1042269828</v>
      </c>
      <c r="H19" s="46" t="s">
        <v>154</v>
      </c>
      <c r="I19" s="47" t="str">
        <f>VLOOKUP(H19,名称!A:C,2,0)</f>
        <v>动物车</v>
      </c>
      <c r="J19" s="48">
        <v>740</v>
      </c>
      <c r="K19" s="47">
        <f>VLOOKUP(H19,名称!A:D,3,0)</f>
        <v>4</v>
      </c>
      <c r="L19" s="49">
        <f t="shared" si="1"/>
        <v>185</v>
      </c>
      <c r="M19" s="43">
        <v>46218</v>
      </c>
      <c r="N19" s="43">
        <f t="shared" si="2"/>
        <v>46216</v>
      </c>
      <c r="O19" s="43"/>
      <c r="P19" s="43" t="s">
        <v>429</v>
      </c>
      <c r="Q19" s="46" t="s">
        <v>929</v>
      </c>
      <c r="R19" s="46"/>
      <c r="S19" s="43"/>
      <c r="T19" s="43" t="s">
        <v>452</v>
      </c>
      <c r="U19" s="43"/>
      <c r="V19" s="43"/>
      <c r="W19" s="46"/>
      <c r="X19" s="49"/>
      <c r="Y19" s="57">
        <v>4.808</v>
      </c>
      <c r="Z19" s="51">
        <f t="shared" si="3"/>
        <v>3557.92</v>
      </c>
      <c r="AA19" s="51">
        <f t="shared" si="4"/>
        <v>27573.88</v>
      </c>
      <c r="AB19" s="58"/>
      <c r="AC19" s="43"/>
      <c r="AD19" s="43"/>
      <c r="AE19" s="43" t="str">
        <f>VLOOKUP(H19,名称!A:D,4,0)</f>
        <v>KIK</v>
      </c>
      <c r="AF19" s="47"/>
      <c r="AG19" s="53"/>
      <c r="AH19" s="53"/>
      <c r="AI19" s="53"/>
      <c r="AJ19" s="53"/>
      <c r="AK19" s="53"/>
      <c r="AL19" s="53"/>
      <c r="AM19" s="53"/>
      <c r="AN19" s="53"/>
      <c r="AO19" s="54">
        <f t="shared" si="5"/>
        <v>119</v>
      </c>
      <c r="AP19" s="54">
        <f t="shared" si="6"/>
        <v>46218</v>
      </c>
      <c r="AQ19" s="55"/>
      <c r="AR19" s="55"/>
    </row>
    <row r="20" s="16" customFormat="1" customHeight="1" spans="1:44">
      <c r="A20" s="43">
        <v>46058</v>
      </c>
      <c r="B20" s="43" t="s">
        <v>660</v>
      </c>
      <c r="C20" s="44"/>
      <c r="D20" s="44"/>
      <c r="E20" s="44"/>
      <c r="F20" s="46" t="s">
        <v>241</v>
      </c>
      <c r="G20" s="45"/>
      <c r="H20" s="46" t="s">
        <v>154</v>
      </c>
      <c r="I20" s="47" t="s">
        <v>723</v>
      </c>
      <c r="J20" s="48">
        <v>20056</v>
      </c>
      <c r="K20" s="47">
        <v>4</v>
      </c>
      <c r="L20" s="49">
        <v>5014</v>
      </c>
      <c r="M20" s="43">
        <v>46162</v>
      </c>
      <c r="N20" s="43">
        <v>46160</v>
      </c>
      <c r="O20" s="43"/>
      <c r="P20" s="43"/>
      <c r="Q20" s="43"/>
      <c r="R20" s="46"/>
      <c r="S20" s="46"/>
      <c r="T20" s="59" t="s">
        <v>452</v>
      </c>
      <c r="U20" s="43"/>
      <c r="V20" s="46"/>
      <c r="W20" s="46"/>
      <c r="X20" s="49"/>
      <c r="Y20" s="51">
        <v>0</v>
      </c>
      <c r="Z20" s="51">
        <v>0</v>
      </c>
      <c r="AA20" s="51">
        <v>0</v>
      </c>
      <c r="AB20" s="60"/>
      <c r="AC20" s="60"/>
      <c r="AD20" s="43"/>
      <c r="AE20" s="43" t="s">
        <v>568</v>
      </c>
      <c r="AF20" s="43"/>
      <c r="AG20" s="61"/>
      <c r="AH20" s="61"/>
      <c r="AI20" s="43"/>
      <c r="AJ20" s="43"/>
      <c r="AK20" s="43"/>
      <c r="AL20" s="43"/>
      <c r="AM20" s="43"/>
      <c r="AN20" s="43"/>
      <c r="AO20" s="62">
        <v>104</v>
      </c>
      <c r="AP20" s="62">
        <v>46162</v>
      </c>
      <c r="AQ20" s="55"/>
      <c r="AR20" s="55"/>
    </row>
    <row r="21" s="16" customFormat="1" customHeight="1" spans="1:44">
      <c r="A21" s="43">
        <v>46077</v>
      </c>
      <c r="B21" s="43" t="s">
        <v>660</v>
      </c>
      <c r="C21" s="44"/>
      <c r="D21" s="44"/>
      <c r="E21" s="44"/>
      <c r="F21" s="46" t="s">
        <v>241</v>
      </c>
      <c r="G21" s="45"/>
      <c r="H21" s="46" t="s">
        <v>155</v>
      </c>
      <c r="I21" s="47" t="s">
        <v>728</v>
      </c>
      <c r="J21" s="48">
        <v>12904</v>
      </c>
      <c r="K21" s="47">
        <v>2</v>
      </c>
      <c r="L21" s="49">
        <v>6452</v>
      </c>
      <c r="M21" s="43">
        <v>46162</v>
      </c>
      <c r="N21" s="43">
        <v>46160</v>
      </c>
      <c r="O21" s="43"/>
      <c r="P21" s="43"/>
      <c r="Q21" s="43"/>
      <c r="R21" s="46"/>
      <c r="S21" s="46"/>
      <c r="T21" s="59" t="s">
        <v>452</v>
      </c>
      <c r="U21" s="43"/>
      <c r="V21" s="46"/>
      <c r="W21" s="46"/>
      <c r="X21" s="49"/>
      <c r="Y21" s="51">
        <v>0</v>
      </c>
      <c r="Z21" s="51">
        <v>0</v>
      </c>
      <c r="AA21" s="51">
        <v>0</v>
      </c>
      <c r="AB21" s="60"/>
      <c r="AC21" s="60"/>
      <c r="AD21" s="43"/>
      <c r="AE21" s="43" t="s">
        <v>568</v>
      </c>
      <c r="AF21" s="43"/>
      <c r="AG21" s="61"/>
      <c r="AH21" s="61"/>
      <c r="AI21" s="43"/>
      <c r="AJ21" s="43"/>
      <c r="AK21" s="43"/>
      <c r="AL21" s="43"/>
      <c r="AM21" s="43"/>
      <c r="AN21" s="43"/>
      <c r="AO21" s="62">
        <v>85</v>
      </c>
      <c r="AP21" s="62">
        <v>46162</v>
      </c>
      <c r="AQ21" s="55"/>
      <c r="AR21" s="55"/>
    </row>
    <row r="22" s="16" customFormat="1" customHeight="1" spans="1:44">
      <c r="A22" s="43">
        <v>46084</v>
      </c>
      <c r="B22" s="43" t="s">
        <v>660</v>
      </c>
      <c r="C22" s="44"/>
      <c r="D22" s="43"/>
      <c r="E22" s="44"/>
      <c r="F22" s="45" t="s">
        <v>241</v>
      </c>
      <c r="G22" s="45"/>
      <c r="H22" s="46" t="s">
        <v>113</v>
      </c>
      <c r="I22" s="47" t="s">
        <v>900</v>
      </c>
      <c r="J22" s="48">
        <v>3954</v>
      </c>
      <c r="K22" s="47">
        <v>2</v>
      </c>
      <c r="L22" s="49">
        <v>1977</v>
      </c>
      <c r="M22" s="43"/>
      <c r="N22" s="43"/>
      <c r="O22" s="43"/>
      <c r="P22" s="43"/>
      <c r="Q22" s="46"/>
      <c r="R22" s="46"/>
      <c r="S22" s="43"/>
      <c r="T22" s="43" t="s">
        <v>452</v>
      </c>
      <c r="U22" s="43"/>
      <c r="V22" s="43"/>
      <c r="W22" s="46"/>
      <c r="X22" s="49"/>
      <c r="Y22" s="57">
        <v>0</v>
      </c>
      <c r="Z22" s="51">
        <v>0</v>
      </c>
      <c r="AA22" s="51">
        <v>0</v>
      </c>
      <c r="AB22" s="58"/>
      <c r="AC22" s="43"/>
      <c r="AD22" s="43"/>
      <c r="AE22" s="43" t="s">
        <v>568</v>
      </c>
      <c r="AF22" s="47"/>
      <c r="AG22" s="53"/>
      <c r="AH22" s="53"/>
      <c r="AI22" s="53"/>
      <c r="AJ22" s="53"/>
      <c r="AK22" s="53"/>
      <c r="AL22" s="53"/>
      <c r="AM22" s="53"/>
      <c r="AN22" s="53"/>
      <c r="AO22" s="54">
        <v>-46084</v>
      </c>
      <c r="AP22" s="54">
        <v>0</v>
      </c>
      <c r="AQ22" s="55"/>
      <c r="AR22" s="55"/>
    </row>
    <row r="23" s="16" customFormat="1" customHeight="1" spans="1:44">
      <c r="A23" s="43">
        <v>46097</v>
      </c>
      <c r="B23" s="43" t="str">
        <f ca="1" t="shared" ref="B23:B49" si="7">IF(TODAY()&gt;=A23,IF(R23="","未",""),"")</f>
        <v>未</v>
      </c>
      <c r="C23" s="44" t="s">
        <v>237</v>
      </c>
      <c r="D23" s="43" t="s">
        <v>998</v>
      </c>
      <c r="E23" s="44"/>
      <c r="F23" s="45" t="s">
        <v>238</v>
      </c>
      <c r="G23" s="45">
        <v>202607170051</v>
      </c>
      <c r="H23" s="46" t="s">
        <v>35</v>
      </c>
      <c r="I23" s="47" t="str">
        <f>VLOOKUP(H23,名称!A:C,2,0)</f>
        <v>1:16拖车厢</v>
      </c>
      <c r="J23" s="48">
        <f>560-560</f>
        <v>0</v>
      </c>
      <c r="K23" s="47">
        <f>VLOOKUP(H23,名称!A:D,3,0)</f>
        <v>2</v>
      </c>
      <c r="L23" s="49">
        <f t="shared" ref="L23:L36" si="8">J23/K23</f>
        <v>0</v>
      </c>
      <c r="M23" s="43">
        <v>46176</v>
      </c>
      <c r="N23" s="43">
        <f t="shared" ref="N23:N49" si="9">M23-2</f>
        <v>46174</v>
      </c>
      <c r="O23" s="43"/>
      <c r="P23" s="43" t="s">
        <v>435</v>
      </c>
      <c r="Q23" s="46" t="s">
        <v>430</v>
      </c>
      <c r="R23" s="46"/>
      <c r="S23" s="43"/>
      <c r="T23" s="43"/>
      <c r="U23" s="43"/>
      <c r="V23" s="43"/>
      <c r="W23" s="46"/>
      <c r="X23" s="49"/>
      <c r="Y23" s="57">
        <v>22.9</v>
      </c>
      <c r="Z23" s="51">
        <f t="shared" ref="Z23:Z49" si="10">J23*Y23</f>
        <v>0</v>
      </c>
      <c r="AA23" s="51">
        <f t="shared" ref="AA23:AA49" si="11">Z23*7.75</f>
        <v>0</v>
      </c>
      <c r="AB23" s="58"/>
      <c r="AC23" s="43"/>
      <c r="AD23" s="43"/>
      <c r="AE23" s="43" t="str">
        <f>VLOOKUP(H23,名称!A:D,4,0)</f>
        <v>KIK</v>
      </c>
      <c r="AF23" s="47"/>
      <c r="AG23" s="53"/>
      <c r="AH23" s="53"/>
      <c r="AI23" s="53"/>
      <c r="AJ23" s="53"/>
      <c r="AK23" s="53"/>
      <c r="AL23" s="53"/>
      <c r="AM23" s="53"/>
      <c r="AN23" s="53"/>
      <c r="AO23" s="54">
        <f t="shared" ref="AO23:AO49" si="12">M23-A23</f>
        <v>79</v>
      </c>
      <c r="AP23" s="54">
        <f t="shared" ref="AP23:AP49" si="13">M23-AI23</f>
        <v>46176</v>
      </c>
      <c r="AQ23" s="55"/>
      <c r="AR23" s="55"/>
    </row>
    <row r="24" s="16" customFormat="1" customHeight="1" spans="1:44">
      <c r="A24" s="43">
        <v>46097</v>
      </c>
      <c r="B24" s="43" t="str">
        <f ca="1" t="shared" si="7"/>
        <v>未</v>
      </c>
      <c r="C24" s="44" t="s">
        <v>237</v>
      </c>
      <c r="D24" s="43" t="s">
        <v>998</v>
      </c>
      <c r="E24" s="44"/>
      <c r="F24" s="45" t="s">
        <v>238</v>
      </c>
      <c r="G24" s="45">
        <v>202607170051</v>
      </c>
      <c r="H24" s="46" t="s">
        <v>105</v>
      </c>
      <c r="I24" s="47" t="str">
        <f>VLOOKUP(H24,名称!A:C,2,0)</f>
        <v>农场男孩套装</v>
      </c>
      <c r="J24" s="48">
        <f>420-420</f>
        <v>0</v>
      </c>
      <c r="K24" s="47">
        <f>VLOOKUP(H24,名称!A:D,3,0)</f>
        <v>4</v>
      </c>
      <c r="L24" s="49">
        <f t="shared" si="8"/>
        <v>0</v>
      </c>
      <c r="M24" s="43">
        <v>46176</v>
      </c>
      <c r="N24" s="43">
        <f t="shared" si="9"/>
        <v>46174</v>
      </c>
      <c r="O24" s="43"/>
      <c r="P24" s="43" t="s">
        <v>435</v>
      </c>
      <c r="Q24" s="46" t="s">
        <v>430</v>
      </c>
      <c r="R24" s="46"/>
      <c r="S24" s="43"/>
      <c r="T24" s="43" t="s">
        <v>452</v>
      </c>
      <c r="U24" s="43"/>
      <c r="V24" s="43"/>
      <c r="W24" s="46"/>
      <c r="X24" s="49"/>
      <c r="Y24" s="57">
        <v>2.994</v>
      </c>
      <c r="Z24" s="51">
        <f t="shared" si="10"/>
        <v>0</v>
      </c>
      <c r="AA24" s="51">
        <f t="shared" si="11"/>
        <v>0</v>
      </c>
      <c r="AB24" s="58"/>
      <c r="AC24" s="43"/>
      <c r="AD24" s="43"/>
      <c r="AE24" s="43" t="str">
        <f>VLOOKUP(H24,名称!A:D,4,0)</f>
        <v>KIK</v>
      </c>
      <c r="AF24" s="47"/>
      <c r="AG24" s="53"/>
      <c r="AH24" s="53"/>
      <c r="AI24" s="53"/>
      <c r="AJ24" s="53"/>
      <c r="AK24" s="53"/>
      <c r="AL24" s="53"/>
      <c r="AM24" s="53"/>
      <c r="AN24" s="53"/>
      <c r="AO24" s="54">
        <f t="shared" si="12"/>
        <v>79</v>
      </c>
      <c r="AP24" s="54">
        <f t="shared" si="13"/>
        <v>46176</v>
      </c>
      <c r="AQ24" s="55"/>
      <c r="AR24" s="55"/>
    </row>
    <row r="25" s="16" customFormat="1" customHeight="1" spans="1:44">
      <c r="A25" s="43">
        <v>46097</v>
      </c>
      <c r="B25" s="43" t="str">
        <f ca="1" t="shared" si="7"/>
        <v>未</v>
      </c>
      <c r="C25" s="44" t="s">
        <v>237</v>
      </c>
      <c r="D25" s="43" t="s">
        <v>998</v>
      </c>
      <c r="E25" s="44"/>
      <c r="F25" s="45" t="s">
        <v>238</v>
      </c>
      <c r="G25" s="45">
        <v>202607170051</v>
      </c>
      <c r="H25" s="46" t="s">
        <v>107</v>
      </c>
      <c r="I25" s="47" t="str">
        <f>VLOOKUP(H25,名称!A:C,2,0)</f>
        <v>农场女孩套装</v>
      </c>
      <c r="J25" s="48">
        <f>380-380</f>
        <v>0</v>
      </c>
      <c r="K25" s="47">
        <f>VLOOKUP(H25,名称!A:D,3,0)</f>
        <v>4</v>
      </c>
      <c r="L25" s="49">
        <f t="shared" si="8"/>
        <v>0</v>
      </c>
      <c r="M25" s="43">
        <v>46176</v>
      </c>
      <c r="N25" s="43">
        <f t="shared" si="9"/>
        <v>46174</v>
      </c>
      <c r="O25" s="43"/>
      <c r="P25" s="43" t="s">
        <v>435</v>
      </c>
      <c r="Q25" s="46" t="s">
        <v>430</v>
      </c>
      <c r="R25" s="46"/>
      <c r="S25" s="43"/>
      <c r="T25" s="43" t="s">
        <v>452</v>
      </c>
      <c r="U25" s="43"/>
      <c r="V25" s="43"/>
      <c r="W25" s="46"/>
      <c r="X25" s="49"/>
      <c r="Y25" s="57">
        <v>4.956</v>
      </c>
      <c r="Z25" s="51">
        <f t="shared" si="10"/>
        <v>0</v>
      </c>
      <c r="AA25" s="51">
        <f t="shared" si="11"/>
        <v>0</v>
      </c>
      <c r="AB25" s="58"/>
      <c r="AC25" s="43"/>
      <c r="AD25" s="43"/>
      <c r="AE25" s="43" t="str">
        <f>VLOOKUP(H25,名称!A:D,4,0)</f>
        <v>KIK</v>
      </c>
      <c r="AF25" s="47"/>
      <c r="AG25" s="53"/>
      <c r="AH25" s="53"/>
      <c r="AI25" s="53"/>
      <c r="AJ25" s="53"/>
      <c r="AK25" s="53"/>
      <c r="AL25" s="53"/>
      <c r="AM25" s="53"/>
      <c r="AN25" s="53"/>
      <c r="AO25" s="54">
        <f t="shared" si="12"/>
        <v>79</v>
      </c>
      <c r="AP25" s="54">
        <f t="shared" si="13"/>
        <v>46176</v>
      </c>
      <c r="AQ25" s="55"/>
      <c r="AR25" s="55"/>
    </row>
    <row r="26" s="16" customFormat="1" customHeight="1" spans="1:44">
      <c r="A26" s="43">
        <v>46097</v>
      </c>
      <c r="B26" s="43" t="str">
        <f ca="1" t="shared" si="7"/>
        <v>未</v>
      </c>
      <c r="C26" s="44" t="s">
        <v>237</v>
      </c>
      <c r="D26" s="43" t="s">
        <v>998</v>
      </c>
      <c r="E26" s="44"/>
      <c r="F26" s="45" t="s">
        <v>238</v>
      </c>
      <c r="G26" s="45">
        <v>202607170051</v>
      </c>
      <c r="H26" s="46" t="s">
        <v>87</v>
      </c>
      <c r="I26" s="47" t="str">
        <f>VLOOKUP(H26,名称!A:C,2,0)</f>
        <v>1:16收割机</v>
      </c>
      <c r="J26" s="48">
        <f>100-100</f>
        <v>0</v>
      </c>
      <c r="K26" s="47">
        <f>VLOOKUP(H26,名称!A:D,3,0)</f>
        <v>1</v>
      </c>
      <c r="L26" s="49">
        <f t="shared" si="8"/>
        <v>0</v>
      </c>
      <c r="M26" s="43">
        <v>46176</v>
      </c>
      <c r="N26" s="43">
        <f t="shared" si="9"/>
        <v>46174</v>
      </c>
      <c r="O26" s="43"/>
      <c r="P26" s="43" t="s">
        <v>435</v>
      </c>
      <c r="Q26" s="46" t="s">
        <v>430</v>
      </c>
      <c r="R26" s="46"/>
      <c r="S26" s="43"/>
      <c r="T26" s="43"/>
      <c r="U26" s="43"/>
      <c r="V26" s="43"/>
      <c r="W26" s="46"/>
      <c r="X26" s="49"/>
      <c r="Y26" s="57">
        <v>31.4</v>
      </c>
      <c r="Z26" s="51">
        <f t="shared" si="10"/>
        <v>0</v>
      </c>
      <c r="AA26" s="51">
        <f t="shared" si="11"/>
        <v>0</v>
      </c>
      <c r="AB26" s="58"/>
      <c r="AC26" s="43"/>
      <c r="AD26" s="43"/>
      <c r="AE26" s="43" t="str">
        <f>VLOOKUP(H26,名称!A:D,4,0)</f>
        <v>KIK</v>
      </c>
      <c r="AF26" s="47"/>
      <c r="AG26" s="53"/>
      <c r="AH26" s="53"/>
      <c r="AI26" s="53"/>
      <c r="AJ26" s="53"/>
      <c r="AK26" s="53"/>
      <c r="AL26" s="53"/>
      <c r="AM26" s="53"/>
      <c r="AN26" s="53"/>
      <c r="AO26" s="54">
        <f t="shared" si="12"/>
        <v>79</v>
      </c>
      <c r="AP26" s="54">
        <f t="shared" si="13"/>
        <v>46176</v>
      </c>
      <c r="AQ26" s="55"/>
      <c r="AR26" s="55"/>
    </row>
    <row r="27" s="16" customFormat="1" customHeight="1" spans="1:44">
      <c r="A27" s="43">
        <v>46097</v>
      </c>
      <c r="B27" s="43" t="str">
        <f ca="1" t="shared" si="7"/>
        <v>未</v>
      </c>
      <c r="C27" s="44" t="s">
        <v>237</v>
      </c>
      <c r="D27" s="43" t="s">
        <v>998</v>
      </c>
      <c r="E27" s="44"/>
      <c r="F27" s="45" t="s">
        <v>238</v>
      </c>
      <c r="G27" s="45">
        <v>202607170051</v>
      </c>
      <c r="H27" s="46" t="s">
        <v>29</v>
      </c>
      <c r="I27" s="47" t="str">
        <f>VLOOKUP(H27,名称!A:C,2,0)</f>
        <v>木材运输车</v>
      </c>
      <c r="J27" s="48">
        <f>240-240</f>
        <v>0</v>
      </c>
      <c r="K27" s="47">
        <f>VLOOKUP(H27,名称!A:D,3,0)</f>
        <v>4</v>
      </c>
      <c r="L27" s="49">
        <f t="shared" si="8"/>
        <v>0</v>
      </c>
      <c r="M27" s="43">
        <v>46176</v>
      </c>
      <c r="N27" s="43">
        <f t="shared" si="9"/>
        <v>46174</v>
      </c>
      <c r="O27" s="43"/>
      <c r="P27" s="43" t="s">
        <v>435</v>
      </c>
      <c r="Q27" s="46" t="s">
        <v>430</v>
      </c>
      <c r="R27" s="46"/>
      <c r="S27" s="43"/>
      <c r="T27" s="43"/>
      <c r="U27" s="43"/>
      <c r="V27" s="43"/>
      <c r="W27" s="46"/>
      <c r="X27" s="49"/>
      <c r="Y27" s="57">
        <v>21.801</v>
      </c>
      <c r="Z27" s="51">
        <f t="shared" si="10"/>
        <v>0</v>
      </c>
      <c r="AA27" s="51">
        <f t="shared" si="11"/>
        <v>0</v>
      </c>
      <c r="AB27" s="58"/>
      <c r="AC27" s="43"/>
      <c r="AD27" s="43"/>
      <c r="AE27" s="43" t="str">
        <f>VLOOKUP(H27,名称!A:D,4,0)</f>
        <v>KIK</v>
      </c>
      <c r="AF27" s="47"/>
      <c r="AG27" s="53"/>
      <c r="AH27" s="53"/>
      <c r="AI27" s="53"/>
      <c r="AJ27" s="53"/>
      <c r="AK27" s="53"/>
      <c r="AL27" s="53"/>
      <c r="AM27" s="53"/>
      <c r="AN27" s="53"/>
      <c r="AO27" s="54">
        <f t="shared" si="12"/>
        <v>79</v>
      </c>
      <c r="AP27" s="54">
        <f t="shared" si="13"/>
        <v>46176</v>
      </c>
      <c r="AQ27" s="55"/>
      <c r="AR27" s="55"/>
    </row>
    <row r="28" s="16" customFormat="1" customHeight="1" spans="1:44">
      <c r="A28" s="43">
        <v>46097</v>
      </c>
      <c r="B28" s="43" t="str">
        <f ca="1" t="shared" si="7"/>
        <v>未</v>
      </c>
      <c r="C28" s="44" t="s">
        <v>237</v>
      </c>
      <c r="D28" s="43" t="s">
        <v>998</v>
      </c>
      <c r="E28" s="44"/>
      <c r="F28" s="45" t="s">
        <v>238</v>
      </c>
      <c r="G28" s="45">
        <v>202607170051</v>
      </c>
      <c r="H28" s="46" t="s">
        <v>31</v>
      </c>
      <c r="I28" s="47" t="str">
        <f>VLOOKUP(H28,名称!A:C,2,0)</f>
        <v>1:16收割机</v>
      </c>
      <c r="J28" s="48">
        <f>265-265</f>
        <v>0</v>
      </c>
      <c r="K28" s="47">
        <f>VLOOKUP(H28,名称!A:D,3,0)</f>
        <v>1</v>
      </c>
      <c r="L28" s="49">
        <f t="shared" si="8"/>
        <v>0</v>
      </c>
      <c r="M28" s="43">
        <v>46176</v>
      </c>
      <c r="N28" s="43">
        <f t="shared" si="9"/>
        <v>46174</v>
      </c>
      <c r="O28" s="43"/>
      <c r="P28" s="43" t="s">
        <v>435</v>
      </c>
      <c r="Q28" s="46" t="s">
        <v>430</v>
      </c>
      <c r="R28" s="46"/>
      <c r="S28" s="43"/>
      <c r="T28" s="43"/>
      <c r="U28" s="43"/>
      <c r="V28" s="43"/>
      <c r="W28" s="46"/>
      <c r="X28" s="49"/>
      <c r="Y28" s="57">
        <v>29.652</v>
      </c>
      <c r="Z28" s="51">
        <f t="shared" si="10"/>
        <v>0</v>
      </c>
      <c r="AA28" s="51">
        <f t="shared" si="11"/>
        <v>0</v>
      </c>
      <c r="AB28" s="58"/>
      <c r="AC28" s="43"/>
      <c r="AD28" s="43"/>
      <c r="AE28" s="43" t="str">
        <f>VLOOKUP(H28,名称!A:D,4,0)</f>
        <v>KIK</v>
      </c>
      <c r="AF28" s="47"/>
      <c r="AG28" s="53"/>
      <c r="AH28" s="53"/>
      <c r="AI28" s="53"/>
      <c r="AJ28" s="53"/>
      <c r="AK28" s="53"/>
      <c r="AL28" s="53"/>
      <c r="AM28" s="53"/>
      <c r="AN28" s="53"/>
      <c r="AO28" s="54">
        <f t="shared" si="12"/>
        <v>79</v>
      </c>
      <c r="AP28" s="54">
        <f t="shared" si="13"/>
        <v>46176</v>
      </c>
      <c r="AQ28" s="55"/>
      <c r="AR28" s="55"/>
    </row>
    <row r="29" s="16" customFormat="1" customHeight="1" spans="1:44">
      <c r="A29" s="43">
        <v>46097</v>
      </c>
      <c r="B29" s="43" t="str">
        <f ca="1" t="shared" si="7"/>
        <v>未</v>
      </c>
      <c r="C29" s="44" t="s">
        <v>237</v>
      </c>
      <c r="D29" s="43" t="s">
        <v>998</v>
      </c>
      <c r="E29" s="44"/>
      <c r="F29" s="45" t="s">
        <v>238</v>
      </c>
      <c r="G29" s="45">
        <v>202607170051</v>
      </c>
      <c r="H29" s="46" t="s">
        <v>120</v>
      </c>
      <c r="I29" s="47" t="str">
        <f>VLOOKUP(H29,名称!A:C,2,0)</f>
        <v>绿色拖拉机</v>
      </c>
      <c r="J29" s="48">
        <f>200-200</f>
        <v>0</v>
      </c>
      <c r="K29" s="47">
        <f>VLOOKUP(H29,名称!A:D,3,0)</f>
        <v>2</v>
      </c>
      <c r="L29" s="49">
        <f t="shared" si="8"/>
        <v>0</v>
      </c>
      <c r="M29" s="43">
        <v>46176</v>
      </c>
      <c r="N29" s="43">
        <f t="shared" si="9"/>
        <v>46174</v>
      </c>
      <c r="O29" s="43"/>
      <c r="P29" s="43" t="s">
        <v>435</v>
      </c>
      <c r="Q29" s="46" t="s">
        <v>430</v>
      </c>
      <c r="R29" s="46"/>
      <c r="S29" s="43"/>
      <c r="T29" s="43" t="s">
        <v>452</v>
      </c>
      <c r="U29" s="43"/>
      <c r="V29" s="43"/>
      <c r="W29" s="46"/>
      <c r="X29" s="49"/>
      <c r="Y29" s="57">
        <v>21.246</v>
      </c>
      <c r="Z29" s="51">
        <f t="shared" si="10"/>
        <v>0</v>
      </c>
      <c r="AA29" s="51">
        <f t="shared" si="11"/>
        <v>0</v>
      </c>
      <c r="AB29" s="58"/>
      <c r="AC29" s="43"/>
      <c r="AD29" s="43"/>
      <c r="AE29" s="43" t="str">
        <f>VLOOKUP(H29,名称!A:D,4,0)</f>
        <v>KIK</v>
      </c>
      <c r="AF29" s="47"/>
      <c r="AG29" s="53"/>
      <c r="AH29" s="53"/>
      <c r="AI29" s="53"/>
      <c r="AJ29" s="53"/>
      <c r="AK29" s="53"/>
      <c r="AL29" s="53"/>
      <c r="AM29" s="53"/>
      <c r="AN29" s="53"/>
      <c r="AO29" s="54">
        <f t="shared" si="12"/>
        <v>79</v>
      </c>
      <c r="AP29" s="54">
        <f t="shared" si="13"/>
        <v>46176</v>
      </c>
      <c r="AQ29" s="55"/>
      <c r="AR29" s="55"/>
    </row>
    <row r="30" s="16" customFormat="1" customHeight="1" spans="1:44">
      <c r="A30" s="43">
        <v>46097</v>
      </c>
      <c r="B30" s="43" t="str">
        <f ca="1" t="shared" si="7"/>
        <v>未</v>
      </c>
      <c r="C30" s="44" t="s">
        <v>237</v>
      </c>
      <c r="D30" s="43" t="s">
        <v>998</v>
      </c>
      <c r="E30" s="44"/>
      <c r="F30" s="45" t="s">
        <v>238</v>
      </c>
      <c r="G30" s="45">
        <v>202607170051</v>
      </c>
      <c r="H30" s="46" t="s">
        <v>113</v>
      </c>
      <c r="I30" s="47" t="str">
        <f>VLOOKUP(H30,名称!A:C,2,0)</f>
        <v>绿色铲车</v>
      </c>
      <c r="J30" s="48">
        <f>380-380</f>
        <v>0</v>
      </c>
      <c r="K30" s="47">
        <f>VLOOKUP(H30,名称!A:D,3,0)</f>
        <v>2</v>
      </c>
      <c r="L30" s="49">
        <f t="shared" si="8"/>
        <v>0</v>
      </c>
      <c r="M30" s="43">
        <v>46176</v>
      </c>
      <c r="N30" s="43">
        <f t="shared" si="9"/>
        <v>46174</v>
      </c>
      <c r="O30" s="43"/>
      <c r="P30" s="43" t="s">
        <v>435</v>
      </c>
      <c r="Q30" s="46" t="s">
        <v>430</v>
      </c>
      <c r="R30" s="46"/>
      <c r="S30" s="43"/>
      <c r="T30" s="43" t="s">
        <v>452</v>
      </c>
      <c r="U30" s="43"/>
      <c r="V30" s="43"/>
      <c r="W30" s="46"/>
      <c r="X30" s="49"/>
      <c r="Y30" s="57">
        <v>5.97</v>
      </c>
      <c r="Z30" s="51">
        <f t="shared" si="10"/>
        <v>0</v>
      </c>
      <c r="AA30" s="51">
        <f t="shared" si="11"/>
        <v>0</v>
      </c>
      <c r="AB30" s="58"/>
      <c r="AC30" s="43"/>
      <c r="AD30" s="43"/>
      <c r="AE30" s="43" t="str">
        <f>VLOOKUP(H30,名称!A:D,4,0)</f>
        <v>KIK</v>
      </c>
      <c r="AF30" s="47"/>
      <c r="AG30" s="53"/>
      <c r="AH30" s="53"/>
      <c r="AI30" s="53"/>
      <c r="AJ30" s="53"/>
      <c r="AK30" s="53"/>
      <c r="AL30" s="53"/>
      <c r="AM30" s="53"/>
      <c r="AN30" s="53"/>
      <c r="AO30" s="54">
        <f t="shared" si="12"/>
        <v>79</v>
      </c>
      <c r="AP30" s="54">
        <f t="shared" si="13"/>
        <v>46176</v>
      </c>
      <c r="AQ30" s="55"/>
      <c r="AR30" s="55"/>
    </row>
    <row r="31" s="16" customFormat="1" customHeight="1" spans="1:44">
      <c r="A31" s="43">
        <v>46097</v>
      </c>
      <c r="B31" s="43" t="str">
        <f ca="1" t="shared" si="7"/>
        <v>未</v>
      </c>
      <c r="C31" s="44" t="s">
        <v>237</v>
      </c>
      <c r="D31" s="43" t="s">
        <v>998</v>
      </c>
      <c r="E31" s="44"/>
      <c r="F31" s="45" t="s">
        <v>238</v>
      </c>
      <c r="G31" s="45">
        <v>202607170051</v>
      </c>
      <c r="H31" s="46" t="s">
        <v>39</v>
      </c>
      <c r="I31" s="47" t="str">
        <f>VLOOKUP(H31,名称!A:C,2,0)</f>
        <v>1:16货柜车</v>
      </c>
      <c r="J31" s="48">
        <f>300-300</f>
        <v>0</v>
      </c>
      <c r="K31" s="47">
        <f>VLOOKUP(H31,名称!A:D,3,0)</f>
        <v>2</v>
      </c>
      <c r="L31" s="49">
        <f t="shared" si="8"/>
        <v>0</v>
      </c>
      <c r="M31" s="43">
        <v>46176</v>
      </c>
      <c r="N31" s="43">
        <f t="shared" si="9"/>
        <v>46174</v>
      </c>
      <c r="O31" s="43"/>
      <c r="P31" s="43" t="s">
        <v>435</v>
      </c>
      <c r="Q31" s="46" t="s">
        <v>430</v>
      </c>
      <c r="R31" s="46"/>
      <c r="S31" s="43"/>
      <c r="T31" s="43"/>
      <c r="U31" s="43"/>
      <c r="V31" s="43"/>
      <c r="W31" s="46"/>
      <c r="X31" s="49"/>
      <c r="Y31" s="57">
        <v>30.536</v>
      </c>
      <c r="Z31" s="51">
        <f t="shared" si="10"/>
        <v>0</v>
      </c>
      <c r="AA31" s="51">
        <f t="shared" si="11"/>
        <v>0</v>
      </c>
      <c r="AB31" s="58"/>
      <c r="AC31" s="43"/>
      <c r="AD31" s="43"/>
      <c r="AE31" s="43" t="str">
        <f>VLOOKUP(H31,名称!A:D,4,0)</f>
        <v>KIK</v>
      </c>
      <c r="AF31" s="47"/>
      <c r="AG31" s="53"/>
      <c r="AH31" s="53"/>
      <c r="AI31" s="53"/>
      <c r="AJ31" s="53"/>
      <c r="AK31" s="53"/>
      <c r="AL31" s="53"/>
      <c r="AM31" s="53"/>
      <c r="AN31" s="53"/>
      <c r="AO31" s="54">
        <f t="shared" si="12"/>
        <v>79</v>
      </c>
      <c r="AP31" s="54">
        <f t="shared" si="13"/>
        <v>46176</v>
      </c>
      <c r="AQ31" s="55"/>
      <c r="AR31" s="55"/>
    </row>
    <row r="32" s="16" customFormat="1" customHeight="1" spans="1:44">
      <c r="A32" s="43">
        <v>46097</v>
      </c>
      <c r="B32" s="43" t="str">
        <f ca="1" t="shared" si="7"/>
        <v>未</v>
      </c>
      <c r="C32" s="44" t="s">
        <v>237</v>
      </c>
      <c r="D32" s="43" t="s">
        <v>998</v>
      </c>
      <c r="E32" s="44"/>
      <c r="F32" s="45" t="s">
        <v>238</v>
      </c>
      <c r="G32" s="45">
        <v>202607170051</v>
      </c>
      <c r="H32" s="46">
        <v>47669</v>
      </c>
      <c r="I32" s="47" t="str">
        <f>VLOOKUP(H32,名称!A:C,2,0)</f>
        <v>动物车</v>
      </c>
      <c r="J32" s="48">
        <f>500-500</f>
        <v>0</v>
      </c>
      <c r="K32" s="47">
        <f>VLOOKUP(H32,名称!A:D,3,0)</f>
        <v>4</v>
      </c>
      <c r="L32" s="49">
        <f t="shared" si="8"/>
        <v>0</v>
      </c>
      <c r="M32" s="43">
        <v>46176</v>
      </c>
      <c r="N32" s="43">
        <f t="shared" si="9"/>
        <v>46174</v>
      </c>
      <c r="O32" s="43"/>
      <c r="P32" s="43" t="s">
        <v>435</v>
      </c>
      <c r="Q32" s="46" t="s">
        <v>430</v>
      </c>
      <c r="R32" s="46"/>
      <c r="S32" s="43"/>
      <c r="T32" s="43" t="s">
        <v>452</v>
      </c>
      <c r="U32" s="43"/>
      <c r="V32" s="43"/>
      <c r="W32" s="46"/>
      <c r="X32" s="49"/>
      <c r="Y32" s="57">
        <v>4.808</v>
      </c>
      <c r="Z32" s="51">
        <f t="shared" si="10"/>
        <v>0</v>
      </c>
      <c r="AA32" s="51">
        <f t="shared" si="11"/>
        <v>0</v>
      </c>
      <c r="AB32" s="58"/>
      <c r="AC32" s="43"/>
      <c r="AD32" s="43"/>
      <c r="AE32" s="43" t="str">
        <f>VLOOKUP(H32,名称!A:D,4,0)</f>
        <v>KIK</v>
      </c>
      <c r="AF32" s="47"/>
      <c r="AG32" s="53"/>
      <c r="AH32" s="53"/>
      <c r="AI32" s="53"/>
      <c r="AJ32" s="53"/>
      <c r="AK32" s="53"/>
      <c r="AL32" s="53"/>
      <c r="AM32" s="53"/>
      <c r="AN32" s="53"/>
      <c r="AO32" s="54">
        <f t="shared" si="12"/>
        <v>79</v>
      </c>
      <c r="AP32" s="54">
        <f t="shared" si="13"/>
        <v>46176</v>
      </c>
      <c r="AQ32" s="55"/>
      <c r="AR32" s="55"/>
    </row>
    <row r="33" s="16" customFormat="1" customHeight="1" spans="1:44">
      <c r="A33" s="43">
        <v>46097</v>
      </c>
      <c r="B33" s="43" t="str">
        <f ca="1" t="shared" si="7"/>
        <v>未</v>
      </c>
      <c r="C33" s="44" t="s">
        <v>237</v>
      </c>
      <c r="D33" s="43" t="s">
        <v>998</v>
      </c>
      <c r="E33" s="44"/>
      <c r="F33" s="45" t="s">
        <v>238</v>
      </c>
      <c r="G33" s="45">
        <v>202607170051</v>
      </c>
      <c r="H33" s="46" t="s">
        <v>158</v>
      </c>
      <c r="I33" s="47" t="str">
        <f>VLOOKUP(H33,名称!A:C,2,0)</f>
        <v>JD LNS圆轮拖拉机</v>
      </c>
      <c r="J33" s="48">
        <f>600-600</f>
        <v>0</v>
      </c>
      <c r="K33" s="47">
        <f>VLOOKUP(H33,名称!A:D,3,0)</f>
        <v>2</v>
      </c>
      <c r="L33" s="49">
        <f t="shared" si="8"/>
        <v>0</v>
      </c>
      <c r="M33" s="43">
        <v>46176</v>
      </c>
      <c r="N33" s="43">
        <f t="shared" si="9"/>
        <v>46174</v>
      </c>
      <c r="O33" s="43"/>
      <c r="P33" s="43" t="s">
        <v>435</v>
      </c>
      <c r="Q33" s="46" t="s">
        <v>430</v>
      </c>
      <c r="R33" s="46"/>
      <c r="S33" s="43"/>
      <c r="T33" s="43" t="s">
        <v>452</v>
      </c>
      <c r="U33" s="43"/>
      <c r="V33" s="43"/>
      <c r="W33" s="46"/>
      <c r="X33" s="49"/>
      <c r="Y33" s="57">
        <v>5.225</v>
      </c>
      <c r="Z33" s="51">
        <f t="shared" si="10"/>
        <v>0</v>
      </c>
      <c r="AA33" s="51">
        <f t="shared" si="11"/>
        <v>0</v>
      </c>
      <c r="AB33" s="58"/>
      <c r="AC33" s="43"/>
      <c r="AD33" s="43"/>
      <c r="AE33" s="43" t="str">
        <f>VLOOKUP(H33,名称!A:D,4,0)</f>
        <v>KIK</v>
      </c>
      <c r="AF33" s="47"/>
      <c r="AG33" s="53"/>
      <c r="AH33" s="53"/>
      <c r="AI33" s="53"/>
      <c r="AJ33" s="53"/>
      <c r="AK33" s="53"/>
      <c r="AL33" s="53"/>
      <c r="AM33" s="53"/>
      <c r="AN33" s="53"/>
      <c r="AO33" s="54">
        <f t="shared" si="12"/>
        <v>79</v>
      </c>
      <c r="AP33" s="54">
        <f t="shared" si="13"/>
        <v>46176</v>
      </c>
      <c r="AQ33" s="55"/>
      <c r="AR33" s="55"/>
    </row>
    <row r="34" s="16" customFormat="1" customHeight="1" spans="1:44">
      <c r="A34" s="43">
        <v>46097</v>
      </c>
      <c r="B34" s="43" t="str">
        <f ca="1" t="shared" si="7"/>
        <v>未</v>
      </c>
      <c r="C34" s="44" t="s">
        <v>237</v>
      </c>
      <c r="D34" s="43" t="s">
        <v>998</v>
      </c>
      <c r="E34" s="44"/>
      <c r="F34" s="45" t="s">
        <v>238</v>
      </c>
      <c r="G34" s="45">
        <v>202607170051</v>
      </c>
      <c r="H34" s="46" t="s">
        <v>109</v>
      </c>
      <c r="I34" s="47" t="str">
        <f>VLOOKUP(H34,名称!A:C,2,0)</f>
        <v>红色铲车</v>
      </c>
      <c r="J34" s="48">
        <f>320-320</f>
        <v>0</v>
      </c>
      <c r="K34" s="47">
        <f>VLOOKUP(H34,名称!A:D,3,0)</f>
        <v>4</v>
      </c>
      <c r="L34" s="49">
        <f t="shared" si="8"/>
        <v>0</v>
      </c>
      <c r="M34" s="43">
        <v>46176</v>
      </c>
      <c r="N34" s="43">
        <f t="shared" si="9"/>
        <v>46174</v>
      </c>
      <c r="O34" s="43"/>
      <c r="P34" s="43" t="s">
        <v>435</v>
      </c>
      <c r="Q34" s="46" t="s">
        <v>430</v>
      </c>
      <c r="R34" s="46"/>
      <c r="S34" s="43"/>
      <c r="T34" s="43"/>
      <c r="U34" s="43"/>
      <c r="V34" s="43"/>
      <c r="W34" s="46"/>
      <c r="X34" s="49"/>
      <c r="Y34" s="57">
        <v>3.886</v>
      </c>
      <c r="Z34" s="51">
        <f t="shared" si="10"/>
        <v>0</v>
      </c>
      <c r="AA34" s="51">
        <f t="shared" si="11"/>
        <v>0</v>
      </c>
      <c r="AB34" s="58"/>
      <c r="AC34" s="43"/>
      <c r="AD34" s="43"/>
      <c r="AE34" s="43" t="str">
        <f>VLOOKUP(H34,名称!A:D,4,0)</f>
        <v>KIK</v>
      </c>
      <c r="AF34" s="47"/>
      <c r="AG34" s="53"/>
      <c r="AH34" s="53"/>
      <c r="AI34" s="53"/>
      <c r="AJ34" s="53"/>
      <c r="AK34" s="53"/>
      <c r="AL34" s="53"/>
      <c r="AM34" s="53"/>
      <c r="AN34" s="53"/>
      <c r="AO34" s="54">
        <f t="shared" si="12"/>
        <v>79</v>
      </c>
      <c r="AP34" s="54">
        <f t="shared" si="13"/>
        <v>46176</v>
      </c>
      <c r="AQ34" s="55"/>
      <c r="AR34" s="55"/>
    </row>
    <row r="35" s="16" customFormat="1" customHeight="1" spans="1:44">
      <c r="A35" s="43">
        <v>46097</v>
      </c>
      <c r="B35" s="43" t="str">
        <f ca="1" t="shared" si="7"/>
        <v>未</v>
      </c>
      <c r="C35" s="44" t="s">
        <v>237</v>
      </c>
      <c r="D35" s="43" t="s">
        <v>998</v>
      </c>
      <c r="E35" s="44"/>
      <c r="F35" s="45" t="s">
        <v>238</v>
      </c>
      <c r="G35" s="45">
        <v>202607170051</v>
      </c>
      <c r="H35" s="46" t="s">
        <v>111</v>
      </c>
      <c r="I35" s="47" t="str">
        <f>VLOOKUP(H35,名称!A:C,2,0)</f>
        <v>黄色铲车</v>
      </c>
      <c r="J35" s="48">
        <f>320-320</f>
        <v>0</v>
      </c>
      <c r="K35" s="47">
        <f>VLOOKUP(H35,名称!A:D,3,0)</f>
        <v>4</v>
      </c>
      <c r="L35" s="49">
        <f t="shared" si="8"/>
        <v>0</v>
      </c>
      <c r="M35" s="43">
        <v>46176</v>
      </c>
      <c r="N35" s="43">
        <f t="shared" si="9"/>
        <v>46174</v>
      </c>
      <c r="O35" s="43"/>
      <c r="P35" s="43" t="s">
        <v>435</v>
      </c>
      <c r="Q35" s="46" t="s">
        <v>430</v>
      </c>
      <c r="R35" s="46"/>
      <c r="S35" s="43"/>
      <c r="T35" s="43" t="s">
        <v>452</v>
      </c>
      <c r="U35" s="43"/>
      <c r="V35" s="43"/>
      <c r="W35" s="46"/>
      <c r="X35" s="49"/>
      <c r="Y35" s="57">
        <v>3.816</v>
      </c>
      <c r="Z35" s="51">
        <f t="shared" si="10"/>
        <v>0</v>
      </c>
      <c r="AA35" s="51">
        <f t="shared" si="11"/>
        <v>0</v>
      </c>
      <c r="AB35" s="58"/>
      <c r="AC35" s="43"/>
      <c r="AD35" s="43"/>
      <c r="AE35" s="43" t="str">
        <f>VLOOKUP(H35,名称!A:D,4,0)</f>
        <v>KIK</v>
      </c>
      <c r="AF35" s="47"/>
      <c r="AG35" s="53"/>
      <c r="AH35" s="53"/>
      <c r="AI35" s="53"/>
      <c r="AJ35" s="53"/>
      <c r="AK35" s="53"/>
      <c r="AL35" s="53"/>
      <c r="AM35" s="53"/>
      <c r="AN35" s="53"/>
      <c r="AO35" s="54">
        <f t="shared" si="12"/>
        <v>79</v>
      </c>
      <c r="AP35" s="54">
        <f t="shared" si="13"/>
        <v>46176</v>
      </c>
      <c r="AQ35" s="55"/>
      <c r="AR35" s="55"/>
    </row>
    <row r="36" s="16" customFormat="1" customHeight="1" spans="1:44">
      <c r="A36" s="43">
        <v>46097</v>
      </c>
      <c r="B36" s="43" t="str">
        <f ca="1" t="shared" si="7"/>
        <v>未</v>
      </c>
      <c r="C36" s="44" t="s">
        <v>237</v>
      </c>
      <c r="D36" s="43" t="s">
        <v>998</v>
      </c>
      <c r="E36" s="44"/>
      <c r="F36" s="45" t="s">
        <v>238</v>
      </c>
      <c r="G36" s="45">
        <v>202607170051</v>
      </c>
      <c r="H36" s="46" t="s">
        <v>118</v>
      </c>
      <c r="I36" s="47" t="str">
        <f>VLOOKUP(H36,名称!A:C,2,0)</f>
        <v>滑板拖车</v>
      </c>
      <c r="J36" s="48">
        <f>540-540</f>
        <v>0</v>
      </c>
      <c r="K36" s="47">
        <f>VLOOKUP(H36,名称!A:D,3,0)</f>
        <v>4</v>
      </c>
      <c r="L36" s="49">
        <f t="shared" si="8"/>
        <v>0</v>
      </c>
      <c r="M36" s="43">
        <v>46176</v>
      </c>
      <c r="N36" s="43">
        <f t="shared" si="9"/>
        <v>46174</v>
      </c>
      <c r="O36" s="43"/>
      <c r="P36" s="43" t="s">
        <v>435</v>
      </c>
      <c r="Q36" s="46" t="s">
        <v>430</v>
      </c>
      <c r="R36" s="46"/>
      <c r="S36" s="43"/>
      <c r="T36" s="43" t="s">
        <v>452</v>
      </c>
      <c r="U36" s="43"/>
      <c r="V36" s="43"/>
      <c r="W36" s="46"/>
      <c r="X36" s="49"/>
      <c r="Y36" s="57">
        <v>16.71</v>
      </c>
      <c r="Z36" s="51">
        <f t="shared" si="10"/>
        <v>0</v>
      </c>
      <c r="AA36" s="51">
        <f t="shared" si="11"/>
        <v>0</v>
      </c>
      <c r="AB36" s="58"/>
      <c r="AC36" s="43"/>
      <c r="AD36" s="43"/>
      <c r="AE36" s="43" t="str">
        <f>VLOOKUP(H36,名称!A:D,4,0)</f>
        <v>KIK</v>
      </c>
      <c r="AF36" s="47"/>
      <c r="AG36" s="53"/>
      <c r="AH36" s="53"/>
      <c r="AI36" s="53"/>
      <c r="AJ36" s="53"/>
      <c r="AK36" s="53"/>
      <c r="AL36" s="53"/>
      <c r="AM36" s="53"/>
      <c r="AN36" s="53"/>
      <c r="AO36" s="54">
        <f t="shared" si="12"/>
        <v>79</v>
      </c>
      <c r="AP36" s="54">
        <f t="shared" si="13"/>
        <v>46176</v>
      </c>
      <c r="AQ36" s="55"/>
      <c r="AR36" s="55"/>
    </row>
    <row r="37" s="16" customFormat="1" customHeight="1" spans="1:44">
      <c r="A37" s="43">
        <v>46099</v>
      </c>
      <c r="B37" s="43" t="str">
        <f ca="1" t="shared" si="7"/>
        <v>未</v>
      </c>
      <c r="C37" s="44" t="s">
        <v>237</v>
      </c>
      <c r="D37" s="43" t="s">
        <v>998</v>
      </c>
      <c r="E37" s="44"/>
      <c r="F37" s="45" t="s">
        <v>238</v>
      </c>
      <c r="G37" s="45">
        <v>202607270046</v>
      </c>
      <c r="H37" s="46" t="s">
        <v>29</v>
      </c>
      <c r="I37" s="47" t="str">
        <f>IFERROR(VLOOKUP(H37,名称!A:C,2,0),"")</f>
        <v>木材运输车</v>
      </c>
      <c r="J37" s="48">
        <f>624-52-48-88-64-36-132-68-40-44-24-28</f>
        <v>0</v>
      </c>
      <c r="K37" s="47">
        <f>IFERROR(VLOOKUP(H37,名称!A:D,3,0),"")</f>
        <v>4</v>
      </c>
      <c r="L37" s="49">
        <f t="shared" ref="L37:L49" si="14">IFERROR((J37/K37),"")</f>
        <v>0</v>
      </c>
      <c r="M37" s="43">
        <v>46176</v>
      </c>
      <c r="N37" s="43">
        <f t="shared" si="9"/>
        <v>46174</v>
      </c>
      <c r="O37" s="43"/>
      <c r="P37" s="43" t="s">
        <v>435</v>
      </c>
      <c r="Q37" s="46" t="s">
        <v>430</v>
      </c>
      <c r="R37" s="46"/>
      <c r="S37" s="43"/>
      <c r="T37" s="43"/>
      <c r="U37" s="43"/>
      <c r="V37" s="43"/>
      <c r="W37" s="46"/>
      <c r="X37" s="49"/>
      <c r="Y37" s="57">
        <v>21.801</v>
      </c>
      <c r="Z37" s="51">
        <f t="shared" si="10"/>
        <v>0</v>
      </c>
      <c r="AA37" s="51">
        <f t="shared" si="11"/>
        <v>0</v>
      </c>
      <c r="AB37" s="58"/>
      <c r="AC37" s="43"/>
      <c r="AD37" s="43"/>
      <c r="AE37" s="43" t="str">
        <f>IFERROR(VLOOKUP(H37,名称!A:D,4,0),"")</f>
        <v>KIK</v>
      </c>
      <c r="AF37" s="47"/>
      <c r="AG37" s="53"/>
      <c r="AH37" s="53"/>
      <c r="AI37" s="53"/>
      <c r="AJ37" s="53"/>
      <c r="AK37" s="53"/>
      <c r="AL37" s="53"/>
      <c r="AM37" s="53"/>
      <c r="AN37" s="53"/>
      <c r="AO37" s="54">
        <f t="shared" si="12"/>
        <v>77</v>
      </c>
      <c r="AP37" s="54">
        <f t="shared" si="13"/>
        <v>46176</v>
      </c>
      <c r="AQ37" s="55"/>
      <c r="AR37" s="55"/>
    </row>
    <row r="38" s="16" customFormat="1" customHeight="1" spans="1:44">
      <c r="A38" s="43">
        <v>46099</v>
      </c>
      <c r="B38" s="43" t="str">
        <f ca="1" t="shared" si="7"/>
        <v>未</v>
      </c>
      <c r="C38" s="44" t="s">
        <v>237</v>
      </c>
      <c r="D38" s="43" t="s">
        <v>998</v>
      </c>
      <c r="E38" s="44"/>
      <c r="F38" s="45" t="s">
        <v>238</v>
      </c>
      <c r="G38" s="45">
        <v>202607270046</v>
      </c>
      <c r="H38" s="46" t="s">
        <v>31</v>
      </c>
      <c r="I38" s="47" t="str">
        <f>IFERROR(VLOOKUP(H38,名称!A:C,2,0),"")</f>
        <v>1:16收割机</v>
      </c>
      <c r="J38" s="48">
        <f>5301-547-547-547-547-547-547-547-547-220-100-90-36-128-102-70-75-4-100</f>
        <v>0</v>
      </c>
      <c r="K38" s="47">
        <f>IFERROR(VLOOKUP(H38,名称!A:D,3,0),"")</f>
        <v>1</v>
      </c>
      <c r="L38" s="49">
        <f t="shared" si="14"/>
        <v>0</v>
      </c>
      <c r="M38" s="43">
        <v>46176</v>
      </c>
      <c r="N38" s="43">
        <f t="shared" si="9"/>
        <v>46174</v>
      </c>
      <c r="O38" s="43"/>
      <c r="P38" s="43" t="s">
        <v>435</v>
      </c>
      <c r="Q38" s="46" t="s">
        <v>430</v>
      </c>
      <c r="R38" s="46"/>
      <c r="S38" s="43"/>
      <c r="T38" s="43"/>
      <c r="U38" s="43"/>
      <c r="V38" s="43"/>
      <c r="W38" s="46"/>
      <c r="X38" s="49"/>
      <c r="Y38" s="57">
        <v>29.652</v>
      </c>
      <c r="Z38" s="51">
        <f t="shared" si="10"/>
        <v>0</v>
      </c>
      <c r="AA38" s="51">
        <f t="shared" si="11"/>
        <v>0</v>
      </c>
      <c r="AB38" s="58"/>
      <c r="AC38" s="43"/>
      <c r="AD38" s="43"/>
      <c r="AE38" s="43" t="str">
        <f>IFERROR(VLOOKUP(H38,名称!A:D,4,0),"")</f>
        <v>KIK</v>
      </c>
      <c r="AF38" s="47"/>
      <c r="AG38" s="53"/>
      <c r="AH38" s="53"/>
      <c r="AI38" s="53"/>
      <c r="AJ38" s="53"/>
      <c r="AK38" s="53"/>
      <c r="AL38" s="53"/>
      <c r="AM38" s="53"/>
      <c r="AN38" s="53"/>
      <c r="AO38" s="54">
        <f t="shared" si="12"/>
        <v>77</v>
      </c>
      <c r="AP38" s="54">
        <f t="shared" si="13"/>
        <v>46176</v>
      </c>
      <c r="AQ38" s="55"/>
      <c r="AR38" s="55"/>
    </row>
    <row r="39" s="16" customFormat="1" customHeight="1" spans="1:44">
      <c r="A39" s="43">
        <v>46099</v>
      </c>
      <c r="B39" s="43" t="str">
        <f ca="1" t="shared" si="7"/>
        <v>未</v>
      </c>
      <c r="C39" s="44" t="s">
        <v>237</v>
      </c>
      <c r="D39" s="43" t="s">
        <v>998</v>
      </c>
      <c r="E39" s="44"/>
      <c r="F39" s="45" t="s">
        <v>238</v>
      </c>
      <c r="G39" s="45">
        <v>202607270046</v>
      </c>
      <c r="H39" s="46" t="s">
        <v>35</v>
      </c>
      <c r="I39" s="47" t="str">
        <f>IFERROR(VLOOKUP(H39,名称!A:C,2,0),"")</f>
        <v>1:16拖车厢</v>
      </c>
      <c r="J39" s="48">
        <f>1402-150-200-60-62-54-40-98-54-56-160-70-108-36-64-74-116</f>
        <v>0</v>
      </c>
      <c r="K39" s="47">
        <f>IFERROR(VLOOKUP(H39,名称!A:D,3,0),"")</f>
        <v>2</v>
      </c>
      <c r="L39" s="49">
        <f t="shared" si="14"/>
        <v>0</v>
      </c>
      <c r="M39" s="43">
        <v>46176</v>
      </c>
      <c r="N39" s="43">
        <f t="shared" si="9"/>
        <v>46174</v>
      </c>
      <c r="O39" s="43"/>
      <c r="P39" s="43" t="s">
        <v>435</v>
      </c>
      <c r="Q39" s="46" t="s">
        <v>430</v>
      </c>
      <c r="R39" s="46"/>
      <c r="S39" s="43"/>
      <c r="T39" s="43"/>
      <c r="U39" s="43"/>
      <c r="V39" s="43"/>
      <c r="W39" s="46"/>
      <c r="X39" s="49"/>
      <c r="Y39" s="57">
        <v>22.9</v>
      </c>
      <c r="Z39" s="51">
        <f t="shared" si="10"/>
        <v>0</v>
      </c>
      <c r="AA39" s="51">
        <f t="shared" si="11"/>
        <v>0</v>
      </c>
      <c r="AB39" s="58"/>
      <c r="AC39" s="43"/>
      <c r="AD39" s="43"/>
      <c r="AE39" s="43" t="str">
        <f>IFERROR(VLOOKUP(H39,名称!A:D,4,0),"")</f>
        <v>KIK</v>
      </c>
      <c r="AF39" s="47"/>
      <c r="AG39" s="53"/>
      <c r="AH39" s="53"/>
      <c r="AI39" s="53"/>
      <c r="AJ39" s="53"/>
      <c r="AK39" s="53"/>
      <c r="AL39" s="53"/>
      <c r="AM39" s="53"/>
      <c r="AN39" s="53"/>
      <c r="AO39" s="54">
        <f t="shared" si="12"/>
        <v>77</v>
      </c>
      <c r="AP39" s="54">
        <f t="shared" si="13"/>
        <v>46176</v>
      </c>
      <c r="AQ39" s="55"/>
      <c r="AR39" s="55"/>
    </row>
    <row r="40" s="16" customFormat="1" customHeight="1" spans="1:44">
      <c r="A40" s="43">
        <v>46099</v>
      </c>
      <c r="B40" s="43" t="str">
        <f ca="1" t="shared" si="7"/>
        <v>未</v>
      </c>
      <c r="C40" s="44" t="s">
        <v>237</v>
      </c>
      <c r="D40" s="43" t="s">
        <v>998</v>
      </c>
      <c r="E40" s="44"/>
      <c r="F40" s="45" t="s">
        <v>238</v>
      </c>
      <c r="G40" s="45">
        <v>202607270046</v>
      </c>
      <c r="H40" s="46" t="s">
        <v>87</v>
      </c>
      <c r="I40" s="47" t="str">
        <f>IFERROR(VLOOKUP(H40,名称!A:C,2,0),"")</f>
        <v>1:16收割机</v>
      </c>
      <c r="J40" s="48">
        <f>118-60-34-24</f>
        <v>0</v>
      </c>
      <c r="K40" s="47">
        <f>IFERROR(VLOOKUP(H40,名称!A:D,3,0),"")</f>
        <v>1</v>
      </c>
      <c r="L40" s="49">
        <f t="shared" si="14"/>
        <v>0</v>
      </c>
      <c r="M40" s="43">
        <v>46176</v>
      </c>
      <c r="N40" s="43">
        <f t="shared" si="9"/>
        <v>46174</v>
      </c>
      <c r="O40" s="43"/>
      <c r="P40" s="43" t="s">
        <v>435</v>
      </c>
      <c r="Q40" s="46" t="s">
        <v>430</v>
      </c>
      <c r="R40" s="46"/>
      <c r="S40" s="43"/>
      <c r="T40" s="43"/>
      <c r="U40" s="43"/>
      <c r="V40" s="43"/>
      <c r="W40" s="46"/>
      <c r="X40" s="49"/>
      <c r="Y40" s="57">
        <v>31.4</v>
      </c>
      <c r="Z40" s="51">
        <f t="shared" si="10"/>
        <v>0</v>
      </c>
      <c r="AA40" s="51">
        <f t="shared" si="11"/>
        <v>0</v>
      </c>
      <c r="AB40" s="58"/>
      <c r="AC40" s="43"/>
      <c r="AD40" s="43"/>
      <c r="AE40" s="43" t="str">
        <f>IFERROR(VLOOKUP(H40,名称!A:D,4,0),"")</f>
        <v>KIK</v>
      </c>
      <c r="AF40" s="47"/>
      <c r="AG40" s="53"/>
      <c r="AH40" s="53"/>
      <c r="AI40" s="53"/>
      <c r="AJ40" s="53"/>
      <c r="AK40" s="53"/>
      <c r="AL40" s="53"/>
      <c r="AM40" s="53"/>
      <c r="AN40" s="53"/>
      <c r="AO40" s="54">
        <f t="shared" si="12"/>
        <v>77</v>
      </c>
      <c r="AP40" s="54">
        <f t="shared" si="13"/>
        <v>46176</v>
      </c>
      <c r="AQ40" s="55"/>
      <c r="AR40" s="55"/>
    </row>
    <row r="41" s="16" customFormat="1" customHeight="1" spans="1:44">
      <c r="A41" s="43">
        <v>46099</v>
      </c>
      <c r="B41" s="43" t="str">
        <f ca="1" t="shared" si="7"/>
        <v>未</v>
      </c>
      <c r="C41" s="44" t="s">
        <v>237</v>
      </c>
      <c r="D41" s="43" t="s">
        <v>998</v>
      </c>
      <c r="E41" s="44"/>
      <c r="F41" s="45" t="s">
        <v>238</v>
      </c>
      <c r="G41" s="45">
        <v>202607270046</v>
      </c>
      <c r="H41" s="46" t="s">
        <v>39</v>
      </c>
      <c r="I41" s="47" t="str">
        <f>IFERROR(VLOOKUP(H41,名称!A:C,2,0),"")</f>
        <v>1:16货柜车</v>
      </c>
      <c r="J41" s="48">
        <f>732-20-40-80-54-36-180-44-94-26-32-48-78</f>
        <v>0</v>
      </c>
      <c r="K41" s="47">
        <f>IFERROR(VLOOKUP(H41,名称!A:D,3,0),"")</f>
        <v>2</v>
      </c>
      <c r="L41" s="49">
        <f t="shared" si="14"/>
        <v>0</v>
      </c>
      <c r="M41" s="43">
        <v>46176</v>
      </c>
      <c r="N41" s="43">
        <f t="shared" si="9"/>
        <v>46174</v>
      </c>
      <c r="O41" s="43"/>
      <c r="P41" s="43" t="s">
        <v>435</v>
      </c>
      <c r="Q41" s="46" t="s">
        <v>430</v>
      </c>
      <c r="R41" s="46"/>
      <c r="S41" s="43"/>
      <c r="T41" s="43"/>
      <c r="U41" s="43"/>
      <c r="V41" s="43"/>
      <c r="W41" s="46"/>
      <c r="X41" s="49"/>
      <c r="Y41" s="57">
        <v>30.536</v>
      </c>
      <c r="Z41" s="51">
        <f t="shared" si="10"/>
        <v>0</v>
      </c>
      <c r="AA41" s="51">
        <f t="shared" si="11"/>
        <v>0</v>
      </c>
      <c r="AB41" s="58"/>
      <c r="AC41" s="43"/>
      <c r="AD41" s="43"/>
      <c r="AE41" s="43" t="str">
        <f>IFERROR(VLOOKUP(H41,名称!A:D,4,0),"")</f>
        <v>KIK</v>
      </c>
      <c r="AF41" s="47"/>
      <c r="AG41" s="53"/>
      <c r="AH41" s="53"/>
      <c r="AI41" s="53"/>
      <c r="AJ41" s="53"/>
      <c r="AK41" s="53"/>
      <c r="AL41" s="53"/>
      <c r="AM41" s="53"/>
      <c r="AN41" s="53"/>
      <c r="AO41" s="54">
        <f t="shared" si="12"/>
        <v>77</v>
      </c>
      <c r="AP41" s="54">
        <f t="shared" si="13"/>
        <v>46176</v>
      </c>
      <c r="AQ41" s="55"/>
      <c r="AR41" s="55"/>
    </row>
    <row r="42" s="16" customFormat="1" customHeight="1" spans="1:44">
      <c r="A42" s="43">
        <v>46099</v>
      </c>
      <c r="B42" s="43" t="str">
        <f ca="1" t="shared" si="7"/>
        <v>未</v>
      </c>
      <c r="C42" s="44" t="s">
        <v>237</v>
      </c>
      <c r="D42" s="43" t="s">
        <v>998</v>
      </c>
      <c r="E42" s="44"/>
      <c r="F42" s="45" t="s">
        <v>238</v>
      </c>
      <c r="G42" s="45">
        <v>202607270046</v>
      </c>
      <c r="H42" s="46">
        <v>47669</v>
      </c>
      <c r="I42" s="47" t="str">
        <f>IFERROR(VLOOKUP(H42,名称!A:C,2,0),"")</f>
        <v>动物车</v>
      </c>
      <c r="J42" s="48">
        <f>2024-344-412-160-92-160-80-60-312-100-80-36-64-124</f>
        <v>0</v>
      </c>
      <c r="K42" s="47">
        <f>IFERROR(VLOOKUP(H42,名称!A:D,3,0),"")</f>
        <v>4</v>
      </c>
      <c r="L42" s="49">
        <f t="shared" si="14"/>
        <v>0</v>
      </c>
      <c r="M42" s="43">
        <v>46176</v>
      </c>
      <c r="N42" s="43">
        <f t="shared" si="9"/>
        <v>46174</v>
      </c>
      <c r="O42" s="43"/>
      <c r="P42" s="43" t="s">
        <v>435</v>
      </c>
      <c r="Q42" s="46" t="s">
        <v>430</v>
      </c>
      <c r="R42" s="46"/>
      <c r="S42" s="43"/>
      <c r="T42" s="43" t="s">
        <v>452</v>
      </c>
      <c r="U42" s="43"/>
      <c r="V42" s="43"/>
      <c r="W42" s="46"/>
      <c r="X42" s="49"/>
      <c r="Y42" s="57">
        <v>4.808</v>
      </c>
      <c r="Z42" s="51">
        <f t="shared" si="10"/>
        <v>0</v>
      </c>
      <c r="AA42" s="51">
        <f t="shared" si="11"/>
        <v>0</v>
      </c>
      <c r="AB42" s="58"/>
      <c r="AC42" s="43"/>
      <c r="AD42" s="43"/>
      <c r="AE42" s="43" t="str">
        <f>IFERROR(VLOOKUP(H42,名称!A:D,4,0),"")</f>
        <v>KIK</v>
      </c>
      <c r="AF42" s="47"/>
      <c r="AG42" s="53"/>
      <c r="AH42" s="53"/>
      <c r="AI42" s="53">
        <v>46115</v>
      </c>
      <c r="AJ42" s="53"/>
      <c r="AK42" s="53"/>
      <c r="AL42" s="53"/>
      <c r="AM42" s="53"/>
      <c r="AN42" s="53"/>
      <c r="AO42" s="54">
        <f t="shared" si="12"/>
        <v>77</v>
      </c>
      <c r="AP42" s="54">
        <f t="shared" si="13"/>
        <v>61</v>
      </c>
      <c r="AQ42" s="55"/>
      <c r="AR42" s="55"/>
    </row>
    <row r="43" s="16" customFormat="1" customHeight="1" spans="1:44">
      <c r="A43" s="43">
        <v>46099</v>
      </c>
      <c r="B43" s="43" t="str">
        <f ca="1" t="shared" si="7"/>
        <v>未</v>
      </c>
      <c r="C43" s="44" t="s">
        <v>237</v>
      </c>
      <c r="D43" s="43" t="s">
        <v>998</v>
      </c>
      <c r="E43" s="44"/>
      <c r="F43" s="45" t="s">
        <v>238</v>
      </c>
      <c r="G43" s="45">
        <v>202607270046</v>
      </c>
      <c r="H43" s="46" t="s">
        <v>158</v>
      </c>
      <c r="I43" s="47" t="str">
        <f>IFERROR(VLOOKUP(H43,名称!A:C,2,0),"")</f>
        <v>JD LNS圆轮拖拉机</v>
      </c>
      <c r="J43" s="48">
        <f>1542-300-188-44-296-244-354-50-66</f>
        <v>0</v>
      </c>
      <c r="K43" s="47">
        <f>IFERROR(VLOOKUP(H43,名称!A:D,3,0),"")</f>
        <v>2</v>
      </c>
      <c r="L43" s="49">
        <f t="shared" si="14"/>
        <v>0</v>
      </c>
      <c r="M43" s="43">
        <v>46176</v>
      </c>
      <c r="N43" s="43">
        <f t="shared" si="9"/>
        <v>46174</v>
      </c>
      <c r="O43" s="43"/>
      <c r="P43" s="43" t="s">
        <v>435</v>
      </c>
      <c r="Q43" s="46" t="s">
        <v>430</v>
      </c>
      <c r="R43" s="46"/>
      <c r="S43" s="43"/>
      <c r="T43" s="43" t="s">
        <v>452</v>
      </c>
      <c r="U43" s="43"/>
      <c r="V43" s="43"/>
      <c r="W43" s="46"/>
      <c r="X43" s="49"/>
      <c r="Y43" s="57">
        <v>5.225</v>
      </c>
      <c r="Z43" s="51">
        <f t="shared" si="10"/>
        <v>0</v>
      </c>
      <c r="AA43" s="51">
        <f t="shared" si="11"/>
        <v>0</v>
      </c>
      <c r="AB43" s="58"/>
      <c r="AC43" s="43"/>
      <c r="AD43" s="43"/>
      <c r="AE43" s="43" t="str">
        <f>IFERROR(VLOOKUP(H43,名称!A:D,4,0),"")</f>
        <v>KIK</v>
      </c>
      <c r="AF43" s="47"/>
      <c r="AG43" s="53"/>
      <c r="AH43" s="53"/>
      <c r="AI43" s="53">
        <v>46115</v>
      </c>
      <c r="AJ43" s="53"/>
      <c r="AK43" s="53"/>
      <c r="AL43" s="53"/>
      <c r="AM43" s="53"/>
      <c r="AN43" s="53"/>
      <c r="AO43" s="54">
        <f t="shared" si="12"/>
        <v>77</v>
      </c>
      <c r="AP43" s="54">
        <f t="shared" si="13"/>
        <v>61</v>
      </c>
      <c r="AQ43" s="55"/>
      <c r="AR43" s="55"/>
    </row>
    <row r="44" s="16" customFormat="1" customHeight="1" spans="1:44">
      <c r="A44" s="43">
        <v>46099</v>
      </c>
      <c r="B44" s="43" t="str">
        <f ca="1" t="shared" si="7"/>
        <v>未</v>
      </c>
      <c r="C44" s="44" t="s">
        <v>237</v>
      </c>
      <c r="D44" s="43" t="s">
        <v>998</v>
      </c>
      <c r="E44" s="44"/>
      <c r="F44" s="45" t="s">
        <v>238</v>
      </c>
      <c r="G44" s="45">
        <v>202607270046</v>
      </c>
      <c r="H44" s="46" t="s">
        <v>109</v>
      </c>
      <c r="I44" s="47" t="str">
        <f>IFERROR(VLOOKUP(H44,名称!A:C,2,0),"")</f>
        <v>红色铲车</v>
      </c>
      <c r="J44" s="48">
        <f>1620-280-336-100-204-80-104-188-64-104-80-80</f>
        <v>0</v>
      </c>
      <c r="K44" s="47">
        <f>IFERROR(VLOOKUP(H44,名称!A:D,3,0),"")</f>
        <v>4</v>
      </c>
      <c r="L44" s="49">
        <f t="shared" si="14"/>
        <v>0</v>
      </c>
      <c r="M44" s="43">
        <v>46176</v>
      </c>
      <c r="N44" s="43">
        <f t="shared" si="9"/>
        <v>46174</v>
      </c>
      <c r="O44" s="43"/>
      <c r="P44" s="43" t="s">
        <v>435</v>
      </c>
      <c r="Q44" s="46" t="s">
        <v>430</v>
      </c>
      <c r="R44" s="46"/>
      <c r="S44" s="43"/>
      <c r="T44" s="43"/>
      <c r="U44" s="43"/>
      <c r="V44" s="43"/>
      <c r="W44" s="46"/>
      <c r="X44" s="49"/>
      <c r="Y44" s="57">
        <v>3.886</v>
      </c>
      <c r="Z44" s="51">
        <f t="shared" si="10"/>
        <v>0</v>
      </c>
      <c r="AA44" s="51">
        <f t="shared" si="11"/>
        <v>0</v>
      </c>
      <c r="AB44" s="58"/>
      <c r="AC44" s="43"/>
      <c r="AD44" s="43"/>
      <c r="AE44" s="43" t="str">
        <f>IFERROR(VLOOKUP(H44,名称!A:D,4,0),"")</f>
        <v>KIK</v>
      </c>
      <c r="AF44" s="47"/>
      <c r="AG44" s="53"/>
      <c r="AH44" s="53"/>
      <c r="AI44" s="53"/>
      <c r="AJ44" s="53"/>
      <c r="AK44" s="53"/>
      <c r="AL44" s="53"/>
      <c r="AM44" s="53"/>
      <c r="AN44" s="53"/>
      <c r="AO44" s="54">
        <f t="shared" si="12"/>
        <v>77</v>
      </c>
      <c r="AP44" s="54">
        <f t="shared" si="13"/>
        <v>46176</v>
      </c>
      <c r="AQ44" s="55"/>
      <c r="AR44" s="55"/>
    </row>
    <row r="45" s="16" customFormat="1" customHeight="1" spans="1:44">
      <c r="A45" s="43">
        <v>46099</v>
      </c>
      <c r="B45" s="43" t="str">
        <f ca="1" t="shared" si="7"/>
        <v>未</v>
      </c>
      <c r="C45" s="44" t="s">
        <v>237</v>
      </c>
      <c r="D45" s="43" t="s">
        <v>998</v>
      </c>
      <c r="E45" s="44"/>
      <c r="F45" s="45" t="s">
        <v>238</v>
      </c>
      <c r="G45" s="45">
        <v>202607270046</v>
      </c>
      <c r="H45" s="46" t="s">
        <v>111</v>
      </c>
      <c r="I45" s="47" t="str">
        <f>IFERROR(VLOOKUP(H45,名称!A:C,2,0),"")</f>
        <v>黄色铲车</v>
      </c>
      <c r="J45" s="48">
        <f>3216-120-120-308-320-116-300-252-148-328-600-64-260-200-80</f>
        <v>0</v>
      </c>
      <c r="K45" s="47">
        <f>IFERROR(VLOOKUP(H45,名称!A:D,3,0),"")</f>
        <v>4</v>
      </c>
      <c r="L45" s="49">
        <f t="shared" si="14"/>
        <v>0</v>
      </c>
      <c r="M45" s="43">
        <v>46176</v>
      </c>
      <c r="N45" s="43">
        <f t="shared" si="9"/>
        <v>46174</v>
      </c>
      <c r="O45" s="43"/>
      <c r="P45" s="43" t="s">
        <v>435</v>
      </c>
      <c r="Q45" s="46" t="s">
        <v>430</v>
      </c>
      <c r="R45" s="46"/>
      <c r="S45" s="43"/>
      <c r="T45" s="43" t="s">
        <v>452</v>
      </c>
      <c r="U45" s="43"/>
      <c r="V45" s="43"/>
      <c r="W45" s="46"/>
      <c r="X45" s="49"/>
      <c r="Y45" s="57">
        <v>3.816</v>
      </c>
      <c r="Z45" s="51">
        <f t="shared" si="10"/>
        <v>0</v>
      </c>
      <c r="AA45" s="51">
        <f t="shared" si="11"/>
        <v>0</v>
      </c>
      <c r="AB45" s="58"/>
      <c r="AC45" s="43"/>
      <c r="AD45" s="43"/>
      <c r="AE45" s="43" t="str">
        <f>IFERROR(VLOOKUP(H45,名称!A:D,4,0),"")</f>
        <v>KIK</v>
      </c>
      <c r="AF45" s="47"/>
      <c r="AG45" s="53"/>
      <c r="AH45" s="53"/>
      <c r="AI45" s="53"/>
      <c r="AJ45" s="53"/>
      <c r="AK45" s="53"/>
      <c r="AL45" s="53"/>
      <c r="AM45" s="53"/>
      <c r="AN45" s="53"/>
      <c r="AO45" s="54">
        <f t="shared" si="12"/>
        <v>77</v>
      </c>
      <c r="AP45" s="54">
        <f t="shared" si="13"/>
        <v>46176</v>
      </c>
      <c r="AQ45" s="55"/>
      <c r="AR45" s="55"/>
    </row>
    <row r="46" s="16" customFormat="1" customHeight="1" spans="1:44">
      <c r="A46" s="43">
        <v>46099</v>
      </c>
      <c r="B46" s="43" t="str">
        <f ca="1" t="shared" si="7"/>
        <v>未</v>
      </c>
      <c r="C46" s="44" t="s">
        <v>237</v>
      </c>
      <c r="D46" s="43" t="s">
        <v>998</v>
      </c>
      <c r="E46" s="44"/>
      <c r="F46" s="45" t="s">
        <v>238</v>
      </c>
      <c r="G46" s="45">
        <v>202607270046</v>
      </c>
      <c r="H46" s="46" t="s">
        <v>113</v>
      </c>
      <c r="I46" s="47" t="str">
        <f>IFERROR(VLOOKUP(H46,名称!A:C,2,0),"")</f>
        <v>绿色铲车</v>
      </c>
      <c r="J46" s="48">
        <f>15830-3700-4360-2616-1744-700-210-864-144-300-252-148-144-576-72</f>
        <v>0</v>
      </c>
      <c r="K46" s="47">
        <f>IFERROR(VLOOKUP(H46,名称!A:D,3,0),"")</f>
        <v>2</v>
      </c>
      <c r="L46" s="49">
        <f t="shared" si="14"/>
        <v>0</v>
      </c>
      <c r="M46" s="43">
        <v>46176</v>
      </c>
      <c r="N46" s="43">
        <f t="shared" si="9"/>
        <v>46174</v>
      </c>
      <c r="O46" s="43"/>
      <c r="P46" s="43" t="s">
        <v>435</v>
      </c>
      <c r="Q46" s="46" t="s">
        <v>430</v>
      </c>
      <c r="R46" s="46"/>
      <c r="S46" s="43"/>
      <c r="T46" s="43" t="s">
        <v>452</v>
      </c>
      <c r="U46" s="43"/>
      <c r="V46" s="43"/>
      <c r="W46" s="46"/>
      <c r="X46" s="49"/>
      <c r="Y46" s="57">
        <v>5.97</v>
      </c>
      <c r="Z46" s="51">
        <f t="shared" si="10"/>
        <v>0</v>
      </c>
      <c r="AA46" s="51">
        <f t="shared" si="11"/>
        <v>0</v>
      </c>
      <c r="AB46" s="58"/>
      <c r="AC46" s="43"/>
      <c r="AD46" s="43"/>
      <c r="AE46" s="43" t="str">
        <f>IFERROR(VLOOKUP(H46,名称!A:D,4,0),"")</f>
        <v>KIK</v>
      </c>
      <c r="AF46" s="47"/>
      <c r="AG46" s="53"/>
      <c r="AH46" s="53"/>
      <c r="AI46" s="53"/>
      <c r="AJ46" s="53"/>
      <c r="AK46" s="53"/>
      <c r="AL46" s="53"/>
      <c r="AM46" s="53"/>
      <c r="AN46" s="53"/>
      <c r="AO46" s="54">
        <f t="shared" si="12"/>
        <v>77</v>
      </c>
      <c r="AP46" s="54">
        <f t="shared" si="13"/>
        <v>46176</v>
      </c>
      <c r="AQ46" s="55"/>
      <c r="AR46" s="55"/>
    </row>
    <row r="47" s="16" customFormat="1" customHeight="1" spans="1:44">
      <c r="A47" s="43">
        <v>46099</v>
      </c>
      <c r="B47" s="43" t="str">
        <f ca="1" t="shared" si="7"/>
        <v>未</v>
      </c>
      <c r="C47" s="44" t="s">
        <v>237</v>
      </c>
      <c r="D47" s="43" t="s">
        <v>998</v>
      </c>
      <c r="E47" s="44"/>
      <c r="F47" s="45" t="s">
        <v>238</v>
      </c>
      <c r="G47" s="45">
        <v>202607270046</v>
      </c>
      <c r="H47" s="46" t="s">
        <v>118</v>
      </c>
      <c r="I47" s="47" t="str">
        <f>IFERROR(VLOOKUP(H47,名称!A:C,2,0),"")</f>
        <v>滑板拖车</v>
      </c>
      <c r="J47" s="48">
        <f>1180-100-60-96-80-96-68-36-112-224-36-156-116</f>
        <v>0</v>
      </c>
      <c r="K47" s="47">
        <f>IFERROR(VLOOKUP(H47,名称!A:D,3,0),"")</f>
        <v>4</v>
      </c>
      <c r="L47" s="49">
        <f t="shared" si="14"/>
        <v>0</v>
      </c>
      <c r="M47" s="43">
        <v>46176</v>
      </c>
      <c r="N47" s="43">
        <f t="shared" si="9"/>
        <v>46174</v>
      </c>
      <c r="O47" s="43"/>
      <c r="P47" s="43" t="s">
        <v>435</v>
      </c>
      <c r="Q47" s="46" t="s">
        <v>430</v>
      </c>
      <c r="R47" s="46"/>
      <c r="S47" s="43"/>
      <c r="T47" s="43" t="s">
        <v>452</v>
      </c>
      <c r="U47" s="43"/>
      <c r="V47" s="43"/>
      <c r="W47" s="46"/>
      <c r="X47" s="49"/>
      <c r="Y47" s="57">
        <v>16.71</v>
      </c>
      <c r="Z47" s="51">
        <f t="shared" si="10"/>
        <v>0</v>
      </c>
      <c r="AA47" s="51">
        <f t="shared" si="11"/>
        <v>0</v>
      </c>
      <c r="AB47" s="58"/>
      <c r="AC47" s="43"/>
      <c r="AD47" s="43"/>
      <c r="AE47" s="43" t="str">
        <f>IFERROR(VLOOKUP(H47,名称!A:D,4,0),"")</f>
        <v>KIK</v>
      </c>
      <c r="AF47" s="47"/>
      <c r="AG47" s="53"/>
      <c r="AH47" s="53"/>
      <c r="AI47" s="53"/>
      <c r="AJ47" s="53"/>
      <c r="AK47" s="53"/>
      <c r="AL47" s="53"/>
      <c r="AM47" s="53"/>
      <c r="AN47" s="53"/>
      <c r="AO47" s="54">
        <f t="shared" si="12"/>
        <v>77</v>
      </c>
      <c r="AP47" s="54">
        <f t="shared" si="13"/>
        <v>46176</v>
      </c>
      <c r="AQ47" s="55"/>
      <c r="AR47" s="55"/>
    </row>
    <row r="48" s="16" customFormat="1" customHeight="1" spans="1:44">
      <c r="A48" s="43">
        <v>46099</v>
      </c>
      <c r="B48" s="43" t="str">
        <f ca="1" t="shared" si="7"/>
        <v>未</v>
      </c>
      <c r="C48" s="44" t="s">
        <v>237</v>
      </c>
      <c r="D48" s="43" t="s">
        <v>998</v>
      </c>
      <c r="E48" s="44"/>
      <c r="F48" s="45" t="s">
        <v>238</v>
      </c>
      <c r="G48" s="45">
        <v>202607270046</v>
      </c>
      <c r="H48" s="46" t="s">
        <v>105</v>
      </c>
      <c r="I48" s="47" t="str">
        <f>IFERROR(VLOOKUP(H48,名称!A:C,2,0),"")</f>
        <v>农场男孩套装</v>
      </c>
      <c r="J48" s="48">
        <f>1776-360-432-200-100-112-96-88-100-80-36-44-16-112</f>
        <v>0</v>
      </c>
      <c r="K48" s="47">
        <f>IFERROR(VLOOKUP(H48,名称!A:D,3,0),"")</f>
        <v>4</v>
      </c>
      <c r="L48" s="49">
        <f t="shared" si="14"/>
        <v>0</v>
      </c>
      <c r="M48" s="43">
        <v>46176</v>
      </c>
      <c r="N48" s="43">
        <f t="shared" si="9"/>
        <v>46174</v>
      </c>
      <c r="O48" s="43"/>
      <c r="P48" s="43" t="s">
        <v>435</v>
      </c>
      <c r="Q48" s="46" t="s">
        <v>430</v>
      </c>
      <c r="R48" s="46"/>
      <c r="S48" s="43"/>
      <c r="T48" s="43" t="s">
        <v>452</v>
      </c>
      <c r="U48" s="43"/>
      <c r="V48" s="43"/>
      <c r="W48" s="46"/>
      <c r="X48" s="49"/>
      <c r="Y48" s="57">
        <v>2.994</v>
      </c>
      <c r="Z48" s="51">
        <f t="shared" si="10"/>
        <v>0</v>
      </c>
      <c r="AA48" s="51">
        <f t="shared" si="11"/>
        <v>0</v>
      </c>
      <c r="AB48" s="58"/>
      <c r="AC48" s="43"/>
      <c r="AD48" s="43"/>
      <c r="AE48" s="43" t="str">
        <f>IFERROR(VLOOKUP(H48,名称!A:D,4,0),"")</f>
        <v>KIK</v>
      </c>
      <c r="AF48" s="47"/>
      <c r="AG48" s="53"/>
      <c r="AH48" s="53"/>
      <c r="AI48" s="53"/>
      <c r="AJ48" s="53"/>
      <c r="AK48" s="53"/>
      <c r="AL48" s="53"/>
      <c r="AM48" s="53"/>
      <c r="AN48" s="53"/>
      <c r="AO48" s="54">
        <f t="shared" si="12"/>
        <v>77</v>
      </c>
      <c r="AP48" s="54">
        <f t="shared" si="13"/>
        <v>46176</v>
      </c>
      <c r="AQ48" s="55"/>
      <c r="AR48" s="55"/>
    </row>
    <row r="49" s="16" customFormat="1" customHeight="1" spans="1:44">
      <c r="A49" s="43">
        <v>46099</v>
      </c>
      <c r="B49" s="43" t="str">
        <f ca="1" t="shared" si="7"/>
        <v>未</v>
      </c>
      <c r="C49" s="44" t="s">
        <v>237</v>
      </c>
      <c r="D49" s="43" t="s">
        <v>998</v>
      </c>
      <c r="E49" s="44"/>
      <c r="F49" s="45" t="s">
        <v>238</v>
      </c>
      <c r="G49" s="45">
        <v>202607270046</v>
      </c>
      <c r="H49" s="46" t="s">
        <v>107</v>
      </c>
      <c r="I49" s="47" t="str">
        <f>IFERROR(VLOOKUP(H49,名称!A:C,2,0),"")</f>
        <v>农场女孩套装</v>
      </c>
      <c r="J49" s="48">
        <f>1320-648-144-112-96-88-100-80-36-16</f>
        <v>0</v>
      </c>
      <c r="K49" s="47">
        <f>IFERROR(VLOOKUP(H49,名称!A:D,3,0),"")</f>
        <v>4</v>
      </c>
      <c r="L49" s="49">
        <f t="shared" si="14"/>
        <v>0</v>
      </c>
      <c r="M49" s="43">
        <v>46176</v>
      </c>
      <c r="N49" s="43">
        <f t="shared" si="9"/>
        <v>46174</v>
      </c>
      <c r="O49" s="43"/>
      <c r="P49" s="43" t="s">
        <v>435</v>
      </c>
      <c r="Q49" s="46" t="s">
        <v>430</v>
      </c>
      <c r="R49" s="46"/>
      <c r="S49" s="43"/>
      <c r="T49" s="43" t="s">
        <v>452</v>
      </c>
      <c r="U49" s="43"/>
      <c r="V49" s="43"/>
      <c r="W49" s="46"/>
      <c r="X49" s="49"/>
      <c r="Y49" s="57">
        <v>4.956</v>
      </c>
      <c r="Z49" s="51">
        <f t="shared" si="10"/>
        <v>0</v>
      </c>
      <c r="AA49" s="51">
        <f t="shared" si="11"/>
        <v>0</v>
      </c>
      <c r="AB49" s="58"/>
      <c r="AC49" s="43"/>
      <c r="AD49" s="43"/>
      <c r="AE49" s="43" t="str">
        <f>IFERROR(VLOOKUP(H49,名称!A:D,4,0),"")</f>
        <v>KIK</v>
      </c>
      <c r="AF49" s="47"/>
      <c r="AG49" s="53"/>
      <c r="AH49" s="53"/>
      <c r="AI49" s="53"/>
      <c r="AJ49" s="53"/>
      <c r="AK49" s="53"/>
      <c r="AL49" s="53"/>
      <c r="AM49" s="53"/>
      <c r="AN49" s="53"/>
      <c r="AO49" s="54">
        <f t="shared" si="12"/>
        <v>77</v>
      </c>
      <c r="AP49" s="54">
        <f t="shared" si="13"/>
        <v>46176</v>
      </c>
      <c r="AQ49" s="55"/>
      <c r="AR49" s="55"/>
    </row>
    <row r="50" s="16" customFormat="1" customHeight="1" spans="1:44">
      <c r="A50" s="43">
        <v>45947</v>
      </c>
      <c r="B50" s="43" t="s">
        <v>660</v>
      </c>
      <c r="C50" s="44"/>
      <c r="D50" s="43"/>
      <c r="E50" s="44"/>
      <c r="F50" s="45" t="s">
        <v>241</v>
      </c>
      <c r="G50" s="45"/>
      <c r="H50" s="46" t="s">
        <v>31</v>
      </c>
      <c r="I50" s="47" t="s">
        <v>830</v>
      </c>
      <c r="J50" s="48">
        <v>2500</v>
      </c>
      <c r="K50" s="47">
        <v>1</v>
      </c>
      <c r="L50" s="49">
        <v>2500</v>
      </c>
      <c r="M50" s="43"/>
      <c r="N50" s="43"/>
      <c r="O50" s="43"/>
      <c r="P50" s="43"/>
      <c r="Q50" s="46"/>
      <c r="R50" s="49" t="s">
        <v>415</v>
      </c>
      <c r="S50" s="57">
        <v>0</v>
      </c>
      <c r="T50" s="51">
        <v>0</v>
      </c>
      <c r="U50" s="51">
        <v>0</v>
      </c>
      <c r="V50" s="43" t="s">
        <v>12</v>
      </c>
      <c r="W50" s="47"/>
      <c r="X50" s="53"/>
      <c r="Y50" s="53">
        <v>46024</v>
      </c>
      <c r="Z50" s="53">
        <v>46009</v>
      </c>
      <c r="AA50" s="53">
        <v>46009</v>
      </c>
      <c r="AB50" s="53"/>
      <c r="AC50" s="53">
        <v>46009</v>
      </c>
      <c r="AD50" s="53"/>
      <c r="AE50" s="53">
        <v>46000</v>
      </c>
      <c r="AF50" s="49">
        <v>-45947</v>
      </c>
      <c r="AG50" s="49">
        <v>-46009</v>
      </c>
      <c r="AH50" s="53"/>
      <c r="AI50" s="53"/>
      <c r="AJ50" s="53"/>
      <c r="AK50" s="53"/>
      <c r="AL50" s="53"/>
      <c r="AM50" s="53"/>
      <c r="AN50" s="53"/>
      <c r="AO50" s="55"/>
      <c r="AP50" s="55"/>
      <c r="AQ50" s="55"/>
      <c r="AR50" s="55"/>
    </row>
    <row r="51" s="16" customFormat="1" customHeight="1" spans="1:44">
      <c r="A51" s="43">
        <v>45947</v>
      </c>
      <c r="B51" s="43" t="s">
        <v>660</v>
      </c>
      <c r="C51" s="44"/>
      <c r="D51" s="43"/>
      <c r="E51" s="44"/>
      <c r="F51" s="45" t="s">
        <v>241</v>
      </c>
      <c r="G51" s="45"/>
      <c r="H51" s="46" t="s">
        <v>35</v>
      </c>
      <c r="I51" s="47" t="s">
        <v>676</v>
      </c>
      <c r="J51" s="48">
        <v>2500</v>
      </c>
      <c r="K51" s="47">
        <v>2</v>
      </c>
      <c r="L51" s="49">
        <v>1250</v>
      </c>
      <c r="M51" s="43"/>
      <c r="N51" s="43"/>
      <c r="O51" s="43"/>
      <c r="P51" s="43"/>
      <c r="Q51" s="46"/>
      <c r="R51" s="49" t="s">
        <v>415</v>
      </c>
      <c r="S51" s="57">
        <v>0</v>
      </c>
      <c r="T51" s="51">
        <v>0</v>
      </c>
      <c r="U51" s="51">
        <v>0</v>
      </c>
      <c r="V51" s="43" t="s">
        <v>12</v>
      </c>
      <c r="W51" s="47"/>
      <c r="X51" s="53"/>
      <c r="Y51" s="53">
        <v>46021</v>
      </c>
      <c r="Z51" s="53">
        <v>46003</v>
      </c>
      <c r="AA51" s="53">
        <v>46002</v>
      </c>
      <c r="AB51" s="53"/>
      <c r="AC51" s="53">
        <v>46003</v>
      </c>
      <c r="AD51" s="53"/>
      <c r="AE51" s="53">
        <v>45990</v>
      </c>
      <c r="AF51" s="49">
        <v>-45947</v>
      </c>
      <c r="AG51" s="49">
        <v>-46003</v>
      </c>
      <c r="AH51" s="53"/>
      <c r="AI51" s="53"/>
      <c r="AJ51" s="53"/>
      <c r="AK51" s="53"/>
      <c r="AL51" s="53"/>
      <c r="AM51" s="53"/>
      <c r="AN51" s="53"/>
      <c r="AO51" s="55"/>
      <c r="AP51" s="55"/>
      <c r="AQ51" s="55"/>
      <c r="AR51" s="55"/>
    </row>
    <row r="52" s="16" customFormat="1" customHeight="1" spans="1:44">
      <c r="A52" s="43">
        <v>46114</v>
      </c>
      <c r="B52" s="43" t="str">
        <f ca="1">IF(TODAY()&gt;=A52,IF(R52="","未",""),"")</f>
        <v>未</v>
      </c>
      <c r="C52" s="44" t="s">
        <v>235</v>
      </c>
      <c r="D52" s="43" t="s">
        <v>535</v>
      </c>
      <c r="E52" s="44"/>
      <c r="F52" s="45"/>
      <c r="G52" s="45">
        <v>4500032587</v>
      </c>
      <c r="H52" s="46" t="s">
        <v>185</v>
      </c>
      <c r="I52" s="47" t="str">
        <f>IFERROR(VLOOKUP(H52,名称!A:C,2,0),"")</f>
        <v>拉管机</v>
      </c>
      <c r="J52" s="48">
        <v>7002</v>
      </c>
      <c r="K52" s="47">
        <f>IFERROR(VLOOKUP(H52,名称!A:D,3,0),"")</f>
        <v>3</v>
      </c>
      <c r="L52" s="49">
        <f>IFERROR((J52/K52),"")</f>
        <v>2334</v>
      </c>
      <c r="M52" s="43">
        <v>46280</v>
      </c>
      <c r="N52" s="43">
        <f>M52-2</f>
        <v>46278</v>
      </c>
      <c r="O52" s="43"/>
      <c r="P52" s="43" t="s">
        <v>473</v>
      </c>
      <c r="Q52" s="46" t="s">
        <v>424</v>
      </c>
      <c r="R52" s="46"/>
      <c r="S52" s="43"/>
      <c r="T52" s="43"/>
      <c r="U52" s="43"/>
      <c r="V52" s="43"/>
      <c r="W52" s="46"/>
      <c r="X52" s="63" t="s">
        <v>537</v>
      </c>
      <c r="Y52" s="57">
        <v>25.96</v>
      </c>
      <c r="Z52" s="51">
        <f>J52*Y52</f>
        <v>181771.92</v>
      </c>
      <c r="AA52" s="51">
        <f>Z52*7.75</f>
        <v>1408732.38</v>
      </c>
      <c r="AB52" s="58"/>
      <c r="AC52" s="43"/>
      <c r="AD52" s="43"/>
      <c r="AE52" s="43" t="str">
        <f>IFERROR(VLOOKUP(H52,名称!A:D,4,0),"")</f>
        <v>RRM</v>
      </c>
      <c r="AF52" s="47"/>
      <c r="AG52" s="53"/>
      <c r="AH52" s="53"/>
      <c r="AI52" s="53"/>
      <c r="AJ52" s="53"/>
      <c r="AK52" s="53"/>
      <c r="AL52" s="53"/>
      <c r="AM52" s="53"/>
      <c r="AN52" s="53"/>
      <c r="AO52" s="49">
        <v>166</v>
      </c>
      <c r="AP52" s="49">
        <v>46280</v>
      </c>
      <c r="AQ52" s="55"/>
      <c r="AR52" s="55"/>
    </row>
    <row r="53" s="16" customFormat="1" customHeight="1" spans="1:44">
      <c r="A53" s="43">
        <v>46097</v>
      </c>
      <c r="B53" s="43" t="s">
        <v>660</v>
      </c>
      <c r="C53" s="44" t="s">
        <v>237</v>
      </c>
      <c r="D53" s="43" t="s">
        <v>998</v>
      </c>
      <c r="E53" s="44"/>
      <c r="F53" s="45" t="s">
        <v>238</v>
      </c>
      <c r="G53" s="45">
        <v>202607170125</v>
      </c>
      <c r="H53" s="46" t="s">
        <v>113</v>
      </c>
      <c r="I53" s="47" t="s">
        <v>900</v>
      </c>
      <c r="J53" s="48">
        <v>0</v>
      </c>
      <c r="K53" s="47">
        <v>2</v>
      </c>
      <c r="L53" s="49">
        <v>0</v>
      </c>
      <c r="M53" s="43">
        <v>46176</v>
      </c>
      <c r="N53" s="43">
        <v>46174</v>
      </c>
      <c r="O53" s="43"/>
      <c r="P53" s="43" t="s">
        <v>435</v>
      </c>
      <c r="Q53" s="46" t="s">
        <v>430</v>
      </c>
      <c r="R53" s="46"/>
      <c r="S53" s="43"/>
      <c r="T53" s="43" t="s">
        <v>452</v>
      </c>
      <c r="U53" s="43"/>
      <c r="V53" s="43"/>
      <c r="W53" s="46"/>
      <c r="X53" s="49"/>
      <c r="Y53" s="57">
        <v>5.97</v>
      </c>
      <c r="Z53" s="51">
        <v>0</v>
      </c>
      <c r="AA53" s="51">
        <v>0</v>
      </c>
      <c r="AB53" s="58"/>
      <c r="AC53" s="43"/>
      <c r="AD53" s="43"/>
      <c r="AE53" s="43" t="s">
        <v>12</v>
      </c>
      <c r="AF53" s="47"/>
      <c r="AG53" s="53"/>
      <c r="AH53" s="53"/>
      <c r="AI53" s="53"/>
      <c r="AJ53" s="53" t="s">
        <v>420</v>
      </c>
      <c r="AK53" s="53"/>
      <c r="AL53" s="53"/>
      <c r="AM53" s="53"/>
      <c r="AN53" s="53"/>
      <c r="AO53" s="53"/>
      <c r="AP53" s="49">
        <v>79</v>
      </c>
      <c r="AQ53" s="49">
        <v>46176</v>
      </c>
      <c r="AR53" s="55"/>
    </row>
    <row r="54" s="16" customFormat="1" customHeight="1" spans="1:44">
      <c r="A54" s="43">
        <v>46097</v>
      </c>
      <c r="B54" s="43" t="s">
        <v>660</v>
      </c>
      <c r="C54" s="44" t="s">
        <v>237</v>
      </c>
      <c r="D54" s="43" t="s">
        <v>998</v>
      </c>
      <c r="E54" s="44"/>
      <c r="F54" s="45" t="s">
        <v>238</v>
      </c>
      <c r="G54" s="45">
        <v>202607170125</v>
      </c>
      <c r="H54" s="46" t="s">
        <v>158</v>
      </c>
      <c r="I54" s="47" t="s">
        <v>728</v>
      </c>
      <c r="J54" s="64">
        <v>0</v>
      </c>
      <c r="K54" s="47">
        <v>2</v>
      </c>
      <c r="L54" s="49">
        <v>0</v>
      </c>
      <c r="M54" s="43">
        <v>46176</v>
      </c>
      <c r="N54" s="43">
        <v>46174</v>
      </c>
      <c r="O54" s="43"/>
      <c r="P54" s="43" t="s">
        <v>435</v>
      </c>
      <c r="Q54" s="46" t="s">
        <v>430</v>
      </c>
      <c r="R54" s="46"/>
      <c r="S54" s="43"/>
      <c r="T54" s="43" t="s">
        <v>452</v>
      </c>
      <c r="U54" s="43"/>
      <c r="V54" s="43"/>
      <c r="W54" s="46"/>
      <c r="X54" s="49"/>
      <c r="Y54" s="57">
        <v>5.225</v>
      </c>
      <c r="Z54" s="51">
        <v>0</v>
      </c>
      <c r="AA54" s="51">
        <v>0</v>
      </c>
      <c r="AB54" s="58"/>
      <c r="AC54" s="43"/>
      <c r="AD54" s="43"/>
      <c r="AE54" s="43" t="s">
        <v>12</v>
      </c>
      <c r="AF54" s="47"/>
      <c r="AG54" s="53"/>
      <c r="AH54" s="53"/>
      <c r="AI54" s="53">
        <v>46128</v>
      </c>
      <c r="AJ54" s="53"/>
      <c r="AK54" s="53"/>
      <c r="AL54" s="53"/>
      <c r="AM54" s="53">
        <v>46128</v>
      </c>
      <c r="AN54" s="53"/>
      <c r="AO54" s="53"/>
      <c r="AP54" s="49">
        <v>79</v>
      </c>
      <c r="AQ54" s="49">
        <v>48</v>
      </c>
      <c r="AR54" s="55"/>
    </row>
    <row r="55" s="16" customFormat="1" customHeight="1" spans="1:44">
      <c r="A55" s="43">
        <v>46097</v>
      </c>
      <c r="B55" s="43" t="s">
        <v>660</v>
      </c>
      <c r="C55" s="44" t="s">
        <v>237</v>
      </c>
      <c r="D55" s="43" t="s">
        <v>998</v>
      </c>
      <c r="E55" s="44"/>
      <c r="F55" s="45" t="s">
        <v>238</v>
      </c>
      <c r="G55" s="45">
        <v>202607170125</v>
      </c>
      <c r="H55" s="46" t="s">
        <v>39</v>
      </c>
      <c r="I55" s="47" t="s">
        <v>710</v>
      </c>
      <c r="J55" s="48">
        <v>0</v>
      </c>
      <c r="K55" s="47">
        <v>2</v>
      </c>
      <c r="L55" s="49">
        <v>0</v>
      </c>
      <c r="M55" s="43">
        <v>46176</v>
      </c>
      <c r="N55" s="43">
        <v>46174</v>
      </c>
      <c r="O55" s="43"/>
      <c r="P55" s="43" t="s">
        <v>435</v>
      </c>
      <c r="Q55" s="46" t="s">
        <v>430</v>
      </c>
      <c r="R55" s="46"/>
      <c r="S55" s="43"/>
      <c r="T55" s="43"/>
      <c r="U55" s="43"/>
      <c r="V55" s="43"/>
      <c r="W55" s="46"/>
      <c r="X55" s="49"/>
      <c r="Y55" s="57">
        <v>30.536</v>
      </c>
      <c r="Z55" s="51">
        <v>0</v>
      </c>
      <c r="AA55" s="51">
        <v>0</v>
      </c>
      <c r="AB55" s="58"/>
      <c r="AC55" s="43"/>
      <c r="AD55" s="43"/>
      <c r="AE55" s="43" t="s">
        <v>12</v>
      </c>
      <c r="AF55" s="47"/>
      <c r="AG55" s="53"/>
      <c r="AH55" s="53"/>
      <c r="AI55" s="53"/>
      <c r="AJ55" s="53"/>
      <c r="AK55" s="53"/>
      <c r="AL55" s="53"/>
      <c r="AM55" s="53"/>
      <c r="AN55" s="53"/>
      <c r="AO55" s="53"/>
      <c r="AP55" s="49">
        <v>79</v>
      </c>
      <c r="AQ55" s="49">
        <v>46176</v>
      </c>
      <c r="AR55" s="55"/>
    </row>
    <row r="56" s="16" customFormat="1" customHeight="1" spans="1:44">
      <c r="A56" s="43">
        <v>46097</v>
      </c>
      <c r="B56" s="43" t="s">
        <v>660</v>
      </c>
      <c r="C56" s="44" t="s">
        <v>237</v>
      </c>
      <c r="D56" s="43" t="s">
        <v>998</v>
      </c>
      <c r="E56" s="44"/>
      <c r="F56" s="45" t="s">
        <v>238</v>
      </c>
      <c r="G56" s="45">
        <v>202607170125</v>
      </c>
      <c r="H56" s="46" t="s">
        <v>35</v>
      </c>
      <c r="I56" s="47" t="s">
        <v>676</v>
      </c>
      <c r="J56" s="64">
        <v>0</v>
      </c>
      <c r="K56" s="47">
        <v>2</v>
      </c>
      <c r="L56" s="49">
        <v>0</v>
      </c>
      <c r="M56" s="43">
        <v>46176</v>
      </c>
      <c r="N56" s="43">
        <v>46174</v>
      </c>
      <c r="O56" s="43"/>
      <c r="P56" s="43" t="s">
        <v>435</v>
      </c>
      <c r="Q56" s="46" t="s">
        <v>430</v>
      </c>
      <c r="R56" s="46"/>
      <c r="S56" s="43"/>
      <c r="T56" s="43"/>
      <c r="U56" s="43"/>
      <c r="V56" s="43"/>
      <c r="W56" s="46"/>
      <c r="X56" s="49"/>
      <c r="Y56" s="57">
        <v>22.9</v>
      </c>
      <c r="Z56" s="51">
        <v>0</v>
      </c>
      <c r="AA56" s="51">
        <v>0</v>
      </c>
      <c r="AB56" s="58"/>
      <c r="AC56" s="43"/>
      <c r="AD56" s="43"/>
      <c r="AE56" s="43" t="s">
        <v>12</v>
      </c>
      <c r="AF56" s="47"/>
      <c r="AG56" s="53"/>
      <c r="AH56" s="53"/>
      <c r="AI56" s="53"/>
      <c r="AJ56" s="53"/>
      <c r="AK56" s="53"/>
      <c r="AL56" s="53"/>
      <c r="AM56" s="53"/>
      <c r="AN56" s="53"/>
      <c r="AO56" s="53"/>
      <c r="AP56" s="49">
        <v>79</v>
      </c>
      <c r="AQ56" s="49">
        <v>46176</v>
      </c>
      <c r="AR56" s="55"/>
    </row>
    <row r="57" s="16" customFormat="1" customHeight="1" spans="1:44">
      <c r="A57" s="43">
        <v>46097</v>
      </c>
      <c r="B57" s="43" t="s">
        <v>660</v>
      </c>
      <c r="C57" s="44" t="s">
        <v>237</v>
      </c>
      <c r="D57" s="43" t="s">
        <v>998</v>
      </c>
      <c r="E57" s="44"/>
      <c r="F57" s="45" t="s">
        <v>238</v>
      </c>
      <c r="G57" s="45">
        <v>202607170125</v>
      </c>
      <c r="H57" s="46" t="s">
        <v>29</v>
      </c>
      <c r="I57" s="47" t="s">
        <v>825</v>
      </c>
      <c r="J57" s="65">
        <v>0</v>
      </c>
      <c r="K57" s="47">
        <v>4</v>
      </c>
      <c r="L57" s="49">
        <v>0</v>
      </c>
      <c r="M57" s="43">
        <v>46176</v>
      </c>
      <c r="N57" s="43">
        <v>46174</v>
      </c>
      <c r="O57" s="43"/>
      <c r="P57" s="43" t="s">
        <v>435</v>
      </c>
      <c r="Q57" s="46" t="s">
        <v>430</v>
      </c>
      <c r="R57" s="46"/>
      <c r="S57" s="43"/>
      <c r="T57" s="43"/>
      <c r="U57" s="43"/>
      <c r="V57" s="43"/>
      <c r="W57" s="46"/>
      <c r="X57" s="49"/>
      <c r="Y57" s="57">
        <v>21.801</v>
      </c>
      <c r="Z57" s="51">
        <v>0</v>
      </c>
      <c r="AA57" s="51">
        <v>0</v>
      </c>
      <c r="AB57" s="58"/>
      <c r="AC57" s="43"/>
      <c r="AD57" s="43"/>
      <c r="AE57" s="43" t="s">
        <v>12</v>
      </c>
      <c r="AF57" s="47"/>
      <c r="AG57" s="53"/>
      <c r="AH57" s="53"/>
      <c r="AI57" s="53">
        <v>46139</v>
      </c>
      <c r="AJ57" s="53"/>
      <c r="AK57" s="53"/>
      <c r="AL57" s="53"/>
      <c r="AM57" s="53"/>
      <c r="AN57" s="53"/>
      <c r="AO57" s="53"/>
      <c r="AP57" s="49">
        <v>79</v>
      </c>
      <c r="AQ57" s="49">
        <v>37</v>
      </c>
      <c r="AR57" s="55"/>
    </row>
    <row r="58" s="16" customFormat="1" customHeight="1" spans="1:44">
      <c r="A58" s="43">
        <v>46097</v>
      </c>
      <c r="B58" s="43" t="s">
        <v>660</v>
      </c>
      <c r="C58" s="44" t="s">
        <v>237</v>
      </c>
      <c r="D58" s="43" t="s">
        <v>998</v>
      </c>
      <c r="E58" s="44"/>
      <c r="F58" s="45" t="s">
        <v>238</v>
      </c>
      <c r="G58" s="45">
        <v>202607170125</v>
      </c>
      <c r="H58" s="46" t="s">
        <v>31</v>
      </c>
      <c r="I58" s="47" t="s">
        <v>830</v>
      </c>
      <c r="J58" s="48">
        <v>0</v>
      </c>
      <c r="K58" s="47">
        <v>1</v>
      </c>
      <c r="L58" s="49">
        <v>0</v>
      </c>
      <c r="M58" s="43">
        <v>46176</v>
      </c>
      <c r="N58" s="43">
        <v>46174</v>
      </c>
      <c r="O58" s="43"/>
      <c r="P58" s="43" t="s">
        <v>435</v>
      </c>
      <c r="Q58" s="46" t="s">
        <v>430</v>
      </c>
      <c r="R58" s="46"/>
      <c r="S58" s="43"/>
      <c r="T58" s="43"/>
      <c r="U58" s="43"/>
      <c r="V58" s="43"/>
      <c r="W58" s="46"/>
      <c r="X58" s="49"/>
      <c r="Y58" s="57">
        <v>29.652</v>
      </c>
      <c r="Z58" s="51">
        <v>0</v>
      </c>
      <c r="AA58" s="51">
        <v>0</v>
      </c>
      <c r="AB58" s="43"/>
      <c r="AC58" s="47"/>
      <c r="AD58" s="53"/>
      <c r="AE58" s="43" t="s">
        <v>12</v>
      </c>
      <c r="AF58" s="53"/>
      <c r="AG58" s="53"/>
      <c r="AH58" s="53"/>
      <c r="AI58" s="53"/>
      <c r="AJ58" s="53"/>
      <c r="AK58" s="53"/>
      <c r="AL58" s="53"/>
      <c r="AM58" s="49"/>
      <c r="AN58" s="49"/>
      <c r="AO58" s="55"/>
      <c r="AP58" s="49">
        <v>79</v>
      </c>
      <c r="AQ58" s="49">
        <v>46176</v>
      </c>
      <c r="AR58" s="55"/>
    </row>
    <row r="59" s="16" customFormat="1" customHeight="1" spans="1:44">
      <c r="A59" s="43">
        <v>46097</v>
      </c>
      <c r="B59" s="43" t="s">
        <v>660</v>
      </c>
      <c r="C59" s="44" t="s">
        <v>237</v>
      </c>
      <c r="D59" s="43" t="s">
        <v>998</v>
      </c>
      <c r="E59" s="44"/>
      <c r="F59" s="45" t="s">
        <v>238</v>
      </c>
      <c r="G59" s="45">
        <v>202607170125</v>
      </c>
      <c r="H59" s="46" t="s">
        <v>120</v>
      </c>
      <c r="I59" s="47" t="s">
        <v>902</v>
      </c>
      <c r="J59" s="48">
        <v>0</v>
      </c>
      <c r="K59" s="47">
        <v>2</v>
      </c>
      <c r="L59" s="49">
        <v>0</v>
      </c>
      <c r="M59" s="43">
        <v>46176</v>
      </c>
      <c r="N59" s="43">
        <v>46174</v>
      </c>
      <c r="O59" s="43"/>
      <c r="P59" s="43" t="s">
        <v>435</v>
      </c>
      <c r="Q59" s="46" t="s">
        <v>430</v>
      </c>
      <c r="R59" s="46"/>
      <c r="S59" s="43"/>
      <c r="T59" s="43" t="s">
        <v>452</v>
      </c>
      <c r="U59" s="43"/>
      <c r="V59" s="43"/>
      <c r="W59" s="46"/>
      <c r="X59" s="49"/>
      <c r="Y59" s="57">
        <v>21.246</v>
      </c>
      <c r="Z59" s="51">
        <v>0</v>
      </c>
      <c r="AA59" s="51">
        <v>0</v>
      </c>
      <c r="AB59" s="43"/>
      <c r="AC59" s="47"/>
      <c r="AD59" s="53"/>
      <c r="AE59" s="43" t="s">
        <v>12</v>
      </c>
      <c r="AF59" s="53"/>
      <c r="AG59" s="53"/>
      <c r="AH59" s="53"/>
      <c r="AI59" s="53"/>
      <c r="AJ59" s="53"/>
      <c r="AK59" s="53"/>
      <c r="AL59" s="53"/>
      <c r="AM59" s="53"/>
      <c r="AN59" s="66"/>
      <c r="AO59" s="55"/>
      <c r="AP59" s="49">
        <v>79</v>
      </c>
      <c r="AQ59" s="49">
        <v>46176</v>
      </c>
      <c r="AR59" s="55"/>
    </row>
    <row r="60" s="16" customFormat="1" customHeight="1" spans="1:44">
      <c r="A60" s="43">
        <v>46099</v>
      </c>
      <c r="B60" s="43" t="s">
        <v>660</v>
      </c>
      <c r="C60" s="44" t="s">
        <v>237</v>
      </c>
      <c r="D60" s="43" t="s">
        <v>998</v>
      </c>
      <c r="E60" s="44"/>
      <c r="F60" s="45" t="s">
        <v>238</v>
      </c>
      <c r="G60" s="45">
        <v>202607270046</v>
      </c>
      <c r="H60" s="46" t="s">
        <v>120</v>
      </c>
      <c r="I60" s="47" t="s">
        <v>902</v>
      </c>
      <c r="J60" s="48">
        <v>0</v>
      </c>
      <c r="K60" s="47">
        <v>2</v>
      </c>
      <c r="L60" s="49">
        <v>95</v>
      </c>
      <c r="M60" s="43">
        <v>46176</v>
      </c>
      <c r="N60" s="43">
        <v>46174</v>
      </c>
      <c r="O60" s="43"/>
      <c r="P60" s="43" t="s">
        <v>435</v>
      </c>
      <c r="Q60" s="46" t="s">
        <v>430</v>
      </c>
      <c r="R60" s="46"/>
      <c r="S60" s="43"/>
      <c r="T60" s="43" t="s">
        <v>452</v>
      </c>
      <c r="U60" s="43"/>
      <c r="V60" s="43"/>
      <c r="W60" s="46"/>
      <c r="X60" s="49"/>
      <c r="Y60" s="57">
        <v>21.246</v>
      </c>
      <c r="Z60" s="51">
        <v>4036.74</v>
      </c>
      <c r="AA60" s="51">
        <v>31284.74</v>
      </c>
      <c r="AB60" s="43"/>
      <c r="AC60" s="47"/>
      <c r="AD60" s="53"/>
      <c r="AE60" s="43" t="s">
        <v>12</v>
      </c>
      <c r="AF60" s="53"/>
      <c r="AG60" s="53"/>
      <c r="AH60" s="53"/>
      <c r="AI60" s="53"/>
      <c r="AJ60" s="53"/>
      <c r="AK60" s="53"/>
      <c r="AL60" s="53"/>
      <c r="AM60" s="53"/>
      <c r="AN60" s="66"/>
      <c r="AO60" s="55"/>
      <c r="AP60" s="49">
        <v>77</v>
      </c>
      <c r="AQ60" s="49">
        <v>46176</v>
      </c>
      <c r="AR60" s="55"/>
    </row>
    <row r="61" s="16" customFormat="1" customHeight="1" spans="1:44">
      <c r="A61" s="43">
        <v>46112</v>
      </c>
      <c r="B61" s="43" t="s">
        <v>467</v>
      </c>
      <c r="C61" s="44" t="s">
        <v>248</v>
      </c>
      <c r="D61" s="43" t="s">
        <v>421</v>
      </c>
      <c r="E61" s="44" t="s">
        <v>422</v>
      </c>
      <c r="F61" s="45">
        <v>10123689</v>
      </c>
      <c r="G61" s="45">
        <v>4500032549</v>
      </c>
      <c r="H61" s="46" t="s">
        <v>95</v>
      </c>
      <c r="I61" s="47" t="s">
        <v>928</v>
      </c>
      <c r="J61" s="48">
        <v>3600</v>
      </c>
      <c r="K61" s="47">
        <v>4</v>
      </c>
      <c r="L61" s="49">
        <v>900</v>
      </c>
      <c r="M61" s="43">
        <v>46204</v>
      </c>
      <c r="N61" s="43">
        <v>46202</v>
      </c>
      <c r="O61" s="43"/>
      <c r="P61" s="43" t="s">
        <v>435</v>
      </c>
      <c r="Q61" s="46" t="s">
        <v>424</v>
      </c>
      <c r="R61" s="46" t="s">
        <v>876</v>
      </c>
      <c r="S61" s="43"/>
      <c r="T61" s="43"/>
      <c r="U61" s="43"/>
      <c r="V61" s="43"/>
      <c r="W61" s="46"/>
      <c r="X61" s="49"/>
      <c r="Y61" s="57">
        <v>2.205</v>
      </c>
      <c r="Z61" s="51">
        <v>7938</v>
      </c>
      <c r="AA61" s="51">
        <v>61519.5</v>
      </c>
      <c r="AB61" s="58"/>
      <c r="AC61" s="43"/>
      <c r="AD61" s="43"/>
      <c r="AE61" s="43" t="s">
        <v>12</v>
      </c>
      <c r="AF61" s="47"/>
      <c r="AG61" s="53"/>
      <c r="AH61" s="53"/>
      <c r="AI61" s="53">
        <v>46146</v>
      </c>
      <c r="AJ61" s="53"/>
      <c r="AK61" s="53"/>
      <c r="AL61" s="53"/>
      <c r="AM61" s="53"/>
      <c r="AN61" s="53"/>
      <c r="AO61" s="53"/>
      <c r="AP61" s="49">
        <v>92</v>
      </c>
      <c r="AQ61" s="49">
        <v>58</v>
      </c>
      <c r="AR61" s="67">
        <v>46177</v>
      </c>
    </row>
    <row r="62" s="16" customFormat="1" customHeight="1" spans="1:44">
      <c r="A62" s="43">
        <v>46136</v>
      </c>
      <c r="B62" s="43" t="s">
        <v>467</v>
      </c>
      <c r="C62" s="44" t="s">
        <v>235</v>
      </c>
      <c r="D62" s="43" t="s">
        <v>421</v>
      </c>
      <c r="E62" s="44" t="s">
        <v>422</v>
      </c>
      <c r="F62" s="45">
        <v>10126040</v>
      </c>
      <c r="G62" s="45">
        <v>4500032689</v>
      </c>
      <c r="H62" s="46" t="s">
        <v>95</v>
      </c>
      <c r="I62" s="47" t="s">
        <v>928</v>
      </c>
      <c r="J62" s="68">
        <v>3500</v>
      </c>
      <c r="K62" s="47">
        <v>4</v>
      </c>
      <c r="L62" s="49">
        <v>875</v>
      </c>
      <c r="M62" s="43">
        <v>46225</v>
      </c>
      <c r="N62" s="43">
        <v>46223</v>
      </c>
      <c r="O62" s="43"/>
      <c r="P62" s="43" t="s">
        <v>429</v>
      </c>
      <c r="Q62" s="46" t="s">
        <v>424</v>
      </c>
      <c r="R62" s="46" t="s">
        <v>876</v>
      </c>
      <c r="S62" s="43"/>
      <c r="T62" s="43"/>
      <c r="U62" s="43"/>
      <c r="V62" s="43"/>
      <c r="W62" s="46"/>
      <c r="X62" s="49"/>
      <c r="Y62" s="57">
        <v>2.25</v>
      </c>
      <c r="Z62" s="51">
        <v>7875</v>
      </c>
      <c r="AA62" s="51">
        <v>61031.25</v>
      </c>
      <c r="AB62" s="58"/>
      <c r="AC62" s="43"/>
      <c r="AD62" s="43"/>
      <c r="AE62" s="43" t="s">
        <v>12</v>
      </c>
      <c r="AF62" s="47"/>
      <c r="AG62" s="53"/>
      <c r="AH62" s="53"/>
      <c r="AI62" s="53" t="s">
        <v>485</v>
      </c>
      <c r="AJ62" s="53"/>
      <c r="AK62" s="53"/>
      <c r="AL62" s="53"/>
      <c r="AM62" s="53"/>
      <c r="AN62" s="53"/>
      <c r="AO62" s="53" t="s">
        <v>475</v>
      </c>
      <c r="AP62" s="49">
        <v>89</v>
      </c>
      <c r="AQ62" s="49" t="e">
        <v>#VALUE!</v>
      </c>
      <c r="AR62" s="67">
        <v>46177</v>
      </c>
    </row>
    <row r="63" s="16" customFormat="1" customHeight="1" spans="1:44">
      <c r="A63" s="43">
        <v>46200</v>
      </c>
      <c r="B63" s="43"/>
      <c r="C63" s="44" t="s">
        <v>237</v>
      </c>
      <c r="D63" s="69" t="s">
        <v>427</v>
      </c>
      <c r="E63" s="70" t="s">
        <v>438</v>
      </c>
      <c r="F63" s="46">
        <v>10130877</v>
      </c>
      <c r="G63" s="71" t="s">
        <v>999</v>
      </c>
      <c r="H63" s="72" t="s">
        <v>111</v>
      </c>
      <c r="I63" s="47" t="str">
        <f>IFERROR(VLOOKUP(H63,名称!A:C,2,0),"")</f>
        <v>黄色铲车</v>
      </c>
      <c r="J63" s="68">
        <v>5000</v>
      </c>
      <c r="K63" s="47">
        <v>4</v>
      </c>
      <c r="L63" s="49">
        <f t="shared" ref="L63:L67" si="15">IFERROR((J63/K63),"")</f>
        <v>1250</v>
      </c>
      <c r="M63" s="73">
        <v>46274</v>
      </c>
      <c r="N63" s="43">
        <f t="shared" ref="N63:N65" si="16">M63-2</f>
        <v>46272</v>
      </c>
      <c r="O63" s="43"/>
      <c r="P63" s="69" t="s">
        <v>473</v>
      </c>
      <c r="Q63" s="46"/>
      <c r="R63" s="74"/>
      <c r="S63" s="43"/>
      <c r="T63" s="43"/>
      <c r="U63" s="43"/>
      <c r="V63" s="43"/>
      <c r="W63" s="46"/>
      <c r="X63" s="49"/>
      <c r="Y63" s="50">
        <v>3.816</v>
      </c>
      <c r="Z63" s="51">
        <f t="shared" ref="Z63:Z67" si="17">J63*Y63</f>
        <v>19080</v>
      </c>
      <c r="AA63" s="51">
        <f t="shared" ref="AA63:AA67" si="18">Z63*7.75</f>
        <v>147870</v>
      </c>
      <c r="AB63" s="58"/>
      <c r="AC63" s="43"/>
      <c r="AD63" s="43"/>
      <c r="AE63" s="43" t="str">
        <f>IFERROR(VLOOKUP(H63,名称!A:D,4,0),"")</f>
        <v>KIK</v>
      </c>
      <c r="AF63" s="47"/>
      <c r="AG63" s="53"/>
      <c r="AH63" s="53"/>
      <c r="AI63" s="53"/>
      <c r="AJ63" s="53"/>
      <c r="AK63" s="53"/>
      <c r="AL63" s="53"/>
      <c r="AM63" s="53"/>
      <c r="AN63" s="49">
        <f t="shared" ref="AN63:AN65" si="19">M63-A63</f>
        <v>74</v>
      </c>
      <c r="AO63" s="49">
        <f t="shared" ref="AO63:AO65" si="20">M63-AG63</f>
        <v>46274</v>
      </c>
    </row>
    <row r="64" s="16" customFormat="1" customHeight="1" spans="1:44">
      <c r="A64" s="43">
        <v>46200</v>
      </c>
      <c r="B64" s="43"/>
      <c r="C64" s="44" t="s">
        <v>237</v>
      </c>
      <c r="D64" s="69" t="s">
        <v>427</v>
      </c>
      <c r="E64" s="70" t="s">
        <v>438</v>
      </c>
      <c r="F64" s="46">
        <v>10130877</v>
      </c>
      <c r="G64" s="71" t="s">
        <v>999</v>
      </c>
      <c r="H64" s="72" t="s">
        <v>113</v>
      </c>
      <c r="I64" s="47" t="str">
        <f>IFERROR(VLOOKUP(H64,名称!A:C,2,0),"")</f>
        <v>绿色铲车</v>
      </c>
      <c r="J64" s="68">
        <v>5000</v>
      </c>
      <c r="K64" s="47">
        <v>2</v>
      </c>
      <c r="L64" s="49">
        <f t="shared" si="15"/>
        <v>2500</v>
      </c>
      <c r="M64" s="73">
        <v>46274</v>
      </c>
      <c r="N64" s="43">
        <f t="shared" si="16"/>
        <v>46272</v>
      </c>
      <c r="O64" s="43"/>
      <c r="P64" s="75" t="s">
        <v>473</v>
      </c>
      <c r="Q64" s="74"/>
      <c r="R64" s="74"/>
      <c r="S64" s="43"/>
      <c r="T64" s="43"/>
      <c r="U64" s="43"/>
      <c r="V64" s="43"/>
      <c r="W64" s="46"/>
      <c r="X64" s="49"/>
      <c r="Y64" s="50">
        <v>6.154</v>
      </c>
      <c r="Z64" s="51">
        <f t="shared" si="17"/>
        <v>30770</v>
      </c>
      <c r="AA64" s="51">
        <f t="shared" si="18"/>
        <v>238467.5</v>
      </c>
      <c r="AB64" s="58"/>
      <c r="AC64" s="43"/>
      <c r="AD64" s="43"/>
      <c r="AE64" s="43" t="str">
        <f>IFERROR(VLOOKUP(H64,名称!A:D,4,0),"")</f>
        <v>KIK</v>
      </c>
      <c r="AF64" s="47"/>
      <c r="AG64" s="53"/>
      <c r="AH64" s="53"/>
      <c r="AI64" s="53"/>
      <c r="AJ64" s="53"/>
      <c r="AK64" s="53"/>
      <c r="AL64" s="53"/>
      <c r="AM64" s="53"/>
      <c r="AN64" s="49">
        <f t="shared" si="19"/>
        <v>74</v>
      </c>
      <c r="AO64" s="49">
        <f t="shared" si="20"/>
        <v>46274</v>
      </c>
    </row>
    <row r="65" s="16" customFormat="1" customHeight="1" spans="1:44">
      <c r="A65" s="43">
        <v>46109</v>
      </c>
      <c r="B65" s="43" t="str">
        <f ca="1" t="shared" ref="B65:B67" si="21">IF(TODAY()&gt;=A65,IF(R65="","未",""),"")</f>
        <v/>
      </c>
      <c r="C65" s="44" t="s">
        <v>235</v>
      </c>
      <c r="D65" s="43" t="s">
        <v>421</v>
      </c>
      <c r="E65" s="44" t="s">
        <v>422</v>
      </c>
      <c r="F65" s="45">
        <v>10115934</v>
      </c>
      <c r="G65" s="45">
        <v>4500031985</v>
      </c>
      <c r="H65" s="46" t="s">
        <v>95</v>
      </c>
      <c r="I65" s="47" t="str">
        <f>IFERROR(VLOOKUP(H65,名称!A:C,2,0),"")</f>
        <v>宝箱马里奥</v>
      </c>
      <c r="J65" s="48">
        <f>4000-2000-2000</f>
        <v>0</v>
      </c>
      <c r="K65" s="47">
        <f>IFERROR(VLOOKUP(H65,名称!A:D,3,0),"")</f>
        <v>4</v>
      </c>
      <c r="L65" s="49">
        <f t="shared" si="15"/>
        <v>0</v>
      </c>
      <c r="M65" s="43">
        <v>46197</v>
      </c>
      <c r="N65" s="43">
        <f t="shared" si="16"/>
        <v>46195</v>
      </c>
      <c r="O65" s="43"/>
      <c r="P65" s="43" t="s">
        <v>680</v>
      </c>
      <c r="Q65" s="46" t="s">
        <v>424</v>
      </c>
      <c r="R65" s="76" t="s">
        <v>431</v>
      </c>
      <c r="S65" s="43"/>
      <c r="T65" s="43"/>
      <c r="U65" s="43"/>
      <c r="V65" s="43"/>
      <c r="W65" s="46"/>
      <c r="X65" s="49" t="s">
        <v>1000</v>
      </c>
      <c r="Y65" s="57">
        <v>2.205</v>
      </c>
      <c r="Z65" s="51">
        <f t="shared" si="17"/>
        <v>0</v>
      </c>
      <c r="AA65" s="51">
        <f t="shared" si="18"/>
        <v>0</v>
      </c>
      <c r="AB65" s="58"/>
      <c r="AC65" s="43"/>
      <c r="AD65" s="43"/>
      <c r="AE65" s="43" t="str">
        <f>IFERROR(VLOOKUP(H65,名称!A:D,4,0),"")</f>
        <v>KIK</v>
      </c>
      <c r="AF65" s="47"/>
      <c r="AG65" s="53">
        <v>46134</v>
      </c>
      <c r="AH65" s="53"/>
      <c r="AI65" s="53"/>
      <c r="AJ65" s="53" t="s">
        <v>420</v>
      </c>
      <c r="AK65" s="53" t="s">
        <v>420</v>
      </c>
      <c r="AL65" s="53"/>
      <c r="AM65" s="53"/>
      <c r="AN65" s="49">
        <f t="shared" si="19"/>
        <v>88</v>
      </c>
      <c r="AO65" s="49">
        <f t="shared" si="20"/>
        <v>63</v>
      </c>
    </row>
    <row r="66" s="16" customFormat="1" customHeight="1" spans="1:44">
      <c r="A66" s="77">
        <v>45895</v>
      </c>
      <c r="B66" s="77" t="str">
        <f ca="1" t="shared" si="21"/>
        <v>未</v>
      </c>
      <c r="C66" s="78"/>
      <c r="D66" s="77"/>
      <c r="E66" s="78"/>
      <c r="F66" s="79" t="s">
        <v>238</v>
      </c>
      <c r="G66" s="79"/>
      <c r="H66" s="74" t="s">
        <v>239</v>
      </c>
      <c r="I66" s="80" t="str">
        <f>IFERROR(VLOOKUP(H66,名称!A:C,2,0),"")</f>
        <v/>
      </c>
      <c r="J66" s="81">
        <f>30000-2004-2000</f>
        <v>25996</v>
      </c>
      <c r="K66" s="80" t="str">
        <f>IFERROR(VLOOKUP(H66,名称!A:D,3,0),"")</f>
        <v/>
      </c>
      <c r="L66" s="82" t="str">
        <f t="shared" si="15"/>
        <v/>
      </c>
      <c r="M66" s="77"/>
      <c r="N66" s="77"/>
      <c r="O66" s="77"/>
      <c r="P66" s="77"/>
      <c r="Q66" s="74"/>
      <c r="R66" s="76"/>
      <c r="S66" s="77"/>
      <c r="T66" s="77"/>
      <c r="U66" s="77"/>
      <c r="V66" s="77"/>
      <c r="W66" s="74"/>
      <c r="X66" s="82" t="s">
        <v>415</v>
      </c>
      <c r="Y66" s="83">
        <v>0</v>
      </c>
      <c r="Z66" s="84">
        <f t="shared" si="17"/>
        <v>0</v>
      </c>
      <c r="AA66" s="84">
        <f t="shared" si="18"/>
        <v>0</v>
      </c>
      <c r="AB66" s="85"/>
      <c r="AC66" s="77"/>
      <c r="AD66" s="77"/>
      <c r="AE66" s="77" t="str">
        <f>IFERROR(VLOOKUP(H66,名称!A:D,4,0),"")</f>
        <v/>
      </c>
      <c r="AF66" s="80"/>
      <c r="AG66" s="80"/>
      <c r="AH66" s="86"/>
      <c r="AI66" s="86"/>
      <c r="AJ66" s="86"/>
      <c r="AK66" s="86"/>
      <c r="AL66" s="86">
        <v>45995</v>
      </c>
      <c r="AM66" s="86"/>
      <c r="AN66" s="86"/>
      <c r="AO66" s="82">
        <f>M66-A66</f>
        <v>-45895</v>
      </c>
      <c r="AP66" s="82">
        <f>M66-AH66</f>
        <v>0</v>
      </c>
    </row>
    <row r="67" s="16" customFormat="1" customHeight="1" spans="1:44">
      <c r="A67" s="77">
        <v>46041</v>
      </c>
      <c r="B67" s="77" t="str">
        <f ca="1" t="shared" si="21"/>
        <v>未</v>
      </c>
      <c r="C67" s="78" t="s">
        <v>242</v>
      </c>
      <c r="D67" s="77"/>
      <c r="E67" s="78"/>
      <c r="F67" s="79" t="s">
        <v>241</v>
      </c>
      <c r="G67" s="79"/>
      <c r="H67" s="74" t="s">
        <v>132</v>
      </c>
      <c r="I67" s="80" t="str">
        <f>IFERROR(VLOOKUP(H67,名称!A:C,2,0),"")</f>
        <v>马里奥和他的蘑菇</v>
      </c>
      <c r="J67" s="87">
        <v>0</v>
      </c>
      <c r="K67" s="80">
        <f>IFERROR(VLOOKUP(H67,名称!A:D,3,0),"")</f>
        <v>6</v>
      </c>
      <c r="L67" s="82">
        <f t="shared" si="15"/>
        <v>0</v>
      </c>
      <c r="M67" s="77">
        <v>46216</v>
      </c>
      <c r="N67" s="77">
        <f>M67-2</f>
        <v>46214</v>
      </c>
      <c r="O67" s="77"/>
      <c r="P67" s="77"/>
      <c r="Q67" s="74"/>
      <c r="R67" s="76"/>
      <c r="S67" s="77"/>
      <c r="T67" s="77"/>
      <c r="U67" s="77"/>
      <c r="V67" s="77"/>
      <c r="W67" s="74"/>
      <c r="X67" s="88" t="s">
        <v>419</v>
      </c>
      <c r="Y67" s="83">
        <v>0</v>
      </c>
      <c r="Z67" s="84">
        <f t="shared" si="17"/>
        <v>0</v>
      </c>
      <c r="AA67" s="84">
        <f t="shared" si="18"/>
        <v>0</v>
      </c>
      <c r="AB67" s="85"/>
      <c r="AC67" s="77"/>
      <c r="AD67" s="77"/>
      <c r="AE67" s="77" t="str">
        <f>IFERROR(VLOOKUP(H67,名称!A:D,4,0),"")</f>
        <v>KIK</v>
      </c>
      <c r="AF67" s="80"/>
      <c r="AG67" s="80"/>
      <c r="AH67" s="86"/>
      <c r="AI67" s="86"/>
      <c r="AJ67" s="86"/>
      <c r="AK67" s="86" t="s">
        <v>420</v>
      </c>
      <c r="AL67" s="86" t="s">
        <v>420</v>
      </c>
      <c r="AM67" s="86"/>
      <c r="AN67" s="86"/>
      <c r="AO67" s="82">
        <f>M67-A67</f>
        <v>175</v>
      </c>
      <c r="AP67" s="82">
        <f>M67-AH67</f>
        <v>46216</v>
      </c>
    </row>
    <row r="68" s="16" customFormat="1" customHeight="1" spans="1:44">
      <c r="A68" s="43"/>
      <c r="B68" s="43"/>
      <c r="C68" s="44"/>
      <c r="D68" s="43"/>
      <c r="E68" s="44"/>
      <c r="F68" s="45"/>
      <c r="G68" s="45"/>
      <c r="H68" s="46"/>
      <c r="I68" s="47"/>
      <c r="J68" s="48"/>
      <c r="K68" s="47"/>
      <c r="L68" s="49"/>
      <c r="M68" s="43"/>
      <c r="N68" s="43"/>
      <c r="O68" s="43"/>
      <c r="P68" s="43"/>
      <c r="Q68" s="46"/>
      <c r="R68" s="46"/>
      <c r="S68" s="43"/>
      <c r="T68" s="43"/>
      <c r="U68" s="43"/>
      <c r="V68" s="43"/>
      <c r="W68" s="46"/>
      <c r="X68" s="49"/>
      <c r="Y68" s="57"/>
      <c r="Z68" s="51"/>
      <c r="AA68" s="51"/>
      <c r="AB68" s="43"/>
      <c r="AC68" s="47"/>
      <c r="AD68" s="53"/>
      <c r="AE68" s="43"/>
      <c r="AF68" s="53"/>
      <c r="AG68" s="53"/>
      <c r="AH68" s="53"/>
      <c r="AI68" s="53"/>
      <c r="AJ68" s="53"/>
      <c r="AK68" s="53"/>
      <c r="AL68" s="53"/>
      <c r="AM68" s="53"/>
      <c r="AN68" s="66"/>
      <c r="AO68" s="55"/>
      <c r="AP68" s="49"/>
      <c r="AQ68" s="49"/>
      <c r="AR68" s="55"/>
    </row>
    <row r="69" s="16" customFormat="1" customHeight="1" spans="1:44">
      <c r="A69" s="43"/>
      <c r="B69" s="43"/>
      <c r="C69" s="44"/>
      <c r="D69" s="43"/>
      <c r="E69" s="44"/>
      <c r="F69" s="45"/>
      <c r="G69" s="45"/>
      <c r="H69" s="46"/>
      <c r="I69" s="47"/>
      <c r="J69" s="48"/>
      <c r="K69" s="47"/>
      <c r="L69" s="49"/>
      <c r="M69" s="43"/>
      <c r="N69" s="43"/>
      <c r="O69" s="43"/>
      <c r="P69" s="43"/>
      <c r="Q69" s="46"/>
      <c r="R69" s="46"/>
      <c r="S69" s="43"/>
      <c r="T69" s="43"/>
      <c r="U69" s="43"/>
      <c r="V69" s="43"/>
      <c r="W69" s="46"/>
      <c r="X69" s="49"/>
      <c r="Y69" s="57"/>
      <c r="Z69" s="51"/>
      <c r="AA69" s="51"/>
      <c r="AB69" s="43"/>
      <c r="AC69" s="47"/>
      <c r="AD69" s="53"/>
      <c r="AE69" s="43"/>
      <c r="AF69" s="53"/>
      <c r="AG69" s="53"/>
      <c r="AH69" s="53"/>
      <c r="AI69" s="53"/>
      <c r="AJ69" s="53"/>
      <c r="AK69" s="53"/>
      <c r="AL69" s="53"/>
      <c r="AM69" s="53"/>
      <c r="AN69" s="66"/>
      <c r="AO69" s="55"/>
      <c r="AP69" s="49"/>
      <c r="AQ69" s="49"/>
      <c r="AR69" s="55"/>
    </row>
    <row r="70" customHeight="1" spans="1:44">
      <c r="J70" s="18">
        <f>SUM(J2:J69)</f>
        <v>106407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P70" etc:filterBottomFollowUsedRange="0">
    <extLst/>
  </autoFilter>
  <conditionalFormatting sqref="AO2">
    <cfRule type="cellIs" dxfId="1" priority="124" operator="lessThan">
      <formula>90</formula>
    </cfRule>
  </conditionalFormatting>
  <conditionalFormatting sqref="AP2">
    <cfRule type="cellIs" dxfId="0" priority="123" operator="lessThan">
      <formula>55</formula>
    </cfRule>
  </conditionalFormatting>
  <conditionalFormatting sqref="AO3">
    <cfRule type="cellIs" dxfId="1" priority="122" operator="lessThan">
      <formula>90</formula>
    </cfRule>
  </conditionalFormatting>
  <conditionalFormatting sqref="AP3">
    <cfRule type="cellIs" dxfId="0" priority="121" operator="lessThan">
      <formula>55</formula>
    </cfRule>
  </conditionalFormatting>
  <conditionalFormatting sqref="AO4">
    <cfRule type="cellIs" dxfId="1" priority="120" operator="lessThan">
      <formula>90</formula>
    </cfRule>
  </conditionalFormatting>
  <conditionalFormatting sqref="AP4">
    <cfRule type="cellIs" dxfId="0" priority="119" operator="lessThan">
      <formula>55</formula>
    </cfRule>
  </conditionalFormatting>
  <conditionalFormatting sqref="AO5">
    <cfRule type="cellIs" dxfId="1" priority="68" operator="lessThan">
      <formula>90</formula>
    </cfRule>
  </conditionalFormatting>
  <conditionalFormatting sqref="AP5">
    <cfRule type="cellIs" dxfId="0" priority="66" operator="lessThan">
      <formula>55</formula>
    </cfRule>
  </conditionalFormatting>
  <conditionalFormatting sqref="AO6">
    <cfRule type="cellIs" dxfId="1" priority="67" operator="lessThan">
      <formula>90</formula>
    </cfRule>
  </conditionalFormatting>
  <conditionalFormatting sqref="AP6">
    <cfRule type="cellIs" dxfId="0" priority="65" operator="lessThan">
      <formula>55</formula>
    </cfRule>
  </conditionalFormatting>
  <conditionalFormatting sqref="AO7">
    <cfRule type="cellIs" dxfId="1" priority="116" operator="lessThan">
      <formula>90</formula>
    </cfRule>
  </conditionalFormatting>
  <conditionalFormatting sqref="AP7">
    <cfRule type="cellIs" dxfId="0" priority="115" operator="lessThan">
      <formula>55</formula>
    </cfRule>
  </conditionalFormatting>
  <conditionalFormatting sqref="AO8">
    <cfRule type="cellIs" dxfId="1" priority="114" operator="lessThan">
      <formula>90</formula>
    </cfRule>
  </conditionalFormatting>
  <conditionalFormatting sqref="AP8">
    <cfRule type="cellIs" dxfId="0" priority="113" operator="lessThan">
      <formula>55</formula>
    </cfRule>
  </conditionalFormatting>
  <conditionalFormatting sqref="AO9">
    <cfRule type="cellIs" dxfId="1" priority="110" operator="lessThan">
      <formula>90</formula>
    </cfRule>
  </conditionalFormatting>
  <conditionalFormatting sqref="AP9">
    <cfRule type="cellIs" dxfId="0" priority="109" operator="lessThan">
      <formula>55</formula>
    </cfRule>
  </conditionalFormatting>
  <conditionalFormatting sqref="AO10">
    <cfRule type="cellIs" dxfId="1" priority="98" operator="lessThan">
      <formula>90</formula>
    </cfRule>
  </conditionalFormatting>
  <conditionalFormatting sqref="AP10">
    <cfRule type="cellIs" dxfId="0" priority="91" operator="lessThan">
      <formula>55</formula>
    </cfRule>
  </conditionalFormatting>
  <conditionalFormatting sqref="AO11">
    <cfRule type="cellIs" dxfId="1" priority="97" operator="lessThan">
      <formula>90</formula>
    </cfRule>
  </conditionalFormatting>
  <conditionalFormatting sqref="AP11">
    <cfRule type="cellIs" dxfId="0" priority="90" operator="lessThan">
      <formula>55</formula>
    </cfRule>
  </conditionalFormatting>
  <conditionalFormatting sqref="AO12">
    <cfRule type="cellIs" dxfId="1" priority="96" operator="lessThan">
      <formula>90</formula>
    </cfRule>
  </conditionalFormatting>
  <conditionalFormatting sqref="AP12">
    <cfRule type="cellIs" dxfId="0" priority="89" operator="lessThan">
      <formula>55</formula>
    </cfRule>
  </conditionalFormatting>
  <conditionalFormatting sqref="AO13">
    <cfRule type="cellIs" dxfId="1" priority="95" operator="lessThan">
      <formula>90</formula>
    </cfRule>
  </conditionalFormatting>
  <conditionalFormatting sqref="AP13">
    <cfRule type="cellIs" dxfId="0" priority="88" operator="lessThan">
      <formula>55</formula>
    </cfRule>
  </conditionalFormatting>
  <conditionalFormatting sqref="AO14">
    <cfRule type="cellIs" dxfId="1" priority="94" operator="lessThan">
      <formula>90</formula>
    </cfRule>
  </conditionalFormatting>
  <conditionalFormatting sqref="AP14">
    <cfRule type="cellIs" dxfId="0" priority="87" operator="lessThan">
      <formula>55</formula>
    </cfRule>
  </conditionalFormatting>
  <conditionalFormatting sqref="AO15">
    <cfRule type="cellIs" dxfId="1" priority="93" operator="lessThan">
      <formula>90</formula>
    </cfRule>
  </conditionalFormatting>
  <conditionalFormatting sqref="AP15">
    <cfRule type="cellIs" dxfId="0" priority="86" operator="lessThan">
      <formula>55</formula>
    </cfRule>
  </conditionalFormatting>
  <conditionalFormatting sqref="AO16">
    <cfRule type="cellIs" dxfId="1" priority="92" operator="lessThan">
      <formula>90</formula>
    </cfRule>
  </conditionalFormatting>
  <conditionalFormatting sqref="AP16">
    <cfRule type="cellIs" dxfId="0" priority="85" operator="lessThan">
      <formula>55</formula>
    </cfRule>
  </conditionalFormatting>
  <conditionalFormatting sqref="AO22">
    <cfRule type="cellIs" dxfId="1" priority="82" operator="lessThan">
      <formula>90</formula>
    </cfRule>
  </conditionalFormatting>
  <conditionalFormatting sqref="AP22">
    <cfRule type="cellIs" dxfId="0" priority="81" operator="lessThan">
      <formula>55</formula>
    </cfRule>
  </conditionalFormatting>
  <conditionalFormatting sqref="AO23">
    <cfRule type="cellIs" dxfId="1" priority="76" operator="lessThan">
      <formula>90</formula>
    </cfRule>
  </conditionalFormatting>
  <conditionalFormatting sqref="AP23">
    <cfRule type="cellIs" dxfId="0" priority="72" operator="lessThan">
      <formula>55</formula>
    </cfRule>
  </conditionalFormatting>
  <conditionalFormatting sqref="AO24">
    <cfRule type="cellIs" dxfId="1" priority="75" operator="lessThan">
      <formula>90</formula>
    </cfRule>
  </conditionalFormatting>
  <conditionalFormatting sqref="AP24">
    <cfRule type="cellIs" dxfId="0" priority="71" operator="lessThan">
      <formula>55</formula>
    </cfRule>
  </conditionalFormatting>
  <conditionalFormatting sqref="AO25">
    <cfRule type="cellIs" dxfId="1" priority="74" operator="lessThan">
      <formula>90</formula>
    </cfRule>
  </conditionalFormatting>
  <conditionalFormatting sqref="AP25">
    <cfRule type="cellIs" dxfId="0" priority="70" operator="lessThan">
      <formula>55</formula>
    </cfRule>
  </conditionalFormatting>
  <conditionalFormatting sqref="AO26">
    <cfRule type="cellIs" dxfId="1" priority="73" operator="lessThan">
      <formula>90</formula>
    </cfRule>
  </conditionalFormatting>
  <conditionalFormatting sqref="AP26">
    <cfRule type="cellIs" dxfId="0" priority="69" operator="lessThan">
      <formula>55</formula>
    </cfRule>
  </conditionalFormatting>
  <conditionalFormatting sqref="AO27">
    <cfRule type="cellIs" dxfId="1" priority="62" operator="lessThan">
      <formula>90</formula>
    </cfRule>
  </conditionalFormatting>
  <conditionalFormatting sqref="AP27">
    <cfRule type="cellIs" dxfId="0" priority="59" operator="lessThan">
      <formula>55</formula>
    </cfRule>
  </conditionalFormatting>
  <conditionalFormatting sqref="AO28">
    <cfRule type="cellIs" dxfId="1" priority="61" operator="lessThan">
      <formula>90</formula>
    </cfRule>
  </conditionalFormatting>
  <conditionalFormatting sqref="AP28">
    <cfRule type="cellIs" dxfId="0" priority="58" operator="lessThan">
      <formula>55</formula>
    </cfRule>
  </conditionalFormatting>
  <conditionalFormatting sqref="AO29">
    <cfRule type="cellIs" dxfId="1" priority="60" operator="lessThan">
      <formula>90</formula>
    </cfRule>
  </conditionalFormatting>
  <conditionalFormatting sqref="AP29">
    <cfRule type="cellIs" dxfId="0" priority="57" operator="lessThan">
      <formula>55</formula>
    </cfRule>
  </conditionalFormatting>
  <conditionalFormatting sqref="AO30">
    <cfRule type="cellIs" dxfId="1" priority="54" operator="lessThan">
      <formula>90</formula>
    </cfRule>
  </conditionalFormatting>
  <conditionalFormatting sqref="AP30">
    <cfRule type="cellIs" dxfId="0" priority="53" operator="lessThan">
      <formula>55</formula>
    </cfRule>
  </conditionalFormatting>
  <conditionalFormatting sqref="AO31">
    <cfRule type="cellIs" dxfId="1" priority="52" operator="lessThan">
      <formula>90</formula>
    </cfRule>
  </conditionalFormatting>
  <conditionalFormatting sqref="AP31">
    <cfRule type="cellIs" dxfId="0" priority="51" operator="lessThan">
      <formula>55</formula>
    </cfRule>
  </conditionalFormatting>
  <conditionalFormatting sqref="AO37">
    <cfRule type="cellIs" dxfId="1" priority="46" operator="lessThan">
      <formula>90</formula>
    </cfRule>
  </conditionalFormatting>
  <conditionalFormatting sqref="AP37">
    <cfRule type="cellIs" dxfId="0" priority="33" operator="lessThan">
      <formula>55</formula>
    </cfRule>
  </conditionalFormatting>
  <conditionalFormatting sqref="AO38">
    <cfRule type="cellIs" dxfId="1" priority="45" operator="lessThan">
      <formula>90</formula>
    </cfRule>
  </conditionalFormatting>
  <conditionalFormatting sqref="AP38">
    <cfRule type="cellIs" dxfId="0" priority="32" operator="lessThan">
      <formula>55</formula>
    </cfRule>
  </conditionalFormatting>
  <conditionalFormatting sqref="AO39">
    <cfRule type="cellIs" dxfId="1" priority="44" operator="lessThan">
      <formula>90</formula>
    </cfRule>
  </conditionalFormatting>
  <conditionalFormatting sqref="AP39">
    <cfRule type="cellIs" dxfId="0" priority="31" operator="lessThan">
      <formula>55</formula>
    </cfRule>
  </conditionalFormatting>
  <conditionalFormatting sqref="AO40">
    <cfRule type="cellIs" dxfId="1" priority="43" operator="lessThan">
      <formula>90</formula>
    </cfRule>
  </conditionalFormatting>
  <conditionalFormatting sqref="AP40">
    <cfRule type="cellIs" dxfId="0" priority="30" operator="lessThan">
      <formula>55</formula>
    </cfRule>
  </conditionalFormatting>
  <conditionalFormatting sqref="AO41">
    <cfRule type="cellIs" dxfId="1" priority="42" operator="lessThan">
      <formula>90</formula>
    </cfRule>
  </conditionalFormatting>
  <conditionalFormatting sqref="AP41">
    <cfRule type="cellIs" dxfId="0" priority="29" operator="lessThan">
      <formula>55</formula>
    </cfRule>
  </conditionalFormatting>
  <conditionalFormatting sqref="AO42">
    <cfRule type="cellIs" dxfId="1" priority="41" operator="lessThan">
      <formula>90</formula>
    </cfRule>
  </conditionalFormatting>
  <conditionalFormatting sqref="AP42">
    <cfRule type="cellIs" dxfId="0" priority="28" operator="lessThan">
      <formula>55</formula>
    </cfRule>
  </conditionalFormatting>
  <conditionalFormatting sqref="AO43">
    <cfRule type="cellIs" dxfId="1" priority="40" operator="lessThan">
      <formula>90</formula>
    </cfRule>
  </conditionalFormatting>
  <conditionalFormatting sqref="AP43">
    <cfRule type="cellIs" dxfId="0" priority="27" operator="lessThan">
      <formula>55</formula>
    </cfRule>
  </conditionalFormatting>
  <conditionalFormatting sqref="AO44">
    <cfRule type="cellIs" dxfId="1" priority="39" operator="lessThan">
      <formula>90</formula>
    </cfRule>
  </conditionalFormatting>
  <conditionalFormatting sqref="AP44">
    <cfRule type="cellIs" dxfId="0" priority="26" operator="lessThan">
      <formula>55</formula>
    </cfRule>
  </conditionalFormatting>
  <conditionalFormatting sqref="AO45">
    <cfRule type="cellIs" dxfId="1" priority="38" operator="lessThan">
      <formula>90</formula>
    </cfRule>
  </conditionalFormatting>
  <conditionalFormatting sqref="AP45">
    <cfRule type="cellIs" dxfId="0" priority="25" operator="lessThan">
      <formula>55</formula>
    </cfRule>
  </conditionalFormatting>
  <conditionalFormatting sqref="AO46">
    <cfRule type="cellIs" dxfId="1" priority="37" operator="lessThan">
      <formula>90</formula>
    </cfRule>
  </conditionalFormatting>
  <conditionalFormatting sqref="AP46">
    <cfRule type="cellIs" dxfId="0" priority="24" operator="lessThan">
      <formula>55</formula>
    </cfRule>
  </conditionalFormatting>
  <conditionalFormatting sqref="AO47">
    <cfRule type="cellIs" dxfId="1" priority="36" operator="lessThan">
      <formula>90</formula>
    </cfRule>
  </conditionalFormatting>
  <conditionalFormatting sqref="AP47">
    <cfRule type="cellIs" dxfId="0" priority="23" operator="lessThan">
      <formula>55</formula>
    </cfRule>
  </conditionalFormatting>
  <conditionalFormatting sqref="AO48">
    <cfRule type="cellIs" dxfId="1" priority="35" operator="lessThan">
      <formula>90</formula>
    </cfRule>
  </conditionalFormatting>
  <conditionalFormatting sqref="AP48">
    <cfRule type="cellIs" dxfId="0" priority="22" operator="lessThan">
      <formula>55</formula>
    </cfRule>
  </conditionalFormatting>
  <conditionalFormatting sqref="AO49">
    <cfRule type="cellIs" dxfId="1" priority="34" operator="lessThan">
      <formula>90</formula>
    </cfRule>
  </conditionalFormatting>
  <conditionalFormatting sqref="AP49">
    <cfRule type="cellIs" dxfId="0" priority="21" operator="lessThan">
      <formula>55</formula>
    </cfRule>
  </conditionalFormatting>
  <conditionalFormatting sqref="AF50">
    <cfRule type="cellIs" dxfId="1" priority="18" operator="lessThan">
      <formula>90</formula>
    </cfRule>
  </conditionalFormatting>
  <conditionalFormatting sqref="AG50">
    <cfRule type="cellIs" dxfId="0" priority="17" operator="lessThan">
      <formula>55</formula>
    </cfRule>
  </conditionalFormatting>
  <conditionalFormatting sqref="AF51">
    <cfRule type="cellIs" dxfId="1" priority="20" operator="lessThan">
      <formula>90</formula>
    </cfRule>
  </conditionalFormatting>
  <conditionalFormatting sqref="AG51">
    <cfRule type="cellIs" dxfId="0" priority="19" operator="lessThan">
      <formula>55</formula>
    </cfRule>
  </conditionalFormatting>
  <conditionalFormatting sqref="AO52">
    <cfRule type="cellIs" dxfId="1" priority="16" operator="lessThan">
      <formula>90</formula>
    </cfRule>
  </conditionalFormatting>
  <conditionalFormatting sqref="AP52">
    <cfRule type="cellIs" dxfId="0" priority="15" operator="lessThan">
      <formula>55</formula>
    </cfRule>
  </conditionalFormatting>
  <conditionalFormatting sqref="AP63">
    <cfRule type="cellIs" dxfId="1" priority="10" operator="lessThan">
      <formula>90</formula>
    </cfRule>
  </conditionalFormatting>
  <conditionalFormatting sqref="AQ63">
    <cfRule type="cellIs" dxfId="0" priority="5" operator="lessThan">
      <formula>55</formula>
    </cfRule>
  </conditionalFormatting>
  <conditionalFormatting sqref="AP69">
    <cfRule type="cellIs" dxfId="1" priority="8" operator="lessThan">
      <formula>90</formula>
    </cfRule>
  </conditionalFormatting>
  <conditionalFormatting sqref="AQ69">
    <cfRule type="cellIs" dxfId="0" priority="3" operator="lessThan">
      <formula>55</formula>
    </cfRule>
  </conditionalFormatting>
  <conditionalFormatting sqref="AO17:AO19">
    <cfRule type="cellIs" dxfId="1" priority="84" operator="lessThan">
      <formula>90</formula>
    </cfRule>
  </conditionalFormatting>
  <conditionalFormatting sqref="AO32:AO36">
    <cfRule type="cellIs" dxfId="1" priority="50" operator="lessThan">
      <formula>90</formula>
    </cfRule>
  </conditionalFormatting>
  <conditionalFormatting sqref="AP17:AP19">
    <cfRule type="cellIs" dxfId="0" priority="83" operator="lessThan">
      <formula>55</formula>
    </cfRule>
  </conditionalFormatting>
  <conditionalFormatting sqref="AP32:AP36">
    <cfRule type="cellIs" dxfId="0" priority="49" operator="lessThan">
      <formula>55</formula>
    </cfRule>
  </conditionalFormatting>
  <conditionalFormatting sqref="AP53:AP60">
    <cfRule type="cellIs" dxfId="1" priority="14" operator="lessThan">
      <formula>90</formula>
    </cfRule>
  </conditionalFormatting>
  <conditionalFormatting sqref="AP64:AP68">
    <cfRule type="cellIs" dxfId="1" priority="9" operator="lessThan">
      <formula>90</formula>
    </cfRule>
  </conditionalFormatting>
  <conditionalFormatting sqref="AQ53:AQ60">
    <cfRule type="cellIs" dxfId="0" priority="13" operator="lessThan">
      <formula>55</formula>
    </cfRule>
  </conditionalFormatting>
  <conditionalFormatting sqref="AQ64:AQ68">
    <cfRule type="cellIs" dxfId="0" priority="4" operator="lessThan">
      <formula>55</formula>
    </cfRule>
  </conditionalFormatting>
  <conditionalFormatting sqref="AP61 AP62">
    <cfRule type="cellIs" dxfId="1" priority="2" operator="lessThan">
      <formula>90</formula>
    </cfRule>
  </conditionalFormatting>
  <conditionalFormatting sqref="AQ61 AQ62">
    <cfRule type="cellIs" dxfId="0" priority="1" operator="lessThan">
      <formula>55</formula>
    </cfRule>
  </conditionalFormatting>
  <pageMargins left="0.196527777777778" right="0.161111111111111" top="0.0152777777777778" bottom="0.2125" header="0.5" footer="0.5"/>
  <pageSetup paperSize="9" scale="36" fitToHeight="0" orientation="landscape" horizontalDpi="600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19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12.625" defaultRowHeight="20" customHeight="1"/>
  <cols>
    <col min="1" max="6" width="12.625" style="11" customWidth="1"/>
    <col min="7" max="7" width="12.625" style="12" customWidth="1"/>
    <col min="8" max="12" width="12.625" style="11" customWidth="1"/>
    <col min="13" max="13" width="12.625" style="12" customWidth="1"/>
    <col min="14" max="16384" width="12.625" style="11" customWidth="1"/>
  </cols>
  <sheetData>
    <row r="1" customHeight="1" spans="1:13">
      <c r="A1" s="13" t="s">
        <v>1001</v>
      </c>
      <c r="B1" s="13" t="s">
        <v>1002</v>
      </c>
      <c r="C1" s="13" t="s">
        <v>1003</v>
      </c>
      <c r="D1" s="13" t="s">
        <v>1004</v>
      </c>
      <c r="E1" s="13" t="s">
        <v>1005</v>
      </c>
      <c r="F1" s="13" t="s">
        <v>1006</v>
      </c>
      <c r="G1" s="12" t="s">
        <v>1007</v>
      </c>
      <c r="H1" s="13" t="s">
        <v>1002</v>
      </c>
      <c r="I1" s="13" t="s">
        <v>1003</v>
      </c>
      <c r="J1" s="13" t="s">
        <v>1004</v>
      </c>
      <c r="K1" s="13" t="s">
        <v>1005</v>
      </c>
      <c r="L1" s="13" t="s">
        <v>1006</v>
      </c>
      <c r="M1" s="12" t="s">
        <v>1007</v>
      </c>
    </row>
    <row r="2" customHeight="1" spans="1:13">
      <c r="A2" s="11">
        <v>47669</v>
      </c>
      <c r="B2" s="11">
        <f ca="1">SUMIF(总接单!E:EH,A2,总接单!F:F)</f>
        <v>16120</v>
      </c>
      <c r="C2" s="11">
        <f>SUMIF(KIK总排期!H:H,A2,KIK总排期!J:J)</f>
        <v>5000</v>
      </c>
      <c r="D2" s="11">
        <f>SUMIF(RRM总排期!H:H,A2,RRM总排期!J:J)</f>
        <v>0</v>
      </c>
      <c r="E2" s="11">
        <f>SUMIF(KIK已走货!H:H,A2,KIK已走货!J:J)</f>
        <v>11120</v>
      </c>
      <c r="F2" s="11">
        <f>SUMIF(RRM已走货!H:H,A2,RRM已走货!J:J)</f>
        <v>0</v>
      </c>
      <c r="G2" s="12">
        <f ca="1">B2-C2-D2-E2-F2</f>
        <v>0</v>
      </c>
      <c r="H2" s="11">
        <f>SUMIF(总接单!E:E,A2,总接单!BS:BS)</f>
        <v>609397.81</v>
      </c>
      <c r="I2" s="11">
        <f>SUMIF(KIK总排期!H:H,A2,KIK总排期!AA:AA)</f>
        <v>190107.52</v>
      </c>
      <c r="J2" s="11">
        <f ca="1">SUMIF(RRM总排期!H:HA,A2,RRM总排期!AA:AA)</f>
        <v>0</v>
      </c>
      <c r="K2" s="11">
        <f>SUMIF(KIK已走货!H:H,A2,KIK已走货!AA:AA)</f>
        <v>419290.29</v>
      </c>
      <c r="L2" s="11">
        <f>SUMIF(RRM已走货!H:H,A2,RRM已走货!AA:AA)</f>
        <v>0</v>
      </c>
      <c r="M2" s="12">
        <f ca="1">H2-I2-J2-K2-L2</f>
        <v>0</v>
      </c>
    </row>
    <row r="3" customHeight="1" spans="1:13">
      <c r="A3" s="11">
        <v>47674</v>
      </c>
      <c r="B3" s="11">
        <f ca="1">SUMIF(总接单!E:EH,A3,总接单!F:F)</f>
        <v>5000</v>
      </c>
      <c r="C3" s="11">
        <f>SUMIF(KIK总排期!H:H,A3,KIK总排期!J:J)</f>
        <v>0</v>
      </c>
      <c r="D3" s="11">
        <f>SUMIF(RRM总排期!H:H,A3,RRM总排期!J:J)</f>
        <v>0</v>
      </c>
      <c r="E3" s="11">
        <f>SUMIF(KIK已走货!H:H,A3,KIK已走货!J:J)</f>
        <v>5000</v>
      </c>
      <c r="F3" s="11">
        <f>SUMIF(RRM已走货!H:H,A3,RRM已走货!J:J)</f>
        <v>0</v>
      </c>
      <c r="G3" s="12">
        <f ca="1" t="shared" ref="G3:G34" si="0">B3-C3-D3-E3-F3</f>
        <v>0</v>
      </c>
      <c r="H3" s="11">
        <f>SUMIF(总接单!E:E,A3,总接单!BS:BS)</f>
        <v>202468.75</v>
      </c>
      <c r="I3" s="11">
        <f>SUMIF(KIK总排期!H:H,A3,KIK总排期!AA:AA)</f>
        <v>0</v>
      </c>
      <c r="J3" s="11">
        <f ca="1">SUMIF(RRM总排期!H:HA,A3,RRM总排期!AA:AA)</f>
        <v>0</v>
      </c>
      <c r="K3" s="11">
        <f>SUMIF(KIK已走货!H:H,A3,KIK已走货!AA:AA)</f>
        <v>202468.75</v>
      </c>
      <c r="L3" s="11">
        <f>SUMIF(RRM已走货!H:H,A3,RRM已走货!AA:AA)</f>
        <v>0</v>
      </c>
      <c r="M3" s="12">
        <f ca="1" t="shared" ref="M3:M34" si="1">H3-I3-J3-K3-L3</f>
        <v>0</v>
      </c>
    </row>
    <row r="4" customHeight="1" spans="1:13">
      <c r="A4" s="554" t="s">
        <v>230</v>
      </c>
      <c r="B4" s="11">
        <f ca="1">SUMIF(总接单!E:EH,A4,总接单!F:F)</f>
        <v>5000</v>
      </c>
      <c r="C4" s="11">
        <f>SUMIF(KIK总排期!H:H,A4,KIK总排期!J:J)</f>
        <v>5000</v>
      </c>
      <c r="D4" s="11">
        <f>SUMIF(RRM总排期!H:H,A4,RRM总排期!J:J)</f>
        <v>0</v>
      </c>
      <c r="E4" s="11">
        <f>SUMIF(KIK已走货!H:H,A4,KIK已走货!J:J)</f>
        <v>0</v>
      </c>
      <c r="F4" s="11">
        <f>SUMIF(RRM已走货!H:H,A4,RRM已走货!J:J)</f>
        <v>0</v>
      </c>
      <c r="G4" s="12">
        <f ca="1" t="shared" si="0"/>
        <v>0</v>
      </c>
      <c r="H4" s="11">
        <f>SUMIF(总接单!E:E,A4,总接单!BS:BS)</f>
        <v>125666.25</v>
      </c>
      <c r="I4" s="11">
        <f>SUMIF(KIK总排期!H:H,A4,KIK总排期!AA:AA)</f>
        <v>125666.25</v>
      </c>
      <c r="J4" s="11">
        <f ca="1">SUMIF(RRM总排期!H:HA,A4,RRM总排期!AA:AA)</f>
        <v>0</v>
      </c>
      <c r="K4" s="11">
        <f>SUMIF(KIK已走货!H:H,A4,KIK已走货!AA:AA)</f>
        <v>0</v>
      </c>
      <c r="L4" s="11">
        <f>SUMIF(RRM已走货!H:H,A4,RRM已走货!AA:AA)</f>
        <v>0</v>
      </c>
      <c r="M4" s="12">
        <f ca="1" t="shared" si="1"/>
        <v>0</v>
      </c>
    </row>
    <row r="5" customHeight="1" spans="1:13">
      <c r="A5" s="554" t="s">
        <v>133</v>
      </c>
      <c r="B5" s="11">
        <f ca="1">SUMIF(总接单!E:EH,A5,总接单!F:F)</f>
        <v>6072</v>
      </c>
      <c r="C5" s="11">
        <f>SUMIF(KIK总排期!H:H,A5,KIK总排期!J:J)</f>
        <v>0</v>
      </c>
      <c r="D5" s="11">
        <f>SUMIF(RRM总排期!H:H,A5,RRM总排期!J:J)</f>
        <v>0</v>
      </c>
      <c r="E5" s="11">
        <f>SUMIF(KIK已走货!H:H,A5,KIK已走货!J:J)</f>
        <v>6072</v>
      </c>
      <c r="F5" s="11">
        <f>SUMIF(RRM已走货!H:H,A5,RRM已走货!J:J)</f>
        <v>0</v>
      </c>
      <c r="G5" s="12">
        <f ca="1" t="shared" si="0"/>
        <v>0</v>
      </c>
      <c r="H5" s="11">
        <f>SUMIF(总接单!E:E,A5,总接单!BS:BS)</f>
        <v>62210.73</v>
      </c>
      <c r="I5" s="11">
        <f>SUMIF(KIK总排期!H:H,A5,KIK总排期!AA:AA)</f>
        <v>0</v>
      </c>
      <c r="J5" s="11">
        <f ca="1">SUMIF(RRM总排期!H:HA,A5,RRM总排期!AA:AA)</f>
        <v>0</v>
      </c>
      <c r="K5" s="11">
        <f>SUMIF(KIK已走货!H:H,A5,KIK已走货!AA:AA)</f>
        <v>62210.73</v>
      </c>
      <c r="L5" s="11">
        <f>SUMIF(RRM已走货!H:H,A5,RRM已走货!AA:AA)</f>
        <v>0</v>
      </c>
      <c r="M5" s="12">
        <f ca="1" t="shared" si="1"/>
        <v>0</v>
      </c>
    </row>
    <row r="6" customHeight="1" spans="1:13">
      <c r="A6" s="11" t="s">
        <v>137</v>
      </c>
      <c r="B6" s="11">
        <f ca="1">SUMIF(总接单!E:EH,A6,总接单!F:F)</f>
        <v>12800</v>
      </c>
      <c r="C6" s="11">
        <f>SUMIF(KIK总排期!H:H,A6,KIK总排期!J:J)</f>
        <v>0</v>
      </c>
      <c r="D6" s="11">
        <f>SUMIF(RRM总排期!H:H,A6,RRM总排期!J:J)</f>
        <v>12800</v>
      </c>
      <c r="E6" s="11">
        <f>SUMIF(KIK已走货!H:H,A6,KIK已走货!J:J)</f>
        <v>0</v>
      </c>
      <c r="F6" s="11">
        <f>SUMIF(RRM已走货!H:H,A6,RRM已走货!J:J)</f>
        <v>0</v>
      </c>
      <c r="G6" s="12">
        <f ca="1" t="shared" si="0"/>
        <v>0</v>
      </c>
      <c r="H6" s="11">
        <f>SUMIF(总接单!E:E,A6,总接单!BS:BS)</f>
        <v>404835.2</v>
      </c>
      <c r="I6" s="11">
        <f>SUMIF(KIK总排期!H:H,A6,KIK总排期!AA:AA)</f>
        <v>0</v>
      </c>
      <c r="J6" s="11">
        <f ca="1">SUMIF(RRM总排期!H:HA,A6,RRM总排期!AA:AA)</f>
        <v>404835.2</v>
      </c>
      <c r="K6" s="11">
        <f>SUMIF(KIK已走货!H:H,A6,KIK已走货!AA:AA)</f>
        <v>0</v>
      </c>
      <c r="L6" s="11">
        <f>SUMIF(RRM已走货!H:H,A6,RRM已走货!AA:AA)</f>
        <v>0</v>
      </c>
      <c r="M6" s="12">
        <f ca="1" t="shared" si="1"/>
        <v>0</v>
      </c>
    </row>
    <row r="7" customHeight="1" spans="1:13">
      <c r="A7" s="11" t="s">
        <v>139</v>
      </c>
      <c r="B7" s="11">
        <f ca="1">SUMIF(总接单!E:EH,A7,总接单!F:F)</f>
        <v>12000</v>
      </c>
      <c r="C7" s="11">
        <f>SUMIF(KIK总排期!H:H,A7,KIK总排期!J:J)</f>
        <v>0</v>
      </c>
      <c r="D7" s="11">
        <f>SUMIF(RRM总排期!H:H,A7,RRM总排期!J:J)</f>
        <v>12000</v>
      </c>
      <c r="E7" s="11">
        <f>SUMIF(KIK已走货!H:H,A7,KIK已走货!J:J)</f>
        <v>0</v>
      </c>
      <c r="F7" s="11">
        <f>SUMIF(RRM已走货!H:H,A7,RRM已走货!J:J)</f>
        <v>0</v>
      </c>
      <c r="G7" s="12">
        <f ca="1" t="shared" si="0"/>
        <v>0</v>
      </c>
      <c r="H7" s="11">
        <f>SUMIF(总接单!E:E,A7,总接单!BS:BS)</f>
        <v>384183</v>
      </c>
      <c r="I7" s="11">
        <f>SUMIF(KIK总排期!H:H,A7,KIK总排期!AA:AA)</f>
        <v>0</v>
      </c>
      <c r="J7" s="11">
        <f ca="1">SUMIF(RRM总排期!H:HA,A7,RRM总排期!AA:AA)</f>
        <v>384183</v>
      </c>
      <c r="K7" s="11">
        <f>SUMIF(KIK已走货!H:H,A7,KIK已走货!AA:AA)</f>
        <v>0</v>
      </c>
      <c r="L7" s="11">
        <f>SUMIF(RRM已走货!H:H,A7,RRM已走货!AA:AA)</f>
        <v>0</v>
      </c>
      <c r="M7" s="12">
        <f ca="1" t="shared" si="1"/>
        <v>0</v>
      </c>
    </row>
    <row r="8" customHeight="1" spans="1:13">
      <c r="A8" s="11" t="s">
        <v>20</v>
      </c>
      <c r="B8" s="11">
        <f ca="1">SUMIF(总接单!E:EH,A8,总接单!F:F)</f>
        <v>5000</v>
      </c>
      <c r="C8" s="11">
        <f>SUMIF(KIK总排期!H:H,A8,KIK总排期!J:J)</f>
        <v>2500</v>
      </c>
      <c r="D8" s="11">
        <f>SUMIF(RRM总排期!H:H,A8,RRM总排期!J:J)</f>
        <v>0</v>
      </c>
      <c r="E8" s="11">
        <f>SUMIF(KIK已走货!H:H,A8,KIK已走货!J:J)</f>
        <v>2500</v>
      </c>
      <c r="F8" s="11">
        <f>SUMIF(RRM已走货!H:H,A8,RRM已走货!J:J)</f>
        <v>0</v>
      </c>
      <c r="G8" s="12">
        <f ca="1" t="shared" si="0"/>
        <v>0</v>
      </c>
      <c r="H8" s="11">
        <f>SUMIF(总接单!E:E,A8,总接单!BS:BS)</f>
        <v>230562.5</v>
      </c>
      <c r="I8" s="11">
        <f>SUMIF(KIK总排期!H:H,A8,KIK总排期!AA:AA)</f>
        <v>0</v>
      </c>
      <c r="J8" s="11">
        <f ca="1">SUMIF(RRM总排期!H:HA,A8,RRM总排期!AA:AA)</f>
        <v>0</v>
      </c>
      <c r="K8" s="11">
        <f>SUMIF(KIK已走货!H:H,A8,KIK已走货!AA:AA)</f>
        <v>230562.5</v>
      </c>
      <c r="L8" s="11">
        <f>SUMIF(RRM已走货!H:H,A8,RRM已走货!AA:AA)</f>
        <v>0</v>
      </c>
      <c r="M8" s="12">
        <f ca="1" t="shared" si="1"/>
        <v>0</v>
      </c>
    </row>
    <row r="9" customHeight="1" spans="1:13">
      <c r="A9" s="11" t="s">
        <v>191</v>
      </c>
      <c r="B9" s="11">
        <f ca="1">SUMIF(总接单!E:EH,A9,总接单!F:F)</f>
        <v>8000</v>
      </c>
      <c r="C9" s="11">
        <f>SUMIF(KIK总排期!H:H,A9,KIK总排期!J:J)</f>
        <v>0</v>
      </c>
      <c r="D9" s="11">
        <f>SUMIF(RRM总排期!H:H,A9,RRM总排期!J:J)</f>
        <v>8000</v>
      </c>
      <c r="E9" s="11">
        <f>SUMIF(KIK已走货!H:H,A9,KIK已走货!J:J)</f>
        <v>0</v>
      </c>
      <c r="F9" s="11">
        <f>SUMIF(RRM已走货!H:H,A9,RRM已走货!J:J)</f>
        <v>0</v>
      </c>
      <c r="G9" s="12">
        <f ca="1" t="shared" si="0"/>
        <v>0</v>
      </c>
      <c r="H9" s="11">
        <f>SUMIF(总接单!E:E,A9,总接单!BS:BS)</f>
        <v>137330</v>
      </c>
      <c r="I9" s="11">
        <f>SUMIF(KIK总排期!H:H,A9,KIK总排期!AA:AA)</f>
        <v>0</v>
      </c>
      <c r="J9" s="11">
        <f ca="1">SUMIF(RRM总排期!H:HA,A9,RRM总排期!AA:AA)</f>
        <v>137330</v>
      </c>
      <c r="K9" s="11">
        <f>SUMIF(KIK已走货!H:H,A9,KIK已走货!AA:AA)</f>
        <v>0</v>
      </c>
      <c r="L9" s="11">
        <f>SUMIF(RRM已走货!H:H,A9,RRM已走货!AA:AA)</f>
        <v>0</v>
      </c>
      <c r="M9" s="12">
        <f ca="1" t="shared" si="1"/>
        <v>0</v>
      </c>
    </row>
    <row r="10" customHeight="1" spans="1:13">
      <c r="A10" s="11" t="s">
        <v>193</v>
      </c>
      <c r="B10" s="11">
        <f ca="1">SUMIF(总接单!E:EH,A10,总接单!F:F)</f>
        <v>25008</v>
      </c>
      <c r="C10" s="11">
        <f>SUMIF(KIK总排期!H:H,A10,KIK总排期!J:J)</f>
        <v>0</v>
      </c>
      <c r="D10" s="11">
        <f>SUMIF(RRM总排期!H:H,A10,RRM总排期!J:J)</f>
        <v>25008</v>
      </c>
      <c r="E10" s="11">
        <f>SUMIF(KIK已走货!H:H,A10,KIK已走货!J:J)</f>
        <v>0</v>
      </c>
      <c r="F10" s="11">
        <f>SUMIF(RRM已走货!H:H,A10,RRM已走货!J:J)</f>
        <v>0</v>
      </c>
      <c r="G10" s="12">
        <f ca="1" t="shared" si="0"/>
        <v>0</v>
      </c>
      <c r="H10" s="11">
        <f>SUMIF(总接单!E:E,A10,总接单!BS:BS)</f>
        <v>429293.59</v>
      </c>
      <c r="I10" s="11">
        <f>SUMIF(KIK总排期!H:H,A10,KIK总排期!AA:AA)</f>
        <v>0</v>
      </c>
      <c r="J10" s="11">
        <f ca="1">SUMIF(RRM总排期!H:HA,A10,RRM总排期!AA:AA)</f>
        <v>429293.59</v>
      </c>
      <c r="K10" s="11">
        <f>SUMIF(KIK已走货!H:H,A10,KIK已走货!AA:AA)</f>
        <v>0</v>
      </c>
      <c r="L10" s="11">
        <f>SUMIF(RRM已走货!H:H,A10,RRM已走货!AA:AA)</f>
        <v>0</v>
      </c>
      <c r="M10" s="12">
        <f ca="1" t="shared" si="1"/>
        <v>0</v>
      </c>
    </row>
    <row r="11" customHeight="1" spans="1:13">
      <c r="A11" s="11" t="s">
        <v>161</v>
      </c>
      <c r="B11" s="11">
        <f ca="1">SUMIF(总接单!E:EH,A11,总接单!F:F)</f>
        <v>12000</v>
      </c>
      <c r="C11" s="11">
        <f>SUMIF(KIK总排期!H:H,A11,KIK总排期!J:J)</f>
        <v>0</v>
      </c>
      <c r="D11" s="11">
        <f>SUMIF(RRM总排期!H:H,A11,RRM总排期!J:J)</f>
        <v>0</v>
      </c>
      <c r="E11" s="11">
        <f>SUMIF(KIK已走货!H:H,A11,KIK已走货!J:J)</f>
        <v>12000</v>
      </c>
      <c r="F11" s="11">
        <f>SUMIF(RRM已走货!H:H,A11,RRM已走货!J:J)</f>
        <v>0</v>
      </c>
      <c r="G11" s="12">
        <f ca="1" t="shared" si="0"/>
        <v>0</v>
      </c>
      <c r="H11" s="11">
        <f>SUMIF(总接单!E:E,A11,总接单!BS:BS)</f>
        <v>539400</v>
      </c>
      <c r="I11" s="11">
        <f>SUMIF(KIK总排期!H:H,A11,KIK总排期!AA:AA)</f>
        <v>0</v>
      </c>
      <c r="J11" s="11">
        <f ca="1">SUMIF(RRM总排期!H:HA,A11,RRM总排期!AA:AA)</f>
        <v>0</v>
      </c>
      <c r="K11" s="11">
        <f>SUMIF(KIK已走货!H:H,A11,KIK已走货!AA:AA)</f>
        <v>539400</v>
      </c>
      <c r="L11" s="11">
        <f>SUMIF(RRM已走货!H:H,A11,RRM已走货!AA:AA)</f>
        <v>0</v>
      </c>
      <c r="M11" s="12">
        <f ca="1" t="shared" si="1"/>
        <v>0</v>
      </c>
    </row>
    <row r="12" customHeight="1" spans="1:13">
      <c r="A12" s="11" t="s">
        <v>222</v>
      </c>
      <c r="B12" s="11">
        <f ca="1">SUMIF(总接单!E:EH,A12,总接单!F:F)</f>
        <v>5000</v>
      </c>
      <c r="C12" s="11">
        <f>SUMIF(KIK总排期!H:H,A12,KIK总排期!J:J)</f>
        <v>0</v>
      </c>
      <c r="D12" s="11">
        <f>SUMIF(RRM总排期!H:H,A12,RRM总排期!J:J)</f>
        <v>5000</v>
      </c>
      <c r="E12" s="11">
        <f>SUMIF(KIK已走货!H:H,A12,KIK已走货!J:J)</f>
        <v>0</v>
      </c>
      <c r="F12" s="11">
        <f>SUMIF(RRM已走货!H:H,A12,RRM已走货!J:J)</f>
        <v>0</v>
      </c>
      <c r="G12" s="12">
        <f ca="1" t="shared" si="0"/>
        <v>0</v>
      </c>
      <c r="H12" s="11">
        <f>SUMIF(总接单!E:E,A12,总接单!BS:BS)</f>
        <v>191580</v>
      </c>
      <c r="I12" s="11">
        <f>SUMIF(KIK总排期!H:H,A12,KIK总排期!AA:AA)</f>
        <v>0</v>
      </c>
      <c r="J12" s="11">
        <f ca="1">SUMIF(RRM总排期!H:HA,A12,RRM总排期!AA:AA)</f>
        <v>191580</v>
      </c>
      <c r="K12" s="11">
        <f>SUMIF(KIK已走货!H:H,A12,KIK已走货!AA:AA)</f>
        <v>0</v>
      </c>
      <c r="L12" s="11">
        <f>SUMIF(RRM已走货!H:H,A12,RRM已走货!AA:AA)</f>
        <v>0</v>
      </c>
      <c r="M12" s="12">
        <f ca="1" t="shared" si="1"/>
        <v>0</v>
      </c>
    </row>
    <row r="13" customHeight="1" spans="1:13">
      <c r="A13" s="11" t="s">
        <v>228</v>
      </c>
      <c r="B13" s="11">
        <f ca="1">SUMIF(总接单!E:EH,A13,总接单!F:F)</f>
        <v>5000</v>
      </c>
      <c r="C13" s="11">
        <f>SUMIF(KIK总排期!H:H,A13,KIK总排期!J:J)</f>
        <v>0</v>
      </c>
      <c r="D13" s="11">
        <f>SUMIF(RRM总排期!H:H,A13,RRM总排期!J:J)</f>
        <v>5000</v>
      </c>
      <c r="E13" s="11">
        <f>SUMIF(KIK已走货!H:H,A13,KIK已走货!J:J)</f>
        <v>0</v>
      </c>
      <c r="F13" s="11">
        <f>SUMIF(RRM已走货!H:H,A13,RRM已走货!J:J)</f>
        <v>0</v>
      </c>
      <c r="G13" s="12">
        <f ca="1" t="shared" si="0"/>
        <v>0</v>
      </c>
      <c r="H13" s="11">
        <f>SUMIF(总接单!E:E,A13,总接单!BS:BS)</f>
        <v>191580</v>
      </c>
      <c r="I13" s="11">
        <f>SUMIF(KIK总排期!H:H,A13,KIK总排期!AA:AA)</f>
        <v>0</v>
      </c>
      <c r="J13" s="11">
        <f ca="1">SUMIF(RRM总排期!H:HA,A13,RRM总排期!AA:AA)</f>
        <v>191580</v>
      </c>
      <c r="K13" s="11">
        <f>SUMIF(KIK已走货!H:H,A13,KIK已走货!AA:AA)</f>
        <v>0</v>
      </c>
      <c r="L13" s="11">
        <f>SUMIF(RRM已走货!H:H,A13,RRM已走货!AA:AA)</f>
        <v>0</v>
      </c>
      <c r="M13" s="12">
        <f ca="1" t="shared" si="1"/>
        <v>0</v>
      </c>
    </row>
    <row r="14" customHeight="1" spans="1:13">
      <c r="A14" s="11" t="s">
        <v>29</v>
      </c>
      <c r="B14" s="11">
        <f ca="1">SUMIF(总接单!E:EH,A14,总接单!F:F)</f>
        <v>9900</v>
      </c>
      <c r="C14" s="11">
        <f>SUMIF(KIK总排期!H:H,A14,KIK总排期!J:J)</f>
        <v>2500</v>
      </c>
      <c r="D14" s="11">
        <f>SUMIF(RRM总排期!H:H,A14,RRM总排期!J:J)</f>
        <v>0</v>
      </c>
      <c r="E14" s="11">
        <f>SUMIF(KIK已走货!H:H,A14,KIK已走货!J:J)</f>
        <v>7400</v>
      </c>
      <c r="F14" s="11">
        <f>SUMIF(RRM已走货!H:H,A14,RRM已走货!J:J)</f>
        <v>0</v>
      </c>
      <c r="G14" s="12">
        <f ca="1" t="shared" si="0"/>
        <v>0</v>
      </c>
      <c r="H14" s="11">
        <f>SUMIF(总接单!E:E,A14,总接单!BS:BS)</f>
        <v>1672681.77</v>
      </c>
      <c r="I14" s="11">
        <f>SUMIF(KIK总排期!H:H,A14,KIK总排期!AA:AA)</f>
        <v>422394.38</v>
      </c>
      <c r="J14" s="11">
        <f ca="1">SUMIF(RRM总排期!H:HA,A14,RRM总排期!AA:AA)</f>
        <v>0</v>
      </c>
      <c r="K14" s="11">
        <f>SUMIF(KIK已走货!H:H,A14,KIK已走货!AA:AA)</f>
        <v>1250287.39</v>
      </c>
      <c r="L14" s="11">
        <f>SUMIF(RRM已走货!H:H,A14,RRM已走货!AA:AA)</f>
        <v>0</v>
      </c>
      <c r="M14" s="12">
        <f ca="1" t="shared" si="1"/>
        <v>0</v>
      </c>
    </row>
    <row r="15" customHeight="1" spans="1:13">
      <c r="A15" s="11" t="s">
        <v>221</v>
      </c>
      <c r="B15" s="11">
        <f ca="1">SUMIF(总接单!E:EH,A15,总接单!F:F)</f>
        <v>6000</v>
      </c>
      <c r="C15" s="11">
        <f>SUMIF(KIK总排期!H:H,A15,KIK总排期!J:J)</f>
        <v>0</v>
      </c>
      <c r="D15" s="11">
        <f>SUMIF(RRM总排期!H:H,A15,RRM总排期!J:J)</f>
        <v>6000</v>
      </c>
      <c r="E15" s="11">
        <f>SUMIF(KIK已走货!H:H,A15,KIK已走货!J:J)</f>
        <v>0</v>
      </c>
      <c r="F15" s="11">
        <f>SUMIF(RRM已走货!H:H,A15,RRM已走货!J:J)</f>
        <v>0</v>
      </c>
      <c r="G15" s="12">
        <f ca="1" t="shared" si="0"/>
        <v>0</v>
      </c>
      <c r="H15" s="11">
        <f>SUMIF(总接单!E:E,A15,总接单!BS:BS)</f>
        <v>0</v>
      </c>
      <c r="I15" s="11">
        <f>SUMIF(KIK总排期!H:H,A15,KIK总排期!AA:AA)</f>
        <v>0</v>
      </c>
      <c r="J15" s="11">
        <f ca="1">SUMIF(RRM总排期!H:HA,A15,RRM总排期!AA:AA)</f>
        <v>0</v>
      </c>
      <c r="K15" s="11">
        <f>SUMIF(KIK已走货!H:H,A15,KIK已走货!AA:AA)</f>
        <v>0</v>
      </c>
      <c r="L15" s="11">
        <f>SUMIF(RRM已走货!H:H,A15,RRM已走货!AA:AA)</f>
        <v>0</v>
      </c>
      <c r="M15" s="12">
        <f ca="1" t="shared" si="1"/>
        <v>0</v>
      </c>
    </row>
    <row r="16" customHeight="1" spans="1:13">
      <c r="A16" s="11" t="s">
        <v>163</v>
      </c>
      <c r="B16" s="11">
        <f ca="1">SUMIF(总接单!E:EH,A16,总接单!F:F)</f>
        <v>5600</v>
      </c>
      <c r="C16" s="11">
        <f>SUMIF(KIK总排期!H:H,A16,KIK总排期!J:J)</f>
        <v>0</v>
      </c>
      <c r="D16" s="11">
        <f>SUMIF(RRM总排期!H:H,A16,RRM总排期!J:J)</f>
        <v>5600</v>
      </c>
      <c r="E16" s="11">
        <f>SUMIF(KIK已走货!H:H,A16,KIK已走货!J:J)</f>
        <v>0</v>
      </c>
      <c r="F16" s="11">
        <f>SUMIF(RRM已走货!H:H,A16,RRM已走货!J:J)</f>
        <v>0</v>
      </c>
      <c r="G16" s="12">
        <f ca="1" t="shared" si="0"/>
        <v>0</v>
      </c>
      <c r="H16" s="11">
        <f>SUMIF(总接单!E:E,A16,总接单!BS:BS)</f>
        <v>191784.6</v>
      </c>
      <c r="I16" s="11">
        <f>SUMIF(KIK总排期!H:H,A16,KIK总排期!AA:AA)</f>
        <v>0</v>
      </c>
      <c r="J16" s="11">
        <f ca="1">SUMIF(RRM总排期!H:HA,A16,RRM总排期!AA:AA)</f>
        <v>191784.6</v>
      </c>
      <c r="K16" s="11">
        <f>SUMIF(KIK已走货!H:H,A16,KIK已走货!AA:AA)</f>
        <v>0</v>
      </c>
      <c r="L16" s="11">
        <f>SUMIF(RRM已走货!H:H,A16,RRM已走货!AA:AA)</f>
        <v>0</v>
      </c>
      <c r="M16" s="12">
        <f ca="1" t="shared" si="1"/>
        <v>0</v>
      </c>
    </row>
    <row r="17" customHeight="1" spans="1:13">
      <c r="A17" s="11" t="s">
        <v>187</v>
      </c>
      <c r="B17" s="11">
        <f ca="1">SUMIF(总接单!E:EH,A17,总接单!F:F)</f>
        <v>5000</v>
      </c>
      <c r="C17" s="11">
        <f>SUMIF(KIK总排期!H:H,A17,KIK总排期!J:J)</f>
        <v>0</v>
      </c>
      <c r="D17" s="11">
        <f>SUMIF(RRM总排期!H:H,A17,RRM总排期!J:J)</f>
        <v>5000</v>
      </c>
      <c r="E17" s="11">
        <f>SUMIF(KIK已走货!H:H,A17,KIK已走货!J:J)</f>
        <v>0</v>
      </c>
      <c r="F17" s="11">
        <f>SUMIF(RRM已走货!H:H,A17,RRM已走货!J:J)</f>
        <v>0</v>
      </c>
      <c r="G17" s="12">
        <f ca="1" t="shared" si="0"/>
        <v>0</v>
      </c>
      <c r="H17" s="11">
        <f>SUMIF(总接单!E:E,A17,总接单!BS:BS)</f>
        <v>171236.25</v>
      </c>
      <c r="I17" s="11">
        <f>SUMIF(KIK总排期!H:H,A17,KIK总排期!AA:AA)</f>
        <v>0</v>
      </c>
      <c r="J17" s="11">
        <f ca="1">SUMIF(RRM总排期!H:HA,A17,RRM总排期!AA:AA)</f>
        <v>171236.25</v>
      </c>
      <c r="K17" s="11">
        <f>SUMIF(KIK已走货!H:H,A17,KIK已走货!AA:AA)</f>
        <v>0</v>
      </c>
      <c r="L17" s="11">
        <f>SUMIF(RRM已走货!H:H,A17,RRM已走货!AA:AA)</f>
        <v>0</v>
      </c>
      <c r="M17" s="12">
        <f ca="1" t="shared" si="1"/>
        <v>0</v>
      </c>
    </row>
    <row r="18" customHeight="1" spans="1:13">
      <c r="A18" s="11" t="s">
        <v>31</v>
      </c>
      <c r="B18" s="11">
        <f ca="1">SUMIF(总接单!E:EH,A18,总接单!F:F)</f>
        <v>12378</v>
      </c>
      <c r="C18" s="11">
        <f>SUMIF(KIK总排期!H:H,A18,KIK总排期!J:J)</f>
        <v>2620</v>
      </c>
      <c r="D18" s="11">
        <f>SUMIF(RRM总排期!H:H,A18,RRM总排期!J:J)</f>
        <v>0</v>
      </c>
      <c r="E18" s="11">
        <f>SUMIF(KIK已走货!H:H,A18,KIK已走货!J:J)</f>
        <v>9758</v>
      </c>
      <c r="F18" s="11">
        <f>SUMIF(RRM已走货!H:H,A18,RRM已走货!J:J)</f>
        <v>0</v>
      </c>
      <c r="G18" s="12">
        <f ca="1" t="shared" si="0"/>
        <v>0</v>
      </c>
      <c r="H18" s="11">
        <f>SUMIF(总接单!E:E,A18,总接单!BS:BS)</f>
        <v>2850067.1</v>
      </c>
      <c r="I18" s="11">
        <f>SUMIF(KIK总排期!H:H,A18,KIK总排期!AA:AA)</f>
        <v>605109.31</v>
      </c>
      <c r="J18" s="11">
        <f ca="1">SUMIF(RRM总排期!H:HA,A18,RRM总排期!AA:AA)</f>
        <v>0</v>
      </c>
      <c r="K18" s="11">
        <f>SUMIF(KIK已走货!H:H,A18,KIK已走货!AA:AA)</f>
        <v>2244957.79</v>
      </c>
      <c r="L18" s="11">
        <f>SUMIF(RRM已走货!H:H,A18,RRM已走货!AA:AA)</f>
        <v>0</v>
      </c>
      <c r="M18" s="12">
        <f ca="1" t="shared" si="1"/>
        <v>0</v>
      </c>
    </row>
    <row r="19" customHeight="1" spans="1:13">
      <c r="A19" s="11" t="s">
        <v>195</v>
      </c>
      <c r="B19" s="11">
        <f ca="1">SUMIF(总接单!E:EH,A19,总接单!F:F)</f>
        <v>5000</v>
      </c>
      <c r="C19" s="11">
        <f>SUMIF(KIK总排期!H:H,A19,KIK总排期!J:J)</f>
        <v>0</v>
      </c>
      <c r="D19" s="11">
        <f>SUMIF(RRM总排期!H:H,A19,RRM总排期!J:J)</f>
        <v>5000</v>
      </c>
      <c r="E19" s="11">
        <f>SUMIF(KIK已走货!H:H,A19,KIK已走货!J:J)</f>
        <v>0</v>
      </c>
      <c r="F19" s="11">
        <f>SUMIF(RRM已走货!H:H,A19,RRM已走货!J:J)</f>
        <v>0</v>
      </c>
      <c r="G19" s="12">
        <f ca="1" t="shared" si="0"/>
        <v>0</v>
      </c>
      <c r="H19" s="11">
        <f>SUMIF(总接单!E:E,A19,总接单!BS:BS)</f>
        <v>111638.75</v>
      </c>
      <c r="I19" s="11">
        <f>SUMIF(KIK总排期!H:H,A19,KIK总排期!AA:AA)</f>
        <v>0</v>
      </c>
      <c r="J19" s="11">
        <f ca="1">SUMIF(RRM总排期!H:HA,A19,RRM总排期!AA:AA)</f>
        <v>111638.75</v>
      </c>
      <c r="K19" s="11">
        <f>SUMIF(KIK已走货!H:H,A19,KIK已走货!AA:AA)</f>
        <v>0</v>
      </c>
      <c r="L19" s="11">
        <f>SUMIF(RRM已走货!H:H,A19,RRM已走货!AA:AA)</f>
        <v>0</v>
      </c>
      <c r="M19" s="12">
        <f ca="1" t="shared" si="1"/>
        <v>0</v>
      </c>
    </row>
    <row r="20" customHeight="1" spans="1:13">
      <c r="A20" s="11" t="s">
        <v>225</v>
      </c>
      <c r="B20" s="11">
        <f ca="1">SUMIF(总接单!E:EH,A20,总接单!F:F)</f>
        <v>11000</v>
      </c>
      <c r="C20" s="11">
        <f>SUMIF(KIK总排期!H:H,A20,KIK总排期!J:J)</f>
        <v>0</v>
      </c>
      <c r="D20" s="11">
        <f>SUMIF(RRM总排期!H:H,A20,RRM总排期!J:J)</f>
        <v>11000</v>
      </c>
      <c r="E20" s="11">
        <f>SUMIF(KIK已走货!H:H,A20,KIK已走货!J:J)</f>
        <v>0</v>
      </c>
      <c r="F20" s="11">
        <f>SUMIF(RRM已走货!H:H,A20,RRM已走货!J:J)</f>
        <v>0</v>
      </c>
      <c r="G20" s="12">
        <f ca="1" t="shared" si="0"/>
        <v>0</v>
      </c>
      <c r="H20" s="11">
        <f>SUMIF(总接单!E:E,A20,总接单!BS:BS)</f>
        <v>492233.5</v>
      </c>
      <c r="I20" s="11">
        <f>SUMIF(KIK总排期!H:H,A20,KIK总排期!AA:AA)</f>
        <v>0</v>
      </c>
      <c r="J20" s="11">
        <f ca="1">SUMIF(RRM总排期!H:HA,A20,RRM总排期!AA:AA)</f>
        <v>492233.5</v>
      </c>
      <c r="K20" s="11">
        <f>SUMIF(KIK已走货!H:H,A20,KIK已走货!AA:AA)</f>
        <v>0</v>
      </c>
      <c r="L20" s="11">
        <f>SUMIF(RRM已走货!H:H,A20,RRM已走货!AA:AA)</f>
        <v>0</v>
      </c>
      <c r="M20" s="12">
        <f ca="1" t="shared" si="1"/>
        <v>0</v>
      </c>
    </row>
    <row r="21" customHeight="1" spans="1:13">
      <c r="A21" s="11" t="s">
        <v>126</v>
      </c>
      <c r="B21" s="11">
        <f ca="1">SUMIF(总接单!E:EH,A21,总接单!F:F)</f>
        <v>11000</v>
      </c>
      <c r="C21" s="11">
        <f>SUMIF(KIK总排期!H:H,A21,KIK总排期!J:J)</f>
        <v>0</v>
      </c>
      <c r="D21" s="11">
        <f>SUMIF(RRM总排期!H:H,A21,RRM总排期!J:J)</f>
        <v>11000</v>
      </c>
      <c r="E21" s="11">
        <f>SUMIF(KIK已走货!H:H,A21,KIK已走货!J:J)</f>
        <v>0</v>
      </c>
      <c r="F21" s="11">
        <f>SUMIF(RRM已走货!H:H,A21,RRM已走货!J:J)</f>
        <v>0</v>
      </c>
      <c r="G21" s="12">
        <f ca="1" t="shared" si="0"/>
        <v>0</v>
      </c>
      <c r="H21" s="11">
        <f>SUMIF(总接单!E:E,A21,总接单!BS:BS)</f>
        <v>148846.5</v>
      </c>
      <c r="I21" s="11">
        <f>SUMIF(KIK总排期!H:H,A21,KIK总排期!AA:AA)</f>
        <v>0</v>
      </c>
      <c r="J21" s="11">
        <f ca="1">SUMIF(RRM总排期!H:HA,A21,RRM总排期!AA:AA)</f>
        <v>148846.5</v>
      </c>
      <c r="K21" s="11">
        <f>SUMIF(KIK已走货!H:H,A21,KIK已走货!AA:AA)</f>
        <v>0</v>
      </c>
      <c r="L21" s="11">
        <f>SUMIF(RRM已走货!H:H,A21,RRM已走货!AA:AA)</f>
        <v>0</v>
      </c>
      <c r="M21" s="12">
        <f ca="1" t="shared" si="1"/>
        <v>0</v>
      </c>
    </row>
    <row r="22" customHeight="1" spans="1:13">
      <c r="A22" s="11" t="s">
        <v>35</v>
      </c>
      <c r="B22" s="11">
        <f ca="1">SUMIF(总接单!E:EH,A22,总接单!F:F)</f>
        <v>6692</v>
      </c>
      <c r="C22" s="11">
        <f>SUMIF(KIK总排期!H:H,A22,KIK总排期!J:J)</f>
        <v>0</v>
      </c>
      <c r="D22" s="11">
        <f>SUMIF(RRM总排期!H:H,A22,RRM总排期!J:J)</f>
        <v>0</v>
      </c>
      <c r="E22" s="11">
        <f>SUMIF(KIK已走货!H:H,A22,KIK已走货!J:J)</f>
        <v>6692</v>
      </c>
      <c r="F22" s="11">
        <f>SUMIF(RRM已走货!H:H,A22,RRM已走货!J:J)</f>
        <v>0</v>
      </c>
      <c r="G22" s="12">
        <f ca="1" t="shared" si="0"/>
        <v>0</v>
      </c>
      <c r="H22" s="11">
        <f>SUMIF(总接单!E:E,A22,总接单!BS:BS)</f>
        <v>1187662.7</v>
      </c>
      <c r="I22" s="11">
        <f>SUMIF(KIK总排期!H:H,A22,KIK总排期!AA:AA)</f>
        <v>0</v>
      </c>
      <c r="J22" s="11">
        <f ca="1">SUMIF(RRM总排期!H:HA,A22,RRM总排期!AA:AA)</f>
        <v>0</v>
      </c>
      <c r="K22" s="11">
        <f>SUMIF(KIK已走货!H:H,A22,KIK已走货!AA:AA)</f>
        <v>1187662.7</v>
      </c>
      <c r="L22" s="11">
        <f>SUMIF(RRM已走货!H:H,A22,RRM已走货!AA:AA)</f>
        <v>0</v>
      </c>
      <c r="M22" s="12">
        <f ca="1" t="shared" si="1"/>
        <v>0</v>
      </c>
    </row>
    <row r="23" customHeight="1" spans="1:13">
      <c r="A23" s="11" t="s">
        <v>87</v>
      </c>
      <c r="B23" s="11">
        <f ca="1">SUMIF(总接单!E:EH,A23,总接单!F:F)</f>
        <v>2590</v>
      </c>
      <c r="C23" s="11">
        <f>SUMIF(KIK总排期!H:H,A23,KIK总排期!J:J)</f>
        <v>0</v>
      </c>
      <c r="D23" s="11">
        <f>SUMIF(RRM总排期!H:H,A23,RRM总排期!J:J)</f>
        <v>0</v>
      </c>
      <c r="E23" s="11">
        <f>SUMIF(KIK已走货!H:H,A23,KIK已走货!J:J)</f>
        <v>2590</v>
      </c>
      <c r="F23" s="11">
        <f>SUMIF(RRM已走货!H:H,A23,RRM已走货!J:J)</f>
        <v>0</v>
      </c>
      <c r="G23" s="12">
        <f ca="1" t="shared" si="0"/>
        <v>0</v>
      </c>
      <c r="H23" s="11">
        <f>SUMIF(总接单!E:E,A23,总接单!BS:BS)</f>
        <v>630276.5</v>
      </c>
      <c r="I23" s="11">
        <f>SUMIF(KIK总排期!H:H,A23,KIK总排期!AA:AA)</f>
        <v>0</v>
      </c>
      <c r="J23" s="11">
        <f ca="1">SUMIF(RRM总排期!H:HA,A23,RRM总排期!AA:AA)</f>
        <v>0</v>
      </c>
      <c r="K23" s="11">
        <f>SUMIF(KIK已走货!H:H,A23,KIK已走货!AA:AA)</f>
        <v>630276.5</v>
      </c>
      <c r="L23" s="11">
        <f>SUMIF(RRM已走货!H:H,A23,RRM已走货!AA:AA)</f>
        <v>0</v>
      </c>
      <c r="M23" s="12">
        <f ca="1" t="shared" si="1"/>
        <v>0</v>
      </c>
    </row>
    <row r="24" customHeight="1" spans="1:13">
      <c r="A24" s="11" t="s">
        <v>39</v>
      </c>
      <c r="B24" s="11">
        <f ca="1">SUMIF(总接单!E:EH,A24,总接单!F:F)</f>
        <v>5036</v>
      </c>
      <c r="C24" s="11">
        <f>SUMIF(KIK总排期!H:H,A24,KIK总排期!J:J)</f>
        <v>0</v>
      </c>
      <c r="D24" s="11">
        <f>SUMIF(RRM总排期!H:H,A24,RRM总排期!J:J)</f>
        <v>0</v>
      </c>
      <c r="E24" s="11">
        <f>SUMIF(KIK已走货!H:H,A24,KIK已走货!J:J)</f>
        <v>5036</v>
      </c>
      <c r="F24" s="11">
        <f>SUMIF(RRM已走货!H:H,A24,RRM已走货!J:J)</f>
        <v>0</v>
      </c>
      <c r="G24" s="12">
        <f ca="1" t="shared" si="0"/>
        <v>0</v>
      </c>
      <c r="H24" s="11">
        <f>SUMIF(总接单!E:E,A24,总接单!BS:BS)</f>
        <v>1191789.54</v>
      </c>
      <c r="I24" s="11">
        <f>SUMIF(KIK总排期!H:H,A24,KIK总排期!AA:AA)</f>
        <v>0</v>
      </c>
      <c r="J24" s="11">
        <f ca="1">SUMIF(RRM总排期!H:HA,A24,RRM总排期!AA:AA)</f>
        <v>0</v>
      </c>
      <c r="K24" s="11">
        <f>SUMIF(KIK已走货!H:H,A24,KIK已走货!AA:AA)</f>
        <v>1191789.54</v>
      </c>
      <c r="L24" s="11">
        <f>SUMIF(RRM已走货!H:H,A24,RRM已走货!AA:AA)</f>
        <v>0</v>
      </c>
      <c r="M24" s="12">
        <f ca="1" t="shared" si="1"/>
        <v>0</v>
      </c>
    </row>
    <row r="25" customHeight="1" spans="1:13">
      <c r="A25" s="11" t="s">
        <v>41</v>
      </c>
      <c r="B25" s="11">
        <f ca="1">SUMIF(总接单!E:EH,A25,总接单!F:F)</f>
        <v>2500</v>
      </c>
      <c r="C25" s="11">
        <f>SUMIF(KIK总排期!H:H,A25,KIK总排期!J:J)</f>
        <v>2500</v>
      </c>
      <c r="D25" s="11">
        <f>SUMIF(RRM总排期!H:H,A25,RRM总排期!J:J)</f>
        <v>0</v>
      </c>
      <c r="E25" s="11">
        <f>SUMIF(KIK已走货!H:H,A25,KIK已走货!J:J)</f>
        <v>0</v>
      </c>
      <c r="F25" s="11">
        <f>SUMIF(RRM已走货!H:H,A25,RRM已走货!J:J)</f>
        <v>0</v>
      </c>
      <c r="G25" s="12">
        <f ca="1" t="shared" si="0"/>
        <v>0</v>
      </c>
      <c r="H25" s="11">
        <f>SUMIF(总接单!E:E,A25,总接单!BS:BS)</f>
        <v>0</v>
      </c>
      <c r="I25" s="11">
        <f>SUMIF(KIK总排期!H:H,A25,KIK总排期!AA:AA)</f>
        <v>0</v>
      </c>
      <c r="J25" s="11">
        <f ca="1">SUMIF(RRM总排期!H:HA,A25,RRM总排期!AA:AA)</f>
        <v>0</v>
      </c>
      <c r="K25" s="11">
        <f>SUMIF(KIK已走货!H:H,A25,KIK已走货!AA:AA)</f>
        <v>0</v>
      </c>
      <c r="L25" s="11">
        <f>SUMIF(RRM已走货!H:H,A25,RRM已走货!AA:AA)</f>
        <v>0</v>
      </c>
      <c r="M25" s="12">
        <f ca="1" t="shared" si="1"/>
        <v>0</v>
      </c>
    </row>
    <row r="26" customHeight="1" spans="1:13">
      <c r="A26" s="11" t="s">
        <v>165</v>
      </c>
      <c r="B26" s="11">
        <f ca="1">SUMIF(总接单!E:EH,A26,总接单!F:F)</f>
        <v>5720</v>
      </c>
      <c r="C26" s="11">
        <f>SUMIF(KIK总排期!H:H,A26,KIK总排期!J:J)</f>
        <v>0</v>
      </c>
      <c r="D26" s="11">
        <f>SUMIF(RRM总排期!H:H,A26,RRM总排期!J:J)</f>
        <v>5720</v>
      </c>
      <c r="E26" s="11">
        <f>SUMIF(KIK已走货!H:H,A26,KIK已走货!J:J)</f>
        <v>0</v>
      </c>
      <c r="F26" s="11">
        <f>SUMIF(RRM已走货!H:H,A26,RRM已走货!J:J)</f>
        <v>0</v>
      </c>
      <c r="G26" s="12">
        <f ca="1" t="shared" si="0"/>
        <v>0</v>
      </c>
      <c r="H26" s="11">
        <f>SUMIF(总接单!E:E,A26,总接单!BS:BS)</f>
        <v>112686.86</v>
      </c>
      <c r="I26" s="11">
        <f>SUMIF(KIK总排期!H:H,A26,KIK总排期!AA:AA)</f>
        <v>0</v>
      </c>
      <c r="J26" s="11">
        <f ca="1">SUMIF(RRM总排期!H:HA,A26,RRM总排期!AA:AA)</f>
        <v>112686.86</v>
      </c>
      <c r="K26" s="11">
        <f>SUMIF(KIK已走货!H:H,A26,KIK已走货!AA:AA)</f>
        <v>0</v>
      </c>
      <c r="L26" s="11">
        <f>SUMIF(RRM已走货!H:H,A26,RRM已走货!AA:AA)</f>
        <v>0</v>
      </c>
      <c r="M26" s="12">
        <f ca="1" t="shared" si="1"/>
        <v>0</v>
      </c>
    </row>
    <row r="27" customHeight="1" spans="1:13">
      <c r="A27" s="11" t="s">
        <v>154</v>
      </c>
      <c r="B27" s="11">
        <f ca="1">SUMIF(总接单!E:EH,A27,总接单!F:F)</f>
        <v>20056</v>
      </c>
      <c r="C27" s="11">
        <f>SUMIF(KIK总排期!H:H,A27,KIK总排期!J:J)</f>
        <v>0</v>
      </c>
      <c r="D27" s="11">
        <f>SUMIF(RRM总排期!H:H,A27,RRM总排期!J:J)</f>
        <v>0</v>
      </c>
      <c r="E27" s="11">
        <f>SUMIF(KIK已走货!H:H,A27,KIK已走货!J:J)</f>
        <v>20056</v>
      </c>
      <c r="F27" s="11">
        <f>SUMIF(RRM已走货!H:H,A27,RRM已走货!J:J)</f>
        <v>0</v>
      </c>
      <c r="G27" s="12">
        <f ca="1" t="shared" si="0"/>
        <v>0</v>
      </c>
      <c r="H27" s="11">
        <f>SUMIF(总接单!E:E,A27,总接单!BS:BS)</f>
        <v>728206.79</v>
      </c>
      <c r="I27" s="11">
        <f>SUMIF(KIK总排期!H:H,A27,KIK总排期!AA:AA)</f>
        <v>0</v>
      </c>
      <c r="J27" s="11">
        <f ca="1">SUMIF(RRM总排期!H:HA,A27,RRM总排期!AA:AA)</f>
        <v>0</v>
      </c>
      <c r="K27" s="11">
        <f>SUMIF(KIK已走货!H:H,A27,KIK已走货!AA:AA)</f>
        <v>728206.79</v>
      </c>
      <c r="L27" s="11">
        <f>SUMIF(RRM已走货!H:H,A27,RRM已走货!AA:AA)</f>
        <v>0</v>
      </c>
      <c r="M27" s="12">
        <f ca="1" t="shared" si="1"/>
        <v>0</v>
      </c>
    </row>
    <row r="28" customHeight="1" spans="1:13">
      <c r="A28" s="11" t="s">
        <v>158</v>
      </c>
      <c r="B28" s="11">
        <f ca="1">SUMIF(总接单!E:EH,A28,总接单!F:F)</f>
        <v>64432</v>
      </c>
      <c r="C28" s="11">
        <f>SUMIF(KIK总排期!H:H,A28,KIK总排期!J:J)</f>
        <v>5800</v>
      </c>
      <c r="D28" s="11">
        <f>SUMIF(RRM总排期!H:H,A28,RRM总排期!J:J)</f>
        <v>0</v>
      </c>
      <c r="E28" s="11">
        <f>SUMIF(KIK已走货!H:H,A28,KIK已走货!J:J)</f>
        <v>58632</v>
      </c>
      <c r="F28" s="11">
        <f>SUMIF(RRM已走货!H:H,A28,RRM已走货!J:J)</f>
        <v>0</v>
      </c>
      <c r="G28" s="12">
        <f ca="1" t="shared" si="0"/>
        <v>0</v>
      </c>
      <c r="H28" s="11">
        <f>SUMIF(总接单!E:E,A28,总接单!BS:BS)</f>
        <v>2410473.21</v>
      </c>
      <c r="I28" s="11">
        <f>SUMIF(KIK总排期!H:H,A28,KIK总排期!AA:AA)</f>
        <v>232179.15</v>
      </c>
      <c r="J28" s="11">
        <f ca="1">SUMIF(RRM总排期!H:HA,A28,RRM总排期!AA:AA)</f>
        <v>0</v>
      </c>
      <c r="K28" s="11">
        <f>SUMIF(KIK已走货!H:H,A28,KIK已走货!AA:AA)</f>
        <v>2178294.06</v>
      </c>
      <c r="L28" s="11">
        <f>SUMIF(RRM已走货!H:H,A28,RRM已走货!AA:AA)</f>
        <v>0</v>
      </c>
      <c r="M28" s="12">
        <f ca="1" t="shared" si="1"/>
        <v>0</v>
      </c>
    </row>
    <row r="29" customHeight="1" spans="1:13">
      <c r="A29" s="11" t="s">
        <v>136</v>
      </c>
      <c r="B29" s="11">
        <f ca="1">SUMIF(总接单!E:EH,A29,总接单!F:F)</f>
        <v>40416</v>
      </c>
      <c r="C29" s="11">
        <f>SUMIF(KIK总排期!H:H,A29,KIK总排期!J:J)</f>
        <v>0</v>
      </c>
      <c r="D29" s="11">
        <f>SUMIF(RRM总排期!H:H,A29,RRM总排期!J:J)</f>
        <v>0</v>
      </c>
      <c r="E29" s="11">
        <f>SUMIF(KIK已走货!H:H,A29,KIK已走货!J:J)</f>
        <v>40416</v>
      </c>
      <c r="F29" s="11">
        <f>SUMIF(RRM已走货!H:H,A29,RRM已走货!J:J)</f>
        <v>0</v>
      </c>
      <c r="G29" s="12">
        <f ca="1" t="shared" si="0"/>
        <v>0</v>
      </c>
      <c r="H29" s="11">
        <f>SUMIF(总接单!E:E,A29,总接单!BS:BS)</f>
        <v>1515064.55</v>
      </c>
      <c r="I29" s="11">
        <f>SUMIF(KIK总排期!H:H,A29,KIK总排期!AA:AA)</f>
        <v>0</v>
      </c>
      <c r="J29" s="11">
        <f ca="1">SUMIF(RRM总排期!H:HA,A29,RRM总排期!AA:AA)</f>
        <v>0</v>
      </c>
      <c r="K29" s="11">
        <f>SUMIF(KIK已走货!H:H,A29,KIK已走货!AA:AA)</f>
        <v>1515064.55</v>
      </c>
      <c r="L29" s="11">
        <f>SUMIF(RRM已走货!H:H,A29,RRM已走货!AA:AA)</f>
        <v>0</v>
      </c>
      <c r="M29" s="12">
        <f ca="1" t="shared" si="1"/>
        <v>0</v>
      </c>
    </row>
    <row r="30" customHeight="1" spans="1:13">
      <c r="A30" s="11" t="s">
        <v>155</v>
      </c>
      <c r="B30" s="11">
        <f ca="1">SUMIF(总接单!E:EH,A30,总接单!F:F)</f>
        <v>12904</v>
      </c>
      <c r="C30" s="11">
        <f>SUMIF(KIK总排期!H:H,A30,KIK总排期!J:J)</f>
        <v>0</v>
      </c>
      <c r="D30" s="11">
        <f>SUMIF(RRM总排期!H:H,A30,RRM总排期!J:J)</f>
        <v>0</v>
      </c>
      <c r="E30" s="11">
        <f>SUMIF(KIK已走货!H:H,A30,KIK已走货!J:J)</f>
        <v>12904</v>
      </c>
      <c r="F30" s="11">
        <f>SUMIF(RRM已走货!H:H,A30,RRM已走货!J:J)</f>
        <v>0</v>
      </c>
      <c r="G30" s="12">
        <f ca="1" t="shared" si="0"/>
        <v>0</v>
      </c>
      <c r="H30" s="11">
        <f>SUMIF(总接单!E:E,A30,总接单!BS:BS)</f>
        <v>463836.27</v>
      </c>
      <c r="I30" s="11">
        <f>SUMIF(KIK总排期!H:H,A30,KIK总排期!AA:AA)</f>
        <v>0</v>
      </c>
      <c r="J30" s="11">
        <f ca="1">SUMIF(RRM总排期!H:HA,A30,RRM总排期!AA:AA)</f>
        <v>0</v>
      </c>
      <c r="K30" s="11">
        <f>SUMIF(KIK已走货!H:H,A30,KIK已走货!AA:AA)</f>
        <v>463836.27</v>
      </c>
      <c r="L30" s="11">
        <f>SUMIF(RRM已走货!H:H,A30,RRM已走货!AA:AA)</f>
        <v>0</v>
      </c>
      <c r="M30" s="12">
        <f ca="1" t="shared" si="1"/>
        <v>0</v>
      </c>
    </row>
    <row r="31" customHeight="1" spans="1:13">
      <c r="A31" s="11" t="s">
        <v>109</v>
      </c>
      <c r="B31" s="11">
        <f ca="1">SUMIF(总接单!E:EH,A31,总接单!F:F)</f>
        <v>10064</v>
      </c>
      <c r="C31" s="11">
        <f>SUMIF(KIK总排期!H:H,A31,KIK总排期!J:J)</f>
        <v>0</v>
      </c>
      <c r="D31" s="11">
        <f>SUMIF(RRM总排期!H:H,A31,RRM总排期!J:J)</f>
        <v>0</v>
      </c>
      <c r="E31" s="11">
        <f>SUMIF(KIK已走货!H:H,A31,KIK已走货!J:J)</f>
        <v>10064</v>
      </c>
      <c r="F31" s="11">
        <f>SUMIF(RRM已走货!H:H,A31,RRM已走货!J:J)</f>
        <v>0</v>
      </c>
      <c r="G31" s="12">
        <f ca="1" t="shared" si="0"/>
        <v>0</v>
      </c>
      <c r="H31" s="11">
        <f>SUMIF(总接单!E:E,A31,总接单!BS:BS)</f>
        <v>303089.59</v>
      </c>
      <c r="I31" s="11">
        <f>SUMIF(KIK总排期!H:H,A31,KIK总排期!AA:AA)</f>
        <v>0</v>
      </c>
      <c r="J31" s="11">
        <f ca="1">SUMIF(RRM总排期!H:HA,A31,RRM总排期!AA:AA)</f>
        <v>0</v>
      </c>
      <c r="K31" s="11">
        <f>SUMIF(KIK已走货!H:H,A31,KIK已走货!AA:AA)</f>
        <v>303089.59</v>
      </c>
      <c r="L31" s="11">
        <f>SUMIF(RRM已走货!H:H,A31,RRM已走货!AA:AA)</f>
        <v>0</v>
      </c>
      <c r="M31" s="12">
        <f ca="1" t="shared" si="1"/>
        <v>0</v>
      </c>
    </row>
    <row r="32" customHeight="1" spans="1:13">
      <c r="A32" s="11" t="s">
        <v>120</v>
      </c>
      <c r="B32" s="11">
        <f ca="1">SUMIF(总接单!E:EH,A32,总接单!F:F)</f>
        <v>10352</v>
      </c>
      <c r="C32" s="11">
        <f>SUMIF(KIK总排期!H:H,A32,KIK总排期!J:J)</f>
        <v>0</v>
      </c>
      <c r="D32" s="11">
        <f>SUMIF(RRM总排期!H:H,A32,RRM总排期!J:J)</f>
        <v>0</v>
      </c>
      <c r="E32" s="11">
        <f>SUMIF(KIK已走货!H:H,A32,KIK已走货!J:J)</f>
        <v>10352</v>
      </c>
      <c r="F32" s="11">
        <f>SUMIF(RRM已走货!H:H,A32,RRM已走货!J:J)</f>
        <v>0</v>
      </c>
      <c r="G32" s="12">
        <f ca="1" t="shared" si="0"/>
        <v>0</v>
      </c>
      <c r="H32" s="11">
        <f>SUMIF(总接单!E:E,A32,总接单!BS:BS)</f>
        <v>1706912.35</v>
      </c>
      <c r="I32" s="11">
        <f>SUMIF(KIK总排期!H:H,A32,KIK总排期!AA:AA)</f>
        <v>0</v>
      </c>
      <c r="J32" s="11">
        <f ca="1">SUMIF(RRM总排期!H:HA,A32,RRM总排期!AA:AA)</f>
        <v>0</v>
      </c>
      <c r="K32" s="11">
        <f>SUMIF(KIK已走货!H:H,A32,KIK已走货!AA:AA)</f>
        <v>1706912.35</v>
      </c>
      <c r="L32" s="11">
        <f>SUMIF(RRM已走货!H:H,A32,RRM已走货!AA:AA)</f>
        <v>0</v>
      </c>
      <c r="M32" s="12">
        <f ca="1" t="shared" si="1"/>
        <v>0</v>
      </c>
    </row>
    <row r="33" customHeight="1" spans="1:13">
      <c r="A33" s="11" t="s">
        <v>111</v>
      </c>
      <c r="B33" s="11">
        <f ca="1">SUMIF(总接单!E:EH,A33,总接单!F:F)</f>
        <v>16288</v>
      </c>
      <c r="C33" s="11">
        <f>SUMIF(KIK总排期!H:H,A33,KIK总排期!J:J)</f>
        <v>5000</v>
      </c>
      <c r="D33" s="11">
        <f>SUMIF(RRM总排期!H:H,A33,RRM总排期!J:J)</f>
        <v>0</v>
      </c>
      <c r="E33" s="11">
        <f>SUMIF(KIK已走货!H:H,A33,KIK已走货!J:J)</f>
        <v>11288</v>
      </c>
      <c r="F33" s="11">
        <f>SUMIF(RRM已走货!H:H,A33,RRM已走货!J:J)</f>
        <v>0</v>
      </c>
      <c r="G33" s="12">
        <f ca="1" t="shared" si="0"/>
        <v>0</v>
      </c>
      <c r="H33" s="11">
        <f>SUMIF(总接单!E:E,A33,总接单!BS:BS)</f>
        <v>481698.63</v>
      </c>
      <c r="I33" s="11">
        <f>SUMIF(KIK总排期!H:H,A33,KIK总排期!AA:AA)</f>
        <v>147870</v>
      </c>
      <c r="J33" s="11">
        <f ca="1">SUMIF(RRM总排期!H:HA,A33,RRM总排期!AA:AA)</f>
        <v>0</v>
      </c>
      <c r="K33" s="11">
        <f>SUMIF(KIK已走货!H:H,A33,KIK已走货!AA:AA)</f>
        <v>333828.63</v>
      </c>
      <c r="L33" s="11">
        <f>SUMIF(RRM已走货!H:H,A33,RRM已走货!AA:AA)</f>
        <v>0</v>
      </c>
      <c r="M33" s="12">
        <f ca="1" t="shared" si="1"/>
        <v>0</v>
      </c>
    </row>
    <row r="34" customHeight="1" spans="1:13">
      <c r="A34" s="11" t="s">
        <v>113</v>
      </c>
      <c r="B34" s="11">
        <f ca="1">SUMIF(总接单!E:EH,A34,总接单!F:F)</f>
        <v>44379</v>
      </c>
      <c r="C34" s="11">
        <f>SUMIF(KIK总排期!H:H,A34,KIK总排期!J:J)</f>
        <v>5000</v>
      </c>
      <c r="D34" s="11">
        <f>SUMIF(RRM总排期!H:H,A34,RRM总排期!J:J)</f>
        <v>0</v>
      </c>
      <c r="E34" s="11">
        <f>SUMIF(KIK已走货!H:H,A34,KIK已走货!J:J)</f>
        <v>39379</v>
      </c>
      <c r="F34" s="11">
        <f>SUMIF(RRM已走货!H:H,A34,RRM已走货!J:J)</f>
        <v>0</v>
      </c>
      <c r="G34" s="12">
        <f ca="1" t="shared" si="0"/>
        <v>0</v>
      </c>
      <c r="H34" s="11">
        <f>SUMIF(总接单!E:E,A34,总接单!BS:BS)</f>
        <v>2075537.44</v>
      </c>
      <c r="I34" s="11">
        <f>SUMIF(KIK总排期!H:H,A34,KIK总排期!AA:AA)</f>
        <v>238467.5</v>
      </c>
      <c r="J34" s="11">
        <f ca="1">SUMIF(RRM总排期!H:HA,A34,RRM总排期!AA:AA)</f>
        <v>0</v>
      </c>
      <c r="K34" s="11">
        <f>SUMIF(KIK已走货!H:H,A34,KIK已走货!AA:AA)</f>
        <v>1837069.94</v>
      </c>
      <c r="L34" s="11">
        <f>SUMIF(RRM已走货!H:H,A34,RRM已走货!AA:AA)</f>
        <v>0</v>
      </c>
      <c r="M34" s="12">
        <f ca="1" t="shared" si="1"/>
        <v>0</v>
      </c>
    </row>
    <row r="35" customHeight="1" spans="1:13">
      <c r="A35" s="11" t="s">
        <v>160</v>
      </c>
      <c r="B35" s="11">
        <f ca="1">SUMIF(总接单!E:EH,A35,总接单!F:F)</f>
        <v>3954</v>
      </c>
      <c r="C35" s="11">
        <f>SUMIF(KIK总排期!H:H,A35,KIK总排期!J:J)</f>
        <v>0</v>
      </c>
      <c r="D35" s="11">
        <f>SUMIF(RRM总排期!H:H,A35,RRM总排期!J:J)</f>
        <v>0</v>
      </c>
      <c r="E35" s="11">
        <f>SUMIF(KIK已走货!H:H,A35,KIK已走货!J:J)</f>
        <v>3954</v>
      </c>
      <c r="F35" s="11">
        <f>SUMIF(RRM已走货!H:H,A35,RRM已走货!J:J)</f>
        <v>0</v>
      </c>
      <c r="G35" s="12">
        <f ca="1" t="shared" ref="G35:G79" si="2">B35-C35-D35-E35-F35</f>
        <v>0</v>
      </c>
      <c r="H35" s="11">
        <f>SUMIF(总接单!E:E,A35,总接单!BS:BS)</f>
        <v>175985.77</v>
      </c>
      <c r="I35" s="11">
        <f>SUMIF(KIK总排期!H:H,A35,KIK总排期!AA:AA)</f>
        <v>0</v>
      </c>
      <c r="J35" s="11">
        <f ca="1">SUMIF(RRM总排期!H:HA,A35,RRM总排期!AA:AA)</f>
        <v>0</v>
      </c>
      <c r="K35" s="11">
        <f>SUMIF(KIK已走货!H:H,A35,KIK已走货!AA:AA)</f>
        <v>175985.77</v>
      </c>
      <c r="L35" s="11">
        <f>SUMIF(RRM已走货!H:H,A35,RRM已走货!AA:AA)</f>
        <v>0</v>
      </c>
      <c r="M35" s="12">
        <f ca="1" t="shared" ref="M35:M79" si="3">H35-I35-J35-K35-L35</f>
        <v>0</v>
      </c>
    </row>
    <row r="36" customHeight="1" spans="1:13">
      <c r="A36" s="11" t="s">
        <v>118</v>
      </c>
      <c r="B36" s="11">
        <f ca="1">SUMIF(总接单!E:EH,A36,总接单!F:F)</f>
        <v>7956</v>
      </c>
      <c r="C36" s="11">
        <f>SUMIF(KIK总排期!H:H,A36,KIK总排期!J:J)</f>
        <v>2620</v>
      </c>
      <c r="D36" s="11">
        <f>SUMIF(RRM总排期!H:H,A36,RRM总排期!J:J)</f>
        <v>0</v>
      </c>
      <c r="E36" s="11">
        <f>SUMIF(KIK已走货!H:H,A36,KIK已走货!J:J)</f>
        <v>5336</v>
      </c>
      <c r="F36" s="11">
        <f>SUMIF(RRM已走货!H:H,A36,RRM已走货!J:J)</f>
        <v>0</v>
      </c>
      <c r="G36" s="12">
        <f ca="1" t="shared" si="2"/>
        <v>0</v>
      </c>
      <c r="H36" s="11">
        <f>SUMIF(总接单!E:E,A36,总接单!BS:BS)</f>
        <v>1030306.78</v>
      </c>
      <c r="I36" s="11">
        <f>SUMIF(KIK总排期!H:H,A36,KIK总排期!AA:AA)</f>
        <v>339296.55</v>
      </c>
      <c r="J36" s="11">
        <f ca="1">SUMIF(RRM总排期!H:HA,A36,RRM总排期!AA:AA)</f>
        <v>0</v>
      </c>
      <c r="K36" s="11">
        <f>SUMIF(KIK已走货!H:H,A36,KIK已走货!AA:AA)</f>
        <v>691010.23</v>
      </c>
      <c r="L36" s="11">
        <f>SUMIF(RRM已走货!H:H,A36,RRM已走货!AA:AA)</f>
        <v>0</v>
      </c>
      <c r="M36" s="12">
        <f ca="1" t="shared" si="3"/>
        <v>0</v>
      </c>
    </row>
    <row r="37" customHeight="1" spans="1:13">
      <c r="A37" s="11" t="s">
        <v>105</v>
      </c>
      <c r="B37" s="11">
        <f ca="1">SUMIF(总接单!E:EH,A37,总接单!F:F)</f>
        <v>22184</v>
      </c>
      <c r="C37" s="11">
        <f>SUMIF(KIK总排期!H:H,A37,KIK总排期!J:J)</f>
        <v>4980</v>
      </c>
      <c r="D37" s="11">
        <f>SUMIF(RRM总排期!H:H,A37,RRM总排期!J:J)</f>
        <v>0</v>
      </c>
      <c r="E37" s="11">
        <f>SUMIF(KIK已走货!H:H,A37,KIK已走货!J:J)</f>
        <v>17204</v>
      </c>
      <c r="F37" s="11">
        <f>SUMIF(RRM已走货!H:H,A37,RRM已走货!J:J)</f>
        <v>0</v>
      </c>
      <c r="G37" s="12">
        <f ca="1" t="shared" si="2"/>
        <v>0</v>
      </c>
      <c r="H37" s="11">
        <f>SUMIF(总接单!E:E,A37,总接单!BS:BS)</f>
        <v>511395.66</v>
      </c>
      <c r="I37" s="11">
        <f>SUMIF(KIK总排期!H:H,A37,KIK总排期!AA:AA)</f>
        <v>115553.45</v>
      </c>
      <c r="J37" s="11">
        <f ca="1">SUMIF(RRM总排期!H:HA,A37,RRM总排期!AA:AA)</f>
        <v>0</v>
      </c>
      <c r="K37" s="11">
        <f>SUMIF(KIK已走货!H:H,A37,KIK已走货!AA:AA)</f>
        <v>395842.21</v>
      </c>
      <c r="L37" s="11">
        <f>SUMIF(RRM已走货!H:H,A37,RRM已走货!AA:AA)</f>
        <v>0</v>
      </c>
      <c r="M37" s="12">
        <f ca="1" t="shared" si="3"/>
        <v>0</v>
      </c>
    </row>
    <row r="38" customHeight="1" spans="1:13">
      <c r="A38" s="11" t="s">
        <v>107</v>
      </c>
      <c r="B38" s="11">
        <f ca="1">SUMIF(总接单!E:EH,A38,总接单!F:F)</f>
        <v>23104</v>
      </c>
      <c r="C38" s="11">
        <f>SUMIF(KIK总排期!H:H,A38,KIK总排期!J:J)</f>
        <v>5000</v>
      </c>
      <c r="D38" s="11">
        <f>SUMIF(RRM总排期!H:H,A38,RRM总排期!J:J)</f>
        <v>0</v>
      </c>
      <c r="E38" s="11">
        <f>SUMIF(KIK已走货!H:H,A38,KIK已走货!J:J)</f>
        <v>18104</v>
      </c>
      <c r="F38" s="11">
        <f>SUMIF(RRM已走货!H:H,A38,RRM已走货!J:J)</f>
        <v>0</v>
      </c>
      <c r="G38" s="12">
        <f ca="1" t="shared" si="2"/>
        <v>0</v>
      </c>
      <c r="H38" s="11">
        <f>SUMIF(总接单!E:E,A38,总接单!BS:BS)</f>
        <v>881182.39</v>
      </c>
      <c r="I38" s="11">
        <f>SUMIF(KIK总排期!H:H,A38,KIK总排期!AA:AA)</f>
        <v>192045</v>
      </c>
      <c r="J38" s="11">
        <f ca="1">SUMIF(RRM总排期!H:HA,A38,RRM总排期!AA:AA)</f>
        <v>0</v>
      </c>
      <c r="K38" s="11">
        <f>SUMIF(KIK已走货!H:H,A38,KIK已走货!AA:AA)</f>
        <v>689137.39</v>
      </c>
      <c r="L38" s="11">
        <f>SUMIF(RRM已走货!H:H,A38,RRM已走货!AA:AA)</f>
        <v>0</v>
      </c>
      <c r="M38" s="12">
        <f ca="1" t="shared" si="3"/>
        <v>0</v>
      </c>
    </row>
    <row r="39" customHeight="1" spans="1:13">
      <c r="A39" s="11" t="s">
        <v>130</v>
      </c>
      <c r="B39" s="11">
        <f ca="1">SUMIF(总接单!E:EH,A39,总接单!F:F)</f>
        <v>12376</v>
      </c>
      <c r="C39" s="11">
        <f>SUMIF(KIK总排期!H:H,A39,KIK总排期!J:J)</f>
        <v>6000</v>
      </c>
      <c r="D39" s="11">
        <f>SUMIF(RRM总排期!H:H,A39,RRM总排期!J:J)</f>
        <v>0</v>
      </c>
      <c r="E39" s="11">
        <f>SUMIF(KIK已走货!H:H,A39,KIK已走货!J:J)</f>
        <v>6376</v>
      </c>
      <c r="F39" s="11">
        <f>SUMIF(RRM已走货!H:H,A39,RRM已走货!J:J)</f>
        <v>0</v>
      </c>
      <c r="G39" s="12">
        <f ca="1" t="shared" si="2"/>
        <v>0</v>
      </c>
      <c r="H39" s="11">
        <f>SUMIF(总接单!E:E,A39,总接单!BS:BS)</f>
        <v>355169.57</v>
      </c>
      <c r="I39" s="11">
        <f>SUMIF(KIK总排期!H:H,A39,KIK总排期!AA:AA)</f>
        <v>172189.51</v>
      </c>
      <c r="J39" s="11">
        <f ca="1">SUMIF(RRM总排期!H:HA,A39,RRM总排期!AA:AA)</f>
        <v>0</v>
      </c>
      <c r="K39" s="11">
        <f>SUMIF(KIK已走货!H:H,A39,KIK已走货!AA:AA)</f>
        <v>182980.06</v>
      </c>
      <c r="L39" s="11">
        <f>SUMIF(RRM已走货!H:H,A39,RRM已走货!AA:AA)</f>
        <v>0</v>
      </c>
      <c r="M39" s="12">
        <f ca="1" t="shared" si="3"/>
        <v>0</v>
      </c>
    </row>
    <row r="40" customHeight="1" spans="1:13">
      <c r="A40" s="11" t="s">
        <v>131</v>
      </c>
      <c r="B40" s="11">
        <f ca="1">SUMIF(总接单!E:EH,A40,总接单!F:F)</f>
        <v>9072</v>
      </c>
      <c r="C40" s="11">
        <f>SUMIF(KIK总排期!H:H,A40,KIK总排期!J:J)</f>
        <v>3000</v>
      </c>
      <c r="D40" s="11">
        <f>SUMIF(RRM总排期!H:H,A40,RRM总排期!J:J)</f>
        <v>0</v>
      </c>
      <c r="E40" s="11">
        <f>SUMIF(KIK已走货!H:H,A40,KIK已走货!J:J)</f>
        <v>6072</v>
      </c>
      <c r="F40" s="11">
        <f>SUMIF(RRM已走货!H:H,A40,RRM已走货!J:J)</f>
        <v>0</v>
      </c>
      <c r="G40" s="12">
        <f ca="1" t="shared" si="2"/>
        <v>0</v>
      </c>
      <c r="H40" s="11">
        <f>SUMIF(总接单!E:E,A40,总接单!BS:BS)</f>
        <v>170004.7</v>
      </c>
      <c r="I40" s="11">
        <f>SUMIF(KIK总排期!H:H,A40,KIK总排期!AA:AA)</f>
        <v>56218.5</v>
      </c>
      <c r="J40" s="11">
        <f ca="1">SUMIF(RRM总排期!H:HA,A40,RRM总排期!AA:AA)</f>
        <v>0</v>
      </c>
      <c r="K40" s="11">
        <f>SUMIF(KIK已走货!H:H,A40,KIK已走货!AA:AA)</f>
        <v>113786.2</v>
      </c>
      <c r="L40" s="11">
        <f>SUMIF(RRM已走货!H:H,A40,RRM已走货!AA:AA)</f>
        <v>0</v>
      </c>
      <c r="M40" s="12">
        <f ca="1" t="shared" si="3"/>
        <v>0</v>
      </c>
    </row>
    <row r="41" customHeight="1" spans="1:13">
      <c r="A41" s="11" t="s">
        <v>132</v>
      </c>
      <c r="B41" s="11">
        <f ca="1">SUMIF(总接单!E:EH,A41,总接单!F:F)</f>
        <v>6072</v>
      </c>
      <c r="C41" s="11">
        <f>SUMIF(KIK总排期!H:H,A41,KIK总排期!J:J)</f>
        <v>0</v>
      </c>
      <c r="D41" s="11">
        <f>SUMIF(RRM总排期!H:H,A41,RRM总排期!J:J)</f>
        <v>0</v>
      </c>
      <c r="E41" s="11">
        <f>SUMIF(KIK已走货!H:H,A41,KIK已走货!J:J)</f>
        <v>6072</v>
      </c>
      <c r="F41" s="11">
        <f>SUMIF(RRM已走货!H:H,A41,RRM已走货!J:J)</f>
        <v>0</v>
      </c>
      <c r="G41" s="12">
        <f ca="1" t="shared" si="2"/>
        <v>0</v>
      </c>
      <c r="H41" s="11">
        <f>SUMIF(总接单!E:E,A41,总接单!BS:BS)</f>
        <v>68704.68</v>
      </c>
      <c r="I41" s="11">
        <f>SUMIF(KIK总排期!H:H,A41,KIK总排期!AA:AA)</f>
        <v>0</v>
      </c>
      <c r="J41" s="11">
        <f ca="1">SUMIF(RRM总排期!H:HA,A41,RRM总排期!AA:AA)</f>
        <v>0</v>
      </c>
      <c r="K41" s="11">
        <f>SUMIF(KIK已走货!H:H,A41,KIK已走货!AA:AA)</f>
        <v>68704.68</v>
      </c>
      <c r="L41" s="11">
        <f>SUMIF(RRM已走货!H:H,A41,RRM已走货!AA:AA)</f>
        <v>0</v>
      </c>
      <c r="M41" s="12">
        <f ca="1" t="shared" si="3"/>
        <v>0</v>
      </c>
    </row>
    <row r="42" customHeight="1" spans="1:13">
      <c r="A42" s="11" t="s">
        <v>48</v>
      </c>
      <c r="B42" s="11">
        <f ca="1">SUMIF(总接单!E:EH,A42,总接单!F:F)</f>
        <v>93780</v>
      </c>
      <c r="C42" s="11">
        <f>SUMIF(KIK总排期!H:H,A42,KIK总排期!J:J)</f>
        <v>61980</v>
      </c>
      <c r="D42" s="11">
        <f>SUMIF(RRM总排期!H:H,A42,RRM总排期!J:J)</f>
        <v>0</v>
      </c>
      <c r="E42" s="11">
        <f>SUMIF(KIK已走货!H:H,A42,KIK已走货!J:J)</f>
        <v>31800</v>
      </c>
      <c r="F42" s="11">
        <f>SUMIF(RRM已走货!H:H,A42,RRM已走货!J:J)</f>
        <v>0</v>
      </c>
      <c r="G42" s="12">
        <f ca="1" t="shared" si="2"/>
        <v>0</v>
      </c>
      <c r="H42" s="11">
        <f>SUMIF(总接单!E:E,A42,总接单!BS:BS)</f>
        <v>814619.63</v>
      </c>
      <c r="I42" s="11">
        <f>SUMIF(KIK总排期!H:H,A42,KIK总排期!AA:AA)</f>
        <v>272676.08</v>
      </c>
      <c r="J42" s="11">
        <f ca="1">SUMIF(RRM总排期!H:HA,A42,RRM总排期!AA:AA)</f>
        <v>0</v>
      </c>
      <c r="K42" s="11">
        <f>SUMIF(KIK已走货!H:H,A42,KIK已走货!AA:AA)</f>
        <v>541943.55</v>
      </c>
      <c r="L42" s="11">
        <f>SUMIF(RRM已走货!H:H,A42,RRM已走货!AA:AA)</f>
        <v>0</v>
      </c>
      <c r="M42" s="12">
        <f ca="1" t="shared" si="3"/>
        <v>0</v>
      </c>
    </row>
    <row r="43" customHeight="1" spans="1:13">
      <c r="A43" s="11" t="s">
        <v>50</v>
      </c>
      <c r="B43" s="11">
        <f ca="1">SUMIF(总接单!E:EH,A43,总接单!F:F)</f>
        <v>25000</v>
      </c>
      <c r="C43" s="11">
        <f>SUMIF(KIK总排期!H:H,A43,KIK总排期!J:J)</f>
        <v>10000</v>
      </c>
      <c r="D43" s="11">
        <f>SUMIF(RRM总排期!H:H,A43,RRM总排期!J:J)</f>
        <v>0</v>
      </c>
      <c r="E43" s="11">
        <f>SUMIF(KIK已走货!H:H,A43,KIK已走货!J:J)</f>
        <v>15000</v>
      </c>
      <c r="F43" s="11">
        <f>SUMIF(RRM已走货!H:H,A43,RRM已走货!J:J)</f>
        <v>0</v>
      </c>
      <c r="G43" s="12">
        <f ca="1" t="shared" si="2"/>
        <v>0</v>
      </c>
      <c r="H43" s="11">
        <f>SUMIF(总接单!E:E,A43,总接单!BS:BS)</f>
        <v>427180</v>
      </c>
      <c r="I43" s="11">
        <f>SUMIF(KIK总排期!H:H,A43,KIK总排期!AA:AA)</f>
        <v>170616.25</v>
      </c>
      <c r="J43" s="11">
        <f ca="1">SUMIF(RRM总排期!H:HA,A43,RRM总排期!AA:AA)</f>
        <v>0</v>
      </c>
      <c r="K43" s="11">
        <f>SUMIF(KIK已走货!H:H,A43,KIK已走货!AA:AA)</f>
        <v>256563.75</v>
      </c>
      <c r="L43" s="11">
        <f>SUMIF(RRM已走货!H:H,A43,RRM已走货!AA:AA)</f>
        <v>0</v>
      </c>
      <c r="M43" s="12">
        <f ca="1" t="shared" si="3"/>
        <v>0</v>
      </c>
    </row>
    <row r="44" customHeight="1" spans="1:13">
      <c r="A44" s="11" t="s">
        <v>52</v>
      </c>
      <c r="B44" s="11">
        <f ca="1">SUMIF(总接单!E:EH,A44,总接单!F:F)</f>
        <v>15012</v>
      </c>
      <c r="C44" s="11">
        <f>SUMIF(KIK总排期!H:H,A44,KIK总排期!J:J)</f>
        <v>5004</v>
      </c>
      <c r="D44" s="11">
        <f>SUMIF(RRM总排期!H:H,A44,RRM总排期!J:J)</f>
        <v>0</v>
      </c>
      <c r="E44" s="11">
        <f>SUMIF(KIK已走货!H:H,A44,KIK已走货!J:J)</f>
        <v>10008</v>
      </c>
      <c r="F44" s="11">
        <f>SUMIF(RRM已走货!H:H,A44,RRM已走货!J:J)</f>
        <v>0</v>
      </c>
      <c r="G44" s="12">
        <f ca="1" t="shared" si="2"/>
        <v>0</v>
      </c>
      <c r="H44" s="11">
        <f>SUMIF(总接单!E:E,A44,总接单!BS:BS)</f>
        <v>232802.26</v>
      </c>
      <c r="I44" s="11">
        <f>SUMIF(KIK总排期!H:H,A44,KIK总排期!AA:AA)</f>
        <v>77600.75</v>
      </c>
      <c r="J44" s="11">
        <f ca="1">SUMIF(RRM总排期!H:HA,A44,RRM总排期!AA:AA)</f>
        <v>0</v>
      </c>
      <c r="K44" s="11">
        <f>SUMIF(KIK已走货!H:H,A44,KIK已走货!AA:AA)</f>
        <v>155201.51</v>
      </c>
      <c r="L44" s="11">
        <f>SUMIF(RRM已走货!H:H,A44,RRM已走货!AA:AA)</f>
        <v>0</v>
      </c>
      <c r="M44" s="12">
        <f ca="1" t="shared" si="3"/>
        <v>0</v>
      </c>
    </row>
    <row r="45" customHeight="1" spans="1:13">
      <c r="A45" s="11" t="s">
        <v>53</v>
      </c>
      <c r="B45" s="11">
        <f ca="1">SUMIF(总接单!E:EH,A45,总接单!F:F)</f>
        <v>26304</v>
      </c>
      <c r="C45" s="11">
        <f>SUMIF(KIK总排期!H:H,A45,KIK总排期!J:J)</f>
        <v>9804</v>
      </c>
      <c r="D45" s="11">
        <f>SUMIF(RRM总排期!H:H,A45,RRM总排期!J:J)</f>
        <v>0</v>
      </c>
      <c r="E45" s="11">
        <f>SUMIF(KIK已走货!H:H,A45,KIK已走货!J:J)</f>
        <v>16500</v>
      </c>
      <c r="F45" s="11">
        <f>SUMIF(RRM已走货!H:H,A45,RRM已走货!J:J)</f>
        <v>0</v>
      </c>
      <c r="G45" s="12">
        <f ca="1" t="shared" si="2"/>
        <v>0</v>
      </c>
      <c r="H45" s="11">
        <f>SUMIF(总接单!E:E,A45,总接单!BS:BS)</f>
        <v>284990.68</v>
      </c>
      <c r="I45" s="11">
        <f>SUMIF(KIK总排期!H:H,A45,KIK总排期!AA:AA)</f>
        <v>106221.42</v>
      </c>
      <c r="J45" s="11">
        <f ca="1">SUMIF(RRM总排期!H:HA,A45,RRM总排期!AA:AA)</f>
        <v>0</v>
      </c>
      <c r="K45" s="11">
        <f>SUMIF(KIK已走货!H:H,A45,KIK已走货!AA:AA)</f>
        <v>178769.26</v>
      </c>
      <c r="L45" s="11">
        <f>SUMIF(RRM已走货!H:H,A45,RRM已走货!AA:AA)</f>
        <v>0</v>
      </c>
      <c r="M45" s="12">
        <f ca="1" t="shared" si="3"/>
        <v>0</v>
      </c>
    </row>
    <row r="46" customHeight="1" spans="1:13">
      <c r="A46" s="11" t="s">
        <v>55</v>
      </c>
      <c r="B46" s="11">
        <f ca="1">SUMIF(总接单!E:EH,A46,总接单!F:F)</f>
        <v>12504</v>
      </c>
      <c r="C46" s="11">
        <f>SUMIF(KIK总排期!H:H,A46,KIK总排期!J:J)</f>
        <v>7500</v>
      </c>
      <c r="D46" s="11">
        <f>SUMIF(RRM总排期!H:H,A46,RRM总排期!J:J)</f>
        <v>0</v>
      </c>
      <c r="E46" s="11">
        <f>SUMIF(KIK已走货!H:H,A46,KIK已走货!J:J)</f>
        <v>5004</v>
      </c>
      <c r="F46" s="11">
        <f>SUMIF(RRM已走货!H:H,A46,RRM已走货!J:J)</f>
        <v>0</v>
      </c>
      <c r="G46" s="12">
        <f ca="1" t="shared" si="2"/>
        <v>0</v>
      </c>
      <c r="H46" s="11">
        <f>SUMIF(总接单!E:E,A46,总接单!BS:BS)</f>
        <v>136928.27</v>
      </c>
      <c r="I46" s="11">
        <f>SUMIF(KIK总排期!H:H,A46,KIK总排期!AA:AA)</f>
        <v>82130.73</v>
      </c>
      <c r="J46" s="11">
        <f ca="1">SUMIF(RRM总排期!H:HA,A46,RRM总排期!AA:AA)</f>
        <v>0</v>
      </c>
      <c r="K46" s="11">
        <f>SUMIF(KIK已走货!H:H,A46,KIK已走货!AA:AA)</f>
        <v>54797.54</v>
      </c>
      <c r="L46" s="11">
        <f>SUMIF(RRM已走货!H:H,A46,RRM已走货!AA:AA)</f>
        <v>0</v>
      </c>
      <c r="M46" s="12">
        <f ca="1" t="shared" si="3"/>
        <v>0</v>
      </c>
    </row>
    <row r="47" customHeight="1" spans="1:13">
      <c r="A47" s="11" t="s">
        <v>57</v>
      </c>
      <c r="B47" s="11">
        <f ca="1">SUMIF(总接单!E:EH,A47,总接单!F:F)</f>
        <v>1500</v>
      </c>
      <c r="C47" s="11">
        <f>SUMIF(KIK总排期!H:H,A47,KIK总排期!J:J)</f>
        <v>1500</v>
      </c>
      <c r="D47" s="11">
        <f>SUMIF(RRM总排期!H:H,A47,RRM总排期!J:J)</f>
        <v>0</v>
      </c>
      <c r="E47" s="11">
        <f>SUMIF(KIK已走货!H:H,A47,KIK已走货!J:J)</f>
        <v>0</v>
      </c>
      <c r="F47" s="11">
        <f>SUMIF(RRM已走货!H:H,A47,RRM已走货!J:J)</f>
        <v>0</v>
      </c>
      <c r="G47" s="12">
        <f ca="1" t="shared" si="2"/>
        <v>0</v>
      </c>
      <c r="H47" s="11">
        <f>SUMIF(总接单!E:E,A47,总接单!BS:BS)</f>
        <v>15903</v>
      </c>
      <c r="I47" s="11">
        <f>SUMIF(KIK总排期!H:H,A47,KIK总排期!AA:AA)</f>
        <v>15903</v>
      </c>
      <c r="J47" s="11">
        <f ca="1">SUMIF(RRM总排期!H:HA,A47,RRM总排期!AA:AA)</f>
        <v>0</v>
      </c>
      <c r="K47" s="11">
        <f>SUMIF(KIK已走货!H:H,A47,KIK已走货!AA:AA)</f>
        <v>0</v>
      </c>
      <c r="L47" s="11">
        <f>SUMIF(RRM已走货!H:H,A47,RRM已走货!AA:AA)</f>
        <v>0</v>
      </c>
      <c r="M47" s="12">
        <f ca="1" t="shared" si="3"/>
        <v>0</v>
      </c>
    </row>
    <row r="48" customHeight="1" spans="1:13">
      <c r="A48" s="11" t="s">
        <v>115</v>
      </c>
      <c r="B48" s="11">
        <f ca="1">SUMIF(总接单!E:EH,A48,总接单!F:F)</f>
        <v>56200</v>
      </c>
      <c r="C48" s="11">
        <f>SUMIF(KIK总排期!H:H,A48,KIK总排期!J:J)</f>
        <v>20340</v>
      </c>
      <c r="D48" s="11">
        <f>SUMIF(RRM总排期!H:H,A48,RRM总排期!J:J)</f>
        <v>0</v>
      </c>
      <c r="E48" s="11">
        <f>SUMIF(KIK已走货!H:H,A48,KIK已走货!J:J)</f>
        <v>35860</v>
      </c>
      <c r="F48" s="11">
        <f>SUMIF(RRM已走货!H:H,A48,RRM已走货!J:J)</f>
        <v>0</v>
      </c>
      <c r="G48" s="12">
        <f ca="1" t="shared" si="2"/>
        <v>0</v>
      </c>
      <c r="H48" s="11">
        <f>SUMIF(总接单!E:E,A48,总接单!BS:BS)</f>
        <v>946157.22</v>
      </c>
      <c r="I48" s="11">
        <f>SUMIF(KIK总排期!H:H,A48,KIK总排期!AA:AA)</f>
        <v>342254.42</v>
      </c>
      <c r="J48" s="11">
        <f ca="1">SUMIF(RRM总排期!H:HA,A48,RRM总排期!AA:AA)</f>
        <v>0</v>
      </c>
      <c r="K48" s="11">
        <f>SUMIF(KIK已走货!H:H,A48,KIK已走货!AA:AA)</f>
        <v>603902.8</v>
      </c>
      <c r="L48" s="11">
        <f>SUMIF(RRM已走货!H:H,A48,RRM已走货!AA:AA)</f>
        <v>0</v>
      </c>
      <c r="M48" s="12">
        <f ca="1" t="shared" si="3"/>
        <v>0</v>
      </c>
    </row>
    <row r="49" customHeight="1" spans="1:13">
      <c r="A49" s="11" t="s">
        <v>62</v>
      </c>
      <c r="B49" s="11">
        <f ca="1">SUMIF(总接单!E:EH,A49,总接单!F:F)</f>
        <v>13000</v>
      </c>
      <c r="C49" s="11">
        <f>SUMIF(KIK总排期!H:H,A49,KIK总排期!J:J)</f>
        <v>0</v>
      </c>
      <c r="D49" s="11">
        <f>SUMIF(RRM总排期!H:H,A49,RRM总排期!J:J)</f>
        <v>0</v>
      </c>
      <c r="E49" s="11">
        <f>SUMIF(KIK已走货!H:H,A49,KIK已走货!J:J)</f>
        <v>13000</v>
      </c>
      <c r="F49" s="11">
        <f>SUMIF(RRM已走货!H:H,A49,RRM已走货!J:J)</f>
        <v>0</v>
      </c>
      <c r="G49" s="12">
        <f ca="1" t="shared" si="2"/>
        <v>0</v>
      </c>
      <c r="H49" s="11">
        <f>SUMIF(总接单!E:E,A49,总接单!BS:BS)</f>
        <v>326732.27</v>
      </c>
      <c r="I49" s="11">
        <f>SUMIF(KIK总排期!H:H,A49,KIK总排期!AA:AA)</f>
        <v>0</v>
      </c>
      <c r="J49" s="11">
        <f ca="1">SUMIF(RRM总排期!H:HA,A49,RRM总排期!AA:AA)</f>
        <v>0</v>
      </c>
      <c r="K49" s="11">
        <f>SUMIF(KIK已走货!H:H,A49,KIK已走货!AA:AA)</f>
        <v>326732.27</v>
      </c>
      <c r="L49" s="11">
        <f>SUMIF(RRM已走货!H:H,A49,RRM已走货!AA:AA)</f>
        <v>0</v>
      </c>
      <c r="M49" s="12">
        <f ca="1" t="shared" si="3"/>
        <v>0</v>
      </c>
    </row>
    <row r="50" customHeight="1" spans="1:13">
      <c r="A50" s="11" t="s">
        <v>89</v>
      </c>
      <c r="B50" s="11">
        <f ca="1">SUMIF(总接单!E:EH,A50,总接单!F:F)</f>
        <v>11511</v>
      </c>
      <c r="C50" s="11">
        <f>SUMIF(KIK总排期!H:H,A50,KIK总排期!J:J)</f>
        <v>0</v>
      </c>
      <c r="D50" s="11">
        <f>SUMIF(RRM总排期!H:H,A50,RRM总排期!J:J)</f>
        <v>0</v>
      </c>
      <c r="E50" s="11">
        <f>SUMIF(KIK已走货!H:H,A50,KIK已走货!J:J)</f>
        <v>11511</v>
      </c>
      <c r="F50" s="11">
        <f>SUMIF(RRM已走货!H:H,A50,RRM已走货!J:J)</f>
        <v>0</v>
      </c>
      <c r="G50" s="12">
        <f ca="1" t="shared" si="2"/>
        <v>0</v>
      </c>
      <c r="H50" s="11">
        <f>SUMIF(总接单!E:E,A50,总接单!BS:BS)</f>
        <v>122839.67</v>
      </c>
      <c r="I50" s="11">
        <f>SUMIF(KIK总排期!H:H,A50,KIK总排期!AA:AA)</f>
        <v>0</v>
      </c>
      <c r="J50" s="11">
        <f ca="1">SUMIF(RRM总排期!H:HA,A50,RRM总排期!AA:AA)</f>
        <v>0</v>
      </c>
      <c r="K50" s="11">
        <f>SUMIF(KIK已走货!H:H,A50,KIK已走货!AA:AA)</f>
        <v>122839.67</v>
      </c>
      <c r="L50" s="11">
        <f>SUMIF(RRM已走货!H:H,A50,RRM已走货!AA:AA)</f>
        <v>0</v>
      </c>
      <c r="M50" s="12">
        <f ca="1" t="shared" si="3"/>
        <v>0</v>
      </c>
    </row>
    <row r="51" customHeight="1" spans="1:13">
      <c r="A51" s="11" t="s">
        <v>182</v>
      </c>
      <c r="B51" s="11">
        <f ca="1">SUMIF(总接单!E:EH,A51,总接单!F:F)</f>
        <v>11724</v>
      </c>
      <c r="C51" s="11">
        <f>SUMIF(KIK总排期!H:H,A51,KIK总排期!J:J)</f>
        <v>3000</v>
      </c>
      <c r="D51" s="11">
        <f>SUMIF(RRM总排期!H:H,A51,RRM总排期!J:J)</f>
        <v>0</v>
      </c>
      <c r="E51" s="11">
        <f>SUMIF(KIK已走货!H:H,A51,KIK已走货!J:J)</f>
        <v>8724</v>
      </c>
      <c r="F51" s="11">
        <f>SUMIF(RRM已走货!H:H,A51,RRM已走货!J:J)</f>
        <v>0</v>
      </c>
      <c r="G51" s="12">
        <f ca="1" t="shared" si="2"/>
        <v>0</v>
      </c>
      <c r="H51" s="11">
        <f>SUMIF(总接单!E:E,A51,总接单!BS:BS)</f>
        <v>127659.72</v>
      </c>
      <c r="I51" s="11">
        <f>SUMIF(KIK总排期!H:H,A51,KIK总排期!AA:AA)</f>
        <v>32666.25</v>
      </c>
      <c r="J51" s="11">
        <f ca="1">SUMIF(RRM总排期!H:HA,A51,RRM总排期!AA:AA)</f>
        <v>0</v>
      </c>
      <c r="K51" s="11">
        <f>SUMIF(KIK已走货!H:H,A51,KIK已走货!AA:AA)</f>
        <v>94993.47</v>
      </c>
      <c r="L51" s="11">
        <f>SUMIF(RRM已走货!H:H,A51,RRM已走货!AA:AA)</f>
        <v>0</v>
      </c>
      <c r="M51" s="12">
        <f ca="1" t="shared" si="3"/>
        <v>0</v>
      </c>
    </row>
    <row r="52" customHeight="1" spans="1:13">
      <c r="A52" s="11" t="s">
        <v>124</v>
      </c>
      <c r="B52" s="11">
        <f ca="1">SUMIF(总接单!E:EH,A52,总接单!F:F)</f>
        <v>4212</v>
      </c>
      <c r="C52" s="11">
        <f>SUMIF(KIK总排期!H:H,A52,KIK总排期!J:J)</f>
        <v>0</v>
      </c>
      <c r="D52" s="11">
        <f>SUMIF(RRM总排期!H:H,A52,RRM总排期!J:J)</f>
        <v>0</v>
      </c>
      <c r="E52" s="11">
        <f>SUMIF(KIK已走货!H:H,A52,KIK已走货!J:J)</f>
        <v>4212</v>
      </c>
      <c r="F52" s="11">
        <f>SUMIF(RRM已走货!H:H,A52,RRM已走货!J:J)</f>
        <v>0</v>
      </c>
      <c r="G52" s="12">
        <f ca="1" t="shared" si="2"/>
        <v>0</v>
      </c>
      <c r="H52" s="11">
        <f>SUMIF(总接单!E:E,A52,总接单!BS:BS)</f>
        <v>42793.1</v>
      </c>
      <c r="I52" s="11">
        <f>SUMIF(KIK总排期!H:H,A52,KIK总排期!AA:AA)</f>
        <v>0</v>
      </c>
      <c r="J52" s="11">
        <f ca="1">SUMIF(RRM总排期!H:HA,A52,RRM总排期!AA:AA)</f>
        <v>0</v>
      </c>
      <c r="K52" s="11">
        <f>SUMIF(KIK已走货!H:H,A52,KIK已走货!AA:AA)</f>
        <v>42793.1</v>
      </c>
      <c r="L52" s="11">
        <f>SUMIF(RRM已走货!H:H,A52,RRM已走货!AA:AA)</f>
        <v>0</v>
      </c>
      <c r="M52" s="12">
        <f ca="1" t="shared" si="3"/>
        <v>0</v>
      </c>
    </row>
    <row r="53" customHeight="1" spans="1:13">
      <c r="A53" s="11" t="s">
        <v>95</v>
      </c>
      <c r="B53" s="11">
        <f ca="1">SUMIF(总接单!E:EH,A53,总接单!F:F)</f>
        <v>55244</v>
      </c>
      <c r="C53" s="11">
        <f>SUMIF(KIK总排期!H:H,A53,KIK总排期!J:J)</f>
        <v>1500</v>
      </c>
      <c r="D53" s="11">
        <f>SUMIF(RRM总排期!H:H,A53,RRM总排期!J:J)</f>
        <v>0</v>
      </c>
      <c r="E53" s="11">
        <f>SUMIF(KIK已走货!H:H,A53,KIK已走货!J:J)</f>
        <v>53744</v>
      </c>
      <c r="F53" s="11">
        <f>SUMIF(RRM已走货!H:H,A53,RRM已走货!J:J)</f>
        <v>0</v>
      </c>
      <c r="G53" s="12">
        <f ca="1" t="shared" si="2"/>
        <v>0</v>
      </c>
      <c r="H53" s="11">
        <f>SUMIF(总接单!E:E,A53,总接单!BS:BS)</f>
        <v>947965.54</v>
      </c>
      <c r="I53" s="11">
        <f>SUMIF(KIK总排期!H:H,A53,KIK总排期!AA:AA)</f>
        <v>26156.25</v>
      </c>
      <c r="J53" s="11">
        <f ca="1">SUMIF(RRM总排期!H:HA,A53,RRM总排期!AA:AA)</f>
        <v>0</v>
      </c>
      <c r="K53" s="11">
        <f>SUMIF(KIK已走货!H:H,A53,KIK已走货!AA:AA)</f>
        <v>921809.29</v>
      </c>
      <c r="L53" s="11">
        <f>SUMIF(RRM已走货!H:H,A53,RRM已走货!AA:AA)</f>
        <v>0</v>
      </c>
      <c r="M53" s="12">
        <f ca="1" t="shared" si="3"/>
        <v>0</v>
      </c>
    </row>
    <row r="54" customHeight="1" spans="1:13">
      <c r="A54" s="11" t="s">
        <v>183</v>
      </c>
      <c r="B54" s="11">
        <f ca="1">SUMIF(总接单!E:EH,A54,总接单!F:F)</f>
        <v>10000</v>
      </c>
      <c r="C54" s="11">
        <f>SUMIF(KIK总排期!H:H,A54,KIK总排期!J:J)</f>
        <v>6400</v>
      </c>
      <c r="D54" s="11">
        <f>SUMIF(RRM总排期!H:H,A54,RRM总排期!J:J)</f>
        <v>0</v>
      </c>
      <c r="E54" s="11">
        <f>SUMIF(KIK已走货!H:H,A54,KIK已走货!J:J)</f>
        <v>3600</v>
      </c>
      <c r="F54" s="11">
        <f>SUMIF(RRM已走货!H:H,A54,RRM已走货!J:J)</f>
        <v>0</v>
      </c>
      <c r="G54" s="12">
        <f ca="1" t="shared" si="2"/>
        <v>0</v>
      </c>
      <c r="H54" s="11">
        <f>SUMIF(总接单!E:E,A54,总接单!BS:BS)</f>
        <v>166625</v>
      </c>
      <c r="I54" s="11">
        <f>SUMIF(KIK总排期!H:H,A54,KIK总排期!AA:AA)</f>
        <v>106640</v>
      </c>
      <c r="J54" s="11">
        <f ca="1">SUMIF(RRM总排期!H:HA,A54,RRM总排期!AA:AA)</f>
        <v>0</v>
      </c>
      <c r="K54" s="11">
        <f>SUMIF(KIK已走货!H:H,A54,KIK已走货!AA:AA)</f>
        <v>59985</v>
      </c>
      <c r="L54" s="11">
        <f>SUMIF(RRM已走货!H:H,A54,RRM已走货!AA:AA)</f>
        <v>0</v>
      </c>
      <c r="M54" s="12">
        <f ca="1" t="shared" si="3"/>
        <v>0</v>
      </c>
    </row>
    <row r="55" customHeight="1" spans="1:13">
      <c r="A55" s="11" t="s">
        <v>97</v>
      </c>
      <c r="B55" s="11">
        <f ca="1">SUMIF(总接单!E:EH,A55,总接单!F:F)</f>
        <v>63940</v>
      </c>
      <c r="C55" s="11">
        <f>SUMIF(KIK总排期!H:H,A55,KIK总排期!J:J)</f>
        <v>3000</v>
      </c>
      <c r="D55" s="11">
        <f>SUMIF(RRM总排期!H:H,A55,RRM总排期!J:J)</f>
        <v>0</v>
      </c>
      <c r="E55" s="11">
        <f>SUMIF(KIK已走货!H:H,A55,KIK已走货!J:J)</f>
        <v>60940</v>
      </c>
      <c r="F55" s="11">
        <f>SUMIF(RRM已走货!H:H,A55,RRM已走货!J:J)</f>
        <v>0</v>
      </c>
      <c r="G55" s="12">
        <f ca="1" t="shared" si="2"/>
        <v>0</v>
      </c>
      <c r="H55" s="11">
        <f>SUMIF(总接单!E:E,A55,总接单!BS:BS)</f>
        <v>1671486.92</v>
      </c>
      <c r="I55" s="11">
        <f>SUMIF(KIK总排期!H:H,A55,KIK总排期!AA:AA)</f>
        <v>79747.5</v>
      </c>
      <c r="J55" s="11">
        <f ca="1">SUMIF(RRM总排期!H:HA,A55,RRM总排期!AA:AA)</f>
        <v>0</v>
      </c>
      <c r="K55" s="11">
        <f>SUMIF(KIK已走货!H:H,A55,KIK已走货!AA:AA)</f>
        <v>1591739.42</v>
      </c>
      <c r="L55" s="11">
        <f>SUMIF(RRM已走货!H:H,A55,RRM已走货!AA:AA)</f>
        <v>0</v>
      </c>
      <c r="M55" s="12">
        <f ca="1" t="shared" si="3"/>
        <v>0</v>
      </c>
    </row>
    <row r="56" customHeight="1" spans="1:13">
      <c r="A56" s="11" t="s">
        <v>184</v>
      </c>
      <c r="B56" s="11">
        <f ca="1">SUMIF(总接单!E:EH,A56,总接单!F:F)</f>
        <v>10000</v>
      </c>
      <c r="C56" s="11">
        <f>SUMIF(KIK总排期!H:H,A56,KIK总排期!J:J)</f>
        <v>10000</v>
      </c>
      <c r="D56" s="11">
        <f>SUMIF(RRM总排期!H:H,A56,RRM总排期!J:J)</f>
        <v>0</v>
      </c>
      <c r="E56" s="11">
        <f>SUMIF(KIK已走货!H:H,A56,KIK已走货!J:J)</f>
        <v>0</v>
      </c>
      <c r="F56" s="11">
        <f>SUMIF(RRM已走货!H:H,A56,RRM已走货!J:J)</f>
        <v>0</v>
      </c>
      <c r="G56" s="12">
        <f ca="1" t="shared" si="2"/>
        <v>0</v>
      </c>
      <c r="H56" s="11">
        <f>SUMIF(总接单!E:E,A56,总接单!BS:BS)</f>
        <v>259935</v>
      </c>
      <c r="I56" s="11">
        <f>SUMIF(KIK总排期!H:H,A56,KIK总排期!AA:AA)</f>
        <v>259935</v>
      </c>
      <c r="J56" s="11">
        <f ca="1">SUMIF(RRM总排期!H:HA,A56,RRM总排期!AA:AA)</f>
        <v>0</v>
      </c>
      <c r="K56" s="11">
        <f>SUMIF(KIK已走货!H:H,A56,KIK已走货!AA:AA)</f>
        <v>0</v>
      </c>
      <c r="L56" s="11">
        <f>SUMIF(RRM已走货!H:H,A56,RRM已走货!AA:AA)</f>
        <v>0</v>
      </c>
      <c r="M56" s="12">
        <f ca="1" t="shared" si="3"/>
        <v>0</v>
      </c>
    </row>
    <row r="57" customHeight="1" spans="1:13">
      <c r="A57" s="11" t="s">
        <v>142</v>
      </c>
      <c r="B57" s="11">
        <f ca="1">SUMIF(总接单!E:EH,A57,总接单!F:F)</f>
        <v>24461</v>
      </c>
      <c r="C57" s="11">
        <f>SUMIF(KIK总排期!H:H,A57,KIK总排期!J:J)</f>
        <v>5001</v>
      </c>
      <c r="D57" s="11">
        <f>SUMIF(RRM总排期!H:H,A57,RRM总排期!J:J)</f>
        <v>0</v>
      </c>
      <c r="E57" s="11">
        <f>SUMIF(KIK已走货!H:H,A57,KIK已走货!J:J)</f>
        <v>19460</v>
      </c>
      <c r="F57" s="11">
        <f>SUMIF(RRM已走货!H:H,A57,RRM已走货!J:J)</f>
        <v>0</v>
      </c>
      <c r="G57" s="12">
        <f ca="1" t="shared" si="2"/>
        <v>0</v>
      </c>
      <c r="H57" s="11">
        <f>SUMIF(总接单!E:E,A57,总接单!BS:BS)</f>
        <v>599510.41</v>
      </c>
      <c r="I57" s="11">
        <f>SUMIF(KIK总排期!H:H,A57,KIK总排期!AA:AA)</f>
        <v>123327.15</v>
      </c>
      <c r="J57" s="11">
        <f ca="1">SUMIF(RRM总排期!H:HA,A57,RRM总排期!AA:AA)</f>
        <v>0</v>
      </c>
      <c r="K57" s="11">
        <f>SUMIF(KIK已走货!H:H,A57,KIK已走货!AA:AA)</f>
        <v>476183.26</v>
      </c>
      <c r="L57" s="11">
        <f>SUMIF(RRM已走货!H:H,A57,RRM已走货!AA:AA)</f>
        <v>0</v>
      </c>
      <c r="M57" s="12">
        <f ca="1" t="shared" si="3"/>
        <v>0</v>
      </c>
    </row>
    <row r="58" customHeight="1" spans="1:13">
      <c r="A58" s="11" t="s">
        <v>159</v>
      </c>
      <c r="B58" s="11">
        <f ca="1">SUMIF(总接单!E:EH,A58,总接单!F:F)</f>
        <v>7503</v>
      </c>
      <c r="C58" s="11">
        <f>SUMIF(KIK总排期!H:H,A58,KIK总排期!J:J)</f>
        <v>7503</v>
      </c>
      <c r="D58" s="11">
        <f>SUMIF(RRM总排期!H:H,A58,RRM总排期!J:J)</f>
        <v>0</v>
      </c>
      <c r="E58" s="11">
        <f>SUMIF(KIK已走货!H:H,A58,KIK已走货!J:J)</f>
        <v>0</v>
      </c>
      <c r="F58" s="11">
        <f>SUMIF(RRM已走货!H:H,A58,RRM已走货!J:J)</f>
        <v>0</v>
      </c>
      <c r="G58" s="12">
        <f ca="1" t="shared" si="2"/>
        <v>0</v>
      </c>
      <c r="H58" s="11">
        <f>SUMIF(总接单!E:E,A58,总接单!BS:BS)</f>
        <v>170083.67</v>
      </c>
      <c r="I58" s="11">
        <f>SUMIF(KIK总排期!H:H,A58,KIK总排期!AA:AA)</f>
        <v>170083.67</v>
      </c>
      <c r="J58" s="11">
        <f ca="1">SUMIF(RRM总排期!H:HA,A58,RRM总排期!AA:AA)</f>
        <v>0</v>
      </c>
      <c r="K58" s="11">
        <f>SUMIF(KIK已走货!H:H,A58,KIK已走货!AA:AA)</f>
        <v>0</v>
      </c>
      <c r="L58" s="11">
        <f>SUMIF(RRM已走货!H:H,A58,RRM已走货!AA:AA)</f>
        <v>0</v>
      </c>
      <c r="M58" s="12">
        <f ca="1" t="shared" si="3"/>
        <v>0</v>
      </c>
    </row>
    <row r="59" customHeight="1" spans="1:13">
      <c r="A59" s="11" t="s">
        <v>64</v>
      </c>
      <c r="B59" s="11">
        <f ca="1">SUMIF(总接单!E:EH,A59,总接单!F:F)</f>
        <v>15002</v>
      </c>
      <c r="C59" s="11">
        <f>SUMIF(KIK总排期!H:H,A59,KIK总排期!J:J)</f>
        <v>5000</v>
      </c>
      <c r="D59" s="11">
        <f>SUMIF(RRM总排期!H:H,A59,RRM总排期!J:J)</f>
        <v>0</v>
      </c>
      <c r="E59" s="11">
        <f>SUMIF(KIK已走货!H:H,A59,KIK已走货!J:J)</f>
        <v>10002</v>
      </c>
      <c r="F59" s="11">
        <f>SUMIF(RRM已走货!H:H,A59,RRM已走货!J:J)</f>
        <v>0</v>
      </c>
      <c r="G59" s="12">
        <f ca="1" t="shared" si="2"/>
        <v>0</v>
      </c>
      <c r="H59" s="11">
        <f>SUMIF(总接单!E:E,A59,总接单!BS:BS)</f>
        <v>274850.03</v>
      </c>
      <c r="I59" s="11">
        <f>SUMIF(KIK总排期!H:H,A59,KIK总排期!AA:AA)</f>
        <v>91605</v>
      </c>
      <c r="J59" s="11">
        <f ca="1">SUMIF(RRM总排期!H:HA,A59,RRM总排期!AA:AA)</f>
        <v>0</v>
      </c>
      <c r="K59" s="11">
        <f>SUMIF(KIK已走货!H:H,A59,KIK已走货!AA:AA)</f>
        <v>183245.03</v>
      </c>
      <c r="L59" s="11">
        <f>SUMIF(RRM已走货!H:H,A59,RRM已走货!AA:AA)</f>
        <v>0</v>
      </c>
      <c r="M59" s="12">
        <f ca="1" t="shared" si="3"/>
        <v>0</v>
      </c>
    </row>
    <row r="60" customHeight="1" spans="1:13">
      <c r="A60" s="11" t="s">
        <v>104</v>
      </c>
      <c r="B60" s="11">
        <f ca="1">SUMIF(总接单!E:EH,A60,总接单!F:F)</f>
        <v>8100</v>
      </c>
      <c r="C60" s="11">
        <f>SUMIF(KIK总排期!H:H,A60,KIK总排期!J:J)</f>
        <v>0</v>
      </c>
      <c r="D60" s="11">
        <f>SUMIF(RRM总排期!H:H,A60,RRM总排期!J:J)</f>
        <v>0</v>
      </c>
      <c r="E60" s="11">
        <f>SUMIF(KIK已走货!H:H,A60,KIK已走货!J:J)</f>
        <v>8100</v>
      </c>
      <c r="F60" s="11">
        <f>SUMIF(RRM已走货!H:H,A60,RRM已走货!J:J)</f>
        <v>0</v>
      </c>
      <c r="G60" s="12">
        <f ca="1" t="shared" si="2"/>
        <v>0</v>
      </c>
      <c r="H60" s="11">
        <f>SUMIF(总接单!E:E,A60,总接单!BS:BS)</f>
        <v>147772.35</v>
      </c>
      <c r="I60" s="11">
        <f>SUMIF(KIK总排期!H:H,A60,KIK总排期!AA:AA)</f>
        <v>0</v>
      </c>
      <c r="J60" s="11">
        <f ca="1">SUMIF(RRM总排期!H:HA,A60,RRM总排期!AA:AA)</f>
        <v>0</v>
      </c>
      <c r="K60" s="11">
        <f>SUMIF(KIK已走货!H:H,A60,KIK已走货!AA:AA)</f>
        <v>147772.35</v>
      </c>
      <c r="L60" s="11">
        <f>SUMIF(RRM已走货!H:H,A60,RRM已走货!AA:AA)</f>
        <v>0</v>
      </c>
      <c r="M60" s="12">
        <f ca="1" t="shared" si="3"/>
        <v>0</v>
      </c>
    </row>
    <row r="61" customHeight="1" spans="1:13">
      <c r="A61" s="11" t="s">
        <v>91</v>
      </c>
      <c r="B61" s="11">
        <f ca="1">SUMIF(总接单!E:EH,A61,总接单!F:F)</f>
        <v>34579</v>
      </c>
      <c r="C61" s="11">
        <f>SUMIF(KIK总排期!H:H,A61,KIK总排期!J:J)</f>
        <v>22744</v>
      </c>
      <c r="D61" s="11">
        <f>SUMIF(RRM总排期!H:H,A61,RRM总排期!J:J)</f>
        <v>0</v>
      </c>
      <c r="E61" s="11">
        <f>SUMIF(KIK已走货!H:H,A61,KIK已走货!J:J)</f>
        <v>11835</v>
      </c>
      <c r="F61" s="11">
        <f>SUMIF(RRM已走货!H:H,A61,RRM已走货!J:J)</f>
        <v>0</v>
      </c>
      <c r="G61" s="12">
        <f ca="1" t="shared" si="2"/>
        <v>0</v>
      </c>
      <c r="H61" s="11">
        <f>SUMIF(总接单!E:E,A61,总接单!BS:BS)</f>
        <v>132352.96</v>
      </c>
      <c r="I61" s="11">
        <f>SUMIF(KIK总排期!H:H,A61,KIK总排期!AA:AA)</f>
        <v>0</v>
      </c>
      <c r="J61" s="11">
        <f ca="1">SUMIF(RRM总排期!H:HA,A61,RRM总排期!AA:AA)</f>
        <v>0</v>
      </c>
      <c r="K61" s="11">
        <f>SUMIF(KIK已走货!H:H,A61,KIK已走货!AA:AA)</f>
        <v>132352.96</v>
      </c>
      <c r="L61" s="11">
        <f>SUMIF(RRM已走货!H:H,A61,RRM已走货!AA:AA)</f>
        <v>0</v>
      </c>
      <c r="M61" s="12">
        <f ca="1" t="shared" si="3"/>
        <v>0</v>
      </c>
    </row>
    <row r="62" customHeight="1" spans="1:13">
      <c r="A62" s="11" t="s">
        <v>122</v>
      </c>
      <c r="B62" s="11">
        <f ca="1">SUMIF(总接单!E:EH,A62,总接单!F:F)</f>
        <v>17406</v>
      </c>
      <c r="C62" s="11">
        <f>SUMIF(KIK总排期!H:H,A62,KIK总排期!J:J)</f>
        <v>0</v>
      </c>
      <c r="D62" s="11">
        <f>SUMIF(RRM总排期!H:H,A62,RRM总排期!J:J)</f>
        <v>0</v>
      </c>
      <c r="E62" s="11">
        <f>SUMIF(KIK已走货!H:H,A62,KIK已走货!J:J)</f>
        <v>17406</v>
      </c>
      <c r="F62" s="11">
        <f>SUMIF(RRM已走货!H:H,A62,RRM已走货!J:J)</f>
        <v>0</v>
      </c>
      <c r="G62" s="12">
        <f ca="1" t="shared" si="2"/>
        <v>0</v>
      </c>
      <c r="H62" s="11">
        <f>SUMIF(总接单!E:E,A62,总接单!BS:BS)</f>
        <v>191733.38</v>
      </c>
      <c r="I62" s="11">
        <f>SUMIF(KIK总排期!H:H,A62,KIK总排期!AA:AA)</f>
        <v>0</v>
      </c>
      <c r="J62" s="11">
        <f ca="1">SUMIF(RRM总排期!H:HA,A62,RRM总排期!AA:AA)</f>
        <v>0</v>
      </c>
      <c r="K62" s="11">
        <f>SUMIF(KIK已走货!H:H,A62,KIK已走货!AA:AA)</f>
        <v>191733.3</v>
      </c>
      <c r="L62" s="11">
        <f>SUMIF(RRM已走货!H:H,A62,RRM已走货!AA:AA)</f>
        <v>0</v>
      </c>
      <c r="M62" s="12">
        <f ca="1" t="shared" si="3"/>
        <v>0</v>
      </c>
    </row>
    <row r="63" customHeight="1" spans="1:13">
      <c r="A63" s="11" t="s">
        <v>93</v>
      </c>
      <c r="B63" s="11">
        <f ca="1">SUMIF(总接单!E:EH,A63,总接单!F:F)</f>
        <v>3027</v>
      </c>
      <c r="C63" s="11">
        <f>SUMIF(KIK总排期!H:H,A63,KIK总排期!J:J)</f>
        <v>0</v>
      </c>
      <c r="D63" s="11">
        <f>SUMIF(RRM总排期!H:H,A63,RRM总排期!J:J)</f>
        <v>0</v>
      </c>
      <c r="E63" s="11">
        <f>SUMIF(KIK已走货!H:H,A63,KIK已走货!J:J)</f>
        <v>3027</v>
      </c>
      <c r="F63" s="11">
        <f>SUMIF(RRM已走货!H:H,A63,RRM已走货!J:J)</f>
        <v>0</v>
      </c>
      <c r="G63" s="12">
        <f ca="1" t="shared" si="2"/>
        <v>0</v>
      </c>
      <c r="H63" s="11">
        <f>SUMIF(总接单!E:E,A63,总接单!BS:BS)</f>
        <v>30183.69</v>
      </c>
      <c r="I63" s="11">
        <f>SUMIF(KIK总排期!H:H,A63,KIK总排期!AA:AA)</f>
        <v>0</v>
      </c>
      <c r="J63" s="11">
        <f ca="1">SUMIF(RRM总排期!H:HA,A63,RRM总排期!AA:AA)</f>
        <v>0</v>
      </c>
      <c r="K63" s="11">
        <f>SUMIF(KIK已走货!H:H,A63,KIK已走货!AA:AA)</f>
        <v>30183.69</v>
      </c>
      <c r="L63" s="11">
        <f>SUMIF(RRM已走货!H:H,A63,RRM已走货!AA:AA)</f>
        <v>0</v>
      </c>
      <c r="M63" s="12">
        <f ca="1" t="shared" si="3"/>
        <v>0</v>
      </c>
    </row>
    <row r="64" customHeight="1" spans="1:13">
      <c r="A64" s="11" t="s">
        <v>153</v>
      </c>
      <c r="B64" s="11">
        <f ca="1">SUMIF(总接单!E:EH,A64,总接单!F:F)</f>
        <v>4704</v>
      </c>
      <c r="C64" s="11">
        <f>SUMIF(KIK总排期!H:H,A64,KIK总排期!J:J)</f>
        <v>0</v>
      </c>
      <c r="D64" s="11">
        <f>SUMIF(RRM总排期!H:H,A64,RRM总排期!J:J)</f>
        <v>0</v>
      </c>
      <c r="E64" s="11">
        <f>SUMIF(KIK已走货!H:H,A64,KIK已走货!J:J)</f>
        <v>4704</v>
      </c>
      <c r="F64" s="11">
        <f>SUMIF(RRM已走货!H:H,A64,RRM已走货!J:J)</f>
        <v>0</v>
      </c>
      <c r="G64" s="12">
        <f ca="1" t="shared" si="2"/>
        <v>0</v>
      </c>
      <c r="H64" s="11">
        <f>SUMIF(总接单!E:E,A64,总接单!BS:BS)</f>
        <v>48267.78</v>
      </c>
      <c r="I64" s="11">
        <f>SUMIF(KIK总排期!H:H,A64,KIK总排期!AA:AA)</f>
        <v>0</v>
      </c>
      <c r="J64" s="11">
        <f ca="1">SUMIF(RRM总排期!H:HA,A64,RRM总排期!AA:AA)</f>
        <v>0</v>
      </c>
      <c r="K64" s="11">
        <f>SUMIF(KIK已走货!H:H,A64,KIK已走货!AA:AA)</f>
        <v>48267.78</v>
      </c>
      <c r="L64" s="11">
        <f>SUMIF(RRM已走货!H:H,A64,RRM已走货!AA:AA)</f>
        <v>0</v>
      </c>
      <c r="M64" s="12">
        <f ca="1" t="shared" si="3"/>
        <v>0</v>
      </c>
    </row>
    <row r="65" customHeight="1" spans="1:13">
      <c r="A65" s="11" t="s">
        <v>123</v>
      </c>
      <c r="B65" s="11">
        <f ca="1">SUMIF(总接单!E:EH,A65,总接单!F:F)</f>
        <v>6804</v>
      </c>
      <c r="C65" s="11">
        <f>SUMIF(KIK总排期!H:H,A65,KIK总排期!J:J)</f>
        <v>0</v>
      </c>
      <c r="D65" s="11">
        <f>SUMIF(RRM总排期!H:H,A65,RRM总排期!J:J)</f>
        <v>0</v>
      </c>
      <c r="E65" s="11">
        <f>SUMIF(KIK已走货!H:H,A65,KIK已走货!J:J)</f>
        <v>6804</v>
      </c>
      <c r="F65" s="11">
        <f>SUMIF(RRM已走货!H:H,A65,RRM已走货!J:J)</f>
        <v>0</v>
      </c>
      <c r="G65" s="12">
        <f ca="1" t="shared" si="2"/>
        <v>0</v>
      </c>
      <c r="H65" s="11">
        <f>SUMIF(总接单!E:E,A65,总接单!BS:BS)</f>
        <v>68035.86</v>
      </c>
      <c r="I65" s="11">
        <f>SUMIF(KIK总排期!H:H,A65,KIK总排期!AA:AA)</f>
        <v>0</v>
      </c>
      <c r="J65" s="11">
        <f ca="1">SUMIF(RRM总排期!H:HA,A65,RRM总排期!AA:AA)</f>
        <v>0</v>
      </c>
      <c r="K65" s="11">
        <f>SUMIF(KIK已走货!H:H,A65,KIK已走货!AA:AA)</f>
        <v>68035.86</v>
      </c>
      <c r="L65" s="11">
        <f>SUMIF(RRM已走货!H:H,A65,RRM已走货!AA:AA)</f>
        <v>0</v>
      </c>
      <c r="M65" s="12">
        <f ca="1" t="shared" si="3"/>
        <v>0</v>
      </c>
    </row>
    <row r="66" customHeight="1" spans="1:13">
      <c r="A66" s="11" t="s">
        <v>99</v>
      </c>
      <c r="B66" s="11">
        <f ca="1">SUMIF(总接单!E:EH,A66,总接单!F:F)</f>
        <v>4998</v>
      </c>
      <c r="C66" s="11">
        <f>SUMIF(KIK总排期!H:H,A66,KIK总排期!J:J)</f>
        <v>0</v>
      </c>
      <c r="D66" s="11">
        <f>SUMIF(RRM总排期!H:H,A66,RRM总排期!J:J)</f>
        <v>0</v>
      </c>
      <c r="E66" s="11">
        <f>SUMIF(KIK已走货!H:H,A66,KIK已走货!J:J)</f>
        <v>4998</v>
      </c>
      <c r="F66" s="11">
        <f>SUMIF(RRM已走货!H:H,A66,RRM已走货!J:J)</f>
        <v>0</v>
      </c>
      <c r="G66" s="12">
        <f ca="1" t="shared" si="2"/>
        <v>0</v>
      </c>
      <c r="H66" s="11">
        <f>SUMIF(总接单!E:E,A66,总接单!BS:BS)</f>
        <v>90583.32</v>
      </c>
      <c r="I66" s="11">
        <f>SUMIF(KIK总排期!H:H,A66,KIK总排期!AA:AA)</f>
        <v>0</v>
      </c>
      <c r="J66" s="11">
        <f ca="1">SUMIF(RRM总排期!H:HA,A66,RRM总排期!AA:AA)</f>
        <v>0</v>
      </c>
      <c r="K66" s="11">
        <f>SUMIF(KIK已走货!H:H,A66,KIK已走货!AA:AA)</f>
        <v>90583.32</v>
      </c>
      <c r="L66" s="11">
        <f>SUMIF(RRM已走货!H:H,A66,RRM已走货!AA:AA)</f>
        <v>0</v>
      </c>
      <c r="M66" s="12">
        <f ca="1" t="shared" si="3"/>
        <v>0</v>
      </c>
    </row>
    <row r="67" customHeight="1" spans="1:13">
      <c r="A67" s="11" t="s">
        <v>141</v>
      </c>
      <c r="B67" s="11">
        <f ca="1">SUMIF(总接单!E:EH,A67,总接单!F:F)</f>
        <v>13617</v>
      </c>
      <c r="C67" s="11">
        <f>SUMIF(KIK总排期!H:H,A67,KIK总排期!J:J)</f>
        <v>0</v>
      </c>
      <c r="D67" s="11">
        <f>SUMIF(RRM总排期!H:H,A67,RRM总排期!J:J)</f>
        <v>0</v>
      </c>
      <c r="E67" s="11">
        <f>SUMIF(KIK已走货!H:H,A67,KIK已走货!J:J)</f>
        <v>13617</v>
      </c>
      <c r="F67" s="11">
        <f>SUMIF(RRM已走货!H:H,A67,RRM已走货!J:J)</f>
        <v>0</v>
      </c>
      <c r="G67" s="12">
        <f ca="1" t="shared" si="2"/>
        <v>0</v>
      </c>
      <c r="H67" s="11">
        <f>SUMIF(总接单!E:E,A67,总接单!BS:BS)</f>
        <v>253062.21</v>
      </c>
      <c r="I67" s="11">
        <f>SUMIF(KIK总排期!H:H,A67,KIK总排期!AA:AA)</f>
        <v>0</v>
      </c>
      <c r="J67" s="11">
        <f ca="1">SUMIF(RRM总排期!H:HA,A67,RRM总排期!AA:AA)</f>
        <v>0</v>
      </c>
      <c r="K67" s="11">
        <f>SUMIF(KIK已走货!H:H,A67,KIK已走货!AA:AA)</f>
        <v>253062.21</v>
      </c>
      <c r="L67" s="11">
        <f>SUMIF(RRM已走货!H:H,A67,RRM已走货!AA:AA)</f>
        <v>0</v>
      </c>
      <c r="M67" s="12">
        <f ca="1" t="shared" si="3"/>
        <v>0</v>
      </c>
    </row>
    <row r="68" customHeight="1" spans="1:13">
      <c r="A68" s="11" t="s">
        <v>125</v>
      </c>
      <c r="B68" s="11">
        <f ca="1">SUMIF(总接单!E:EH,A68,总接单!F:F)</f>
        <v>6504</v>
      </c>
      <c r="C68" s="11">
        <f>SUMIF(KIK总排期!H:H,A68,KIK总排期!J:J)</f>
        <v>0</v>
      </c>
      <c r="D68" s="11">
        <f>SUMIF(RRM总排期!H:H,A68,RRM总排期!J:J)</f>
        <v>0</v>
      </c>
      <c r="E68" s="11">
        <f>SUMIF(KIK已走货!H:H,A68,KIK已走货!J:J)</f>
        <v>6504</v>
      </c>
      <c r="F68" s="11">
        <f>SUMIF(RRM已走货!H:H,A68,RRM已走货!J:J)</f>
        <v>0</v>
      </c>
      <c r="G68" s="12">
        <f ca="1" t="shared" si="2"/>
        <v>0</v>
      </c>
      <c r="H68" s="11">
        <f>SUMIF(总接单!E:E,A68,总接单!BS:BS)</f>
        <v>117445.98</v>
      </c>
      <c r="I68" s="11">
        <f>SUMIF(KIK总排期!H:H,A68,KIK总排期!AA:AA)</f>
        <v>0</v>
      </c>
      <c r="J68" s="11">
        <f ca="1">SUMIF(RRM总排期!H:HA,A68,RRM总排期!AA:AA)</f>
        <v>0</v>
      </c>
      <c r="K68" s="11">
        <f>SUMIF(KIK已走货!H:H,A68,KIK已走货!AA:AA)</f>
        <v>117445.98</v>
      </c>
      <c r="L68" s="11">
        <f>SUMIF(RRM已走货!H:H,A68,RRM已走货!AA:AA)</f>
        <v>0</v>
      </c>
      <c r="M68" s="12">
        <f ca="1" t="shared" si="3"/>
        <v>0</v>
      </c>
    </row>
    <row r="69" customHeight="1" spans="1:13">
      <c r="A69" s="11" t="s">
        <v>134</v>
      </c>
      <c r="B69" s="11">
        <f ca="1">SUMIF(总接单!E:EH,A69,总接单!F:F)</f>
        <v>10008</v>
      </c>
      <c r="C69" s="11">
        <f>SUMIF(KIK总排期!H:H,A69,KIK总排期!J:J)</f>
        <v>0</v>
      </c>
      <c r="D69" s="11">
        <f>SUMIF(RRM总排期!H:H,A69,RRM总排期!J:J)</f>
        <v>0</v>
      </c>
      <c r="E69" s="11">
        <f>SUMIF(KIK已走货!H:H,A69,KIK已走货!J:J)</f>
        <v>10008</v>
      </c>
      <c r="F69" s="11">
        <f>SUMIF(RRM已走货!H:H,A69,RRM已走货!J:J)</f>
        <v>0</v>
      </c>
      <c r="G69" s="12">
        <f ca="1" t="shared" si="2"/>
        <v>0</v>
      </c>
      <c r="H69" s="11">
        <f>SUMIF(总接单!E:E,A69,总接单!BS:BS)</f>
        <v>68254.56</v>
      </c>
      <c r="I69" s="11">
        <f>SUMIF(KIK总排期!H:H,A69,KIK总排期!AA:AA)</f>
        <v>0</v>
      </c>
      <c r="J69" s="11">
        <f ca="1">SUMIF(RRM总排期!H:HA,A69,RRM总排期!AA:AA)</f>
        <v>0</v>
      </c>
      <c r="K69" s="11">
        <f>SUMIF(KIK已走货!H:H,A69,KIK已走货!AA:AA)</f>
        <v>68254.56</v>
      </c>
      <c r="L69" s="11">
        <f>SUMIF(RRM已走货!H:H,A69,RRM已走货!AA:AA)</f>
        <v>0</v>
      </c>
      <c r="M69" s="12">
        <f ca="1" t="shared" si="3"/>
        <v>0</v>
      </c>
    </row>
    <row r="70" customHeight="1" spans="1:13">
      <c r="A70" s="11" t="s">
        <v>185</v>
      </c>
      <c r="B70" s="11">
        <f ca="1">SUMIF(总接单!E:EH,A70,总接单!F:F)</f>
        <v>31696</v>
      </c>
      <c r="C70" s="11">
        <f>SUMIF(KIK总排期!H:H,A70,KIK总排期!J:J)</f>
        <v>0</v>
      </c>
      <c r="D70" s="11">
        <f>SUMIF(RRM总排期!H:H,A70,RRM总排期!J:J)</f>
        <v>20582</v>
      </c>
      <c r="E70" s="11">
        <f>SUMIF(KIK已走货!H:H,A70,KIK已走货!J:J)</f>
        <v>0</v>
      </c>
      <c r="F70" s="11">
        <f>SUMIF(RRM已走货!H:H,A70,RRM已走货!J:J)</f>
        <v>0</v>
      </c>
      <c r="G70" s="12">
        <f ca="1" t="shared" si="2"/>
        <v>11114</v>
      </c>
      <c r="H70" s="11">
        <f>SUMIF(总接单!E:E,A70,总接单!BS:BS)</f>
        <v>2802979.08</v>
      </c>
      <c r="I70" s="11">
        <f>SUMIF(KIK总排期!H:H,A70,KIK总排期!AA:AA)</f>
        <v>0</v>
      </c>
      <c r="J70" s="11">
        <f ca="1">SUMIF(RRM总排期!H:HA,A70,RRM总排期!AA:AA)</f>
        <v>2802979.08</v>
      </c>
      <c r="K70" s="11">
        <f>SUMIF(KIK已走货!H:H,A70,KIK已走货!AA:AA)</f>
        <v>0</v>
      </c>
      <c r="L70" s="11">
        <f>SUMIF(RRM已走货!H:H,A70,RRM已走货!AA:AA)</f>
        <v>0</v>
      </c>
      <c r="M70" s="12">
        <f ca="1" t="shared" si="3"/>
        <v>0</v>
      </c>
    </row>
    <row r="71" customHeight="1" spans="1:13">
      <c r="A71" s="11" t="s">
        <v>314</v>
      </c>
      <c r="B71" s="11">
        <f ca="1">SUMIF(总接单!E:EH,A71,总接单!F:F)</f>
        <v>4110</v>
      </c>
      <c r="C71" s="11">
        <f>SUMIF(KIK总排期!H:H,A71,KIK总排期!J:J)</f>
        <v>0</v>
      </c>
      <c r="D71" s="11">
        <f>SUMIF(RRM总排期!H:H,A71,RRM总排期!J:J)</f>
        <v>4110</v>
      </c>
      <c r="E71" s="11">
        <f>SUMIF(KIK已走货!H:H,A71,KIK已走货!J:J)</f>
        <v>0</v>
      </c>
      <c r="F71" s="11">
        <f>SUMIF(RRM已走货!H:H,A71,RRM已走货!J:J)</f>
        <v>0</v>
      </c>
      <c r="G71" s="12">
        <f ca="1" t="shared" si="2"/>
        <v>0</v>
      </c>
      <c r="H71" s="11">
        <f>SUMIF(总接单!E:E,A71,总接单!BS:BS)</f>
        <v>826890.9</v>
      </c>
      <c r="I71" s="11">
        <f>SUMIF(KIK总排期!H:H,A71,KIK总排期!AA:AA)</f>
        <v>0</v>
      </c>
      <c r="J71" s="11">
        <f ca="1">SUMIF(RRM总排期!H:HA,A71,RRM总排期!AA:AA)</f>
        <v>826890.9</v>
      </c>
      <c r="K71" s="11">
        <f>SUMIF(KIK已走货!H:H,A71,KIK已走货!AA:AA)</f>
        <v>0</v>
      </c>
      <c r="L71" s="11">
        <f>SUMIF(RRM已走货!H:H,A71,RRM已走货!AA:AA)</f>
        <v>0</v>
      </c>
      <c r="M71" s="12">
        <f ca="1" t="shared" si="3"/>
        <v>0</v>
      </c>
    </row>
    <row r="72" customHeight="1" spans="1:13">
      <c r="A72" s="11" t="s">
        <v>189</v>
      </c>
      <c r="B72" s="11">
        <f ca="1">SUMIF(总接单!E:EH,A72,总接单!F:F)</f>
        <v>8</v>
      </c>
      <c r="C72" s="11">
        <f>SUMIF(KIK总排期!H:H,A72,KIK总排期!J:J)</f>
        <v>0</v>
      </c>
      <c r="D72" s="11">
        <f>SUMIF(RRM总排期!H:H,A72,RRM总排期!J:J)</f>
        <v>0</v>
      </c>
      <c r="E72" s="11">
        <f>SUMIF(KIK已走货!H:H,A72,KIK已走货!J:J)</f>
        <v>8</v>
      </c>
      <c r="F72" s="11">
        <f>SUMIF(RRM已走货!H:H,A72,RRM已走货!J:J)</f>
        <v>0</v>
      </c>
      <c r="G72" s="12">
        <f ca="1" t="shared" si="2"/>
        <v>0</v>
      </c>
      <c r="H72" s="11">
        <f>SUMIF(总接单!E:E,A72,总接单!BS:BS)</f>
        <v>243.43</v>
      </c>
      <c r="I72" s="11">
        <f>SUMIF(KIK总排期!H:H,A72,KIK总排期!AA:AA)</f>
        <v>0</v>
      </c>
      <c r="J72" s="11">
        <f ca="1">SUMIF(RRM总排期!H:HA,A72,RRM总排期!AA:AA)</f>
        <v>0</v>
      </c>
      <c r="K72" s="11">
        <f>SUMIF(KIK已走货!H:H,A72,KIK已走货!AA:AA)</f>
        <v>243.43</v>
      </c>
      <c r="L72" s="11">
        <f>SUMIF(RRM已走货!H:H,A72,RRM已走货!AA:AA)</f>
        <v>0</v>
      </c>
      <c r="M72" s="12">
        <f ca="1" t="shared" si="3"/>
        <v>0</v>
      </c>
    </row>
    <row r="73" customHeight="1" spans="1:13">
      <c r="A73" s="11" t="s">
        <v>148</v>
      </c>
      <c r="B73" s="11">
        <f ca="1">SUMIF(总接单!E:EH,A73,总接单!F:F)</f>
        <v>5011</v>
      </c>
      <c r="C73" s="11">
        <f>SUMIF(KIK总排期!H:H,A73,KIK总排期!J:J)</f>
        <v>0</v>
      </c>
      <c r="D73" s="11">
        <f>SUMIF(RRM总排期!H:H,A73,RRM总排期!J:J)</f>
        <v>0</v>
      </c>
      <c r="E73" s="11">
        <f>SUMIF(KIK已走货!H:H,A73,KIK已走货!J:J)</f>
        <v>5011</v>
      </c>
      <c r="F73" s="11">
        <f>SUMIF(RRM已走货!H:H,A73,RRM已走货!J:J)</f>
        <v>0</v>
      </c>
      <c r="G73" s="12">
        <f ca="1" t="shared" si="2"/>
        <v>0</v>
      </c>
      <c r="H73" s="11">
        <f>SUMIF(总接单!E:E,A73,总接单!BS:BS)</f>
        <v>326423.96</v>
      </c>
      <c r="I73" s="11">
        <f>SUMIF(KIK总排期!H:H,A73,KIK总排期!AA:AA)</f>
        <v>0</v>
      </c>
      <c r="J73" s="11">
        <f ca="1">SUMIF(RRM总排期!H:HA,A73,RRM总排期!AA:AA)</f>
        <v>0</v>
      </c>
      <c r="K73" s="11">
        <f>SUMIF(KIK已走货!H:H,A73,KIK已走货!AA:AA)</f>
        <v>326423.96</v>
      </c>
      <c r="L73" s="11">
        <f>SUMIF(RRM已走货!H:H,A73,RRM已走货!AA:AA)</f>
        <v>0</v>
      </c>
      <c r="M73" s="12">
        <f ca="1" t="shared" si="3"/>
        <v>0</v>
      </c>
    </row>
    <row r="74" customHeight="1" spans="1:13">
      <c r="A74" s="11" t="s">
        <v>144</v>
      </c>
      <c r="B74" s="11">
        <f ca="1">SUMIF(总接单!E:EH,A74,总接单!F:F)</f>
        <v>33552</v>
      </c>
      <c r="C74" s="11">
        <f>SUMIF(KIK总排期!H:H,A74,KIK总排期!J:J)</f>
        <v>11514</v>
      </c>
      <c r="D74" s="11">
        <f>SUMIF(RRM总排期!H:H,A74,RRM总排期!J:J)</f>
        <v>0</v>
      </c>
      <c r="E74" s="11">
        <f>SUMIF(KIK已走货!H:H,A74,KIK已走货!J:J)</f>
        <v>22038</v>
      </c>
      <c r="F74" s="11">
        <f>SUMIF(RRM已走货!H:H,A74,RRM已走货!J:J)</f>
        <v>0</v>
      </c>
      <c r="G74" s="12">
        <f ca="1" t="shared" si="2"/>
        <v>0</v>
      </c>
      <c r="H74" s="11">
        <f>SUMIF(总接单!E:E,A74,总接单!BS:BS)</f>
        <v>1029438.71</v>
      </c>
      <c r="I74" s="11">
        <f>SUMIF(KIK总排期!H:H,A74,KIK总排期!AA:AA)</f>
        <v>353275.46</v>
      </c>
      <c r="J74" s="11">
        <f ca="1">SUMIF(RRM总排期!H:HA,A74,RRM总排期!AA:AA)</f>
        <v>0</v>
      </c>
      <c r="K74" s="11">
        <f>SUMIF(KIK已走货!H:H,A74,KIK已走货!AA:AA)</f>
        <v>676163.25</v>
      </c>
      <c r="L74" s="11">
        <f>SUMIF(RRM已走货!H:H,A74,RRM已走货!AA:AA)</f>
        <v>0</v>
      </c>
      <c r="M74" s="12">
        <f ca="1" t="shared" si="3"/>
        <v>0</v>
      </c>
    </row>
    <row r="75" customHeight="1" spans="1:13">
      <c r="A75" s="11" t="s">
        <v>102</v>
      </c>
      <c r="B75" s="11">
        <f ca="1">SUMIF(总接单!E:EH,A75,总接单!F:F)</f>
        <v>25020</v>
      </c>
      <c r="C75" s="11">
        <f>SUMIF(KIK总排期!H:H,A75,KIK总排期!J:J)</f>
        <v>5004</v>
      </c>
      <c r="D75" s="11">
        <f>SUMIF(RRM总排期!H:H,A75,RRM总排期!J:J)</f>
        <v>0</v>
      </c>
      <c r="E75" s="11">
        <f>SUMIF(KIK已走货!H:H,A75,KIK已走货!J:J)</f>
        <v>20016</v>
      </c>
      <c r="F75" s="11">
        <f>SUMIF(RRM已走货!H:H,A75,RRM已走货!J:J)</f>
        <v>0</v>
      </c>
      <c r="G75" s="12">
        <f ca="1" t="shared" si="2"/>
        <v>0</v>
      </c>
      <c r="H75" s="11">
        <f>SUMIF(总接单!E:E,A75,总接单!BS:BS)</f>
        <v>219694.62</v>
      </c>
      <c r="I75" s="11">
        <f>SUMIF(KIK总排期!H:H,A75,KIK总排期!AA:AA)</f>
        <v>43938.94</v>
      </c>
      <c r="J75" s="11">
        <f ca="1">SUMIF(RRM总排期!H:HA,A75,RRM总排期!AA:AA)</f>
        <v>0</v>
      </c>
      <c r="K75" s="11">
        <f>SUMIF(KIK已走货!H:H,A75,KIK已走货!AA:AA)</f>
        <v>175755.68</v>
      </c>
      <c r="L75" s="11">
        <f>SUMIF(RRM已走货!H:H,A75,RRM已走货!AA:AA)</f>
        <v>0</v>
      </c>
      <c r="M75" s="12">
        <f ca="1" t="shared" si="3"/>
        <v>0</v>
      </c>
    </row>
    <row r="76" customHeight="1" spans="1:13">
      <c r="A76" s="11" t="s">
        <v>103</v>
      </c>
      <c r="B76" s="11">
        <f ca="1">SUMIF(总接单!E:EH,A76,总接单!F:F)</f>
        <v>5004</v>
      </c>
      <c r="C76" s="11">
        <f>SUMIF(KIK总排期!H:H,A76,KIK总排期!J:J)</f>
        <v>0</v>
      </c>
      <c r="D76" s="11">
        <f>SUMIF(RRM总排期!H:H,A76,RRM总排期!J:J)</f>
        <v>0</v>
      </c>
      <c r="E76" s="11">
        <f>SUMIF(KIK已走货!H:H,A76,KIK已走货!J:J)</f>
        <v>5004</v>
      </c>
      <c r="F76" s="11">
        <f>SUMIF(RRM已走货!H:H,A76,RRM已走货!J:J)</f>
        <v>0</v>
      </c>
      <c r="G76" s="12">
        <f ca="1" t="shared" si="2"/>
        <v>0</v>
      </c>
      <c r="H76" s="11">
        <f>SUMIF(总接单!E:E,A76,总接单!BS:BS)</f>
        <v>15473.65</v>
      </c>
      <c r="I76" s="11">
        <f>SUMIF(KIK总排期!H:H,A76,KIK总排期!AA:AA)</f>
        <v>0</v>
      </c>
      <c r="J76" s="11">
        <f ca="1">SUMIF(RRM总排期!H:HA,A76,RRM总排期!AA:AA)</f>
        <v>0</v>
      </c>
      <c r="K76" s="11">
        <f>SUMIF(KIK已走货!H:H,A76,KIK已走货!AA:AA)</f>
        <v>15473.65</v>
      </c>
      <c r="L76" s="11">
        <f>SUMIF(RRM已走货!H:H,A76,RRM已走货!AA:AA)</f>
        <v>0</v>
      </c>
      <c r="M76" s="12">
        <f ca="1" t="shared" si="3"/>
        <v>0</v>
      </c>
    </row>
    <row r="77" customHeight="1" spans="1:13">
      <c r="A77" s="11" t="s">
        <v>129</v>
      </c>
      <c r="B77" s="11">
        <f ca="1">SUMIF(总接单!E:EH,A77,总接单!F:F)</f>
        <v>50076</v>
      </c>
      <c r="C77" s="11">
        <f>SUMIF(KIK总排期!H:H,A77,KIK总排期!J:J)</f>
        <v>15048</v>
      </c>
      <c r="D77" s="11">
        <f>SUMIF(RRM总排期!H:H,A77,RRM总排期!J:J)</f>
        <v>0</v>
      </c>
      <c r="E77" s="11">
        <f>SUMIF(KIK已走货!H:H,A77,KIK已走货!J:J)</f>
        <v>35028</v>
      </c>
      <c r="F77" s="11">
        <f>SUMIF(RRM已走货!H:H,A77,RRM已走货!J:J)</f>
        <v>0</v>
      </c>
      <c r="G77" s="12">
        <f ca="1" t="shared" si="2"/>
        <v>0</v>
      </c>
      <c r="H77" s="11">
        <f>SUMIF(总接单!E:E,A77,总接单!BS:BS)</f>
        <v>125740.82</v>
      </c>
      <c r="I77" s="11">
        <f>SUMIF(KIK总排期!H:H,A77,KIK总排期!AA:AA)</f>
        <v>37785.52</v>
      </c>
      <c r="J77" s="11">
        <f ca="1">SUMIF(RRM总排期!H:HA,A77,RRM总排期!AA:AA)</f>
        <v>0</v>
      </c>
      <c r="K77" s="11">
        <f>SUMIF(KIK已走货!H:H,A77,KIK已走货!AA:AA)</f>
        <v>87955.3</v>
      </c>
      <c r="L77" s="11">
        <f>SUMIF(RRM已走货!H:H,A77,RRM已走货!AA:AA)</f>
        <v>0</v>
      </c>
      <c r="M77" s="12">
        <f ca="1" t="shared" si="3"/>
        <v>0</v>
      </c>
    </row>
    <row r="78" customHeight="1" spans="1:13">
      <c r="A78" s="11" t="s">
        <v>88</v>
      </c>
      <c r="B78" s="11">
        <f ca="1">SUMIF(总接单!E:EH,A78,总接单!F:F)</f>
        <v>135090</v>
      </c>
      <c r="C78" s="11">
        <f>SUMIF(KIK总排期!H:H,A78,KIK总排期!J:J)</f>
        <v>55026</v>
      </c>
      <c r="D78" s="11">
        <f>SUMIF(RRM总排期!H:H,A78,RRM总排期!J:J)</f>
        <v>0</v>
      </c>
      <c r="E78" s="11">
        <f>SUMIF(KIK已走货!H:H,A78,KIK已走货!J:J)</f>
        <v>80064</v>
      </c>
      <c r="F78" s="11">
        <f>SUMIF(RRM已走货!H:H,A78,RRM已走货!J:J)</f>
        <v>0</v>
      </c>
      <c r="G78" s="12">
        <f ca="1" t="shared" si="2"/>
        <v>0</v>
      </c>
      <c r="H78" s="11">
        <f>SUMIF(总接单!E:E,A78,总接单!BS:BS)</f>
        <v>1008210.4</v>
      </c>
      <c r="I78" s="11">
        <f>SUMIF(KIK总排期!H:H,A78,KIK总排期!AA:AA)</f>
        <v>410672.82</v>
      </c>
      <c r="J78" s="11">
        <f ca="1">SUMIF(RRM总排期!H:HA,A78,RRM总排期!AA:AA)</f>
        <v>0</v>
      </c>
      <c r="K78" s="11">
        <f>SUMIF(KIK已走货!H:H,A78,KIK已走货!AA:AA)</f>
        <v>597537.58</v>
      </c>
      <c r="L78" s="11">
        <f>SUMIF(RRM已走货!H:H,A78,RRM已走货!AA:AA)</f>
        <v>0</v>
      </c>
      <c r="M78" s="12">
        <f ca="1" t="shared" si="3"/>
        <v>0</v>
      </c>
    </row>
    <row r="79" customHeight="1" spans="1:13">
      <c r="A79" s="11" t="s">
        <v>1008</v>
      </c>
      <c r="B79" s="11">
        <f ca="1">SUMIF(总接单!E:EH,A79,总接单!F:F)</f>
        <v>25996</v>
      </c>
      <c r="C79" s="11">
        <f>SUMIF(KIK总排期!H:H,A79,KIK总排期!J:J)</f>
        <v>0</v>
      </c>
      <c r="D79" s="11">
        <f>SUMIF(RRM总排期!H:H,A79,RRM总排期!J:J)</f>
        <v>0</v>
      </c>
      <c r="E79" s="11">
        <f>SUMIF(KIK已走货!H:H,A79,KIK已走货!J:J)</f>
        <v>0</v>
      </c>
      <c r="F79" s="11">
        <f>SUMIF(RRM已走货!H:H,A79,RRM已走货!J:J)</f>
        <v>0</v>
      </c>
      <c r="G79" s="12">
        <f ca="1" t="shared" si="2"/>
        <v>25996</v>
      </c>
      <c r="H79" s="11">
        <f>SUMIF(总接单!E:E,A79,总接单!BS:BS)</f>
        <v>0</v>
      </c>
      <c r="I79" s="11">
        <f>SUMIF(KIK总排期!H:H,A79,KIK总排期!AA:AA)</f>
        <v>0</v>
      </c>
      <c r="J79" s="11">
        <f ca="1">SUMIF(RRM总排期!H:HA,A79,RRM总排期!AA:AA)</f>
        <v>0</v>
      </c>
      <c r="K79" s="11">
        <f>SUMIF(KIK已走货!H:H,A79,KIK已走货!AA:AA)</f>
        <v>0</v>
      </c>
      <c r="L79" s="11">
        <f>SUMIF(RRM已走货!H:H,A79,RRM已走货!AA:AA)</f>
        <v>0</v>
      </c>
      <c r="M79" s="12">
        <f ca="1" t="shared" si="3"/>
        <v>0</v>
      </c>
    </row>
    <row r="83" s="10" customFormat="1" customHeight="1" spans="1:13">
      <c r="A83" s="10" t="s">
        <v>1009</v>
      </c>
      <c r="B83" s="10">
        <f ca="1" t="shared" ref="B83:M83" si="4">SUM(B2:B82)</f>
        <v>1391232</v>
      </c>
      <c r="C83" s="10">
        <f t="shared" si="4"/>
        <v>324388</v>
      </c>
      <c r="D83" s="10">
        <f t="shared" si="4"/>
        <v>141820</v>
      </c>
      <c r="E83" s="10">
        <f t="shared" si="4"/>
        <v>887914</v>
      </c>
      <c r="F83" s="10">
        <f t="shared" si="4"/>
        <v>0</v>
      </c>
      <c r="G83" s="12">
        <f ca="1" t="shared" si="4"/>
        <v>37110</v>
      </c>
      <c r="H83" s="10">
        <f t="shared" si="4"/>
        <v>40218830.33</v>
      </c>
      <c r="I83" s="10">
        <f t="shared" si="4"/>
        <v>5640333.33</v>
      </c>
      <c r="J83" s="10">
        <f ca="1" t="shared" si="4"/>
        <v>6597098.23</v>
      </c>
      <c r="K83" s="10">
        <f t="shared" si="4"/>
        <v>27981398.69</v>
      </c>
      <c r="L83" s="10">
        <f t="shared" si="4"/>
        <v>0</v>
      </c>
      <c r="M83" s="12">
        <f ca="1" t="shared" si="4"/>
        <v>0</v>
      </c>
    </row>
    <row r="84" customHeight="1" spans="1:13">
      <c r="A84" s="14"/>
    </row>
    <row r="85" customHeight="1" spans="1:13">
      <c r="A85" s="14"/>
    </row>
    <row r="86" customHeight="1" spans="1:13">
      <c r="A86" s="14"/>
    </row>
    <row r="87" customHeight="1" spans="1:13">
      <c r="A87" s="14"/>
    </row>
    <row r="88" customHeight="1" spans="1:13">
      <c r="A88" s="14"/>
    </row>
    <row r="89" customHeight="1" spans="1:13">
      <c r="A89" s="14"/>
    </row>
    <row r="90" customHeight="1" spans="1:13">
      <c r="A90" s="14"/>
    </row>
    <row r="91" customHeight="1" spans="1:13">
      <c r="A91" s="14"/>
    </row>
    <row r="92" customHeight="1" spans="1:13">
      <c r="A92" s="14"/>
    </row>
    <row r="93" customHeight="1" spans="1:13">
      <c r="A93" s="14"/>
    </row>
    <row r="94" customHeight="1" spans="1:13">
      <c r="A94" s="14"/>
    </row>
    <row r="95" customHeight="1" spans="1:13">
      <c r="A95" s="14"/>
    </row>
    <row r="96" customHeight="1" spans="1:13">
      <c r="A96" s="14"/>
    </row>
    <row r="97" customHeight="1" spans="1:1">
      <c r="A97" s="14"/>
    </row>
    <row r="98" customHeight="1" spans="1:1">
      <c r="A98" s="14"/>
    </row>
    <row r="99" customHeight="1" spans="1:1">
      <c r="A99" s="14"/>
    </row>
    <row r="100" customHeight="1" spans="1:1">
      <c r="A100" s="14"/>
    </row>
    <row r="101" customHeight="1" spans="1:1">
      <c r="A101" s="14"/>
    </row>
    <row r="102" customHeight="1" spans="1:1">
      <c r="A102" s="14"/>
    </row>
    <row r="103" customHeight="1" spans="1:1">
      <c r="A103" s="14"/>
    </row>
    <row r="104" customHeight="1" spans="1:1">
      <c r="A104" s="14"/>
    </row>
    <row r="105" customHeight="1" spans="1:1">
      <c r="A105" s="14"/>
    </row>
    <row r="106" customHeight="1" spans="1:1">
      <c r="A106" s="14"/>
    </row>
    <row r="107" customHeight="1" spans="1:1">
      <c r="A107" s="14"/>
    </row>
    <row r="108" customHeight="1" spans="1:1">
      <c r="A108" s="14"/>
    </row>
    <row r="109" customHeight="1" spans="1:1">
      <c r="A109" s="14"/>
    </row>
    <row r="110" customHeight="1" spans="1:1">
      <c r="A110" s="14"/>
    </row>
    <row r="111" customHeight="1" spans="1:1">
      <c r="A111" s="14"/>
    </row>
    <row r="112" customHeight="1" spans="1:1">
      <c r="A112" s="14"/>
    </row>
    <row r="113" customHeight="1" spans="1:1">
      <c r="A113" s="14"/>
    </row>
    <row r="114" customHeight="1" spans="1:1">
      <c r="A114" s="14"/>
    </row>
    <row r="115" customHeight="1" spans="1:1">
      <c r="A115" s="14"/>
    </row>
    <row r="116" customHeight="1" spans="1:1">
      <c r="A116" s="14"/>
    </row>
    <row r="117" customHeight="1" spans="1:1">
      <c r="A117" s="14"/>
    </row>
    <row r="118" customHeight="1" spans="1:1">
      <c r="A118" s="14"/>
    </row>
    <row r="119" customHeight="1" spans="1:1">
      <c r="A119" s="14"/>
    </row>
    <row r="120" customHeight="1" spans="1:1">
      <c r="A120" s="14"/>
    </row>
    <row r="121" customHeight="1" spans="1:1">
      <c r="A121" s="14"/>
    </row>
    <row r="122" customHeight="1" spans="1:1">
      <c r="A122" s="14"/>
    </row>
    <row r="123" customHeight="1" spans="1:1">
      <c r="A123" s="14"/>
    </row>
    <row r="124" customHeight="1" spans="1:1">
      <c r="A124" s="14"/>
    </row>
    <row r="125" customHeight="1" spans="1:1">
      <c r="A125" s="14"/>
    </row>
    <row r="126" customHeight="1" spans="1:1">
      <c r="A126" s="14"/>
    </row>
    <row r="127" customHeight="1" spans="1:1">
      <c r="A127" s="14"/>
    </row>
    <row r="128" customHeight="1" spans="1:1">
      <c r="A128" s="14"/>
    </row>
    <row r="129" customHeight="1" spans="1:1">
      <c r="A129" s="14"/>
    </row>
    <row r="130" customHeight="1" spans="1:1">
      <c r="A130" s="14"/>
    </row>
    <row r="131" customHeight="1" spans="1:1">
      <c r="A131" s="14"/>
    </row>
    <row r="132" customHeight="1" spans="1:1">
      <c r="A132" s="14"/>
    </row>
    <row r="133" customHeight="1" spans="1:1">
      <c r="A133" s="14"/>
    </row>
    <row r="134" customHeight="1" spans="1:1">
      <c r="A134" s="14"/>
    </row>
    <row r="135" customHeight="1" spans="1:1">
      <c r="A135" s="14"/>
    </row>
    <row r="136" customHeight="1" spans="1:1">
      <c r="A136" s="14"/>
    </row>
    <row r="137" customHeight="1" spans="1:1">
      <c r="A137" s="14"/>
    </row>
    <row r="138" customHeight="1" spans="1:1">
      <c r="A138" s="14"/>
    </row>
    <row r="139" customHeight="1" spans="1:1">
      <c r="A139" s="14"/>
    </row>
    <row r="140" customHeight="1" spans="1:1">
      <c r="A140" s="14"/>
    </row>
    <row r="141" customHeight="1" spans="1:1">
      <c r="A141" s="14"/>
    </row>
    <row r="142" customHeight="1" spans="1:1">
      <c r="A142" s="14"/>
    </row>
    <row r="143" customHeight="1" spans="1:1">
      <c r="A143" s="14"/>
    </row>
    <row r="144" customHeight="1" spans="1:1">
      <c r="A144" s="14"/>
    </row>
    <row r="145" customHeight="1" spans="1:1">
      <c r="A145" s="14"/>
    </row>
    <row r="146" customHeight="1" spans="1:1">
      <c r="A146" s="14"/>
    </row>
    <row r="147" customHeight="1" spans="1:1">
      <c r="A147" s="14"/>
    </row>
    <row r="148" customHeight="1" spans="1:1">
      <c r="A148" s="14"/>
    </row>
    <row r="149" customHeight="1" spans="1:1">
      <c r="A149" s="14"/>
    </row>
    <row r="150" customHeight="1" spans="1:1">
      <c r="A150" s="14"/>
    </row>
    <row r="151" customHeight="1" spans="1:1">
      <c r="A151" s="14"/>
    </row>
    <row r="152" customHeight="1" spans="1:1">
      <c r="A152" s="14"/>
    </row>
    <row r="153" customHeight="1" spans="1:1">
      <c r="A153" s="14"/>
    </row>
    <row r="154" customHeight="1" spans="1:1">
      <c r="A154" s="14"/>
    </row>
    <row r="155" customHeight="1" spans="1:1">
      <c r="A155" s="14"/>
    </row>
    <row r="156" customHeight="1" spans="1:1">
      <c r="A156" s="14"/>
    </row>
    <row r="157" customHeight="1" spans="1:1">
      <c r="A157" s="14"/>
    </row>
    <row r="158" customHeight="1" spans="1:1">
      <c r="A158" s="14"/>
    </row>
    <row r="159" customHeight="1" spans="1:1">
      <c r="A159" s="14"/>
    </row>
    <row r="160" customHeight="1" spans="1:1">
      <c r="A160" s="14"/>
    </row>
    <row r="161" customHeight="1" spans="1:1">
      <c r="A161" s="14"/>
    </row>
    <row r="162" customHeight="1" spans="1:1">
      <c r="A162" s="14"/>
    </row>
    <row r="163" customHeight="1" spans="1:1">
      <c r="A163" s="14"/>
    </row>
    <row r="164" customHeight="1" spans="1:1">
      <c r="A164" s="14"/>
    </row>
    <row r="165" customHeight="1" spans="1:1">
      <c r="A165" s="14"/>
    </row>
    <row r="166" customHeight="1" spans="1:1">
      <c r="A166" s="14"/>
    </row>
    <row r="167" customHeight="1" spans="1:1">
      <c r="A167" s="14"/>
    </row>
    <row r="168" customHeight="1" spans="1:1">
      <c r="A168" s="14"/>
    </row>
    <row r="169" customHeight="1" spans="1:1">
      <c r="A169" s="14"/>
    </row>
    <row r="170" customHeight="1" spans="1:1">
      <c r="A170" s="14"/>
    </row>
    <row r="171" customHeight="1" spans="1:1">
      <c r="A171" s="14"/>
    </row>
    <row r="172" customHeight="1" spans="1:1">
      <c r="A172" s="14"/>
    </row>
    <row r="173" customHeight="1" spans="1:1">
      <c r="A173" s="14"/>
    </row>
    <row r="174" customHeight="1" spans="1:1">
      <c r="A174" s="14"/>
    </row>
    <row r="175" customHeight="1" spans="1:1">
      <c r="A175" s="14"/>
    </row>
    <row r="176" customHeight="1" spans="1:1">
      <c r="A176" s="14"/>
    </row>
    <row r="177" customHeight="1" spans="1:1">
      <c r="A177" s="14"/>
    </row>
    <row r="178" customHeight="1" spans="1:1">
      <c r="A178" s="14"/>
    </row>
    <row r="179" customHeight="1" spans="1:1">
      <c r="A179" s="14"/>
    </row>
    <row r="180" customHeight="1" spans="1:1">
      <c r="A180" s="14"/>
    </row>
    <row r="181" customHeight="1" spans="1:1">
      <c r="A181" s="14"/>
    </row>
    <row r="182" customHeight="1" spans="1:1">
      <c r="A182" s="14"/>
    </row>
    <row r="183" customHeight="1" spans="1:1">
      <c r="A183" s="14"/>
    </row>
    <row r="184" customHeight="1" spans="1:1">
      <c r="A184" s="14"/>
    </row>
    <row r="185" customHeight="1" spans="1:1">
      <c r="A185" s="14"/>
    </row>
    <row r="186" customHeight="1" spans="1:1">
      <c r="A186" s="14"/>
    </row>
    <row r="187" customHeight="1" spans="1:1">
      <c r="A187" s="14"/>
    </row>
    <row r="188" customHeight="1" spans="1:1">
      <c r="A188" s="14"/>
    </row>
    <row r="189" customHeight="1" spans="1:1">
      <c r="A189" s="14"/>
    </row>
    <row r="190" customHeight="1" spans="1:1">
      <c r="A190" s="14"/>
    </row>
    <row r="191" customHeight="1" spans="1:1">
      <c r="A191" s="14"/>
    </row>
    <row r="192" customHeight="1" spans="1:1">
      <c r="A192" s="14"/>
    </row>
    <row r="193" customHeight="1" spans="1:1">
      <c r="A193" s="14"/>
    </row>
    <row r="194" customHeight="1" spans="1:1">
      <c r="A194" s="14"/>
    </row>
    <row r="195" customHeight="1" spans="1:1">
      <c r="A195" s="14"/>
    </row>
    <row r="196" customHeight="1" spans="1:1">
      <c r="A196" s="14"/>
    </row>
    <row r="197" customHeight="1" spans="1:1">
      <c r="A197" s="14"/>
    </row>
    <row r="198" customHeight="1" spans="1:1">
      <c r="A198" s="14"/>
    </row>
    <row r="199" customHeight="1" spans="1:1">
      <c r="A199" s="14"/>
    </row>
    <row r="200" customHeight="1" spans="1:1">
      <c r="A200" s="14"/>
    </row>
    <row r="201" customHeight="1" spans="1:1">
      <c r="A201" s="14"/>
    </row>
    <row r="202" customHeight="1" spans="1:1">
      <c r="A202" s="14"/>
    </row>
    <row r="203" customHeight="1" spans="1:1">
      <c r="A203" s="14"/>
    </row>
    <row r="204" customHeight="1" spans="1:1">
      <c r="A204" s="14"/>
    </row>
    <row r="205" customHeight="1" spans="1:1">
      <c r="A205" s="14"/>
    </row>
    <row r="206" customHeight="1" spans="1:1">
      <c r="A206" s="14"/>
    </row>
    <row r="207" customHeight="1" spans="1:1">
      <c r="A207" s="14"/>
    </row>
    <row r="208" customHeight="1" spans="1:1">
      <c r="A208" s="14"/>
    </row>
    <row r="209" customHeight="1" spans="1:1">
      <c r="A209" s="14"/>
    </row>
    <row r="210" customHeight="1" spans="1:1">
      <c r="A210" s="14"/>
    </row>
    <row r="211" customHeight="1" spans="1:1">
      <c r="A211" s="14"/>
    </row>
    <row r="212" customHeight="1" spans="1:1">
      <c r="A212" s="14"/>
    </row>
    <row r="213" customHeight="1" spans="1:1">
      <c r="A213" s="14"/>
    </row>
    <row r="214" customHeight="1" spans="1:1">
      <c r="A214" s="14"/>
    </row>
    <row r="215" customHeight="1" spans="1:1">
      <c r="A215" s="14"/>
    </row>
    <row r="216" customHeight="1" spans="1:1">
      <c r="A216" s="14"/>
    </row>
    <row r="217" customHeight="1" spans="1:1">
      <c r="A217" s="14"/>
    </row>
    <row r="218" customHeight="1" spans="1:1">
      <c r="A218" s="14"/>
    </row>
    <row r="219" customHeight="1" spans="1:1">
      <c r="A219" s="14"/>
    </row>
    <row r="220" customHeight="1" spans="1:1">
      <c r="A220" s="14"/>
    </row>
    <row r="221" customHeight="1" spans="1:1">
      <c r="A221" s="14"/>
    </row>
    <row r="222" customHeight="1" spans="1:1">
      <c r="A222" s="14"/>
    </row>
    <row r="223" customHeight="1" spans="1:1">
      <c r="A223" s="14"/>
    </row>
    <row r="224" customHeight="1" spans="1:1">
      <c r="A224" s="14"/>
    </row>
    <row r="225" customHeight="1" spans="1:1">
      <c r="A225" s="14"/>
    </row>
    <row r="226" customHeight="1" spans="1:1">
      <c r="A226" s="14"/>
    </row>
    <row r="227" customHeight="1" spans="1:1">
      <c r="A227" s="14"/>
    </row>
    <row r="228" customHeight="1" spans="1:1">
      <c r="A228" s="14"/>
    </row>
    <row r="229" customHeight="1" spans="1:1">
      <c r="A229" s="14"/>
    </row>
    <row r="230" customHeight="1" spans="1:1">
      <c r="A230" s="14"/>
    </row>
    <row r="231" customHeight="1" spans="1:1">
      <c r="A231" s="14"/>
    </row>
    <row r="232" customHeight="1" spans="1:1">
      <c r="A232" s="14"/>
    </row>
    <row r="233" customHeight="1" spans="1:1">
      <c r="A233" s="14"/>
    </row>
    <row r="234" customHeight="1" spans="1:1">
      <c r="A234" s="14"/>
    </row>
    <row r="235" customHeight="1" spans="1:1">
      <c r="A235" s="14"/>
    </row>
    <row r="236" customHeight="1" spans="1:1">
      <c r="A236" s="14"/>
    </row>
    <row r="237" customHeight="1" spans="1:1">
      <c r="A237" s="14"/>
    </row>
    <row r="238" customHeight="1" spans="1:1">
      <c r="A238" s="14"/>
    </row>
    <row r="239" customHeight="1" spans="1:1">
      <c r="A239" s="14"/>
    </row>
    <row r="240" customHeight="1" spans="1:1">
      <c r="A240" s="14"/>
    </row>
    <row r="241" customHeight="1" spans="1:1">
      <c r="A241" s="14"/>
    </row>
    <row r="242" customHeight="1" spans="1:1">
      <c r="A242" s="14"/>
    </row>
    <row r="243" customHeight="1" spans="1:1">
      <c r="A243" s="14"/>
    </row>
    <row r="244" customHeight="1" spans="1:1">
      <c r="A244" s="14"/>
    </row>
    <row r="245" customHeight="1" spans="1:1">
      <c r="A245" s="14"/>
    </row>
    <row r="246" customHeight="1" spans="1:1">
      <c r="A246" s="14"/>
    </row>
    <row r="247" customHeight="1" spans="1:1">
      <c r="A247" s="14"/>
    </row>
    <row r="248" customHeight="1" spans="1:1">
      <c r="A248" s="14"/>
    </row>
    <row r="249" customHeight="1" spans="1:1">
      <c r="A249" s="14"/>
    </row>
    <row r="250" customHeight="1" spans="1:1">
      <c r="A250" s="14"/>
    </row>
    <row r="251" customHeight="1" spans="1:1">
      <c r="A251" s="14"/>
    </row>
    <row r="252" customHeight="1" spans="1:1">
      <c r="A252" s="14"/>
    </row>
    <row r="253" customHeight="1" spans="1:1">
      <c r="A253" s="14"/>
    </row>
    <row r="254" customHeight="1" spans="1:1">
      <c r="A254" s="14"/>
    </row>
    <row r="255" customHeight="1" spans="1:1">
      <c r="A255" s="14"/>
    </row>
    <row r="256" customHeight="1" spans="1:1">
      <c r="A256" s="14"/>
    </row>
    <row r="257" customHeight="1" spans="1:1">
      <c r="A257" s="14"/>
    </row>
    <row r="258" customHeight="1" spans="1:1">
      <c r="A258" s="14"/>
    </row>
    <row r="259" customHeight="1" spans="1:1">
      <c r="A259" s="14"/>
    </row>
    <row r="260" customHeight="1" spans="1:1">
      <c r="A260" s="14"/>
    </row>
    <row r="261" customHeight="1" spans="1:1">
      <c r="A261" s="14"/>
    </row>
    <row r="262" customHeight="1" spans="1:1">
      <c r="A262" s="14"/>
    </row>
    <row r="263" customHeight="1" spans="1:1">
      <c r="A263" s="14"/>
    </row>
    <row r="264" customHeight="1" spans="1:1">
      <c r="A264" s="14"/>
    </row>
    <row r="265" customHeight="1" spans="1:1">
      <c r="A265" s="14"/>
    </row>
    <row r="266" customHeight="1" spans="1:1">
      <c r="A266" s="14"/>
    </row>
    <row r="267" customHeight="1" spans="1:1">
      <c r="A267" s="14"/>
    </row>
    <row r="268" customHeight="1" spans="1:1">
      <c r="A268" s="14"/>
    </row>
    <row r="269" customHeight="1" spans="1:1">
      <c r="A269" s="14"/>
    </row>
    <row r="270" customHeight="1" spans="1:1">
      <c r="A270" s="14"/>
    </row>
    <row r="271" customHeight="1" spans="1:1">
      <c r="A271" s="14"/>
    </row>
    <row r="272" customHeight="1" spans="1:1">
      <c r="A272" s="14"/>
    </row>
    <row r="273" customHeight="1" spans="1:1">
      <c r="A273" s="14"/>
    </row>
    <row r="274" customHeight="1" spans="1:1">
      <c r="A274" s="14"/>
    </row>
    <row r="275" customHeight="1" spans="1:1">
      <c r="A275" s="14"/>
    </row>
    <row r="276" customHeight="1" spans="1:1">
      <c r="A276" s="14"/>
    </row>
    <row r="277" customHeight="1" spans="1:1">
      <c r="A277" s="14"/>
    </row>
    <row r="278" customHeight="1" spans="1:1">
      <c r="A278" s="14"/>
    </row>
    <row r="279" customHeight="1" spans="1:1">
      <c r="A279" s="14"/>
    </row>
    <row r="280" customHeight="1" spans="1:1">
      <c r="A280" s="14"/>
    </row>
    <row r="281" customHeight="1" spans="1:1">
      <c r="A281" s="14"/>
    </row>
    <row r="282" customHeight="1" spans="1:1">
      <c r="A282" s="14"/>
    </row>
    <row r="283" customHeight="1" spans="1:1">
      <c r="A283" s="14"/>
    </row>
    <row r="284" customHeight="1" spans="1:1">
      <c r="A284" s="14"/>
    </row>
    <row r="285" customHeight="1" spans="1:1">
      <c r="A285" s="14"/>
    </row>
    <row r="286" customHeight="1" spans="1:1">
      <c r="A286" s="14"/>
    </row>
    <row r="287" customHeight="1" spans="1:1">
      <c r="A287" s="14"/>
    </row>
    <row r="288" customHeight="1" spans="1:1">
      <c r="A288" s="14"/>
    </row>
    <row r="289" customHeight="1" spans="1:1">
      <c r="A289" s="14"/>
    </row>
    <row r="290" customHeight="1" spans="1:1">
      <c r="A290" s="14"/>
    </row>
    <row r="291" customHeight="1" spans="1:1">
      <c r="A291" s="14"/>
    </row>
    <row r="292" customHeight="1" spans="1:1">
      <c r="A292" s="14"/>
    </row>
    <row r="293" customHeight="1" spans="1:1">
      <c r="A293" s="14"/>
    </row>
    <row r="294" customHeight="1" spans="1:1">
      <c r="A294" s="14"/>
    </row>
    <row r="295" customHeight="1" spans="1:1">
      <c r="A295" s="14"/>
    </row>
    <row r="296" customHeight="1" spans="1:1">
      <c r="A296" s="14"/>
    </row>
    <row r="297" customHeight="1" spans="1:1">
      <c r="A297" s="14"/>
    </row>
    <row r="298" customHeight="1" spans="1:1">
      <c r="A298" s="14"/>
    </row>
    <row r="299" customHeight="1" spans="1:1">
      <c r="A299" s="14"/>
    </row>
    <row r="300" customHeight="1" spans="1:1">
      <c r="A300" s="14"/>
    </row>
    <row r="301" customHeight="1" spans="1:1">
      <c r="A301" s="14"/>
    </row>
    <row r="302" customHeight="1" spans="1:1">
      <c r="A302" s="14"/>
    </row>
    <row r="303" customHeight="1" spans="1:1">
      <c r="A303" s="14"/>
    </row>
    <row r="304" customHeight="1" spans="1:1">
      <c r="A304" s="14"/>
    </row>
    <row r="305" customHeight="1" spans="1:1">
      <c r="A305" s="14"/>
    </row>
    <row r="306" customHeight="1" spans="1:1">
      <c r="A306" s="14"/>
    </row>
    <row r="307" customHeight="1" spans="1:1">
      <c r="A307" s="14"/>
    </row>
    <row r="308" customHeight="1" spans="1:1">
      <c r="A308" s="14"/>
    </row>
    <row r="309" customHeight="1" spans="1:1">
      <c r="A309" s="14"/>
    </row>
    <row r="310" customHeight="1" spans="1:1">
      <c r="A310" s="14"/>
    </row>
    <row r="311" customHeight="1" spans="1:1">
      <c r="A311" s="14"/>
    </row>
    <row r="312" customHeight="1" spans="1:1">
      <c r="A312" s="14"/>
    </row>
    <row r="313" customHeight="1" spans="1:1">
      <c r="A313" s="14"/>
    </row>
    <row r="314" customHeight="1" spans="1:1">
      <c r="A314" s="14"/>
    </row>
    <row r="315" customHeight="1" spans="1:1">
      <c r="A315" s="14"/>
    </row>
    <row r="316" customHeight="1" spans="1:1">
      <c r="A316" s="14"/>
    </row>
    <row r="317" customHeight="1" spans="1:1">
      <c r="A317" s="14"/>
    </row>
    <row r="318" customHeight="1" spans="1:1">
      <c r="A318" s="14"/>
    </row>
    <row r="319" customHeight="1" spans="1:1">
      <c r="A319" s="14"/>
    </row>
    <row r="320" customHeight="1" spans="1:1">
      <c r="A320" s="14"/>
    </row>
    <row r="321" customHeight="1" spans="1:1">
      <c r="A321" s="14"/>
    </row>
    <row r="322" customHeight="1" spans="1:1">
      <c r="A322" s="14"/>
    </row>
    <row r="323" customHeight="1" spans="1:1">
      <c r="A323" s="14"/>
    </row>
    <row r="324" customHeight="1" spans="1:1">
      <c r="A324" s="14"/>
    </row>
    <row r="325" customHeight="1" spans="1:1">
      <c r="A325" s="14"/>
    </row>
    <row r="326" customHeight="1" spans="1:1">
      <c r="A326" s="14"/>
    </row>
    <row r="327" customHeight="1" spans="1:1">
      <c r="A327" s="14"/>
    </row>
    <row r="328" customHeight="1" spans="1:1">
      <c r="A328" s="14"/>
    </row>
    <row r="329" customHeight="1" spans="1:1">
      <c r="A329" s="14"/>
    </row>
    <row r="330" customHeight="1" spans="1:1">
      <c r="A330" s="14"/>
    </row>
    <row r="331" customHeight="1" spans="1:1">
      <c r="A331" s="14"/>
    </row>
    <row r="332" customHeight="1" spans="1:1">
      <c r="A332" s="14"/>
    </row>
    <row r="333" customHeight="1" spans="1:1">
      <c r="A333" s="14"/>
    </row>
    <row r="334" customHeight="1" spans="1:1">
      <c r="A334" s="14"/>
    </row>
    <row r="335" customHeight="1" spans="1:1">
      <c r="A335" s="14"/>
    </row>
    <row r="336" customHeight="1" spans="1:1">
      <c r="A336" s="14"/>
    </row>
    <row r="337" customHeight="1" spans="1:1">
      <c r="A337" s="14"/>
    </row>
    <row r="338" customHeight="1" spans="1:1">
      <c r="A338" s="14"/>
    </row>
    <row r="339" customHeight="1" spans="1:1">
      <c r="A339" s="14"/>
    </row>
    <row r="340" customHeight="1" spans="1:1">
      <c r="A340" s="14"/>
    </row>
    <row r="341" customHeight="1" spans="1:1">
      <c r="A341" s="14"/>
    </row>
    <row r="342" customHeight="1" spans="1:1">
      <c r="A342" s="14"/>
    </row>
    <row r="343" customHeight="1" spans="1:1">
      <c r="A343" s="14"/>
    </row>
    <row r="344" customHeight="1" spans="1:1">
      <c r="A344" s="14"/>
    </row>
    <row r="345" customHeight="1" spans="1:1">
      <c r="A345" s="14"/>
    </row>
    <row r="346" customHeight="1" spans="1:1">
      <c r="A346" s="14"/>
    </row>
    <row r="347" customHeight="1" spans="1:1">
      <c r="A347" s="14"/>
    </row>
    <row r="348" customHeight="1" spans="1:1">
      <c r="A348" s="14"/>
    </row>
    <row r="349" customHeight="1" spans="1:1">
      <c r="A349" s="14"/>
    </row>
    <row r="350" customHeight="1" spans="1:1">
      <c r="A350" s="14"/>
    </row>
    <row r="351" customHeight="1" spans="1:1">
      <c r="A351" s="14"/>
    </row>
    <row r="352" customHeight="1" spans="1:1">
      <c r="A352" s="14"/>
    </row>
    <row r="353" customHeight="1" spans="1:1">
      <c r="A353" s="14"/>
    </row>
    <row r="354" customHeight="1" spans="1:1">
      <c r="A354" s="14"/>
    </row>
    <row r="355" customHeight="1" spans="1:1">
      <c r="A355" s="14"/>
    </row>
    <row r="356" customHeight="1" spans="1:1">
      <c r="A356" s="14"/>
    </row>
    <row r="357" customHeight="1" spans="1:1">
      <c r="A357" s="14"/>
    </row>
    <row r="358" customHeight="1" spans="1:1">
      <c r="A358" s="14"/>
    </row>
    <row r="359" customHeight="1" spans="1:1">
      <c r="A359" s="14"/>
    </row>
    <row r="360" customHeight="1" spans="1:1">
      <c r="A360" s="14"/>
    </row>
    <row r="361" customHeight="1" spans="1:1">
      <c r="A361" s="14"/>
    </row>
    <row r="362" customHeight="1" spans="1:1">
      <c r="A362" s="14"/>
    </row>
    <row r="363" customHeight="1" spans="1:1">
      <c r="A363" s="14"/>
    </row>
    <row r="364" customHeight="1" spans="1:1">
      <c r="A364" s="14"/>
    </row>
    <row r="365" customHeight="1" spans="1:1">
      <c r="A365" s="14"/>
    </row>
    <row r="366" customHeight="1" spans="1:1">
      <c r="A366" s="14"/>
    </row>
    <row r="367" customHeight="1" spans="1:1">
      <c r="A367" s="14"/>
    </row>
    <row r="368" customHeight="1" spans="1:1">
      <c r="A368" s="14"/>
    </row>
    <row r="369" customHeight="1" spans="1:1">
      <c r="A369" s="14"/>
    </row>
    <row r="370" customHeight="1" spans="1:1">
      <c r="A370" s="14"/>
    </row>
    <row r="371" customHeight="1" spans="1:1">
      <c r="A371" s="14"/>
    </row>
    <row r="372" customHeight="1" spans="1:1">
      <c r="A372" s="14"/>
    </row>
    <row r="373" customHeight="1" spans="1:1">
      <c r="A373" s="14"/>
    </row>
    <row r="374" customHeight="1" spans="1:1">
      <c r="A374" s="14"/>
    </row>
    <row r="375" customHeight="1" spans="1:1">
      <c r="A375" s="14"/>
    </row>
    <row r="376" customHeight="1" spans="1:1">
      <c r="A376" s="14"/>
    </row>
    <row r="377" customHeight="1" spans="1:1">
      <c r="A377" s="14"/>
    </row>
    <row r="378" customHeight="1" spans="1:1">
      <c r="A378" s="14"/>
    </row>
    <row r="379" customHeight="1" spans="1:1">
      <c r="A379" s="14"/>
    </row>
    <row r="380" customHeight="1" spans="1:1">
      <c r="A380" s="14"/>
    </row>
    <row r="381" customHeight="1" spans="1:1">
      <c r="A381" s="14"/>
    </row>
    <row r="382" customHeight="1" spans="1:1">
      <c r="A382" s="14"/>
    </row>
    <row r="383" customHeight="1" spans="1:1">
      <c r="A383" s="14"/>
    </row>
    <row r="384" customHeight="1" spans="1:1">
      <c r="A384" s="14"/>
    </row>
    <row r="385" customHeight="1" spans="1:1">
      <c r="A385" s="14"/>
    </row>
    <row r="386" customHeight="1" spans="1:1">
      <c r="A386" s="14"/>
    </row>
    <row r="387" customHeight="1" spans="1:1">
      <c r="A387" s="14"/>
    </row>
    <row r="388" customHeight="1" spans="1:1">
      <c r="A388" s="14"/>
    </row>
    <row r="389" customHeight="1" spans="1:1">
      <c r="A389" s="14"/>
    </row>
    <row r="390" customHeight="1" spans="1:1">
      <c r="A390" s="14"/>
    </row>
    <row r="391" customHeight="1" spans="1:1">
      <c r="A391" s="14"/>
    </row>
    <row r="392" customHeight="1" spans="1:1">
      <c r="A392" s="14"/>
    </row>
    <row r="393" customHeight="1" spans="1:1">
      <c r="A393" s="14"/>
    </row>
    <row r="394" customHeight="1" spans="1:1">
      <c r="A394" s="14"/>
    </row>
    <row r="395" customHeight="1" spans="1:1">
      <c r="A395" s="14"/>
    </row>
    <row r="396" customHeight="1" spans="1:1">
      <c r="A396" s="14"/>
    </row>
    <row r="397" customHeight="1" spans="1:1">
      <c r="A397" s="14"/>
    </row>
    <row r="398" customHeight="1" spans="1:1">
      <c r="A398" s="14"/>
    </row>
    <row r="399" customHeight="1" spans="1:1">
      <c r="A399" s="14"/>
    </row>
    <row r="400" customHeight="1" spans="1:1">
      <c r="A400" s="14"/>
    </row>
    <row r="401" customHeight="1" spans="1:1">
      <c r="A401" s="14"/>
    </row>
    <row r="402" customHeight="1" spans="1:1">
      <c r="A402" s="14"/>
    </row>
    <row r="403" customHeight="1" spans="1:1">
      <c r="A403" s="14"/>
    </row>
    <row r="404" customHeight="1" spans="1:1">
      <c r="A404" s="14"/>
    </row>
    <row r="405" customHeight="1" spans="1:1">
      <c r="A405" s="14"/>
    </row>
    <row r="406" customHeight="1" spans="1:1">
      <c r="A406" s="14"/>
    </row>
    <row r="407" customHeight="1" spans="1:1">
      <c r="A407" s="14"/>
    </row>
    <row r="408" customHeight="1" spans="1:1">
      <c r="A408" s="14"/>
    </row>
    <row r="409" customHeight="1" spans="1:1">
      <c r="A409" s="14"/>
    </row>
    <row r="410" customHeight="1" spans="1:1">
      <c r="A410" s="14"/>
    </row>
    <row r="411" customHeight="1" spans="1:1">
      <c r="A411" s="14"/>
    </row>
    <row r="412" customHeight="1" spans="1:1">
      <c r="A412" s="14"/>
    </row>
    <row r="413" customHeight="1" spans="1:1">
      <c r="A413" s="14"/>
    </row>
    <row r="414" customHeight="1" spans="1:1">
      <c r="A414" s="14"/>
    </row>
    <row r="415" customHeight="1" spans="1:1">
      <c r="A415" s="14"/>
    </row>
    <row r="416" customHeight="1" spans="1:1">
      <c r="A416" s="14"/>
    </row>
    <row r="417" customHeight="1" spans="1:1">
      <c r="A417" s="14"/>
    </row>
    <row r="418" customHeight="1" spans="1:1">
      <c r="A418" s="14"/>
    </row>
    <row r="419" customHeight="1" spans="1:1">
      <c r="A419" s="14"/>
    </row>
    <row r="420" customHeight="1" spans="1:1">
      <c r="A420" s="14"/>
    </row>
    <row r="421" customHeight="1" spans="1:1">
      <c r="A421" s="14"/>
    </row>
    <row r="422" customHeight="1" spans="1:1">
      <c r="A422" s="14"/>
    </row>
    <row r="423" customHeight="1" spans="1:1">
      <c r="A423" s="14"/>
    </row>
    <row r="424" customHeight="1" spans="1:1">
      <c r="A424" s="14"/>
    </row>
    <row r="425" customHeight="1" spans="1:1">
      <c r="A425" s="14"/>
    </row>
    <row r="426" customHeight="1" spans="1:1">
      <c r="A426" s="14"/>
    </row>
    <row r="427" customHeight="1" spans="1:1">
      <c r="A427" s="14"/>
    </row>
    <row r="428" customHeight="1" spans="1:1">
      <c r="A428" s="14"/>
    </row>
    <row r="429" customHeight="1" spans="1:1">
      <c r="A429" s="14"/>
    </row>
    <row r="430" customHeight="1" spans="1:1">
      <c r="A430" s="14"/>
    </row>
    <row r="431" customHeight="1" spans="1:1">
      <c r="A431" s="14"/>
    </row>
    <row r="432" customHeight="1" spans="1:1">
      <c r="A432" s="14"/>
    </row>
    <row r="433" customHeight="1" spans="1:1">
      <c r="A433" s="14"/>
    </row>
    <row r="434" customHeight="1" spans="1:1">
      <c r="A434" s="14"/>
    </row>
    <row r="435" customHeight="1" spans="1:1">
      <c r="A435" s="14"/>
    </row>
    <row r="436" customHeight="1" spans="1:1">
      <c r="A436" s="14"/>
    </row>
    <row r="437" customHeight="1" spans="1:1">
      <c r="A437" s="14"/>
    </row>
    <row r="438" customHeight="1" spans="1:1">
      <c r="A438" s="14"/>
    </row>
    <row r="439" customHeight="1" spans="1:1">
      <c r="A439" s="14"/>
    </row>
    <row r="440" customHeight="1" spans="1:1">
      <c r="A440" s="14"/>
    </row>
    <row r="441" customHeight="1" spans="1:1">
      <c r="A441" s="14"/>
    </row>
    <row r="442" customHeight="1" spans="1:1">
      <c r="A442" s="14"/>
    </row>
    <row r="443" customHeight="1" spans="1:1">
      <c r="A443" s="14"/>
    </row>
    <row r="444" customHeight="1" spans="1:1">
      <c r="A444" s="14"/>
    </row>
    <row r="445" customHeight="1" spans="1:1">
      <c r="A445" s="14"/>
    </row>
    <row r="446" customHeight="1" spans="1:1">
      <c r="A446" s="14"/>
    </row>
    <row r="447" customHeight="1" spans="1:1">
      <c r="A447" s="14"/>
    </row>
    <row r="448" customHeight="1" spans="1:1">
      <c r="A448" s="14"/>
    </row>
    <row r="449" customHeight="1" spans="1:1">
      <c r="A449" s="14"/>
    </row>
    <row r="450" customHeight="1" spans="1:1">
      <c r="A450" s="14"/>
    </row>
    <row r="451" customHeight="1" spans="1:1">
      <c r="A451" s="14"/>
    </row>
    <row r="452" customHeight="1" spans="1:1">
      <c r="A452" s="14"/>
    </row>
    <row r="453" customHeight="1" spans="1:1">
      <c r="A453" s="14"/>
    </row>
    <row r="454" customHeight="1" spans="1:1">
      <c r="A454" s="14"/>
    </row>
    <row r="455" customHeight="1" spans="1:1">
      <c r="A455" s="14"/>
    </row>
    <row r="456" customHeight="1" spans="1:1">
      <c r="A456" s="14"/>
    </row>
    <row r="457" customHeight="1" spans="1:1">
      <c r="A457" s="14"/>
    </row>
    <row r="458" customHeight="1" spans="1:1">
      <c r="A458" s="14"/>
    </row>
    <row r="459" customHeight="1" spans="1:1">
      <c r="A459" s="14"/>
    </row>
    <row r="460" customHeight="1" spans="1:1">
      <c r="A460" s="14"/>
    </row>
    <row r="461" customHeight="1" spans="1:1">
      <c r="A461" s="14"/>
    </row>
    <row r="462" customHeight="1" spans="1:1">
      <c r="A462" s="14"/>
    </row>
    <row r="463" customHeight="1" spans="1:1">
      <c r="A463" s="14"/>
    </row>
    <row r="464" customHeight="1" spans="1:1">
      <c r="A464" s="14"/>
    </row>
    <row r="465" customHeight="1" spans="1:1">
      <c r="A465" s="14"/>
    </row>
    <row r="466" customHeight="1" spans="1:1">
      <c r="A466" s="14"/>
    </row>
    <row r="467" customHeight="1" spans="1:1">
      <c r="A467" s="14"/>
    </row>
    <row r="468" customHeight="1" spans="1:1">
      <c r="A468" s="14"/>
    </row>
    <row r="469" customHeight="1" spans="1:1">
      <c r="A469" s="14"/>
    </row>
    <row r="470" customHeight="1" spans="1:1">
      <c r="A470" s="14"/>
    </row>
    <row r="471" customHeight="1" spans="1:1">
      <c r="A471" s="14"/>
    </row>
    <row r="472" customHeight="1" spans="1:1">
      <c r="A472" s="14"/>
    </row>
    <row r="473" customHeight="1" spans="1:1">
      <c r="A473" s="14"/>
    </row>
    <row r="474" customHeight="1" spans="1:1">
      <c r="A474" s="14"/>
    </row>
    <row r="475" customHeight="1" spans="1:1">
      <c r="A475" s="14"/>
    </row>
    <row r="476" customHeight="1" spans="1:1">
      <c r="A476" s="14"/>
    </row>
    <row r="477" customHeight="1" spans="1:1">
      <c r="A477" s="14"/>
    </row>
    <row r="478" customHeight="1" spans="1:1">
      <c r="A478" s="14"/>
    </row>
    <row r="479" customHeight="1" spans="1:1">
      <c r="A479" s="14"/>
    </row>
    <row r="480" customHeight="1" spans="1:1">
      <c r="A480" s="14"/>
    </row>
    <row r="481" customHeight="1" spans="1:1">
      <c r="A481" s="14"/>
    </row>
    <row r="482" customHeight="1" spans="1:1">
      <c r="A482" s="14"/>
    </row>
    <row r="483" customHeight="1" spans="1:1">
      <c r="A483" s="14"/>
    </row>
    <row r="484" customHeight="1" spans="1:1">
      <c r="A484" s="14"/>
    </row>
    <row r="485" customHeight="1" spans="1:1">
      <c r="A485" s="14"/>
    </row>
    <row r="486" customHeight="1" spans="1:1">
      <c r="A486" s="14"/>
    </row>
    <row r="487" customHeight="1" spans="1:1">
      <c r="A487" s="14"/>
    </row>
    <row r="488" customHeight="1" spans="1:1">
      <c r="A488" s="14"/>
    </row>
    <row r="489" customHeight="1" spans="1:1">
      <c r="A489" s="14"/>
    </row>
    <row r="490" customHeight="1" spans="1:1">
      <c r="A490" s="14"/>
    </row>
    <row r="491" customHeight="1" spans="1:1">
      <c r="A491" s="14"/>
    </row>
    <row r="492" customHeight="1" spans="1:1">
      <c r="A492" s="14"/>
    </row>
    <row r="493" customHeight="1" spans="1:1">
      <c r="A493" s="14"/>
    </row>
    <row r="494" customHeight="1" spans="1:1">
      <c r="A494" s="14"/>
    </row>
    <row r="495" customHeight="1" spans="1:1">
      <c r="A495" s="14"/>
    </row>
    <row r="496" customHeight="1" spans="1:1">
      <c r="A496" s="14"/>
    </row>
    <row r="497" customHeight="1" spans="1:1">
      <c r="A497" s="14"/>
    </row>
    <row r="498" customHeight="1" spans="1:1">
      <c r="A498" s="14"/>
    </row>
    <row r="499" customHeight="1" spans="1:1">
      <c r="A499" s="14"/>
    </row>
    <row r="500" customHeight="1" spans="1:1">
      <c r="A500" s="14"/>
    </row>
    <row r="501" customHeight="1" spans="1:1">
      <c r="A501" s="14"/>
    </row>
    <row r="502" customHeight="1" spans="1:1">
      <c r="A502" s="14"/>
    </row>
    <row r="503" customHeight="1" spans="1:1">
      <c r="A503" s="14"/>
    </row>
    <row r="504" customHeight="1" spans="1:1">
      <c r="A504" s="14"/>
    </row>
    <row r="505" customHeight="1" spans="1:1">
      <c r="A505" s="14"/>
    </row>
    <row r="506" customHeight="1" spans="1:1">
      <c r="A506" s="14"/>
    </row>
    <row r="507" customHeight="1" spans="1:1">
      <c r="A507" s="14"/>
    </row>
    <row r="508" customHeight="1" spans="1:1">
      <c r="A508" s="14"/>
    </row>
    <row r="509" customHeight="1" spans="1:1">
      <c r="A509" s="14"/>
    </row>
    <row r="510" customHeight="1" spans="1:1">
      <c r="A510" s="14"/>
    </row>
    <row r="511" customHeight="1" spans="1:1">
      <c r="A511" s="14"/>
    </row>
    <row r="512" customHeight="1" spans="1:1">
      <c r="A512" s="14"/>
    </row>
    <row r="513" customHeight="1" spans="1:1">
      <c r="A513" s="14"/>
    </row>
    <row r="514" customHeight="1" spans="1:1">
      <c r="A514" s="14"/>
    </row>
    <row r="515" customHeight="1" spans="1:1">
      <c r="A515" s="14"/>
    </row>
    <row r="516" customHeight="1" spans="1:1">
      <c r="A516" s="14"/>
    </row>
    <row r="517" customHeight="1" spans="1:1">
      <c r="A517" s="14"/>
    </row>
    <row r="518" customHeight="1" spans="1:1">
      <c r="A518" s="14"/>
    </row>
    <row r="519" customHeight="1" spans="1:1">
      <c r="A519" s="14"/>
    </row>
    <row r="520" customHeight="1" spans="1:1">
      <c r="A520" s="14"/>
    </row>
    <row r="521" customHeight="1" spans="1:1">
      <c r="A521" s="14"/>
    </row>
    <row r="522" customHeight="1" spans="1:1">
      <c r="A522" s="14"/>
    </row>
    <row r="523" customHeight="1" spans="1:1">
      <c r="A523" s="14"/>
    </row>
    <row r="524" customHeight="1" spans="1:1">
      <c r="A524" s="14"/>
    </row>
    <row r="525" customHeight="1" spans="1:1">
      <c r="A525" s="14"/>
    </row>
    <row r="526" customHeight="1" spans="1:1">
      <c r="A526" s="14"/>
    </row>
    <row r="527" customHeight="1" spans="1:1">
      <c r="A527" s="14"/>
    </row>
    <row r="528" customHeight="1" spans="1:1">
      <c r="A528" s="14"/>
    </row>
    <row r="529" customHeight="1" spans="1:1">
      <c r="A529" s="14"/>
    </row>
    <row r="530" customHeight="1" spans="1:1">
      <c r="A530" s="14"/>
    </row>
    <row r="531" customHeight="1" spans="1:1">
      <c r="A531" s="14"/>
    </row>
    <row r="532" customHeight="1" spans="1:1">
      <c r="A532" s="14"/>
    </row>
    <row r="533" customHeight="1" spans="1:1">
      <c r="A533" s="14"/>
    </row>
    <row r="534" customHeight="1" spans="1:1">
      <c r="A534" s="14"/>
    </row>
    <row r="535" customHeight="1" spans="1:1">
      <c r="A535" s="14"/>
    </row>
    <row r="536" customHeight="1" spans="1:1">
      <c r="A536" s="14"/>
    </row>
    <row r="537" customHeight="1" spans="1:1">
      <c r="A537" s="14"/>
    </row>
    <row r="538" customHeight="1" spans="1:1">
      <c r="A538" s="14"/>
    </row>
    <row r="539" customHeight="1" spans="1:1">
      <c r="A539" s="14"/>
    </row>
    <row r="540" customHeight="1" spans="1:1">
      <c r="A540" s="14"/>
    </row>
    <row r="541" customHeight="1" spans="1:1">
      <c r="A541" s="14"/>
    </row>
    <row r="542" customHeight="1" spans="1:1">
      <c r="A542" s="14"/>
    </row>
    <row r="543" customHeight="1" spans="1:1">
      <c r="A543" s="14"/>
    </row>
    <row r="544" customHeight="1" spans="1:1">
      <c r="A544" s="14"/>
    </row>
    <row r="545" customHeight="1" spans="1:1">
      <c r="A545" s="14"/>
    </row>
    <row r="546" customHeight="1" spans="1:1">
      <c r="A546" s="14"/>
    </row>
    <row r="547" customHeight="1" spans="1:1">
      <c r="A547" s="14"/>
    </row>
    <row r="548" customHeight="1" spans="1:1">
      <c r="A548" s="14"/>
    </row>
    <row r="549" customHeight="1" spans="1:1">
      <c r="A549" s="14"/>
    </row>
    <row r="550" customHeight="1" spans="1:1">
      <c r="A550" s="14"/>
    </row>
    <row r="551" customHeight="1" spans="1:1">
      <c r="A551" s="14"/>
    </row>
    <row r="552" customHeight="1" spans="1:1">
      <c r="A552" s="14"/>
    </row>
    <row r="553" customHeight="1" spans="1:1">
      <c r="A553" s="14"/>
    </row>
    <row r="554" customHeight="1" spans="1:1">
      <c r="A554" s="14"/>
    </row>
    <row r="555" customHeight="1" spans="1:1">
      <c r="A555" s="14"/>
    </row>
    <row r="556" customHeight="1" spans="1:1">
      <c r="A556" s="14"/>
    </row>
    <row r="557" customHeight="1" spans="1:1">
      <c r="A557" s="14"/>
    </row>
    <row r="558" customHeight="1" spans="1:1">
      <c r="A558" s="14"/>
    </row>
    <row r="559" customHeight="1" spans="1:1">
      <c r="A559" s="14"/>
    </row>
    <row r="560" customHeight="1" spans="1:1">
      <c r="A560" s="14"/>
    </row>
    <row r="561" customHeight="1" spans="1:1">
      <c r="A561" s="14"/>
    </row>
    <row r="562" customHeight="1" spans="1:1">
      <c r="A562" s="14"/>
    </row>
    <row r="563" customHeight="1" spans="1:1">
      <c r="A563" s="14"/>
    </row>
    <row r="564" customHeight="1" spans="1:1">
      <c r="A564" s="14"/>
    </row>
    <row r="565" customHeight="1" spans="1:1">
      <c r="A565" s="14"/>
    </row>
    <row r="566" customHeight="1" spans="1:1">
      <c r="A566" s="14"/>
    </row>
    <row r="567" customHeight="1" spans="1:1">
      <c r="A567" s="14"/>
    </row>
    <row r="568" customHeight="1" spans="1:1">
      <c r="A568" s="14"/>
    </row>
    <row r="569" customHeight="1" spans="1:1">
      <c r="A569" s="14"/>
    </row>
    <row r="570" customHeight="1" spans="1:1">
      <c r="A570" s="14"/>
    </row>
    <row r="571" customHeight="1" spans="1:1">
      <c r="A571" s="14"/>
    </row>
    <row r="572" customHeight="1" spans="1:1">
      <c r="A572" s="14"/>
    </row>
    <row r="573" customHeight="1" spans="1:1">
      <c r="A573" s="14"/>
    </row>
    <row r="574" customHeight="1" spans="1:1">
      <c r="A574" s="14"/>
    </row>
    <row r="575" customHeight="1" spans="1:1">
      <c r="A575" s="14"/>
    </row>
    <row r="576" customHeight="1" spans="1:1">
      <c r="A576" s="14"/>
    </row>
    <row r="577" customHeight="1" spans="1:1">
      <c r="A577" s="14"/>
    </row>
    <row r="578" customHeight="1" spans="1:1">
      <c r="A578" s="14"/>
    </row>
    <row r="579" customHeight="1" spans="1:1">
      <c r="A579" s="14"/>
    </row>
    <row r="580" customHeight="1" spans="1:1">
      <c r="A580" s="14"/>
    </row>
    <row r="581" customHeight="1" spans="1:1">
      <c r="A581" s="14"/>
    </row>
    <row r="582" customHeight="1" spans="1:1">
      <c r="A582" s="14"/>
    </row>
    <row r="583" customHeight="1" spans="1:1">
      <c r="A583" s="14"/>
    </row>
    <row r="584" customHeight="1" spans="1:1">
      <c r="A584" s="14"/>
    </row>
    <row r="585" customHeight="1" spans="1:1">
      <c r="A585" s="14"/>
    </row>
    <row r="586" customHeight="1" spans="1:1">
      <c r="A586" s="14"/>
    </row>
    <row r="587" customHeight="1" spans="1:1">
      <c r="A587" s="14"/>
    </row>
    <row r="588" customHeight="1" spans="1:1">
      <c r="A588" s="14"/>
    </row>
    <row r="589" customHeight="1" spans="1:1">
      <c r="A589" s="14"/>
    </row>
    <row r="590" customHeight="1" spans="1:1">
      <c r="A590" s="14"/>
    </row>
    <row r="591" customHeight="1" spans="1:1">
      <c r="A591" s="14"/>
    </row>
    <row r="592" customHeight="1" spans="1:1">
      <c r="A592" s="14"/>
    </row>
    <row r="593" customHeight="1" spans="1:1">
      <c r="A593" s="14"/>
    </row>
    <row r="594" customHeight="1" spans="1:1">
      <c r="A594" s="14"/>
    </row>
    <row r="595" customHeight="1" spans="1:1">
      <c r="A595" s="14"/>
    </row>
    <row r="596" customHeight="1" spans="1:1">
      <c r="A596" s="14"/>
    </row>
    <row r="597" customHeight="1" spans="1:1">
      <c r="A597" s="14"/>
    </row>
    <row r="598" customHeight="1" spans="1:1">
      <c r="A598" s="14"/>
    </row>
    <row r="599" customHeight="1" spans="1:1">
      <c r="A599" s="14"/>
    </row>
    <row r="600" customHeight="1" spans="1:1">
      <c r="A600" s="14"/>
    </row>
    <row r="601" customHeight="1" spans="1:1">
      <c r="A601" s="14"/>
    </row>
    <row r="602" customHeight="1" spans="1:1">
      <c r="A602" s="14"/>
    </row>
    <row r="603" customHeight="1" spans="1:1">
      <c r="A603" s="14"/>
    </row>
    <row r="604" customHeight="1" spans="1:1">
      <c r="A604" s="14"/>
    </row>
    <row r="605" customHeight="1" spans="1:1">
      <c r="A605" s="14"/>
    </row>
    <row r="606" customHeight="1" spans="1:1">
      <c r="A606" s="14"/>
    </row>
    <row r="607" customHeight="1" spans="1:1">
      <c r="A607" s="14"/>
    </row>
    <row r="608" customHeight="1" spans="1:1">
      <c r="A608" s="14"/>
    </row>
    <row r="609" customHeight="1" spans="1:1">
      <c r="A609" s="14"/>
    </row>
    <row r="610" customHeight="1" spans="1:1">
      <c r="A610" s="14"/>
    </row>
    <row r="611" customHeight="1" spans="1:1">
      <c r="A611" s="14"/>
    </row>
    <row r="612" customHeight="1" spans="1:1">
      <c r="A612" s="14"/>
    </row>
    <row r="613" customHeight="1" spans="1:1">
      <c r="A613" s="14"/>
    </row>
    <row r="614" customHeight="1" spans="1:1">
      <c r="A614" s="14"/>
    </row>
    <row r="615" customHeight="1" spans="1:1">
      <c r="A615" s="14"/>
    </row>
    <row r="616" customHeight="1" spans="1:1">
      <c r="A616" s="14"/>
    </row>
    <row r="617" customHeight="1" spans="1:1">
      <c r="A617" s="14"/>
    </row>
    <row r="618" customHeight="1" spans="1:1">
      <c r="A618" s="14"/>
    </row>
    <row r="619" customHeight="1" spans="1:1">
      <c r="A619" s="14"/>
    </row>
    <row r="620" customHeight="1" spans="1:1">
      <c r="A620" s="14"/>
    </row>
    <row r="621" customHeight="1" spans="1:1">
      <c r="A621" s="14"/>
    </row>
    <row r="622" customHeight="1" spans="1:1">
      <c r="A622" s="14"/>
    </row>
    <row r="623" customHeight="1" spans="1:1">
      <c r="A623" s="14"/>
    </row>
    <row r="624" customHeight="1" spans="1:1">
      <c r="A624" s="14"/>
    </row>
    <row r="625" customHeight="1" spans="1:1">
      <c r="A625" s="14"/>
    </row>
    <row r="626" customHeight="1" spans="1:1">
      <c r="A626" s="14"/>
    </row>
    <row r="627" customHeight="1" spans="1:1">
      <c r="A627" s="14"/>
    </row>
    <row r="628" customHeight="1" spans="1:1">
      <c r="A628" s="14"/>
    </row>
    <row r="629" customHeight="1" spans="1:1">
      <c r="A629" s="14"/>
    </row>
    <row r="630" customHeight="1" spans="1:1">
      <c r="A630" s="14"/>
    </row>
    <row r="631" customHeight="1" spans="1:1">
      <c r="A631" s="14"/>
    </row>
    <row r="632" customHeight="1" spans="1:1">
      <c r="A632" s="14"/>
    </row>
    <row r="633" customHeight="1" spans="1:1">
      <c r="A633" s="14"/>
    </row>
    <row r="634" customHeight="1" spans="1:1">
      <c r="A634" s="14"/>
    </row>
    <row r="635" customHeight="1" spans="1:1">
      <c r="A635" s="14"/>
    </row>
    <row r="636" customHeight="1" spans="1:1">
      <c r="A636" s="14"/>
    </row>
    <row r="637" customHeight="1" spans="1:1">
      <c r="A637" s="14"/>
    </row>
    <row r="638" customHeight="1" spans="1:1">
      <c r="A638" s="14"/>
    </row>
    <row r="639" customHeight="1" spans="1:1">
      <c r="A639" s="14"/>
    </row>
    <row r="640" customHeight="1" spans="1:1">
      <c r="A640" s="14"/>
    </row>
    <row r="641" customHeight="1" spans="1:1">
      <c r="A641" s="14"/>
    </row>
    <row r="642" customHeight="1" spans="1:1">
      <c r="A642" s="14"/>
    </row>
    <row r="643" customHeight="1" spans="1:1">
      <c r="A643" s="14"/>
    </row>
    <row r="644" customHeight="1" spans="1:1">
      <c r="A644" s="14"/>
    </row>
    <row r="645" customHeight="1" spans="1:1">
      <c r="A645" s="14"/>
    </row>
    <row r="646" customHeight="1" spans="1:1">
      <c r="A646" s="14"/>
    </row>
    <row r="647" customHeight="1" spans="1:1">
      <c r="A647" s="14"/>
    </row>
    <row r="648" customHeight="1" spans="1:1">
      <c r="A648" s="14"/>
    </row>
    <row r="649" customHeight="1" spans="1:1">
      <c r="A649" s="14"/>
    </row>
    <row r="650" customHeight="1" spans="1:1">
      <c r="A650" s="14"/>
    </row>
    <row r="651" customHeight="1" spans="1:1">
      <c r="A651" s="14"/>
    </row>
    <row r="652" customHeight="1" spans="1:1">
      <c r="A652" s="14"/>
    </row>
    <row r="653" customHeight="1" spans="1:1">
      <c r="A653" s="14"/>
    </row>
    <row r="654" customHeight="1" spans="1:1">
      <c r="A654" s="14"/>
    </row>
    <row r="655" customHeight="1" spans="1:1">
      <c r="A655" s="14"/>
    </row>
    <row r="656" customHeight="1" spans="1:1">
      <c r="A656" s="14"/>
    </row>
    <row r="657" customHeight="1" spans="1:1">
      <c r="A657" s="14"/>
    </row>
    <row r="658" customHeight="1" spans="1:1">
      <c r="A658" s="14"/>
    </row>
    <row r="659" customHeight="1" spans="1:1">
      <c r="A659" s="14"/>
    </row>
    <row r="660" customHeight="1" spans="1:1">
      <c r="A660" s="14"/>
    </row>
    <row r="661" customHeight="1" spans="1:1">
      <c r="A661" s="14"/>
    </row>
    <row r="662" customHeight="1" spans="1:1">
      <c r="A662" s="14"/>
    </row>
    <row r="663" customHeight="1" spans="1:1">
      <c r="A663" s="14"/>
    </row>
    <row r="664" customHeight="1" spans="1:1">
      <c r="A664" s="14"/>
    </row>
    <row r="665" customHeight="1" spans="1:1">
      <c r="A665" s="14"/>
    </row>
    <row r="666" customHeight="1" spans="1:1">
      <c r="A666" s="14"/>
    </row>
    <row r="667" customHeight="1" spans="1:1">
      <c r="A667" s="14"/>
    </row>
    <row r="668" customHeight="1" spans="1:1">
      <c r="A668" s="14"/>
    </row>
    <row r="669" customHeight="1" spans="1:1">
      <c r="A669" s="14"/>
    </row>
    <row r="670" customHeight="1" spans="1:1">
      <c r="A670" s="14"/>
    </row>
    <row r="671" customHeight="1" spans="1:1">
      <c r="A671" s="14"/>
    </row>
    <row r="672" customHeight="1" spans="1:1">
      <c r="A672" s="14"/>
    </row>
    <row r="673" customHeight="1" spans="1:1">
      <c r="A673" s="14"/>
    </row>
    <row r="674" customHeight="1" spans="1:1">
      <c r="A674" s="14"/>
    </row>
    <row r="675" customHeight="1" spans="1:1">
      <c r="A675" s="14"/>
    </row>
    <row r="676" customHeight="1" spans="1:1">
      <c r="A676" s="14"/>
    </row>
    <row r="677" customHeight="1" spans="1:1">
      <c r="A677" s="14"/>
    </row>
    <row r="678" customHeight="1" spans="1:1">
      <c r="A678" s="14"/>
    </row>
    <row r="679" customHeight="1" spans="1:1">
      <c r="A679" s="14"/>
    </row>
    <row r="680" customHeight="1" spans="1:1">
      <c r="A680" s="14"/>
    </row>
    <row r="681" customHeight="1" spans="1:1">
      <c r="A681" s="14"/>
    </row>
    <row r="682" customHeight="1" spans="1:1">
      <c r="A682" s="14"/>
    </row>
    <row r="683" customHeight="1" spans="1:1">
      <c r="A683" s="14"/>
    </row>
    <row r="684" customHeight="1" spans="1:1">
      <c r="A684" s="14"/>
    </row>
    <row r="685" customHeight="1" spans="1:1">
      <c r="A685" s="14"/>
    </row>
    <row r="686" customHeight="1" spans="1:1">
      <c r="A686" s="14"/>
    </row>
    <row r="687" customHeight="1" spans="1:1">
      <c r="A687" s="14"/>
    </row>
    <row r="688" customHeight="1" spans="1:1">
      <c r="A688" s="14"/>
    </row>
    <row r="689" customHeight="1" spans="1:1">
      <c r="A689" s="14"/>
    </row>
    <row r="690" customHeight="1" spans="1:1">
      <c r="A690" s="14"/>
    </row>
    <row r="691" customHeight="1" spans="1:1">
      <c r="A691" s="14"/>
    </row>
    <row r="692" customHeight="1" spans="1:1">
      <c r="A692" s="14"/>
    </row>
    <row r="693" customHeight="1" spans="1:1">
      <c r="A693" s="14"/>
    </row>
    <row r="694" customHeight="1" spans="1:1">
      <c r="A694" s="14"/>
    </row>
    <row r="695" customHeight="1" spans="1:1">
      <c r="A695" s="14"/>
    </row>
    <row r="696" customHeight="1" spans="1:1">
      <c r="A696" s="14"/>
    </row>
    <row r="697" customHeight="1" spans="1:1">
      <c r="A697" s="14"/>
    </row>
    <row r="698" customHeight="1" spans="1:1">
      <c r="A698" s="14"/>
    </row>
    <row r="699" customHeight="1" spans="1:1">
      <c r="A699" s="14"/>
    </row>
    <row r="700" customHeight="1" spans="1:1">
      <c r="A700" s="14"/>
    </row>
    <row r="701" customHeight="1" spans="1:1">
      <c r="A701" s="14"/>
    </row>
    <row r="702" customHeight="1" spans="1:1">
      <c r="A702" s="14"/>
    </row>
    <row r="703" customHeight="1" spans="1:1">
      <c r="A703" s="14"/>
    </row>
    <row r="704" customHeight="1" spans="1:1">
      <c r="A704" s="14"/>
    </row>
    <row r="705" customHeight="1" spans="1:1">
      <c r="A705" s="14"/>
    </row>
    <row r="706" customHeight="1" spans="1:1">
      <c r="A706" s="14"/>
    </row>
    <row r="707" customHeight="1" spans="1:1">
      <c r="A707" s="14"/>
    </row>
    <row r="708" customHeight="1" spans="1:1">
      <c r="A708" s="14"/>
    </row>
    <row r="709" customHeight="1" spans="1:1">
      <c r="A709" s="14"/>
    </row>
    <row r="710" customHeight="1" spans="1:1">
      <c r="A710" s="14"/>
    </row>
    <row r="711" customHeight="1" spans="1:1">
      <c r="A711" s="14"/>
    </row>
    <row r="712" customHeight="1" spans="1:1">
      <c r="A712" s="14"/>
    </row>
    <row r="713" customHeight="1" spans="1:1">
      <c r="A713" s="14"/>
    </row>
    <row r="714" customHeight="1" spans="1:1">
      <c r="A714" s="14"/>
    </row>
    <row r="715" customHeight="1" spans="1:1">
      <c r="A715" s="14"/>
    </row>
    <row r="716" customHeight="1" spans="1:1">
      <c r="A716" s="14"/>
    </row>
    <row r="717" customHeight="1" spans="1:1">
      <c r="A717" s="14"/>
    </row>
    <row r="718" customHeight="1" spans="1:1">
      <c r="A718" s="14"/>
    </row>
    <row r="719" customHeight="1" spans="1:1">
      <c r="A719" s="14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719" etc:filterBottomFollowUsedRange="1">
    <extLst/>
  </autoFilter>
  <pageMargins left="0.75" right="0.75" top="1" bottom="1" header="0.5" footer="0.5"/>
  <headerFooter/>
  <ignoredErrors>
    <ignoredError sqref="A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8"/>
  <sheetViews>
    <sheetView workbookViewId="0">
      <selection activeCell="D14" sqref="D14"/>
    </sheetView>
  </sheetViews>
  <sheetFormatPr defaultColWidth="9" defaultRowHeight="14.25"/>
  <cols>
    <col min="1" max="1" width="12.625"/>
    <col min="3" max="5" width="12.625" style="2" customWidth="1"/>
    <col min="6" max="6" width="22.875" style="2" customWidth="1"/>
    <col min="7" max="16376" width="12.625" style="2" customWidth="1"/>
  </cols>
  <sheetData>
    <row r="1" customFormat="1" ht="20" customHeight="1" spans="1:8 16377:16384">
      <c r="A1" s="3" t="s">
        <v>1010</v>
      </c>
      <c r="B1" s="3" t="s">
        <v>1011</v>
      </c>
      <c r="C1" s="2" t="s">
        <v>1012</v>
      </c>
      <c r="D1" s="3" t="s">
        <v>12</v>
      </c>
      <c r="E1" s="3" t="s">
        <v>128</v>
      </c>
      <c r="F1" s="3" t="s">
        <v>400</v>
      </c>
      <c r="G1" s="2" t="s">
        <v>1013</v>
      </c>
      <c r="H1" s="4" t="s">
        <v>1014</v>
      </c>
      <c r="XEW1" s="2"/>
      <c r="XEX1" s="2"/>
      <c r="XEY1" s="2"/>
      <c r="XEZ1" s="2"/>
      <c r="XFA1" s="2"/>
      <c r="XFB1" s="2"/>
    </row>
    <row r="2" customFormat="1" ht="20" customHeight="1" spans="1:8 16377:16384">
      <c r="A2" s="5">
        <v>46043</v>
      </c>
      <c r="B2" s="2">
        <v>36000</v>
      </c>
      <c r="C2" s="5">
        <v>46051</v>
      </c>
      <c r="D2" s="2">
        <v>24000</v>
      </c>
      <c r="E2" s="2"/>
      <c r="F2" s="5"/>
      <c r="G2" s="5" t="s">
        <v>1015</v>
      </c>
      <c r="H2" s="2"/>
      <c r="I2"/>
      <c r="XEW2" s="2"/>
      <c r="XEX2" s="2"/>
      <c r="XEY2" s="2"/>
      <c r="XEZ2" s="2"/>
      <c r="XFA2" s="2"/>
      <c r="XFB2" s="2"/>
    </row>
    <row r="3" customFormat="1" ht="20" customHeight="1" spans="1:8 16377:16384">
      <c r="A3" s="5">
        <v>46058</v>
      </c>
      <c r="B3" s="2">
        <v>36000</v>
      </c>
      <c r="C3" s="5">
        <v>46058</v>
      </c>
      <c r="D3" s="2">
        <v>6000</v>
      </c>
      <c r="E3" s="2"/>
      <c r="F3" s="5"/>
      <c r="G3" s="5"/>
      <c r="H3"/>
      <c r="XEW3" s="2"/>
      <c r="XEX3" s="2"/>
      <c r="XEY3" s="2"/>
      <c r="XEZ3" s="2"/>
      <c r="XFA3" s="2"/>
      <c r="XFB3" s="2"/>
    </row>
    <row r="4" customFormat="1" ht="20" customHeight="1" spans="1:8 16377:16384">
      <c r="A4" s="5">
        <v>46107</v>
      </c>
      <c r="B4" s="2">
        <v>156000</v>
      </c>
      <c r="C4" s="5">
        <v>46084</v>
      </c>
      <c r="D4" s="2">
        <v>108000</v>
      </c>
      <c r="E4" s="2"/>
      <c r="F4" s="5"/>
      <c r="G4" s="5"/>
      <c r="H4"/>
      <c r="XEW4" s="2"/>
      <c r="XEX4" s="2"/>
      <c r="XEY4" s="2"/>
      <c r="XEZ4" s="2"/>
      <c r="XFA4" s="2"/>
      <c r="XFB4" s="2"/>
    </row>
    <row r="5" customFormat="1" ht="20" customHeight="1" spans="1:8 16377:16384">
      <c r="A5" s="5">
        <v>46160</v>
      </c>
      <c r="B5" s="2">
        <v>120000</v>
      </c>
      <c r="C5" s="5">
        <v>46121</v>
      </c>
      <c r="D5" s="2">
        <v>54000</v>
      </c>
      <c r="E5" s="2"/>
      <c r="F5" s="5"/>
      <c r="G5" s="5"/>
      <c r="H5"/>
      <c r="XEW5" s="2"/>
      <c r="XEX5" s="2"/>
      <c r="XEY5" s="2"/>
      <c r="XEZ5" s="2"/>
      <c r="XFA5" s="2"/>
      <c r="XFB5" s="2"/>
    </row>
    <row r="6" customFormat="1" ht="20" customHeight="1" spans="1:8 16377:16384">
      <c r="A6" s="5">
        <v>46206</v>
      </c>
      <c r="B6" s="2">
        <v>120000</v>
      </c>
      <c r="C6" s="5">
        <v>46164</v>
      </c>
      <c r="D6" s="2">
        <v>36000</v>
      </c>
      <c r="E6" s="2"/>
      <c r="F6" s="5"/>
      <c r="G6" s="5"/>
      <c r="H6"/>
      <c r="XEW6" s="2"/>
      <c r="XEX6" s="2"/>
      <c r="XEY6" s="2"/>
      <c r="XEZ6" s="2"/>
      <c r="XFA6" s="2"/>
      <c r="XFB6" s="2"/>
    </row>
    <row r="7" customFormat="1" ht="20" customHeight="1" spans="1:8 16377:16384">
      <c r="A7" s="5">
        <v>46238</v>
      </c>
      <c r="B7" s="2">
        <v>24000</v>
      </c>
      <c r="C7" s="5">
        <v>46169</v>
      </c>
      <c r="D7" s="2">
        <v>36000</v>
      </c>
      <c r="E7" s="2"/>
      <c r="F7" s="5"/>
      <c r="G7" s="5"/>
      <c r="H7"/>
      <c r="XEW7" s="2"/>
      <c r="XEX7" s="2"/>
      <c r="XEY7" s="2"/>
      <c r="XEZ7" s="2"/>
      <c r="XFA7" s="2"/>
      <c r="XFB7" s="2"/>
    </row>
    <row r="8" customFormat="1" ht="20" customHeight="1" spans="1:8 16377:16384">
      <c r="A8" s="2"/>
      <c r="B8" s="2"/>
      <c r="C8" s="5">
        <v>46181</v>
      </c>
      <c r="D8" s="2">
        <v>72000</v>
      </c>
      <c r="E8" s="2"/>
      <c r="F8" s="5"/>
      <c r="G8" s="5"/>
      <c r="H8"/>
      <c r="XEW8" s="2"/>
      <c r="XEX8" s="2"/>
      <c r="XEY8" s="2"/>
      <c r="XEZ8" s="2"/>
      <c r="XFA8" s="2"/>
      <c r="XFB8" s="2"/>
    </row>
    <row r="9" customFormat="1" ht="20" customHeight="1" spans="1:8 16377:16384">
      <c r="A9" s="2"/>
      <c r="B9" s="2"/>
      <c r="C9" s="5">
        <v>46214</v>
      </c>
      <c r="D9" s="2"/>
      <c r="E9" s="2">
        <v>36000</v>
      </c>
      <c r="F9" s="5"/>
      <c r="G9" s="5"/>
      <c r="H9"/>
      <c r="XEW9" s="2"/>
      <c r="XEX9" s="2"/>
      <c r="XEY9" s="2"/>
      <c r="XEZ9" s="2"/>
      <c r="XFA9" s="2"/>
      <c r="XFB9" s="2"/>
    </row>
    <row r="10" customFormat="1" ht="20" customHeight="1" spans="1:8 16377:16384">
      <c r="A10" s="2"/>
      <c r="B10" s="2"/>
      <c r="C10" s="5">
        <v>46214</v>
      </c>
      <c r="D10" s="2"/>
      <c r="E10" s="2">
        <v>36000</v>
      </c>
      <c r="F10" s="6" t="s">
        <v>1016</v>
      </c>
      <c r="G10" s="5"/>
      <c r="H10"/>
      <c r="XEW10" s="2"/>
      <c r="XEX10" s="2"/>
      <c r="XEY10" s="2"/>
      <c r="XEZ10" s="2"/>
      <c r="XFA10" s="2"/>
      <c r="XFB10" s="2"/>
    </row>
    <row r="11" customFormat="1" ht="20" customHeight="1" spans="1:8 16377:16384">
      <c r="A11" s="2"/>
      <c r="B11" s="2"/>
      <c r="C11" s="5">
        <v>46218</v>
      </c>
      <c r="D11" s="5"/>
      <c r="E11" s="2">
        <v>36000</v>
      </c>
      <c r="F11" s="5"/>
      <c r="G11" s="5"/>
      <c r="H11"/>
      <c r="XEW11" s="2"/>
      <c r="XEX11" s="2"/>
      <c r="XEY11" s="2"/>
      <c r="XEZ11" s="2"/>
      <c r="XFA11" s="2"/>
      <c r="XFB11" s="2"/>
    </row>
    <row r="12" customFormat="1" ht="20" customHeight="1" spans="1:8 16377:16384">
      <c r="A12" s="2"/>
      <c r="B12" s="6" t="s">
        <v>1017</v>
      </c>
      <c r="C12" s="5">
        <v>46221</v>
      </c>
      <c r="D12" s="6" t="s">
        <v>1017</v>
      </c>
      <c r="E12" s="2"/>
      <c r="F12" s="6" t="s">
        <v>1018</v>
      </c>
      <c r="G12" s="6" t="s">
        <v>1015</v>
      </c>
      <c r="H12"/>
      <c r="XEW12" s="2"/>
      <c r="XEX12" s="2"/>
      <c r="XEY12" s="2"/>
      <c r="XEZ12" s="2"/>
      <c r="XFA12" s="2"/>
      <c r="XFB12" s="2"/>
    </row>
    <row r="13" customFormat="1" ht="20" customHeight="1" spans="1:8 16377:16384">
      <c r="A13" s="2"/>
      <c r="B13" s="6" t="s">
        <v>1019</v>
      </c>
      <c r="C13" s="5">
        <v>46221</v>
      </c>
      <c r="D13" s="6" t="s">
        <v>1019</v>
      </c>
      <c r="E13" s="5"/>
      <c r="F13" s="6" t="s">
        <v>1020</v>
      </c>
      <c r="G13" s="6" t="s">
        <v>1015</v>
      </c>
      <c r="H13"/>
      <c r="XEW13" s="2"/>
      <c r="XEX13" s="2"/>
      <c r="XEY13" s="2"/>
      <c r="XEZ13" s="2"/>
      <c r="XFA13" s="2"/>
      <c r="XFB13" s="2"/>
    </row>
    <row r="14" customFormat="1" ht="20" customHeight="1" spans="1:8 16377:16384">
      <c r="A14" s="2"/>
      <c r="B14" s="6" t="s">
        <v>1021</v>
      </c>
      <c r="C14" s="5">
        <v>46221</v>
      </c>
      <c r="D14" s="6" t="s">
        <v>1021</v>
      </c>
      <c r="F14" s="6" t="s">
        <v>1022</v>
      </c>
      <c r="G14" s="6" t="s">
        <v>1015</v>
      </c>
      <c r="H14"/>
      <c r="XEW14" s="2"/>
      <c r="XEX14" s="2"/>
      <c r="XEY14" s="2"/>
      <c r="XEZ14" s="2"/>
      <c r="XFA14" s="2"/>
      <c r="XFB14" s="2"/>
    </row>
    <row r="15" s="1" customFormat="1" ht="20" customHeight="1" spans="1:8 16377:16384">
      <c r="A15" s="7"/>
      <c r="B15" s="7"/>
      <c r="C15" s="8">
        <v>46227</v>
      </c>
      <c r="D15" s="8" t="s">
        <v>1023</v>
      </c>
      <c r="E15" s="8"/>
      <c r="F15" s="8" t="s">
        <v>1024</v>
      </c>
      <c r="G15" s="8" t="s">
        <v>1015</v>
      </c>
      <c r="XEW15" s="7"/>
      <c r="XEX15" s="7"/>
      <c r="XEY15" s="7"/>
      <c r="XEZ15" s="7"/>
      <c r="XFA15" s="7"/>
      <c r="XFB15" s="7"/>
      <c r="XFC15"/>
      <c r="XFD15"/>
    </row>
    <row r="16" customFormat="1" ht="20" customHeight="1" spans="1:8 16377:16384">
      <c r="A16" s="2"/>
      <c r="B16" s="6" t="s">
        <v>1025</v>
      </c>
      <c r="C16" s="5">
        <v>46244</v>
      </c>
      <c r="D16" s="6" t="s">
        <v>1025</v>
      </c>
      <c r="F16" s="8" t="s">
        <v>1026</v>
      </c>
      <c r="G16" s="8" t="s">
        <v>1015</v>
      </c>
      <c r="XEW16" s="2"/>
      <c r="XEX16" s="2"/>
      <c r="XEY16" s="2"/>
      <c r="XEZ16" s="2"/>
      <c r="XFA16" s="2"/>
      <c r="XFB16" s="2"/>
    </row>
    <row r="17" customFormat="1" ht="20" customHeight="1" spans="1:7 16377:16382">
      <c r="A17" s="2"/>
      <c r="B17" s="3" t="s">
        <v>1027</v>
      </c>
      <c r="C17" s="5">
        <v>46244</v>
      </c>
      <c r="D17" s="6"/>
      <c r="E17" s="6" t="s">
        <v>1027</v>
      </c>
      <c r="F17" s="8" t="s">
        <v>1028</v>
      </c>
      <c r="G17" s="8" t="s">
        <v>1029</v>
      </c>
      <c r="XEW17" s="2"/>
      <c r="XEX17" s="2"/>
      <c r="XEY17" s="2"/>
      <c r="XEZ17" s="2"/>
      <c r="XFA17" s="2"/>
      <c r="XFB17" s="2"/>
    </row>
    <row r="18" customFormat="1" ht="20" customHeight="1" spans="1:7 16377:16382">
      <c r="A18" s="2"/>
      <c r="B18" s="2"/>
      <c r="C18" s="5"/>
      <c r="D18"/>
      <c r="XEW18" s="2"/>
      <c r="XEX18" s="2"/>
      <c r="XEY18" s="2"/>
      <c r="XEZ18" s="2"/>
      <c r="XFA18" s="2"/>
      <c r="XFB18" s="2"/>
    </row>
    <row r="19" customFormat="1" ht="20" customHeight="1" spans="1:7 16377:16382">
      <c r="A19" s="2"/>
      <c r="B19" s="2"/>
      <c r="C19" s="5"/>
      <c r="D19"/>
      <c r="XEW19" s="2"/>
      <c r="XEX19" s="2"/>
      <c r="XEY19" s="2"/>
      <c r="XEZ19" s="2"/>
      <c r="XFA19" s="2"/>
      <c r="XFB19" s="2"/>
    </row>
    <row r="20" customFormat="1" ht="20" customHeight="1" spans="1:7 16377:16382">
      <c r="A20" s="2"/>
      <c r="B20" s="2"/>
      <c r="C20" s="5"/>
      <c r="D20"/>
      <c r="XEW20" s="2"/>
      <c r="XEX20" s="2"/>
      <c r="XEY20" s="2"/>
      <c r="XEZ20" s="2"/>
      <c r="XFA20" s="2"/>
      <c r="XFB20" s="2"/>
    </row>
    <row r="21" customFormat="1" ht="20" customHeight="1" spans="1:7 16377:16382">
      <c r="A21" s="2"/>
      <c r="B21" s="2"/>
      <c r="C21" s="5"/>
      <c r="D21"/>
      <c r="XEW21" s="2"/>
      <c r="XEX21" s="2"/>
      <c r="XEY21" s="2"/>
      <c r="XEZ21" s="2"/>
      <c r="XFA21" s="2"/>
      <c r="XFB21" s="2"/>
    </row>
    <row r="22" customFormat="1" ht="20" customHeight="1" spans="1:7 16377:16382">
      <c r="A22" s="2"/>
      <c r="B22" s="2"/>
      <c r="C22" s="5"/>
      <c r="D22"/>
      <c r="XEW22" s="2"/>
      <c r="XEX22" s="2"/>
      <c r="XEY22" s="2"/>
      <c r="XEZ22" s="2"/>
      <c r="XFA22" s="2"/>
      <c r="XFB22" s="2"/>
    </row>
    <row r="23" customFormat="1" ht="20" customHeight="1" spans="1:7 16377:16382">
      <c r="A23" s="2"/>
      <c r="B23" s="2"/>
      <c r="C23" s="5"/>
      <c r="D23"/>
      <c r="XEW23" s="2"/>
      <c r="XEX23" s="2"/>
      <c r="XEY23" s="2"/>
      <c r="XEZ23" s="2"/>
      <c r="XFA23" s="2"/>
      <c r="XFB23" s="2"/>
    </row>
    <row r="24" customFormat="1" ht="20" customHeight="1" spans="1:7 16377:16382">
      <c r="A24" s="2"/>
      <c r="B24" s="2"/>
      <c r="C24" s="5"/>
      <c r="D24"/>
      <c r="XEW24" s="2"/>
      <c r="XEX24" s="2"/>
      <c r="XEY24" s="2"/>
      <c r="XEZ24" s="2"/>
      <c r="XFA24" s="2"/>
      <c r="XFB24" s="2"/>
    </row>
    <row r="25" s="2" customFormat="1" ht="20" customHeight="1" spans="1:7 16377:16382">
      <c r="C25" s="5"/>
    </row>
    <row r="26" customFormat="1" ht="20" customHeight="1" spans="1:7 16377:16382">
      <c r="A26" s="2"/>
      <c r="B26" s="2"/>
      <c r="C26" s="5"/>
      <c r="D26"/>
      <c r="XEW26" s="2"/>
      <c r="XEX26" s="2"/>
      <c r="XEY26" s="2"/>
      <c r="XEZ26" s="2"/>
      <c r="XFA26" s="2"/>
      <c r="XFB26" s="2"/>
    </row>
    <row r="27" customFormat="1" ht="20" customHeight="1" spans="1:7 16377:16382">
      <c r="A27" s="2"/>
      <c r="B27" s="2"/>
      <c r="C27" s="5"/>
      <c r="D27"/>
      <c r="XEW27" s="2"/>
      <c r="XEX27" s="2"/>
      <c r="XEY27" s="2"/>
      <c r="XEZ27" s="2"/>
      <c r="XFA27" s="2"/>
      <c r="XFB27" s="2"/>
    </row>
    <row r="28" customFormat="1" ht="20" customHeight="1" spans="1:7 16377:16382">
      <c r="A28" s="2"/>
      <c r="B28" s="2"/>
      <c r="C28" s="5"/>
      <c r="D28"/>
      <c r="XEW28" s="2"/>
      <c r="XEX28" s="2"/>
      <c r="XEY28" s="2"/>
      <c r="XEZ28" s="2"/>
      <c r="XFA28" s="2"/>
      <c r="XFB28" s="2"/>
    </row>
    <row r="29" customFormat="1" ht="20" customHeight="1" spans="1:7 16377:16382">
      <c r="A29" s="2"/>
      <c r="B29" s="2"/>
      <c r="C29" s="5"/>
      <c r="D29"/>
      <c r="XEW29" s="2"/>
      <c r="XEX29" s="2"/>
      <c r="XEY29" s="2"/>
      <c r="XEZ29" s="2"/>
      <c r="XFA29" s="2"/>
      <c r="XFB29" s="2"/>
    </row>
    <row r="30" customFormat="1" ht="20" customHeight="1" spans="1:7 16377:16382">
      <c r="A30" s="2"/>
      <c r="B30" s="2"/>
      <c r="C30" s="5"/>
      <c r="D30"/>
      <c r="XEW30" s="2"/>
      <c r="XEX30" s="2"/>
      <c r="XEY30" s="2"/>
      <c r="XEZ30" s="2"/>
      <c r="XFA30" s="2"/>
      <c r="XFB30" s="2"/>
    </row>
    <row r="31" customFormat="1" ht="20" customHeight="1" spans="1:7 16377:16382">
      <c r="A31" s="2"/>
      <c r="B31" s="2"/>
      <c r="C31" s="5"/>
      <c r="D31"/>
      <c r="XEW31" s="2"/>
      <c r="XEX31" s="2"/>
      <c r="XEY31" s="2"/>
      <c r="XEZ31" s="2"/>
      <c r="XFA31" s="2"/>
      <c r="XFB31" s="2"/>
    </row>
    <row r="32" customFormat="1" ht="20" customHeight="1" spans="1:7 16377:16382">
      <c r="A32" s="2"/>
      <c r="B32" s="2"/>
      <c r="C32" s="5"/>
      <c r="D32"/>
      <c r="XEW32" s="2"/>
      <c r="XEX32" s="2"/>
      <c r="XEY32" s="2"/>
      <c r="XEZ32" s="2"/>
      <c r="XFA32" s="2"/>
      <c r="XFB32" s="2"/>
    </row>
    <row r="33" customFormat="1" ht="20" customHeight="1" spans="1:4 16377:16382">
      <c r="A33" s="2"/>
      <c r="B33" s="2"/>
      <c r="C33" s="5"/>
      <c r="D33"/>
      <c r="XEW33" s="2"/>
      <c r="XEX33" s="2"/>
      <c r="XEY33" s="2"/>
      <c r="XEZ33" s="2"/>
      <c r="XFA33" s="2"/>
      <c r="XFB33" s="2"/>
    </row>
    <row r="34" customFormat="1" ht="20" customHeight="1" spans="1:4 16377:16382">
      <c r="A34" s="2"/>
      <c r="B34" s="2"/>
      <c r="C34" s="5"/>
      <c r="D34"/>
      <c r="XEW34" s="2"/>
      <c r="XEX34" s="2"/>
      <c r="XEY34" s="2"/>
      <c r="XEZ34" s="2"/>
      <c r="XFA34" s="2"/>
      <c r="XFB34" s="2"/>
    </row>
    <row r="35" customFormat="1" ht="20" customHeight="1" spans="1:4 16377:16382">
      <c r="A35" s="2"/>
      <c r="B35" s="2"/>
      <c r="C35" s="5"/>
      <c r="D35"/>
      <c r="XEW35" s="2"/>
      <c r="XEX35" s="2"/>
      <c r="XEY35" s="2"/>
      <c r="XEZ35" s="2"/>
      <c r="XFA35" s="2"/>
      <c r="XFB35" s="2"/>
    </row>
    <row r="36" customFormat="1" ht="20" customHeight="1" spans="1:4 16377:16382">
      <c r="A36" s="2"/>
      <c r="B36" s="2"/>
      <c r="C36" s="5"/>
      <c r="D36"/>
      <c r="XEW36" s="2"/>
      <c r="XEX36" s="2"/>
      <c r="XEY36" s="2"/>
      <c r="XEZ36" s="2"/>
      <c r="XFA36" s="2"/>
      <c r="XFB36" s="2"/>
    </row>
    <row r="37" customFormat="1" ht="20" customHeight="1" spans="1:4 16377:16382">
      <c r="A37" s="2"/>
      <c r="B37" s="2"/>
      <c r="C37" s="5"/>
      <c r="D37"/>
      <c r="XEW37" s="2"/>
      <c r="XEX37" s="2"/>
      <c r="XEY37" s="2"/>
      <c r="XEZ37" s="2"/>
      <c r="XFA37" s="2"/>
      <c r="XFB37" s="2"/>
    </row>
    <row r="38" customFormat="1" ht="20" customHeight="1" spans="1:4 16377:16382">
      <c r="A38" s="2"/>
      <c r="B38" s="2"/>
      <c r="C38" s="5"/>
      <c r="D38"/>
      <c r="XEW38" s="2"/>
      <c r="XEX38" s="2"/>
      <c r="XEY38" s="2"/>
      <c r="XEZ38" s="2"/>
      <c r="XFA38" s="2"/>
      <c r="XFB38" s="2"/>
    </row>
    <row r="39" customFormat="1" ht="20" customHeight="1" spans="1:4 16377:16382">
      <c r="A39" s="2"/>
      <c r="B39" s="2"/>
      <c r="C39" s="5"/>
      <c r="D39"/>
      <c r="XEW39" s="2"/>
      <c r="XEX39" s="2"/>
      <c r="XEY39" s="2"/>
      <c r="XEZ39" s="2"/>
      <c r="XFA39" s="2"/>
      <c r="XFB39" s="2"/>
    </row>
    <row r="40" customFormat="1" ht="20" customHeight="1" spans="1:4 16377:16382">
      <c r="A40" s="2"/>
      <c r="B40" s="2"/>
      <c r="C40" s="5"/>
      <c r="D40"/>
      <c r="XEW40" s="2"/>
      <c r="XEX40" s="2"/>
      <c r="XEY40" s="2"/>
      <c r="XEZ40" s="2"/>
      <c r="XFA40" s="2"/>
      <c r="XFB40" s="2"/>
    </row>
    <row r="41" customFormat="1" ht="20" customHeight="1" spans="1:4 16377:16382">
      <c r="A41" s="2"/>
      <c r="B41" s="2"/>
      <c r="C41" s="5"/>
      <c r="D41"/>
      <c r="XEW41" s="2"/>
      <c r="XEX41" s="2"/>
      <c r="XEY41" s="2"/>
      <c r="XEZ41" s="2"/>
      <c r="XFA41" s="2"/>
      <c r="XFB41" s="2"/>
    </row>
    <row r="42" customFormat="1" ht="20" customHeight="1" spans="1:4 16377:16382">
      <c r="A42" s="2"/>
      <c r="B42" s="2"/>
      <c r="C42" s="5"/>
      <c r="D42"/>
      <c r="XEW42" s="2"/>
      <c r="XEX42" s="2"/>
      <c r="XEY42" s="2"/>
      <c r="XEZ42" s="2"/>
      <c r="XFA42" s="2"/>
      <c r="XFB42" s="2"/>
    </row>
    <row r="43" customFormat="1" ht="20" customHeight="1" spans="1:4 16377:16382">
      <c r="A43" s="2"/>
      <c r="B43" s="2"/>
      <c r="C43" s="5"/>
      <c r="D43" s="2"/>
      <c r="E43"/>
      <c r="XEW43" s="2"/>
      <c r="XEX43" s="2"/>
      <c r="XEY43" s="2"/>
      <c r="XEZ43" s="2"/>
      <c r="XFA43" s="2"/>
      <c r="XFB43" s="2"/>
    </row>
    <row r="44" customFormat="1" ht="20" customHeight="1" spans="1:4 16377:16382">
      <c r="A44" s="2"/>
      <c r="B44" s="2"/>
      <c r="C44" s="5"/>
      <c r="D44"/>
      <c r="XEW44" s="2"/>
      <c r="XEX44" s="2"/>
      <c r="XEY44" s="2"/>
      <c r="XEZ44" s="2"/>
      <c r="XFA44" s="2"/>
      <c r="XFB44" s="2"/>
    </row>
    <row r="45" customFormat="1" ht="20" customHeight="1" spans="1:4 16377:16382">
      <c r="A45" s="2"/>
      <c r="B45" s="2"/>
      <c r="C45" s="2"/>
      <c r="XEW45" s="2"/>
      <c r="XEX45" s="2"/>
      <c r="XEY45" s="2"/>
      <c r="XEZ45" s="2"/>
      <c r="XFA45" s="2"/>
      <c r="XFB45" s="2"/>
    </row>
    <row r="46" customFormat="1" ht="20" customHeight="1" spans="1:4 16377:16382">
      <c r="A46" s="2"/>
      <c r="B46" s="2"/>
      <c r="C46" s="9"/>
      <c r="D46"/>
      <c r="XEW46" s="2"/>
      <c r="XEX46" s="2"/>
      <c r="XEY46" s="2"/>
      <c r="XEZ46" s="2"/>
      <c r="XFA46" s="2"/>
      <c r="XFB46" s="2"/>
    </row>
    <row r="47" customFormat="1" ht="20" customHeight="1" spans="1:4 16377:16382">
      <c r="A47" s="2"/>
      <c r="B47" s="2"/>
      <c r="C47" s="9"/>
      <c r="D47" s="2"/>
      <c r="E47"/>
      <c r="XEW47" s="2"/>
      <c r="XEX47" s="2"/>
      <c r="XEY47" s="2"/>
      <c r="XEZ47" s="2"/>
      <c r="XFA47" s="2"/>
      <c r="XFB47" s="2"/>
    </row>
    <row r="48" customFormat="1" ht="20" customHeight="1" spans="1:4 16377:16382">
      <c r="A48" s="2"/>
      <c r="B48" s="2"/>
      <c r="C48" s="9"/>
      <c r="D48"/>
      <c r="XEW48" s="2"/>
      <c r="XEX48" s="2"/>
      <c r="XEY48" s="2"/>
      <c r="XEZ48" s="2"/>
      <c r="XFA48" s="2"/>
      <c r="XFB48" s="2"/>
    </row>
    <row r="49" customFormat="1" ht="20" customHeight="1" spans="1:8 16377:16382">
      <c r="A49" s="2"/>
      <c r="B49" s="2"/>
      <c r="C49" s="9"/>
      <c r="D49" s="2"/>
      <c r="E49"/>
      <c r="XEW49" s="2"/>
      <c r="XEX49" s="2"/>
      <c r="XEY49" s="2"/>
      <c r="XEZ49" s="2"/>
      <c r="XFA49" s="2"/>
      <c r="XFB49" s="2"/>
    </row>
    <row r="50" customFormat="1" ht="20" customHeight="1" spans="1:8 16377:16382">
      <c r="A50" s="2"/>
      <c r="B50" s="2"/>
      <c r="C50" s="9"/>
      <c r="D50" s="2"/>
      <c r="E50"/>
      <c r="XEW50" s="2"/>
      <c r="XEX50" s="2"/>
      <c r="XEY50" s="2"/>
      <c r="XEZ50" s="2"/>
      <c r="XFA50" s="2"/>
      <c r="XFB50" s="2"/>
    </row>
    <row r="51" customFormat="1" ht="20" customHeight="1" spans="1:8 16377:16382">
      <c r="A51" s="2"/>
      <c r="B51" s="2"/>
      <c r="C51" s="9"/>
      <c r="D51"/>
      <c r="XEW51" s="2"/>
      <c r="XEX51" s="2"/>
      <c r="XEY51" s="2"/>
      <c r="XEZ51" s="2"/>
      <c r="XFA51" s="2"/>
      <c r="XFB51" s="2"/>
    </row>
    <row r="52" customFormat="1" ht="20" customHeight="1" spans="1:8 16377:16382">
      <c r="A52" s="2"/>
      <c r="B52" s="2"/>
      <c r="C52" s="9"/>
      <c r="D52"/>
      <c r="XEW52" s="2"/>
      <c r="XEX52" s="2"/>
      <c r="XEY52" s="2"/>
      <c r="XEZ52" s="2"/>
      <c r="XFA52" s="2"/>
      <c r="XFB52" s="2"/>
    </row>
    <row r="53" customFormat="1" ht="20" customHeight="1" spans="1:8 16377:16382">
      <c r="A53" s="2"/>
      <c r="B53" s="2"/>
      <c r="C53" s="9"/>
      <c r="D53" s="2"/>
      <c r="E53"/>
      <c r="XEW53" s="2"/>
      <c r="XEX53" s="2"/>
      <c r="XEY53" s="2"/>
      <c r="XEZ53" s="2"/>
      <c r="XFA53" s="2"/>
      <c r="XFB53" s="2"/>
    </row>
    <row r="54" customFormat="1" ht="20" customHeight="1" spans="1:8 16377:16382">
      <c r="A54" s="2"/>
      <c r="B54" s="2"/>
      <c r="C54" s="9"/>
      <c r="D54"/>
      <c r="XEW54" s="2"/>
      <c r="XEX54" s="2"/>
      <c r="XEY54" s="2"/>
      <c r="XEZ54" s="2"/>
      <c r="XFA54" s="2"/>
      <c r="XFB54" s="2"/>
    </row>
    <row r="55" customFormat="1" ht="20" customHeight="1" spans="1:8 16377:16382">
      <c r="A55" s="2"/>
      <c r="B55" s="2"/>
      <c r="C55" s="9"/>
      <c r="D55" s="2"/>
      <c r="E55"/>
      <c r="XEW55" s="2"/>
      <c r="XEX55" s="2"/>
      <c r="XEY55" s="2"/>
      <c r="XEZ55" s="2"/>
      <c r="XFA55" s="2"/>
      <c r="XFB55" s="2"/>
    </row>
    <row r="56" customFormat="1" ht="20" customHeight="1" spans="1:8 16377:16382">
      <c r="A56" s="2"/>
      <c r="B56" s="2"/>
      <c r="C56" s="9"/>
      <c r="D56" s="2"/>
      <c r="E56"/>
      <c r="XEW56" s="2"/>
      <c r="XEX56" s="2"/>
      <c r="XEY56" s="2"/>
      <c r="XEZ56" s="2"/>
      <c r="XFA56" s="2"/>
      <c r="XFB56" s="2"/>
    </row>
    <row r="57" customFormat="1" ht="20" customHeight="1" spans="1:8 16377:16382">
      <c r="A57" s="2"/>
      <c r="B57" s="2"/>
      <c r="C57" s="9"/>
      <c r="D57" s="2"/>
      <c r="E57"/>
      <c r="XEW57" s="2"/>
      <c r="XEX57" s="2"/>
      <c r="XEY57" s="2"/>
      <c r="XEZ57" s="2"/>
      <c r="XFA57" s="2"/>
      <c r="XFB57" s="2"/>
    </row>
    <row r="58" customFormat="1" ht="20" customHeight="1" spans="1:8 16377:16382">
      <c r="A58" s="2"/>
      <c r="B58" s="2"/>
      <c r="C58" s="9"/>
      <c r="D58"/>
      <c r="XEW58" s="2"/>
      <c r="XEX58" s="2"/>
      <c r="XEY58" s="2"/>
      <c r="XEZ58" s="2"/>
      <c r="XFA58" s="2"/>
      <c r="XFB58" s="2"/>
    </row>
    <row r="59" customFormat="1" ht="20" customHeight="1" spans="1:8 16377:16382">
      <c r="A59" s="2"/>
      <c r="B59" s="2"/>
      <c r="C59" s="9"/>
      <c r="D59"/>
      <c r="E59"/>
      <c r="F59"/>
      <c r="G59"/>
      <c r="H59" s="2"/>
      <c r="I59"/>
      <c r="XEW59" s="2"/>
      <c r="XEX59" s="2"/>
      <c r="XEY59" s="2"/>
      <c r="XEZ59" s="2"/>
      <c r="XFA59" s="2"/>
      <c r="XFB59" s="2"/>
    </row>
    <row r="60" customFormat="1" ht="20" customHeight="1" spans="1:8 16377:16382">
      <c r="A60" s="2"/>
      <c r="B60" s="2"/>
      <c r="C60" s="9"/>
      <c r="D60"/>
      <c r="XEW60" s="2"/>
      <c r="XEX60" s="2"/>
      <c r="XEY60" s="2"/>
      <c r="XEZ60" s="2"/>
      <c r="XFA60" s="2"/>
      <c r="XFB60" s="2"/>
    </row>
    <row r="61" customFormat="1" ht="20" customHeight="1" spans="1:8 16377:16382">
      <c r="A61" s="2"/>
      <c r="B61" s="2"/>
      <c r="C61" s="9"/>
      <c r="D61"/>
      <c r="XEW61" s="2"/>
      <c r="XEX61" s="2"/>
      <c r="XEY61" s="2"/>
      <c r="XEZ61" s="2"/>
      <c r="XFA61" s="2"/>
      <c r="XFB61" s="2"/>
    </row>
    <row r="62" customFormat="1" ht="20" customHeight="1" spans="1:8 16377:16382">
      <c r="A62" s="2"/>
      <c r="B62" s="2"/>
      <c r="C62" s="9"/>
      <c r="D62"/>
      <c r="XEW62" s="2"/>
      <c r="XEX62" s="2"/>
      <c r="XEY62" s="2"/>
      <c r="XEZ62" s="2"/>
      <c r="XFA62" s="2"/>
      <c r="XFB62" s="2"/>
    </row>
    <row r="63" customFormat="1" ht="20" customHeight="1" spans="1:8 16377:16382">
      <c r="A63" s="2"/>
      <c r="B63" s="2"/>
      <c r="C63" s="9"/>
      <c r="D63"/>
      <c r="XEW63" s="2"/>
      <c r="XEX63" s="2"/>
      <c r="XEY63" s="2"/>
      <c r="XEZ63" s="2"/>
      <c r="XFA63" s="2"/>
      <c r="XFB63" s="2"/>
    </row>
    <row r="64" customFormat="1" ht="20" customHeight="1" spans="1:8 16377:16382">
      <c r="A64" s="2"/>
      <c r="B64" s="2"/>
      <c r="C64" s="9"/>
      <c r="D64"/>
      <c r="XEW64" s="2"/>
      <c r="XEX64" s="2"/>
      <c r="XEY64" s="2"/>
      <c r="XEZ64" s="2"/>
      <c r="XFA64" s="2"/>
      <c r="XFB64" s="2"/>
    </row>
    <row r="65" customFormat="1" ht="20" customHeight="1" spans="1:3 16377:16382">
      <c r="A65" s="2"/>
      <c r="B65" s="2"/>
      <c r="C65" s="9"/>
      <c r="D65"/>
      <c r="XEW65" s="2"/>
      <c r="XEX65" s="2"/>
      <c r="XEY65" s="2"/>
      <c r="XEZ65" s="2"/>
      <c r="XFA65" s="2"/>
      <c r="XFB65" s="2"/>
    </row>
    <row r="66" customFormat="1" ht="20" customHeight="1" spans="1:3 16377:16382">
      <c r="A66" s="2"/>
      <c r="B66" s="2"/>
      <c r="C66" s="5"/>
      <c r="D66"/>
      <c r="XEW66" s="2"/>
      <c r="XEX66" s="2"/>
      <c r="XEY66" s="2"/>
      <c r="XEZ66" s="2"/>
      <c r="XFA66" s="2"/>
      <c r="XFB66" s="2"/>
    </row>
    <row r="67" customFormat="1" ht="20" customHeight="1" spans="1:3 16377:16382">
      <c r="A67" s="2"/>
      <c r="B67" s="2"/>
      <c r="C67" s="5"/>
      <c r="D67"/>
      <c r="XEW67" s="2"/>
      <c r="XEX67" s="2"/>
      <c r="XEY67" s="2"/>
      <c r="XEZ67" s="2"/>
      <c r="XFA67" s="2"/>
      <c r="XFB67" s="2"/>
    </row>
    <row r="68" customFormat="1" ht="20" customHeight="1" spans="1:3 16377:16382">
      <c r="A68" s="2"/>
      <c r="B68" s="2"/>
      <c r="C68" s="5"/>
      <c r="D68"/>
      <c r="XEW68" s="2"/>
      <c r="XEX68" s="2"/>
      <c r="XEY68" s="2"/>
      <c r="XEZ68" s="2"/>
      <c r="XFA68" s="2"/>
      <c r="XFB68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60">
    <commentChains s:ref="F7" rgbClr="FF0000">
      <unresolved>
        <commentChain chainId="d0d91b84f13f80fdaaf7586b29fcd6186cadc5d3">
          <item id="991cee8f369b176dacc1717e3922ebcd35810415" isNormal="1">
            <s:text>
              <s:r>
                <s:t xml:space="preserve">Administrator:
转600PCS到10107799</s:t>
              </s:r>
            </s:text>
          </item>
        </commentChain>
      </unresolved>
      <resolved/>
    </commentChains>
    <commentChains s:ref="F8" rgbClr="FF0000">
      <unresolved>
        <commentChain chainId="5a3fb453844e0d5b4d8294cd2305b32af863167b">
          <item id="4a7b6538f95cea8847b5f2d9766a2a261047922f" isNormal="1">
            <s:text>
              <s:r>
                <s:t xml:space="preserve">Administrator:
转396PCS到10113988</s:t>
              </s:r>
            </s:text>
          </item>
        </commentChain>
      </unresolved>
      <resolved/>
    </commentChains>
    <commentChains s:ref="F9" rgbClr="FF0000">
      <unresolved>
        <commentChain chainId="823bbcbac2145284d541103f6aff029f6e0dddcc">
          <item id="f49ba35e048eacbb002b96aaa4d06a9cd918764f" isNormal="1">
            <s:text>
              <s:r>
                <s:t xml:space="preserve">Administrator:
转600PCS到10113988</s:t>
              </s:r>
            </s:text>
          </item>
        </commentChain>
      </unresolved>
      <resolved/>
    </commentChains>
    <commentChains s:ref="F22" rgbClr="FF0000">
      <unresolved>
        <commentChain chainId="24680fa2836939b3630a69e641f81453a25d0474">
          <item id="0651b54b390ed692c9bfaee16c2be80e30305646" isNormal="1">
            <s:text>
              <s:r>
                <s:t xml:space="preserve">Administrator:
转500PCS到PO10113988</s:t>
              </s:r>
            </s:text>
          </item>
        </commentChain>
      </unresolved>
      <resolved/>
    </commentChains>
    <commentChains s:ref="F24" rgbClr="FF0000">
      <unresolved>
        <commentChain chainId="7c4b34636a1049c52cb4b83dfe4194f8e913fff1">
          <item id="6696674869f7e011ce4fe285a75284c5b5e5d54e" isNormal="1">
            <s:text>
              <s:r>
                <s:t xml:space="preserve">Administrator:
从10107795转入600PCS
转600PCS到10118672
</s:t>
              </s:r>
            </s:text>
          </item>
        </commentChain>
      </unresolved>
      <resolved/>
    </commentChains>
    <commentChains s:ref="F52" rgbClr="FF0000">
      <unresolved>
        <commentChain chainId="e61eb0abe1ecb754f2bfef9a7571ddaf00140936">
          <item id="e8d379a96144eaf50d2958ed9e0ee9056642d892" isNormal="1">
            <s:text>
              <s:r>
                <s:t xml:space="preserve">Administrator:
转120PCS到10112872</s:t>
              </s:r>
            </s:text>
          </item>
        </commentChain>
      </unresolved>
      <resolved/>
    </commentChains>
    <commentChains s:ref="F54" rgbClr="FF0000">
      <unresolved>
        <commentChain chainId="e4fc128d1e89b58558cbacf4c3f2f3f0cf209267">
          <item id="f90f380970bea859df5a4d0dd26127c4c552938d" isNormal="1">
            <s:text>
              <s:r>
                <s:t xml:space="preserve">Administrator:
从10112827转入</s:t>
              </s:r>
            </s:text>
          </item>
        </commentChain>
      </unresolved>
      <resolved/>
    </commentChains>
    <commentChains s:ref="F67" rgbClr="FF0000">
      <unresolved>
        <commentChain chainId="4600f8919a829b6bc686f80d1bae0135292bb6fa">
          <item id="314e625b20f9914fe90116d1ccf14f01b1e56ac2" isNormal="1">
            <s:text>
              <s:r>
                <s:t xml:space="preserve">Administrator:
从10107798转入500PCS</s:t>
              </s:r>
            </s:text>
          </item>
        </commentChain>
      </unresolved>
      <resolved/>
    </commentChains>
    <commentChains s:ref="F83" rgbClr="FF0000">
      <unresolved>
        <commentChain chainId="6f6805346915bc5788fcc8bb7e9bda1845efc3e3">
          <item id="9823bac22771c04c7c4e55cb3dad2bb0454f12b5" isNormal="1">
            <s:text>
              <s:r>
                <s:t xml:space="preserve">Administrator:
转600PCS到10118672</s:t>
              </s:r>
            </s:text>
          </item>
        </commentChain>
      </unresolved>
      <resolved/>
    </commentChains>
    <commentChains s:ref="F84" rgbClr="FF0000">
      <unresolved>
        <commentChain chainId="dd7e92e8a6835b6462354b613292046ede82c4b5">
          <item id="c532f28ba31774c6f1c77467d73fd6db82923900" isNormal="1">
            <s:text>
              <s:r>
                <s:t xml:space="preserve">Administrator:
转480PCS到10118672</s:t>
              </s:r>
            </s:text>
          </item>
        </commentChain>
      </unresolved>
      <resolved/>
    </commentChains>
    <commentChains s:ref="F92" rgbClr="FF0000">
      <unresolved>
        <commentChain chainId="5216963d79e1f8dbad463924703d6555c4c36223">
          <item id="d5c8f1d21050205b27a12b03fd2b0818f154dd16" isNormal="1">
            <s:text>
              <s:r>
                <s:t xml:space="preserve">Administrator:
转600pcs到10118672</s:t>
              </s:r>
            </s:text>
          </item>
        </commentChain>
      </unresolved>
      <resolved/>
    </commentChains>
    <commentChains s:ref="F94" rgbClr="FF0000">
      <unresolved>
        <commentChain chainId="698905a55495970b9313522f3057904d4264c6b3">
          <item id="84600704db9092e7134ebf1274442efcd348a358" isNormal="1">
            <s:text>
              <s:r>
                <s:t xml:space="preserve">Administrator:
转4000PCS到10123469</s:t>
              </s:r>
            </s:text>
          </item>
        </commentChain>
      </unresolved>
      <resolved/>
    </commentChains>
    <commentChains s:ref="F95" rgbClr="FF0000">
      <unresolved>
        <commentChain chainId="f7793eccc3dc8c74ed6711afce221583846e45a6">
          <item id="d7f9d1f35d5ae20d931fd2e853eaf897cba56d9b" isNormal="1">
            <s:text>
              <s:r>
                <s:t xml:space="preserve">Administrator:
转600pcs到10118672</s:t>
              </s:r>
            </s:text>
          </item>
        </commentChain>
      </unresolved>
      <resolved/>
    </commentChains>
    <commentChains s:ref="F96" rgbClr="FF0000">
      <unresolved>
        <commentChain chainId="cedb141bc8e87bdd7b8c8fdc5412d11253103cab">
          <item id="ea554f244b904308d9fb101398700a6d91381449" isNormal="1">
            <s:text>
              <s:r>
                <s:t xml:space="preserve">Administrator:
转2000PCS到10123469</s:t>
              </s:r>
            </s:text>
          </item>
        </commentChain>
      </unresolved>
      <resolved/>
    </commentChains>
    <commentChains s:ref="F97" rgbClr="FF0000">
      <unresolved>
        <commentChain chainId="280e3d8ea5259bacd48dfde8754611e97361718a">
          <item id="b569c6a48bc7ee75a38913740d9222b84815795f" isNormal="1">
            <s:text>
              <s:r>
                <s:t xml:space="preserve">Administrator:
转480PCS到10118672</s:t>
              </s:r>
            </s:text>
          </item>
        </commentChain>
      </unresolved>
      <resolved/>
    </commentChains>
    <commentChains s:ref="F99" rgbClr="FF0000">
      <unresolved>
        <commentChain chainId="84aad2acdc972b0c00b1e5b32c4a8f1e5eb16d80">
          <item id="273c4cd078d978c242cee09a43e803ecbb6ac8bf" isNormal="1">
            <s:text>
              <s:r>
                <s:t xml:space="preserve">Administrator:
转1200PCS到10118672</s:t>
              </s:r>
            </s:text>
          </item>
        </commentChain>
      </unresolved>
      <resolved/>
    </commentChains>
    <commentChains s:ref="F106" rgbClr="FF0000">
      <unresolved>
        <commentChain chainId="ef529da75ed1e6e1ada88b7e53f9a4ca81d50ba2">
          <item id="616ebf526e8932c1e7b2cb465b0ef43eb5d6eb0f" isNormal="1">
            <s:text>
              <s:r>
                <s:t xml:space="preserve">Administrator:
转1000PCS到10120342</s:t>
              </s:r>
            </s:text>
          </item>
        </commentChain>
      </unresolved>
      <resolved/>
    </commentChains>
    <commentChains s:ref="F160" rgbClr="FF0000">
      <unresolved>
        <commentChain chainId="4e9443232edc5ca42fa096339df3b0fa6c0514c5">
          <item id="4ff04bd16b862f7250c2b0bc43165610bcea53cc" isNormal="1">
            <s:text>
              <s:r>
                <s:t xml:space="preserve">Administrator:
转1000PCS到10120342</s:t>
              </s:r>
            </s:text>
          </item>
        </commentChain>
      </unresolved>
      <resolved/>
    </commentChains>
    <commentChains s:ref="F167" rgbClr="FF0000">
      <unresolved>
        <commentChain chainId="d3186ccb6742e2b2b8a700e801da0cf6e6cda60d">
          <item id="1d131538bba44263a6c1b306c7cfff8e44ace322" isNormal="1">
            <s:text>
              <s:r>
                <s:t xml:space="preserve">Administrator:
3/20转900PCS到PO#10122974</s:t>
              </s:r>
            </s:text>
          </item>
        </commentChain>
      </unresolved>
      <resolved/>
    </commentChains>
    <commentChains s:ref="F170" rgbClr="FF0000">
      <unresolved>
        <commentChain chainId="cedeb70309d625a6f68139f77b9b3d81fa014bfa">
          <item id="55ab6a8f3cdcb74a54d3f7fdb1b06849c5189f72" isNormal="1">
            <s:text>
              <s:r>
                <s:t xml:space="preserve">Administrator:
转480PCS到10123675</s:t>
              </s:r>
            </s:text>
          </item>
        </commentChain>
      </unresolved>
      <resolved/>
    </commentChains>
    <commentChains s:ref="F208" rgbClr="FF0000">
      <unresolved>
        <commentChain chainId="f0e6ea4125b0c077a7b1ae623c87b21cd07c8b1b">
          <item id="3dc230fdafc514ee9c1572ff7aac0e4ffeb56505" isNormal="1">
            <s:text>
              <s:r>
                <s:t xml:space="preserve">Administrator:
从10118802转入</s:t>
              </s:r>
            </s:text>
          </item>
        </commentChain>
      </unresolved>
      <resolved/>
    </commentChains>
    <commentChains s:ref="F209" rgbClr="FF0000">
      <unresolved>
        <commentChain chainId="591d70de73e48479bc6a2ebf1dbfaf66a24bfdb1">
          <item id="08f25d93cb99963fed7500a9da6f0c3698c5d598" isNormal="1">
            <s:text>
              <s:r>
                <s:t xml:space="preserve">Administrator:
从10116827转入</s:t>
              </s:r>
            </s:text>
          </item>
        </commentChain>
      </unresolved>
      <resolved/>
    </commentChains>
    <commentChains s:ref="F223" rgbClr="FF0000">
      <unresolved>
        <commentChain chainId="ace9666c5477c287161a83e6b00f8af4818723bc">
          <item id="174a9b9ce4c153829928b3a6d887229ea9eb40cf" isNormal="1">
            <s:text>
              <s:r>
                <s:t xml:space="preserve">Administrator:
3000pcs转至PO10128113</s:t>
              </s:r>
            </s:text>
          </item>
        </commentChain>
      </unresolved>
      <resolved/>
    </commentChains>
    <commentChains s:ref="F231" rgbClr="FF0000">
      <unresolved>
        <commentChain chainId="9c74cee77a20282ee0cf5780f58bb8529cfefa4e">
          <item id="7c69d892aa9846d0064d06e98018267c1978a2e6" isNormal="1">
            <s:text>
              <s:r>
                <s:t xml:space="preserve">Administrator:
转480PCS到 PO#10123675</s:t>
              </s:r>
            </s:text>
          </item>
        </commentChain>
      </unresolved>
      <resolved/>
    </commentChains>
    <commentChains s:ref="F232" rgbClr="FF0000">
      <unresolved>
        <commentChain chainId="1e7600181cdda65f1277945f0399fae9c368dead">
          <item id="6ab5c80abffd778be5d22523c74acfe42983d252" isNormal="1">
            <s:text>
              <s:r>
                <s:t xml:space="preserve">Administrator:
转480PCS到 PO#10123675</s:t>
              </s:r>
            </s:text>
          </item>
        </commentChain>
      </unresolved>
      <resolved/>
    </commentChains>
    <commentChains s:ref="F243" rgbClr="FF0000">
      <unresolved>
        <commentChain chainId="4a6d070112c99373abdfc19ee211e37af45f61a7">
          <item id="886c2e1239fcea1a71c817f61bffdf26f1f02f12" isNormal="1">
            <s:text>
              <s:r>
                <s:t xml:space="preserve">120pcs转至PO20219135</s:t>
              </s:r>
            </s:text>
          </item>
        </commentChain>
      </unresolved>
      <resolved/>
    </commentChains>
    <commentChains s:ref="F250" rgbClr="FF0000">
      <unresolved>
        <commentChain chainId="d681021a8c2d415b960af7a87cbdbea20fa1dca7">
          <item id="6f9b7585e4c619df13852baab2efbf63a6fef3ef" isNormal="1">
            <s:text>
              <s:r>
                <s:t xml:space="preserve">Administrator:
120pcs转至PO10127318</s:t>
              </s:r>
            </s:text>
          </item>
        </commentChain>
      </unresolved>
      <resolved/>
    </commentChains>
    <commentChains s:ref="F253" rgbClr="FF0000">
      <unresolved>
        <commentChain chainId="3953787b1210ba75e3ea9c96faf2359e9dce93fc">
          <item id="d86b73c07ae5d2290ff79d38f6f41ffb5abdca34" isNormal="1">
            <s:text>
              <s:r>
                <s:t xml:space="preserve">杨大兴:
从数量1762转出</s:t>
              </s:r>
            </s:text>
          </item>
        </commentChain>
      </unresolved>
      <resolved/>
    </commentChains>
    <commentChains s:ref="F284" rgbClr="FF0000">
      <unresolved>
        <commentChain chainId="0ce67c52f3eb65141a3b6da025e80817468a5a31">
          <item id="edc4d04fce0f0445d2c763b68de5fae1b8ee2146" isNormal="1">
            <s:text>
              <s:r>
                <s:t xml:space="preserve">Administrator:
从PO#10118672转入</s:t>
              </s:r>
            </s:text>
          </item>
        </commentChain>
      </unresolved>
      <resolved/>
    </commentChains>
    <commentChains s:ref="F285" rgbClr="FF0000">
      <unresolved>
        <commentChain chainId="b931aaa1b1c834c0c6cc39502ca5895edf81be17">
          <item id="8094207ecb27054a29324a6d77fec4fe632cab8d" isNormal="1">
            <s:text>
              <s:r>
                <s:t xml:space="preserve">Administrator:
从PO#10118672转入</s:t>
              </s:r>
            </s:text>
          </item>
        </commentChain>
      </unresolved>
      <resolved/>
    </commentChains>
    <commentChains s:ref="F286" rgbClr="FF0000">
      <unresolved>
        <commentChain chainId="ad85630231a21ff35fb8e6a20bc6ec9f80913aa6">
          <item id="f98409e3bcf46db501d954f5a8b7b0cfd03dd7a2" isNormal="1">
            <s:text>
              <s:r>
                <s:t xml:space="preserve">Administrator:
从PO#10118672转入</s:t>
              </s:r>
            </s:text>
          </item>
        </commentChain>
      </unresolved>
      <resolved/>
    </commentChains>
    <commentChains s:ref="F287" rgbClr="FF0000">
      <unresolved>
        <commentChain chainId="05262f41f7ec97b8a98aeee064e2e09c3c4e2056">
          <item id="e3656950625f8e62cf8df6ca91211232abf9f5fd" isNormal="1">
            <s:text>
              <s:r>
                <s:t xml:space="preserve">Administrator:
从PO#10118672转入</s:t>
              </s:r>
            </s:text>
          </item>
        </commentChain>
      </unresolved>
      <resolved/>
    </commentChains>
    <commentChains s:ref="F288" rgbClr="FF0000">
      <unresolved>
        <commentChain chainId="db15595395a8b9ac6211fd6e6429d10362690e3b">
          <item id="86248e8b6205820adc83cf5ac22c49846b0ff639" isNormal="1">
            <s:text>
              <s:r>
                <s:t xml:space="preserve">Administrator:
从PO#10118672转入</s:t>
              </s:r>
            </s:text>
          </item>
        </commentChain>
      </unresolved>
      <resolved/>
    </commentChains>
    <commentChains s:ref="F289" rgbClr="FF0000">
      <unresolved>
        <commentChain chainId="8c0a06f49463b58ebfc06756184558af1be0b888">
          <item id="bf6ec74909bbd02c44b8e66c5c56341cd706ec68" isNormal="1">
            <s:text>
              <s:r>
                <s:t xml:space="preserve">Administrator:
从PO#10118672转入</s:t>
              </s:r>
            </s:text>
          </item>
        </commentChain>
      </unresolved>
      <resolved/>
    </commentChains>
    <commentChains s:ref="F344" rgbClr="FF0000">
      <unresolved>
        <commentChain chainId="4d0baed8c03954250b09b0444a757e226243a14e">
          <item id="4bdd4076b09f02298538d2a7767fea4ae18899c5" isNormal="1">
            <s:text>
              <s:r>
                <s:t xml:space="preserve">Administrator:
从10119190转入</s:t>
              </s:r>
            </s:text>
          </item>
        </commentChain>
      </unresolved>
      <resolved/>
    </commentChains>
    <commentChains s:ref="F354" rgbClr="FF0000">
      <unresolved>
        <commentChain chainId="e8893b8ff0ffb7e405aeba605ec8f81a7acbbd91">
          <item id="60ce3edd6e52fd9ab87ae148d08a0a068cd135e3" isNormal="1">
            <s:text>
              <s:r>
                <s:t xml:space="preserve">Administrator:
从MPO202607170051转入</s:t>
              </s:r>
            </s:text>
          </item>
        </commentChain>
      </unresolved>
      <resolved/>
    </commentChains>
    <commentChains s:ref="F355" rgbClr="FF0000">
      <unresolved>
        <commentChain chainId="9a0c3c78600fc6f332224f1ef63940c99896a2a4">
          <item id="cf8f656257b8cd3fb87dd4d457c77252bfcefe97" isNormal="1">
            <s:text>
              <s:r>
                <s:t xml:space="preserve">Administrator:
从MPO202607170051转入
</s:t>
              </s:r>
            </s:text>
          </item>
        </commentChain>
      </unresolved>
      <resolved/>
    </commentChains>
    <commentChains s:ref="F356" rgbClr="FF0000">
      <unresolved>
        <commentChain chainId="96da6aa597e1aa401ba2350dc3ef5b59fa4d0806">
          <item id="076d19eb3a5b18f4445e2421c50c7735a41b6f9d" isNormal="1">
            <s:text>
              <s:r>
                <s:t xml:space="preserve">Administrator:
从MPO202607170051转入
</s:t>
              </s:r>
            </s:text>
          </item>
        </commentChain>
      </unresolved>
      <resolved/>
    </commentChains>
    <commentChains s:ref="F357" rgbClr="FF0000">
      <unresolved>
        <commentChain chainId="72d6d476585b03526ddc8fa60c894f60071b2f2a">
          <item id="40f7b461bf2da83991e95bc541c8ade189775652" isNormal="1">
            <s:text>
              <s:r>
                <s:t xml:space="preserve">Administrator:
从MPO202607170051转入
</s:t>
              </s:r>
            </s:text>
          </item>
        </commentChain>
      </unresolved>
      <resolved/>
    </commentChains>
    <commentChains s:ref="F358" rgbClr="FF0000">
      <unresolved>
        <commentChain chainId="fac86aaab483e3c13af1af16a2f4543c552e7d69">
          <item id="e5e01b3e9767fe484f0d680878cfc8cc03b77375" isNormal="1">
            <s:text>
              <s:r>
                <s:t xml:space="preserve">Administrator:
从MPO202607170051转入
</s:t>
              </s:r>
            </s:text>
          </item>
        </commentChain>
      </unresolved>
      <resolved/>
    </commentChains>
    <commentChains s:ref="F359" rgbClr="FF0000">
      <unresolved>
        <commentChain chainId="7f3693837cd2de4fdc440b13376c38ffd669172d">
          <item id="1a526a7ab0db2cc975fb38027a8cfbfbccc80c57" isNormal="1">
            <s:text>
              <s:r>
                <s:t xml:space="preserve">Administrator:
从MPO202607170051转入
</s:t>
              </s:r>
            </s:text>
          </item>
        </commentChain>
      </unresolved>
      <resolved/>
    </commentChains>
    <commentChains s:ref="F360" rgbClr="FF0000">
      <unresolved>
        <commentChain chainId="bbbdd754c6dd7ff3fb2cc6e7705281652f0f99b7">
          <item id="67cd2b6b8fd147f50132a72b2b4bb46855cea451" isNormal="1">
            <s:text>
              <s:r>
                <s:t xml:space="preserve">Administrator:
从MPO202607170051转入
</s:t>
              </s:r>
            </s:text>
          </item>
        </commentChain>
      </unresolved>
      <resolved/>
    </commentChains>
    <commentChains s:ref="F362" rgbClr="FF0000">
      <unresolved>
        <commentChain chainId="02e7f356c2d0cfc46c4dea22ddbde97fe08207e0">
          <item id="a86d74729f3a3ad090e39f950660cea5779fe812" isNormal="1">
            <s:text>
              <s:r>
                <s:t xml:space="preserve">Administrator:
从MPO202607270046转入</s:t>
              </s:r>
            </s:text>
          </item>
        </commentChain>
      </unresolved>
      <resolved/>
    </commentChains>
    <commentChains s:ref="F363" rgbClr="FF0000">
      <unresolved>
        <commentChain chainId="c25e88406813a8deb6102c7d0f433524255f0f2b">
          <item id="9cb0837a805ddf9e0f16fa3970033507ec9bdc41" isNormal="1">
            <s:text>
              <s:r>
                <s:t xml:space="preserve">Administrator:
从MPO202607270046转入</s:t>
              </s:r>
            </s:text>
          </item>
        </commentChain>
      </unresolved>
      <resolved/>
    </commentChains>
    <commentChains s:ref="F364" rgbClr="FF0000">
      <unresolved>
        <commentChain chainId="e2326b159b194bc71bb1d023ec58db38c58626ab">
          <item id="514b4a32a885fae8838d35cc39a0c92bae7f463d" isNormal="1">
            <s:text>
              <s:r>
                <s:t xml:space="preserve">Administrator:
从MPO202607270046转入</s:t>
              </s:r>
            </s:text>
          </item>
        </commentChain>
      </unresolved>
      <resolved/>
    </commentChains>
    <commentChains s:ref="F365" rgbClr="FF0000">
      <unresolved>
        <commentChain chainId="83513b2decdd4d03d77b52acc8acefad8d310aa2">
          <item id="efd52f60b80e1d920e0d4e2e7da9aec39ce5fd0c" isNormal="1">
            <s:text>
              <s:r>
                <s:t xml:space="preserve">Administrator:
从MPO202607270046转入</s:t>
              </s:r>
            </s:text>
          </item>
        </commentChain>
      </unresolved>
      <resolved/>
    </commentChains>
    <commentChains s:ref="F366" rgbClr="FF0000">
      <unresolved>
        <commentChain chainId="746f8b02ae4a0e52039d9bdcef9806b52ffd990c">
          <item id="fb405f9aaf4d53f6364ed5190d2d8569069642ca" isNormal="1">
            <s:text>
              <s:r>
                <s:t xml:space="preserve">Administrator:
从MPO202607270046转入</s:t>
              </s:r>
            </s:text>
          </item>
        </commentChain>
      </unresolved>
      <resolved/>
    </commentChains>
    <commentChains s:ref="F367" rgbClr="FF0000">
      <unresolved>
        <commentChain chainId="eee2275bb0830ca3ca9cc8cca3bb80433a6aef14">
          <item id="9e31ad5bd0bfd6cd107fd88befce4a3faeeec644" isNormal="1">
            <s:text>
              <s:r>
                <s:t xml:space="preserve">Administrator:
从MPO202607270046转入</s:t>
              </s:r>
            </s:text>
          </item>
        </commentChain>
      </unresolved>
      <resolved/>
    </commentChains>
    <commentChains s:ref="F368" rgbClr="FF0000">
      <unresolved>
        <commentChain chainId="a25333219797e75edba422fa41058e340ddfc1d3">
          <item id="1b259e771dbf10c7e9485d1aed63fd3a1961e5e5" isNormal="1">
            <s:text>
              <s:r>
                <s:t xml:space="preserve">Administrator:
从MPO202607270046转入</s:t>
              </s:r>
            </s:text>
          </item>
        </commentChain>
      </unresolved>
      <resolved/>
    </commentChains>
    <commentChains s:ref="F369" rgbClr="FF0000">
      <unresolved>
        <commentChain chainId="c98ec35cb449889c1544a61b10bade74cb8c0ecb">
          <item id="5db2cf5d16d9efd42ba3475a83edfbdd7697d27e" isNormal="1">
            <s:text>
              <s:r>
                <s:t xml:space="preserve">Administrator:
从MPO202607270046转入</s:t>
              </s:r>
            </s:text>
          </item>
        </commentChain>
      </unresolved>
      <resolved/>
    </commentChains>
    <commentChains s:ref="F370" rgbClr="FF0000">
      <unresolved>
        <commentChain chainId="5557a471c3290c9b9a19aba83f3eec3db003d4fe">
          <item id="72a618b043638d70ef1282e7a8ecc8c5dfcf66a4" isNormal="1">
            <s:text>
              <s:r>
                <s:t xml:space="preserve">Administrator:
从MPO202607270046转入</s:t>
              </s:r>
            </s:text>
          </item>
        </commentChain>
      </unresolved>
      <resolved/>
    </commentChains>
    <commentChains s:ref="F379" rgbClr="FF0000">
      <unresolved>
        <commentChain chainId="a483a54cf137906a68d95514f2eac99e3c370f61">
          <item id="be5a686cad70be0084e979ad922d8ffd4a367877" isNormal="1">
            <s:text>
              <s:r>
                <s:t xml:space="preserve">Administrator:
从10115934转入</s:t>
              </s:r>
            </s:text>
          </item>
        </commentChain>
      </unresolved>
      <resolved/>
    </commentChains>
    <commentChains s:ref="F380" rgbClr="FF0000">
      <unresolved>
        <commentChain chainId="6ae30067ae92133d2bb2206009b80621ba0308c4">
          <item id="1728d3e4728a7c831e4707258b95b9404c347569" isNormal="1">
            <s:text>
              <s:r>
                <s:t xml:space="preserve">Administrator:
从10115934转入</s:t>
              </s:r>
            </s:text>
          </item>
        </commentChain>
      </unresolved>
      <resolved/>
    </commentChains>
    <commentChains s:ref="F381" rgbClr="FF0000">
      <unresolved>
        <commentChain chainId="ad1929cae62348e3877f1ab650a503fb37162eaa">
          <item id="f640d1a229622516043dc2aa02ea42f80f33645e" isNormal="1">
            <s:text>
              <s:r>
                <s:t xml:space="preserve">Administrator:
转2000PCS到PO10127016
2026.5.30取消2000pcs</s:t>
              </s:r>
            </s:text>
          </item>
        </commentChain>
      </unresolved>
      <resolved/>
    </commentChains>
    <commentChains s:ref="F385" rgbClr="FF0000">
      <unresolved>
        <commentChain chainId="736fc72ddfde38d0c792a3a2e6d3c83bb7b1cae9">
          <item id="5fa3b8948dbedd9a216d9def27d1fed696fc7bc9" isNormal="1">
            <s:text>
              <s:r>
                <s:t xml:space="preserve">Administrator:
从10119222转入</s:t>
              </s:r>
            </s:text>
          </item>
        </commentChain>
      </unresolved>
      <resolved/>
    </commentChains>
    <commentChains s:ref="F386" rgbClr="FF0000">
      <unresolved>
        <commentChain chainId="f2d94b65f8acedb0048673701e4d27391664ca6e">
          <item id="82d8e9781ccf6ccf21dcd3e92315d6dc277f5247" isNormal="1">
            <s:text>
              <s:r>
                <s:t xml:space="preserve">Administrator:
从10121640转入</s:t>
              </s:r>
            </s:text>
          </item>
        </commentChain>
      </unresolved>
      <resolved/>
    </commentChains>
    <commentChains s:ref="F387" rgbClr="FF0000">
      <unresolved>
        <commentChain chainId="fed18bfb024d0ca263e24cf1c436f218a7da983b">
          <item id="211945d39d88c0662894259f9e1c0c27e25e8e3e" isNormal="1">
            <s:text>
              <s:r>
                <s:t xml:space="preserve">Administrator:
转出1500pcs到po10125937</s:t>
              </s:r>
            </s:text>
          </item>
        </commentChain>
      </unresolved>
      <resolved/>
    </commentChains>
    <commentChains s:ref="F401" rgbClr="FF0000">
      <unresolved>
        <commentChain chainId="07e49e980d62be3d2ad4cf77acb468c02de7f0dd">
          <item id="477967ea6d18f3bb2d3572c1c59deea84fdf36bc" isNormal="1">
            <s:text>
              <s:r>
                <s:t xml:space="preserve">DELL:
转出1500pcs到po10125937</s:t>
              </s:r>
            </s:text>
          </item>
        </commentChain>
      </unresolved>
      <resolved/>
    </commentChains>
    <commentChains s:ref="F405" rgbClr="FF0000">
      <unresolved>
        <commentChain chainId="fce9341305ab7390eb32038c596742ebecd18e7c">
          <item id="0e5c9e49df481e65a022e37c675e2428b9051cef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06" rgbClr="FF0000">
      <unresolved>
        <commentChain chainId="6d3615c8fbc4ef0da0a190c7dc3a2b51fa6f9a12">
          <item id="120aa44a502cb8a2911536dea56422adf80cf94e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07" rgbClr="FF0000">
      <unresolved>
        <commentChain chainId="bf433d602be9b8e69924ff30ae624b4f2e9b4c1a">
          <item id="4fa497ff2061a91747e761fdb92d48b88b0aac3b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08" rgbClr="FF0000">
      <unresolved>
        <commentChain chainId="126e7e4f37f6bc80ca11e7c521f7374261f1ac12">
          <item id="eeab7fb46175f8d24d7d54108e3eb6c38d74890a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09" rgbClr="FF0000">
      <unresolved>
        <commentChain chainId="529657d0eda002dd2f44be66509a60128844d90e">
          <item id="42e3166b3231c8c657a270f7c67c8e92aa5b6d09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10" rgbClr="FF0000">
      <unresolved>
        <commentChain chainId="e7c53f0e15eced0c3d5a6664d6728427e56c91f9">
          <item id="aba61e9a9f45749c665a180bd1d2a3b9892e2c42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11" rgbClr="FF0000">
      <unresolved>
        <commentChain chainId="2a1ce425fbfa073b272edc5a38e136b44ad406bc">
          <item id="25a276efb2fbcd9611dd8ca48b92e6bee323a5bd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12" rgbClr="FF0000">
      <unresolved>
        <commentChain chainId="8c1cf34f6c6539a1c43ed9a8df7972618055d384">
          <item id="c8311962c9a7ddd52ea2f210f23fb4320aed159b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13" rgbClr="FF0000">
      <unresolved>
        <commentChain chainId="ff560afc6f86c51d069dbd1c1d4fe41dcdc6cfda">
          <item id="eb1f486e1a92918f5a6468564b7c60bbace01323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14" rgbClr="FF0000">
      <unresolved>
        <commentChain chainId="1cb158c8f8ecfacf7ee54ecacefbdd99a516af4e">
          <item id="e3c1041ffe28e50eb4404baa62a1d10c5873ecaa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15" rgbClr="FF0000">
      <unresolved>
        <commentChain chainId="9b5104d9f5abd8801c9c4520efb8727db341b7ad">
          <item id="3caaf989d5a12cfc9317e4d0d9b13df7e4c1e58e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16" rgbClr="FF0000">
      <unresolved>
        <commentChain chainId="c34f0ea2537559ea9f85a2bee51ba47cae2841c9">
          <item id="92971d112724710592ee78c64ecf1fde359c9d8a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17" rgbClr="FF0000">
      <unresolved>
        <commentChain chainId="1ac8fbbfae8d5e82414e8aca807ab57ddee91797">
          <item id="f93e4988a530f04489da2cedbdd839beff3a96bd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18" rgbClr="FF0000">
      <unresolved>
        <commentChain chainId="4c95d734ff3f859cae4ae0bc5551ee93d6a70c7c">
          <item id="c965ccc59e8aa78952cb58687178667506cfc5ce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19" rgbClr="FF0000">
      <unresolved>
        <commentChain chainId="40cd324711413294b33b224429f0e90384a4b023">
          <item id="15461317a9121a67b80db9ba1250a70b3b4b2ef4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20" rgbClr="FF0000">
      <unresolved>
        <commentChain chainId="f23c3c91c593bf285abd034e72a26b9fdfd248d3">
          <item id="3740b228cfa3099e6fccafc4c51560d2e347ff88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21" rgbClr="FF0000">
      <unresolved>
        <commentChain chainId="b126f8dbf6a5f20d45c49d7421944167fbfeb65c">
          <item id="4d7f32693aed86650c9bd0cf79cd88586c265cfa" isNormal="1">
            <s:text>
              <s:r>
                <s:t xml:space="preserve">Administrator:
从202607270046转入
</s:t>
              </s:r>
            </s:text>
          </item>
        </commentChain>
      </unresolved>
      <resolved/>
    </commentChains>
    <commentChains s:ref="F422" rgbClr="FF0000">
      <unresolved>
        <commentChain chainId="e969f55034767657924d206d5617768d65dcdb70">
          <item id="acdb1dea27580ae70184d5f6966b6d047717cbaf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23" rgbClr="FF0000">
      <unresolved>
        <commentChain chainId="05295f330e6f882d0d953fd45006412d9b718e09">
          <item id="f89f820a3545bab7bda4a32d7728cc1b576ec910" isNormal="1">
            <s:text>
              <s:r>
                <s:t xml:space="preserve">Administrator:
从202607270046转入
</s:t>
              </s:r>
            </s:text>
          </item>
        </commentChain>
      </unresolved>
      <resolved/>
    </commentChains>
    <commentChains s:ref="F424" rgbClr="FF0000">
      <unresolved>
        <commentChain chainId="b5fa1d38d5f3ddd5473d3a99399ab4c1ca10403a">
          <item id="63d97991e5f915dc0e25aae4bd4481256a93052b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25" rgbClr="FF0000">
      <unresolved>
        <commentChain chainId="149d8d8ea0aa3a21ae71efe794e668e763fb8623">
          <item id="1e9a0824fc1fe489c5421679d9f7c0b0ff7b1965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26" rgbClr="FF0000">
      <unresolved>
        <commentChain chainId="d69130259e897cd246e28a8a4439e5f2fe9030b1">
          <item id="019136549425555dee3232c136b719328ae1de1c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27" rgbClr="FF0000">
      <unresolved>
        <commentChain chainId="feb1c569a3f895d22fe1e56544c8b142d01d3843">
          <item id="6e192d0b2bd09263f942f3940da4eb875320826d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28" rgbClr="FF0000">
      <unresolved>
        <commentChain chainId="1050ce40b85a5497cabcc9e34bf4af772bfeef28">
          <item id="83000b50e7c96a679027d344d9fb49e1df45e0ce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29" rgbClr="FF0000">
      <unresolved>
        <commentChain chainId="1133e8871f8b100caff1a6ba7f843c54d0ebacf5">
          <item id="b95641b4a6fdfadea4de845f13a0d89137866584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30" rgbClr="FF0000">
      <unresolved>
        <commentChain chainId="7a76a9f532cba1b97a85d9e7c42f30a5717d83e6">
          <item id="a6290951b020191ee6beb7068614e52b20241499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31" rgbClr="FF0000">
      <unresolved>
        <commentChain chainId="66a6fdb599c3a4b99b709a0b78820744b53767d8">
          <item id="4481d3f24e522f249b789fcddc53696197862d40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32" rgbClr="FF0000">
      <unresolved>
        <commentChain chainId="de02360549a05967b5661fc558e9b9483a16f9b7">
          <item id="ad786a6436a0cebee0595bd4e39915a3a4cdbf5b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35" rgbClr="FF0000">
      <unresolved>
        <commentChain chainId="13b17a4ae4f53ffea89d39fae7e657e2dee2758e">
          <item id="4c6e5000417b990f7f09d11b3236842d1dbc6e27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36" rgbClr="FF0000">
      <unresolved>
        <commentChain chainId="93d2dac6848584622b310028c57d48f5f309e11c">
          <item id="c6425938a3ceb804733358a33515d48370e777d2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37" rgbClr="FF0000">
      <unresolved>
        <commentChain chainId="cae941eab0b2e74bb0f76abee0798e538b100573">
          <item id="fa15ab54b6dcd2c46f29092a222624db098960d4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38" rgbClr="FF0000">
      <unresolved>
        <commentChain chainId="f998d3e0a46671060a877393a324755bf63714a2">
          <item id="b7d93733c1e58a011f07182e68ccac9880ca27f1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39" rgbClr="FF0000">
      <unresolved>
        <commentChain chainId="35a8831feae663a3ad5f350116fa702715f90bd1">
          <item id="e8232212ed16f9121e57651d5263f3a208e76e94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40" rgbClr="FF0000">
      <unresolved>
        <commentChain chainId="4f27e2494ed1af245718676cf51a873bd259cf4e">
          <item id="ff53c2e61662b15e64b4c29ffe67e4b8077e3851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41" rgbClr="FF0000">
      <unresolved>
        <commentChain chainId="76cf6cc1bc59a1ff1027a0521ebbc3176a89e041">
          <item id="fd9b3bab0060f37b1d2ff029b26d336a536384ec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42" rgbClr="FF0000">
      <unresolved>
        <commentChain chainId="4fc4e092b0811556224b95a4de81e06b660921a7">
          <item id="3a353b9fa4156fc43a91730af9e279c4364a5602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43" rgbClr="FF0000">
      <unresolved>
        <commentChain chainId="70e6745efce532edf29c7f9da7014bd9cb0ce522">
          <item id="57e0fc3e139ba7eaaea9512677e403f3276d48c4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44" rgbClr="FF0000">
      <unresolved>
        <commentChain chainId="38bc0fee011c7247f054f28b74b6a4f42393898d">
          <item id="739c174e8be874d76dc0236a6969fedd57f57e86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45" rgbClr="FF0000">
      <unresolved>
        <commentChain chainId="cda84f430e5e37a13b9a58b5c284d6a5068d0589">
          <item id="c51cb8d4bee15310c060c5c98647c9d930dc2af9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46" rgbClr="FF0000">
      <unresolved>
        <commentChain chainId="ed71cfb48454cdbd8ca345600efaa500c9749f36">
          <item id="9ba4e201dd6e78789d4033ab0182f5dbc46fe559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47" rgbClr="FF0000">
      <unresolved>
        <commentChain chainId="74299b22a2b20ca9bc6b88ef2beea7a864d8ee87">
          <item id="1b172aac15eaa71a322e7f485448782660bd66ed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48" rgbClr="FF0000">
      <unresolved>
        <commentChain chainId="678f44adc4fd55ba9b4cbd4e774ef7540cbf5260">
          <item id="a0f4bda8640d37ad0c32c7f3da2af0ce8e5f6af1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49" rgbClr="FF0000">
      <unresolved>
        <commentChain chainId="06232c0b2f333efe4ee2735fe5446f488c81173c">
          <item id="c6ab0c3d822a9afb540fc2bae291344d43ff7a36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50" rgbClr="FF0000">
      <unresolved>
        <commentChain chainId="dd9de3d73b45cb27786e6784d8f4d60273c587ee">
          <item id="cda68f31ecfd3b4ae1d0d2479242ca78fe9f16f8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51" rgbClr="FF0000">
      <unresolved>
        <commentChain chainId="1a8366073bc18c06cf726a64543caf1a356b2b6f">
          <item id="1aac6c6a65f43ff31d3b950032b21720c157021a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52" rgbClr="FF0000">
      <unresolved>
        <commentChain chainId="c536946e3bd588801ad861a67da530ce82ef65be">
          <item id="dcb608c99c07c24aa649c2e40c09554854f870be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53" rgbClr="FF0000">
      <unresolved>
        <commentChain chainId="2a9b07d660e589206fb94dcd153e457c23661a13">
          <item id="01bb23f4891f28001b5d075e4a355490a9a307c1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54" rgbClr="FF0000">
      <unresolved>
        <commentChain chainId="9ffbb2e99839070401f5726a50bfa4fe7f6195fb">
          <item id="40ea7dcc110d51f2ffa7349243b12f51a35ae52a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55" rgbClr="FF0000">
      <unresolved>
        <commentChain chainId="04b876f992db243ad8bf8a0e42659d02679ef62c">
          <item id="08705a33253ac4449e21cc1257a13c3bad0a5c0d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56" rgbClr="FF0000">
      <unresolved>
        <commentChain chainId="79dacdb5a822e0d921d28ce889006a5880587e9d">
          <item id="8583076cf67c2cd7ae84a164e60fab65d7c55cdf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57" rgbClr="FF0000">
      <unresolved>
        <commentChain chainId="56fb67ca1575a80dfaa227a5eff7259576b229b2">
          <item id="a4616602be49b0840922a8cffc5a4139567deeee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58" rgbClr="FF0000">
      <unresolved>
        <commentChain chainId="6bab5793431c90b1d644cfeff8181725c640edb0">
          <item id="f3feda9ee762b588926b2b6911f9949476c38cc8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59" rgbClr="FF0000">
      <unresolved>
        <commentChain chainId="02af4411b134e80e3ae78cf9172c51fcb471f211">
          <item id="385e15fadadaae47dc4a50635b9b20ce919d8d3e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60" rgbClr="FF0000">
      <unresolved>
        <commentChain chainId="3b556f7fcbe3cbbd4a12d8133a0e0195e84fee22">
          <item id="f9fbde172fcd9e2d5db7b42d181fb80cc5ff81b6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61" rgbClr="FF0000">
      <unresolved>
        <commentChain chainId="7c4137d49334476812d5811229068071bc2afb14">
          <item id="4f1f265164c88f989f96109ff847a68b762e72ae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62" rgbClr="FF0000">
      <unresolved>
        <commentChain chainId="be6ff95f4b1fdbb8ba43bdcf7b9006796145f280">
          <item id="e6f9fdf968eb10b3a852c607d56d39538c7701f4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63" rgbClr="FF0000">
      <unresolved>
        <commentChain chainId="eab66ca58d3cc427607ad8a1c478968bfb08e873">
          <item id="adc6837e4a0957b94528c2b71c4016f6572d38f7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64" rgbClr="FF0000">
      <unresolved>
        <commentChain chainId="a58d7e4929338e85f76b08b5891643f89936089f">
          <item id="326766ac8c71015993f080e1098a4221d2c65bea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65" rgbClr="FF0000">
      <unresolved>
        <commentChain chainId="7ce4bbd4a0944ed583406f82f568d1eea774866c">
          <item id="1d3fcf615084a8adbb33985614c77817c86620ae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66" rgbClr="FF0000">
      <unresolved>
        <commentChain chainId="5dfd9265e7ef6d13fe2089929ca750137eb772cb">
          <item id="2a702e0aa48222c1519dc4c98df2126e0d094949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67" rgbClr="FF0000">
      <unresolved>
        <commentChain chainId="19d2157a4ded5208adca3bf5a114bbcbd4eb3014">
          <item id="403a960c1fb62e7d8f3744270bc42684bb4f15a3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68" rgbClr="FF0000">
      <unresolved>
        <commentChain chainId="60610418c5a1c077ffdad14bc8911d19cf6a5b62">
          <item id="6ae1dd0d7425072701e295cffe85669b578c3e2f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69" rgbClr="FF0000">
      <unresolved>
        <commentChain chainId="cc4c8f69714e5a5818b70a8734c8a14fd7dc54b3">
          <item id="10f813510ff8732b1ea6556061c23293b5c52b16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70" rgbClr="FF0000">
      <unresolved>
        <commentChain chainId="3fb2676c3c5cd736b6c28a7e6068cf8e6d340a8c">
          <item id="e8d049c51c49f79e58e22f2c2df8380c0f2f4362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71" rgbClr="FF0000">
      <unresolved>
        <commentChain chainId="d5e87b11119f83ca2157752f8483ab36bba65424">
          <item id="c33237361319f237bdf48908a5f891a21fc875a2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72" rgbClr="FF0000">
      <unresolved>
        <commentChain chainId="fdfaadf7c11f0eca22916ee96c8b34726bfbbea0">
          <item id="2b39bfcb056e926d65c61a7193887c39fa0d4616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73" rgbClr="FF0000">
      <unresolved>
        <commentChain chainId="30866dc66f248e81ebe969d14a6481a7836cd7e2">
          <item id="d53ce40e64fa5aa109d8d3f587a439e2cca3a77a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74" rgbClr="FF0000">
      <unresolved>
        <commentChain chainId="6b13e927372361be7c1b0999d7ae92d9350f441f">
          <item id="6564f643a0fdae4d68a29f6c61b773aab21e0c8f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75" rgbClr="FF0000">
      <unresolved>
        <commentChain chainId="4d0a005e18becfdcd84870e1d7e05bb462998081">
          <item id="8cbb699dacaf5936cf6a49bf9a86f7d0a39d964d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76" rgbClr="FF0000">
      <unresolved>
        <commentChain chainId="895e30746140f8d5377010ff55ded1c91e23e3a7">
          <item id="e7d6ea9dca985e96ce9e42fe4e0948c83b2f7323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77" rgbClr="FF0000">
      <unresolved>
        <commentChain chainId="93206c316b82d034c695aa1c08ee3207bda25267">
          <item id="f94bfb6f72fded24d1672fd1c981642245b7da77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78" rgbClr="FF0000">
      <unresolved>
        <commentChain chainId="8952041386e65ef8315b0fcab9fd523f45b4c003">
          <item id="5b00bdd624ccf7309c114fc4954c6220a5cac9b7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79" rgbClr="FF0000">
      <unresolved>
        <commentChain chainId="b8b4cc805a15d0c4916c4f49b35777e31446b179">
          <item id="7b47a2ca50f03e4ff6ab4cbcdf18ad2552fa0afa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80" rgbClr="FF0000">
      <unresolved>
        <commentChain chainId="d3676b0ff5b2fdda45f5ddc597f79de728386e60">
          <item id="fb22c10effa8a418721460e48065f9a48c657afc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81" rgbClr="FF0000">
      <unresolved>
        <commentChain chainId="0cdd371f5764bcf62886bed47339c957e78226aa">
          <item id="cc92cdbcfc8ac1c9517a9321e975f28c14e89734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82" rgbClr="FF0000">
      <unresolved>
        <commentChain chainId="627a13226e6b32e7c46330c18858698fc67d6e43">
          <item id="f0f035d70a5f91ae32f438b7f282660d2a3824a5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83" rgbClr="FF0000">
      <unresolved>
        <commentChain chainId="6ebc0a2d0c7dcb62eda754fbe6ec000923d41e17">
          <item id="69e6361c8c881626fbd2ca8b4306c641951e38f1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84" rgbClr="FF0000">
      <unresolved>
        <commentChain chainId="18c51bb2c4a3bf902a0a1c626f2299f34581bb6a">
          <item id="5b7bff3f740daf460f8a1f8f03bb642b9037f927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85" rgbClr="FF0000">
      <unresolved>
        <commentChain chainId="ee701cd316312f9de6fe32aedb7b20410b15cdf0">
          <item id="988eb63717beb8495bf6e8ed1f2825bc14185e48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86" rgbClr="FF0000">
      <unresolved>
        <commentChain chainId="8fc5104ff73fbaa5880f599412b6241315be16ab">
          <item id="be036eff4a3cc9f4eb8252cab20dab534825cf67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87" rgbClr="FF0000">
      <unresolved>
        <commentChain chainId="6f9e10ec7c6eadfeb8cb666520ffe7b19e7497d2">
          <item id="67c1fd7901c2d9ed02d6d3c9ea82302208501438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88" rgbClr="FF0000">
      <unresolved>
        <commentChain chainId="640f4e55360116ca55c3e52799f9e438c086b013">
          <item id="9dace7c24a3543f4008d7d4c820c42136b14033a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89" rgbClr="FF0000">
      <unresolved>
        <commentChain chainId="2add4bc124fd3ab5369ea2705d9dc943d69d52bd">
          <item id="59ac2980b51946179b4a66f4d06d478c5406644f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90" rgbClr="FF0000">
      <unresolved>
        <commentChain chainId="8eab6f8bc94ae53e64ea611662f815ff80a8a3f8">
          <item id="3d3547917cfea0f75959f8a952e9092d4bfdeef4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91" rgbClr="FF0000">
      <unresolved>
        <commentChain chainId="0d42dffb2f81888ef8f7ee5f338eb967a4dad9c0">
          <item id="318052ac06e31b738b8db2add19ab5db6cbb81bc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92" rgbClr="FF0000">
      <unresolved>
        <commentChain chainId="f3eba91a25f49d3b840989b84acbf0452cb9c6a8">
          <item id="75b900716c3142b04fa09dd7a9c5514be8aea734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93" rgbClr="FF0000">
      <unresolved>
        <commentChain chainId="1c60a35cefdb2cd087fb7d9be8ea4cd1fcc48b8b">
          <item id="37ee598047facb8c10f91b6402e56b5b4aca0147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94" rgbClr="FF0000">
      <unresolved>
        <commentChain chainId="1e0ae0df980bf2b308b1777f9c6a64bba66814c7">
          <item id="a86fc98aaa784ba26532b18656749231da1e2db1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95" rgbClr="FF0000">
      <unresolved>
        <commentChain chainId="5ce1078ed2ae488f3830589169a2f5f293bbcb6c">
          <item id="e1c389aa8d2dc6c131752b6e4536606e6791da36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96" rgbClr="FF0000">
      <unresolved>
        <commentChain chainId="39edc3f295c8baee1838cdcb2d60d230a77e5147">
          <item id="98a2edaa0d847f9c5b151ec3e1d734b180320d87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97" rgbClr="FF0000">
      <unresolved>
        <commentChain chainId="0419ba54950a1c328b343ec50d658e30a5b37eea">
          <item id="d83f5ecd47b2444c9cca0291267de4cc8d7afd74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498" rgbClr="FF0000">
      <unresolved>
        <commentChain chainId="a19b5675d9752e6d732c75a30e5a650a9baf189c">
          <item id="2b95f0681a7c89c4ca500f3f46ad14b10a8ab76c" isNormal="1">
            <s:text>
              <s:r>
                <s:t xml:space="preserve">Administrator:
</s:t>
              </s:r>
            </s:text>
          </item>
        </commentChain>
      </unresolved>
      <resolved/>
    </commentChains>
    <commentChains s:ref="F499" rgbClr="FF0000">
      <unresolved>
        <commentChain chainId="1dbb88bbc75e22da2c104cc84288c1c6f455f64c">
          <item id="edbc1f79fd933e20d008cbaba3989802d71b9cb1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500" rgbClr="FF0000">
      <unresolved>
        <commentChain chainId="6b24cea4d561dc4338238dc6a7447a069fd026a8">
          <item id="766c47d8d3397add33f204cc03a38e0193ff09cc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501" rgbClr="FF0000">
      <unresolved>
        <commentChain chainId="31365948e9ea2fc5698e49e91ebd7e896b78ef1e">
          <item id="c3a73c6c58b26c867aa4c4de8db4b782e666bca9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502" rgbClr="FF0000">
      <unresolved>
        <commentChain chainId="ad46fee5ecefa8c45e72524843620732a77880fd">
          <item id="0500f790083b70a06789985a2a6afb8afcbd3b43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503" rgbClr="FF0000">
      <unresolved>
        <commentChain chainId="01ac5cbe61502325d4879dabd3c0dd281c915ba9">
          <item id="f697d90ab3b3d516f40d24e5bab13b1fd5cc5159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504" rgbClr="FF0000">
      <unresolved>
        <commentChain chainId="e8cfeae485376c768aa4ecbda18c819fddbc989d">
          <item id="e6ebae5b8159113bf7035512375721484b65cb45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505" rgbClr="FF0000">
      <unresolved>
        <commentChain chainId="c21b34b5265a316dcbafadc0a8ae5200e65bcc3d">
          <item id="368b92976634150f1d7e89dfb40f0b3010d54a6f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506" rgbClr="FF0000">
      <unresolved>
        <commentChain chainId="aca48f043baa090f9c35c0fbd926cb0e238a62e9">
          <item id="85eeb76d903359e4177fd51f6886200b2c1b6f35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507" rgbClr="FF0000">
      <unresolved>
        <commentChain chainId="0d022ae905d3eb93e0b81346e596d602b5c2221b">
          <item id="639a1d73d80c33ea6e6cd9c07c1b3bab8e1e7f1b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F508" rgbClr="FF0000">
      <unresolved>
        <commentChain chainId="55683b5412e159dcba27c3a7470b69d454e599c0">
          <item id="82246ec36d9cab080c9afe68265d87031a568afe" isNormal="1">
            <s:text>
              <s:r>
                <s:t xml:space="preserve">Administrator:
</s:t>
              </s:r>
            </s:text>
          </item>
        </commentChain>
      </unresolved>
      <resolved/>
    </commentChains>
    <commentChains s:ref="F599" rgbClr="FF0000">
      <unresolved>
        <commentChain chainId="d47d24adbe33ac41140f44f59f1420b8246dcd96">
          <item id="311c8837d732e571e40b9e2eaa11c2f1bc54457d" isNormal="1">
            <s:text>
              <s:r>
                <s:t xml:space="preserve">Administrator:
从po10123689/10123756各转入1500PCS</s:t>
              </s:r>
            </s:text>
          </item>
        </commentChain>
      </unresolved>
      <resolved/>
    </commentChains>
    <commentChains s:ref="F604" rgbClr="FF0000">
      <unresolved>
        <commentChain chainId="c821659889549f6f597eafc3aea637674c96cd7e">
          <item id="1f61de20bd619d3cde28260ed708f49ee8ee1d21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F605" rgbClr="FF0000">
      <unresolved>
        <commentChain chainId="986b676bd5db621d31d746fc3c2c3cb534252f2c">
          <item id="71c8b689e717c15f5e6aad16ab695d00da02a952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F606" rgbClr="FF0000">
      <unresolved>
        <commentChain chainId="b16afc5fcc2de999831893ad974ca54c1aec824e">
          <item id="2466f8c6205c8bd766359b342c760df1a9518be4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F607" rgbClr="FF0000">
      <unresolved>
        <commentChain chainId="973b105b71ca8c814d6c48784605c9255dae3d7a">
          <item id="d3e9845b519845903c033073230ad2a910550355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F609" rgbClr="FF0000">
      <unresolved>
        <commentChain chainId="ae140337db4e351a9807029dbfe4d5877e25b8a6">
          <item id="4e8520d130bb6cd6860838e989144aab6185574b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F610" rgbClr="FF0000">
      <unresolved>
        <commentChain chainId="7ff40178f55a595f942ef2876797dedd253a0fea">
          <item id="46c051d7abc0a2f5c98073a507ed8501c01aa6b0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F611" rgbClr="FF0000">
      <unresolved>
        <commentChain chainId="2cfd1b8922496e6412227ba23fd37457c79c080e">
          <item id="18798380cacaad9025c4addb5750f7b8994eeda4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F612" rgbClr="FF0000">
      <unresolved>
        <commentChain chainId="4c39402000da914ecbb7667de7242a065ad07385">
          <item id="c3c612c8d115d77b8ac5ae8afd2033e00aaf5bc2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F613" rgbClr="FF0000">
      <unresolved>
        <commentChain chainId="4431269999cc4a4fa578982ccdda6682043f58f3">
          <item id="a8abe117ae4f03e2544c74989a783eb2e78fd090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F614" rgbClr="FF0000">
      <unresolved>
        <commentChain chainId="2598d564991e87fec27a7ee1c8bb473afeadffad">
          <item id="1ca3f22d0847f9164cfe17153c0f830b68e487b3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F615" rgbClr="FF0000">
      <unresolved>
        <commentChain chainId="50fcf39a680cf50acb023afde5b357458ae42845">
          <item id="7dcff69d160671c406398ae013bfcf799d965fcb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F616" rgbClr="FF0000">
      <unresolved>
        <commentChain chainId="1c782c43e31800d259e56be3b9abecd09704e3ef">
          <item id="a21b6c01eef96864d518324e4ec431607bac9304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F618" rgbClr="FF0000">
      <unresolved>
        <commentChain chainId="fd040d39364c286220971210c2983890bac22c03">
          <item id="c590780f76cc47d84b3a83feb2d7f81266da81f5" isNormal="1">
            <s:text>
              <s:r>
                <s:t xml:space="preserve">Administrator:
480pcs转至PO10127804</s:t>
              </s:r>
            </s:text>
          </item>
        </commentChain>
      </unresolved>
      <resolved/>
    </commentChains>
    <commentChains s:ref="F619" rgbClr="FF0000">
      <unresolved>
        <commentChain chainId="3c743b0d3b99ab392d116afb8b33727db0712e00">
          <item id="40e0d22d07d478f86dd4074b11648ccf5c3c3063" isNormal="1">
            <s:text>
              <s:r>
                <s:t xml:space="preserve">Administrator:
480pcs转至PO10127804</s:t>
              </s:r>
            </s:text>
          </item>
        </commentChain>
      </unresolved>
      <resolved/>
    </commentChains>
    <commentChains s:ref="F620" rgbClr="FF0000">
      <unresolved>
        <commentChain chainId="ad0733e56db5ef6bf70ee4b19a58b4de8b1d31b5">
          <item id="cd8dd05a56f5a9cf3a54f9b12447806b14efff0f" isNormal="1">
            <s:text>
              <s:r>
                <s:t xml:space="preserve">Administrator:
从PO10115934转入2000PCS</s:t>
              </s:r>
            </s:text>
          </item>
        </commentChain>
      </unresolved>
      <resolved/>
    </commentChains>
    <commentChains s:ref="F622" rgbClr="FF0000">
      <unresolved>
        <commentChain chainId="c6948ae0704364af005e29957bfa7313592b0413">
          <item id="d9e0a2199198cc124da0a63234098acff6c3e567" isNormal="1">
            <s:text>
              <s:r>
                <s:t xml:space="preserve">Administrator:
从202607170125转入</s:t>
              </s:r>
            </s:text>
          </item>
        </commentChain>
      </unresolved>
      <resolved/>
    </commentChains>
    <commentChains s:ref="F623" rgbClr="FF0000">
      <unresolved>
        <commentChain chainId="2cb225d3c6e4dbfb83f6a3b306a21e0493273b7b">
          <item id="b2b3d130ff3cdb983d411b32ad0cb88fbcb3c739" isNormal="1">
            <s:text>
              <s:r>
                <s:t xml:space="preserve">Administrator:
从202607170125转入</s:t>
              </s:r>
            </s:text>
          </item>
        </commentChain>
      </unresolved>
      <resolved/>
    </commentChains>
    <commentChains s:ref="F625" rgbClr="FF0000">
      <unresolved>
        <commentChain chainId="0e86f942cdc2d63d79f45bcd4995c2eb423b7bf4">
          <item id="e4e6141a4df6c064079e73da08855550c215b903" isNormal="1">
            <s:text>
              <s:r>
                <s:t xml:space="preserve">Administrator:
从PO10122386转入</s:t>
              </s:r>
            </s:text>
          </item>
        </commentChain>
      </unresolved>
      <resolved/>
    </commentChains>
    <commentChains s:ref="F626" rgbClr="FF0000">
      <unresolved>
        <commentChain chainId="4ffeb704ff3a21b5f782548636129c749ad5e0fe">
          <item id="928d5be8a615e6638ae11b16449405060a1a6439" isNormal="1">
            <s:text>
              <s:r>
                <s:t xml:space="preserve">Administrator:
从PO10122386转入</s:t>
              </s:r>
            </s:text>
          </item>
        </commentChain>
      </unresolved>
      <resolved/>
    </commentChains>
    <commentChains s:ref="F629" rgbClr="FF0000">
      <unresolved>
        <commentChain chainId="0b6f8fba189fad09e75457349802d7cd9950c619">
          <item id="43ee979ac00ae48bd663a8a84b7c57b02c42d500" isNormal="1">
            <s:text>
              <s:r>
                <s:t xml:space="preserve">Administrator:
从202607170125转入</s:t>
              </s:r>
            </s:text>
          </item>
        </commentChain>
      </unresolved>
      <resolved/>
    </commentChains>
    <commentChains s:ref="F630" rgbClr="FF0000">
      <unresolved>
        <commentChain chainId="e38b68738e9abe769512bcda6b6f6b2c4fc2c8c0">
          <item id="60a7358ae517f563fc61c4b72e93829bf041c200" isNormal="1">
            <s:text>
              <s:r>
                <s:t xml:space="preserve">Administrator:
从202607170125转入</s:t>
              </s:r>
            </s:text>
          </item>
        </commentChain>
      </unresolved>
      <resolved/>
    </commentChains>
    <commentChains s:ref="F632" rgbClr="FF0000">
      <unresolved>
        <commentChain chainId="c2e07207e920346904466b622c5ca4b8deae5028">
          <item id="6138ea6c278dd5c2946646fef1ba0171c04353c1" isNormal="1">
            <s:text>
              <s:r>
                <s:t xml:space="preserve">Administrator:
从202607170125转入</s:t>
              </s:r>
            </s:text>
          </item>
        </commentChain>
      </unresolved>
      <resolved/>
    </commentChains>
    <commentChains s:ref="F633" rgbClr="FF0000">
      <unresolved>
        <commentChain chainId="90e51b359e7b1a7a9f4b29507a9fa6a77737e268">
          <item id="30657c7c31b0acc7bfc2cec1cd8b6f414852372e" isNormal="1">
            <s:text>
              <s:r>
                <s:t xml:space="preserve">Administrator:
从202607170125转入
</s:t>
              </s:r>
            </s:text>
          </item>
        </commentChain>
      </unresolved>
      <resolved/>
    </commentChains>
    <commentChains s:ref="F634" rgbClr="FF0000">
      <unresolved>
        <commentChain chainId="c40c35d653247c9cbd107d7e6e23069835c22575">
          <item id="021eb0587683d2a443e36197be2fa7d60df8f629" isNormal="1">
            <s:text>
              <s:r>
                <s:t xml:space="preserve">Administrator:
从202607170125转入</s:t>
              </s:r>
            </s:text>
          </item>
        </commentChain>
      </unresolved>
      <resolved/>
    </commentChains>
    <commentChains s:ref="F635" rgbClr="FF0000">
      <unresolved>
        <commentChain chainId="22efe9f53af73704d1f66139083f3c311c97fd8a">
          <item id="2894dfea15ba854334af93425deba25d7fc403fd" isNormal="1">
            <s:text>
              <s:r>
                <s:t xml:space="preserve">Administrator:
从202607170125转入</s:t>
              </s:r>
            </s:text>
          </item>
        </commentChain>
      </unresolved>
      <resolved/>
    </commentChains>
    <commentChains s:ref="F639" rgbClr="FF0000">
      <unresolved>
        <commentChain chainId="c418af17fef201fa35656f4eb8d01d4b33e02831">
          <item id="c1bbe5593129aa6f14da458f7c4ceac3d0e18f0e" isNormal="1">
            <s:text>
              <s:r>
                <s:t xml:space="preserve">Administrator:
从PO10126801转入</s:t>
              </s:r>
            </s:text>
          </item>
        </commentChain>
      </unresolved>
      <resolved/>
    </commentChains>
    <commentChains s:ref="F641" rgbClr="FF0000">
      <unresolved>
        <commentChain chainId="7c75b12f139db53fb9c05696bc14e50bf995ce72">
          <item id="a89a31b9759bf788def910890f9910248adc5872" isNormal="1">
            <s:text>
              <s:r>
                <s:t xml:space="preserve">Administrator:
增加10008pcs</s:t>
              </s:r>
            </s:text>
          </item>
        </commentChain>
      </unresolved>
      <resolved/>
    </commentChains>
    <commentChains s:ref="F642" rgbClr="FF0000">
      <unresolved>
        <commentChain chainId="08fc4dec4180bf690fb58cae7c57eb6b9d930a9c">
          <item id="1341fa6ab79f5ce4264ce96307479820fa6d88e4" isNormal="1">
            <s:text>
              <s:r>
                <s:t xml:space="preserve">Administrator:
从PO10121314转入3000pcs</s:t>
              </s:r>
            </s:text>
          </item>
        </commentChain>
      </unresolved>
      <resolved/>
    </commentChains>
  </commentList>
  <commentList sheetStid="57">
    <commentChains s:ref="J14" rgbClr="FF0000">
      <unresolved>
        <commentChain chainId="9099e67ac8a4d2125ea6e491dd724f54b13feffb">
          <item id="06bf8a35b6056cbbe0f39da83263d1856d7be6f6" isNormal="1">
            <s:text>
              <s:r>
                <s:t xml:space="preserve">Administrator:
480pcs转至PO10127804</s:t>
              </s:r>
            </s:text>
          </item>
        </commentChain>
      </unresolved>
      <resolved/>
    </commentChains>
    <commentChains s:ref="J15" rgbClr="FF0000">
      <unresolved>
        <commentChain chainId="2f3c41ae72ca45c64a1c7f9e9332239e7b52d1b2">
          <item id="7e3a592643f4c0e90adf510fb1207301f3511135" isNormal="1">
            <s:text>
              <s:r>
                <s:t xml:space="preserve">Administrator:
从PO10126801转入</s:t>
              </s:r>
            </s:text>
          </item>
        </commentChain>
      </unresolved>
      <resolved/>
    </commentChains>
    <commentChains s:ref="J18" rgbClr="FF0000">
      <unresolved>
        <commentChain chainId="f0737cb907540fdccdc4c48567ce0985b96e176e">
          <item id="a9849d6b32c34cc4afcf4e02f299bf8229704d7d" isNormal="1">
            <s:text>
              <s:r>
                <s:t xml:space="preserve">Administrator:
增加10008pcs</s:t>
              </s:r>
            </s:text>
          </item>
        </commentChain>
      </unresolved>
      <resolved/>
    </commentChains>
    <commentChains s:ref="J38" rgbClr="FF0000">
      <unresolved>
        <commentChain chainId="f77ca0ad79d207f9b9f7ade723faede500e122b8">
          <item id="e7ccae70bcb7494777266b22b2adb55c44583796" isNormal="1">
            <s:text>
              <s:r>
                <s:t xml:space="preserve">Administrator:
从po10123689/10123756各转入1500PCS</s:t>
              </s:r>
            </s:text>
          </item>
        </commentChain>
      </unresolved>
      <resolved/>
    </commentChains>
    <commentChains s:ref="J62" rgbClr="FF0000">
      <unresolved>
        <commentChain chainId="0095312e6affe34afe61da18cd3368579f7601a4">
          <item id="05d5428f3e77fa6b5177c28034c1ed5adc049896" isNormal="1">
            <s:text>
              <s:r>
                <s:t xml:space="preserve">Administrator:
从PO10121314转入3000pcs</s:t>
              </s:r>
            </s:text>
          </item>
        </commentChain>
      </unresolved>
      <resolved/>
    </commentChains>
  </commentList>
  <commentList sheetStid="55">
    <commentChains s:ref="AJ7" rgbClr="FF0000">
      <unresolved>
        <commentChain chainId="8afee864a23983a9a307241d2330fe6ea5f18e08">
          <item id="652bc5bdce433a3122076e520b08b088329ea7eb" isNormal="1">
            <s:text>
              <s:r>
                <s:t xml:space="preserve">Administrator:
仓库回复5/25开始交-6/10齐</s:t>
              </s:r>
            </s:text>
          </item>
        </commentChain>
      </unresolved>
      <resolved/>
    </commentChains>
    <commentChains s:ref="AK7" rgbClr="FF0000">
      <unresolved>
        <commentChain chainId="f5fadda4d5f64e1a16e306540485e3ece1c1e704">
          <item id="90a76a7b14d7109c775ee65488bffe4619314159" isNormal="1">
            <s:text>
              <s:r>
                <s:t xml:space="preserve">Administrator:
此单开始中国下单
</s:t>
              </s:r>
            </s:text>
          </item>
        </commentChain>
      </unresolved>
      <resolved/>
    </commentChains>
    <commentChains s:ref="J9" rgbClr="FF0000">
      <unresolved>
        <commentChain chainId="ebade6b3226a34be30f80226d1f5eb66e79d0bb0">
          <item id="06c6d46100e852334507e9be91c1c2d79b7a3087" isNormal="1">
            <s:text>
              <s:r>
                <s:t xml:space="preserve">Administrator:
转600PCS到10113988</s:t>
              </s:r>
            </s:text>
          </item>
        </commentChain>
      </unresolved>
      <resolved/>
    </commentChains>
    <commentChains s:ref="J14" rgbClr="FF0000">
      <unresolved>
        <commentChain chainId="66e2c93f657cbd676ada1cb80dd07e4a4e5e8549">
          <item id="f3e10eb4bcc712a2e0f4b57df43a9180833439a6" isNormal="1">
            <s:text>
              <s:r>
                <s:t xml:space="preserve">Administrator:
转500PCS到PO10113988</s:t>
              </s:r>
            </s:text>
          </item>
        </commentChain>
      </unresolved>
      <resolved/>
    </commentChains>
    <commentChains s:ref="J30" rgbClr="FF0000">
      <unresolved>
        <commentChain chainId="e017b49d86b5b80866ceadb3f28154bd68edae49">
          <item id="b24930c8aac8d3c9653a35c158edc55817e3b367" isNormal="1">
            <s:text>
              <s:r>
                <s:t xml:space="preserve">Administrator:
从10106730转入</s:t>
              </s:r>
            </s:text>
          </item>
        </commentChain>
      </unresolved>
      <resolved/>
    </commentChains>
    <commentChains s:ref="AI30" rgbClr="FF0000">
      <unresolved>
        <commentChain chainId="2b934fd7c5bdddd0f37882c49dd8a19e628e6dc7">
          <item id="44cd060ecbf81b188d982812b1e8450395067946" isNormal="1">
            <s:text>
              <s:r>
                <s:t xml:space="preserve">Administrator:
转单</s:t>
              </s:r>
            </s:text>
          </item>
        </commentChain>
      </unresolved>
      <resolved/>
    </commentChains>
    <commentChains s:ref="J58" rgbClr="FF0000">
      <unresolved>
        <commentChain chainId="b2a20d9d1dcba990689e74c4969b6e91f65c9de3">
          <item id="44b01ae20d22945cd2d4f29ba43e62f756596f82" isNormal="1">
            <s:text>
              <s:r>
                <s:t xml:space="preserve">Administrator:
转120PCS到10112872</s:t>
              </s:r>
            </s:text>
          </item>
        </commentChain>
      </unresolved>
      <resolved/>
    </commentChains>
    <commentChains s:ref="J62" rgbClr="FF0000">
      <unresolved>
        <commentChain chainId="28f03a8f6c636af541c4036e87841e0387f6028b">
          <item id="ad5bf9a8e1149694443a78e77ee3a26de11b65e4" isNormal="1">
            <s:text>
              <s:r>
                <s:t xml:space="preserve">Administrator:
从10107795转入600PCS
转600PCS到10118672
</s:t>
              </s:r>
            </s:text>
          </item>
        </commentChain>
      </unresolved>
      <resolved/>
    </commentChains>
    <commentChains s:ref="AN66" rgbClr="FF0000">
      <unresolved>
        <commentChain chainId="2de09185eb74ee968bda05de6240cd7f33e74c23">
          <item id="c16458e4f19b425a7683656a8b6dceb66ce3a0f7" isNormal="1">
            <s:text>
              <s:r>
                <s:t xml:space="preserve">Administrator:
退回返工
</s:t>
              </s:r>
            </s:text>
          </item>
        </commentChain>
      </unresolved>
      <resolved/>
    </commentChains>
    <commentChains s:ref="J70" rgbClr="FF0000">
      <unresolved>
        <commentChain chainId="265b488a84dfa948b723558b31e271754a23ba7d">
          <item id="efcd67f3d48cb6775447e7bfcd229ff1973c1c15" isNormal="1">
            <s:text>
              <s:r>
                <s:t xml:space="preserve">Administrator:
从10107796转入</s:t>
              </s:r>
            </s:text>
          </item>
        </commentChain>
      </unresolved>
      <resolved/>
    </commentChains>
    <commentChains s:ref="J72" rgbClr="FF0000">
      <unresolved>
        <commentChain chainId="f8315c2fce9d58ff3fa3b77522836afaaa08631a">
          <item id="5ae703b97b7a83240ae8cdc81b2ae1fee5396e06" isNormal="1">
            <s:text>
              <s:r>
                <s:t xml:space="preserve">Administrator:
从10107796转入</s:t>
              </s:r>
            </s:text>
          </item>
        </commentChain>
      </unresolved>
      <resolved/>
    </commentChains>
    <commentChains s:ref="J73" rgbClr="FF0000">
      <unresolved>
        <commentChain chainId="ee448ea5128c468451dc6519d861c7d378cfee6e">
          <item id="a8364456c9199984814b7492ba3bd452f91d5bda" isNormal="1">
            <s:text>
              <s:r>
                <s:t xml:space="preserve">Administrator:
从10107798转入500PCS</s:t>
              </s:r>
            </s:text>
          </item>
        </commentChain>
      </unresolved>
      <resolved/>
    </commentChains>
    <commentChains s:ref="J76" rgbClr="FF0000">
      <unresolved>
        <commentChain chainId="16138123d3cbe32187ce702242d5449a0e716e21">
          <item id="9146b26d528db8d9ddacc09a43bd8f9977f30b77" isNormal="1">
            <s:text>
              <s:r>
                <s:t xml:space="preserve">Administrator:
转396PCS到10113988</s:t>
              </s:r>
            </s:text>
          </item>
        </commentChain>
      </unresolved>
      <resolved/>
    </commentChains>
    <commentChains s:ref="J78" rgbClr="FF0000">
      <unresolved>
        <commentChain chainId="169c4d3d3d68df46da5b0d79db76070560d0f315">
          <item id="88f1f17a1af8fa6b66dc84ca5fc761d089567029" isNormal="1">
            <s:text>
              <s:r>
                <s:t xml:space="preserve">Administrator:
转600PCS到10107799</s:t>
              </s:r>
            </s:text>
          </item>
        </commentChain>
      </unresolved>
      <resolved/>
    </commentChains>
    <commentChains s:ref="J92" rgbClr="FF0000">
      <unresolved>
        <commentChain chainId="6477ee7a012dd0626226575d3a55e3416cfb5472">
          <item id="05b6b2690b846f13fb6c2be886a8ac4ba43a0f12" isNormal="1">
            <s:text>
              <s:r>
                <s:t xml:space="preserve">Administrator:
转600pcs到10118672</s:t>
              </s:r>
            </s:text>
          </item>
        </commentChain>
      </unresolved>
      <resolved/>
    </commentChains>
    <commentChains s:ref="J100" rgbClr="FF0000">
      <unresolved>
        <commentChain chainId="8aaa7dcf55c8922072161332014e6f451f7adc1f">
          <item id="a2027fa1634004c7714ab542a515de38bce2004e" isNormal="1">
            <s:text>
              <s:r>
                <s:t xml:space="preserve">Administrator:
转600PCS到10118672</s:t>
              </s:r>
            </s:text>
          </item>
        </commentChain>
      </unresolved>
      <resolved/>
    </commentChains>
    <commentChains s:ref="AN101" rgbClr="FF0000">
      <unresolved>
        <commentChain chainId="aca09f815c7fcdc3914cb5be0bfdc66da828fabf">
          <item id="628586808fe043959a521fb044922ebfb8391ae1" isNormal="1">
            <s:text>
              <s:r>
                <s:t xml:space="preserve">Administrator:
退回返工
</s:t>
              </s:r>
            </s:text>
          </item>
        </commentChain>
      </unresolved>
      <resolved/>
    </commentChains>
    <commentChains s:ref="J104" rgbClr="FF0000">
      <unresolved>
        <commentChain chainId="635955388ee24c58485ed2213238e01f3071b150">
          <item id="51bd732d80c9fe81193a16b74140116bce4c6baa" isNormal="1">
            <s:text>
              <s:r>
                <s:t xml:space="preserve">Administrator:
转480PCS到10118672</s:t>
              </s:r>
            </s:text>
          </item>
        </commentChain>
      </unresolved>
      <resolved/>
    </commentChains>
    <commentChains s:ref="J109" rgbClr="FF0000">
      <unresolved>
        <commentChain chainId="c9a0181126eaed3d94d79e575e25b70ccd479f18">
          <item id="41974c4ecd795f5831f392198045b28ea70f6db7" isNormal="1">
            <s:text>
              <s:r>
                <s:t xml:space="preserve">Administrator:
转1000PCS到10120342</s:t>
              </s:r>
            </s:text>
          </item>
        </commentChain>
      </unresolved>
      <resolved/>
    </commentChains>
    <commentChains s:ref="J116" rgbClr="FF0000">
      <unresolved>
        <commentChain chainId="8af6c9ee2801fa5cc84ec020c53db9790d2bd4e6">
          <item id="f35a075562fdc231ef43551f0779ba7584b9b31f" isNormal="1">
            <s:text>
              <s:r>
                <s:t xml:space="preserve">Administrator:
从10112827转入</s:t>
              </s:r>
            </s:text>
          </item>
        </commentChain>
      </unresolved>
      <resolved/>
    </commentChains>
    <commentChains s:ref="J126" rgbClr="FF0000">
      <unresolved>
        <commentChain chainId="526dcd62c3b64fc3f7e75aff25f78f2a1d97ee35">
          <item id="5217581e3bff19ff6a07cef5ecc6928e0a840687" isNormal="1">
            <s:text>
              <s:r>
                <s:t xml:space="preserve">Administrator:
从10115934转入</s:t>
              </s:r>
            </s:text>
          </item>
        </commentChain>
      </unresolved>
      <resolved/>
    </commentChains>
    <commentChains s:ref="J127" rgbClr="FF0000">
      <unresolved>
        <commentChain chainId="2e25547defc9ee4814c0404d5d71b69dd6507914">
          <item id="323dbccdfec42694ada7e752f5c385e68924f328" isNormal="1">
            <s:text>
              <s:r>
                <s:t xml:space="preserve">Administrator:
从10115934转入</s:t>
              </s:r>
            </s:text>
          </item>
        </commentChain>
      </unresolved>
      <resolved/>
    </commentChains>
    <commentChains s:ref="AJ130" rgbClr="FF0000">
      <unresolved>
        <commentChain chainId="3b69151ca78e3122d19749c1d485ee8f766a32a2">
          <item id="75b184df8c8e9b4bb4cb759b788be2f2fb793686" isNormal="1">
            <s:text>
              <s:r>
                <s:t xml:space="preserve">Administrator:
搪胶件</s:t>
              </s:r>
            </s:text>
          </item>
        </commentChain>
      </unresolved>
      <resolved/>
    </commentChains>
    <commentChains s:ref="J137" rgbClr="FF0000">
      <unresolved>
        <commentChain chainId="14b5ffdb208e35ef239861d5cb0215ee8b0bb059">
          <item id="ed1e4540635ac37f92e1003bbece5fec269d5e9b" isNormal="1">
            <s:text>
              <s:r>
                <s:t xml:space="preserve">Administrator:
转600pcs到10118672</s:t>
              </s:r>
            </s:text>
          </item>
        </commentChain>
      </unresolved>
      <resolved/>
    </commentChains>
    <commentChains s:ref="J138" rgbClr="FF0000">
      <unresolved>
        <commentChain chainId="8df2a890f7795ee832bf96729ba4fc2bf10cce5d">
          <item id="7841e579f4df5540a23f0224a2ef59a314fc48ba" isNormal="1">
            <s:text>
              <s:r>
                <s:t xml:space="preserve">Administrator:
转2000PCS到10123469</s:t>
              </s:r>
            </s:text>
          </item>
        </commentChain>
      </unresolved>
      <resolved/>
    </commentChains>
    <commentChains s:ref="J140" rgbClr="FF0000">
      <unresolved>
        <commentChain chainId="46abf19796dc4bf11ea214031a0162f3a19c9cab">
          <item id="48dd08b113a7749324c3075ab9fa9cdee3351adf" isNormal="1">
            <s:text>
              <s:r>
                <s:t xml:space="preserve">Administrator:
转4000PCS到10123469</s:t>
              </s:r>
            </s:text>
          </item>
        </commentChain>
      </unresolved>
      <resolved/>
    </commentChains>
    <commentChains s:ref="J141" rgbClr="FF0000">
      <unresolved>
        <commentChain chainId="251f9302b327431343fe7f2d06c87afbdae96abe">
          <item id="e0b552724adf7612432f799107e93b573ad0d725" isNormal="1">
            <s:text>
              <s:r>
                <s:t xml:space="preserve">Administrator:
转480PCS到10118672</s:t>
              </s:r>
            </s:text>
          </item>
        </commentChain>
      </unresolved>
      <resolved/>
    </commentChains>
    <commentChains s:ref="J160" rgbClr="FF0000">
      <unresolved>
        <commentChain chainId="e2933b695369bfa59bea494fe8d88f05d26a1e7d">
          <item id="2d8a9ef2e108e5a58ee0e7a914e7a20aef198c29" isNormal="1">
            <s:text>
              <s:r>
                <s:t xml:space="preserve">Administrator:
转1000PCS到10120342</s:t>
              </s:r>
            </s:text>
          </item>
        </commentChain>
      </unresolved>
      <resolved/>
    </commentChains>
    <commentChains s:ref="J164" rgbClr="FF0000">
      <unresolved>
        <commentChain chainId="c129bf639e3e57c6bd6825ea4909f5a3174c736b">
          <item id="b95c660a950e6e0a67177b7810967e0575dc9505" isNormal="1">
            <s:text>
              <s:r>
                <s:t xml:space="preserve">Administrator:
转1200PCS到10118672</s:t>
              </s:r>
            </s:text>
          </item>
        </commentChain>
      </unresolved>
      <resolved/>
    </commentChains>
    <commentChains s:ref="AI164" rgbClr="FF0000">
      <unresolved>
        <commentChain chainId="74a10fdb50577b3a0b9c8382856b61e7d6124aeb">
          <item id="acc82c0e539c5e1acff824e2f61a97c4377e9baa" isNormal="1">
            <s:text>
              <s:r>
                <s:t xml:space="preserve">Administrator:
欠吸塑</s:t>
              </s:r>
            </s:text>
          </item>
        </commentChain>
      </unresolved>
      <resolved/>
    </commentChains>
    <commentChains s:ref="AI165" rgbClr="FF0000">
      <unresolved>
        <commentChain chainId="d2e521731a4c9a94461186c5b04b351f0e12fc1e">
          <item id="fad1fe5db6dba59ffaa9d0d0eef8576f19fc3d16" isNormal="1">
            <s:text>
              <s:r>
                <s:t xml:space="preserve">Administrator:
欠吸塑</s:t>
              </s:r>
            </s:text>
          </item>
        </commentChain>
      </unresolved>
      <resolved/>
    </commentChains>
    <commentChains s:ref="J166" rgbClr="FF0000">
      <unresolved>
        <commentChain chainId="d7fa391afe4739794780a683d9933acb1175e5f7">
          <item id="d2a4d2dd0629889cb79ae3b03810e3537015aaab" isNormal="1">
            <s:text>
              <s:r>
                <s:t xml:space="preserve">Administrator:
3/20转900PCS到PO#10122974</s:t>
              </s:r>
            </s:text>
          </item>
        </commentChain>
      </unresolved>
      <resolved/>
    </commentChains>
    <commentChains s:ref="J171" rgbClr="FF0000">
      <unresolved>
        <commentChain chainId="14abfcf88511dc3f25334e6f2fafcf4634883f7a">
          <item id="9d459a06b883b10929f86e3857495eed59552df8" isNormal="1">
            <s:text>
              <s:r>
                <s:t xml:space="preserve">Administrator:
从10116827转入</s:t>
              </s:r>
            </s:text>
          </item>
        </commentChain>
      </unresolved>
      <resolved/>
    </commentChains>
    <commentChains s:ref="J172" rgbClr="FF0000">
      <unresolved>
        <commentChain chainId="2014f798235c865522c4fe3ea30b6f77bc9b81c1">
          <item id="2f0accc9c48b08494e3ed11ef4687771cd4bacb8" isNormal="1">
            <s:text>
              <s:r>
                <s:t xml:space="preserve">Administrator:
从10118802转入</s:t>
              </s:r>
            </s:text>
          </item>
        </commentChain>
      </unresolved>
      <resolved/>
    </commentChains>
    <commentChains s:ref="J173" rgbClr="FF0000">
      <unresolved>
        <commentChain chainId="9aa25cffb121b4ef80f5e4e8122545b3172de0da">
          <item id="699997235002f5600da38226f6556d2d6960cf2d" isNormal="1">
            <s:text>
              <s:r>
                <s:t xml:space="preserve">Administrator:
从PO#10118672转入</s:t>
              </s:r>
            </s:text>
          </item>
        </commentChain>
      </unresolved>
      <resolved/>
    </commentChains>
    <commentChains s:ref="J174" rgbClr="FF0000">
      <unresolved>
        <commentChain chainId="15d1b494bb89387797555066adfd5db0ddf39f2d">
          <item id="12f960e0a9a762c78c385d132411bbd896ac40b5" isNormal="1">
            <s:text>
              <s:r>
                <s:t xml:space="preserve">Administrator:
从PO#10118672转入</s:t>
              </s:r>
            </s:text>
          </item>
        </commentChain>
      </unresolved>
      <resolved/>
    </commentChains>
    <commentChains s:ref="J175" rgbClr="FF0000">
      <unresolved>
        <commentChain chainId="9cd30645f09acaac5754ad9d14aa7132c28cc2ea">
          <item id="f10ea4b55621e72713e87834574b757621dba2fc" isNormal="1">
            <s:text>
              <s:r>
                <s:t xml:space="preserve">Administrator:
从PO#10118672转入</s:t>
              </s:r>
            </s:text>
          </item>
        </commentChain>
      </unresolved>
      <resolved/>
    </commentChains>
    <commentChains s:ref="J176" rgbClr="FF0000">
      <unresolved>
        <commentChain chainId="5d0887d34481db98c121843f17b68b72bacad166">
          <item id="f792190ad8de3d55c971fe401c7f4a36261b7acc" isNormal="1">
            <s:text>
              <s:r>
                <s:t xml:space="preserve">Administrator:
从PO#10118672转入</s:t>
              </s:r>
            </s:text>
          </item>
        </commentChain>
      </unresolved>
      <resolved/>
    </commentChains>
    <commentChains s:ref="J177" rgbClr="FF0000">
      <unresolved>
        <commentChain chainId="148d7c4f8f0ea68dd94219d9b9c37a1529ea00be">
          <item id="154818cc2c965df77c80bb0f7cbb5f8c286d4f6f" isNormal="1">
            <s:text>
              <s:r>
                <s:t xml:space="preserve">Administrator:
从PO#10118672转入</s:t>
              </s:r>
            </s:text>
          </item>
        </commentChain>
      </unresolved>
      <resolved/>
    </commentChains>
    <commentChains s:ref="J178" rgbClr="FF0000">
      <unresolved>
        <commentChain chainId="4e5f3ebcb5b9382957967ad8856469a0a3635360">
          <item id="0f5cc606a431797eb898311977fdeaf570ac81b7" isNormal="1">
            <s:text>
              <s:r>
                <s:t xml:space="preserve">Administrator:
从PO#10118672转入</s:t>
              </s:r>
            </s:text>
          </item>
        </commentChain>
      </unresolved>
      <resolved/>
    </commentChains>
    <commentChains s:ref="J179" rgbClr="FF0000">
      <unresolved>
        <commentChain chainId="6b19113668cd41f1b6bfefdab0af61a3984eaca2">
          <item id="2d1f523634c7f2ddcc3214f5e06da98abb98b6aa" isNormal="1">
            <s:text>
              <s:r>
                <s:t xml:space="preserve">Administrator:
从10119190转入</s:t>
              </s:r>
            </s:text>
          </item>
        </commentChain>
      </unresolved>
      <resolved/>
    </commentChains>
    <commentChains s:ref="J182" rgbClr="FF0000">
      <unresolved>
        <commentChain chainId="c6a44f58093f4d534ec2a1221cebd1a2644ca98b">
          <item id="e715b806263ac93af9bab021e121a9eb2f71f343" isNormal="1">
            <s:text>
              <s:r>
                <s:t xml:space="preserve">Administrator:
转480PCS到10123675</s:t>
              </s:r>
            </s:text>
          </item>
        </commentChain>
      </unresolved>
      <resolved/>
    </commentChains>
    <commentChains s:ref="AJ214" rgbClr="FF0000">
      <unresolved>
        <commentChain chainId="81db8bdbc1b7454f6a2a6386ba5a54b2805780ef">
          <item id="72dade76f595ddc0f39d3ad9d746078c8219cc0d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AJ220" rgbClr="FF0000">
      <unresolved>
        <commentChain chainId="54e086628677585cb7d07a9a526ccbb9ea53c35f">
          <item id="b433cc6271569ab623db0f6990588f42d49d6cf6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J227" rgbClr="FF0000">
      <unresolved>
        <commentChain chainId="34a624d3bb9a11292f01f2e5236ac81026684b75">
          <item id="92a0474b5f914c2878385d2e33e96d9f807a9f63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228" rgbClr="FF0000">
      <unresolved>
        <commentChain chainId="ee087c5f7c08a0d0a8f7721fb1673914317236db">
          <item id="9a2b12c1a3c246fea24852d836345bdc886b8347" isNormal="1">
            <s:text>
              <s:r>
                <s:t xml:space="preserve">Administrator:
从MPO202607270046转入</s:t>
              </s:r>
            </s:text>
          </item>
        </commentChain>
      </unresolved>
      <resolved/>
    </commentChains>
    <commentChains s:ref="AI243" rgbClr="FF0000">
      <unresolved>
        <commentChain chainId="1a8bf457d98184f7d867345513574a2f122cf7b0">
          <item id="b4170a8d1f122b07a4a7377ca3734bf5ff68f4c3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AI245" rgbClr="FF0000">
      <unresolved>
        <commentChain chainId="38659ae1ca15d8dfe593b3818443d415bb634325">
          <item id="4302743c13a1238e3fd1e0462ac7ec5bd40f0212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AI252" rgbClr="FF0000">
      <unresolved>
        <commentChain chainId="350b53e72aed34635289dbd0a3a73595086db369">
          <item id="dc58a29c2317b874e4c5026ee6887d71ff2083af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AI253" rgbClr="FF0000">
      <unresolved>
        <commentChain chainId="2bf0b2d88e1bc4c929911fec54aa0d9176f38e19">
          <item id="e7028c98339e5fc6f25f1191a9fe3cc01b52d65e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AI258" rgbClr="FF0000">
      <unresolved>
        <commentChain chainId="650de20449631fcc2c6778156f805042f24236b2">
          <item id="d6ee1ad280fd24c2f0355074e8eed25f104e671f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AI261" rgbClr="FF0000">
      <unresolved>
        <commentChain chainId="0e707a12a2ff52a6805517ebd30433edc5649559">
          <item id="8d3d547cfdd136990b63676e23db848e12bb0e43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AI264" rgbClr="FF0000">
      <unresolved>
        <commentChain chainId="6f625f612360fedb13d949d011968134b5e49f8e">
          <item id="4b80e5a92698e88f234f0bb1a50a05e2d6a57b64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AI267" rgbClr="FF0000">
      <unresolved>
        <commentChain chainId="118761bceff48e2c0b2f7b7efd1ec191cfc75273">
          <item id="0f3126a6583ae418bf375e4a450709fae6d73f4d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AI269" rgbClr="FF0000">
      <unresolved>
        <commentChain chainId="94e4326b6a43ee6792c7f1a32029de7c7a55df4a">
          <item id="6b94388a569622b514c25baa7aba13a2a3463e39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J272" rgbClr="FF0000">
      <unresolved>
        <commentChain chainId="b65ee2850f98e1bc8c0f0d07dd5ae2692f97f0b4">
          <item id="3ab3f13d40d4dc4326884b7d9cc774af4bcb3d4b" isNormal="1">
            <s:text>
              <s:r>
                <s:t xml:space="preserve">Administrator:
从MPO202607270046转入</s:t>
              </s:r>
            </s:text>
          </item>
        </commentChain>
      </unresolved>
      <resolved/>
    </commentChains>
    <commentChains s:ref="J273" rgbClr="FF0000">
      <unresolved>
        <commentChain chainId="0fd28267d28f0db8c05f52296fd80aa4dee91918">
          <item id="928909360b6ab1996086779a80c701985b3351a9" isNormal="1">
            <s:text>
              <s:r>
                <s:t xml:space="preserve">Administrator:
480pcs转至PO10127804</s:t>
              </s:r>
            </s:text>
          </item>
        </commentChain>
      </unresolved>
      <resolved/>
    </commentChains>
    <commentChains s:ref="J274" rgbClr="FF0000">
      <unresolved>
        <commentChain chainId="ca1530808f19026603503ca86b9ac54d9a7d56ad">
          <item id="ec24c90a2a50539b4006ede9c6b032e0164343e5" isNormal="1">
            <s:text>
              <s:r>
                <s:t xml:space="preserve">Administrator:
转480PCS到 PO#10123675</s:t>
              </s:r>
            </s:text>
          </item>
        </commentChain>
      </unresolved>
      <resolved/>
    </commentChains>
    <commentChains s:ref="J277" rgbClr="FF0000">
      <unresolved>
        <commentChain chainId="25225648f66c9d65ccabfe3f4c202834fc0bb4ed">
          <item id="d0ea6fa27804c97405c7a33c0fe90d732faa9f7c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278" rgbClr="FF0000">
      <unresolved>
        <commentChain chainId="7dfdc075b0aeb96ded0cdc62ba121f2b1e926699">
          <item id="36f3c604744892af6201615dcee92e93719b81af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279" rgbClr="FF0000">
      <unresolved>
        <commentChain chainId="d79ad3b0fb55eb3bdb8565f0fff9bc43beac0c70">
          <item id="a25b53986602760ff733deda9b9a1e5b2999debc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280" rgbClr="FF0000">
      <unresolved>
        <commentChain chainId="a0ae68bf61769ad8d4d6cf9e13f197d75615e69f">
          <item id="444f865d40ed8c66426d0d84b88d567782a2b60d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281" rgbClr="FF0000">
      <unresolved>
        <commentChain chainId="6682b9530af3cfe0345e678d992889ecca628f3b">
          <item id="8a32d3e34f80a1dad054b468a3719bc7e2af2403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282" rgbClr="FF0000">
      <unresolved>
        <commentChain chainId="865ded5c88b06191dcf5d941115b4bab1c2a7168">
          <item id="835380290ef168c67ebe721fa62eb3ff5204c9b6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AI282" rgbClr="FF0000">
      <unresolved>
        <commentChain chainId="f3f934a6d40d7178fe3b0d887d94a536b6bb3618">
          <item id="a5b6876267ccc21cc7e25fe9e75eaf87623b6f5d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J283" rgbClr="FF0000">
      <unresolved>
        <commentChain chainId="5c79b3be648aa808ad65e36afff352d769119e7d">
          <item id="d5ba2d9e502c0f6bb0ada853b7449f595848ffd3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284" rgbClr="FF0000">
      <unresolved>
        <commentChain chainId="452a808edfd5bb2903e0d585deb78cfda1409f36">
          <item id="21f296974135586b10473c0f75016ae52489d19c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285" rgbClr="FF0000">
      <unresolved>
        <commentChain chainId="262efa23d418e7b175ab6687d48c2f057f344298">
          <item id="290c3f7f79267d3ad546e5d6c0375f89da0de7b0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286" rgbClr="FF0000">
      <unresolved>
        <commentChain chainId="5769e130e3e7a0d0cb1f28dace9440f7dc8ada7c">
          <item id="cae982cd54289be0617071060953cbc42c614126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287" rgbClr="FF0000">
      <unresolved>
        <commentChain chainId="d6bb5ea984b474fa0a406e10aa0a2deecfa4280a">
          <item id="c5719026568ffd7bc857108dda82ad4a45f3b26c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AI287" rgbClr="FF0000">
      <unresolved>
        <commentChain chainId="a3500e4ae1b4408e22111fddc9dd9348c6c6b672">
          <item id="21dabb2e56cc9b3b2c65ff2e762e2235c72fb070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J288" rgbClr="FF0000">
      <unresolved>
        <commentChain chainId="e41e011a9e6e0341b5d92da331a1b985da478393">
          <item id="9a8796770a85b9c6938825ced93c08a1e375771e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289" rgbClr="FF0000">
      <unresolved>
        <commentChain chainId="0478cd7a4897d2fe5166afca36ee4a0e1f916c3b">
          <item id="3de48029b25802a716c6b35b9b455f9c00b388fc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290" rgbClr="FF0000">
      <unresolved>
        <commentChain chainId="7bf9142fb79f7a0f42bd4609708846a9c7e48e15">
          <item id="bbcfb0c7638870b786d981cb01ed3ab111b8bc85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291" rgbClr="FF0000">
      <unresolved>
        <commentChain chainId="1b508e3be53a400d40f545f7994daf14643212b7">
          <item id="7fe62750ab68578524fe338e1bc0f2cf5c2d3996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292" rgbClr="FF0000">
      <unresolved>
        <commentChain chainId="d5ea5e1c34fb7e5d881bb8c56df90bef14444ede">
          <item id="9167bf92cb35218983691b94130f952f6525b7ef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293" rgbClr="FF0000">
      <unresolved>
        <commentChain chainId="a1152ec6cacf6cbe833eacae4f92f6591129bff7">
          <item id="b900944fe73ae0594979778bd68a537153bfcabc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AI293" rgbClr="FF0000">
      <unresolved>
        <commentChain chainId="7673f37dd8b5663b82b4e180700a03990b93cc2a">
          <item id="197af0757cd0a78842babf22529ccea522131f69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J303" rgbClr="FF0000">
      <unresolved>
        <commentChain chainId="e3568f9eaf2ad70dfbe021699407dd0cfdf6d443">
          <item id="8b95e9b0a200bd7ef7975108738222cac20e98ad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04" rgbClr="FF0000">
      <unresolved>
        <commentChain chainId="75bb1b9531dbd808aaf358faee8dcbdf0a4f3d1c">
          <item id="90b1cd91a9481ef07108c5eb573a3745afba72f1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05" rgbClr="FF0000">
      <unresolved>
        <commentChain chainId="c17c2a2dace4373b59707a1d31762683b4521508">
          <item id="1bc3089bdfabe6a58f1cd01c50c8b18e9478f701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06" rgbClr="FF0000">
      <unresolved>
        <commentChain chainId="d50eeba9039453cd4b722c78b8270da9e19825ad">
          <item id="5a6fa2059ac326c25f94ad866c79d926a3d124fe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07" rgbClr="FF0000">
      <unresolved>
        <commentChain chainId="dca86c53d934c87119db3b78ae699dc31619a022">
          <item id="8cdda4819ee24bb347565b78cad9166acb0557f8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08" rgbClr="FF0000">
      <unresolved>
        <commentChain chainId="31cbff21df8bea8638f7548e588b7ec4318b23f9">
          <item id="1e0342afdf3eb8b7d31b95c293518e10c9b6ca64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AI308" rgbClr="FF0000">
      <unresolved>
        <commentChain chainId="42c18ce94cdd8973a4d7d6e59630da11cdf523b6">
          <item id="89a0f79a9cdd1617684e27041f4e48cc684b9b91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J309" rgbClr="FF0000">
      <unresolved>
        <commentChain chainId="25b059ebf096654f77e172d3cd333ae4dd06e4eb">
          <item id="636a3f13aee9346c298616732812c65ef8f650cf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11" rgbClr="FF0000">
      <unresolved>
        <commentChain chainId="17d3cd4719e07377c1d4287b1d837b36c053472f">
          <item id="52b745da88b516cf4ee547585e8733342cfd6f7b" isNormal="1">
            <s:text>
              <s:r>
                <s:t xml:space="preserve">Administrator:
转480PCS到 PO#10123675</s:t>
              </s:r>
            </s:text>
          </item>
        </commentChain>
      </unresolved>
      <resolved/>
    </commentChains>
    <commentChains s:ref="J314" rgbClr="FF0000">
      <unresolved>
        <commentChain chainId="fbf78a0df9908f7fcb5b8ced4470d2bdb5c5eb0a">
          <item id="cfad4b71dab245754eeda557fe5098bf0acf7ca0" isNormal="1">
            <s:text>
              <s:r>
                <s:t xml:space="preserve">Administrator:
从MPO202607170051转入
</s:t>
              </s:r>
            </s:text>
          </item>
        </commentChain>
      </unresolved>
      <resolved/>
    </commentChains>
    <commentChains s:ref="J315" rgbClr="FF0000">
      <unresolved>
        <commentChain chainId="2052fd032cbeb2075901249606ebe848fe27be68">
          <item id="d65c6b3de0e06da97ee388c8cb461d425dfda8f6" isNormal="1">
            <s:text>
              <s:r>
                <s:t xml:space="preserve">Administrator:
从MPO202607170051转入
</s:t>
              </s:r>
            </s:text>
          </item>
        </commentChain>
      </unresolved>
      <resolved/>
    </commentChains>
    <commentChains s:ref="J316" rgbClr="FF0000">
      <unresolved>
        <commentChain chainId="ff8fcfd27127774ab99781059522fdc5912a381a">
          <item id="1c46ecf9f165f755369de9d8b758dea82705dc9e" isNormal="1">
            <s:text>
              <s:r>
                <s:t xml:space="preserve">Administrator:
从MPO202607170051转入
</s:t>
              </s:r>
            </s:text>
          </item>
        </commentChain>
      </unresolved>
      <resolved/>
    </commentChains>
    <commentChains s:ref="J317" rgbClr="FF0000">
      <unresolved>
        <commentChain chainId="e856f6af672fa8054bdaca85a4a705699e807150">
          <item id="235078ba95361e5d2d46ff4f7b577c147c32445f" isNormal="1">
            <s:text>
              <s:r>
                <s:t xml:space="preserve">Administrator:
从MPO202607170051转入
</s:t>
              </s:r>
            </s:text>
          </item>
        </commentChain>
      </unresolved>
      <resolved/>
    </commentChains>
    <commentChains s:ref="J318" rgbClr="FF0000">
      <unresolved>
        <commentChain chainId="7934e4572620d6a6e14885a7a0f95be2683da4cf">
          <item id="d8cb6b9bd4f04675180836661d2d6d8c6e681b50" isNormal="1">
            <s:text>
              <s:r>
                <s:t xml:space="preserve">Administrator:
从MPO202607170051转入
</s:t>
              </s:r>
            </s:text>
          </item>
        </commentChain>
      </unresolved>
      <resolved/>
    </commentChains>
    <commentChains s:ref="J319" rgbClr="FF0000">
      <unresolved>
        <commentChain chainId="7edadcd81815f89a9155bc464b34ff322577bc38">
          <item id="e39d8200ad4a7a07cb541c5e1dd9d159822054f4" isNormal="1">
            <s:text>
              <s:r>
                <s:t xml:space="preserve">Administrator:
从MPO202607170051转入</s:t>
              </s:r>
            </s:text>
          </item>
        </commentChain>
      </unresolved>
      <resolved/>
    </commentChains>
    <commentChains s:ref="J320" rgbClr="FF0000">
      <unresolved>
        <commentChain chainId="489a403c3950a59ba9236b9bf9493cb1a27bfbad">
          <item id="314b0d95ad1d2630b007409db8d5d595e76a699e" isNormal="1">
            <s:text>
              <s:r>
                <s:t xml:space="preserve">Administrator:
从MPO202607170051转入
</s:t>
              </s:r>
            </s:text>
          </item>
        </commentChain>
      </unresolved>
      <resolved/>
    </commentChains>
    <commentChains s:ref="J321" rgbClr="FF0000">
      <unresolved>
        <commentChain chainId="7514bfe6640a0d32844c223b5f69dbef7190b713">
          <item id="f134335d851146722effaf2b819ced6b509693fe" isNormal="1">
            <s:text>
              <s:r>
                <s:t xml:space="preserve">Administrator:
从MPO202607170051转入</s:t>
              </s:r>
            </s:text>
          </item>
        </commentChain>
      </unresolved>
      <resolved/>
    </commentChains>
    <commentChains s:ref="J322" rgbClr="FF0000">
      <unresolved>
        <commentChain chainId="04292eb38acee42fd65ac8a1ad02e511df1f6388">
          <item id="f77ddd0153c26bfc325f8064e1d85d8010ccf102" isNormal="1">
            <s:text>
              <s:r>
                <s:t xml:space="preserve">Administrator:
从MPO202607170051转入</s:t>
              </s:r>
            </s:text>
          </item>
        </commentChain>
      </unresolved>
      <resolved/>
    </commentChains>
    <commentChains s:ref="J323" rgbClr="FF0000">
      <unresolved>
        <commentChain chainId="8e61a0b93bd3a110e3f4dddbb7699a623b3c5f8d">
          <item id="b8f8b0080b69d7f98cb9f9e5392ffe498da3aa01" isNormal="1">
            <s:text>
              <s:r>
                <s:t xml:space="preserve">Administrator:
从MPO202607170051转入</s:t>
              </s:r>
            </s:text>
          </item>
        </commentChain>
      </unresolved>
      <resolved/>
    </commentChains>
    <commentChains s:ref="J324" rgbClr="FF0000">
      <unresolved>
        <commentChain chainId="0f8c335102a208cad6f5e0b4b686774d1c2a2e0b">
          <item id="a781e26ca4b84b8073762670ec5a8bb737e5963c" isNormal="1">
            <s:text>
              <s:r>
                <s:t xml:space="preserve">Administrator:
从MPO202607170051转入</s:t>
              </s:r>
            </s:text>
          </item>
        </commentChain>
      </unresolved>
      <resolved/>
    </commentChains>
    <commentChains s:ref="J325" rgbClr="FF0000">
      <unresolved>
        <commentChain chainId="bc76a76c2c007c3d61984dc463450169769c1de7">
          <item id="c0f49899c916ffcc61ffd65e723086896811d003" isNormal="1">
            <s:text>
              <s:r>
                <s:t xml:space="preserve">Administrator:
从MPO202607170051转入</s:t>
              </s:r>
            </s:text>
          </item>
        </commentChain>
      </unresolved>
      <resolved/>
    </commentChains>
    <commentChains s:ref="AI325" rgbClr="FF0000">
      <unresolved>
        <commentChain chainId="5ec5bafc2fe00b4b0b1185db3f5d41e5df3378f3">
          <item id="522fa9750c4564b57aca40836f8c25ad70efe921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J326" rgbClr="FF0000">
      <unresolved>
        <commentChain chainId="baab9089efcca72d1b98bf0e2c4e0936f679e0a6">
          <item id="7b3760675fc4ee8a302d5af2aeed8e368275aa13" isNormal="1">
            <s:text>
              <s:r>
                <s:t xml:space="preserve">Administrator:
从MPO202607170051转入</s:t>
              </s:r>
            </s:text>
          </item>
        </commentChain>
      </unresolved>
      <resolved/>
    </commentChains>
    <commentChains s:ref="J327" rgbClr="FF0000">
      <unresolved>
        <commentChain chainId="ff38f5bb110af9a094728a20dd1611182b7723f4">
          <item id="1c54dca873c94197be2a0b4d358d955fc84c77f3" isNormal="1">
            <s:text>
              <s:r>
                <s:t xml:space="preserve">Administrator:
从MPO202607170051转入</s:t>
              </s:r>
            </s:text>
          </item>
        </commentChain>
      </unresolved>
      <resolved/>
    </commentChains>
    <commentChains s:ref="J342" rgbClr="FF0000">
      <unresolved>
        <commentChain chainId="f9296950e3ba571faee1f6d28b02ea1eb61aadda">
          <item id="cd861faccf9fb6400e406b994745128070b285ba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43" rgbClr="FF0000">
      <unresolved>
        <commentChain chainId="3fe6d822c55e633f034e5a422b590e6e9f92d1d6">
          <item id="e8e16adad064ccf6be81dfff1bfb09a94176a5ea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44" rgbClr="FF0000">
      <unresolved>
        <commentChain chainId="d4cbcf425dfacaf8deb049dec66104e8b65c1e3f">
          <item id="e5e764722263cf049f654a347d61c67263d4af4e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45" rgbClr="FF0000">
      <unresolved>
        <commentChain chainId="ddf27939c6eff86129d180168454b9d0f6e07761">
          <item id="62833354941516a820c03362ea8f0ae6dd601f87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46" rgbClr="FF0000">
      <unresolved>
        <commentChain chainId="8e1f477def1f7b5f19f87277650d9f82cef00f60">
          <item id="96d060aa6d1a4a100cd6831628700bd1bcf4b911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47" rgbClr="FF0000">
      <unresolved>
        <commentChain chainId="cf0203af6b666b7dadc8ea0bb75305cc0cd93159">
          <item id="3752d754d854840de406eecb4807067fc2ea8ae7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AI347" rgbClr="FF0000">
      <unresolved>
        <commentChain chainId="bc6b69e6855c677246138457471a79229b55f180">
          <item id="bd569019f595eb031dbef9e5e399a15120a26cc7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AI374" rgbClr="FF0000">
      <unresolved>
        <commentChain chainId="854421b2192c5ad4407acdb3cab3a1fe08a47365">
          <item id="acc1f72315c6b031d8fd811bc706fd00a2216ae4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J381" rgbClr="FF0000">
      <unresolved>
        <commentChain chainId="68af97d27921fbf51253e43da9099eb413310202">
          <item id="f7ff7edd4ca3ad9d00335645cdfbbda3b770cb72" isNormal="1">
            <s:text>
              <s:r>
                <s:t xml:space="preserve">Administrator:
从10121640转入</s:t>
              </s:r>
            </s:text>
          </item>
        </commentChain>
      </unresolved>
      <resolved/>
    </commentChains>
    <commentChains s:ref="J382" rgbClr="FF0000">
      <unresolved>
        <commentChain chainId="6b3e1f4156b635376300b8b32a82aab75b76f919">
          <item id="a57da1555262fc4aa50397974de3035a9d228082" isNormal="1">
            <s:text>
              <s:r>
                <s:t xml:space="preserve">Administrator:
从10119222转入</s:t>
              </s:r>
            </s:text>
          </item>
        </commentChain>
      </unresolved>
      <resolved/>
    </commentChains>
    <commentChains s:ref="J386" rgbClr="FF0000">
      <unresolved>
        <commentChain chainId="1ea472f9bc027d5d92ce4851ace5a485e812ed48">
          <item id="4198710e7556070fb9d8b8563df510b5b84a4805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87" rgbClr="FF0000">
      <unresolved>
        <commentChain chainId="a3d4eebc26cd29bf0dd424149eaf2d2888db8699">
          <item id="ea79e2b2ab23b06970612b5c887042b7a8f1b4aa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88" rgbClr="FF0000">
      <unresolved>
        <commentChain chainId="d2a26528384f1e5c99bd45156bdbedb639db19f4">
          <item id="be853b677e8846b7c19568ffab17fe376c716058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89" rgbClr="FF0000">
      <unresolved>
        <commentChain chainId="c89c7f498a77491560b4336dbe657bb8b3cb8dc4">
          <item id="bf0e9c5721edb5c354659cf0cd33a03973d98644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90" rgbClr="FF0000">
      <unresolved>
        <commentChain chainId="52034a29eb44d90e1554dbd2ca00d9f60e0ff91f">
          <item id="44709bc5409210579d70c3cc9eeed666d424708e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91" rgbClr="FF0000">
      <unresolved>
        <commentChain chainId="7b74e4ba68f60c50947d187c6f67765d171c2cb9">
          <item id="0a52902b4e9ad4407852f42f130c1e66b0e2478f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AI391" rgbClr="FF0000">
      <unresolved>
        <commentChain chainId="2c4746307c3ffad197506e4c54a3b123eb674c4d">
          <item id="2feb7b5a72e5621137f6cd29e76ed97ca8388ea6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J392" rgbClr="FF0000">
      <unresolved>
        <commentChain chainId="a02b29e8e28798b8bbef647ca85acbc1a867a4e6">
          <item id="0ea64011b4df113f845ff3548f9690e8cb26f8f6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93" rgbClr="FF0000">
      <unresolved>
        <commentChain chainId="73b0d6c6cbb1a2067f167bb13a1c302f20675e9b">
          <item id="5b86ca2e03b4705ce4153964daacd856e3bcca82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94" rgbClr="FF0000">
      <unresolved>
        <commentChain chainId="39b1f076da7ae9ed0d85cb4b56929a0c214a927f">
          <item id="87cdbf5404c2cbd4ce6930379184d7640ebbc030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95" rgbClr="FF0000">
      <unresolved>
        <commentChain chainId="5c8fbbe0c1ec84502c1ab2a7d03b7f8c3af34672">
          <item id="373915caa3638d564da141e9e097539f571a2e8c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96" rgbClr="FF0000">
      <unresolved>
        <commentChain chainId="f34ae168bd7d7daf297e4619be16f8cc5e70c60f">
          <item id="13a0737a6332c07c8518a0fa93114cd7ba8aa5ff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97" rgbClr="FF0000">
      <unresolved>
        <commentChain chainId="a40cea1099bbb04d169f533b6f6d32eaf03cc3f7">
          <item id="cb8d56d59f3079240c457af2faca6003951ebd1a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98" rgbClr="FF0000">
      <unresolved>
        <commentChain chainId="3edd20c6aba94820e3c2ade715e871de7ca2a094">
          <item id="372fed783195642a68901d03e63ac14eaaa515d2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399" rgbClr="FF0000">
      <unresolved>
        <commentChain chainId="e4632d0bfa10b6044f6f33275d1f50c852a8abc9">
          <item id="967b7ffa614ebb6aac112bcd6fb76f8e41214c42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00" rgbClr="FF0000">
      <unresolved>
        <commentChain chainId="134a139088dbb7b96a15222b5368043085c02b13">
          <item id="8ca28f5b0b3e695b2a4a689581ffbbbca9212e61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01" rgbClr="FF0000">
      <unresolved>
        <commentChain chainId="1e1fd3b77b73c883ffba5526aea8e559bd212fba">
          <item id="16b81d49d97309a7b353c988e9ddba17c8c81a26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02" rgbClr="FF0000">
      <unresolved>
        <commentChain chainId="bab29977c87e64203ce1596770e8b9d9ed456d62">
          <item id="a7eec9bec73ddafcafd23fe4e33623b2dbeb9647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AI402" rgbClr="FF0000">
      <unresolved>
        <commentChain chainId="d2a3029ad6885eb611e4043fec33851cb9434006">
          <item id="b13bb543d281dacc2cae52c7eb6c7df08447b960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J403" rgbClr="FF0000">
      <unresolved>
        <commentChain chainId="e2224f25dde741d046614302f5742d3160ad8b2b">
          <item id="a054339e17a59fd64a79c6a785084bf24119a78e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04" rgbClr="FF0000">
      <unresolved>
        <commentChain chainId="4706266837473d5458bfab6863f648cd22b1977e">
          <item id="5f5e5f3c5c8d5e70cb390bea247dc768cd51f8ee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05" rgbClr="FF0000">
      <unresolved>
        <commentChain chainId="5070aece0ccc463c17dd2c991ac778d2f72cd5cc">
          <item id="80befc0d94535de7a28e2a38e5e94550f3112df5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06" rgbClr="FF0000">
      <unresolved>
        <commentChain chainId="d479e2f1f4e71127b944a2d97d293c13e344b8e8">
          <item id="a576c077835cf1b0ee75e1de00342081b0221e35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07" rgbClr="FF0000">
      <unresolved>
        <commentChain chainId="812647ceb710cbf933722c6113a1cae6eddef221">
          <item id="dd50ae2fa2adbe9c61a50890347f26d5805ae7e2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08" rgbClr="FF0000">
      <unresolved>
        <commentChain chainId="fd1fb3804a080b90939d3ee3237c970b28a73909">
          <item id="097540efbb197040a355a29d95276b6568803c02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09" rgbClr="FF0000">
      <unresolved>
        <commentChain chainId="97f28855d3a9e6ed5c0014c56a58e44586c14fc7">
          <item id="3b7a539701b1421a58dbd038d6dd2302b67bc323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10" rgbClr="FF0000">
      <unresolved>
        <commentChain chainId="cd8cddfaf9dc565d5565b84559ffed353cf6225c">
          <item id="ca87fbaa050baaad57a7c894ff0b956684a8e2e0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11" rgbClr="FF0000">
      <unresolved>
        <commentChain chainId="9623f1d4a59bd37237be0a4c97f398e52f730be7">
          <item id="8a9fffcd497c6aceee340d45f0178bbcbfa6353f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12" rgbClr="FF0000">
      <unresolved>
        <commentChain chainId="2fabf2ba858f7afe567f2add4446d80c383ab277">
          <item id="d8c386b6473a8a497f12c4bb2c74dfa43e1f968f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13" rgbClr="FF0000">
      <unresolved>
        <commentChain chainId="82da7693a4f09625f7152450bc37d7b7b85148a4">
          <item id="82c20e20d5b469e12b240959b523cc346d6e301a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AI413" rgbClr="FF0000">
      <unresolved>
        <commentChain chainId="85dfb5c03a176c4137d48d9098d8c99e9bc6a59b">
          <item id="a505cdeb9658ec5cdc4706d1d0f101452e86e237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J414" rgbClr="FF0000">
      <unresolved>
        <commentChain chainId="eb35cef197ba32ab9a1fca641be5457b320b4b8e">
          <item id="fac4ecdf49f49f46e0e73cb68a03eba9d53b3512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15" rgbClr="FF0000">
      <unresolved>
        <commentChain chainId="b34268f96ad44a2f9f4fe34087bfc42960553a0d">
          <item id="97330674087f174585da2d563382459fdc3668a1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16" rgbClr="FF0000">
      <unresolved>
        <commentChain chainId="8736fd68a23dbff6346300f1c6713e87f5c663d4">
          <item id="5edc9ac9415ac5f528a88c5e35521f46c1ac1e77" isNormal="1">
            <s:text>
              <s:r>
                <s:t xml:space="preserve">Administrator:
</s:t>
              </s:r>
            </s:text>
          </item>
        </commentChain>
      </unresolved>
      <resolved/>
    </commentChains>
    <commentChains s:ref="J417" rgbClr="FF0000">
      <unresolved>
        <commentChain chainId="750e424dd3d95db43543a01c0c13ad25ba83a3ab">
          <item id="c97cd5aeeb5ce20bcc5997641b7050df0417970d" isNormal="1">
            <s:text>
              <s:r>
                <s:t xml:space="preserve">Administrator:
</s:t>
              </s:r>
            </s:text>
          </item>
        </commentChain>
      </unresolved>
      <resolved/>
    </commentChains>
    <commentChains s:ref="J418" rgbClr="FF0000">
      <unresolved>
        <commentChain chainId="fd61e15e2483560f4ac42abf04b7644031004bb0">
          <item id="11c6eded5b86f1026487275a8d788d1735433f0c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19" rgbClr="FF0000">
      <unresolved>
        <commentChain chainId="c9b157987ae8de535ec8e29ab2cc63756b5d6d80">
          <item id="7dcdc5f7eca780cbbd76b30c20eeebb76fade911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20" rgbClr="FF0000">
      <unresolved>
        <commentChain chainId="6250f16b3abe093fc8f0ec516f1be247b056a7c2">
          <item id="134434fd6cb81ba06de4ee81f72a698aea1c80a5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21" rgbClr="FF0000">
      <unresolved>
        <commentChain chainId="e03c42def71a79f5cb4e74a19b62c63046d7e583">
          <item id="2ad9a125dccb6d477b98ba9c6f2b8013c69894ba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22" rgbClr="FF0000">
      <unresolved>
        <commentChain chainId="6e81ce9bed8850384002131e0c47c5ba4b10e145">
          <item id="1dcb454fc115a174e40128ec29db172093df39ce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23" rgbClr="FF0000">
      <unresolved>
        <commentChain chainId="6bd2c20931c3e77a44f249954ef395b4da849fd5">
          <item id="cd7df4a04783737df6cc9985778f63344b0a48d6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24" rgbClr="FF0000">
      <unresolved>
        <commentChain chainId="8bf8f379a9774376fe3822f62b1724669c1b6cb8">
          <item id="b61dfb78a0cca532be1076111438d599bb11c02c" isNormal="1">
            <s:text>
              <s:r>
                <s:t xml:space="preserve">Administrator:
从202607270046转入
</s:t>
              </s:r>
            </s:text>
          </item>
        </commentChain>
      </unresolved>
      <resolved/>
    </commentChains>
    <commentChains s:ref="J425" rgbClr="FF0000">
      <unresolved>
        <commentChain chainId="49dc03d75d925a801581b8df4c1f835e58016ef3">
          <item id="949a9b7cf8959c1ccc524920e94232f831618cbf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AI425" rgbClr="FF0000">
      <unresolved>
        <commentChain chainId="af757e4e156c911ac455dc9d0e0c1037fd710702">
          <item id="a48bc70d6ce185136810ce84cdc39bc88c00316d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J426" rgbClr="FF0000">
      <unresolved>
        <commentChain chainId="1e2f24fd2b05e0fac9ab82c9b1a418ed154def3c">
          <item id="3ce59188930c01d3f67a771c96370e333b94f624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27" rgbClr="FF0000">
      <unresolved>
        <commentChain chainId="bd6b8fe888d6336426e29d7423b884e8ca818429">
          <item id="e2e871e730857835b4bd408a04602c3e7ad922d3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28" rgbClr="FF0000">
      <unresolved>
        <commentChain chainId="97d227c5f3f06de33cb0f668b7bdb6dd841df8af">
          <item id="aa5522d8cd203bf396c25ef4d1836e70c0903c46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29" rgbClr="FF0000">
      <unresolved>
        <commentChain chainId="343d9102ebb8210d392fe84ef749191f84a13ea7">
          <item id="587aff5082ac36f31c20473f4dd00064201d7fcd" isNormal="1">
            <s:text>
              <s:r>
                <s:t xml:space="preserve">Administrator:
从202607270046转入
</s:t>
              </s:r>
            </s:text>
          </item>
        </commentChain>
      </unresolved>
      <resolved/>
    </commentChains>
    <commentChains s:ref="J430" rgbClr="FF0000">
      <unresolved>
        <commentChain chainId="a5a9123228c1677d79cb90981506f38999109e24">
          <item id="772bcc041e92b9ef476784623c313e219749825d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31" rgbClr="FF0000">
      <unresolved>
        <commentChain chainId="f411d15eec7c8c0cba364f4a49c9fb2485857fd9">
          <item id="52c0f338f4d22e6df49f8ab8f091415911db88da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32" rgbClr="FF0000">
      <unresolved>
        <commentChain chainId="6c5ebd860151418a734828bc2e46a7d4da87fa3d">
          <item id="1b3e410948a0de548f8c1c0912ab6aaaa278fa8b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33" rgbClr="FF0000">
      <unresolved>
        <commentChain chainId="499847f31eeed63d44cb0c88d8331a28d730b1fc">
          <item id="a7f7ce057279401ab94468aa2b7461cbfd2fefa3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34" rgbClr="FF0000">
      <unresolved>
        <commentChain chainId="a003355943f81d71c98320acf73440d77be1d148">
          <item id="f1a72a2c5188986f8219f62e72ff32592c9a0b90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35" rgbClr="FF0000">
      <unresolved>
        <commentChain chainId="fed6c7d2d754619a32cf5945a1665e06712c55c3">
          <item id="74e1d0e647a484c644585949c8e4462a6e66b127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36" rgbClr="FF0000">
      <unresolved>
        <commentChain chainId="b2606b7a67b88cadddc626bd2ea93d79e3375d08">
          <item id="f0af54a936991f84fab23696ca9180c5f5ec0a6b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37" rgbClr="FF0000">
      <unresolved>
        <commentChain chainId="d912441ada8a69d4f99d0befe5b383403ad9464e">
          <item id="8cc7fa6ce6bba57b1f249d8e8ab79883c68aa58d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38" rgbClr="FF0000">
      <unresolved>
        <commentChain chainId="311bd93d54ad4106e18fc78d3b3e184d12b7fa9f">
          <item id="53c32bd74ce402f39b04cd1b8cf83b7526384e5b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AI438" rgbClr="FF0000">
      <unresolved>
        <commentChain chainId="5ed1e95d1b572ae252fac5556c258c22600c6d69">
          <item id="b5ad25eeeed87b8d0b693d560772cdf27b00f7aa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J439" rgbClr="FF0000">
      <unresolved>
        <commentChain chainId="25770edf045c886fd9a5c9fb88e05dc905045ed3">
          <item id="ee851f85719f6ef21aa59af904e6482ec2f66007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40" rgbClr="FF0000">
      <unresolved>
        <commentChain chainId="24618699f0414a23a555ba73387bf46918120a92">
          <item id="cc309099bf59b41212373926c880831b4fdd5957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41" rgbClr="FF0000">
      <unresolved>
        <commentChain chainId="1e51103a0972113b86d703b125174c1886907cb4">
          <item id="8170f936473b786837980df30850b299909438e3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42" rgbClr="FF0000">
      <unresolved>
        <commentChain chainId="ca3093849997daff3006a5ede6b3a8bf253bc5d2">
          <item id="17e9dc6bae62fb555ab793145684c611fc4c6f3f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43" rgbClr="FF0000">
      <unresolved>
        <commentChain chainId="79415bc8511b9537aacd0f0e8edb4c6f109c92a7">
          <item id="4c800bd0de67b455635b8861c9c90b9868932171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44" rgbClr="FF0000">
      <unresolved>
        <commentChain chainId="16effe65b0694d4378d25e1fbc513fa1649d0b09">
          <item id="3a4909678e28b049455bb0ce78b6e001e4c713e3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AI447" rgbClr="FF0000">
      <unresolved>
        <commentChain chainId="d207accec1c14e69e410e23748fef4b2af61a386">
          <item id="8cab01d8140d03b9f7e67b0c2ac5892e50087066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AI450" rgbClr="FF0000">
      <unresolved>
        <commentChain chainId="4e545d937cc9d8a51b61bde411596c7efe13f0b9">
          <item id="c3cc21df997d78cd87249c6f70614644b8fc105f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AI453" rgbClr="FF0000">
      <unresolved>
        <commentChain chainId="22f0ec42a70cace390a33ab4b25494748b5eb0b1">
          <item id="bdd9322941908f0967cc03fca5e098216614a43e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J458" rgbClr="FF0000">
      <unresolved>
        <commentChain chainId="7d52e6950bc1d4d2238bc6b136be47f4a1755148">
          <item id="6c113c8276f5d861e45edf5051bf1aea14cd3673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59" rgbClr="FF0000">
      <unresolved>
        <commentChain chainId="9d80ec3387dcb892844cd9d48f82b5495011464a">
          <item id="eeef704f5017eecf3f2301773a9c31f3057bd15a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60" rgbClr="FF0000">
      <unresolved>
        <commentChain chainId="51ddbc5a5fa6f7c9f7e1cdf6fa17f257782f1ff7">
          <item id="263bc49af075734d014568237d242ecce740a0a6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61" rgbClr="FF0000">
      <unresolved>
        <commentChain chainId="1ea70f8585604bb82db8a1a99a10843e885ce794">
          <item id="ad9f39f1ecfd1f12bbe8e66ba5326f2bcf92acae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62" rgbClr="FF0000">
      <unresolved>
        <commentChain chainId="b0bc1e1152a9488f7378ac00d84502cc649a7242">
          <item id="81500c06377a5e91d19e9d0579dfb02f3ceb3d5c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63" rgbClr="FF0000">
      <unresolved>
        <commentChain chainId="f4b13f4d2267328753b432b1dab849e0b77086a6">
          <item id="223d1b86972fd747fa4ae4b535c5add2466a4b43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64" rgbClr="FF0000">
      <unresolved>
        <commentChain chainId="95aeef605b13e1140aff6f7e90cccbc7eed3cb40">
          <item id="2a820e24e91d106c36c9ff1d919ad07be8f4fd25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AI464" rgbClr="FF0000">
      <unresolved>
        <commentChain chainId="bd29ccd868e7624e992580e218ebd89def5777c2">
          <item id="7dd8bc690ddb0652ec90500bf650f9c22abf5f7f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J465" rgbClr="FF0000">
      <unresolved>
        <commentChain chainId="7dd8f69a0e13a077fdd00f05049ebe5610857a43">
          <item id="e1f27fbf5c876999a14eaea910667268ec04b225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66" rgbClr="FF0000">
      <unresolved>
        <commentChain chainId="40025aef634a913fb6e8ac89734d038e9986c07a">
          <item id="3d8700b757294ac069e7ad2d19212edbe07db855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467" rgbClr="FF0000">
      <unresolved>
        <commentChain chainId="bee4d8666459f3f42d1c53f6b111123e7c0bbb23">
          <item id="c5a7bee08a93153bdb88327d46e96ccdbeaa5b8d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AI478" rgbClr="FF0000">
      <unresolved>
        <commentChain chainId="2e88888d0bc0c2ca408b224cb3a05874f0274870">
          <item id="89a07ce208ddb5b2f410b4b3ba9c7a3d576b34e3" isNormal="1">
            <s:text>
              <s:r>
                <s:t xml:space="preserve">DELL:
搪胶件</s:t>
              </s:r>
            </s:text>
          </item>
        </commentChain>
      </unresolved>
      <resolved/>
    </commentChains>
    <commentChains s:ref="J483" rgbClr="FF0000">
      <unresolved>
        <commentChain chainId="7f00e9dffb4d1a53924989356f987f1a0984a05f">
          <item id="373c46537ae575034bc766681f9407f608c1e5fc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J484" rgbClr="FF0000">
      <unresolved>
        <commentChain chainId="6d6864ab937f2249ba08c74210a756ab3ad1284e">
          <item id="890d28c15f5ee23dd96ce69721853e633f03db33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J485" rgbClr="FF0000">
      <unresolved>
        <commentChain chainId="2dda34340bfaccebd377e44ca5ea8e73a8d05413">
          <item id="36cccfdbf708cbd210c5f8757ac34c8988d5c1c6" isNormal="1">
            <s:text>
              <s:r>
                <s:t xml:space="preserve">Administrator:
从202607170125转入</s:t>
              </s:r>
            </s:text>
          </item>
        </commentChain>
      </unresolved>
      <resolved/>
    </commentChains>
    <commentChains s:ref="J486" rgbClr="FF0000">
      <unresolved>
        <commentChain chainId="b8d35f49b347d64aca22ccd3bc55562ad683c14f">
          <item id="1cd94085aacb6b32c1afe4981e7e66b516ff82f0" isNormal="1">
            <s:text>
              <s:r>
                <s:t xml:space="preserve">Administrator:
从202607170125转入</s:t>
              </s:r>
            </s:text>
          </item>
        </commentChain>
      </unresolved>
      <resolved/>
    </commentChains>
    <commentChains s:ref="J487" rgbClr="FF0000">
      <unresolved>
        <commentChain chainId="da244aec338176bb1ee74c88cf4ba4c57d5dbb32">
          <item id="6a07815798138da035b6a8c643e03a9edc51839f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AH487" rgbClr="FF0000">
      <unresolved>
        <commentChain chainId="9857676752505c2b3f2a9f3a858a5b27e9b33ce9">
          <item id="39472795a31b13d8693a66f6688b9b395ae86c2b" isNormal="1">
            <s:text>
              <s:r>
                <s:t xml:space="preserve">DELL:
业务漏单</s:t>
              </s:r>
            </s:text>
          </item>
        </commentChain>
      </unresolved>
      <resolved/>
    </commentChains>
    <commentChains s:ref="J488" rgbClr="FF0000">
      <unresolved>
        <commentChain chainId="4e454dfe5e3f804e4190bdcd4c4b63ee3d2eb243">
          <item id="3f06439fa7acb30e8b2488e07f954dd938bbe9bc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J489" rgbClr="FF0000">
      <unresolved>
        <commentChain chainId="fe122605fb6c5ab30d37d18fa89bda2a8b917e68">
          <item id="a5f6c5cfb2b88630b13fadd106ae2380e5b5bcdc" isNormal="1">
            <s:text>
              <s:r>
                <s:t xml:space="preserve">Administrator:
从202607170125转入
</s:t>
              </s:r>
            </s:text>
          </item>
        </commentChain>
      </unresolved>
      <resolved/>
    </commentChains>
    <commentChains s:ref="J496" rgbClr="FF0000">
      <unresolved>
        <commentChain chainId="d5c541fdd3351c3b24138b99d1368a3d0086667b">
          <item id="fbeef777b4484b1bd7f1de2492e2633eaccdb61b" isNormal="1">
            <s:text>
              <s:r>
                <s:t xml:space="preserve">Administrator:
120pcs转至PO10127318</s:t>
              </s:r>
            </s:text>
          </item>
        </commentChain>
      </unresolved>
      <resolved/>
    </commentChains>
    <commentChains s:ref="J498" rgbClr="FF0000">
      <unresolved>
        <commentChain chainId="c54488fc3fefdb8736cc0d1bcc8339dbb6bdd308">
          <item id="c910f4faf738aab9c16ae4c40569f223c1b44ee5" isNormal="1">
            <s:text>
              <s:r>
                <s:t xml:space="preserve">Administrator:
从202607170125转入</s:t>
              </s:r>
            </s:text>
          </item>
        </commentChain>
      </unresolved>
      <resolved/>
    </commentChains>
    <commentChains s:ref="J499" rgbClr="FF0000">
      <unresolved>
        <commentChain chainId="76e23b5ed439c424df75266fabda55684d4d8c1d">
          <item id="3bc9f5d51b1d1f65793df4b18697017a1f4e2371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J500" rgbClr="FF0000">
      <unresolved>
        <commentChain chainId="d30ed3d9b34f3f1b85c9495dfbafa33e63eba83d">
          <item id="cf7c679e5c280e6f13e39632438969f9ae4aec74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J502" rgbClr="FF0000">
      <unresolved>
        <commentChain chainId="10ea5ed4f3ce03b82e0647520615f505a24dc77b">
          <item id="b78edb221de940822ab36c382a97a74c6d518644" isNormal="1">
            <s:text>
              <s:r>
                <s:t xml:space="preserve">120pcs转至PO20219135</s:t>
              </s:r>
            </s:text>
          </item>
        </commentChain>
      </unresolved>
      <resolved/>
    </commentChains>
    <commentChains s:ref="J504" rgbClr="FF0000">
      <unresolved>
        <commentChain chainId="64b862edcd0e9e8ddcd16596ddf9a8967f2b04d4">
          <item id="3fafac1ec43ac836e2c0b1c485ebfeb8eb331972" isNormal="1">
            <s:text>
              <s:r>
                <s:t xml:space="preserve">Administrator:
转出1500pcs到po10125937</s:t>
              </s:r>
            </s:text>
          </item>
        </commentChain>
      </unresolved>
      <resolved/>
    </commentChains>
    <commentChains s:ref="J516" rgbClr="FF0000">
      <unresolved>
        <commentChain chainId="bb38012de672b7a9f74ce9339ebbbd51562f514f">
          <item id="247bf85ce8bb32023034bffadfc8d422cf4729da" isNormal="1">
            <s:text>
              <s:r>
                <s:t xml:space="preserve">Administrator:
从MPO202607270046转入</s:t>
              </s:r>
            </s:text>
          </item>
        </commentChain>
      </unresolved>
      <resolved/>
    </commentChains>
    <commentChains s:ref="J517" rgbClr="FF0000">
      <unresolved>
        <commentChain chainId="9df395c172f9f50998f224d29bc2e91abe608e0a">
          <item id="31168a82cc09c9f60f491a534a7fdff48003ff7e" isNormal="1">
            <s:text>
              <s:r>
                <s:t xml:space="preserve">Administrator:
从MPO202607270046转入</s:t>
              </s:r>
            </s:text>
          </item>
        </commentChain>
      </unresolved>
      <resolved/>
    </commentChains>
    <commentChains s:ref="J521" rgbClr="FF0000">
      <unresolved>
        <commentChain chainId="19d758445bdd55f55eaec9d7edb51623e7dc952b">
          <item id="9ffe2b11760e3b4dc1ce0008fec108a8779c91f7" isNormal="1">
            <s:text>
              <s:r>
                <s:t xml:space="preserve">Administrator:
从MPO202607270046转入</s:t>
              </s:r>
            </s:text>
          </item>
        </commentChain>
      </unresolved>
      <resolved/>
    </commentChains>
    <commentChains s:ref="J522" rgbClr="FF0000">
      <unresolved>
        <commentChain chainId="0cee370e43eaf130eeca30130e3122d9955be357">
          <item id="03cb9d33be06f2e361ce0ed9d32eefb5a5c2fef5" isNormal="1">
            <s:text>
              <s:r>
                <s:t xml:space="preserve">杨大兴:
从数量1762转出</s:t>
              </s:r>
            </s:text>
          </item>
        </commentChain>
      </unresolved>
      <resolved/>
    </commentChains>
    <commentChains s:ref="J524" rgbClr="FF0000">
      <unresolved>
        <commentChain chainId="d5f5c476241d80d1c9a7e30ff2e707b2a49d2141">
          <item id="5afc5a83e8db0998b2b189791dae578f31b67321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J525" rgbClr="FF0000">
      <unresolved>
        <commentChain chainId="269e5f5cba6a6fbe798dbb5ad88fbc59aeb4a28e">
          <item id="a9453d460ada670653cdf6f360921de0a4c6b276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J526" rgbClr="FF0000">
      <unresolved>
        <commentChain chainId="9869d39c967db25da977c3d806cb45325b573a88">
          <item id="b2d17fcd80d30eeef7ba859b0920d3952fd306cc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J527" rgbClr="FF0000">
      <unresolved>
        <commentChain chainId="4c953c1b95998f233c37b2e7b14d302a2a182aad">
          <item id="0b37e91085cd0a82172a1d82cf9dd55b02f9997b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J528" rgbClr="FF0000">
      <unresolved>
        <commentChain chainId="788b7f01fdaf9a1d392a99bd84bf46bd18c54b84">
          <item id="0eebe2ac706376ea0763468f05388a22eeed7051" isNormal="1">
            <s:text>
              <s:r>
                <s:t xml:space="preserve">Administrator:
从202607170125转入
</s:t>
              </s:r>
            </s:text>
          </item>
        </commentChain>
      </unresolved>
      <resolved/>
    </commentChains>
    <commentChains s:ref="J529" rgbClr="FF0000">
      <unresolved>
        <commentChain chainId="383e57d682ce8150d4d7bc47e428caf2043b67f3">
          <item id="57ad66219e985cb135e8bd3946eb0e324430c7f7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AH529" rgbClr="FF0000">
      <unresolved>
        <commentChain chainId="9e7749e2ab90ec0e250164468b8f24ce67cecf66">
          <item id="628e95a5052496fa233d347aa416724895907151" isNormal="1">
            <s:text>
              <s:r>
                <s:t xml:space="preserve">DELL:
业务漏单</s:t>
              </s:r>
            </s:text>
          </item>
        </commentChain>
      </unresolved>
      <resolved/>
    </commentChains>
    <commentChains s:ref="J530" rgbClr="FF0000">
      <unresolved>
        <commentChain chainId="c27a14a6406347d0d177e0669f97262467c45ff0">
          <item id="7b029d18a86da11c854cdf6004318486f0f16a4d" isNormal="1">
            <s:text>
              <s:r>
                <s:t xml:space="preserve">Administrator:
从202607170125转入</s:t>
              </s:r>
            </s:text>
          </item>
        </commentChain>
      </unresolved>
      <resolved/>
    </commentChains>
    <commentChains s:ref="J531" rgbClr="FF0000">
      <unresolved>
        <commentChain chainId="fa0f8fb9b8e71e6cf6eab985c2b15a2eb0ee7afb">
          <item id="0d3b0bc843d9dfb9bd9af0b2ccd5a94aa21e7172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J532" rgbClr="FF0000">
      <unresolved>
        <commentChain chainId="6a98218c4189a76ea704e3187a7cc0c1b0d89723">
          <item id="7b2b0d093f085b31c01b542cdee4d3e8e319d1ad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J533" rgbClr="FF0000">
      <unresolved>
        <commentChain chainId="dcb7c2ea507561bb20f218409de206735eadf389">
          <item id="9f51bfa27dc045ad25d1cae485e548c2df30ba43" isNormal="1">
            <s:text>
              <s:r>
                <s:t xml:space="preserve">Administrator:
从MPO202607270046转入</s:t>
              </s:r>
            </s:text>
          </item>
        </commentChain>
      </unresolved>
      <resolved/>
    </commentChains>
    <commentChains s:ref="J534" rgbClr="FF0000">
      <unresolved>
        <commentChain chainId="40256c7f8e7f9983d7edb17cdb0de55eff7468dd">
          <item id="d7293aab53461dc0436aa55188848d743092e6b9" isNormal="1">
            <s:text>
              <s:r>
                <s:t xml:space="preserve">Administrator:
从MPO202607270046转入</s:t>
              </s:r>
            </s:text>
          </item>
        </commentChain>
      </unresolved>
      <resolved/>
    </commentChains>
    <commentChains s:ref="J535" rgbClr="FF0000">
      <unresolved>
        <commentChain chainId="4b3313df2560772e56068f72c74e37a29a35a204">
          <item id="3109b5fa583bc40c084a0e84a57e9d3a3e6e0083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536" rgbClr="FF0000">
      <unresolved>
        <commentChain chainId="8373b6362dcb76fe79cad44e85588aa1ed211437">
          <item id="fc7c5d5a7870ba61715e3effda3171b12c9d176e" isNormal="1">
            <s:text>
              <s:r>
                <s:t xml:space="preserve">Administrator:
从202607270046转入</s:t>
              </s:r>
            </s:text>
          </item>
        </commentChain>
      </unresolved>
      <resolved/>
    </commentChains>
    <commentChains s:ref="J537" rgbClr="FF0000">
      <unresolved>
        <commentChain chainId="aeb48752a9972d010cd2679cc1540717b1e4359b">
          <item id="8ceab7708057edee14dc5137fc0b9ef5ae6a263a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AH538" rgbClr="FF0000">
      <unresolved>
        <commentChain chainId="6d424a08145f50657666ab6bec039a83a1ce7cb1">
          <item id="8c7f39ed69c57f4ec5a5904b8f01ac8f885b6bf6" isNormal="1">
            <s:text>
              <s:r>
                <s:t xml:space="preserve">DELL:
业务漏单</s:t>
              </s:r>
            </s:text>
          </item>
        </commentChain>
      </unresolved>
      <resolved/>
    </commentChains>
    <commentChains s:ref="J549" rgbClr="FF0000">
      <unresolved>
        <commentChain chainId="ac18a917fdd52a765e6cdb699fbae98820ee38e4">
          <item id="7ef7afa4b2913514906a25e43dba99a3f15f8511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J550" rgbClr="FF0000">
      <unresolved>
        <commentChain chainId="9542eac4d34f2e560bc0dd90ab626676fba43194">
          <item id="4e2ad8eb38e0d8e2589531a2414970c94d81bb36" isNormal="1">
            <s:text>
              <s:r>
                <s:t xml:space="preserve">DELL:
从202607170125转入</s:t>
              </s:r>
            </s:text>
          </item>
        </commentChain>
      </unresolved>
      <resolved/>
    </commentChains>
    <commentChains s:ref="J551" rgbClr="FF0000">
      <unresolved>
        <commentChain chainId="ae9d4a128d24570dac3096456d31883c3171fe4c">
          <item id="e3989e05b226d84c051e34b7c095d239be58edd9" isNormal="1">
            <s:text>
              <s:r>
                <s:t xml:space="preserve">Administrator:
从PO10122386转入</s:t>
              </s:r>
            </s:text>
          </item>
        </commentChain>
      </unresolved>
      <resolved/>
    </commentChains>
    <commentChains s:ref="J562" rgbClr="FF0000">
      <unresolved>
        <commentChain chainId="d17f7168694c58df49f3e9d94ef8db16f9bcdc21">
          <item id="ddfc8a8bb1c8ec549517dfec0cbf5860d2d535ff" isNormal="1">
            <s:text>
              <s:r>
                <s:t xml:space="preserve">Administrator:
从PO10115934转入2000PCS</s:t>
              </s:r>
            </s:text>
          </item>
        </commentChain>
      </unresolved>
      <resolved/>
    </commentChains>
    <commentChains s:ref="AH564" rgbClr="FF0000">
      <unresolved>
        <commentChain chainId="f8e3a93cd33735e80ef7f84091e63b8022c5ff2b">
          <item id="5d33ab736f9c22147062adfffba88368ac01f8fb" isNormal="1">
            <s:text>
              <s:r>
                <s:t xml:space="preserve">Administrator:
已确认印尼有库存</s:t>
              </s:r>
            </s:text>
          </item>
        </commentChain>
      </unresolved>
      <resolved/>
    </commentChains>
    <commentChains s:ref="J565" rgbClr="FF0000">
      <unresolved>
        <commentChain chainId="ea47369c1825021ca236192932af8d6d1501a420">
          <item id="c4d5ba7b732b1ec68a540d9aec8bef6630db2eff" isNormal="1">
            <s:text>
              <s:r>
                <s:t xml:space="preserve">Administrator:
从MPO202607270046转入</s:t>
              </s:r>
            </s:text>
          </item>
        </commentChain>
      </unresolved>
      <resolved/>
    </commentChains>
    <commentChains s:ref="J567" rgbClr="FF0000">
      <unresolved>
        <commentChain chainId="01e3438072ffcade224838c4dfa7987fa373c0fc">
          <item id="08d8f90c3ee617c2959cf107306482eba677938c" isNormal="1">
            <s:text>
              <s:r>
                <s:t xml:space="preserve">DELL:
转出1500pcs到po10125937</s:t>
              </s:r>
            </s:text>
          </item>
        </commentChain>
      </unresolved>
      <resolved/>
    </commentChains>
    <commentChains s:ref="J576" rgbClr="FF0000">
      <unresolved>
        <commentChain chainId="368d6818e15024e7b285d699dd2f6e1d0f36f0d0">
          <item id="31921d54d38596a07c5021de7e5ca904cb121cac" isNormal="1">
            <s:text>
              <s:r>
                <s:t xml:space="preserve">Administrator:
从MPO202607270046转入</s:t>
              </s:r>
            </s:text>
          </item>
        </commentChain>
      </unresolved>
      <resolved/>
    </commentChains>
    <commentChains s:ref="J577" rgbClr="FF0000">
      <unresolved>
        <commentChain chainId="0da0073957f6e319316fa1ae14a5c77410e8c00e">
          <item id="86a09d98f945baf015f4914be2917448be6b6fd7" isNormal="1">
            <s:text>
              <s:r>
                <s:t xml:space="preserve">Administrator:
从PO10122386转入</s:t>
              </s:r>
            </s:text>
          </item>
        </commentChain>
      </unresolved>
      <resolved/>
    </commentChains>
    <commentChains s:ref="J597" rgbClr="FF0000">
      <unresolved>
        <commentChain chainId="b04ec4ef40ca49e9965eb065947f46a9f55b387b">
          <item id="36acb32575224096c5039b2731b41649aaaff579" isNormal="1">
            <s:text>
              <s:r>
                <s:t xml:space="preserve">Administrator:
从202607170125转入</s:t>
              </s:r>
            </s:text>
          </item>
        </commentChain>
      </unresolved>
      <resolved/>
    </commentChains>
  </commentList>
  <commentList sheetStid="56">
    <commentChains s:ref="AI2" rgbClr="FF0000">
      <unresolved>
        <commentChain chainId="5ee4b27e6814c2781e8ba6b630132d366c6e608b">
          <item id="4175034a2fef6276558e655f53f1c48679628b3f" isNormal="1">
            <s:text>
              <s:r>
                <s:t xml:space="preserve">Administrator:
业务漏上排期，挪用3月份的物料先走</s:t>
              </s:r>
            </s:text>
          </item>
        </commentChain>
      </unresolved>
      <resolved/>
    </commentChains>
    <commentChains s:ref="J10" rgbClr="FF0000">
      <unresolved>
        <commentChain chainId="a76f11b87f5eb7a3a095c86b37ba2cb7e9e8b915">
          <item id="0b0f70b7904d3b33af09513f7f324d4e2d56624e" isNormal="1">
            <s:text>
              <s:r>
                <s:t xml:space="preserve">Administrator:
从10115213转入</s:t>
              </s:r>
            </s:text>
          </item>
        </commentChain>
      </unresolved>
      <resolved/>
    </commentChains>
    <commentChains s:ref="J11" rgbClr="FF0000">
      <unresolved>
        <commentChain chainId="4642a99ff84779c14c34fcd12c9ed473a09e8026">
          <item id="88e8a3264667745f7883e38129dc50666910a213" isNormal="1">
            <s:text>
              <s:r>
                <s:t xml:space="preserve">Administrator:
从10115577转入</s:t>
              </s:r>
            </s:text>
          </item>
        </commentChain>
      </unresolved>
      <resolved/>
    </commentChains>
    <commentChains s:ref="J12" rgbClr="FF0000">
      <unresolved>
        <commentChain chainId="f19bcc1af6b9e3f9006e3a6174df5e9f389bd7fe">
          <item id="fbbaf60a7ea615a5e6a26585eb2be248b40229a9" isNormal="1">
            <s:text>
              <s:r>
                <s:t xml:space="preserve">Administrator:
从10115934转入</s:t>
              </s:r>
            </s:text>
          </item>
        </commentChain>
      </unresolved>
      <resolved/>
    </commentChains>
    <commentChains s:ref="J13" rgbClr="FF0000">
      <unresolved>
        <commentChain chainId="d0347093b40480ae04d5bb6e74a71b0c907b10e6">
          <item id="e7199e7f8711ee04bd7926e04488de2303133f03" isNormal="1">
            <s:text>
              <s:r>
                <s:t xml:space="preserve">Administrator:
从10115935转入</s:t>
              </s:r>
            </s:text>
          </item>
        </commentChain>
      </unresolved>
      <resolved/>
    </commentChains>
    <commentChains s:ref="J14" rgbClr="FF0000">
      <unresolved>
        <commentChain chainId="5880abc8b6a93a286977d19b12d6e48c4eed0080">
          <item id="eedb5a4b03ffbd8572de42dc2c9dc110d929b1af" isNormal="1">
            <s:text>
              <s:r>
                <s:t xml:space="preserve">Administrator:
从10107799传入</s:t>
              </s:r>
            </s:text>
          </item>
        </commentChain>
      </unresolved>
      <resolved/>
    </commentChains>
    <commentChains s:ref="J15" rgbClr="FF0000">
      <unresolved>
        <commentChain chainId="aea62dfd9c5924a947e1581fa6d2758972d07acb">
          <item id="15d24bcd9db1acbaee6e130d9de3acfccc6399b0" isNormal="1">
            <s:text>
              <s:r>
                <s:t xml:space="preserve">Administrator:
从10115935转入</s:t>
              </s:r>
            </s:text>
          </item>
        </commentChain>
      </unresolved>
      <resolved/>
    </commentChains>
    <commentChains s:ref="AI54" rgbClr="FF0000">
      <unresolved>
        <commentChain chainId="821ff55dae30311003b1b0e582ba24d7b58e0621">
          <item id="e76f9bdc4d043a3ed4e18d597e76fa1b86eb4c7f" isNormal="1">
            <s:text>
              <s:r>
                <s:t xml:space="preserve">DELL:
MA加单
4/16先上35000</s:t>
              </s:r>
            </s:text>
          </item>
        </commentChain>
      </unresolved>
      <resolved/>
    </commentChains>
    <commentChains s:ref="J56" rgbClr="FF0000">
      <unresolved>
        <commentChain chainId="6e2612d7b040c0b81ea47fda86b7c9a4568d3b5c">
          <item id="fad80a652ec14c5662c0c51eb71c08444b9a4f5a" isNormal="1">
            <s:text>
              <s:r>
                <s:t xml:space="preserve">Administrator:
936pcs转至PO10127719</s:t>
              </s:r>
            </s:text>
          </item>
        </commentChain>
      </unresolved>
      <resolved/>
    </commentChains>
    <commentChains s:ref="J57" rgbClr="FF0000">
      <unresolved>
        <commentChain chainId="3a1effa0496cc989628ab6fbdf478f5a6b61d10e">
          <item id="d2572cc68c24a5969950a8865c28565da99eb1f9" isNormal="1">
            <s:text>
              <s:r>
                <s:t xml:space="preserve">Administrator:
1020pcs转至PO288858876
1020pcs转至PO10127469
1020pcs转至PO10127470
1020pcs转至PO10127470
1020pcs转至PO10127470
940PCS转至PO10127472
1060pcs转至PO10127473</s:t>
              </s:r>
            </s:text>
          </item>
        </commentChain>
      </unresolved>
      <resolved/>
    </commentChains>
    <commentChains s:ref="J58" rgbClr="FF0000">
      <unresolved>
        <commentChain chainId="b9653503ff82eafbac93e068a05692917f7796d3">
          <item id="555a9505feba8f9a619cff1269f07051edb11f05" isNormal="1">
            <s:text>
              <s:r>
                <s:t xml:space="preserve">Administrator:
16pcs转至PO10127472</s:t>
              </s:r>
            </s:text>
          </item>
        </commentChain>
      </unresolved>
      <resolved/>
    </commentChains>
    <commentChains s:ref="J65" rgbClr="FF0000">
      <unresolved>
        <commentChain chainId="03cf207ee7a25caf9d15e9c3123fd8711969c83b">
          <item id="299ffde019d74280445688a0644714817027895f" isNormal="1">
            <s:text>
              <s:r>
                <s:t xml:space="preserve">Administrator:
转2000PCS到PO10127016
2026.5.30取消2000pcs</s:t>
              </s:r>
            </s:text>
          </item>
        </commentChain>
      </unresolved>
      <resolved/>
    </commentChains>
  </commentList>
</comments>
</file>

<file path=customXml/item2.xml><?xml version="1.0" encoding="utf-8"?>
<NetdiskSupbooks xmlns="http://www.wps.cn/et/2019/netdiskSupbooks">
  <NetdiskSupbook Target="2026年TOMY东莞排期8-1.xlsx" FileId="531945689266" NetdiskName="yunwps"/>
</NetdiskSupbooks>
</file>

<file path=customXml/item3.xml><?xml version="1.0" encoding="utf-8"?>
<autofilters xmlns="https://web.wps.cn/et/2018/main">
  <sheetItem sheetStid="60">
    <filterData filterID="1862877470">
      <hiddenRange rowFrom="2" rowTo="89"/>
      <hiddenRange rowFrom="91" rowTo="100"/>
      <hiddenRange rowFrom="102" rowTo="180"/>
      <hiddenRange rowFrom="182" rowTo="245"/>
      <hiddenRange rowFrom="247" rowTo="341"/>
      <hiddenRange rowFrom="343" rowTo="358"/>
      <hiddenRange rowFrom="360" rowTo="368"/>
      <hiddenRange rowFrom="370" rowTo="408"/>
      <hiddenRange rowFrom="410" rowTo="418"/>
      <hiddenRange rowFrom="420" rowTo="429"/>
      <hiddenRange rowFrom="431" rowTo="438"/>
      <hiddenRange rowFrom="440" rowTo="447"/>
      <hiddenRange rowFrom="449" rowTo="458"/>
      <hiddenRange rowFrom="460" rowTo="466"/>
      <hiddenRange rowFrom="468" rowTo="475"/>
      <hiddenRange rowFrom="477" rowTo="486"/>
      <hiddenRange rowFrom="488" rowTo="497"/>
      <hiddenRange rowFrom="499" rowTo="530"/>
      <hiddenRange rowFrom="532" rowTo="535"/>
      <hiddenRange rowFrom="537" rowTo="551"/>
      <hiddenRange rowFrom="553" rowTo="561"/>
      <hiddenRange rowFrom="563" rowTo="564"/>
      <hiddenRange rowFrom="566" rowTo="608"/>
      <hiddenRange rowFrom="610" rowTo="780"/>
    </filterData>
    <filterData filterID="1475812750"/>
    <filterData filterID="1479941211"/>
    <filterData filterID="1475426452"/>
    <filterData filterID="1828109780"/>
    <autofilterInfo filterID="1862877470">
      <autoFilter xmlns="http://schemas.openxmlformats.org/spreadsheetml/2006/main" ref="A2:BT781">
        <filterColumn colId="4">
          <customFilters>
            <customFilter operator="equal" val="47712A"/>
          </customFilters>
        </filterColumn>
      </autoFilter>
    </autofilterInfo>
  </sheetItem>
  <sheetItem sheetStid="57">
    <filterData filterID="1862877470">
      <hiddenRange rowFrom="4" rowTo="64"/>
      <hiddenRange rowFrom="90" rowTo="90"/>
    </filterData>
    <filterData filterID="1850010794">
      <hiddenRange rowFrom="4" rowTo="64"/>
      <hiddenRange rowFrom="90" rowTo="90"/>
    </filterData>
    <filterData filterID="1475426452">
      <hiddenRange rowFrom="1" rowTo="87"/>
      <hiddenRange rowFrom="89" rowTo="95"/>
      <hiddenRange rowFrom="97" rowTo="165"/>
    </filterData>
    <filterData filterID="1828109780"/>
    <filterData filterID="1475812750">
      <hiddenRange rowFrom="1" rowTo="64"/>
      <hiddenRange rowFrom="90" rowTo="90"/>
    </filterData>
    <autofilterInfo filterID="1475426452">
      <autoFilter xmlns="http://schemas.openxmlformats.org/spreadsheetml/2006/main" ref="A1:AP166">
        <filterColumn colId="5">
          <customFilters>
            <customFilter operator="equal" val="10127748"/>
            <customFilter operator="equal" val="10127749"/>
          </customFilters>
        </filterColumn>
      </autoFilter>
    </autofilterInfo>
    <autofilterInfo filterID="1850010794">
      <autoFilter xmlns="http://schemas.openxmlformats.org/spreadsheetml/2006/main" ref="A1:AP166">
        <filterColumn colId="17">
          <customFilters>
            <customFilter operator="equal" val=""/>
            <customFilter operator="equal" val="7/24 寄出"/>
          </customFilters>
        </filterColumn>
      </autoFilter>
    </autofilterInfo>
    <autofilterInfo filterID="1862877470">
      <autoFilter xmlns="http://schemas.openxmlformats.org/spreadsheetml/2006/main" ref="A1:AP166">
        <filterColumn colId="17">
          <customFilters>
            <customFilter operator="equal" val=""/>
            <customFilter operator="equal" val="7/24 寄出"/>
          </customFilters>
        </filterColumn>
      </autoFilter>
    </autofilterInfo>
    <autofilterInfo filterID="1475812750">
      <autoFilter xmlns="http://schemas.openxmlformats.org/spreadsheetml/2006/main" ref="A1:AP166">
        <filterColumn colId="5">
          <filters blank="1">
            <filter val="10131390"/>
            <filter val="10131351"/>
            <filter val="10131392"/>
            <filter val="10131353"/>
            <filter val="10131394"/>
            <filter val="10133515"/>
            <filter val="10131396"/>
            <filter val="10131356"/>
            <filter val="10131398"/>
            <filter val="10129719"/>
            <filter val="10130420"/>
            <filter val="10131360"/>
            <filter val="10135560"/>
            <filter val="10131362"/>
            <filter val="10131364"/>
            <filter val="10132664"/>
            <filter val="10130965"/>
            <filter val="10131365"/>
            <filter val="10136065"/>
            <filter val="10129127"/>
            <filter val="10133467"/>
            <filter val="10135968"/>
            <filter val="10131369"/>
            <filter val="10133069"/>
            <filter val="10135969"/>
            <filter val="10130830"/>
            <filter val="10134971"/>
            <filter val="10134972"/>
            <filter val="10133933"/>
            <filter val="10133875"/>
            <filter val="10130036"/>
            <filter val="10131376"/>
            <filter val="10133076"/>
            <filter val="10130837"/>
            <filter val="10131379"/>
            <filter val="10132440"/>
            <filter val="10131383"/>
            <filter val="10131347"/>
            <filter val="10131387"/>
            <filter val="10132947"/>
            <filter val="10135087"/>
            <filter val="10127748"/>
            <filter val="10127749"/>
            <filter val="10131349"/>
          </filters>
        </filterColumn>
        <filterColumn colId="17">
          <customFilters>
            <customFilter operator="equal" val=""/>
            <customFilter operator="equal" val="7/24 寄出"/>
          </customFilters>
        </filterColumn>
      </autoFilter>
    </autofilterInfo>
  </sheetItem>
  <sheetItem sheetStid="58">
    <filterData filterID="1828109780">
      <hiddenRange rowFrom="1" rowTo="21"/>
      <hiddenRange rowFrom="24" rowTo="29"/>
      <hiddenRange rowFrom="31" rowTo="35"/>
      <hiddenRange rowFrom="38" rowTo="51"/>
    </filterData>
    <filterData filterID="1475812750">
      <hiddenRange rowFrom="1" rowTo="9"/>
      <hiddenRange rowFrom="13" rowTo="14"/>
      <hiddenRange rowFrom="17" rowTo="20"/>
    </filterData>
    <filterData filterID="1850010794"/>
    <filterData filterID="1862877470">
      <hiddenRange rowFrom="1" rowTo="4"/>
      <hiddenRange rowFrom="6" rowTo="12"/>
      <hiddenRange rowFrom="15" rowTo="20"/>
      <hiddenRange rowFrom="22" rowTo="39"/>
      <hiddenRange rowFrom="42" rowTo="51"/>
    </filterData>
    <filterData filterID="1475426452"/>
    <filterData filterID="1594138801"/>
    <autofilterInfo filterID="1475812750">
      <autoFilter xmlns="http://schemas.openxmlformats.org/spreadsheetml/2006/main" ref="A1:AP52">
        <filterColumn colId="17">
          <customFilters>
            <customFilter operator="equal" val=""/>
            <customFilter operator="equal" val="8.19寄出"/>
          </customFilters>
        </filterColumn>
      </autoFilter>
    </autofilterInfo>
    <autofilterInfo filterID="1862877470">
      <autoFilter xmlns="http://schemas.openxmlformats.org/spreadsheetml/2006/main" ref="A1:AP52">
        <filterColumn colId="7">
          <customFilters>
            <customFilter operator="equal" val="35874A1J"/>
            <customFilter operator="equal" val="35874VAZJ"/>
          </customFilters>
        </filterColumn>
      </autoFilter>
    </autofilterInfo>
    <autofilterInfo filterID="1828109780">
      <autoFilter xmlns="http://schemas.openxmlformats.org/spreadsheetml/2006/main" ref="A1:AP52">
        <filterColumn colId="5">
          <filters>
            <filter val="20219232"/>
            <filter val="4500032586"/>
            <filter val="4500032736"/>
            <filter val="4500032587"/>
          </filters>
        </filterColumn>
        <filterColumn colId="7">
          <customFilters>
            <customFilter operator="equal" val="F5861ML2"/>
            <customFilter operator="equal" val="FA586-2AUT"/>
          </customFilters>
        </filterColumn>
      </autoFilter>
    </autofilterInfo>
  </sheetItem>
  <sheetItem sheetStid="55">
    <filterData filterID="1862877470">
      <hiddenRange rowFrom="1" rowTo="207"/>
      <hiddenRange rowFrom="209" rowTo="210"/>
      <hiddenRange rowFrom="212" rowTo="231"/>
      <hiddenRange rowFrom="234" rowTo="234"/>
      <hiddenRange rowFrom="236" rowTo="268"/>
      <hiddenRange rowFrom="271" rowTo="512"/>
      <hiddenRange rowFrom="514" rowTo="567"/>
      <hiddenRange rowFrom="569" rowTo="581"/>
    </filterData>
    <filterData filterID="1828109780">
      <hiddenRange rowFrom="1" rowTo="576"/>
      <hiddenRange rowFrom="578" rowTo="596"/>
    </filterData>
    <filterData filterID="1475812750">
      <hiddenRange rowFrom="1" rowTo="97"/>
      <hiddenRange rowFrom="99" rowTo="122"/>
      <hiddenRange rowFrom="124" rowTo="166"/>
      <hiddenRange rowFrom="168" rowTo="182"/>
      <hiddenRange rowFrom="184" rowTo="198"/>
      <hiddenRange rowFrom="200" rowTo="204"/>
      <hiddenRange rowFrom="206" rowTo="214"/>
      <hiddenRange rowFrom="216" rowTo="276"/>
      <hiddenRange rowFrom="278" rowTo="301"/>
      <hiddenRange rowFrom="303" rowTo="315"/>
      <hiddenRange rowFrom="317" rowTo="326"/>
      <hiddenRange rowFrom="328" rowTo="384"/>
      <hiddenRange rowFrom="386" rowTo="395"/>
      <hiddenRange rowFrom="397" rowTo="406"/>
      <hiddenRange rowFrom="408" rowTo="418"/>
      <hiddenRange rowFrom="420" rowTo="430"/>
      <hiddenRange rowFrom="432" rowTo="457"/>
      <hiddenRange rowFrom="459" rowTo="468"/>
      <hiddenRange rowFrom="470" rowTo="596"/>
    </filterData>
    <filterData filterID="1475426452">
      <hiddenRange rowFrom="1" rowTo="490"/>
      <hiddenRange rowFrom="493" rowTo="501"/>
      <hiddenRange rowFrom="504" rowTo="577"/>
      <hiddenRange rowFrom="579" rowTo="580"/>
      <hiddenRange rowFrom="582" rowTo="596"/>
    </filterData>
    <filterData filterID="1594138801">
      <hiddenRange rowFrom="1" rowTo="54"/>
      <hiddenRange rowFrom="57" rowTo="220"/>
      <hiddenRange rowFrom="222" rowTo="225"/>
      <hiddenRange rowFrom="228" rowTo="228"/>
      <hiddenRange rowFrom="230" rowTo="279"/>
      <hiddenRange rowFrom="281" rowTo="288"/>
      <hiddenRange rowFrom="290" rowTo="292"/>
      <hiddenRange rowFrom="294" rowTo="297"/>
      <hiddenRange rowFrom="299" rowTo="305"/>
      <hiddenRange rowFrom="307" rowTo="307"/>
      <hiddenRange rowFrom="309" rowTo="313"/>
      <hiddenRange rowFrom="315" rowTo="317"/>
      <hiddenRange rowFrom="319" rowTo="334"/>
      <hiddenRange rowFrom="336" rowTo="340"/>
      <hiddenRange rowFrom="342" rowTo="344"/>
      <hiddenRange rowFrom="346" rowTo="349"/>
      <hiddenRange rowFrom="351" rowTo="356"/>
      <hiddenRange rowFrom="358" rowTo="363"/>
      <hiddenRange rowFrom="365" rowTo="371"/>
      <hiddenRange rowFrom="373" rowTo="378"/>
      <hiddenRange rowFrom="380" rowTo="383"/>
      <hiddenRange rowFrom="385" rowTo="388"/>
      <hiddenRange rowFrom="390" rowTo="394"/>
      <hiddenRange rowFrom="396" rowTo="399"/>
      <hiddenRange rowFrom="401" rowTo="405"/>
      <hiddenRange rowFrom="407" rowTo="410"/>
      <hiddenRange rowFrom="412" rowTo="416"/>
      <hiddenRange rowFrom="418" rowTo="422"/>
      <hiddenRange rowFrom="424" rowTo="428"/>
      <hiddenRange rowFrom="430" rowTo="435"/>
      <hiddenRange rowFrom="437" rowTo="442"/>
      <hiddenRange rowFrom="444" rowTo="461"/>
      <hiddenRange rowFrom="463" rowTo="465"/>
      <hiddenRange rowFrom="467" rowTo="467"/>
      <hiddenRange rowFrom="469" rowTo="471"/>
      <hiddenRange rowFrom="473" rowTo="475"/>
      <hiddenRange rowFrom="477" rowTo="480"/>
      <hiddenRange rowFrom="482" rowTo="483"/>
      <hiddenRange rowFrom="485" rowTo="489"/>
      <hiddenRange rowFrom="491" rowTo="493"/>
      <hiddenRange rowFrom="495" rowTo="496"/>
      <hiddenRange rowFrom="498" rowTo="548"/>
      <hiddenRange rowFrom="550" rowTo="553"/>
      <hiddenRange rowFrom="555" rowTo="556"/>
      <hiddenRange rowFrom="558" rowTo="580"/>
    </filterData>
    <filterData filterID="1850010794">
      <hiddenRange rowFrom="1" rowTo="94"/>
      <hiddenRange rowFrom="96" rowTo="116"/>
      <hiddenRange rowFrom="118" rowTo="159"/>
      <hiddenRange rowFrom="161" rowTo="239"/>
      <hiddenRange rowFrom="241" rowTo="284"/>
      <hiddenRange rowFrom="286" rowTo="289"/>
      <hiddenRange rowFrom="291" rowTo="294"/>
      <hiddenRange rowFrom="296" rowTo="320"/>
      <hiddenRange rowFrom="322" rowTo="328"/>
      <hiddenRange rowFrom="330" rowTo="346"/>
      <hiddenRange rowFrom="348" rowTo="353"/>
      <hiddenRange rowFrom="355" rowTo="360"/>
      <hiddenRange rowFrom="362" rowTo="369"/>
      <hiddenRange rowFrom="371" rowTo="387"/>
      <hiddenRange rowFrom="389" rowTo="398"/>
      <hiddenRange rowFrom="400" rowTo="409"/>
      <hiddenRange rowFrom="411" rowTo="420"/>
      <hiddenRange rowFrom="422" rowTo="432"/>
      <hiddenRange rowFrom="434" rowTo="459"/>
      <hiddenRange rowFrom="461" rowTo="473"/>
      <hiddenRange rowFrom="475" rowTo="551"/>
      <hiddenRange rowFrom="554" rowTo="596"/>
    </filterData>
    <autofilterInfo filterID="1850010794">
      <autoFilter xmlns="http://schemas.openxmlformats.org/spreadsheetml/2006/main" ref="A1:AS597">
        <filterColumn colId="7">
          <customFilters>
            <customFilter operator="equal" val="47713A"/>
          </customFilters>
        </filterColumn>
      </autoFilter>
    </autofilterInfo>
    <autofilterInfo filterID="1862877470">
      <autoFilter xmlns="http://schemas.openxmlformats.org/spreadsheetml/2006/main" ref="A1:AS597">
        <filterColumn colId="7">
          <customFilters>
            <customFilter operator="equal" val="L21011"/>
            <customFilter operator="equal" val="L21106"/>
          </customFilters>
        </filterColumn>
      </autoFilter>
    </autofilterInfo>
    <autofilterInfo filterID="1475812750">
      <autoFilter xmlns="http://schemas.openxmlformats.org/spreadsheetml/2006/main" ref="A1:AS597">
        <filterColumn colId="7">
          <customFilters>
            <customFilter operator="equal" val="47723A"/>
          </customFilters>
        </filterColumn>
      </autoFilter>
    </autofilterInfo>
    <autofilterInfo filterID="1475426452">
      <autoFilter xmlns="http://schemas.openxmlformats.org/spreadsheetml/2006/main" ref="A1:AS597">
        <filterColumn colId="5">
          <customFilters>
            <customFilter operator="equal" val="10123756"/>
          </customFilters>
        </filterColumn>
      </autoFilter>
    </autofilterInfo>
    <autofilterInfo filterID="1594138801">
      <autoFilter xmlns="http://schemas.openxmlformats.org/spreadsheetml/2006/main" ref="A1:AS597">
        <filterColumn colId="7">
          <customFilters>
            <customFilter operator="equal" val="47367J"/>
            <customFilter operator="equal" val="47712A"/>
          </customFilters>
        </filterColumn>
      </autoFilter>
    </autofilterInfo>
    <autofilterInfo filterID="1828109780">
      <autoFilter xmlns="http://schemas.openxmlformats.org/spreadsheetml/2006/main" ref="A1:AS597">
        <filterColumn colId="5">
          <customFilters>
            <customFilter operator="equal" val="10125943"/>
          </customFilters>
        </filterColumn>
      </autoFilter>
    </autofilterInfo>
  </sheetItem>
</autofilters>
</file>

<file path=customXml/item4.xml><?xml version="1.0" encoding="utf-8"?>
<woProps xmlns="https://web.wps.cn/et/2018/main" xmlns:s="http://schemas.openxmlformats.org/spreadsheetml/2006/main">
  <woSheetsProps>
    <woSheetProps sheetStid="48" interlineOnOff="0" interlineColor="0" isDbSheet="0" isDashBoardSheet="0" isDbDashBoardSheet="0" isFlexPaperSheet="0">
      <cellprotection/>
      <appEtDbRelations/>
    </woSheetProps>
    <woSheetProps sheetStid="60" interlineOnOff="0" interlineColor="0" isDbSheet="0" isDashBoardSheet="0" isDbDashBoardSheet="0" isFlexPaperSheet="0">
      <cellprotection/>
      <appEtDbRelations/>
    </woSheetProps>
    <woSheetProps sheetStid="57" interlineOnOff="0" interlineColor="0" isDbSheet="0" isDashBoardSheet="0" isDbDashBoardSheet="0" isFlexPaperSheet="0">
      <cellprotection/>
      <appEtDbRelations/>
    </woSheetProps>
    <woSheetProps sheetStid="58" interlineOnOff="0" interlineColor="0" isDbSheet="0" isDashBoardSheet="0" isDbDashBoardSheet="0" isFlexPaperSheet="0">
      <cellprotection/>
      <appEtDbRelations/>
    </woSheetProps>
    <woSheetProps sheetStid="61" interlineOnOff="0" interlineColor="0" isDbSheet="0" isDashBoardSheet="0" isDbDashBoardSheet="0" isFlexPaperSheet="0">
      <cellprotection/>
      <appEtDbRelations/>
    </woSheetProps>
    <woSheetProps sheetStid="55" interlineOnOff="0" interlineColor="0" isDbSheet="0" isDashBoardSheet="0" isDbDashBoardSheet="0" isFlexPaperSheet="0">
      <cellprotection/>
      <appEtDbRelations/>
    </woSheetProps>
    <woSheetProps sheetStid="59" interlineOnOff="0" interlineColor="0" isDbSheet="0" isDashBoardSheet="0" isDbDashBoardSheet="0" isFlexPaperSheet="0">
      <cellprotection/>
      <appEtDbRelations/>
    </woSheetProps>
    <woSheetProps sheetStid="56" interlineOnOff="0" interlineColor="0" isDbSheet="0" isDashBoardSheet="0" isDbDashBoardSheet="0" isFlexPaperSheet="0">
      <cellprotection/>
      <appEtDbRelations/>
    </woSheetProps>
    <woSheetProps sheetStid="63" interlineOnOff="0" interlineColor="0" isDbSheet="0" isDashBoardSheet="0" isDbDashBoardSheet="0" isFlexPaperSheet="0">
      <cellprotection/>
      <appEtDbRelations/>
    </woSheetProps>
    <woSheetProps sheetStid="65" interlineOnOff="0" interlineColor="0" isDbSheet="0" isDashBoardSheet="0" isDbDashBoardSheet="0" isFlexPaperSheet="0">
      <cellprotection/>
      <appEtDbRelations/>
    </woSheetProps>
  </woSheetsProps>
  <woBookProps>
    <bookSettings fileId="547683943135" isFilterShared="0" woEtMtcEnabled="0" coreConquerUserId="" isAutoUpdatePaused="0" filterType="user" isMergeTasksAutoUpdate="0" isInserPicAsAttachment="0" supportDbFmlaDisp="0"/>
  </woBookProps>
</woProps>
</file>

<file path=customXml/item5.xml><?xml version="1.0" encoding="utf-8"?>
<pixelators xmlns="https://web.wps.cn/et/2018/main" xmlns:s="http://schemas.openxmlformats.org/spreadsheetml/2006/main">
  <pixelatorList sheetStid="48"/>
  <pixelatorList sheetStid="60"/>
  <pixelatorList sheetStid="57"/>
  <pixelatorList sheetStid="58"/>
  <pixelatorList sheetStid="61"/>
  <pixelatorList sheetStid="55"/>
  <pixelatorList sheetStid="59"/>
  <pixelatorList sheetStid="56"/>
  <pixelatorList sheetStid="63"/>
  <pixelatorList sheetStid="65"/>
  <pixelatorList sheetStid="66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customXml/itemProps3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名称</vt:lpstr>
      <vt:lpstr>总接单</vt:lpstr>
      <vt:lpstr>KIK总排期</vt:lpstr>
      <vt:lpstr>RRM总排期</vt:lpstr>
      <vt:lpstr>测试明细</vt:lpstr>
      <vt:lpstr>KIK已走货</vt:lpstr>
      <vt:lpstr>RRM已走货</vt:lpstr>
      <vt:lpstr>取消单</vt:lpstr>
      <vt:lpstr>汇总</vt:lpstr>
      <vt:lpstr>JD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刘锦龙</cp:lastModifiedBy>
  <dcterms:created xsi:type="dcterms:W3CDTF">1997-04-02T01:32:00Z</dcterms:created>
  <cp:lastPrinted>2019-03-29T09:58:00Z</cp:lastPrinted>
  <dcterms:modified xsi:type="dcterms:W3CDTF">2026-08-30T23:23:00Z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2052-12.9.0.28212</vt:lpwstr>
  </property>
  <property fmtid="{D5CDD505-2E9C-101B-9397-08002B2CF9AE}" pid="3" name="ICV">
    <vt:lpwstr>6FE8F00391F224FC614D6C6A6523D073_43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