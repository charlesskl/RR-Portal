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2368" windowHeight="9347" tabRatio="875"/>
  </bookViews>
  <sheets>
    <sheet name="9283" sheetId="1" r:id="rId1"/>
    <sheet name="MA包裝" sheetId="3" r:id="rId2"/>
    <sheet name="布料MA" sheetId="2" r:id="rId3"/>
    <sheet name="半成品MA" sheetId="4" r:id="rId4"/>
    <sheet name="取消订单" sheetId="5" r:id="rId5"/>
    <sheet name="Sheet1" sheetId="6" r:id="rId6"/>
  </sheets>
  <definedNames>
    <definedName name="_xlnm._FilterDatabase" localSheetId="0" hidden="1">'9283'!$3:$1008</definedName>
    <definedName name="_xlnm._FilterDatabase" localSheetId="1" hidden="1">MA包裝!$3:$121</definedName>
    <definedName name="_xlnm._FilterDatabase" localSheetId="3" hidden="1">半成品MA!$26:$47</definedName>
    <definedName name="_xlnm._FilterDatabase" localSheetId="4" hidden="1">取消订单!$1:$64</definedName>
    <definedName name="_xlnm.Print_Area" localSheetId="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O7" authorId="0">
      <text>
        <r>
          <rPr>
            <b/>
            <sz val="9"/>
            <rFont val="宋体"/>
            <charset val="134"/>
          </rPr>
          <t>admin:</t>
        </r>
        <r>
          <rPr>
            <sz val="9"/>
            <rFont val="宋体"/>
            <charset val="134"/>
          </rPr>
          <t xml:space="preserve">
截数</t>
        </r>
      </text>
    </comment>
    <comment ref="Q7" authorId="0">
      <text>
        <r>
          <rPr>
            <b/>
            <sz val="9"/>
            <rFont val="宋体"/>
            <charset val="134"/>
          </rPr>
          <t>admin:</t>
        </r>
        <r>
          <rPr>
            <sz val="9"/>
            <rFont val="宋体"/>
            <charset val="134"/>
          </rPr>
          <t xml:space="preserve">
截数</t>
        </r>
      </text>
    </comment>
    <comment ref="E66" authorId="0">
      <text>
        <r>
          <rPr>
            <sz val="9"/>
            <rFont val="宋体"/>
            <charset val="134"/>
          </rPr>
          <t>工厂多备数</t>
        </r>
      </text>
    </comment>
  </commentList>
</comments>
</file>

<file path=xl/comments2.xml><?xml version="1.0" encoding="utf-8"?>
<comments xmlns="http://schemas.openxmlformats.org/spreadsheetml/2006/main">
  <authors>
    <author>admin</author>
  </authors>
  <commentList>
    <comment ref="C29" authorId="0">
      <text>
        <r>
          <rPr>
            <b/>
            <sz val="9"/>
            <rFont val="宋体"/>
            <charset val="134"/>
          </rPr>
          <t>admin:</t>
        </r>
        <r>
          <rPr>
            <sz val="9"/>
            <rFont val="宋体"/>
            <charset val="134"/>
          </rPr>
          <t xml:space="preserve">
转客版2100PCS  此批只能出小猫21000pcs</t>
        </r>
      </text>
    </comment>
    <comment ref="D29" authorId="0">
      <text>
        <r>
          <rPr>
            <b/>
            <sz val="9"/>
            <rFont val="宋体"/>
            <charset val="134"/>
          </rPr>
          <t>admin:</t>
        </r>
        <r>
          <rPr>
            <sz val="9"/>
            <rFont val="宋体"/>
            <charset val="134"/>
          </rPr>
          <t xml:space="preserve">
转客版2100PCS  此批只能出兔子26000pcs</t>
        </r>
      </text>
    </comment>
    <comment ref="E29" authorId="0">
      <text>
        <r>
          <rPr>
            <b/>
            <sz val="9"/>
            <rFont val="宋体"/>
            <charset val="134"/>
          </rPr>
          <t>admin:</t>
        </r>
        <r>
          <rPr>
            <sz val="9"/>
            <rFont val="宋体"/>
            <charset val="134"/>
          </rPr>
          <t xml:space="preserve">
转客版2100PCS  此批只能出小狗21000pcs</t>
        </r>
      </text>
    </comment>
  </commentList>
</comments>
</file>

<file path=xl/sharedStrings.xml><?xml version="1.0" encoding="utf-8"?>
<sst xmlns="http://schemas.openxmlformats.org/spreadsheetml/2006/main" count="9996" uniqueCount="2968">
  <si>
    <t>ZURU  Rainbocorn 美人鱼毛絨公仔生产排期表 #9283</t>
  </si>
  <si>
    <t>（黃色表示更改或增加）</t>
  </si>
  <si>
    <t>（蓝色表示已完货）</t>
  </si>
  <si>
    <t>（綠色表示調整貨期）</t>
  </si>
  <si>
    <t>收縮膜</t>
  </si>
  <si>
    <t>收藏指南</t>
  </si>
  <si>
    <t>贴纸</t>
  </si>
  <si>
    <t>无闪粉毛绒比例</t>
  </si>
  <si>
    <t>有闪粉毛绒</t>
  </si>
  <si>
    <t>接单期</t>
  </si>
  <si>
    <t>第三方客户名称</t>
  </si>
  <si>
    <t>走货国家</t>
  </si>
  <si>
    <t>PO号</t>
  </si>
  <si>
    <t>客户
 PO 号</t>
  </si>
  <si>
    <t>SKU</t>
  </si>
  <si>
    <t>ITEM#</t>
  </si>
  <si>
    <t>中文名</t>
  </si>
  <si>
    <t>PO数量
(pcs)</t>
  </si>
  <si>
    <t>内箱装箱数量(pcs)</t>
  </si>
  <si>
    <t>外箱装箱数量(pcs)</t>
  </si>
  <si>
    <t>总箱数</t>
  </si>
  <si>
    <t>计划出货期</t>
  </si>
  <si>
    <t>计划验货期</t>
  </si>
  <si>
    <t>第三方验货日期</t>
  </si>
  <si>
    <t>驗貨結果</t>
  </si>
  <si>
    <t>船期SO</t>
  </si>
  <si>
    <t>箱唛资料</t>
  </si>
  <si>
    <t>是否有外箱贴</t>
  </si>
  <si>
    <t>PMC订购
说明书纸</t>
  </si>
  <si>
    <t>贴纸资料</t>
  </si>
  <si>
    <t>客供物料</t>
  </si>
  <si>
    <t>日期码</t>
  </si>
  <si>
    <t>备注</t>
  </si>
  <si>
    <t>ZURU 跟单</t>
  </si>
  <si>
    <t>单价USD</t>
  </si>
  <si>
    <t>金额USD</t>
  </si>
  <si>
    <t>發票號</t>
  </si>
  <si>
    <t>系统货号</t>
  </si>
  <si>
    <t>是否入系统</t>
  </si>
  <si>
    <t>MA  1語收縮膜
A版本</t>
  </si>
  <si>
    <t>MA  1語收縮膜
B版本</t>
  </si>
  <si>
    <t>MA  1語收縮膜
C版本无闪粉</t>
  </si>
  <si>
    <t>MA  3語收縮膜
A版本</t>
  </si>
  <si>
    <t>MA  3語收縮膜
B版本</t>
  </si>
  <si>
    <t>MA  3語收縮膜
C版本无闪粉</t>
  </si>
  <si>
    <t>客版收縮膜</t>
  </si>
  <si>
    <t>5语
收藏指南
A版本</t>
  </si>
  <si>
    <t>5语
收藏指南
B版本</t>
  </si>
  <si>
    <t>5语
收藏指南
C版本无闪粉</t>
  </si>
  <si>
    <t>客版收藏指南</t>
  </si>
  <si>
    <t>Try Me-1L贴纸</t>
  </si>
  <si>
    <t>Try Me-1L贴纸-B版本</t>
  </si>
  <si>
    <t>Try Me-1L贴纸-C版本无闪粉</t>
  </si>
  <si>
    <t>Try Me-3L贴纸</t>
  </si>
  <si>
    <t>Try Me-3L贴纸-B版本</t>
  </si>
  <si>
    <t>Try Me-3L贴纸-C版本无闪粉</t>
  </si>
  <si>
    <t>Try Me-客办</t>
  </si>
  <si>
    <t>藏宝图-C版本无闪粉</t>
  </si>
  <si>
    <t>藏宝图-客版</t>
  </si>
  <si>
    <t>9283 MA1L展示架</t>
  </si>
  <si>
    <t>9283 MA3L展示架</t>
  </si>
  <si>
    <t>9283SLT-托盘</t>
  </si>
  <si>
    <t>MEC222展示架</t>
  </si>
  <si>
    <t>客办展示架</t>
  </si>
  <si>
    <t>客办PDQ</t>
  </si>
  <si>
    <t>旧布标+布标贴纸+新布标</t>
  </si>
  <si>
    <t>布標</t>
  </si>
  <si>
    <t>无闪粉毛绒</t>
  </si>
  <si>
    <t>A 小猫
 Kitten</t>
  </si>
  <si>
    <t>B 兔子  Bunny</t>
  </si>
  <si>
    <t>D 小狗
Puppy</t>
  </si>
  <si>
    <t>E  奶牛
Cow</t>
  </si>
  <si>
    <t>G  大象 Elephant</t>
  </si>
  <si>
    <t>H  火烈鸟 Flamingo</t>
  </si>
  <si>
    <t>总数</t>
  </si>
  <si>
    <t>相差</t>
  </si>
  <si>
    <t>客户回复</t>
  </si>
  <si>
    <t>B&amp;M RETAIL LIMITED</t>
  </si>
  <si>
    <t>英国</t>
  </si>
  <si>
    <t>4500135559-5
01424822/1</t>
  </si>
  <si>
    <t>4500135559-60</t>
  </si>
  <si>
    <t>9283-S001</t>
  </si>
  <si>
    <t>美人鱼6只装（无闪粉）</t>
  </si>
  <si>
    <t>PASS</t>
  </si>
  <si>
    <t>7/29出</t>
  </si>
  <si>
    <t>6/13收到.</t>
  </si>
  <si>
    <t>无</t>
  </si>
  <si>
    <t>日期码格式：ZURU INC(BVI) 标准格式 日期：按实际生产日期
Packaging Info: 
9283:MA-1L 配套包装
Kitten:Bunny:Puppy:Cow:Elephant:Flamingo=1:1:1:1:1:1;
订单对应客户9个PO号 ，备注有显示 ，注意分开做货/验货/装柜 ，混装有罚款。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*所有产品按符合欧洲标准走货，不能出带闪粉版本 ，需要是不含微塑料版本 。</t>
  </si>
  <si>
    <t>Sherry Lu</t>
  </si>
  <si>
    <t>已入</t>
  </si>
  <si>
    <t>MA布标</t>
  </si>
  <si>
    <t>TARGET US</t>
  </si>
  <si>
    <t>美国</t>
  </si>
  <si>
    <t>10001106171-3890</t>
  </si>
  <si>
    <t>4500150025-10</t>
  </si>
  <si>
    <t>美人鱼6只装</t>
  </si>
  <si>
    <t>收到SO</t>
  </si>
  <si>
    <t>11/18收到</t>
  </si>
  <si>
    <t>11/29-客供外箱贴纸</t>
  </si>
  <si>
    <t>日期码格式：ZURU INC(BVI) 标准格式 日期：按实际生产日期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</si>
  <si>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Holly Zheng</t>
  </si>
  <si>
    <t>88830-1.2</t>
  </si>
  <si>
    <t>TJX COMPANIES, INC</t>
  </si>
  <si>
    <t>Marshalls
DC#881-372PCS
,
DC#884-288PCS
,
DC#886-420PCS
,
DC#887-354PCS
,
DC#888-366PCS</t>
  </si>
  <si>
    <t>4500147789-10</t>
  </si>
  <si>
    <t>1/2出</t>
  </si>
  <si>
    <t>11/4收到</t>
  </si>
  <si>
    <t>11/19-价格贴纸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</si>
  <si>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</si>
  <si>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Emily Wu</t>
  </si>
  <si>
    <t>94169-1.23</t>
  </si>
  <si>
    <t>PT. EMWAY GLOBALINDO</t>
  </si>
  <si>
    <t>印度尼西亚</t>
  </si>
  <si>
    <t>4500148621-30</t>
  </si>
  <si>
    <t>10/31收到</t>
  </si>
  <si>
    <t>日期码格式：ZURU INC(BVI) 标准格式 日期：按实际生产日期
Packaging Info: 1.MA UPC包装(优先1L)
3.有第三方验货，将于CRD前一周提供验货员信息，请按订单CRD准时完货。
Remark:9283-Kitten:Bunny:Puppy:Cow:Elephant:Flamingo=1:1:1:1:1:1;</t>
  </si>
  <si>
    <t>Emma Wu</t>
  </si>
  <si>
    <t>88865-1.4</t>
  </si>
  <si>
    <t>Amazon EU SARL, Ndl Deutschland</t>
  </si>
  <si>
    <t>德国</t>
  </si>
  <si>
    <t>5WJDQBAA</t>
  </si>
  <si>
    <t>4500148999-40</t>
  </si>
  <si>
    <t>9283B-S003</t>
  </si>
  <si>
    <t>兔子</t>
  </si>
  <si>
    <t>1/4-1/8出</t>
  </si>
  <si>
    <t>空白外箱（加印带Zuru字样的最新logo，除了邮包盒直接做外箱的产品） + SSCC LABEL一张, 无箱唛’MADE IN CHINA 外箱只印一正一侧。</t>
  </si>
  <si>
    <t>UPC+IT sorting labe翻4500139313+ZURU邮箱贴纸翻单4500149035</t>
  </si>
  <si>
    <t>11/21收到客供外箱贴纸</t>
  </si>
  <si>
    <t>日期码格式：ZURU INC(BVI) 标准格式 日期：按实际生产日期
Packaging Info: Amazon DE 9283B
4.9283B: 9283B Plush Medium Bunny, 4pcs/ctn,no inner; MA 3L(9L warning, EAN#)C收缩膜+3张贴纸（1张UPC#+IT环保标，参考翻单PO#4500139313；1张ES回
收标，参考翻单PO#4500149035；1张ZURU邮箱，参考翻单PO#4500149035）+MA 5L(9L warning)C收藏指南+其他最新MA配套包装;
5. ZURU 验货最迟不得晚于2024/12/26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</si>
  <si>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Zoe Chen</t>
  </si>
  <si>
    <t>88946-1.8</t>
  </si>
  <si>
    <t>AMAZON UK</t>
  </si>
  <si>
    <t>Amazon UK:
5J18RF7X</t>
  </si>
  <si>
    <t>4500149496-20</t>
  </si>
  <si>
    <t>空白外箱（加印带Zuru字样的最新logo，除了邮包盒直接做外箱的产品） + SSCC LABEL一张, 无箱唛。MADE IN CHINA 外箱只印一正一侧。</t>
  </si>
  <si>
    <t>UPC+IT环保标翻4500139313+ES回收标翻4500149035</t>
  </si>
  <si>
    <t>日期码格式：ZURU INC(BVI) 标准格式 日期：按实际生产日期
Packaging Info: Amazon UK(9279H, 9283B, 9281A, 9298B, 71109B)
2. 9283B：9283B Plush Medium Bunny, 4pcs/ctn,no inner; MA 3L(9L warning, EAN#)C收缩膜+2张贴纸（1张UPC#+IT环保标，参考翻单PO#4500139313；1张ES回
收标，参考翻单PO#4500149035）+MA 5L(9L warning)C收藏指南+其他最新MA配套包装;
6. 最迟验货不得晚于2024/12/26;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</si>
  <si>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</si>
  <si>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88934-1.8</t>
  </si>
  <si>
    <t>Zhuyu(Shenzhen)Trading Co.,Ltd.</t>
  </si>
  <si>
    <t>中国</t>
  </si>
  <si>
    <t>4500152175-50</t>
  </si>
  <si>
    <t>12/24出</t>
  </si>
  <si>
    <t>翻单4500150993</t>
  </si>
  <si>
    <t>中文3C贴纸+中文布标(可用布标贴纸)+年龄贴纸翻单4500150993</t>
  </si>
  <si>
    <t>12/2-芯片码（客供）</t>
  </si>
  <si>
    <t>日期码格式：ZURU INC(BVI) 标准格式 日期：按实际生产日期 Tracking Code:
Packaging Info: 物料要求 SKU 所有款号务必使用带有CCC 标识的AW 翻单：
 5 9283 MA+中文3C贴纸 +中文收藏指南+中文布标(可用布标贴纸)+中文领养卡 +年龄贴纸+芯片码（客供）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</si>
  <si>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</si>
  <si>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94157-1.23</t>
  </si>
  <si>
    <t>9283-S001-6</t>
  </si>
  <si>
    <t>4500152175-60</t>
  </si>
  <si>
    <t>12/6-芯片码（客供）</t>
  </si>
  <si>
    <t>日期码格式：ZURU INC(BVI) 标准格式 日期：按实际生产日期
Packaging Info: 物料要求 SKU 所有款号务必使用带有CCC 标识的AW 翻单：
5 9283 MA+中文3C贴纸 +中文收藏指南+中文布标(可用布标贴纸)+中文领养卡 +年龄贴纸+芯片码（客供）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</si>
  <si>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WAL-MART STORES INC. USA</t>
  </si>
  <si>
    <t>4500152092-20</t>
  </si>
  <si>
    <t>9283SLB-S002</t>
  </si>
  <si>
    <t>美人鱼卡板装</t>
  </si>
  <si>
    <t>12/25 BV</t>
  </si>
  <si>
    <t>12/30出</t>
  </si>
  <si>
    <t>外箱四面印刷RFID箱唛，正唛左前下角印刷ITF-14格式条码的艾利替代标箱唛，只印刷正唛一面，Z
 URU logo跟MADE IN CHINA四面右下角印刷</t>
  </si>
  <si>
    <t>消耗4500132388客版布标贴纸</t>
  </si>
  <si>
    <t>消耗4500132388客供RFID贴纸</t>
  </si>
  <si>
    <t>日期码格式：ZURU DGYYYYMMDD CHINA(日期避开周末和法定节假日即可） 日期：按实际生产日期 Tracking Code:
Packaging Info: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</si>
  <si>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Effy Li</t>
  </si>
  <si>
    <t>88866-1.4</t>
  </si>
  <si>
    <t>MA布标新日期格式</t>
  </si>
  <si>
    <t>ROSS PROCUREMENT.INC</t>
  </si>
  <si>
    <t>4500147716-20</t>
  </si>
  <si>
    <t>1/3出</t>
  </si>
  <si>
    <t>指定箱唛格式</t>
  </si>
  <si>
    <t>11/20-客供价格贴纸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</si>
  <si>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</si>
  <si>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Sophia Zhou</t>
  </si>
  <si>
    <t>88881-1.6</t>
  </si>
  <si>
    <t>GP TURKEY</t>
  </si>
  <si>
    <t>土耳其</t>
  </si>
  <si>
    <t>4500151435-30</t>
  </si>
  <si>
    <t>11/28收到</t>
  </si>
  <si>
    <t>11/28-进口商贴纸（含客户条码</t>
  </si>
  <si>
    <t>ZUR4365</t>
  </si>
  <si>
    <t>日期码格式：ZUR4365 日期：
Packaging Info:
 9283：MA 1L 收缩膜+进口商贴纸（含客户条码）; MA收藏指南
 2.客户日期码：ZUR4365, 产品/包装/外箱请保持一致。产品蛋壳需要印日期和item号码
 3.大货样版3套寄到客户香港办公室，请多备料
 4.大货验货需要由ZURU QC抽1pc样板寄到广州ITS做EN 71-3测试
Remark: 
9283:Kitten:Bunny:Puppy:Cow:Elephant:Flamingo=1:1:1:1:1:1; Bubble water;NO Boron; One plastic horn filled in water mixture; A pack of sand(60g)</t>
  </si>
  <si>
    <t>Lena Huang</t>
  </si>
  <si>
    <t>94160-1.23</t>
  </si>
  <si>
    <t>TJ MAXX
DC#891-396PCS
,
DC#894-342PCS
,
DC#896-318PCS
,
DC#897-624PCS
,
DC#898-318PCS</t>
  </si>
  <si>
    <t>4500147796-20</t>
  </si>
  <si>
    <t>1/8出</t>
  </si>
  <si>
    <t>12/6-价格贴纸</t>
  </si>
  <si>
    <t>94170-1.23</t>
  </si>
  <si>
    <t>Marshalls
DC#881-372PCS
,
DC#884-288PCS
,
DC#886-414PCS
,
DC#887-348PCS
,
DC#888-378PCS</t>
  </si>
  <si>
    <t>4500147793-20</t>
  </si>
  <si>
    <t>1/4出</t>
  </si>
  <si>
    <t>94171-1.23</t>
  </si>
  <si>
    <t>TJ MAXX
DC#891-396PCS
,
DC#894-342PCS
,
DC#896-312PCS
,
DC#897-624PCS
,
DC#898-324PCS</t>
  </si>
  <si>
    <t>4500147795-20</t>
  </si>
  <si>
    <t>94175-1.23</t>
  </si>
  <si>
    <t>4500147792-20</t>
  </si>
  <si>
    <t>1/14出</t>
  </si>
  <si>
    <t>94166-1.23</t>
  </si>
  <si>
    <t>4500147798-20</t>
  </si>
  <si>
    <t>94174-1.23</t>
  </si>
  <si>
    <t>4500147794-20</t>
  </si>
  <si>
    <t>1/10出</t>
  </si>
  <si>
    <t>94176-1.23</t>
  </si>
  <si>
    <t>ASDA STORES LTD</t>
  </si>
  <si>
    <t>4500150696-20</t>
  </si>
  <si>
    <t>9283SLB-S001</t>
  </si>
  <si>
    <t>美人鱼卡板装（无闪粉）</t>
  </si>
  <si>
    <t>11/29收到</t>
  </si>
  <si>
    <t>11/29-卡板贴纸</t>
  </si>
  <si>
    <t>日期码格式：ZURU INC(BVI) 标准格式 日期：按实际生产日期
Packaging Info:
6.9283SLB
9283-S002:MA 1L最新UPC包装；
UPC#193052050106，请先检查条码是否正确再安排做货；
Kitten:Bunny:Puppy:Cow:Elephant:Flamingo=1:1:1:1:1:1;
Slip Sheet: 1 PCS/CTN, 22*4=88ctn=88pcs/slip sheet, 一共需要13套slip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
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</si>
  <si>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Amy Ding</t>
  </si>
  <si>
    <t>88944-1.8</t>
  </si>
  <si>
    <t>10001106177-3890</t>
  </si>
  <si>
    <t>4500151914-10</t>
  </si>
  <si>
    <t>1/6出</t>
  </si>
  <si>
    <t>12/6-外箱贴纸</t>
  </si>
  <si>
    <t>日期码格式：ZURU INC(BVI) 标准格式 日期：按实际生产日期 Tracking Code: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</si>
  <si>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88882-1.6</t>
  </si>
  <si>
    <t>BURLINGTON COAT FACTORY</t>
  </si>
  <si>
    <t>客户PO#383017
503</t>
  </si>
  <si>
    <t>4500151472-20</t>
  </si>
  <si>
    <t>12/13-客供价格贴纸+12/12-外箱贴纸</t>
  </si>
  <si>
    <t>日期码格式：ZURU INC(BVI) 标准格式 日期：按实际生产日期
Packaging Info: 1，ZURU MA （首选1L）UPC版本+客供价格贴纸+外箱贴纸，出口美国
有PVC桶的价格贴纸贴在PVC桶上面
Remark: 2，产品和包装上印刷ZURU 标准日期码；
3，纸箱中间靠上沿印刷ZURU LOGO，见箱唛资料
4、外箱UCC 条码贴纸，尺寸: 4*6inch，贴在其中一面正唛右下角，贴纸距离外箱底部3.5cm, 侧边距离3.5cm。外箱贴纸由跟单提供电子版, 工厂自行安排，不可用
封箱胶覆盖贴纸条码，贴纸需要可以扫描且无损坏.
5，每个产品有一个价格贴纸， 价格贴纸覆盖UPC条码上 （若UPC 条码太大，可以露出ITEM#, 覆盖条码即可），若价格贴纸覆盖UPC 会挡住文字/图案，在产品背面
找空白处粘贴价格贴纸即可。贴的时候要是会覆盖包装上重要的信息和图案，需要告知跟单。</t>
  </si>
  <si>
    <t>Jessi Xu</t>
  </si>
  <si>
    <t>88981-1.10</t>
  </si>
  <si>
    <t>客户PO#383019
403</t>
  </si>
  <si>
    <t>4500151472-70</t>
  </si>
  <si>
    <t>88988-1.11</t>
  </si>
  <si>
    <t>N.V. DREAMLAND</t>
  </si>
  <si>
    <t>比利时</t>
  </si>
  <si>
    <t>4500151910-20</t>
  </si>
  <si>
    <t>11/21收到</t>
  </si>
  <si>
    <t>日期码格式：ZURU INC(BVI) 标准格式 日期：按实际生产日期 Tracking Code:
Packaging Info: 
 9283: MA C版 3L EAN收缩膜（含NL警语），MA B版 3L Try Me 贴纸，MA C版 5L收藏指南（含NL警语），MA C版 5L地图（含NL警语），MA B版 5L配件袋，MA B版
 5L证书，MA B版布标，MA B版贴纸
Remark: 1.外箱需要印条码，请确保条码可以清晰扫描，且条码内容正确
 2.出欧洲，微塑料需合规（如item本身不含微塑料,则忽略此要求）
 3.STD配比
 4. 所有产品符合REACH申明</t>
  </si>
  <si>
    <t>Amber Zhang</t>
  </si>
  <si>
    <t>94005-1.13</t>
  </si>
  <si>
    <t>9283-S001-1</t>
  </si>
  <si>
    <t>MCD BRANDS SAS</t>
  </si>
  <si>
    <t>乌拉圭</t>
  </si>
  <si>
    <t>4500152326-60</t>
  </si>
  <si>
    <t>1/9出</t>
  </si>
  <si>
    <t>翻单4500108308</t>
  </si>
  <si>
    <t>进口商贴纸/EAN贴纸翻单4500108308</t>
  </si>
  <si>
    <t>日期码格式：ZURU INC(BVI) 标准格式 日期：按实际生产日期
Packaging Info:
9283：MA 3L包装+进口商贴纸+箱唛 +EAN贴纸，进口商贴纸/箱唛/EAN贴纸翻单PO4500108308
Remark: 进口商贴纸请多备料5pcs,出货后需要寄给客户</t>
  </si>
  <si>
    <t>Ava Liang</t>
  </si>
  <si>
    <t>88941-1.8</t>
  </si>
  <si>
    <t>KMART AUSTRALIA LTD(NEW ZEALAND)</t>
  </si>
  <si>
    <t>新西兰</t>
  </si>
  <si>
    <t>4500152016-20</t>
  </si>
  <si>
    <t>1/8-1/10出</t>
  </si>
  <si>
    <t>11/22收到</t>
  </si>
  <si>
    <t>12/13-防盗贴纸+12/16-外箱贴纸</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</si>
  <si>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</si>
  <si>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</si>
  <si>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88967-1.10</t>
  </si>
  <si>
    <t>KMART AUSTRALIA LTD</t>
  </si>
  <si>
    <t>澳大利亚</t>
  </si>
  <si>
    <t>4500152006-30</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</si>
  <si>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</si>
  <si>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88966-1.10</t>
  </si>
  <si>
    <t>4500152292-40</t>
  </si>
  <si>
    <t>12/3收到</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</si>
  <si>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</si>
  <si>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88993-1.11</t>
  </si>
  <si>
    <t>SUCKOT SAC</t>
  </si>
  <si>
    <t>秘鲁</t>
  </si>
  <si>
    <t>45000152261-70</t>
  </si>
  <si>
    <t>11/26出</t>
  </si>
  <si>
    <t>12/19-UPC贴纸+进口商贴纸</t>
  </si>
  <si>
    <t>日期码格式：ZURU INC(BVI) 标准格式 日期：按实际生产日期 Tracking Code:
Packaging Info: 
 9283：MA 3L EAN包装+UPC贴纸+MA 多语收藏指南+进口商贴纸+箱唛
Remark:
 9283: Kitten:Bunny:Puppy:Cow:Elephant:Flamingo=1:1:1:1:1:1;
 出货前要提供大货照片给客户确认后才能出货，请按期完货</t>
  </si>
  <si>
    <t>Zoe Luo</t>
  </si>
  <si>
    <t>88921-1.7</t>
  </si>
  <si>
    <t>WABRO</t>
  </si>
  <si>
    <t>阿根廷</t>
  </si>
  <si>
    <t>4500152720-160</t>
  </si>
  <si>
    <t>12/6-进口商贴纸</t>
  </si>
  <si>
    <t>日期码格式：ZURU INC(BVI) 标准格式 日期：按实际生产日期
Packaging Info:
9283:MA 3L包装+进口商贴纸+箱唛
Remark: LR44 电池品牌为ONLY</t>
  </si>
  <si>
    <t>88958-1.9</t>
  </si>
  <si>
    <t>AMAZON.COM.DEDC,LLC</t>
  </si>
  <si>
    <t>24XZNY6S</t>
  </si>
  <si>
    <t>4500152379-340</t>
  </si>
  <si>
    <t>9283D-S002</t>
  </si>
  <si>
    <t>小狗（邮包盒）</t>
  </si>
  <si>
    <t>2/7出</t>
  </si>
  <si>
    <t>11/27收到</t>
  </si>
  <si>
    <t>12/20-客供外箱贴纸</t>
  </si>
  <si>
    <t>9283D邮包盒图稿跟返单4500139401</t>
  </si>
  <si>
    <t>日期码格式：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</si>
  <si>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</si>
  <si>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94201-2.10</t>
  </si>
  <si>
    <t>1776T8ZG</t>
  </si>
  <si>
    <t>4500152379-350</t>
  </si>
  <si>
    <t>5JF5W6AV</t>
  </si>
  <si>
    <t>4500152657-100</t>
  </si>
  <si>
    <t>日期码格式：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</si>
  <si>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94001-1.13</t>
  </si>
  <si>
    <t>8M75H1DC</t>
  </si>
  <si>
    <t>4500152472-50</t>
  </si>
  <si>
    <t>9283A-S002</t>
  </si>
  <si>
    <t>小猫（邮包盒）</t>
  </si>
  <si>
    <t>1/20出</t>
  </si>
  <si>
    <t>9283A邮包盒图稿跟翻单#4500135161</t>
  </si>
  <si>
    <t>日期码格式：ZURU INC(BVI) 标准格式 日期：按实际生产日期 
Packaging Info: 
 #9283：MA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</si>
  <si>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94109-1.18</t>
  </si>
  <si>
    <t>CRG</t>
  </si>
  <si>
    <t>哥斯达黎加</t>
  </si>
  <si>
    <t>ZU01-25</t>
  </si>
  <si>
    <t>4500152087-70</t>
  </si>
  <si>
    <t>进口商贴纸翻4500098650</t>
  </si>
  <si>
    <t>日期码格式：ZURU INC(BVI) 标准格式 日期：按实际生产日期 
Packaging Info: 
 9283:MA 1L包装+进口商贴纸+箱唛，进口商贴纸翻单PO4500098650
Remark:</t>
  </si>
  <si>
    <t>88961-1.9</t>
  </si>
  <si>
    <t>TJX UK</t>
  </si>
  <si>
    <t>TJX UK:
PO#50343294</t>
  </si>
  <si>
    <t>4500152937-10</t>
  </si>
  <si>
    <t>12/5收到</t>
  </si>
  <si>
    <t>12/6-客供价格贴纸</t>
  </si>
  <si>
    <t>日期码格式：ZURU INC(BVI) 标准格式 日期：按实际生产日期 Tracking Code:
Packaging Info: TJX UK: PO#50343294(9283) &lt;(&gt;&amp;&lt;)&gt; PO#50343296(9258) &lt;(&gt;&amp;&lt;)&gt; PO#50343296(9281) &lt;(&gt;&amp;&lt;)&gt; PO#50343305(9298) &lt;(&gt;&amp;&lt;)&gt; PO#50343349(7132) &lt;(&gt;&amp;&lt;)&gt; PO#503
 43349(92107) &lt;(&gt;&amp;&lt;)&gt; PO#50343392(9279) &lt;(&gt;&amp;&lt;)&gt; PO#50343399(9279)
 1) 9283: MA 3L(9Lwarning) C版收缩膜+ 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</si>
  <si>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88953-1.9</t>
  </si>
  <si>
    <t>TJX UK c/o TJX Distribution Ltd &amp; C</t>
  </si>
  <si>
    <t>TJX
Europe(DE):
PO#55343895</t>
  </si>
  <si>
    <t>4500152906-10</t>
  </si>
  <si>
    <t>12/6-客供价格贴纸+含波兰警示语翻4500150830</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</si>
  <si>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1) 9283: MA 3L(9Lwarning) C版收缩膜+ 其他最新MA配套包装+1张客供价格贴纸+1张贴纸（含波兰警示语）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</si>
  <si>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88968-1.10</t>
  </si>
  <si>
    <t>HEB GROCERY COMPANY, LP</t>
  </si>
  <si>
    <t>PO#60X356210</t>
  </si>
  <si>
    <t>4500152429-20</t>
  </si>
  <si>
    <t>9283-S003</t>
  </si>
  <si>
    <t>美人鱼2只装(无闪粉）</t>
  </si>
  <si>
    <t>1/9第三方</t>
  </si>
  <si>
    <t>1/19出</t>
  </si>
  <si>
    <t>日期码格式：ZURU INC(BVI) 标准格式 日期：按实际生产日期
Packaging Info: 1. ZURU MA UPC版本，出口美国.
Remark: 2. 日期跟踪码：ZURU标准格式日期码，产品包装及产品本身都必须有ZURU标准格式日期码，并且确保两者格式和时间保持一致(请自行调整具体年月日生产期，但不能为周末）。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#9283签样同旧单4500105770, 但如订单最终出货有物料变更，须提前告知跟单决定是否重新寄签样。
 4. 验货+ 抽板 （同一天进行）
预约1月9日第三方（利丰）到工厂做100%大货现场验货和抽板，验货需打印EPM出来跟客户回签样板供第三方验货参考。
 PS:EPM是跟单提供。
 抽板：
因#9283的ZURU测试报告上被客户指定实验室发现产品和产品包装上的日期码不一致，所以这款寄样给实验室的是按照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</si>
  <si>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</si>
  <si>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94212-2.11</t>
  </si>
  <si>
    <t>TIENDAS CHEDRAUI, S.A. DE C.V.</t>
  </si>
  <si>
    <t>墨西哥</t>
  </si>
  <si>
    <t>4500153048-30</t>
  </si>
  <si>
    <t>1/15出</t>
  </si>
  <si>
    <t>12/13收到</t>
  </si>
  <si>
    <t>12/12-UPC条码贴纸+进口商贴纸</t>
  </si>
  <si>
    <t>日期码格式：ZURU INC(BVI) 标准格式 日期：按实际生产日期 
Packaging Info:
 2. 9283: MA 3L EAN包装+MA 5L收藏指南+MA 3L try me sticker+进口商贴纸(已包含UPC条码）+箱唛
Remark: 
 3. 9283：Kitten:Bunny:Puppy:Cow:Elephant:Flamingo=1:1:1:1:1:1;</t>
  </si>
  <si>
    <t>Ever Li</t>
  </si>
  <si>
    <t>94048-1.15</t>
  </si>
  <si>
    <t>DIAMANT TOYS LTD</t>
  </si>
  <si>
    <t>以色列</t>
  </si>
  <si>
    <t>4500153669-30</t>
  </si>
  <si>
    <t>1/21出</t>
  </si>
  <si>
    <t>12/10收到</t>
  </si>
  <si>
    <t>进口商贴纸翻4500136786+彩色贴纸翻4500136786</t>
  </si>
  <si>
    <t>日期码格式：ZURU INC(BVI) 标准格式 日期：按实际生产日期
Packaging Info: 
 9283:1L MA收缩膜+进口商贴纸翻4500136786+彩色贴纸翻4500136786;MA指南
Remark: 标准产品标准配比</t>
  </si>
  <si>
    <t>94126-1.20</t>
  </si>
  <si>
    <t>AEON TOPVALU (HONG KONG) CO.,LTD</t>
  </si>
  <si>
    <t>柬埔寨</t>
  </si>
  <si>
    <t>SDN24-0024</t>
  </si>
  <si>
    <t>4500150770-70</t>
  </si>
  <si>
    <t>11/11收到</t>
  </si>
  <si>
    <t>日期码格式：ZURU INC(BVI) 标准格式 日期：按实际生产日期
Packaging Info: MA PKG, 优先1L
Remark: 出柬埔寨</t>
  </si>
  <si>
    <t>Doris Shou</t>
  </si>
  <si>
    <t>94063-1.16</t>
  </si>
  <si>
    <t>Amazon CA (Vendor Center)</t>
  </si>
  <si>
    <t>加拿大</t>
  </si>
  <si>
    <t>7PRRUB6G</t>
  </si>
  <si>
    <t>4500152544-80</t>
  </si>
  <si>
    <t>1/16-1/21出</t>
  </si>
  <si>
    <t>日期码格式：ZURU INC(BVI) 标准格式 日期：按实际生产日期
Packaging Info: 出口加拿大，包装需要至少2/3L UPC版，无硼版本。
#9283: MA 3L入邮包盒，9283A邮包盒图稿跟翻单#4500135161,跟Amazon US合并订购物料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</si>
  <si>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</si>
  <si>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94134-1.21</t>
  </si>
  <si>
    <t>9283A-S002-3L-1</t>
  </si>
  <si>
    <t>1RJYL2VD</t>
  </si>
  <si>
    <t>4500152544-150</t>
  </si>
  <si>
    <t>1H8EP2XX</t>
  </si>
  <si>
    <t>4500152544-210</t>
  </si>
  <si>
    <t>4500153263-10</t>
  </si>
  <si>
    <t>1/9 BV（自检）</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</si>
  <si>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</si>
  <si>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94082-1.17</t>
  </si>
  <si>
    <t>450015326320-20</t>
  </si>
  <si>
    <t>1/24出</t>
  </si>
  <si>
    <t>94002-1.13</t>
  </si>
  <si>
    <t>4500153263-30</t>
  </si>
  <si>
    <t>4500153263-40</t>
  </si>
  <si>
    <t>1/23出</t>
  </si>
  <si>
    <t>94094-1.18</t>
  </si>
  <si>
    <t>4500153263-50</t>
  </si>
  <si>
    <t>1/13出</t>
  </si>
  <si>
    <t>94139-1.21</t>
  </si>
  <si>
    <t>TOY TRIANGLE COMPANY (UAE)</t>
  </si>
  <si>
    <t>阿拉伯联合酋长国</t>
  </si>
  <si>
    <t>2025TTC006</t>
  </si>
  <si>
    <t>4500151230-20</t>
  </si>
  <si>
    <t>1/16出</t>
  </si>
  <si>
    <t>11/13收到</t>
  </si>
  <si>
    <t>客版收缩膜翻4500137300                                                                                                                                                                                  11/25收到客版收藏指南</t>
  </si>
  <si>
    <t>日期码格式：ZURU INC(BVI) 标准格式 日期：按实际生产日期
Packaging Info: 9283:客版收缩膜翻4500137300（改彩虹颜色，不含希伯来警告语，需要印G MARK，含进口商贴纸，含QR code), QR code要求印刷清晰且手机可扫描，扫描结果387
11。客版指南
92115：客版收缩膜翻4500134696（改彩虹颜色，不含slime和希伯来警告语)，需要印G MARK，含进口商贴纸，含QR code), QR code要求印刷清晰且手机可扫描，
扫描结果38711
。客版指南翻4500134696（改彩虹颜色，不含slime和希伯来警告语));客版挂卡翻4500134696
92117/92118：客版收缩膜翻4500134696（改彩虹颜色，不含slime和希伯来警告语，需含阿拉伯警告语，印G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92115:#92106 Remove Slime
RHINO:KOALA:ELEPHANT=1:1:1
92117:#92107 Smart Sandy replaces slime
4 Assortment Ratio (Ladybug: Giraffe: Butterfly: Elephant)=1:1:1:1
92118:#92108 Smart Sandy replaces slime
4 Assortments (bunny: puppy: unicorn: kitten)=1:1:1:1
3pcs AAA batteries (not included)</t>
  </si>
  <si>
    <t>94062-1.16</t>
  </si>
  <si>
    <t>9283-S001-7</t>
  </si>
  <si>
    <t>DD’S DISCOUNTS</t>
  </si>
  <si>
    <t>4500150317-30</t>
  </si>
  <si>
    <t>12/2客供价格贴纸</t>
  </si>
  <si>
    <t>Taylor Liao</t>
  </si>
  <si>
    <t>94129-1.21</t>
  </si>
  <si>
    <t>4500153795-10</t>
  </si>
  <si>
    <t>2/6出</t>
  </si>
  <si>
    <t>翻单： 4500152175</t>
  </si>
  <si>
    <t>中文3C贴纸+中文布标(可用布标贴纸)+年龄贴纸 翻4500152175</t>
  </si>
  <si>
    <t>12/19-芯片码（客供）</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</si>
  <si>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
Remark: 物料要求 SKU 所有款号务必使用带有CCC 标识的AW
 A. 9283 MA+中文3C贴纸 +中文收藏指南+中文布标(可用布标贴纸)+中文领养卡 +年龄贴纸+芯片码（客供） 翻单： 4500152175</t>
  </si>
  <si>
    <t>94181-2.6</t>
  </si>
  <si>
    <t>MA布标+布标贴纸</t>
  </si>
  <si>
    <t>4500153795-30</t>
  </si>
  <si>
    <t>4500147800-20</t>
  </si>
  <si>
    <t>2/14出</t>
  </si>
  <si>
    <t>12/20-价格贴纸</t>
  </si>
  <si>
    <t>4500147803-20</t>
  </si>
  <si>
    <t>2/13出</t>
  </si>
  <si>
    <t>4500147799-10</t>
  </si>
  <si>
    <t>4500147801-10</t>
  </si>
  <si>
    <t>2/11出</t>
  </si>
  <si>
    <t>12/19-价格贴纸</t>
  </si>
  <si>
    <t>4500150488-30</t>
  </si>
  <si>
    <t>94441-3.5</t>
  </si>
  <si>
    <t>10001106180-3890</t>
  </si>
  <si>
    <t>4500152157-10</t>
  </si>
  <si>
    <t>2/12出</t>
  </si>
  <si>
    <t>12/23收到</t>
  </si>
  <si>
    <t>1/3-外箱贴纸</t>
  </si>
  <si>
    <t>日期码格式：ZURU INC(BVI) 标准格式 日期：按实际生产日期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</si>
  <si>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94224-2.12</t>
  </si>
  <si>
    <t>4500147804-10</t>
  </si>
  <si>
    <t>2/18出</t>
  </si>
  <si>
    <t>94381-2.27</t>
  </si>
  <si>
    <t>TJ MAXX
DC#891-354PCS
,
DC#894-312PCS
,
DC#896-288PCS
,
DC#897-558PCS
,
DC#898-288PCS</t>
  </si>
  <si>
    <t>4500147806-10</t>
  </si>
  <si>
    <t>2/21出</t>
  </si>
  <si>
    <t>94380-2.27</t>
  </si>
  <si>
    <t>CANADIAN TIRE</t>
  </si>
  <si>
    <t>4500154089-10</t>
  </si>
  <si>
    <t>12/16收到</t>
  </si>
  <si>
    <t>12/16收到UPC贴纸</t>
  </si>
  <si>
    <t>日期码格式：ZURU INC(BVI) 标准格式 日期：按实际生产日期
Packaging Info: MA 3L EAN+UPC贴纸，UPC号码193052050106
Remark: 出加拿大
Zuru验货.日期跟踪码：产品外包装及产品本身都必须有日期跟踪码，ZURU标准格式日期码</t>
  </si>
  <si>
    <t>Summer Mo</t>
  </si>
  <si>
    <t>4 Kidz Polska Sp. z o.o.</t>
  </si>
  <si>
    <t>波兰</t>
  </si>
  <si>
    <t>4500153562-10</t>
  </si>
  <si>
    <t>MB158-9283-S001</t>
  </si>
  <si>
    <t>混装（9283+9261+71102）</t>
  </si>
  <si>
    <t>12/11-进口商贴纸</t>
  </si>
  <si>
    <t>日期码格式：ZURU INC(BVI) 标准格式 日期：按实际生产日期 
Packaging Info: MB158 MA 标准PDQ
 9261：MA C版3L收缩膜+进口商贴纸；MA C版布标；MA B版5L塑料袋；MA C版5L收藏指南；
 9283：MA C版1L收缩膜+进口商贴纸；MA B版5L淋膜纸袋；MA C版5L改藏宝图+MA C版5L收藏指南；MA B版5L证书+塑料袋；MA B版布标
 71102: MA C版收缩膜+进口商贴纸；MA B版袋；MA B版3L使用指南+信息卡
Remark: 1、若产品有比例使用ZURU STD 比例
 2、所有item 均用MA UPC 条码，若包装不是UPC 条码的请告知
 3、此单出欧洲需满足EU测试标准要求</t>
  </si>
  <si>
    <t>Sharon Zhao</t>
  </si>
  <si>
    <t>94223-2.12</t>
  </si>
  <si>
    <t>MB158-S001</t>
  </si>
  <si>
    <t>THE ENTERTAINER</t>
  </si>
  <si>
    <t>4500152538-2:
FB12127</t>
  </si>
  <si>
    <t>4500152538-90</t>
  </si>
  <si>
    <t>2/19出</t>
  </si>
  <si>
    <t>客户EAN条码贴翻4500148687</t>
  </si>
  <si>
    <t>日期码格式：ZURU INC(BVI) 标准格式 日期：按实际生产日期
Packaging Info: 
9283：MA最新1L配套包装+客户EAN条码贴一张覆盖ZURU 原条码，条码贴翻订单4500148687
Kitten:Bunny:Puppy:Cow:Elephant:Flamingo=1:1:1:1:1:1;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</si>
  <si>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4500152538-3:
FB12155</t>
  </si>
  <si>
    <t>4500152538-180</t>
  </si>
  <si>
    <t>BIG W</t>
  </si>
  <si>
    <t>CUS
PO#47758607 -
SYD</t>
  </si>
  <si>
    <t>4500154142-10</t>
  </si>
  <si>
    <t>2/20出</t>
  </si>
  <si>
    <t>进口商贴纸翻4500106537</t>
  </si>
  <si>
    <t>日期码格式：ZURU INC(BVI) 标准格式 日期：按实际生产日期
Packaging Info: 1.包装
 9283：MA UPC PKG+1张进口商贴纸，贴纸翻单4500106537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</si>
  <si>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Christine Liao</t>
  </si>
  <si>
    <t>94321-2.22</t>
  </si>
  <si>
    <t>CUS
PO#47758608 -
BNE</t>
  </si>
  <si>
    <t>4500154142-50</t>
  </si>
  <si>
    <t>2/27出</t>
  </si>
  <si>
    <t>94359-2.26</t>
  </si>
  <si>
    <t>CUS
PO#47758609 -
MEL</t>
  </si>
  <si>
    <t>4500154142-90</t>
  </si>
  <si>
    <t>94370-2.27</t>
  </si>
  <si>
    <t>4500153776-80</t>
  </si>
  <si>
    <t>箱唛翻4500108308</t>
  </si>
  <si>
    <t>进口商贴纸+EAN贴纸翻4500108308</t>
  </si>
  <si>
    <t>日期码格式：ZURU INC(BVI) 标准格式 日期：按实际生产日期 
Packaging Info: 
 9283:MA 3L包装+进口商贴纸+EAN贴纸+箱唛，进口商贴纸/EAN贴纸/箱唛翻单PO4500108308
 翻单箱唛请注意ZURU LOGO需要使用最新的
Remark: 进口商贴纸请多备料5pcs,出货后需要寄给客户</t>
  </si>
  <si>
    <t>94577-3.18</t>
  </si>
  <si>
    <t>CUS
PO#47763523 -
FRE</t>
  </si>
  <si>
    <t>4500153408-20</t>
  </si>
  <si>
    <t>日期码格式：ZURU INC(BVI) 标准格式 日期：按实际生产日期 
Packaging Info: 1. 包装
 9283：MA UPC PKG+1张进口商贴纸，贴纸翻单4500106537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</si>
  <si>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94320-2.21</t>
  </si>
  <si>
    <t>CUS
PO#47763725 -
SYD</t>
  </si>
  <si>
    <t>4500153408-60</t>
  </si>
  <si>
    <t>94322-2.22</t>
  </si>
  <si>
    <t>CUS
PO#47763726 -
BNE</t>
  </si>
  <si>
    <t>4500153408-90</t>
  </si>
  <si>
    <t>94358-2.26</t>
  </si>
  <si>
    <t>CUS
PO#47763727 -
MEL</t>
  </si>
  <si>
    <t>4500153408-130</t>
  </si>
  <si>
    <t>94371-2.27</t>
  </si>
  <si>
    <t>4500151765-70</t>
  </si>
  <si>
    <t>2/25出</t>
  </si>
  <si>
    <t>12/25收到</t>
  </si>
  <si>
    <t>卡板贴纸</t>
  </si>
  <si>
    <t>日期码格式：ZURU INC(BVI) 标准格式 日期：按实际生产日期 
Packaging Info: 
 7.9283SLB
 9283-S002:MA 1L最新UPC包装；
 UPC#193052050106，请先检查条码是否正确再安排做货；
Kitten:Bunny:Puppy:Cow:Elephant:Flamingo=1:1:1:1:1:1;
 Slip Sheet: 1 PCS/CTN, 22*4=88ctn=88pcs/slip sheet, 一共需要13套slip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
 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</si>
  <si>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94349-2.25</t>
  </si>
  <si>
    <t>4500154728-10</t>
  </si>
  <si>
    <t>翻单： 4500153795</t>
  </si>
  <si>
    <t>中文3C贴纸 +中文布标(可用布标贴纸)+年龄贴纸+ 翻单： 4500153795</t>
  </si>
  <si>
    <t>1/7-芯片码（客供）</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</si>
  <si>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4500153795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</si>
  <si>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Distribuidora Liverpool S.A de C.V.</t>
  </si>
  <si>
    <t>4500149460-110</t>
  </si>
  <si>
    <t>2/26出</t>
  </si>
  <si>
    <t>1/3收到</t>
  </si>
  <si>
    <t>2/8-UPC贴纸+进口商贴纸+价标贴纸</t>
  </si>
  <si>
    <t>2/11-价标贴纸</t>
  </si>
  <si>
    <t>日期码格式：ZURU INC(BVI) 标准格式 日期：按实际生产日期
Packaging Info: 
 9283:MA 3LEAN包装+UPC贴纸+进口商贴纸+价标贴纸+箱唛
Remark: 1. 此单价格贴纸（ZURU定购).
2.此单有第三方监柜，不用额外准备备品，会在大货中每款拆1pc，拆了包装的产品会由监装员用客供胶带封好或在外箱上写上""opened by telescope”</t>
  </si>
  <si>
    <t>94382-2.27</t>
  </si>
  <si>
    <t>4500151307-60</t>
  </si>
  <si>
    <t>1/9收到</t>
  </si>
  <si>
    <t>UPC贴纸+进口商贴纸翻4500149460</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</si>
  <si>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
Order Modifiable</t>
  </si>
  <si>
    <t>94352-2.25</t>
  </si>
  <si>
    <t>Kelly Shen/Mia Pan</t>
  </si>
  <si>
    <t>6SGZZ69Z</t>
  </si>
  <si>
    <t>4500155048-50</t>
  </si>
  <si>
    <t>12/31收到</t>
  </si>
  <si>
    <t>2/8-外箱贴纸</t>
  </si>
  <si>
    <t>邮包盒图稿跟翻单#4500135161</t>
  </si>
  <si>
    <t>日期码格式：ZURU INC(BVI)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</si>
  <si>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94483-3.7</t>
  </si>
  <si>
    <t>SUPER LTD</t>
  </si>
  <si>
    <t>格鲁吉亚</t>
  </si>
  <si>
    <t>4500156297-50</t>
  </si>
  <si>
    <t>3/19出</t>
  </si>
  <si>
    <t>1/22收到</t>
  </si>
  <si>
    <t>1/22-进口商贴纸</t>
  </si>
  <si>
    <t>日期码格式：ZURU INC(BVI) 标准格式 日期：按实际生产日期
Packaging Info: 
9283: MA C版1L 收缩膜(含UPC条码)+进口商贴纸；MA C版5L收藏指南;MA 塑胶袋+复合袋+纸袋(MA C版5L地图+MA B版5L证书)+布标；
Remark:
9283:Kitten:Bunny:Puppy:Cow:Elephant:Flamingo=1:1:1:1:1:1</t>
  </si>
  <si>
    <t>Amy Xiao</t>
  </si>
  <si>
    <t>94566-3.17</t>
  </si>
  <si>
    <t>TJX EU (DE):
PO#55565149</t>
  </si>
  <si>
    <t>4500155456-10</t>
  </si>
  <si>
    <t>1/8收到</t>
  </si>
  <si>
    <t>1/13-1张贴纸（含波兰警示语）</t>
  </si>
  <si>
    <t>1/10-客供价格贴纸</t>
  </si>
  <si>
    <t>日期码格式：ZURU INC(BVI) 标准格式 日期：按实际生产日期 
Packaging Info: TJX EU (DE): PO#55565149(9283)
 9283: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</si>
  <si>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Sandy Shao</t>
  </si>
  <si>
    <t>94473-3.6</t>
  </si>
  <si>
    <t>TJX UK:
PO#50565012</t>
  </si>
  <si>
    <t>4500155467-10</t>
  </si>
  <si>
    <t>3/13出</t>
  </si>
  <si>
    <t>日期码格式：ZURU INC(BVI) 标准格式 日期：按实际生产日期 
Packaging Info: TJX UK: PO#50565012(9283)
 9283: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</si>
  <si>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94522-3.12</t>
  </si>
  <si>
    <t>4500155723-70</t>
  </si>
  <si>
    <t>3/4出</t>
  </si>
  <si>
    <t>1/16收到</t>
  </si>
  <si>
    <t>1/16-UPC贴纸+进口商贴纸</t>
  </si>
  <si>
    <t>日期码格式：ZURU INC(BVI) 标准格式 日期：按实际生产日期 
Packaging Info: 
 9283：MA 3L EAN包装+UPC贴纸+MA 多语收藏指南+进口商贴纸+箱唛
Remark: 
 9283: Kitten:Bunny:Puppy:Cow:Elephant:Flamingo=1:1:1:1:1:1;</t>
  </si>
  <si>
    <t>94426-3.4</t>
  </si>
  <si>
    <t>4500154604-110</t>
  </si>
  <si>
    <t>3/14出</t>
  </si>
  <si>
    <t>2/7收到</t>
  </si>
  <si>
    <t>UPC贴纸/进口商贴纸翻4500149460</t>
  </si>
  <si>
    <t>2/18-价标贴纸</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</si>
  <si>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</si>
  <si>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94525-3.12</t>
  </si>
  <si>
    <t>ZMPO24927</t>
  </si>
  <si>
    <t>完成</t>
  </si>
  <si>
    <t>周转箱</t>
  </si>
  <si>
    <t>Remark：大货最新版本/款号平均/麻烦按款号装箱/请用大货标准箱装箱6PCS/箱共30箱/箱唛请参照邮件附件；备注： 收到样品订单后尽快安排 ，注意样板品质质量要求要高于大货品质要求 ，送货时必须要附带送货单(没有送货单和QC检验合格报告的仓库一律拒绝收货)，请知悉，谢谢！</t>
  </si>
  <si>
    <t>94680-3.31</t>
  </si>
  <si>
    <t>TARGET AUSTRALIA PTY LTD</t>
  </si>
  <si>
    <t>4500154618-90</t>
  </si>
  <si>
    <t>2/26-2/28出</t>
  </si>
  <si>
    <t>12/24收到</t>
  </si>
  <si>
    <t>2/12-外箱贴纸</t>
  </si>
  <si>
    <t>日期码格式：ZURU INC(BVI) 标准格式 日期：按实际生产日期 
Packaging Info: 
 8. 9283:英文MA包装(UPC版本，首选1L，无1L可用多L含英语)+箱唛+外箱贴纸；Kitten:Bunny:Puppy:Cow:Elephant:Flamingo=1:1:1:1:1:1;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</si>
  <si>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94374-2.27</t>
  </si>
  <si>
    <t>4500155924-20</t>
  </si>
  <si>
    <t>3/7出</t>
  </si>
  <si>
    <t>翻单： 4500154728</t>
  </si>
  <si>
    <t>中文3C贴纸+中文布标(可用布标贴纸)+年龄贴纸翻4500154728</t>
  </si>
  <si>
    <t>2/8-芯片码</t>
  </si>
  <si>
    <t>日期码格式：ZURU INC(BVI) 标准格式 日期：按实际生产日期 
Packaging Info: 物料要求 SKU 所有款号务必使用带有CCC 标识的AW
 2 9283 MA+中文3C贴纸 +中文收藏指南+中文布标(可用布标贴纸)+中文领养卡 +年龄贴纸+芯片码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</si>
  <si>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</si>
  <si>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94472-3.6</t>
  </si>
  <si>
    <t>4500155924-30</t>
  </si>
  <si>
    <t>4500155924-50</t>
  </si>
  <si>
    <t>日期码格式：ZURU INC(BVI) 标准格式 日期：按实际生产日期
Packaging Info: 物料要求 SKU 所有款号务必使用带有CCC 标识的AW
2 9283 MA+中文3C贴纸 +中文收藏指南+中文布标(可用布标贴纸)+中文领养卡 +年龄贴纸+芯片码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</si>
  <si>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THE WAREHOUSE LIMITED</t>
  </si>
  <si>
    <t>4500153598-10</t>
  </si>
  <si>
    <t>3/20出</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</si>
  <si>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 Kitten:Bunny:Puppy:Cow:Elephant:Flamingo=1:1:1:1:1:1;</t>
  </si>
  <si>
    <t>Abby Liang</t>
  </si>
  <si>
    <t>94793-4.18</t>
  </si>
  <si>
    <t>4500153593-10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</si>
  <si>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 Kitten:Bunny:Puppy:Cow:Elephant:Flamingo=1:1:1:1:1:1;</t>
  </si>
  <si>
    <t>94792-4.18</t>
  </si>
  <si>
    <t>DISTRIBUIDORA JUGUETRON S.A. DE C.V</t>
  </si>
  <si>
    <t>4500156374-50</t>
  </si>
  <si>
    <t>3/11出</t>
  </si>
  <si>
    <t>1/21收到</t>
  </si>
  <si>
    <t>2/24-UPC贴纸+外箱贴纸+进口商贴纸</t>
  </si>
  <si>
    <t>日期码格式：ZURU INC(BVI) 标准格式 日期：按实际生产日期 
Packaging Info: 
 9283:MA 3L EAN包装+UPC贴纸+外箱贴纸+进口商贴纸+箱唛
Remark: 此单有第三方监柜，需要每款多备1套完整物料</t>
  </si>
  <si>
    <t>94515-3.11</t>
  </si>
  <si>
    <t>4500157394-10</t>
  </si>
  <si>
    <t>中文3C贴纸+中文布标(可用布标贴纸)+年龄贴纸 翻4500154728</t>
  </si>
  <si>
    <t>2/26芯片贴纸</t>
  </si>
  <si>
    <t>日期码格式：ZURU INC(BVI) 标准格式 日期：按实际生产日期
Packaging Info: 物料要求 SKU 所有款号务必使用带有CCC 标识的AW
 1.9283 MA+中文3C贴纸 +中文收藏指南+中文布标(可用布标贴纸)+中文领养卡 +年龄贴纸+芯片码（客供） 翻单： 4500154728
 此单为 首单 需要提供3箱大货样 留样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</si>
  <si>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94537-3.13</t>
  </si>
  <si>
    <t>4500157394-20</t>
  </si>
  <si>
    <t>4500156224-30</t>
  </si>
  <si>
    <t>3/12-3/14出</t>
  </si>
  <si>
    <t>1/20收到</t>
  </si>
  <si>
    <t>2/10-防盗贴纸+2/17-外箱贴纸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</si>
  <si>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</si>
  <si>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94538-3.13</t>
  </si>
  <si>
    <t>Bol.com</t>
  </si>
  <si>
    <t>4500156115-30</t>
  </si>
  <si>
    <t>3/17出</t>
  </si>
  <si>
    <t>EAN贴纸翻4500109185</t>
  </si>
  <si>
    <t>日期码格式：ZURU INC(BVI) 标准格式 日期：按实际生产日期 Tracking Code:
Packaging Info: BOL NL(9283ABDE)
8. 9283ABDE
 ---9283B: 4 pcs/ctn,No Inner,Medium Bunny,Bubble water;NO Boron; One plastic horn filled in water mixture; A pack of sand(60g); MA 3L(9L warning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</si>
  <si>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</si>
  <si>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4500156115-190</t>
  </si>
  <si>
    <t>9283A-S003</t>
  </si>
  <si>
    <t>小猫</t>
  </si>
  <si>
    <t>日期码格式：ZURU INC(BVI) 标准格式 日期：按实际生产日期 Tracking Code:
Packaging Info: BOL NL(9283ABDE)
8. 9283ABDE
 ---9283A: 4 pcs/ctn,No Inner,Medium Kitten,Bubble water;NO Boron; One plastic horn filled in water mixture; A pack of sand(60g); MA 3L(9L warnin
 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</si>
  <si>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4500156115-260</t>
  </si>
  <si>
    <t>9283E-S003</t>
  </si>
  <si>
    <t>奶牛</t>
  </si>
  <si>
    <t>日期码格式：ZURU INC(BVI) 标准格式 日期：按实际生产日期 Tracking Code:
Packaging Info: BOL NL(9283ABDE)
8. 9283ABDE
 ---9283E: 4 pcs/ctn,No Inner,Medium Cow,Bubble water;NO Boron; One plastic horn filled in water mixture; A pack of sand(60g); MA 3L(9L warning E
 AN)C 收缩膜+1张EAN#贴纸(参考翻单PO#4500109185&lt;(&gt;,&lt;)&gt;贴在收缩膜原EAN位置)+MA 3L B try me sticker+MA B Laser sticker+MA B布标+MA 5L(9L warning)C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</si>
  <si>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4500156115-280</t>
  </si>
  <si>
    <t>9283D-S003</t>
  </si>
  <si>
    <t>小狗</t>
  </si>
  <si>
    <t>日期码格式：ZURU INC(BVI) 标准格式 日期：按实际生产日期 Tracking Code:
Packaging Info: BOL NL(9283ABDE)
8. 9283ABDE
 ---9283D: 4 pcs/ctn,No Inner,Medium Puppy,Bubble water;NO Boron; One plastic horn filled in water mixture; A pack of sand(60g); MA 3L(9L warning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</si>
  <si>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PPTOYS PTE LTD (SG)</t>
  </si>
  <si>
    <t>新加坡</t>
  </si>
  <si>
    <t>ZU25012001SG</t>
  </si>
  <si>
    <t>4500157001-20</t>
  </si>
  <si>
    <t>3/15出</t>
  </si>
  <si>
    <t>2/8收到</t>
  </si>
  <si>
    <t>进口商贴纸翻4500122433</t>
  </si>
  <si>
    <t>日期码格式：ZURU INC(BVI) 标准格式 日期：按实际生产日期 
Packaging Info: MA UPC包装（优先1L)+1张进口商贴纸,贴纸图稿及位置图翻单如下
 71126-4500135387
 9283-4500122433
 所有item贴纸都是一样的（尺寸有很小差别并不影响），请一起订购节省成本
Remark:
9283-Kitten:Bunny:Puppy:Cow:Elephant:Flamingo=1:1:1:1:1:1;</t>
  </si>
  <si>
    <t>94575-3.18</t>
  </si>
  <si>
    <t>4500155516-10</t>
  </si>
  <si>
    <t>3/25出</t>
  </si>
  <si>
    <t>日期码格式：ZURU INC(BVI) 标准格式 日期：按实际生产日期 
Packaging Info: 1L MA收缩膜+进口商贴纸翻4500136786+彩色贴纸翻4500136786;MA指南
Remark: 标准产品标准配比</t>
  </si>
  <si>
    <t>94620-3.24</t>
  </si>
  <si>
    <t>4YY3SRTU</t>
  </si>
  <si>
    <t>4500155806-80</t>
  </si>
  <si>
    <t>3/24出</t>
  </si>
  <si>
    <t>1/15收到</t>
  </si>
  <si>
    <t>2/21外箱贴纸</t>
  </si>
  <si>
    <t>日期码格式：ZURU INC(BVI) 标准格式 日期：按实际生产日期 
Packaging Info: 
 #9283: MA 1L入邮包盒，9283A邮包盒图稿跟翻单#4500135161。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</si>
  <si>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ZB00030</t>
  </si>
  <si>
    <t>I-VISION TOYS.INC</t>
  </si>
  <si>
    <t>韩国</t>
  </si>
  <si>
    <t>IVI-0117RE</t>
  </si>
  <si>
    <t>4500156429-20</t>
  </si>
  <si>
    <t>箱唛翻单4
 500146081</t>
  </si>
  <si>
    <t>3张韩语贴纸（正面一张韩语贴 ，背面一张警语贴新稿+1张韩语TRY ME贴</t>
  </si>
  <si>
    <t>客版收藏指南（翻单4500132403）</t>
  </si>
  <si>
    <t>日期码格式：ZURU INC(BVI) 标准格式 日期：按实际生产日期 
Packaging Info: 
 9283：MA 1L 收缩膜(不含Try Me贴纸），客版收藏指南（翻单4500132403）+3张韩语贴纸（正面一张韩语贴 ，背面一张警语贴新稿+1张韩语TRY ME贴).箱唛翻单4
 500146081
Remark: 由于韩国法律法规要求，吸塑需PET材质，产品需符合韩国KC测试标准。
 9283： 泡泡水需要完全不含防腐剂的，请特别留意.大货产品需严格跟到上一单4500132403）
 请确保大货包装的生产年月 信息跟到到贴纸上的一致。
生产日信息不做特别要求，可安排统一日期，但必须确保生产年份"2025" 月份"03" 谢谢！</t>
  </si>
  <si>
    <t>94670-3.29</t>
  </si>
  <si>
    <t>9283-S001-5</t>
  </si>
  <si>
    <t>4500154624-110</t>
  </si>
  <si>
    <t>2/10收到</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</si>
  <si>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</si>
  <si>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94698-4.3</t>
  </si>
  <si>
    <t>4500157522-10</t>
  </si>
  <si>
    <t>3/19 第三方(自检）</t>
  </si>
  <si>
    <t>3/18出</t>
  </si>
  <si>
    <t>外箱四面印刷RFID箱唛，ZURU logo跟MADE IN CHINA四面右下角印刷</t>
  </si>
  <si>
    <t>客版布标贴纸</t>
  </si>
  <si>
    <t>日期码格式：ZURU DGYYYYMMDD CHINA(日期避开周末和法定节假日即可） 日期：按实际生产日期 
Packaging Info:
Remark: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</si>
  <si>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ZB00003-3.18</t>
  </si>
  <si>
    <t>MTA Trade</t>
  </si>
  <si>
    <t>哈萨克斯坦</t>
  </si>
  <si>
    <t>4500156659-50</t>
  </si>
  <si>
    <t>3/27出</t>
  </si>
  <si>
    <t>2/17收到</t>
  </si>
  <si>
    <t>2/17-进口商贴纸</t>
  </si>
  <si>
    <t>日期码格式：ZURU INC(BVI) 标准格式 日期：按实际生产日期 
Packaging Info: 
 9283：MA 1L 收缩膜+进口商贴纸(翻PO4500142549)； MA 说明书/指南（如有）；
Remark: 标准配比</t>
  </si>
  <si>
    <t>Ann Zhang</t>
  </si>
  <si>
    <t>94654-3.27</t>
  </si>
  <si>
    <t>168 Marketing</t>
  </si>
  <si>
    <t>菲律宾</t>
  </si>
  <si>
    <t>2025-0012</t>
  </si>
  <si>
    <t>4500158665-30</t>
  </si>
  <si>
    <t>3/26出</t>
  </si>
  <si>
    <t>2/26收到</t>
  </si>
  <si>
    <t>日期码格式：ZURU INC(BVI) 标准格式 日期：按实际生产日期
Packaging Info: MA UPC包装，无需加贴纸
Remark:
9283-Kitten:Bunny:Puppy:Cow:Elephant:Flamingo=1:1:1:1:1:1;</t>
  </si>
  <si>
    <t>94779-4.16</t>
  </si>
  <si>
    <t>PRO &amp; PACIFIC CO.,LTD</t>
  </si>
  <si>
    <t>台湾</t>
  </si>
  <si>
    <t>ZU25021703</t>
  </si>
  <si>
    <t>4500158315-20</t>
  </si>
  <si>
    <t>2/27收到</t>
  </si>
  <si>
    <t>3/3-进口商贴纸</t>
  </si>
  <si>
    <t>日期码格式：ZURU INC(BVI) 标准格式 日期：按实际生产日期 
Packaging Info: MA 1L UPC包装+1张进口商贴纸,贴纸信息待提供
Remark: 
9283-Kitten:Bunny:Puppy:Cow:Elephant:Flamingo=1:1:1:1:1:1;</t>
  </si>
  <si>
    <t>94630-3.25</t>
  </si>
  <si>
    <t>TJX UK:
PO#50565111</t>
  </si>
  <si>
    <t>4500157606-10</t>
  </si>
  <si>
    <t>4/2出</t>
  </si>
  <si>
    <t>2/24收到</t>
  </si>
  <si>
    <t>3/10-客供价格贴纸</t>
  </si>
  <si>
    <t>日期码格式：ZURU INC(BVI) 标准格式 日期：按实际生产日期 
Packaging Info: TJX UK: PO#50565111(9283)
 9283: MA 3L(9Lwarning) 最新EAN包装+1张客供价格贴纸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</si>
  <si>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94686-4.1</t>
  </si>
  <si>
    <t>TJX
Europe-DE:
PO#55565230</t>
  </si>
  <si>
    <t>4500157593-10</t>
  </si>
  <si>
    <t>2/13-波兰警示语</t>
  </si>
  <si>
    <t>日期码格式：ZURU INC(BVI) 标准格式 日期：按实际生产日期 
Packaging Info: TJX Europe-DE: PO#55565230(9283)
 9283: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</si>
  <si>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94685-4.1</t>
  </si>
  <si>
    <t>FB12916</t>
  </si>
  <si>
    <t>4500157986-10</t>
  </si>
  <si>
    <t>MEC326-9283-S001</t>
  </si>
  <si>
    <t>美人鱼6只装4款混装展示架（9298+92104+9296+9283)</t>
  </si>
  <si>
    <t>华登混装</t>
  </si>
  <si>
    <t>4/1出</t>
  </si>
  <si>
    <t>2/19收到</t>
  </si>
  <si>
    <t>2/24-客户EAN条码贴</t>
  </si>
  <si>
    <t>DG20250401</t>
  </si>
  <si>
    <t>日期码格式：ZURU INC(BVI) 标准格式 日期：按实际生产日期 
Packaging Info: MEC326
 58pcs一个展示架 ，展示架客版artwork,工厂自行订购展示架组装出货。
 9298, 92104,9296,9283：MA 最新版1L配套包装+客户EAN条码贴一张覆盖ZURU 原条码，请先检查包装条码是否正确再安排做货;
 EAN条码如下
 9280 5056296035542
 9298 5056296044834
 92104 5056296044865
 9296 5056296039526
 9283 5056296033685
展示架前挡板每个价格位需贴两个透明胶点（直径22-23mm），胶点需贴在12.5~14cm长度内的两端{客户价格贴大小 ：14.5x 4cm}
 展示架头卡位右上角以及两侧面的右上角 ，也需加胶点 ，四个胶点分别落在A4 纸尺寸4个角落范围内 { 客户价格贴大小为A4 纸大小：210mm×297mm}，请考虑
 客户的A4价格贴应离展示架两边缘位 1cm ,胶点距离A4角位的边缘 1cm。
 详细见放单邮件rendering图示添加 ，做大货前胶点位置必须由ZURU 跟单确认后方可做大货 （如未经复核直接做货，有问题需要返工由工厂承担），QC 验货一定
 要多加留意 ，如未按要求加到目的地会被退货 。
 为防止贴上去的胶点移位，需要在展示架包裹一层薄膜 ，需要拍照确认再安排。
Remark: 订单必须经过ZURU QC验货并且通过后方可出货。
 请务必准时交货，促销单延期会有巨额罚款。
包装和外箱日期码请按2025年4月01号打，这样可以所有产品日期一致，按ZURU格式即可。
 如对此单有疑问，请找PM Lucy Li, 跟单 Sandy Shao 核实
 每款需要提供2pcs 大货样，不需要展示架
 订单对应客户2个PO号 ，备注有显示 ，注意分开做货/验货/装柜 ，混装有罚款。</t>
  </si>
  <si>
    <t>94789-4.18</t>
  </si>
  <si>
    <t>FB12917</t>
  </si>
  <si>
    <t>4500157986-20</t>
  </si>
  <si>
    <t>4500159032-30</t>
  </si>
  <si>
    <t>4/3第三方自检</t>
  </si>
  <si>
    <t>4/7出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</si>
  <si>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</si>
  <si>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ZB00106-4.7</t>
  </si>
  <si>
    <t>4500159032-40</t>
  </si>
  <si>
    <t>DM LLC</t>
  </si>
  <si>
    <t>俄罗斯联邦</t>
  </si>
  <si>
    <t>出Bekasovo 2</t>
  </si>
  <si>
    <t>4500151398-30</t>
  </si>
  <si>
    <t>11/19收到</t>
  </si>
  <si>
    <t>11/25收到 进口商贴纸+ EAN条码贴纸</t>
  </si>
  <si>
    <t>日期码格式：外包装/外箱不要打ZURU标准日期码 日期：按实际生产日期
Packaging Info: 注意 ：外包装 (指: 收缩膜/彩卡/铝箔袋/挂卡/PDQ) /外箱不要打ZURU标准日期码！胶件可以打日期码。
9283: 1L MA 收缩膜 or 彩卡 + 进口商贴纸+ EAN条码贴纸，MA 指南 /说明书（如有）；
Remark: 标准配比
出BEKASOVO 2 和Ural 2 个港口；
货期不可延， 有罚金 。</t>
  </si>
  <si>
    <t>94894-4.30</t>
  </si>
  <si>
    <t>出Ural</t>
  </si>
  <si>
    <t>4500151398-110</t>
  </si>
  <si>
    <t>4/8出</t>
  </si>
  <si>
    <t>CatchMe.lk (PVT) LTD</t>
  </si>
  <si>
    <t>斯里兰卡</t>
  </si>
  <si>
    <t>4500159239-40</t>
  </si>
  <si>
    <t>4/18出</t>
  </si>
  <si>
    <t>3/5收到</t>
  </si>
  <si>
    <t>日期码格式：ZURU INC(BVI) 标准格式 日期：按实际生产日期
Packaging Info: MA PKG, 优先1L(UPC 条码）
Remark: 出斯里兰卡，需送货到汕头仓库</t>
  </si>
  <si>
    <t>94841-4.25</t>
  </si>
  <si>
    <t>4500159922-10</t>
  </si>
  <si>
    <t>4/14第三方（自检)</t>
  </si>
  <si>
    <t>日期码格式：ZURU DGYYYYMMDD CHINA(日期避开周末和法定节假日即可） 日期：按实际生产日期
Packaging Info:
Remark: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</si>
  <si>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ZB00131-4.15</t>
  </si>
  <si>
    <t>4500159922-20</t>
  </si>
  <si>
    <t>4/15出</t>
  </si>
  <si>
    <t>ZB00169-4.23  ZB00174-4.24</t>
  </si>
  <si>
    <t>4500159922-30</t>
  </si>
  <si>
    <t>4/25出</t>
  </si>
  <si>
    <t>ZB00148-4.17</t>
  </si>
  <si>
    <t>4500159192-10</t>
  </si>
  <si>
    <t>翻单： 4500155924</t>
  </si>
  <si>
    <t>中文3C贴纸+中文布标(可用布标贴纸)+年龄贴纸翻单： 4500155924</t>
  </si>
  <si>
    <t>3/10-芯片贴纸</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</si>
  <si>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4500155924
6. 40 50 60行 取消客供芯片码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</si>
  <si>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</si>
  <si>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94722-4.8</t>
  </si>
  <si>
    <t>Master Gift Import, S.L.U.</t>
  </si>
  <si>
    <t>西班牙</t>
  </si>
  <si>
    <t>4500159436-10</t>
  </si>
  <si>
    <t>3/10收到</t>
  </si>
  <si>
    <t>3/10收到西班牙环保标贴纸</t>
  </si>
  <si>
    <t>日期码格式：ZURU INC(BVI) 标准格式 日期：按实际生产日期
Packaging Info:
Remark: 9283:最新MA_C_3L(EAN)版本包装+一张西班牙环保标贴纸；</t>
  </si>
  <si>
    <t>Mary Zhong</t>
  </si>
  <si>
    <t>94764-4.14</t>
  </si>
  <si>
    <t>PRICE SMART INC.</t>
  </si>
  <si>
    <t>4500156451-10</t>
  </si>
  <si>
    <t>9283SLT-S001</t>
  </si>
  <si>
    <t>美人鱼托盘100pcs装</t>
  </si>
  <si>
    <t>4/18第三方</t>
  </si>
  <si>
    <t>4/23出</t>
  </si>
  <si>
    <t>2/14收到</t>
  </si>
  <si>
    <t>3/11-UPC贴纸+TOY LABEL 贴纸</t>
  </si>
  <si>
    <t>DG20250410</t>
  </si>
  <si>
    <t>日期码格式：DG20250410 日期：按实际生产日期
Packaging Info: 9283:MA 3L 包装+UPC贴纸+TOY LABEL 贴纸+箱唛+客版托盘
Remark: 1.9283:5W*5D*4H=100pcs/SLT
2.产品和包装上要印tracking code，指定日期码格式：DG20250410
3.整柜出货，如果最终尺寸变大或者变小超过5%以上，一定要及时通知我们，否则所产生的一切额外费用由工厂承担。
4.需要BV验货OK后才可以出货
5.验货前2周（03/27)提供2套大货样，要给客户确认。</t>
  </si>
  <si>
    <t>94844-4.28</t>
  </si>
  <si>
    <t>Walmart Central America-HN</t>
  </si>
  <si>
    <t>洪都拉斯</t>
  </si>
  <si>
    <t>4500158415-70</t>
  </si>
  <si>
    <t>4/29出</t>
  </si>
  <si>
    <t>3/24-使用双坑外箱</t>
  </si>
  <si>
    <t>UPC条码贴纸+进口商贴纸翻4500158302</t>
  </si>
  <si>
    <t>日期码格式：ZURU INC(BVI) 标准格式 日期：按实际生产日期 
 8. 9283: MA 3L EAN包装+UPC条码贴纸+MA 多语收藏指南+MA 3L try me sticker+进口商贴纸+箱唛
 以上所有贴纸翻单PO4500158302
Remark: 1.使用双坑外箱
 2.请注意产品包装条形码必须是UPC
 3.无第三方验货
 9. 9283：Kitten:Bunny:Puppy:Cow:Elephant:Flamingo=1:1:1:1:1:1;</t>
  </si>
  <si>
    <t>94891-4.30</t>
  </si>
  <si>
    <t>萨尔瓦多</t>
  </si>
  <si>
    <t>4500158302-120</t>
  </si>
  <si>
    <t>4/28出</t>
  </si>
  <si>
    <t>3/21-UPC条码贴纸+进口商贴纸</t>
  </si>
  <si>
    <t>日期码格式：ZURU INC(BVI) 标准格式 日期：按实际生产日期
Packaging Info: 
 8. 9283: MA 3L EAN包装+UPC条码贴纸+MA 多语收藏指南+MA 3L try me sticker+进口商贴纸+箱唛
Remark: 1.使用双坑外箱
 2.请注意产品包装条形码必须是UPC
 3.无第三方验货
 9. 9283：Kitten:Bunny:Puppy:Cow:Elephant:Flamingo=1:1:1:1:1:1;</t>
  </si>
  <si>
    <t>94865-4.28</t>
  </si>
  <si>
    <t>Walmart Central America-GT</t>
  </si>
  <si>
    <t>危地马拉</t>
  </si>
  <si>
    <t>4500158447-100</t>
  </si>
  <si>
    <t>日期码格式：ZURU INC(BVI) 标准格式 日期：按实际生产日期 
Packaging Info: 
 8. 9283: MA 3L EAN包装+UPC条码贴纸+MA 多语收藏指南+MA 3L try me sticker+进口商贴纸+箱唛
 以上所有贴纸翻单PO4500158302
Remark: 1.使用双坑外箱
 2.请注意产品包装条形码必须是UPC
 3.无第三方验货
9283：Kitten:Bunny:Puppy:Cow:Elephant:Flamingo=1:1:1:1:1:1;</t>
  </si>
  <si>
    <t>94923-5.5</t>
  </si>
  <si>
    <t>Walmart Central America-CR</t>
  </si>
  <si>
    <t>4500158535-110</t>
  </si>
  <si>
    <t>日期码格式：ZURU INC(BVI) 标准格式 日期：按实际生产日期 
Packaging Info: 
 8. 9283: MA 3L EAN包装+UPC条码贴纸+MA 多语收藏指南+MA 3L try me sticker+进口商贴纸+箱唛
 以上贴纸翻单PO 4500158302
Remark: 1.使用双坑外箱
 2.请注意产品包装条形码必须是UPC
 3.无第三方验货
9283：Kitten:Bunny:Puppy:Cow:Elephant:Flamingo=1:1:1:1:1:1;</t>
  </si>
  <si>
    <t>94882-4.29</t>
  </si>
  <si>
    <t>Walmart Central America-NI</t>
  </si>
  <si>
    <t>尼加拉瓜</t>
  </si>
  <si>
    <t>4500158358-50</t>
  </si>
  <si>
    <t>日期码格式：ZURU INC(BVI) 标准格式 日期：按实际生产日期 
Packaging Info: 
 4. 9283: MA 3L EAN包装+UPC条码贴纸+MA 多语收藏指南+MA 3L try me sticker+进口商贴纸+箱唛
 所有贴纸翻单PO 4500158302
Remark: 1.使用双坑外箱
 2.请注意产品包装条形码必须是UPC
 3.无第三方验货
 5. 9283：Kitten:Bunny:Puppy:Cow:Elephant:Flamingo=1:1:1:1:1:1;</t>
  </si>
  <si>
    <t>94934-5.6</t>
  </si>
  <si>
    <t>5C25BYJU</t>
  </si>
  <si>
    <t>4500158946-60</t>
  </si>
  <si>
    <t>4/20-4/26出</t>
  </si>
  <si>
    <t>3/3收到</t>
  </si>
  <si>
    <t>3/21-客供外箱贴纸</t>
  </si>
  <si>
    <t>日期码格式：ZURU INC(BVI) 标准格式 日期：按实际生产日期
Packaging Info: 出口加拿大，包装需要至少2/3L UPC版，无硼版本。
 #9283: MA 3L入邮包盒，9283A邮包盒图稿跟翻单#4500135161,跟Amazon US合并订购物料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</si>
  <si>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</si>
  <si>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94861-4.28</t>
  </si>
  <si>
    <t>3KQEXGPI</t>
  </si>
  <si>
    <t>4500158946-70</t>
  </si>
  <si>
    <t>4RNCC9IC</t>
  </si>
  <si>
    <t>4500158946-80</t>
  </si>
  <si>
    <t>41FWQX2X</t>
  </si>
  <si>
    <t>4500158946-90</t>
  </si>
  <si>
    <t>4500160123-10</t>
  </si>
  <si>
    <t>翻单：  4500159192</t>
  </si>
  <si>
    <t>日期码格式：ZURU INC(BVI) 标准格式 日期：按实际生产日期
Packaging Info: 物料要求 SKU 所有款号务必使用带有CCC 标识的AW
1 9283 MA+中文3C贴纸 +中文收藏指南+中文布标(可用布标贴纸)+中文领养卡 +年龄贴纸 翻单： 4500159192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</si>
  <si>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94785-4.17</t>
  </si>
  <si>
    <t>6JHET6EA</t>
  </si>
  <si>
    <t>4500158946-100</t>
  </si>
  <si>
    <t>9283H-S002</t>
  </si>
  <si>
    <t>火烈鸟（邮包盒）</t>
  </si>
  <si>
    <t>9283H邮包盒翻单4500141223</t>
  </si>
  <si>
    <t>9283H-S002-3L-1</t>
  </si>
  <si>
    <t>3OAHOL5M</t>
  </si>
  <si>
    <t>4500158946-110</t>
  </si>
  <si>
    <t>8MWNOUNA</t>
  </si>
  <si>
    <t>4500158946-120</t>
  </si>
  <si>
    <t>Distruibuciones Universales, SA - D</t>
  </si>
  <si>
    <t>4500160421-40</t>
  </si>
  <si>
    <t>4/22出</t>
  </si>
  <si>
    <t>3/20收到</t>
  </si>
  <si>
    <t>进口商贴纸翻4500130336</t>
  </si>
  <si>
    <t>日期码格式：ZURU INC(BVI) 标准格式 日期：按实际生产日期
Packaging Info: 
9283：MA 3L EAN包装+UPC贴纸+MA 多语收藏指南+箱唛
Remark:
9283: Kitten:Bunny:Puppy:Cow:Elephant:Flamingo=1:1:1:1:1:1;</t>
  </si>
  <si>
    <t>94795-4.18</t>
  </si>
  <si>
    <t>Centro Atacadista Bar􀃣o Ltda</t>
  </si>
  <si>
    <t>巴西</t>
  </si>
  <si>
    <t>FUN 083/25</t>
  </si>
  <si>
    <t>4500160722-10</t>
  </si>
  <si>
    <t>3/31收到</t>
  </si>
  <si>
    <t>4/3-进口商贴纸</t>
  </si>
  <si>
    <t>日期码格式：ZURU INC(BVI) 标准格式 日期：按实际生产日期
Packaging Info: MA 1L包装+进口商贴纸+箱唛
Remark: 9283：Kitten:Bunny:Puppy:Cow:Elephant:Flamingo=1:1:1:1:1:1;</t>
  </si>
  <si>
    <t>94922-5.5</t>
  </si>
  <si>
    <t>WOOLWORTH TRADING S.A. DE C.V.</t>
  </si>
  <si>
    <t>25/220 CT</t>
  </si>
  <si>
    <t>4500159248-10</t>
  </si>
  <si>
    <t>3/14收到</t>
  </si>
  <si>
    <t>日期码格式：ZURU INC(BVI) 标准格式 日期：按实际生产日期
Packaging Info: 1. 9283: MA 3L EAN包装+MA 5L收藏指南+MA 3L try me sticker+进口商贴纸+箱唛, 贴纸翻单PO4500130336
Remark: 1. 此单需提交自检报告给客户确认，待客户确认放货后，才允许出货。
2. 9283：Kitten:Bunny:Puppy:Cow:Elephant:Flamingo=1:1:1:1:1:1;</t>
  </si>
  <si>
    <t>94857-4.28</t>
  </si>
  <si>
    <t>25/196 CC</t>
  </si>
  <si>
    <t>4500159234-10</t>
  </si>
  <si>
    <t>94856-4.28</t>
  </si>
  <si>
    <t>25/223 CVH</t>
  </si>
  <si>
    <t>4500159263-10</t>
  </si>
  <si>
    <t>4/27出</t>
  </si>
  <si>
    <t>94859-4.28</t>
  </si>
  <si>
    <t>25/222 CL</t>
  </si>
  <si>
    <t>4500159262-10</t>
  </si>
  <si>
    <t>94858-4.28</t>
  </si>
  <si>
    <t>25/221 CM</t>
  </si>
  <si>
    <t>4500159256-10</t>
  </si>
  <si>
    <t>94873-4.29</t>
  </si>
  <si>
    <t>4500160289-30</t>
  </si>
  <si>
    <t>4/28-4/30出</t>
  </si>
  <si>
    <t>3/25收到</t>
  </si>
  <si>
    <t>3/31防盗贴纸+4/7外箱贴纸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</si>
  <si>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</si>
  <si>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94886-4.30</t>
  </si>
  <si>
    <t>4500160284-30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</si>
  <si>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</si>
  <si>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94887-4.30</t>
  </si>
  <si>
    <t>Babyhouse</t>
  </si>
  <si>
    <t>乌兹别克斯坦</t>
  </si>
  <si>
    <t>4500159866-60</t>
  </si>
  <si>
    <t>4/24出</t>
  </si>
  <si>
    <t>3/13收到</t>
  </si>
  <si>
    <t>3/14-进口商贴纸</t>
  </si>
  <si>
    <t>日期码格式：ZURU INC(BVI) 标准格式 日期：按实际生产日期 
Packaging Info: 9283 : 1L MA 收缩膜 + 进口商贴纸 ; MA 说明书/指南（如有）;
Remark: 标准配比</t>
  </si>
  <si>
    <t>94879-4.29</t>
  </si>
  <si>
    <t>WALMART INC.</t>
  </si>
  <si>
    <t>4500161384-50</t>
  </si>
  <si>
    <t>4/25第三方（自检）</t>
  </si>
  <si>
    <t>外箱四面印刷RFID箱唛，正唛左前下角印刷ITF-14格式条码的艾利替代标箱唛，只印刷正唛一面,ZURU logo跟MADE IN CHINA四面右下角印刷</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</si>
  <si>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</si>
  <si>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ZB00189-4.28</t>
  </si>
  <si>
    <t>CORPORACION FAVORITA C.A</t>
  </si>
  <si>
    <t>厄瓜多尔</t>
  </si>
  <si>
    <t>25-2101100JEC</t>
  </si>
  <si>
    <t>4500160092-130</t>
  </si>
  <si>
    <t>5/12出</t>
  </si>
  <si>
    <t>3/24收到</t>
  </si>
  <si>
    <t>4/15-UPC贴纸+进口商贴纸</t>
  </si>
  <si>
    <t>日期码格式：2025-05</t>
  </si>
  <si>
    <t>日期码格式：2025-05 日期： 
Packaging Info: 
 9283：MA 3L EAN包装+UPC贴纸+MA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9283: Kitten:Bunny:Puppy:Cow:Elephant:Flamingo=1:1:1:1:1:1;</t>
  </si>
  <si>
    <t>KAUFHAUS MARTIN STOLZ GMBH</t>
  </si>
  <si>
    <t>25-179</t>
  </si>
  <si>
    <t>4500160738-50</t>
  </si>
  <si>
    <t>5/15出</t>
  </si>
  <si>
    <t>3/27收到</t>
  </si>
  <si>
    <t>4/19-客供价格贴纸</t>
  </si>
  <si>
    <t>日期码格式：ZURU INC(BVI) 标准格式 日期：按实际生产日期
Packaging Info:
9283: 最新MA 3L+9L警语 EAN收缩膜（4894680026841）+最新MA 5L+9L收藏指南+最新MA 5L警语袋子+MA 水洗标/贴纸/Certificate+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</si>
  <si>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Joyce Chen</t>
  </si>
  <si>
    <t>94961-5.10</t>
  </si>
  <si>
    <t>4500161002-20</t>
  </si>
  <si>
    <t>4/28-4/29出</t>
  </si>
  <si>
    <t>翻4500160123</t>
  </si>
  <si>
    <t>中文3C贴纸+中文布标(可用布标贴纸)+年龄贴纸翻4500160123</t>
  </si>
  <si>
    <t>日期码格式：ZURU INC(BVI) 标准格式 日期：按实际生产日期
Packaging Info: 物料要求 SKU 所有款号务必使用带有CCC 标识的AW
1 9283 MA+中文3C贴纸 +中文收藏指南+中文布标(可用布标贴纸)+中文领养卡 +年龄贴纸 翻单： 4500160123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</si>
  <si>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94854-4.28</t>
  </si>
  <si>
    <t>4500161384-10</t>
  </si>
  <si>
    <t>5/17出</t>
  </si>
  <si>
    <t>ZB00266-5.16</t>
  </si>
  <si>
    <t>4500161384-20</t>
  </si>
  <si>
    <t>5/9出</t>
  </si>
  <si>
    <t>ZB00215-5.9</t>
  </si>
  <si>
    <t>4500161384-30</t>
  </si>
  <si>
    <t>ZB00216-5.9</t>
  </si>
  <si>
    <t>4500161384-40</t>
  </si>
  <si>
    <t>ZB00217-5.9</t>
  </si>
  <si>
    <t>Andrés Dauhajre SA (LA NOVIA DE VIL</t>
  </si>
  <si>
    <t>多米尼加共和国</t>
  </si>
  <si>
    <t>4500160345-60</t>
  </si>
  <si>
    <t>3/31-UPC贴纸</t>
  </si>
  <si>
    <t>日期码格式：ZURU INC(BVI) 标准格式 日期：按实际生产日期
Packaging Info:
9283：MA 3L EAN包装+UPC贴纸+MA 多语收藏指南+箱唛
Remark: 
9283: Kitten:Bunny:Puppy:Cow:Elephant:Flamingo=1:1:1:1:1:1;</t>
  </si>
  <si>
    <t>94881-4.29</t>
  </si>
  <si>
    <t>HARVEY WHOLESALE LTD</t>
  </si>
  <si>
    <t>4500162561-20</t>
  </si>
  <si>
    <t>4/3收到</t>
  </si>
  <si>
    <t>日期码格式：ZURU INC(BVI) 标准格式 日期：按实际生产日期
Packaging Info:
#9283：Kitten:Bunny:Puppy:Cow:Elephant:Flamingo=1:1:1:1:1:1;
Remark: MA UPC 英语包装（优先1L英语版本,或者3L/L含英语即可</t>
  </si>
  <si>
    <t>4500162541-20</t>
  </si>
  <si>
    <t>取消芯片贴纸</t>
  </si>
  <si>
    <t>翻单： 4500161002</t>
  </si>
  <si>
    <t>中文3C贴纸+中文布标(可用布标贴纸)+年龄贴纸 翻单： 4500161002</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</si>
  <si>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4500161002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</si>
  <si>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4500163341-10</t>
  </si>
  <si>
    <t>5/13第三方</t>
  </si>
  <si>
    <t>5/21出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</si>
  <si>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</si>
  <si>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ZB00319-5.24</t>
  </si>
  <si>
    <t>4500163341-20</t>
  </si>
  <si>
    <t>ZB00267/5.16</t>
  </si>
  <si>
    <t>4500163341-30</t>
  </si>
  <si>
    <t>5/19出</t>
  </si>
  <si>
    <t>4500163341-40</t>
  </si>
  <si>
    <t>4500163341-50</t>
  </si>
  <si>
    <t>5/13出</t>
  </si>
  <si>
    <t>4500162692-20</t>
  </si>
  <si>
    <t>5/21-5/23出</t>
  </si>
  <si>
    <t>4/17收到</t>
  </si>
  <si>
    <t>4/25-防盗贴纸4/28-外箱贴纸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</si>
  <si>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</si>
  <si>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4500162690-30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</si>
  <si>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</si>
  <si>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Amazon UK:
7BKTWTAI</t>
  </si>
  <si>
    <t>4500162456-20</t>
  </si>
  <si>
    <t>5/26出</t>
  </si>
  <si>
    <t>空白外箱（加印带Zuru字样的最新logo，除了邮包盒直接做外箱的产品） + SSCC LABEL一张, 无箱唛，MADE IN CHINA 外箱只印一正一侧。</t>
  </si>
  <si>
    <t>UPC+IT环保标翻4500139011</t>
  </si>
  <si>
    <t>4/21收到</t>
  </si>
  <si>
    <t>日期码格式：ZURU INC(BVI) 标准格式 日期：按实际生产日期
Packaging Info: Amazon UK(71126/9283D)/FR(9543BD)/DE(92104GH/9543BD)
2. 9283D：9283D Plush Medium Puppy, 4pcs/ctn,no inner; MA 3L(9L warning)C版(EAN版本)+1张贴纸（1张UPC#+IT环保标，参考翻单PO#4500139011)+MA 3L B t
ry me sticker+MA B布标+MA B Mermaid Surprise sticker+MA 5L(9L warning) C treasure map+MA 5L(9L warning)C收藏指南+MA 5L B证书+MA 5L B bubble wate
r polybag+MA 5L B Accessories bag+MA 5L(23L warning) B magic sand accessories bag;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</si>
  <si>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TAS IMPORT AS(Lekekassen)</t>
  </si>
  <si>
    <t>挪威</t>
  </si>
  <si>
    <t>4500161075-110</t>
  </si>
  <si>
    <t>9283-S005</t>
  </si>
  <si>
    <t>美人鱼4只装（无闪粉）</t>
  </si>
  <si>
    <t>5/28出</t>
  </si>
  <si>
    <t>4/11收到</t>
  </si>
  <si>
    <t>4/11-挪威瑞典语警告语/客人进口商贴纸做成一张贴纸</t>
  </si>
  <si>
    <t>日期码格式：ZURU INC(BVI) 标准格式 日期：按实际生产日期
Packaging Info: 
11. 9283: MA_C_3L-9L warning (EAN)版收缩膜+挪威&lt;(&gt;&amp;&lt;)&gt;瑞典语警告语/客人进口商贴纸做成一张贴纸+MA_C_5L(warning 9L)收藏指南+MA_C_5L(warning 9L)藏
宝图+Try me sticker_MA_B_3L+MA布标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9283:4894680026841</t>
  </si>
  <si>
    <t>Sheba</t>
  </si>
  <si>
    <t>9283-S005-3L</t>
  </si>
  <si>
    <t>4500162541-30</t>
  </si>
  <si>
    <t>取消芯片贴纸                                                                                                                                                                               取消外箱贴纸</t>
  </si>
  <si>
    <t>5/16出</t>
  </si>
  <si>
    <t>NUEVOS ALMACENES, S.A.</t>
  </si>
  <si>
    <t>4500162922-30</t>
  </si>
  <si>
    <t>5/16第三方</t>
  </si>
  <si>
    <t>5/30出</t>
  </si>
  <si>
    <t>4/15收到</t>
  </si>
  <si>
    <t>4/8-UPC贴纸</t>
  </si>
  <si>
    <t>日期码格式：ZURU INC(BVI) 标准格式 日期：按实际生产日期
Packaging Info:9283:MA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</si>
  <si>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t>COMERCIALIZADORA MEXICO AMERICANA S</t>
  </si>
  <si>
    <t>4500160573-90</t>
  </si>
  <si>
    <t>美人鱼6只装(干燥剂）</t>
  </si>
  <si>
    <t>5/29出</t>
  </si>
  <si>
    <t>进口商贴纸翻4500141146</t>
  </si>
  <si>
    <t>例如(LOTDG20240920)</t>
  </si>
  <si>
    <t>日期码格式：LOTDGYYYYMMDD 日期：按实际生产日期
Packaging Info:
 7. 9283: MA 3L EAN包装+进口商贴纸(已含UPC条码内容）+MA 5L收藏指南+箱唛，进口商贴纸翻单PO4500141146
Remark: 1. 客版日期码要求：LOT+ZURU标准日期码格式。东莞生产的格式：LOTDGYYYYMMDD, DG是东莞拼音首字母，
YYYYMMDD是实际的年月日，例如(LOTDG20240920)
 9283: Kitten:Bunny:Puppy:Cow:Elephant:Flamingo=1:1:1:1:1:1;
 4. 此单有第三方监柜，至少多备一套完整的物料用于监柜，请多备料。
 5.WM墨西哥防霉的新要求:货物必须在出货主箱和集装箱中按要求放置干燥剂，干燥剂指定品牌干霸
 9283：需要在每箱放入10小包干燥剂，每包干燥剂重量2g
 如走柜货等loading plan 确认后再通知集装箱干燥剂数量
 此单兴信将安排8*40HC柜子，每个HC需要放置10包干燥剂，每包干燥剂1KG</t>
  </si>
  <si>
    <t>CORPORACION EL ROSADO S.A. 9</t>
  </si>
  <si>
    <t>2025-0344</t>
  </si>
  <si>
    <t>4500163838-20</t>
  </si>
  <si>
    <t>5/7-进口上贴纸含UPC贴纸</t>
  </si>
  <si>
    <t>日期码格式：ZURU INC(BVI) 标准格式 日期：按实际生产日期
Packaging Info:
9283：MA 3L EAN包装+UPC贴纸+进口商贴纸（进口商贴纸和 upc 贴纸合并为一张）+箱唛
Remark: 
9283：Kitten:Bunny:Puppy:Cow:Elephant:Flamingo=1:1:1:1:1:1</t>
  </si>
  <si>
    <t>LLC SALUS</t>
  </si>
  <si>
    <t>4500162283-80</t>
  </si>
  <si>
    <t>4/24收到</t>
  </si>
  <si>
    <t>5/6进口商贴纸+ QR code贴纸</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</si>
  <si>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9283 ： 1L MA 包装+ 进口商贴纸（含客户EAN条码）+ QR code贴纸（要求每1PCS 的QR 不一样）， MA 指南；
Remark: 标准配比，出厂价</t>
  </si>
  <si>
    <t>Ann</t>
  </si>
  <si>
    <t>JRC Toys</t>
  </si>
  <si>
    <t>040325-T</t>
  </si>
  <si>
    <t>4500163912-40</t>
  </si>
  <si>
    <t>6/13出</t>
  </si>
  <si>
    <t>4/16收到</t>
  </si>
  <si>
    <t>5/7-UPC贴纸</t>
  </si>
  <si>
    <t>日期码格式： 标准格式 日期：按实际生产日期
Packaging Info:
9283 .MA 多语EAN 版本+UPC贴纸 . UPC 193052050106
Remark: 出加拿大
Zuru验货.日期跟踪码：产品外包装及产品本身都必须有日期跟踪码，ZURU标准格式日期码</t>
  </si>
  <si>
    <t>TESCO CE</t>
  </si>
  <si>
    <t>斯洛代克</t>
  </si>
  <si>
    <t>999-43824</t>
  </si>
  <si>
    <t>4500162935-30</t>
  </si>
  <si>
    <t>9283-S002</t>
  </si>
  <si>
    <t>6/9-6/13出</t>
  </si>
  <si>
    <t>4/23收到</t>
  </si>
  <si>
    <t>四国语言警告语贴纸翻4500100986</t>
  </si>
  <si>
    <t>日期码格式：ZURU INC(BVI) 标准格式 日期：按实际生产日期
Packaging Info: 
"9283：MA最新版1L包装+一张四国语言警告语贴纸( Czech-Hugarian-Polish-Slovak)，贴纸跟贴纸位置图翻4500100986，　MA3L C版藏宝图+MA证书/纸袋+MA布标
UPC#193052050106，请先检查包装条码是否正确再安排做货;
比例：Kitten:Bunny:Puppy:Cow:Elephant:Flamingo=1:1:1:1:1:1;"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</si>
  <si>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4500163864-10</t>
  </si>
  <si>
    <t>6/4-6/6出</t>
  </si>
  <si>
    <t>4/29收到</t>
  </si>
  <si>
    <t>5/12-防盗贴纸+外箱贴纸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</si>
  <si>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</si>
  <si>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4500163861-10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</si>
  <si>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</si>
  <si>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2025-0823</t>
  </si>
  <si>
    <t>4500164898-20</t>
  </si>
  <si>
    <t>6/9出</t>
  </si>
  <si>
    <t>4/25收到</t>
  </si>
  <si>
    <t>5/9-进口商贴纸+5/15-UPC贴纸</t>
  </si>
  <si>
    <t>日期码格式：ZURU INC(BVI) 标准格式 日期：按实际生产日期
Packaging Info:
 9283：MA 3L EAN包装+UPC贴纸+进口商贴纸+箱唛
Remark: 
9283：Kitten:Bunny:Puppy:Cow:Elephant:Flamingo=1:1:1:1:1:1;</t>
  </si>
  <si>
    <t>MEIJER DISTRIBUTION, INC.</t>
  </si>
  <si>
    <t>4500164950-20</t>
  </si>
  <si>
    <t>6/3出</t>
  </si>
  <si>
    <t>4/28收到</t>
  </si>
  <si>
    <t>日期码格式：ZURU INC(BVI) 标准格式 日期：
Packaging Info: 1. MA 1L 包装
2. 客人指定箱唛排版
Remark: 出货前 Zuru QC 验货</t>
  </si>
  <si>
    <t>Cherie Li</t>
  </si>
  <si>
    <t>ZB00392-6.3</t>
  </si>
  <si>
    <t>4500164979-20</t>
  </si>
  <si>
    <t>ZB00939-6.3</t>
  </si>
  <si>
    <t>Lekia AB</t>
  </si>
  <si>
    <t>瑞典</t>
  </si>
  <si>
    <t>156653-2</t>
  </si>
  <si>
    <t>4500164226-10</t>
  </si>
  <si>
    <t>6/4出</t>
  </si>
  <si>
    <t>5/9-警告语/进口商贴纸</t>
  </si>
  <si>
    <t>日期码格式：ZURU INC(BVI) 标准格式 日期：按实际生产日期
Packaging Info: 9283-S001:MA_C_3L-9L warning (EAN)版收缩膜+MA_C_5L(warning 9L)收藏指南+MA_C_5L(warning 9L)藏宝图+Try me sticker_MA_B_3L+MA布标+警告语/进口商贴纸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9283-S001//100-64109553//4894680026841</t>
  </si>
  <si>
    <t>Luna Lin</t>
  </si>
  <si>
    <t>4500166073-20</t>
  </si>
  <si>
    <t>6/17第三方 自检</t>
  </si>
  <si>
    <t>6/25出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</si>
  <si>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
 注：#0917251807 9283因报告过期需重新做测试，因数量较少，需整单完成，抽板时间为6/3</t>
  </si>
  <si>
    <t xml:space="preserve"> Effy Li</t>
  </si>
  <si>
    <t>Amazon Mexico, S. DE R.L. DE CV</t>
  </si>
  <si>
    <t>5K7XXSZF</t>
  </si>
  <si>
    <t>4500163057-20</t>
  </si>
  <si>
    <t>9283B-S002</t>
  </si>
  <si>
    <t>多备1pcs 兼柜</t>
  </si>
  <si>
    <t>6/11出</t>
  </si>
  <si>
    <t>空白外箱加印ZURU Logo+MADE IN CHINA+SSCC LABEL(客供贴纸），无shipping mark,日期使用ZURU 标准版本。SSCC Label显示的是客人自己的item#</t>
  </si>
  <si>
    <t>5/13-进口商贴纸</t>
  </si>
  <si>
    <t>预计5-21收到外箱贴纸</t>
  </si>
  <si>
    <t>邮包盒图稿跟返单4500135161</t>
  </si>
  <si>
    <t>日期码格式：ZURU INC(BVI) 标准格式 日期：按实际生产日期
Packaging Info:
2. 9283B: MA 3L包装入邮包盒， 邮包盒图稿跟返单4500135161+MA 3L try me sticker 贴纸+MA 多语收藏指南+进口商贴纸+SSCC label
Remark: 1. Amazon FOB订单，出口Mexico，外箱最长边不能超过25" （超过了，case pack只能为1），不符合要求的大货，一律不接受。
2. 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3. 日期码使用ZURU标准版</t>
  </si>
  <si>
    <t>9283B-S002-3L-1</t>
  </si>
  <si>
    <t>34P65IJU</t>
  </si>
  <si>
    <t>4500163057-60</t>
  </si>
  <si>
    <t>4500164861-40</t>
  </si>
  <si>
    <t>6/6出</t>
  </si>
  <si>
    <t>4/30收到</t>
  </si>
  <si>
    <t>进口商贴纸和UPC贴纸翻4500156374</t>
  </si>
  <si>
    <t>5/21外箱贴纸</t>
  </si>
  <si>
    <t>日期码格式：ZURU INC(BVI) 标准格式 日期：按实际生产日期
Packaging Info: 9283:MA 3L EAN包装+进口商贴纸+UPC贴纸+外箱贴纸+箱唛，进口商贴纸和UPC贴纸翻单PO4500156374
Remark: 此单有第三方监柜，需要每款多备1套完整物料</t>
  </si>
  <si>
    <t>4500166073-10</t>
  </si>
  <si>
    <t>ZB00480-6.16</t>
  </si>
  <si>
    <t>MILLS FLEET FARM</t>
  </si>
  <si>
    <t>PO#4647600</t>
  </si>
  <si>
    <t>4500160726-90</t>
  </si>
  <si>
    <t>6/12出</t>
  </si>
  <si>
    <t>3/26收到</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</si>
  <si>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</si>
  <si>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</si>
  <si>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</si>
  <si>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ZB00453-6.12</t>
  </si>
  <si>
    <t>GEKAS ULLAREED AB</t>
  </si>
  <si>
    <t>4500160445-30</t>
  </si>
  <si>
    <t>5/13-警告语/进口商贴纸</t>
  </si>
  <si>
    <t>日期码格式：ZURU INC(BVI) 标准格式 日期：按实际生产日期
Packaging Info:
 9283-S005_MA_C_3L-9L warning (EAN)版收缩膜+MA_C_5L(warning 9L)收藏指南+MA_C_5L(warning 9L)藏宝图+Try me sticker_MA_B_3L+MA布标+警告语/进口商贴纸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9283-S005-4894680026841</t>
  </si>
  <si>
    <t>4500165404-40</t>
  </si>
  <si>
    <t>水贴纸更正箱数</t>
  </si>
  <si>
    <t>6/16出</t>
  </si>
  <si>
    <t>5/9收到</t>
  </si>
  <si>
    <t>客人警告语贴纸+产品贴纸（此贴纸贴在蛋壳里面）翻单4500119826</t>
  </si>
  <si>
    <t>客户日期码：ZUR5163 #9283</t>
  </si>
  <si>
    <t>日期码格式：客户日期码 日期：
Packaging Info:
9283:最新MA 1L收缩膜/MA 5L收藏指南/MA布标+客人警告语贴纸+产品贴纸（此贴纸贴在蛋壳里面）翻单4500119826
2.客户日期码：产品/包装/外箱请保持一致。
9283客人日期码：ZUR5163
3.9283大货样版2套，寄到客人香港办公室，请多备料。
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QC抽1pc样板寄到广州ITS做EN 71-3测试
Remark: 9283:Kitten:Bunny:Puppy:Cow:Elephant:Flamingo=1:1:1:1:1:1; Bubble water;NO Boron; One plastic horn filled in water mixture; A pack of sand(60g)</t>
  </si>
  <si>
    <t>Meloman Home Video LLP</t>
  </si>
  <si>
    <t>4500164596-70</t>
  </si>
  <si>
    <t>4/27收到</t>
  </si>
  <si>
    <t>5/8-通用进口商贴纸</t>
  </si>
  <si>
    <t>日期码格式：ZURU INC(BVI) 标准格式 日期：按实际生产日期
Packaging Info: 1L MA UPC 包装+ 通用进口商贴纸， MA 指南/说明书（如果有的话）
Remark: 标准配比</t>
  </si>
  <si>
    <t>4500167493-10</t>
  </si>
  <si>
    <t>6/20第三方 自检</t>
  </si>
  <si>
    <t>7/10出</t>
  </si>
  <si>
    <t>ZB00708-7.10</t>
  </si>
  <si>
    <t>4500167493-20</t>
  </si>
  <si>
    <t>7/5出</t>
  </si>
  <si>
    <t>ZB00651-7.4</t>
  </si>
  <si>
    <t>4500167493-30</t>
  </si>
  <si>
    <t>6/21出</t>
  </si>
  <si>
    <t>4500167493-40</t>
  </si>
  <si>
    <t>7/7出</t>
  </si>
  <si>
    <t>ZB00678-7.8</t>
  </si>
  <si>
    <t>4500167493-50</t>
  </si>
  <si>
    <t>6/24出</t>
  </si>
  <si>
    <t>4500167493-60</t>
  </si>
  <si>
    <t>4500165567-20</t>
  </si>
  <si>
    <t>6/18-6/20出</t>
  </si>
  <si>
    <t>5/16收到</t>
  </si>
  <si>
    <t>5/19-防盗贴纸+5/26-外箱贴纸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</si>
  <si>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</si>
  <si>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</si>
  <si>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4500165566-20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</si>
  <si>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</si>
  <si>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4500165328-10</t>
  </si>
  <si>
    <t>4/20收到</t>
  </si>
  <si>
    <t>6/4-外箱贴纸</t>
  </si>
  <si>
    <t>日期码格式：ZURU INC(BVI) 标准格式 日期：按实际生产日期
Packaging Info: 9283:英文MA包装(UPC版本，首选1L，无1L可用多L含英语)+箱唛+外箱贴纸；Kitten:Bunny:Puppy:Cow:Elephant:Flamingo=1:1:1:1:1:1;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</si>
  <si>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 xml:space="preserve"> Christine Liao</t>
  </si>
  <si>
    <t>SURTIDORA COMERCIAL DEL PACIFICO S.</t>
  </si>
  <si>
    <t>4500165792-30</t>
  </si>
  <si>
    <t>6/26出</t>
  </si>
  <si>
    <t>5/13收到</t>
  </si>
  <si>
    <t>5/30-UPC贴纸+进口商贴纸</t>
  </si>
  <si>
    <t>日期码格式：ZURU INC(BVI) 标准格式 日期：按实际生产日期
Packaging Info:
 4. 9283: MA 3L EAN包装+UPC贴纸+MA 多语收藏指南+进口商贴纸+箱唛
Remark:
 3. 9283: Kitten:Bunny:Puppy:Cow:Elephant:Flamingo=1:1:1:1:1:1;</t>
  </si>
  <si>
    <t xml:space="preserve"> Ava Liang</t>
  </si>
  <si>
    <t>CONTINENTE S.A.</t>
  </si>
  <si>
    <t>哥伦比亚</t>
  </si>
  <si>
    <t>COL66-25-FALL</t>
  </si>
  <si>
    <t>4500163691-120</t>
  </si>
  <si>
    <t>6/28出</t>
  </si>
  <si>
    <t>5/7收到</t>
  </si>
  <si>
    <t>6/5-进口商贴纸</t>
  </si>
  <si>
    <t>日期码格式：DG20250520</t>
  </si>
  <si>
    <t>日期码格式：DG20250520 日期：
Packaging Info:9283:MA 3L EAN 包装+进口商贴纸（进口商贴纸和UPC贴纸合并为一张）+箱唛
Remark:</t>
  </si>
  <si>
    <t>95520-7.1</t>
  </si>
  <si>
    <t>25-188</t>
  </si>
  <si>
    <t>4500166868-40</t>
  </si>
  <si>
    <t>7/8出</t>
  </si>
  <si>
    <t>5/21收到</t>
  </si>
  <si>
    <t>6/4客供价格贴纸</t>
  </si>
  <si>
    <t>日期码格式：ZURU INC(BVI) 标准格式 日期：按实际生产日期
Packaging Info: 
9283:最新MA3L+9L EAN收缩膜（4894680026841）+MA 3L Tryme贴纸+ 最新MA 5L收藏指南/领养卡/袋子+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</si>
  <si>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95580-7.7</t>
  </si>
  <si>
    <t>FB13459</t>
  </si>
  <si>
    <t>4500166370-10</t>
  </si>
  <si>
    <t>6/30出</t>
  </si>
  <si>
    <t>5/14收到</t>
  </si>
  <si>
    <t>条码贴纸翻450014868</t>
  </si>
  <si>
    <t>日期码格式：ZURU INC(BVI) 标准格式 日期：按实际生产日期
Packaging Info: MA 3L 全套包装+客人EAN 贴纸覆盖原条码位置 订单条码:5056296033685 ，条码贴纸翻单：4500148687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*订单对应客户2个PO号 ，备注有显示 ，注意分开做货/验货/装柜 ，混装有罚款。
* 大货样： 新款请在6/14 前寄出每款2整套大货样到罗湖办公室7B Sandy Shao 收，翻单不需要寄。</t>
  </si>
  <si>
    <t xml:space="preserve"> Sandy Shao</t>
  </si>
  <si>
    <t>FB13460</t>
  </si>
  <si>
    <t>4500166370-20</t>
  </si>
  <si>
    <t>4500167954-20</t>
  </si>
  <si>
    <t>翻4500162541</t>
  </si>
  <si>
    <t>中文3C贴纸+中文布标(可用布标贴纸)+年龄贴纸翻4500162541</t>
  </si>
  <si>
    <t>日期码格式：ZURU INC(BVI) 标准格式 日期：按实际生产日期
Packaging Info: 物料要求 SKU
2 9283 MA+中文3C贴纸 +中文收藏指南+中文布标(可用布标贴纸)+中文领养卡 +年龄贴纸 翻单： 4500162541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</si>
  <si>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95548-7.4</t>
  </si>
  <si>
    <t>4500167897-30</t>
  </si>
  <si>
    <t>美人鱼6只装（干燥剂）</t>
  </si>
  <si>
    <t>6/28-6/30出</t>
  </si>
  <si>
    <t>6/3收到</t>
  </si>
  <si>
    <t>6/3-进口商贴纸</t>
  </si>
  <si>
    <t>日期码格式：LOTDGYYYYMMDD 日期：按实际生产日期
Packaging Info:
9283: MA 3L EAN包装+进口商贴纸(已含UPC条码内容）+MA 5L收藏指南+箱唛
Remark: 1. 客版日期码要求：LOT+ZURU标准日期码格式。东莞生产的格式：LOTDGYYYYMMDD, DG是东莞拼音首字母，
YYYYMMDD是实际的年月日，例如(LOTDG20240920)
9283: Kitten:Bunny:Puppy:Cow:Elephant:Flamingo=1:1:1:1:1:1;
4. 此单有第三方监柜，至少多备一套完整的物料用于监柜，请多备料。
5.WM墨西哥防霉的新要求:货物必须在出货主箱和集装箱中按要求放置干燥剂，干燥剂指定品牌干霸
9283：需要在每箱放入10小包干燥剂，每包干燥剂重量2-3g
9281/9258/92104/9298：需要在每箱放入14小包干燥剂，每包干燥剂重量2-3g
6.如走柜货等loading plan 确认后再通知集装箱干燥剂数量</t>
  </si>
  <si>
    <t>95519-7.1</t>
  </si>
  <si>
    <t>5UL3UKAR</t>
  </si>
  <si>
    <t>4500168127-130</t>
  </si>
  <si>
    <t>空白外箱加印ZURU Logo（四面加印）+MADE IN CHINA（只印一正一侧）+SSCC LABEL(客供贴纸）</t>
  </si>
  <si>
    <t>6/12-进口商贴纸</t>
  </si>
  <si>
    <t>6/20-外箱贴纸</t>
  </si>
  <si>
    <t>9283A的邮包盒图稿翻 4500135161</t>
  </si>
  <si>
    <t>日期码格式：ZURU INC(BVI) 标准格式 日期：按实际生产日期
Packaging Info:
5. 9283A: MA 3L包装入邮包盒， 9283A的邮包盒图稿跟翻单 4500135161，A：193052052872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</si>
  <si>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95534-7.2</t>
  </si>
  <si>
    <t>NASA Panama</t>
  </si>
  <si>
    <t>巴拿马</t>
  </si>
  <si>
    <t>4500168055-30</t>
  </si>
  <si>
    <t>9/4出</t>
  </si>
  <si>
    <t>6/6收到</t>
  </si>
  <si>
    <t>6/5-UPC贴纸</t>
  </si>
  <si>
    <t>日期码格式：ZURU INC(BVI) 标准格式 日期：按实际生产日期
Packaging Info:9283:MA多语EAN+UPC贴纸+箱唛
Remark:</t>
  </si>
  <si>
    <t>96338-9.6</t>
  </si>
  <si>
    <t>4500166289-40</t>
  </si>
  <si>
    <t>7/19-7/11出</t>
  </si>
  <si>
    <t>5/26收到</t>
  </si>
  <si>
    <t>6/18-防盗贴纸+外箱贴纸</t>
  </si>
  <si>
    <t>95857-7.31</t>
  </si>
  <si>
    <t>4500166290-40</t>
  </si>
  <si>
    <t>95858-7.31</t>
  </si>
  <si>
    <t>ZURU LLC</t>
  </si>
  <si>
    <t>B0BS8TBW9P</t>
  </si>
  <si>
    <t>4500169465-100</t>
  </si>
  <si>
    <t>9283A-S002-MTS</t>
  </si>
  <si>
    <t>7/11出</t>
  </si>
  <si>
    <t>6/10收到</t>
  </si>
  <si>
    <t>9283A邮包盒翻4500155806</t>
  </si>
  <si>
    <t>日期码格式：ZURU INC(BVI) 标准格式 日期：按实际生产日期
Packaging Info: 
#9283: MA 1L入邮包盒，9283A邮包盒图稿跟翻单#4500155806；
Remark: 1.Amazon domestic 订单。出口美国。外箱最长边不能超过25" （超过了，case pack只能为1），不符合要求的大货，一律不接受。
2.无第三方验货/测试要求。
3.日期码使用ZURU标准版本。
4.邮包盒要印刷日期码。</t>
  </si>
  <si>
    <t>ZB00732-7.12</t>
  </si>
  <si>
    <t>B0BS8J7SXV</t>
  </si>
  <si>
    <t>4500169465-120</t>
  </si>
  <si>
    <t>9283D-S002-MTS</t>
  </si>
  <si>
    <t>邮包盒图稿翻单4500152657</t>
  </si>
  <si>
    <t>日期码格式：ZURU INC(BVI) 标准格式 日期：按实际生产日期
Packaging Info: 
#9283: MA 1L入邮包盒，9283D邮包盒图稿翻单4500152657。
Remark: 1.Amazon domestic 订单。出口美国。外箱最长边不能超过25" （超过了，case pack只能为1），不符合要求的大货，一律不接受。
2.无第三方验货/测试要求。
3.日期码使用ZURU标准版本。
4.邮包盒要印刷日期码。</t>
  </si>
  <si>
    <t>4500169369-10</t>
  </si>
  <si>
    <t>7/19出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</si>
  <si>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
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</si>
  <si>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ZB00769-7.17</t>
  </si>
  <si>
    <t>4500169369-20</t>
  </si>
  <si>
    <t>7/18出</t>
  </si>
  <si>
    <t>ZB00746-7.15</t>
  </si>
  <si>
    <t>4500169369-30</t>
  </si>
  <si>
    <t>ZB00768-7.17</t>
  </si>
  <si>
    <t>4500169369-40</t>
  </si>
  <si>
    <t>7/24出</t>
  </si>
  <si>
    <t>ZB00785-7.18</t>
  </si>
  <si>
    <t>4500169369-50</t>
  </si>
  <si>
    <t>ZB00770-7.17</t>
  </si>
  <si>
    <t>4500169369-60</t>
  </si>
  <si>
    <t>7/22出</t>
  </si>
  <si>
    <t>4500168727-30</t>
  </si>
  <si>
    <t>6/18-进口商贴纸</t>
  </si>
  <si>
    <t>日期码格式：ZURU INC(BVI) 标准格式 日期：按实际生产日期
Packaging Info: 9283，：MA UPC收缩膜+进口商贴纸；MA指南；
Remark: 标准配比</t>
  </si>
  <si>
    <t>Cora Zhou</t>
  </si>
  <si>
    <t>96591-9.30
95760-7.24</t>
  </si>
  <si>
    <t>ZU25050201</t>
  </si>
  <si>
    <t>4500166838-40</t>
  </si>
  <si>
    <t>7/25出</t>
  </si>
  <si>
    <t>5/19收到</t>
  </si>
  <si>
    <t>进口商贴纸翻4500158315</t>
  </si>
  <si>
    <t>日期码格式：ZURU INC(BVI) 标准格式 日期：按实际生产日期
Packaging Info: 此单分两批走，所以装运类型和CRD有两种，9283为第二批。
MA UPC包装(优先1L)+1张进口商贴纸,
9283贴纸资料翻单4500158315
Remark:
9283-Kitten:Bunny:Puppy:Cow:Elephant:Flamingo=1:1:1:1:1:1;</t>
  </si>
  <si>
    <t>95776-7.25</t>
  </si>
  <si>
    <t>NASA PANAMA</t>
  </si>
  <si>
    <t>4500173135-10</t>
  </si>
  <si>
    <t>4500168594转单</t>
  </si>
  <si>
    <t>日期码格式：ZURU INC(BVI) 标准格式 日期：按实际生产日期
Packaging Info: 9283:MA多语EAN+UPC贴纸+箱唛
Remark: 请确保包装上的条形码是UPC，如有不一致，请及时提出。谢谢！</t>
  </si>
  <si>
    <t>Aimee Huang</t>
  </si>
  <si>
    <t>95691-7.18</t>
  </si>
  <si>
    <t>ToyChamp Belgium nv</t>
  </si>
  <si>
    <t>4500166992-80</t>
  </si>
  <si>
    <t>5/20收到</t>
  </si>
  <si>
    <t>日期码格式：ZURU INC(BVI) 标准格式 日期：按实际生产日期
Packaging Info:
8.9283：MA 最新版3L+9L EAN 收缩膜+MA 最新版3L+9L收藏指南+MA布标+其它MA包装；
Remark: 1.STD配比；
2.外箱需要印条码，请确保条码可以清晰扫描且条码内容正确；
3.出欧洲，微塑料需合规（如item本身不含微塑料,则忽略此要求）;
4.所有产品需要符合REACH申明。</t>
  </si>
  <si>
    <t>Bella Wang</t>
  </si>
  <si>
    <t>95850-7.31</t>
  </si>
  <si>
    <t>4500169123-90</t>
  </si>
  <si>
    <t>日期码格式：ZURU INC(BVI) 标准格式 日期：按实际生产日期
Packaging Info:
9.9283：MA 最新版3L+9L EAN 收缩膜+MA 最新版3L+9L收藏指南+MA布标+其它MA包装。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</si>
  <si>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5HMN378H</t>
  </si>
  <si>
    <t>4500169697-230</t>
  </si>
  <si>
    <t>6/2-7邮包盒新稿</t>
  </si>
  <si>
    <t>6/13收到</t>
  </si>
  <si>
    <t>7/11-外箱贴纸</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</si>
  <si>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</si>
  <si>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9283D-S002-3L-1</t>
  </si>
  <si>
    <t>5TYF1EBC</t>
  </si>
  <si>
    <t>4500169697-240</t>
  </si>
  <si>
    <t>1N2M1K1X</t>
  </si>
  <si>
    <t>4500169697-250</t>
  </si>
  <si>
    <t>75YW42HF</t>
  </si>
  <si>
    <t>4500169697-260</t>
  </si>
  <si>
    <t>8EVZJW2Q</t>
  </si>
  <si>
    <t>4500169708-10</t>
  </si>
  <si>
    <t>6/27-邮包盒新稿</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</si>
  <si>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</si>
  <si>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22QE8OHG</t>
  </si>
  <si>
    <t>4500169708-20</t>
  </si>
  <si>
    <t>61NNYXLN</t>
  </si>
  <si>
    <t>4500169708-30</t>
  </si>
  <si>
    <t>AMAZON CA (VENDOR CENTER)</t>
  </si>
  <si>
    <t>6D69W3YR</t>
  </si>
  <si>
    <t>4500169926-10</t>
  </si>
  <si>
    <t>6BRPVUUF</t>
  </si>
  <si>
    <t>4500169926-20</t>
  </si>
  <si>
    <t>5U3LWSJW</t>
  </si>
  <si>
    <t>4500169926-30</t>
  </si>
  <si>
    <t>8JE81CYS</t>
  </si>
  <si>
    <t>4500169926-40</t>
  </si>
  <si>
    <t>52XUX4PI</t>
  </si>
  <si>
    <t>4500169926-50</t>
  </si>
  <si>
    <t>6EZWPSPJ</t>
  </si>
  <si>
    <t>4500169926-60</t>
  </si>
  <si>
    <t>4N6HFDBP</t>
  </si>
  <si>
    <t>4500169926-70</t>
  </si>
  <si>
    <t>4H5Z15ZT</t>
  </si>
  <si>
    <t>4500169926-80</t>
  </si>
  <si>
    <t>4RC88GRW</t>
  </si>
  <si>
    <t>4500169926-90</t>
  </si>
  <si>
    <t>7IUD13PT</t>
  </si>
  <si>
    <t>4500169926-100</t>
  </si>
  <si>
    <t>4CJ96Z1D</t>
  </si>
  <si>
    <t>4500169926-110</t>
  </si>
  <si>
    <t>1RVD4M7H</t>
  </si>
  <si>
    <t>4500169926-120</t>
  </si>
  <si>
    <t>3Z6X6DRL</t>
  </si>
  <si>
    <t>4500169926-130</t>
  </si>
  <si>
    <t>7O3YH1XG</t>
  </si>
  <si>
    <t>4500169926-140</t>
  </si>
  <si>
    <t>7JMGJ61W</t>
  </si>
  <si>
    <t>4500169926-150</t>
  </si>
  <si>
    <t>29W13VQE</t>
  </si>
  <si>
    <t>4500169926-160</t>
  </si>
  <si>
    <t>81I69TBE</t>
  </si>
  <si>
    <t>4500169926-170</t>
  </si>
  <si>
    <t>1581AF6G</t>
  </si>
  <si>
    <t>4500169926-180</t>
  </si>
  <si>
    <t>6FBOUL6M</t>
  </si>
  <si>
    <t>4500169926-190</t>
  </si>
  <si>
    <t>4R1CBA7W</t>
  </si>
  <si>
    <t>4500169926-200</t>
  </si>
  <si>
    <t>4GJFQL3N</t>
  </si>
  <si>
    <t>4500169926-210</t>
  </si>
  <si>
    <t>4SV3WE2L</t>
  </si>
  <si>
    <t>4500169926-220</t>
  </si>
  <si>
    <t>5K2PE6XW</t>
  </si>
  <si>
    <t>4500169926-230</t>
  </si>
  <si>
    <t>4L6HWYEU</t>
  </si>
  <si>
    <t>4500169926-240</t>
  </si>
  <si>
    <t>1OSAEKAM</t>
  </si>
  <si>
    <t>4500169926-290</t>
  </si>
  <si>
    <t>6KK7J5AC</t>
  </si>
  <si>
    <t>4500169926-300</t>
  </si>
  <si>
    <t>4FB8F25E</t>
  </si>
  <si>
    <t>4500169926-310</t>
  </si>
  <si>
    <t>5VFCJIBV</t>
  </si>
  <si>
    <t>4500170137-50</t>
  </si>
  <si>
    <t>6/16收到</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</si>
  <si>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</si>
  <si>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318JCPRQ</t>
  </si>
  <si>
    <t>4500170137-60</t>
  </si>
  <si>
    <t>46XL4QKL</t>
  </si>
  <si>
    <t>4500170137-70</t>
  </si>
  <si>
    <t>8TT7F4MR</t>
  </si>
  <si>
    <t>4500170137-80</t>
  </si>
  <si>
    <t>1WXXNBMU</t>
  </si>
  <si>
    <t>4500170130-220</t>
  </si>
  <si>
    <t>815GY4ER</t>
  </si>
  <si>
    <t>4500170130-230</t>
  </si>
  <si>
    <t>2RD2SBIW</t>
  </si>
  <si>
    <t>4500170130-240</t>
  </si>
  <si>
    <t>8WFXQVOM</t>
  </si>
  <si>
    <t>4500170130-250</t>
  </si>
  <si>
    <t>7ZIFX89G</t>
  </si>
  <si>
    <t>4500170130-260</t>
  </si>
  <si>
    <t>2B6C6SFX</t>
  </si>
  <si>
    <t>4500170130-340</t>
  </si>
  <si>
    <t>5FZPG2JZ</t>
  </si>
  <si>
    <t>4500170130-350</t>
  </si>
  <si>
    <t>5AWN8LPJ</t>
  </si>
  <si>
    <t>4500170130-360</t>
  </si>
  <si>
    <t>52W2JLDV</t>
  </si>
  <si>
    <t>4500170130-370</t>
  </si>
  <si>
    <t>762PQJTA</t>
  </si>
  <si>
    <t>4500170130-380</t>
  </si>
  <si>
    <t>1SXNBBGN</t>
  </si>
  <si>
    <t>4500170130-390</t>
  </si>
  <si>
    <t>4Q2QFF2L</t>
  </si>
  <si>
    <t>4500170130-400</t>
  </si>
  <si>
    <t>3MT4BH5I</t>
  </si>
  <si>
    <t>4500170130-410</t>
  </si>
  <si>
    <t>4500160470-20</t>
  </si>
  <si>
    <t>7/27出</t>
  </si>
  <si>
    <t>日期码格式：ZURU INC(BVI) 标准格式 日期：按实际生产日期
Packaging Info: 
9283-S005_MA_C_3L-9L warning (EAN)版收缩膜+MA_C_5L(warning 9L)收藏指南+MA_C_5L(warning 9L)藏宝图+Try me sticker_MA_B_3L+MA布标+警告语/进口商贴纸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9283-S005-4894680026841</t>
  </si>
  <si>
    <t>95851-7.31</t>
  </si>
  <si>
    <t>UPD, INC.</t>
  </si>
  <si>
    <t>PO# 35160</t>
  </si>
  <si>
    <t>4500170582-20</t>
  </si>
  <si>
    <t>7/28出</t>
  </si>
  <si>
    <t>6/19收到</t>
  </si>
  <si>
    <t>日期码格式：ZURU INC(BVI) 标准格式 日期：按实际生产日期
Packaging Info: 1. 包装方式：MA UPC 优先1L 最新包装，出口美国
Remark: 2. 外箱箱唛红色和黑色双色印刷
3. 产品和包装上印刷tracking code信息，格式为ZURU常规</t>
  </si>
  <si>
    <t>Sia Liu</t>
  </si>
  <si>
    <t>4500164920-50</t>
  </si>
  <si>
    <t>7/29第三方监柜</t>
  </si>
  <si>
    <t>8/2出</t>
  </si>
  <si>
    <t>6/4收到</t>
  </si>
  <si>
    <t>6/20-进口商贴纸</t>
  </si>
  <si>
    <t>7/9-价标贴纸</t>
  </si>
  <si>
    <t>日期码格式：ZURU INC(BVI) 标准格式 日期：按实际生产日期
Packaging Info: 
9283:MA 3L EAN包装+进口商贴纸+价标贴纸+箱唛
Remark: 1. 此单价格贴纸（ZURU定购).
2.此单有第三方监柜，不用额外准备备品，会在大货中每款拆1pc，拆了包装的产品会由监装员用客供胶带封好或在外箱上写上"opened by telescope"</t>
  </si>
  <si>
    <t>ZU03-25</t>
  </si>
  <si>
    <t>4500167463-60</t>
  </si>
  <si>
    <t>8/1出</t>
  </si>
  <si>
    <t>6/5收到</t>
  </si>
  <si>
    <t>UPC贴纸+进口商贴纸翻4500098650</t>
  </si>
  <si>
    <t>日期码格式：ZURU INC(BVI) 标准格式 日期：按实际生产日期
Packaging Info:
6. 9283: MA多语EAN包装+UPC贴纸+MA 多语收藏指南+进口商贴纸+箱唛，进口商贴纸翻单4500098650
Remark:
6. 9283：Kitten:Bunny:Puppy:Cow:Elephant:Flamingo=1:1:1:1:1:1;</t>
  </si>
  <si>
    <t>JUGUESAL S.A. DE C.V.</t>
  </si>
  <si>
    <t>25-1068242JUS</t>
  </si>
  <si>
    <t>4500159848-130</t>
  </si>
  <si>
    <t>8/7出</t>
  </si>
  <si>
    <t>7/2-UPC贴纸+进口商贴纸</t>
  </si>
  <si>
    <t>指定日期码：2025-07</t>
  </si>
  <si>
    <t>日期码格式：2025-07 日期：
Packaging Info: 
9283：MA 3L EAN包装+UPC贴纸+MA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9283: Kitten:Bunny:Puppy:Cow:Elephant:Flamingo=1:1:1:1:1:1;
Hershey's-Chocolate Syrup 24 oz
Hershey's-Mini Chocolate Syrup 24 oz
Hershey's-Strawberry Syrup 22 oz</t>
  </si>
  <si>
    <t>96592-3-9.30</t>
  </si>
  <si>
    <t>4500170802-10</t>
  </si>
  <si>
    <t>7/24第三方 自检</t>
  </si>
  <si>
    <t>日期码格式：ZURU DGYYYYMMDD CHINA(日期避开周末和法定节假日即可） 日期：按实际生产日期
Packaging Info: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B版车缝布标，客版布标贴纸，客供RFID贴纸（标贴位置严格按照我们签板的位置图，不可擅自调整位置
，贴纸不能有任何破损或折坏，不可淋湿）。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此单打卡板出货
Remark:</t>
  </si>
  <si>
    <t>ZB00944-7.29</t>
  </si>
  <si>
    <t>4500170802-20</t>
  </si>
  <si>
    <t>ZB00966-7.30</t>
  </si>
  <si>
    <t>4500170802-30</t>
  </si>
  <si>
    <t>ZB00992-7.31</t>
  </si>
  <si>
    <t>4500170802-40</t>
  </si>
  <si>
    <t>ZB00941-7.29</t>
  </si>
  <si>
    <t>CENTRO ATACADISTA BAR􀃃O LTDA</t>
  </si>
  <si>
    <t>4500170116-30</t>
  </si>
  <si>
    <t>6/26收到</t>
  </si>
  <si>
    <t>7/1-进口商贴纸</t>
  </si>
  <si>
    <t>日期码格式：ZURU INC(BVI) 标准格式 日期：按实际生产日期
Packaging Info: MA 1L包装+进口商贴纸+箱唛
Remark: 
9283: Kitten:Bunny:Puppy:Cow:Elephant:Flamingo=1:1:1:1:1:1;</t>
  </si>
  <si>
    <t>95838-7.31</t>
  </si>
  <si>
    <t>London Supply Group SA</t>
  </si>
  <si>
    <t>4500169604-40</t>
  </si>
  <si>
    <t>8/4出</t>
  </si>
  <si>
    <t>6/24收到</t>
  </si>
  <si>
    <t>6/24-UPC条码贴纸</t>
  </si>
  <si>
    <t>日期码格式：ZURU INC(BVI) 标准格式 日期：按实际生产日期
Packaging Info:
9283: MA 3L EAN PKG+UPC 条码贴纸+MA 多语收藏指南+箱唛
Remark:
9283: Kitten:Bunny:Puppy:Cow:Elephant:Flamingo=1:1:1:1:1:1;</t>
  </si>
  <si>
    <t>96590-9.30</t>
  </si>
  <si>
    <t>4500169751-60</t>
  </si>
  <si>
    <t>8/11出</t>
  </si>
  <si>
    <t>客户条码贴纸+进口商贴纸翻4500123283</t>
  </si>
  <si>
    <t>日期码格式：ZURU INC(BVI) 标准格式 日期：按实际生产日期
Packaging Info: 
9283:MA 3L EAN PKG+MA 多语收藏指南+进口商贴纸+客户条码贴纸+箱唛，进口商贴纸/客户条码贴纸可翻单PO#4500123283
Remark:
9283:Kitten:Bunny:Puppy:Cow:Elephant:Flamingo=1:1:1:1:1:1;</t>
  </si>
  <si>
    <t>KENSHO Szolgaltato Kft.</t>
  </si>
  <si>
    <t>匈牙利</t>
  </si>
  <si>
    <t>4500169609-30</t>
  </si>
  <si>
    <t>已返工</t>
  </si>
  <si>
    <t>8/16出</t>
  </si>
  <si>
    <t>6/26-进口商贴纸</t>
  </si>
  <si>
    <t>日期码格式：ZURU INC(BVI) 标准格式 日期：按实际生产日期
Packaging Info:
9283: MA UPC 最新包装+进口商贴纸
Remark: 此单出Hungary， 需满足EU测试标准要求，不能含微塑料。
9283: Kitten:Bunny:Puppy:Cow:Elephant:Flamingo=1:1:1:1:1:1</t>
  </si>
  <si>
    <t>Sharon</t>
  </si>
  <si>
    <t>CENTRO CUESTA NACIONAL</t>
  </si>
  <si>
    <t>25-1068241JDO</t>
  </si>
  <si>
    <t>4500164774-150</t>
  </si>
  <si>
    <t>96593-3-9.30</t>
  </si>
  <si>
    <t>4500165982-110</t>
  </si>
  <si>
    <t>7/2收到</t>
  </si>
  <si>
    <t>7/18-价标贴纸</t>
  </si>
  <si>
    <t>日期码格式：ZURU INC(BVI) 标准格式 日期：按实际生产日期
Packaging Info: 9283:MA 3L EAN包装 +进口商贴纸+价标贴纸+箱唛
Remark: 1. 此单价格贴纸（ZURU定购).
2.此单有第三方监柜，不用额外准备备品，会在大货中每款拆1pc，拆了包装的产品会由监装员用客供胶带封好或在外箱上写上""opened by telescope”</t>
  </si>
  <si>
    <t>4500169879-20</t>
  </si>
  <si>
    <t>7/30-8/1出</t>
  </si>
  <si>
    <t>6/18-防盗贴纸+7/7-外箱贴纸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</si>
  <si>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</si>
  <si>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4500169878-30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</si>
  <si>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</si>
  <si>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4500171058-20</t>
  </si>
  <si>
    <t>7/30出</t>
  </si>
  <si>
    <t>警告语/进口商贴纸翻4500160445</t>
  </si>
  <si>
    <t>日期码格式：ZURU INC(BVI) 标准格式 日期：按实际生产日期
Packaging Info: 
9283-S005_MA_C_3L-9L warning (EAN)版收缩膜+MA 其它包装+警告语/进口商贴纸（翻单4500160445）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9283-S005-4894680026841</t>
  </si>
  <si>
    <t>96588-9.30</t>
  </si>
  <si>
    <t>BURLINGTON STORES, INC.</t>
  </si>
  <si>
    <t>4500171334-160</t>
  </si>
  <si>
    <t>8/6出</t>
  </si>
  <si>
    <t>7/3收到</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</si>
  <si>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</si>
  <si>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4500171334-190</t>
  </si>
  <si>
    <t>4500164451-30</t>
  </si>
  <si>
    <t>8/5出</t>
  </si>
  <si>
    <t>5/28收到</t>
  </si>
  <si>
    <t>5/28-进口商贴纸+EAN条码贴纸</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</si>
  <si>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</si>
  <si>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9283: 1L MA UPC 包装+进口商贴纸+EAN条码贴纸， MA 指南/说明书（如有）；
Remark: 标准配比
请按期完货， 会有罚金。
出2个港口Bekasovo 2 &lt;(&gt;&amp;&lt;)&gt; Ural</t>
  </si>
  <si>
    <t>4500164451-120</t>
  </si>
  <si>
    <t>4500172340-10</t>
  </si>
  <si>
    <t>8/7 第三方 自检</t>
  </si>
  <si>
    <t>8/9出</t>
  </si>
  <si>
    <t>7/21-客供RFID贴纸</t>
  </si>
  <si>
    <t>4500172340-20</t>
  </si>
  <si>
    <t>8/18出</t>
  </si>
  <si>
    <t>4500172340-30</t>
  </si>
  <si>
    <t>8/12出</t>
  </si>
  <si>
    <t>4500172340-40</t>
  </si>
  <si>
    <t xml:space="preserve">美国 </t>
  </si>
  <si>
    <t>4500170119-20</t>
  </si>
  <si>
    <t>ARCHIBRAND, S.A. DE C.V.</t>
  </si>
  <si>
    <t>4500170750-100</t>
  </si>
  <si>
    <t>8/8出</t>
  </si>
  <si>
    <t>7/11-UPC 条码贴纸+进口商贴纸</t>
  </si>
  <si>
    <t>日期码格式：ZURU INC(BVI) 标准格式 日期：按实际生产日期
Packaging Info: 9283:MA 3L EAN PKG+UPC 条码贴纸+MA 收藏指南+进口商贴纸+箱唛
所有带电产品的保证书通用1份
Remark:
9283:Kitten:Bunny:Puppy:Cow:Elephant:Flamingo=1:1:1:1:1:1;</t>
  </si>
  <si>
    <t>96589-2-9.30</t>
  </si>
  <si>
    <t>4500170092-20</t>
  </si>
  <si>
    <t>4500164457-30</t>
  </si>
  <si>
    <t>进口商贴纸翻+EAN条码贴纸翻4500164451</t>
  </si>
  <si>
    <t>日期码格式：外包装/外箱不要打ZURU标准日期码 日期：
Packaging Info: 注意:外包装(指:收缩膜/彩卡/铝箔袋/挂卡/PDQ)/外箱不要打ZURU标准日期码!胶件可以打日期码。
9283: 1L MA UPC 包装+进口商贴纸翻4500164451+EAN条码贴纸翻4500164451， MA 指南/说明书（如有）；
Remark: 标准配比
请按期完货， 会有罚金。
出2个港口Bekasovo 2 &lt;(&gt;&amp;&lt;)&gt; Ural</t>
  </si>
  <si>
    <t>4500164457-120</t>
  </si>
  <si>
    <t>8/10出</t>
  </si>
  <si>
    <t>4500172103-50</t>
  </si>
  <si>
    <t>8/14出</t>
  </si>
  <si>
    <t>7/7收到</t>
  </si>
  <si>
    <t>7/16-UPC贴纸</t>
  </si>
  <si>
    <t>日期码格式：ZURU INC(BVI) 标准格式 日期：按实际生产日期
Packaging Info: 请确保包装上的条形码是UPC，如果是babyUPC，需要用mother UPC覆盖，如有不一致，请及时提出。谢谢!
9283 MA 3L EAN包装+UPC贴纸+MA 多语收藏指南+箱唛
Remark:
9283,, Kitten:Bunny:Puppy:Cow:Elephant:Flamingo=1:1:1:1:1:1;,,</t>
  </si>
  <si>
    <t>96595-9.30</t>
  </si>
  <si>
    <t>4500166157-40</t>
  </si>
  <si>
    <t>8/29出</t>
  </si>
  <si>
    <t>7/11-UPC贴纸+进口商贴纸</t>
  </si>
  <si>
    <t>日期码格式：ZURU INC(BVI) 标准格式 日期：按实际生产日期
Packaging Info:
3. 9283: MA多语EAN包装+UPC贴纸+MA 多语收藏指南+进口商贴纸+箱唛
Remark:
4. 9283：Kitten:Bunny:Puppy:Cow:Elephant:Flamingo=1:1:1:1:1:1;</t>
  </si>
  <si>
    <t>4500171253-110</t>
  </si>
  <si>
    <t>7/11收到</t>
  </si>
  <si>
    <t>7/18-进口商贴纸同UPC贴纸合并一张</t>
  </si>
  <si>
    <t>日期码格式：ZURU INC(BVI) 标准格式 日期：按实际生产日期
Packaging Info: 
9283 MA 3L EAN包装+MA 多语收藏指南+进口商贴纸（进口商贴纸同UPC贴纸合并一张）+箱唛
Remark: LR44 BATTERY 指定品牌 NEW LEADER；AAA BATTERIES 指定品牌 VINNIC
9283 Kitten:Bunny:Puppy:Cow:Elephant:Flamingo=1:1:1:1:1:1;</t>
  </si>
  <si>
    <t>96587-3-9.30</t>
  </si>
  <si>
    <t>4500171263-40</t>
  </si>
  <si>
    <t>6/25收到</t>
  </si>
  <si>
    <t>7/30-外箱贴纸</t>
  </si>
  <si>
    <t>日期码格式：ZURU INC(BVI) 标准格式 日期：按实际生产日期
Packaging Info: 
4. 9283: 英文MA包装(UPC版本，首选1L，无1L可用多L含英语)+箱唛+外箱贴纸；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</si>
  <si>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H&amp;D RETAIL PTY LTD T/AS TOYMATE</t>
  </si>
  <si>
    <t>PO1132539-YTF
CL-PER</t>
  </si>
  <si>
    <t>4500173092-20</t>
  </si>
  <si>
    <t>7/8收到</t>
  </si>
  <si>
    <t>7/8-进口商贴纸</t>
  </si>
  <si>
    <t>日期码格式：ZURU INC(BVI) 标准格式 日期：按实际生产日期
Packaging Info: 
5. 9283: 英文MA包装(UPC版本，首选1L，无1L可用多L含英语)+箱唛+1张进口商贴纸；
Ratio: Kitten:Bunny:Puppy:Cow:Elephant:Flamingo=1:1:1:1:1:1;
Remark: 1. 此单出澳大利亚，请按澳洲标准生产并满足当地法规要求</t>
  </si>
  <si>
    <t>PO1132536-YTF
CL-BRIS</t>
  </si>
  <si>
    <t>4500173107-30</t>
  </si>
  <si>
    <t>8/21出</t>
  </si>
  <si>
    <t>日期码格式：ZURU INC(BVI) 标准格式 日期：按实际生产日期
Packaging Info:
9283: 英文MA包装(UPC版本，首选1L，无1L可用多L含英语)+箱唛+1张进口商贴纸；
Ratio: Kitten:Bunny:Puppy:Cow:Elephant:Flamingo=1:1:1:1:1:1;
Remark: 此单出澳大利亚，请按澳洲标准生产并满足当地法规要求</t>
  </si>
  <si>
    <t>PO1132537-YTF
CL-MELB</t>
  </si>
  <si>
    <t>4500173120-30</t>
  </si>
  <si>
    <t>PO1132540-YTF
CL-TWNS</t>
  </si>
  <si>
    <t>4500173090-30</t>
  </si>
  <si>
    <t>8/27出</t>
  </si>
  <si>
    <t>日期码格式：ZURU INC(BVI) 标准格式 日期：按实际生产日期
Packaging Info:
6. 9283: 英文MA包装(UPC版本，首选1L，无1L可用多L含英语)+箱唛+1张进口商贴纸；
Ratio: Kitten:Bunny:Puppy:Cow:Elephant:Flamingo=1:1:1:1:1:1;
Remark: 1. 此单出澳大利亚，请按澳洲标准生产并满足当地法规要求</t>
  </si>
  <si>
    <t>PO1132538-YTF
CL-PARA</t>
  </si>
  <si>
    <t>4500173094-30</t>
  </si>
  <si>
    <t>PO1132535-YTF
C2-SYD</t>
  </si>
  <si>
    <t>4500173087-70</t>
  </si>
  <si>
    <t>日期码格式：ZURU INC(BVI) 标准格式 日期：按实际生产日期
Packaging Info: 
9283: 英文MA包装(UPC版本，首选1L，无1L可用多L含英语)+箱唛+1张进口商贴纸；
Ratio: Kitten:Bunny:Puppy:Cow:Elephant:Flamingo=1:1:1:1:1:1;
Remark: 此单出澳大利亚，请按澳洲标准生产并满足当地法规要求</t>
  </si>
  <si>
    <t>4500173807-10</t>
  </si>
  <si>
    <t>8/20出</t>
  </si>
  <si>
    <t>7/15收到</t>
  </si>
  <si>
    <t>slip sheet贴纸</t>
  </si>
  <si>
    <t>日期码格式：ZURU INC(BVI) 标准格式 日期：按实际生产日期
Packaging Info: 9283SLB-S001
MA 最新UPC包装，UPC#193052050106,请先检查条码是否正确再安排做货；
Slip sheet:#9283-S002 1pcs/CTN,carton size 21x20.5x29cm,20x4H=80carton=80pcs/Slip Sheet,一共需要50套slip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</si>
  <si>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</si>
  <si>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4500173938-70</t>
  </si>
  <si>
    <t>8/22 第三方（自检）</t>
  </si>
  <si>
    <t>外箱四面印刷RFID箱唛，正唛左前下角印刷ITF-14格式条码的艾利替代标箱唛，只印刷正唛一面</t>
  </si>
  <si>
    <t>ZB01659(REV1)-9.3</t>
  </si>
  <si>
    <t>OTTO SIMON B.V.</t>
  </si>
  <si>
    <t>荷兰</t>
  </si>
  <si>
    <t>IO-2501981</t>
  </si>
  <si>
    <t>4500174183-110</t>
  </si>
  <si>
    <t>7/18收到</t>
  </si>
  <si>
    <t>客人款号带EAN条码</t>
  </si>
  <si>
    <t>日期码格式：ZURU INC(BVI) 标准格式 日期：按实际生产日期
Packaging Info: 
9283:MA 3L+9L警语收缩膜+1张客人款号带EAN条码（4894680026841）贴纸，MA C版 5L+9L收藏指南，MA B版5L领养证明，MA 配件袋，MA 布标，MA B版 贴纸，MA
B版 藏宝图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9283:576-9283</t>
  </si>
  <si>
    <t>4500173938-10</t>
  </si>
  <si>
    <t>4500173938-20</t>
  </si>
  <si>
    <t>4500173938-30</t>
  </si>
  <si>
    <t>8/28出</t>
  </si>
  <si>
    <t>4500173938-40</t>
  </si>
  <si>
    <t>4500173938-50</t>
  </si>
  <si>
    <t>4500173938-60</t>
  </si>
  <si>
    <t>9/5出</t>
  </si>
  <si>
    <t>ZB01708-9.5</t>
  </si>
  <si>
    <t>FRATELLO (PTY) LTD</t>
  </si>
  <si>
    <t>南非</t>
  </si>
  <si>
    <t>1100029671-3</t>
  </si>
  <si>
    <t>4500173241-40</t>
  </si>
  <si>
    <t>8/26出</t>
  </si>
  <si>
    <t>日期码格式：ZURU INC(BVI) 标准格式 日期：按实际生产日期
Packaging Info: MA PKG , 优先1L
Remark:</t>
  </si>
  <si>
    <t>4500164464-30</t>
  </si>
  <si>
    <t>进口商贴纸+EAN条码贴纸翻4500164451</t>
  </si>
  <si>
    <t>96342-9.6</t>
  </si>
  <si>
    <t>4500164464-120</t>
  </si>
  <si>
    <t>96370-9.9</t>
  </si>
  <si>
    <t>ZHUYU(SHENZHEN)TRADING CO.,LTD.</t>
  </si>
  <si>
    <t>4500174847-10</t>
  </si>
  <si>
    <t>9/3出</t>
  </si>
  <si>
    <t>7/24收到</t>
  </si>
  <si>
    <t>中文3C贴纸+中文布标(可用布标贴纸)+年龄贴纸翻4500167954</t>
  </si>
  <si>
    <t>日期码格式：ZURU INC(BVI) 标准格式 日期：按实际生产日期
Packaging Info: 物料要求 SKU
1 9283 MA+中文3C贴纸 +中文收藏指南+中文布标(可用布标贴纸)+中文领养卡 +年龄贴纸 翻单： 4500167954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</si>
  <si>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96309-9.3</t>
  </si>
  <si>
    <t>4500174847-20</t>
  </si>
  <si>
    <t>4500172982-60</t>
  </si>
  <si>
    <t>9/12出</t>
  </si>
  <si>
    <t>7/21收到</t>
  </si>
  <si>
    <t>7/24-进口商贴纸</t>
  </si>
  <si>
    <t>日期码格式：ZURU INC(BVI) 标准格式 日期：按实际生产日期
Packaging Info: 
9283:MA 多语包装+进口商贴纸+箱唛
Remark: 进口商贴纸请多备料5pcs,出货后需要寄给客户</t>
  </si>
  <si>
    <t>96427-2-9.13</t>
  </si>
  <si>
    <t>4 KIDZ POLSKA SP. Z O.O.</t>
  </si>
  <si>
    <t>4500170252-10</t>
  </si>
  <si>
    <t>7/23-进口商贴纸+8/4-收藏指南贴纸</t>
  </si>
  <si>
    <t>日期码格式：ZURU INC(BVI) 标准格式 日期：按实际生产日期
Packaging Info: MA C版 1L UPC 收缩膜+进口商贴纸，MA收藏指南+贴纸
Remark: 此单出欧洲需满足EU测试标准要求
Ratio: Kitten:Bunny:Puppy:Cow:Elephant:Flamingo=1:1:1:1:1:1</t>
  </si>
  <si>
    <t>96308-9.3</t>
  </si>
  <si>
    <t>9283-S005-1</t>
  </si>
  <si>
    <t>BEALL'S OUTLET STORES, INC.</t>
  </si>
  <si>
    <t>4500174573-40</t>
  </si>
  <si>
    <t>7/31收到</t>
  </si>
  <si>
    <t>8/13-客供价格贴纸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</si>
  <si>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</si>
  <si>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</si>
  <si>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ZB01741-9.6</t>
  </si>
  <si>
    <t>4500174571-40</t>
  </si>
  <si>
    <t>ZB01740-9.6</t>
  </si>
  <si>
    <t>4500174627-30</t>
  </si>
  <si>
    <t>8/18-客供价格贴纸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</si>
  <si>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</si>
  <si>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ZB01675-9.4</t>
  </si>
  <si>
    <t>4500175910-80</t>
  </si>
  <si>
    <t>9/5第三方自检</t>
  </si>
  <si>
    <t>8/25-客供RFID贴纸</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</si>
  <si>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
Order Modifiable Records</t>
  </si>
  <si>
    <t>Maggie Xie</t>
  </si>
  <si>
    <t>ZB01967-9.17</t>
  </si>
  <si>
    <t>4500175177-90</t>
  </si>
  <si>
    <t>9/10-9/12出</t>
  </si>
  <si>
    <t>8/8收到</t>
  </si>
  <si>
    <t>8/21-防盗贴纸+8/18-外箱贴纸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</si>
  <si>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</si>
  <si>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96414-9.12</t>
  </si>
  <si>
    <t>4500175221-30</t>
  </si>
  <si>
    <t>7/28收到</t>
  </si>
  <si>
    <t>8/27-外箱贴纸</t>
  </si>
  <si>
    <t>日期码格式：ZURU INC(BVI) 标准格式 日期：按实际生产日期
Packaging Info: 
3. 9283:英文MA包装(UPC版本，首选1L，无1L可用多L含英语)+箱唛+外箱贴纸；
Ratio: Kitten:Bunny:Puppy:Cow:Elephant:Flamingo=1:1:1:1:1:1;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</si>
  <si>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96409-9.12</t>
  </si>
  <si>
    <t>4500172226-40</t>
  </si>
  <si>
    <t>9/15出</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</si>
  <si>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</si>
  <si>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ZB01886-9.13</t>
  </si>
  <si>
    <t>4500175843-90</t>
  </si>
  <si>
    <t>9283G-S001-PKC</t>
  </si>
  <si>
    <t>大象(胶袋装）</t>
  </si>
  <si>
    <t>9/17出</t>
  </si>
  <si>
    <t>8/6收到</t>
  </si>
  <si>
    <t>8/12-UPC 条码贴纸+进口商贴纸</t>
  </si>
  <si>
    <t>日期码格式：ZURU INC(BVI) 标准格式 日期：按实际生产日期
Packaging Info:
5. 9283G/D：MA 3L EAN 包装+UPC 条码贴纸+MA 5L 收藏指南+进口商贴纸+箱唛
除了7150/71126/9548/77731/77673不用加胶袋，剩余款都要按照单个产品入polybag胶袋后再装箱出货，需打孔，胶袋需封口
Remark:</t>
  </si>
  <si>
    <t>96585-2-9.30</t>
  </si>
  <si>
    <t>4500175843-100</t>
  </si>
  <si>
    <t>9283D-S001-PKC</t>
  </si>
  <si>
    <t>小狗(胶袋装）</t>
  </si>
  <si>
    <t xml:space="preserve">日期码格式：ZURU INC(BVI) 标准格式 日期：按实际生产日期
Packaging Info:
5. 9283G/D：MA 3L EAN 包装+UPC 条码贴纸+MA 5L 收藏指南+进口商贴纸+箱唛
除了7150/71126/9548/77731/77673不用加胶袋，剩余款都要按照单个产品入polybag胶袋后再装箱出货，需打孔，胶袋需封口
Remark: </t>
  </si>
  <si>
    <t>4500176427-30</t>
  </si>
  <si>
    <t>8/15出</t>
  </si>
  <si>
    <t>翻单： 4500174847</t>
  </si>
  <si>
    <t>中文3C贴纸+中文布标(可用布标贴纸)+年龄贴纸 翻4500174847</t>
  </si>
  <si>
    <t>日期码格式：ZURU INC(BVI) 标准格式 日期：按实际生产日期
Packaging Info: 物料要求 SKU
3 9283 MA+中文3C贴纸 +中文收藏指南+中文布标(可用布标贴纸)+中文领养卡 +年龄贴纸 翻单： 4500174847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</si>
  <si>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96444-9.16</t>
  </si>
  <si>
    <t>BARNES &amp; NOBLE PURCHASING, INC.</t>
  </si>
  <si>
    <t>PO#2949715 TO
NJ</t>
  </si>
  <si>
    <t>4500175550-10</t>
  </si>
  <si>
    <t>9/18出</t>
  </si>
  <si>
    <t>只需在外箱4面的正上方印ZURU LOGO；3面印MADE IN CHINA字样，一面留空贴外箱贴</t>
  </si>
  <si>
    <t>价贴资料翻单4500142916</t>
  </si>
  <si>
    <t>日期码格式：ZURU INC(BVI) 标准格式 日期：按实际生产日期
Packaging Info: 1. 包材：ZURU MA 1L UPC 最新版本，出口美国
#9283： ZURU MA 1L UPC 最新版本+价格贴纸（价贴位于产品包装上UPC条形码附近），价贴资料翻单4500142916（如包材有更新需跟跟单确认是否需要更新贴纸资
料），跟单不再提供贴子资料，工厂直接采购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2949715 ship to NJ,
PO# 2949718 ship to NV,
5. 出货配比：ZURU 标准配比
6. 测试样板
#9283， #9297； #92105 需要于8月17日前寄出ZURU MA 版本每款每色2pcs样板做测试，样板寄到以下地址做测试：
注： 需打印TRF随样板寄出（TRF由跟单提供）
测试行：BV(必维）
地址：广东省深圳市深圳市龙华区鸿创科技中心4栋1楼
收件人：Grace Li
电话: 86 0755 8618 5344| VOIP(Internal): 4344</t>
  </si>
  <si>
    <t>ZB02016-9.20</t>
  </si>
  <si>
    <t>PO#2949718 TO
NV</t>
  </si>
  <si>
    <t>4500175550-50</t>
  </si>
  <si>
    <t>9/24出</t>
  </si>
  <si>
    <t>ZB02083-9.25</t>
  </si>
  <si>
    <t>4500177194-10</t>
  </si>
  <si>
    <t>9/19第三方 自检</t>
  </si>
  <si>
    <t>9/26出</t>
  </si>
  <si>
    <t>外箱四面印刷RFID箱唛，正唛左前下角印刷ITF-14格式条码的艾利替代标箱唛，只印刷正唛一面，ZURU logo跟MADE IN CHINA四面右下角印刷，</t>
  </si>
  <si>
    <t>日期码格式：RASCALS INTERNATIONAL LTD 标准格式 日期：按实际生产日期
Packaging Info:
Remark: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</si>
  <si>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ZB02080-9.25</t>
  </si>
  <si>
    <t>4500177194-20</t>
  </si>
  <si>
    <t>9/30出</t>
  </si>
  <si>
    <t>ZB02178-9.27</t>
  </si>
  <si>
    <t>4500177194-30</t>
  </si>
  <si>
    <t>9/25出</t>
  </si>
  <si>
    <t>ZB02044-9.23</t>
  </si>
  <si>
    <t>4500177194-40</t>
  </si>
  <si>
    <t>9/22出</t>
  </si>
  <si>
    <t>ZB02081-9.25</t>
  </si>
  <si>
    <t>ADIR INTERNATIOAL/ CURACAO</t>
  </si>
  <si>
    <t>ALKAA-B</t>
  </si>
  <si>
    <t>4500175962-20</t>
  </si>
  <si>
    <t>8/14收到</t>
  </si>
  <si>
    <t>8/29-外箱UPC贴纸</t>
  </si>
  <si>
    <t>日期码格式：ZURU INC(BVI) 标准格式 日期：按实际生产日期
Packaging Info: 1. 包装方式：MA UPC 优先1L 最新包装，出口美国
Remark: 2. 产品和包装上印刷tracking code信息，格式为ZURU常规;
3. ZURU QC验货即可出货;
4. 9283外箱两正唛各贴一张UPC贴纸, 侧唛不用贴，贴纸做成普通白色贴纸即可.</t>
  </si>
  <si>
    <t>Iris Yuan</t>
  </si>
  <si>
    <t>ZB02179-9.27</t>
  </si>
  <si>
    <t>4500176837-70</t>
  </si>
  <si>
    <t>8/19收到</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</si>
  <si>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#9283：Kitten:Bunny:Puppy:Cow:Elephant:Flamingo=1:1:1:1:1:1;</t>
  </si>
  <si>
    <t>Ivy Li</t>
  </si>
  <si>
    <t>4500176837-80</t>
  </si>
  <si>
    <t>10/16出</t>
  </si>
  <si>
    <t>MELOMAN HOME VIDEO LLP</t>
  </si>
  <si>
    <t>4500176381-80</t>
  </si>
  <si>
    <t>8/11收到</t>
  </si>
  <si>
    <t>8/8-通用进口商贴纸</t>
  </si>
  <si>
    <t>日期码格式：ZURU INC(BVI) 标准格式 日期：按实际生产日期
Packaging Info: MA UPC最新包装+ 通用进口商贴纸 ， MA PDQ ，MA 指南/说明书（如果有的话）
Remark: 标准配比</t>
  </si>
  <si>
    <t>Joyce</t>
  </si>
  <si>
    <t>4500177477-30</t>
  </si>
  <si>
    <t>9/11收到</t>
  </si>
  <si>
    <t>9/16-进口商贴纸+彩色贴纸</t>
  </si>
  <si>
    <t>日期码格式：ZURU INC(BVI) 标准格式 日期：按实际生产日期
Packaging Info: 
9283：包装MA 1L UPC收缩膜+进口商贴纸+彩色贴纸，MA 布标/收藏指南，收缩膜UPC条码显示193052050106，产品年龄3+；
客人箱唛排版，印4面，条码需要可扫，条码内容193052050106
Remark: 
9283: Kitten:Bunny:Puppy:Cow:Elephant:Flamingo=1:1:1:1:1:1.</t>
  </si>
  <si>
    <t>Nora Pan</t>
  </si>
  <si>
    <t>4500174671-30</t>
  </si>
  <si>
    <t>10/10出</t>
  </si>
  <si>
    <t>9/12-客供价格贴纸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</si>
  <si>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</si>
  <si>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Sharon Yang</t>
  </si>
  <si>
    <t>ZB02319(REV1)-10.10</t>
  </si>
  <si>
    <t>4500177451-40</t>
  </si>
  <si>
    <t>8/20收到</t>
  </si>
  <si>
    <t>9/16-外箱贴纸</t>
  </si>
  <si>
    <t>日期码格式：ZURU INC(BVI) 标准格式 日期：按实际生产日期
Packaging Info: 
4. 9283:英文MA包装(UPC版本，首选1L，无1L可用多L含英语)+箱唛+外箱贴纸；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</si>
  <si>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BABYHOUSE</t>
  </si>
  <si>
    <t>4500177534-60</t>
  </si>
  <si>
    <t>10/20出</t>
  </si>
  <si>
    <t>8/22收到</t>
  </si>
  <si>
    <t>8/22-进口商贴纸</t>
  </si>
  <si>
    <t>日期码格式：ZURU INC(BVI) 标准格式 日期：按实际生产日期
Packaging Info: 9283 : 1L MA 收缩膜 + 进口商贴纸 ; MA 说明书/指南（如有）;
Remark: 标准配比</t>
  </si>
  <si>
    <t>BINGO GLOBAL GROUP FOR TRADING SUPP</t>
  </si>
  <si>
    <t>埃及</t>
  </si>
  <si>
    <t>4500178799-30</t>
  </si>
  <si>
    <t>12/26出</t>
  </si>
  <si>
    <t>9/10收到</t>
  </si>
  <si>
    <t>9/22-进口商贴纸</t>
  </si>
  <si>
    <t>日期码格式：ZURU INC(BVI) 标准格式 日期：按实际生产日期
Packaging Info:
9283：包装MA EAN收缩膜+进口商贴纸，收缩膜EAN条码显示4894680026841，产品年龄3+；
客人箱唛排版，印4面，条码内容4894680026841;
Remark: 
9283: Kitten:Bunny:Puppy:Cow:Elephant:Flamingo=1:1:1:1:1:1;</t>
  </si>
  <si>
    <t>ZU25080702SG</t>
  </si>
  <si>
    <t>4500179037-20</t>
  </si>
  <si>
    <t>10/28出</t>
  </si>
  <si>
    <t>9/8收到</t>
  </si>
  <si>
    <t>进口商贴纸翻4500157001</t>
  </si>
  <si>
    <t>日期码格式：ZURU INC(BVI) 标准格式 日期：按实际生产日期
Packaging Info: MA UPC包装(优先1L)+1张进口商贴纸,贴纸图稿及位置图翻单如下
9283-4500157001
Remark: 9283-Kitten:Bunny:Puppy:Cow:Elephant:Flamingo=1:1:1:1:1:1;</t>
  </si>
  <si>
    <t>A96744-10.28</t>
  </si>
  <si>
    <t>25/453 CT</t>
  </si>
  <si>
    <t>4500177865-40</t>
  </si>
  <si>
    <t>9/9收到</t>
  </si>
  <si>
    <t>进口商贴纸翻单PO4500130336</t>
  </si>
  <si>
    <t>日期码格式：ZURU INC(BVI) 标准格式 日期：按实际生产日期
Packaging Info: 
7. 9283: MA 3L EAN包装+MA 多语收藏指南+MA 3L try me sticker+进口商贴纸+箱唛，进口商贴纸翻单PO4500130336
Remark: 1. 此单需提交自检报告给客户确认，待客户确认放货后，才允许出货。
5. 9283：Kitten:Bunny:Puppy:Cow:Elephant:Flamingo=1:1:1:1:1:1;</t>
  </si>
  <si>
    <t>4500179492-20</t>
  </si>
  <si>
    <t>11/5出</t>
  </si>
  <si>
    <t>9/26收到</t>
  </si>
  <si>
    <t>进口商贴纸+彩色贴纸翻4500177477</t>
  </si>
  <si>
    <t>日期码格式：ZURU INC(BVI) 标准格式 日期：按实际生产日期
Packaging Info:
9283：包装MA 1L UPC收缩膜+进口商贴纸(翻单4500177477)+彩色贴纸(翻单4500177477)，收缩膜UPC条码显示193052050106，产品年龄3+；
客人箱唛排版，印4面，条码需要可扫，条码内容193052050106；
Remark: 
9283: Kitten:Bunny:Puppy:Cow:Elephant:Flamingo=1:1:1:1:1:1;</t>
  </si>
  <si>
    <t>96873-11.5</t>
  </si>
  <si>
    <t>4500179340-40</t>
  </si>
  <si>
    <t>11/3出</t>
  </si>
  <si>
    <t>10/9收到</t>
  </si>
  <si>
    <t>10/16-防盗贴纸+10/9外箱贴纸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</si>
  <si>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9283交期推迟但请务必最晚于11/3上午内完成交仓</t>
  </si>
  <si>
    <t>4500179341-40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</si>
  <si>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9283交期推迟但请务必最晚于11/3上午内完成交仓</t>
  </si>
  <si>
    <t>4500179977-70</t>
  </si>
  <si>
    <t>11/5-11/7出</t>
  </si>
  <si>
    <t>9/30收到</t>
  </si>
  <si>
    <t>10/16-防盗贴纸+10/13-外箱贴纸</t>
  </si>
  <si>
    <t>4500179979-60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</si>
  <si>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</si>
  <si>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4500179217-10</t>
  </si>
  <si>
    <t>11/12-11/17出</t>
  </si>
  <si>
    <t>翻单： 4500176427</t>
  </si>
  <si>
    <t>中文3C贴纸+中文布标(可用布标贴纸) +年龄贴纸 翻4500176427</t>
  </si>
  <si>
    <t>10/16-防窜码贴纸</t>
  </si>
  <si>
    <t>日期码格式：ZURU INC(BVI) 标准格式 日期：按实际生产日期
Packaging Info: 物料要求 SKU
1 9283 MA+中文3C贴纸 +中文收藏指南+中文布标(可用布标贴纸)+中文领养卡 +年龄贴纸 翻单： 4500176427
4. 此单启用防窜码贴纸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</si>
  <si>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A97068-11-29</t>
  </si>
  <si>
    <t>4500179217-40</t>
  </si>
  <si>
    <t>4500179217-70</t>
  </si>
  <si>
    <t>4500179217-90</t>
  </si>
  <si>
    <t>4500178515-60</t>
  </si>
  <si>
    <t>Agnes Zheng</t>
  </si>
  <si>
    <t>ZB03141-11-28</t>
  </si>
  <si>
    <t>4500178517-50</t>
  </si>
  <si>
    <t>11/27出</t>
  </si>
  <si>
    <t>ZB03140-11-28</t>
  </si>
  <si>
    <t>218244050
DC 086</t>
  </si>
  <si>
    <t>4500180920-10</t>
  </si>
  <si>
    <t>12/3出</t>
  </si>
  <si>
    <t>10/15收到</t>
  </si>
  <si>
    <t>日期码格式：ZURU INC(BVI) 标准格式 日期：
Packaging Info: 1. MA 1L 包装
2. 客人指定箱唛排版
3. 9283-S002 Ratio： Kitten:Bunny:Puppy:Cow:Elephant:Flamingo=1:1:1:1:1:1
Remark: 出货前 Zuru QC 验货</t>
  </si>
  <si>
    <t>218244126 DC
802</t>
  </si>
  <si>
    <t>4500180920-40</t>
  </si>
  <si>
    <t>PO# 35464</t>
  </si>
  <si>
    <t>4500181018-60</t>
  </si>
  <si>
    <t>11/21出</t>
  </si>
  <si>
    <t>10/17收到</t>
  </si>
  <si>
    <t>Angel Lin</t>
  </si>
  <si>
    <t>ZBO3015-11.22</t>
  </si>
  <si>
    <t>ZMPO250891</t>
  </si>
  <si>
    <t>Remark:大货最新版本/款号平均/麻烦按款号装箱/大货标准箱装箱/箱唛请参照邮件附件;备注：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</si>
  <si>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 xml:space="preserve">Angus </t>
  </si>
  <si>
    <t>A97084-11-29</t>
  </si>
  <si>
    <t>4500179109-10</t>
  </si>
  <si>
    <t>9286-S001</t>
  </si>
  <si>
    <t>美人鱼客制4小蛋款</t>
  </si>
  <si>
    <t>布标贴纸</t>
  </si>
  <si>
    <t>12/8出</t>
  </si>
  <si>
    <t>10/16收到</t>
  </si>
  <si>
    <t>中文布标(可用布标贴纸)+年龄贴（8+）+空白贴纸</t>
  </si>
  <si>
    <t>9/22-芯片码</t>
  </si>
  <si>
    <t>日期码格式：ZURU INC(BVI) 标准格式 日期：按实际生产日期
Packaging Info: 物料要求 SKU
1 9286 UPC# 193052050137 ,客制PDQ +中文收藏指南+中文布标(可用布标贴纸)+中文领养卡 +藏宝图+年龄贴（8+）+芯片码
首单提供4套大货样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</si>
  <si>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4500179109-20</t>
  </si>
  <si>
    <t>4500179109-30</t>
  </si>
  <si>
    <t>中文布标</t>
  </si>
  <si>
    <t>4500179109-40</t>
  </si>
  <si>
    <t>4500179109-50</t>
  </si>
  <si>
    <t>10/23-芯片码</t>
  </si>
  <si>
    <t>JRC TOYS</t>
  </si>
  <si>
    <t>102125-T2</t>
  </si>
  <si>
    <t>4500183143-10</t>
  </si>
  <si>
    <t>12/1出</t>
  </si>
  <si>
    <t>10/29收到</t>
  </si>
  <si>
    <t>10/24-UPC贴纸</t>
  </si>
  <si>
    <t>日期码格式：ZURU INC(BVI) 标准格式 日期：按实际生产日期
Packaging Info: MA 3L C版加UPC贴纸
Remark: 出加拿大
Zuru验货.日期跟踪码：产品外包装及产品本身都必须有日期跟踪码，ZURU标准格式日期码</t>
  </si>
  <si>
    <t>Bella Tan</t>
  </si>
  <si>
    <t>A97123-12-2</t>
  </si>
  <si>
    <t>4500181881-330</t>
  </si>
  <si>
    <t>10/20收到</t>
  </si>
  <si>
    <t>11/4-进口商贴纸+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</si>
  <si>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</si>
  <si>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</si>
  <si>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4500180345-60</t>
  </si>
  <si>
    <t>翻4500179217</t>
  </si>
  <si>
    <t>中文3C贴纸+中文布标(可用布标贴纸)+年龄贴纸 翻4500179217</t>
  </si>
  <si>
    <t>日期码格式：ZURU INC(BVI) 标准格式 日期：按实际生产日期
Packaging Info: 物料要求 SKU
4 9283 MA+中文3C贴纸 +中文收藏指南+中文布标(可用布标贴纸)+中文领养卡 +年龄贴纸 翻单： 4500179217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</si>
  <si>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A97126-112-2</t>
  </si>
  <si>
    <t>4500182703-70</t>
  </si>
  <si>
    <t>10/30收到</t>
  </si>
  <si>
    <t>11/11-客供价格贴纸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</si>
  <si>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</si>
  <si>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4500182703-110</t>
  </si>
  <si>
    <t>4500184367-40</t>
  </si>
  <si>
    <t>日期码格式：ZURU INC(BVI) 标准格式 日期：按实际生产日期
Packaging Info: 1. STD Items
#9283：ZURU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</si>
  <si>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TOYZOONA LIMITED</t>
  </si>
  <si>
    <t>肯尼亚</t>
  </si>
  <si>
    <t>4500184858-20</t>
  </si>
  <si>
    <t>12/9出</t>
  </si>
  <si>
    <t>11/7收到</t>
  </si>
  <si>
    <t>Chelsea Luo</t>
  </si>
  <si>
    <t>A97166-12-9</t>
  </si>
  <si>
    <t>LEKIA AB</t>
  </si>
  <si>
    <t>4500183592-90</t>
  </si>
  <si>
    <t>12/22出</t>
  </si>
  <si>
    <t>11/14-警告语翻译成挪威/瑞典/芬兰语EAN care@zuru.com贴纸</t>
  </si>
  <si>
    <t>日期码格式：ZURU INC(BVI) 标准格式 日期：按实际生产日期
Packaging Info: 
9283-S001//MA_C_3L(EAN)收缩膜(4894680026841)+警告语翻译成挪威/瑞典/芬兰语&lt;(&gt;&amp;&lt;)&gt;EAN&lt;(&gt;&amp;&lt;)&gt;care@zuru.com贴纸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</si>
  <si>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t>
  </si>
  <si>
    <t>2025-138</t>
  </si>
  <si>
    <t>4500184922-40</t>
  </si>
  <si>
    <t>11/17收到</t>
  </si>
  <si>
    <t>客人警告语贴纸（含客户条码）翻4500119826</t>
  </si>
  <si>
    <t>日期码格式：ZURU INC(BVI) 标准格式 日期：按实际生产日期
Packaging Info: 1. 
9283：MA 1L收缩膜/MA 5L收藏指南 +客人警告语贴纸（含客户条码）(贴纸翻单4500119826); MA布标；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9283：Kitten:Bunny:Puppy:Cow:Elephant:Flamingo=1:1:1:1:1:1.</t>
  </si>
  <si>
    <t>A97499-1.12</t>
  </si>
  <si>
    <t>4500180866-40</t>
  </si>
  <si>
    <t>美人鱼6只装干燥剂</t>
  </si>
  <si>
    <t>12/18出</t>
  </si>
  <si>
    <t>9/29收到</t>
  </si>
  <si>
    <t>10/30-进口商贴纸+UPC条码贴纸</t>
  </si>
  <si>
    <t>日期码格式：LOTDGYYYYMMDD 日期：按实际生产日期
Packaging Info:
3. 9283：MA 3L EAN包装+进口商贴纸+UPC条码贴纸+MA 5L收藏指南+箱唛，UPC贴纸和进口商贴纸可能会合并成一张贴纸
注意所有带电产品所用的保证书是通用的。
Remark: 1. 客版日期码要求：LOT+ZURU标准日期码格式。东莞生产的格式：LOTDGYYYYMMDD, DG是东莞拼音首字母，
YYYYMMDD是实际的年月日，例如(LOTDG20240920)
2.
9283: Kitten:Bunny:Puppy:Cow:Elephant:Flamingo=1:1:1:1:1:1;
4. 此单有第三方监柜，至少多备一套完整的物料用于监柜，请多备料。
5. WM墨西哥防霉的新要求:货物必须在出货主箱和集装箱中按要求放置干燥剂，干燥剂指定品牌干霸
9283：需要在每箱放入10小包干燥剂，每包干燥剂重量2g
如走柜货等loading plan 确认后再通知集装箱干燥剂数量
此单会和其他工厂订单合并出4*40HC，每个HC需要放置20包干燥剂，每包干燥剂1KG</t>
  </si>
  <si>
    <t>A97572-1.20</t>
  </si>
  <si>
    <t>4500185224-10</t>
  </si>
  <si>
    <t>12/29-12/30出</t>
  </si>
  <si>
    <t>翻4500179109</t>
  </si>
  <si>
    <t>中文布标(可用布标贴纸)+年龄贴（8+） 翻4500179109+纯色贴纸</t>
  </si>
  <si>
    <t>11/25-芯片码</t>
  </si>
  <si>
    <t>日期码格式：ZURU INC(BVI) 标准格式 日期：按实际生产日期
Packaging Info: 物料要求 SKU
1 9286 UPC# 193052050137 ,客制PDQ +中文收藏指南+中文布标(可用布标贴纸)+中文领养卡 +藏宝图+年龄贴（8+）+芯片码 翻单： 4500179109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</si>
  <si>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4500185224-50</t>
  </si>
  <si>
    <t>DISTRIBUIDORA LIVERPOOL S.A DE C.V.</t>
  </si>
  <si>
    <t>4500182578-40</t>
  </si>
  <si>
    <t>11/10收到</t>
  </si>
  <si>
    <t>11/24-进口商贴纸+价标贴纸</t>
  </si>
  <si>
    <t>日期码格式：ZURU INC(BVI) 标准格式 日期：按实际生产日期
Packaging Info: 
9283:MA 多语 UPC 包装+进口商贴纸+价标贴纸+箱唛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</si>
  <si>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A97534-1.14</t>
  </si>
  <si>
    <t>INTERTOYS B.V.</t>
  </si>
  <si>
    <t>4500181311-10</t>
  </si>
  <si>
    <t>12/29出</t>
  </si>
  <si>
    <t>10/10收到</t>
  </si>
  <si>
    <t>11/4-款号条码贴纸</t>
  </si>
  <si>
    <t>日期码格式：ZURU INC(BVI) 标准格式 日期：按实际生产日期
Packaging Info: MA 3L EAN包装+款号条码贴纸; MA指南
Remark: 1. STD配比
2. 出欧洲，微塑料需合规（如item本身不含微塑料 则忽略此要求）
3. 客人款号：1995632</t>
  </si>
  <si>
    <t>DD'S DISCOUNTS</t>
  </si>
  <si>
    <t>4500185354-20</t>
  </si>
  <si>
    <t>12/1-客供价格贴纸</t>
  </si>
  <si>
    <t>Blanche</t>
  </si>
  <si>
    <t>4500185224-70</t>
  </si>
  <si>
    <t>12/10-芯片码</t>
  </si>
  <si>
    <t>4500185224-80</t>
  </si>
  <si>
    <t>中文布标(可用布标贴纸)+年龄贴（8+） 翻4500179109</t>
  </si>
  <si>
    <t>12/23-防窜码</t>
  </si>
  <si>
    <t>日期码格式：ZURU INC(BVI) 标准格式 日期：按实际生产日期
Packaging Info: 物料要求 SKU
4 9283 MA+中文3C贴纸 +中文收藏指南+中文布标(可用布标贴纸)+中文领养卡 +年龄贴纸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</si>
  <si>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4500183736-80</t>
  </si>
  <si>
    <t>10/31出</t>
  </si>
  <si>
    <t>10/31-通用进口商贴纸</t>
  </si>
  <si>
    <t>A97517-1.13</t>
  </si>
  <si>
    <t>MUELLER HANDELS GMBH &amp; CO. KG</t>
  </si>
  <si>
    <t>4500186835-10</t>
  </si>
  <si>
    <t>11/26收到</t>
  </si>
  <si>
    <t>12/4-西班牙环保logo警语贴纸+警语贴纸+配件袋警语贴纸</t>
  </si>
  <si>
    <t>指定日期：01/2026</t>
  </si>
  <si>
    <t>日期码格式：01/2026 日期：
Packaging Info: 9283: 最新MA 3L+9L警语EAN包装+HR(克罗地亚)/SI(斯洛维尼亚))/HU(匈牙利)/SK(斯洛伐克)/CZ(捷克语)/西班牙环保logo警语贴纸+5L+9L警语收藏指南+HR(克罗地
亚)/SI(斯洛维尼亚))/HU(匈牙利)/SK(斯洛伐克)/CZ(捷克语)警语贴纸+5L+23L警语配件袋+SI(斯洛维尼亚))/HU(匈牙利)警语贴纸
Remark: 1.外箱上下需要加保护卡，以便在开箱的时候胶袋和产品不会被划破。（保护卡需要是整面）
2.此单需要在12月26日提供验货图片给客户确认ok后，才能放货。
3.此单出口德国，需要15PAHs.需要符合德国的测试标准。
4.此单客人要求吸塑要求使用PET材质。
5.此单生产指定日期：01/2026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所有包装需包含西班牙logo及10L警语(DE(德语)/HR(克罗地亚)/SI(斯洛维尼亚))/HU(匈牙利)/ES(西班牙)/FR(法国)/IT(意大利)/GB(英语)/SK(斯洛伐克)/CZ(
捷克语)</t>
  </si>
  <si>
    <t>Shirley Zhou</t>
  </si>
  <si>
    <t>A97528-1.14</t>
  </si>
  <si>
    <t>Rainbocorn
2025
Requisition(J
an 202</t>
  </si>
  <si>
    <t>4500186722-70</t>
  </si>
  <si>
    <t>12/26第三方</t>
  </si>
  <si>
    <t>11/24收到</t>
  </si>
  <si>
    <t>日期码格式：ZURU INC(BVI) 标准格式 日期：按实际生产日期
Packaging Info: MA UPC PKG(优先1L)，无需加进口商贴纸
9281 清尾阶段， 比例不是平均比例，要按工厂实际库存来出货了
Remark: 
9283-Kitten:Bunny:Puppy:Cow:Elephant:Flamingo=1:1:1:1:1:1;</t>
  </si>
  <si>
    <t>ROYAL FOODS LLC</t>
  </si>
  <si>
    <t>阿塞拜拉</t>
  </si>
  <si>
    <t>4500184600-80</t>
  </si>
  <si>
    <t>11/6收到</t>
  </si>
  <si>
    <t>11/6-通用贴纸</t>
  </si>
  <si>
    <t>日期码格式：ZURU INC(BVI) 标准格式 日期：按实际生产日期
Packaging Info:9283:MA UPC收缩膜+通用贴纸；MA 指南
Remark:</t>
  </si>
  <si>
    <t>4500185070-120</t>
  </si>
  <si>
    <t>12/2-进口商贴纸（进口商贴纸同UPC贴纸合并一张）</t>
  </si>
  <si>
    <t>日期码格式：ZURU INC(BVI) 标准格式 日期：按实际生产日期
Packaging Info: 1. 请注意有电池指定品牌：
2. 请确保包装上的条形码是UPC，如果是babyUPC，需要用mother UPC覆盖，如有不一致，请及时提出。谢谢!
9283,,MA 3L EAN包装+MA 多语收藏指南+进口商贴纸（进口商贴纸同UPC贴纸合并一张）+箱唛
Remark:
9283,,Kitten:Bunny:Puppy:Cow:Elephant:Flamingo=1:1:1:1:1:1;,,</t>
  </si>
  <si>
    <t>4500185297-20</t>
  </si>
  <si>
    <t>11/14收到</t>
  </si>
  <si>
    <t>12/15-客供价格贴纸</t>
  </si>
  <si>
    <t>ESAL TRADING LLC</t>
  </si>
  <si>
    <t>乔丹</t>
  </si>
  <si>
    <t>4500189510-30</t>
  </si>
  <si>
    <t>4500180758/4500180717拆单</t>
  </si>
  <si>
    <t>11/12收到</t>
  </si>
  <si>
    <t>口水胶袋+贴纸</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</si>
  <si>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Remark:</t>
  </si>
  <si>
    <t>9283-S001-8</t>
  </si>
  <si>
    <t>ESAL ENTERPRISES FZC</t>
  </si>
  <si>
    <t>黎巴嫩</t>
  </si>
  <si>
    <t>4500189525-30</t>
  </si>
  <si>
    <t>2/10出</t>
  </si>
  <si>
    <t>沙特阿拉伯</t>
  </si>
  <si>
    <t>KSA</t>
  </si>
  <si>
    <t>4500180758-30</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</si>
  <si>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Remark:</t>
  </si>
  <si>
    <t>ESAL TRADING L.L.C.</t>
  </si>
  <si>
    <t>UAE</t>
  </si>
  <si>
    <t>4500180717-90</t>
  </si>
  <si>
    <t>A97533-1.14</t>
  </si>
  <si>
    <t>卡塔尔</t>
  </si>
  <si>
    <t>QAT</t>
  </si>
  <si>
    <t>4500180735-100</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</si>
  <si>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Qatar的订单需要寄样品给客户进行slime测试（产品含slime的每个item分别准备完整的4套样品）（此单#92125/92129TQ1/9283/92104TQ1/9298TQ1/92119需要寄样
）
Remark:</t>
  </si>
  <si>
    <t>ZU25111801SG</t>
  </si>
  <si>
    <t>4500187915-30</t>
  </si>
  <si>
    <t>固定进口商贴纸翻4500157001</t>
  </si>
  <si>
    <t>日期码格式：ZURU INC(BVI) 标准格式 日期：按实际生产日期
Packaging Info: MA UPC包装(优先1L)+1张固定进口商贴纸,贴纸图稿及位置图翻单如下
9283-4500157001
Remark:
9283-Kitten:Bunny:Puppy:Cow:Elephant:Flamingo=1:1:1:1:1:1;</t>
  </si>
  <si>
    <t>A97498-1.12</t>
  </si>
  <si>
    <t>AMAZON MEXICO, S. DE R.L. DE CV</t>
  </si>
  <si>
    <t>23ZBFD9I</t>
  </si>
  <si>
    <t>4500188366-10</t>
  </si>
  <si>
    <t>邮包盒图稿翻4500140333</t>
  </si>
  <si>
    <t>UPC贴纸翻4500140333+12/19-进口商贴纸</t>
  </si>
  <si>
    <t>12/25-外箱贴纸</t>
  </si>
  <si>
    <t>日期码格式：ZURU INC(BVI) 标准格式 日期：按实际生产日期
Packaging Info: 1.9283B:#9283:MA 3L EAN包装+UPC贴纸覆盖EAN条码+邮包盒,邮包盒图稿跟Amazon 返单4500140333,B:193052052889,收藏指南5L,1张进口商贴纸/UPC贴纸资料跟图
稿，SSCC label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</si>
  <si>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Candy Liu</t>
  </si>
  <si>
    <t>A975650-1.19</t>
  </si>
  <si>
    <t>ZU02-26</t>
  </si>
  <si>
    <t>4500183616-90</t>
  </si>
  <si>
    <t>11/25收到</t>
  </si>
  <si>
    <t>12/10-进口商贴纸+UPC贴纸</t>
  </si>
  <si>
    <t xml:space="preserve">日期码格式：ZURU INC(BVI) 标准格式 日期：按实际生产日期
Packaging Info: 
其余item：MA 多语EAN包装+进口商贴纸+UPC贴纸+箱唛
Remark: </t>
  </si>
  <si>
    <t>A97525-1.13</t>
  </si>
  <si>
    <t>SIMBA TOYS VN</t>
  </si>
  <si>
    <t>越南</t>
  </si>
  <si>
    <t>4500189283-80</t>
  </si>
  <si>
    <t>12/17收到</t>
  </si>
  <si>
    <t>12/29-贴纸</t>
  </si>
  <si>
    <t>日期码格式：ZURU INC(BVI) 标准格式 日期：按实际生产日期
Packaging Info: 
其他items-MA 3L EAN package+1pc importer label
待提供整单的贴纸资料;
Remark: 
9283-Kitten:Bunny:Puppy:Cow:Elephant:Flamingo=1:1:1:1:1:1;</t>
  </si>
  <si>
    <t>JUGUETTOS CENTRAL DE COMPRAS, S.COO</t>
  </si>
  <si>
    <t>PC25224</t>
  </si>
  <si>
    <t>4500188043-30</t>
  </si>
  <si>
    <t>12/18收到</t>
  </si>
  <si>
    <t>12/22-EAN条码贴纸含西班牙环保标地址邮箱+西班牙水洗标内</t>
  </si>
  <si>
    <t>日期码格式：ZURU INC(BVI) 标准格式 日期：按实际生产日期
Packaging Info: 
9283：MA 最新3L 收缩膜+1张EAN条码贴纸含西班牙环保标&lt;(&gt;&amp;&lt;)&gt;地址邮箱 &lt;(&gt;&amp;&lt;)&gt; 西班牙水洗标内容+MA 最新5L收藏指南/袋子/证书+MA布标+MA 贴纸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</si>
  <si>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A97581</t>
  </si>
  <si>
    <t>ZU25111901SG</t>
  </si>
  <si>
    <t>4500187990-10</t>
  </si>
  <si>
    <t>12/4收到</t>
  </si>
  <si>
    <t>固定的进口商贴纸翻4500157001</t>
  </si>
  <si>
    <t>日期码格式：ZURU INC(BVI) 标准格式 日期：按实际生产日期
Packaging Info: MA UPC包装(优先1L)+1张固定的进口商贴纸,贴纸图稿及位置图翻单如下
9283-4500157001
如此单使用新风格的包材(粉色+黄色)请帮忙提前告知
Remark: 9283-Kitten:Bunny:Puppy:Cow:Elephant:Flamingo=1:1:1:1:1:1;</t>
  </si>
  <si>
    <t>GABRIEL BROTHERS, INC.</t>
  </si>
  <si>
    <t>4500181546-50</t>
  </si>
  <si>
    <t>10/13收到</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</si>
  <si>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</si>
  <si>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AMBIENTAL PARAGUAY</t>
  </si>
  <si>
    <t>巴拉圭</t>
  </si>
  <si>
    <t>4500187657-130</t>
  </si>
  <si>
    <t>1/29出</t>
  </si>
  <si>
    <t>12/24-进口商贴纸</t>
  </si>
  <si>
    <t>日期码格式：ZURU INC(BVI) 标准格式 日期：按实际生产日期
Packaging Info: 其余item:MA 多语包装+进口商贴纸+箱唛
Remark:</t>
  </si>
  <si>
    <t>4500190245-50</t>
  </si>
  <si>
    <t>2/8出</t>
  </si>
  <si>
    <t>12/29收到</t>
  </si>
  <si>
    <t>1/7-baby UPC条码贴纸+进口商贴纸</t>
  </si>
  <si>
    <t>日期码格式：ZURU INC(BVI) 标准格式 日期：按实际生产日期
Packaging Info:
3. 9283D: MA 3L EAN包装+baby UPC条码贴纸+MA 多语收藏指南+MA 3L try me sticker+进口商贴纸+箱唛
除了9296和92106无需polybag外，其他剩余item都要按照单个产品入polybag胶袋后再装箱出货，胶袋厚度要求要大于0.038mm，袋子需打孔，胶袋需封口
Remark:</t>
  </si>
  <si>
    <t>4500190245-60</t>
  </si>
  <si>
    <t>日期码格式：ZURU INC(BVI) 标准格式 日期：按实际生产日期
Packaging Info:
3. 9283G: MA 3L EAN包装+baby UPC条码贴纸+MA 多语收藏指南+MA 3L try me sticker+进口商贴纸+箱唛
除了9296和92106无需polybag外，其他剩余item都要按照单个产品入polybag胶袋后再装箱出货，胶袋厚度要求要大于0.038mm，袋子需打孔，胶袋需封口
Remark:</t>
  </si>
  <si>
    <t>4500189577-10</t>
  </si>
  <si>
    <t>12/30收到</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</si>
  <si>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#9283:Kitten:Bunny:Puppy:Cow:Elephant:Flamingo=1:1:1:1:1:1;
#92125:6 Assortments,siamese cat:pink-white cat:purple cat:black cat:brown-white cat:orange cat=1:1:1:1:1:1, no rare.</t>
  </si>
  <si>
    <t>4500189577-20</t>
  </si>
  <si>
    <t>168 MARKETING</t>
  </si>
  <si>
    <t>INT. ZURU 2026 Q1</t>
  </si>
  <si>
    <t>4500191314-20</t>
  </si>
  <si>
    <t>1/14收到</t>
  </si>
  <si>
    <t>日期码格式：ZURU INC(BVI) 标准格式 日期：按实际生产日期
Packaging Info: MA UPC包装(优先1L)，无需加贴纸
Remark: 92129-7 assortments, Ratio: Elephant: Toucan: Zebra: Sloth: Giraffe: Tiger: Peacock=10: 10: 10: 10: 10: 8: 2
9283-Kitten:Bunny:Puppy:Cow:Elephant:Flamingo=1:1:1:1:1:1;
9296-cow:monkey:panda:zebra:axolotl;chiken:=1:1:1:1:1:1;
92104-MUNCHKIN(RARE): HIMALAYAN: PERSIAN: MAINE COON: RAGDOLL: RAGAMUFFIN: NORWEGIAN FOREST CAT = 2: 8: 10: 10: 10: 10: 10
92125-6 Assortments,siamese cat:pink-white cat:purple cat:black cat:brown-white cat:orange cat=1:1:1:1:1:1, no rare.</t>
  </si>
  <si>
    <t>4500190102-30</t>
  </si>
  <si>
    <t>3C贴纸新稿</t>
  </si>
  <si>
    <t>翻4500185224</t>
  </si>
  <si>
    <t>中文3C贴纸 +中文布标(可用布标贴纸) +年龄贴纸 翻4500185224</t>
  </si>
  <si>
    <t>日期码格式：ZURU INC(BVI) 标准格式 日期：按实际生产日期
Packaging Info: 物料要求 SKU
1 9283 MA+中文3C贴纸 +中文收藏指南+中文布标(可用布标贴纸)+中文领养卡 +年龄贴纸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</si>
  <si>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4500191234-120</t>
  </si>
  <si>
    <t>9283A-S001-PKC</t>
  </si>
  <si>
    <t>小猫胶袋装</t>
  </si>
  <si>
    <t>1/20-进口商贴纸+baby UPC条码贴纸</t>
  </si>
  <si>
    <t>日期码格式：ZURU INC(BVI) 标准格式 日期：按实际生产日期
Packaging Info:
7. 9283A： MA 3L EAN包装+进口商贴纸+baby UPC条码贴纸+MA 收藏指南+箱唛
Remark: 9283都要按照单个产品入polybag胶袋后再装箱出货，胶袋厚度要求要大于
0.038mm，袋子需打孔，胶袋需封口</t>
  </si>
  <si>
    <t>4500191234-130</t>
  </si>
  <si>
    <t>9283H-S001-PKC</t>
  </si>
  <si>
    <t>火烈鸟胶袋装</t>
  </si>
  <si>
    <t>4500191663-120</t>
  </si>
  <si>
    <t>1/27收到</t>
  </si>
  <si>
    <t>1/27-进口商贴纸+UPC贴纸</t>
  </si>
  <si>
    <t>指定日期码：DG20260316</t>
  </si>
  <si>
    <t>日期码格式：DG20260316 日期：
Packaging Info:
其余item：MA 多语UPC包装+进口商贴纸+UPC贴纸+箱唛
Remark: 外箱/产品/包装-指定日期码：DG20260316</t>
  </si>
  <si>
    <t>4500186326-60</t>
  </si>
  <si>
    <t>消耗4500191138成品，纸箱内容水贴纸更正，补尾数</t>
  </si>
  <si>
    <t>1/16-客供价格贴纸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</si>
  <si>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9.#9283帮消耗Target AU PO#4500191138呆滞成品以及外箱</t>
  </si>
  <si>
    <t>4500192252-40</t>
  </si>
  <si>
    <t xml:space="preserve"> 翻单： 4500185224</t>
  </si>
  <si>
    <t>中文布标(可用布标贴纸)+年龄贴（8+）翻单： 4500185224</t>
  </si>
  <si>
    <t>3/4-芯片码</t>
  </si>
  <si>
    <t>日期码格式：ZURU INC(BVI) 标准格式 日期：按实际生产日期
Packaging Info: 物料要求 SKU
3 9286 UPC# 193052050137 ,客制PDQ +中文收藏指南+中文布标(可用布标贴纸)+中文领养卡 +藏宝图+年龄贴（8+）+芯片码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</si>
  <si>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LONDON SUPPLY GROUP SA</t>
  </si>
  <si>
    <t>4500191880-50</t>
  </si>
  <si>
    <t>1/23收到</t>
  </si>
  <si>
    <t>1/28-UPC贴纸</t>
  </si>
  <si>
    <t>日期码格式：ZURU INC(BVI) 标准格式 日期：按实际生产日期
Packaging Info:9283:MA 多语包装+UPC贴纸+箱唛
Remark:</t>
  </si>
  <si>
    <t>4500192711-80</t>
  </si>
  <si>
    <t>4/13出</t>
  </si>
  <si>
    <t>2/6收到</t>
  </si>
  <si>
    <t>警告语care@zuru.com贴纸翻4500183592</t>
  </si>
  <si>
    <t>日期码格式：ZURU INC(BVI) 标准格式 日期：按实际生产日期
Packaging Info:
8.9283:MA_C_3L(EAN)收缩膜+挪威/瑞典/芬兰语警告语&lt;(&gt;&amp;&lt;)&gt;care@zuru.com全部信息做成一张贴纸(贴纸和位置图翻PO#4500183592)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9283-S001:4894680026841</t>
  </si>
  <si>
    <t>4500186385-20</t>
  </si>
  <si>
    <t>消耗4500187429/4500188118滞留成品及纸箱，纸箱内容水贴纸更正，补尾数</t>
  </si>
  <si>
    <t>4/17出</t>
  </si>
  <si>
    <t>3/9-客供价格贴纸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</si>
  <si>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</si>
  <si>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4500195568-10</t>
  </si>
  <si>
    <t>日期码格式：ZURU INC(BVI) 标准格式 日期：按实际生产日期
Packaging Info: 物料要求 SKU
1 9283 MA+中文3C贴纸 +中文收藏指南+中文布标(可用布标贴纸)+中文领养卡 +年龄贴纸 翻单： 4500190102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</si>
  <si>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4500194886-60</t>
  </si>
  <si>
    <t>3/11收到</t>
  </si>
  <si>
    <t>警告语翻4500183592</t>
  </si>
  <si>
    <t>日期码格式：ZURU INC(BVI) 标准格式 日期：按实际生产日期
Packaging Info: 
9283:MA_C_3L(EAN)收缩膜+挪威/瑞典/芬兰语警告语&lt;(&gt;&amp;&lt;)&gt;care@zuru.com全部信息做成一张贴纸(贴纸和位置图翻PO#4500183592)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9283-S005-4894680026841</t>
  </si>
  <si>
    <t>Zoe Zhou</t>
  </si>
  <si>
    <t>CORPORACION FAVORITA C.A.</t>
  </si>
  <si>
    <t>26-1073773JEC</t>
  </si>
  <si>
    <t>4500195950-270</t>
  </si>
  <si>
    <t>6/2出</t>
  </si>
  <si>
    <t>3/18收到</t>
  </si>
  <si>
    <t>4/1-进口商贴纸+UPC贴纸</t>
  </si>
  <si>
    <t xml:space="preserve">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t>
  </si>
  <si>
    <t>Grace Zhang</t>
  </si>
  <si>
    <t>26-1073774JDO</t>
  </si>
  <si>
    <t>4500196119-330</t>
  </si>
  <si>
    <t>ZHUYU(SHENZHEN)TRADING  CO.,LTD.</t>
  </si>
  <si>
    <t>4500197253-30</t>
  </si>
  <si>
    <t>翻单： 4500192252</t>
  </si>
  <si>
    <t>中文3C贴纸 +中文布标(可用布标贴纸) +年龄贴纸 翻4500185224+粉色空白贴纸</t>
  </si>
  <si>
    <t>日期码格式：ZURU INC(BVI) 标准格式 日期：按实际生产日期
Packaging Info: 物料要求 SKU
3 9286 UPC# 193052050137 ,客制PDQ +中文收藏指南+中文布标(可用布标贴纸)+中文领养卡 +藏宝图+年龄贴（8+）+芯片码 翻单： 4500192252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</si>
  <si>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Dona  Tang</t>
  </si>
  <si>
    <t>BEALL'S  OUTLET  STORES,  INC.</t>
  </si>
  <si>
    <t>4500197840-100</t>
  </si>
  <si>
    <t>5/8出</t>
  </si>
  <si>
    <t>4/3-客供价格贴纸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</si>
  <si>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3.样板：请在4.10前寄出#9561和#71126各两套样板寄到深圳办公室转寄给客人</t>
  </si>
  <si>
    <t>Hailey  Yu</t>
  </si>
  <si>
    <t>4500197840-130</t>
  </si>
  <si>
    <t>4500195747-120</t>
  </si>
  <si>
    <t>5/9-5/11出</t>
  </si>
  <si>
    <t>4/10-进口商贴纸含UPC贴纸</t>
  </si>
  <si>
    <t>日期码格式：ZURU INC(BVI) 标准格式 日期：按实际生产日期
Packaging Info: 77782GQ1:MA 收缩膜（用77711）+进口商贴纸+条码贴纸+箱唛+客版PDQ+客版收藏指南，进口商贴纸和条码贴纸翻单PO4500195747
77770GQ1/77773GQ1/777673/9565GQ1:MA 多语包装+进口商贴纸+条码贴纸+箱唛,进口商贴纸和条码贴纸翻单PO4500195747
92129TQ1::MA 多语包装+进口商贴纸+箱唛,进口商贴纸和条码贴纸翻单PO4500195747
92146/9296/9283/92119/9258/92125/9574:MA 多语包装+进口商贴纸+箱唛(进口商贴纸和条码贴纸合并为一张）
77843：MA 多语包装+进口商贴纸+条码贴纸+箱唛
Remark: 进口商贴纸请多备料5pcs,出货后需要寄给客户</t>
  </si>
  <si>
    <t>PLANET OF TOYS LTD</t>
  </si>
  <si>
    <t>吉尔吉吉斯坦</t>
  </si>
  <si>
    <t>4500198237-120</t>
  </si>
  <si>
    <t>3/25-通用贴纸</t>
  </si>
  <si>
    <t>日期码格式：ZURU INC(BVI) 标准格式 日期：按实际生产日期
Packaging Info: 1L MA UPC 包装 + 通用贴纸 ， MA 说明书/指南/PDQ （如有）；
Remark: 标准配比；</t>
  </si>
  <si>
    <t>OUTLET GROUP AS</t>
  </si>
  <si>
    <t>4500199666-10</t>
  </si>
  <si>
    <t>收到SO 5/13出</t>
  </si>
  <si>
    <t>警告语贴纸翻4500183592</t>
  </si>
  <si>
    <t>日期码格式：ZURU INC(BVI) 标准格式                  日期：按实际生产日期
Packaging Info: 9283:MA C 3L(EAN)收缩膜+挪威/瑞典/芬兰语警告语&lt;(&gt;&amp;&lt;)&gt;care@zuru.com全部信息做成一张贴纸(贴纸和位置图翻PO#4500183592)
9565GQ1:MA_3L_版 EAN收缩膜+警告语/MADE IN CHINA/收缩膜上的布标信息/电池信息都翻译成丹麦瑞典芬兰挪威爱沙尼亚语言做成一张贴纸(贴纸和位置图翻SOK P
O#4500176306)+客版说明书（翻单4500176306）
92104TQ2-S002-NB:MA B 3L(Warning 13L)_EAN版收缩膜+丹麦瑞典芬兰挪威警告语贴纸(贴纸和位置图翻ICA PO#4500169371)+MA B 5L(warning 23L)收藏指南+MA C 
5L(warning 9L) Slime Polybag+丹麦瑞典芬兰挪威爱沙尼亚警告语贴纸贴在袋子上(贴纸和位置图翻Kärkkäine O#4500179713)+MA PDQ+MA 布标/贴纸/吊牌+MA B
版PDQ
9543GQ1-S002:MA D_3L+5L EAN版收缩膜+警告语/MADE IN CHINA/收缩膜上的布标信息全部信息翻译成丹麦瑞典芬兰挪威爱沙尼亚语做成一张贴纸贴在收缩膜上(贴
纸和位置图翻Lekia PO#4500192711)+客版C6L 版说明书(英语丹麦瑞典芬兰挪威爱沙尼亚语言/WEEE信息直接印刷在说明书上--翻Lekia PO#4500192711)
92119-S001-NB:MA_B Version_3L(EAN)-Warning 23L收缩膜+MA_B Version_5L(23L warning)收藏指南+MA B Version_5L(WARNING 9L) SLIME POLYBAG+丹麦瑞典芬兰
挪威爱沙尼亚警告语贴纸贴在slime袋子上+MA B5L BEADS BAG+丹麦瑞典芬兰挪威爱沙尼亚警告语贴纸贴在bead袋子上+MA布标(所有贴纸和位置翻单4500198652)
9574-S001:MA A3L(23L warning) EAN版彩盒+客版6L说明书(英语丹麦瑞典芬兰挪威爱沙尼亚语言/WEEE信息直接印刷在说明书上--翻Salling Group PO#4500193716
))
Remark: 1. 配比：
9565GQ1-S002:4 assortment, Orange:blue:pink:brown=5:5:6:6
92104TQ2-S002-NB:MUNCHKIN(RARE): HIMALAYAN: PERSIAN: MAINE COON: RAGDOLL: RAGAMUFFIN: NORWEGIAN FOREST CAT = 2: 8: 10: 10: 10: 10: 10
"9543GQ1-S002:Integral single ratio=bule/purple/pink/orange =5:6:6:5;
"
92119-S001-NB:7 Assortment, Polar bear: Penguin: Walrus: Mammoth: Owl: Seal: Snow man=10:10:10:10:10:8:2. Snow man is the rare item.
9574-S001:2pcs baby capybara: 3pcs baby capybara= 5:1
2.产品和包装要求无硼无香，包装不能含有PVC
3.如有微塑料，必须合规欧洲标准，并增加微塑料合规IFUD声明在说明书上
4.带电池出货的产品，所用到的电池需要符合欧洲电池新规(EU)2023-1542，并增加对应WEEE 说明书</t>
  </si>
  <si>
    <t>4500199674-10</t>
  </si>
  <si>
    <t>5/13-5/15出</t>
  </si>
  <si>
    <t>4/12收到</t>
  </si>
  <si>
    <t>4/29防盗贴纸+4/20-外箱贴纸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</si>
  <si>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</si>
  <si>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Louise Lu</t>
  </si>
  <si>
    <t>4500199690-10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</si>
  <si>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t>
  </si>
  <si>
    <t>COOP DANMARK A/S</t>
  </si>
  <si>
    <t>丹麦</t>
  </si>
  <si>
    <t>shipment 2</t>
  </si>
  <si>
    <t>4500198430-20</t>
  </si>
  <si>
    <t>4/17-警告语贴纸</t>
  </si>
  <si>
    <t>日期码格式：ZURU INC(BVI) 标准格式                  日期：按实际生产日期
Packaging Info: 15788:MA A5L UPC版彩盒+baby EAN条码/警告语和MADE IN CHINA翻译成丹麦瑞典挪威语做成一张贴纸贴在彩盒上)+MA布标
9283:MA C 3L(EAN)收缩膜+警告语和MADE IN CHINA翻译成丹麦瑞典挪威语/care@zuru.com/全部信息做成一张贴纸贴在收缩膜上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8.比例：
15788-S003:6 Assortments; Even ratio
9. 验货注意，警告语需要包含丹麦语</t>
  </si>
  <si>
    <t>Joyce Hu</t>
  </si>
  <si>
    <t>LEKEKASSEN AS</t>
  </si>
  <si>
    <t>4500197359-130</t>
  </si>
  <si>
    <t>5/27出</t>
  </si>
  <si>
    <t>4/3-客人进口商地址信息贴纸</t>
  </si>
  <si>
    <t>9283: MA_C_3L(EAN)收缩膜+警告语和MADE IN CHINA翻译成丹麦瑞典挪威语/care@zuru.com/客人进口商地址信息全部信息做成一张贴纸贴在收缩膜上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9283-S005:4894680026841</t>
  </si>
  <si>
    <t/>
  </si>
  <si>
    <t>4500200402-170</t>
  </si>
  <si>
    <t>4/29-进口商贴纸含UPC贴纸</t>
  </si>
  <si>
    <t>日期码格式：ZURU INC(BVI) 标准格式 日期：按实际生产日期
Packaging Info: 77782GQ1:客版收缩膜+客版收藏指南+客版PDQ+进口商贴纸+箱唛，客版物料翻单PO4500161302,进口商贴纸翻单PO4500183983
77785:客版彩盒+进口商贴纸+箱唛（77673:MA 多语收缩膜/77711：MA 多语收缩膜+空白贴纸）,客版彩盒翻单PO4500194447
7151、7152：MA 1L包装+MA多语说明书+进口商贴纸+箱唛，进口商贴纸翻单PO4500165899
9543GQ1:MA 多语包装+进口商贴纸+UPC贴纸+箱唛，进口商贴纸翻单PO4500165899
71126:MA 多语包装+进口商贴纸+箱唛，进口商贴纸翻单PO4500166157
77673:MA 多语包装+进口商贴纸+UPC贴纸+箱唛，进口商贴纸翻单PO4500183983
15789UQ1:MA 多语包装+进口商贴纸+箱唛
其余item：MA多语包装+进口商贴纸+UPC贴纸+箱唛</t>
  </si>
  <si>
    <t>俄罗斯</t>
  </si>
  <si>
    <t>4500199774-10</t>
  </si>
  <si>
    <t>4/15-进口商贴纸+QR code</t>
  </si>
  <si>
    <t>日期码格式：ZURU INC(BVI) 标准格式 日期：按实际生产日期
Packaging Info: 9283/9296/9298/92104: MA UPC收缩膜+MA 收藏指南+ 进口商贴纸+QR code (一物一码)
9565: MA UPC收缩膜+3+年龄贴纸+MA 收藏指南+ 进口商贴纸+QR code (一物一码)
9543: MA UPC收缩膜+MA 说明书+ 进口商贴纸+QR code (一物一码)
71152: MA UPC彩盒+MA 说明书+ 进口商贴纸+QR code (一物一码)
9561: MA UPC收缩膜+MA 收藏指南+MA说明书+ 进口商贴纸+QR code (一物一码)
15757: MA UPC 彩盒+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</si>
  <si>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ZU26031901</t>
  </si>
  <si>
    <t>4500201649-10</t>
  </si>
  <si>
    <t>5/25出</t>
  </si>
  <si>
    <t>4/13收到</t>
  </si>
  <si>
    <t>4/23-进口商贴纸</t>
  </si>
  <si>
    <t>日期码格式：ZURU INC(BVI) 标准格式 日期：按实际生产日期
Packaging Info: MA UPC包装(优先1L)+进口商贴纸,9283待提供贴纸资料;
9298 贴纸图稿和位置图翻单4500193594
92104 贴纸图稿和位置图翻单4500193594
注意92104是客版spec,每个产品外面需要 单价加个透明封口袋子;
Remark: 9283-Kitten:Bunny:Puppy:Cow:Elephant:Flamingo=1:1:1:1:1:1;
9298-7 assortment (6 common + 1 rare)=CORGI(Rare):SHEPHERD:POODLE:DALMATIAN:SCHNAUZER:BROWN DALNATIAN:HOUND DOG=2:8:10:10:10:10:10;
92104-MUNCHKIN(RARE): HIMALAYAN: PERSIAN: MAINE COON: RAGDOLL: RAGAMUFFIN: NORWEGIAN FOREST CAT = 2: 8: 10: 10: 10: 10: 10</t>
  </si>
  <si>
    <t>4500198544-80</t>
  </si>
  <si>
    <t>美人鱼6只装（无闪粉）-干燥剂</t>
  </si>
  <si>
    <t>进口商贴纸+UPC条码贴纸翻4500180866</t>
  </si>
  <si>
    <t>日期码格式：LOTDGYYYYMMDD 日期：按实际生产日期
Packaging Info: 6. 9283：MA 3L EAN包装+进口商贴纸+UPC条码贴纸+MA 5L收藏指南+箱唛，所有贴纸翻单PO4500180866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9283/9548：每箱需放置10包干燥剂，每包重2-3g
  如走柜货等loading plan 确认后再通知集装箱干燥剂数量
此单工厂将安排7*40HC，每个HC要放置20包干燥剂，每包干燥剂1KG</t>
  </si>
  <si>
    <t>INDEKS RETAIL A/SSYSTEM TRANSPORT</t>
  </si>
  <si>
    <t>260167shipment 1-3</t>
  </si>
  <si>
    <t>4500198652-100</t>
  </si>
  <si>
    <t>4/2收到</t>
  </si>
  <si>
    <t>9283-S001:9283:MA_C_3L(EAN)收缩膜+丹麦/挪威/瑞典/芬兰语警告语&lt;(&gt;&amp;&lt;)&gt;care@zuru.com全部信息做成一张贴纸(贴纸和位置图翻PO#4500183592)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
 重新调整确认是否更新贴纸或调整位置图
 6.产品/包装不含PFAS成分
 7. 产品条码如下: 请先检查条码是否正确再安排做货，如有问题请告知
 9283-S001 4894680026841</t>
  </si>
  <si>
    <t>4500186375-50</t>
  </si>
  <si>
    <t>消耗4500188951成品和纸箱，纸箱内容水贴纸更正，补尾数</t>
  </si>
  <si>
    <t>6/5出</t>
  </si>
  <si>
    <t>4/13-客供价格贴纸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</si>
  <si>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9.#9283帮消耗Target AU PO#4500188951呆滞成品以及外箱</t>
  </si>
  <si>
    <t>4500200425-20</t>
  </si>
  <si>
    <t>4/8收到</t>
  </si>
  <si>
    <t>日期码格式：ZURU INC(BVI) 标准格式 日期：按实际生产日期
Packaging Info: MA PKG , 优先1L
外箱上的客户名称是”RDL Ltd “
Remark:</t>
  </si>
  <si>
    <t>ANSALDO CHILE</t>
  </si>
  <si>
    <t>智利</t>
  </si>
  <si>
    <t>JCL5300628851</t>
  </si>
  <si>
    <t>4500199289-20</t>
  </si>
  <si>
    <t>5/4收到</t>
  </si>
  <si>
    <t>5/1-价格贴纸+UPC贴纸</t>
  </si>
  <si>
    <t>日期码格式：ZURU INC(BVI) 标准格式 日期：按实际生产日期
Packaging Info: MA 多语包装价格贴纸+UPC贴纸+箱唛
Remark:</t>
  </si>
  <si>
    <t>4500199969-330</t>
  </si>
  <si>
    <t>进口商贴纸+UPC贴纸翻4500182578</t>
  </si>
  <si>
    <t>5/18-客供价标贴</t>
  </si>
  <si>
    <t>日期码格式：ZURU INC(BVI) 标准格式 日期：按实际生产日期
Packaging Info: 
92104TQ1/9283/92125:MA 多语包装+进口商贴纸+价标贴纸+箱唛，进口商贴纸翻单PO4500182578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</si>
  <si>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ZURU DENMARK APS</t>
  </si>
  <si>
    <t>4500202308-90</t>
  </si>
  <si>
    <t>9283-S005-MTS</t>
  </si>
  <si>
    <t>珠子配件包需要增加警语贴纸</t>
  </si>
  <si>
    <t>5/6-多语折叠警语贴纸+ 北欧3L(NO+SE+FI) 黑白警语贴纸+ 北欧4L(DK+NO+SE+FI) 黑白警语贴纸+ 北欧3L(NO+SE+FI) 黑白警语贴纸+4/28-北欧化学品警语黑白说明书</t>
  </si>
  <si>
    <t>日期码格式：ZURU INC(BVI) 标准格式 日期：按实际生产日期
Packaging Info:
9283：MA 最新版 3L+9L EAN 收缩膜+1*多语折叠警语贴纸+MA 贴纸+MA 5L+9L 收藏指南+ 北欧3L(NO+SE+FI) 黑白警语贴纸+MA 布标+MA 内袋+ 北欧4L(DK+NO+SE+F
I) 黑白警语贴纸+MA 5L+9L C版 藏宝图+ 北欧3L(NO+SE+FI) 黑白警语贴纸+1*北欧化学品警语黑白说明书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</si>
  <si>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</si>
  <si>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斯洛伐克</t>
  </si>
  <si>
    <t>999-76645</t>
  </si>
  <si>
    <t>4500200650-160</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</si>
  <si>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基于最新MA 1L UPC版本包装+1 张四国语言警告语( Czech-Hugarian-Polish-Slovak) 翻单4500186548+最新MA 5L收藏指南+客版 1L 版PDQ (2Facing4p
cs/PDQ)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UPC包装+1张四国警告语贴纸Czech-Hugarian-Polish-Slovak)+1张UPC条码贴纸,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</si>
  <si>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</si>
  <si>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4500197999-80</t>
  </si>
  <si>
    <t>6/3-6/5交仓</t>
  </si>
  <si>
    <t>4/26收到</t>
  </si>
  <si>
    <t>4/29防盗贴纸+5/11-外箱贴纸</t>
  </si>
  <si>
    <t>日期码格式：ZURU INC(BVI) 标准格式 日期：按实际生产日期
Packaging Info: 77772GQ1:MA英语UPC版本包装（收缩膜和说明书, MA首选1L，如无1L可用多语且含英语的配套多语包装) +防盜贴纸(贴纸以及防盜贴纸位置图翻单PO#4500193539)+
两张张覆盖PDQ上唱片的贴纸+两张张覆盖收藏指南上唱片的贴纸+一张覆盖PDQ上数字"45"的贴纸+一张覆盖收藏指南上数字"45"的贴纸+箱唛+外箱贴纸SSCC Label
配比信息：4 mini vinyls,1 accessory
Removed了 ""Messy &lt;(&gt;&amp;&lt;)&gt; Delicious""两张唱片
77794UQ1:客版PDQ + MA英语UPC版本包装（收缩膜和说明书, MA首选1L，如无1L可用多语且含英语的配套多语包装) +1张锂电池黑白警语书纸 + 1张防盗贴纸 (贴纸
以及位置图翻单PO#4500193539）+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92129TQ1： 英文MA包装(UPC版本，首选1L，无1L可用多L含英语) + 1张防盗贴纸 (贴纸以及位置图翻单4500182434）+箱唛+SSCC label外箱贴纸； 7 assortmen
ts, Ratio: Elephant: Toucan: Zebra: Sloth: Giraffe: Tiger: Peacock=10: 10: 10: 10: 10: 8: 2
9548: MA英语UPC版本包装（收缩膜和说明书, MA首选1L，如无1L可用多语且含英语的配套多语包装) + 1张防盗贴纸 (贴纸以及位置图翻单PO#4500126567）+ 箱唛
+ 外箱SSCC Label
9565GQ1: MA英语UPC版本包装（首选1LUPC，如果无1L可用多语含英语UPC版本）+ 防盗贴纸（贴纸资料及位置图翻单PO#4500175924） + 箱唛 + 外箱SSCC Label
配比信息：4 assortment, Orange:blue:pink:brown=5:5:6:6
25282: 全套MA英语UPC包装（首选1L，如果无1L可用多语含英语）+ 箱唛 + 外箱SCC Label，包装材质为PET
9283: MA英语UPC版本包装（收缩膜和说明书, MA首选1L，如无1L可用多语且含英语的配套多语包装) + 1张防盗贴纸 (贴纸以及位置图翻单PO#4500095104）+ 箱唛
+ 外箱SSCC Label 配比信息：Kitten:Bunny:Puppy:Cow:Elephant:Flamingo=1:1:1:1:1:1;
9574: MA英语UPC版本包装（收缩膜和说明书, MA首选1L，如无1L可用多语且含英语的配套多语包装) + 1张防盗贴纸 (贴纸以及位置图翻单PO#4500192690）+ 箱唛
+ 外箱SSCC Label
配比信息：2pcs baby capybara: 3pcs baby capybara= 5:1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9296:MA英语UPC版本包装（收缩膜和说明书, MA首选1L，如无1L可用多语且含英语的配套多语包装) + + 1张防盗贴纸 (贴纸以及位置图翻单PO# 4500111783）+ 箱
唛 + 外箱SSCC Label 配比信息：cow:monkey:panda:zebra:axolotl;chiken:=1:1:1:1:1:1;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</si>
  <si>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4500198000-70</t>
  </si>
  <si>
    <t>日期码格式：ZURU INC(BVI) 标准格式                  日期：按实际生产日期
Packaging Info: 77772GQ1:MA英语UPC版本包装（收缩膜和说明书, MA首选1L，如无1L可用多语且含英语的配套多语包装) +防盜贴纸(贴纸以及防盜贴纸位置图翻单PO#4500193539)+
箱唛+外箱贴纸SSCC Label
配比信息：4  mini vinyls,1 accessory
77794UQ1:MA英语UPC版本包装（收缩膜和说明书, MA首选1L，如无1L可用多语且含英语的配套多语包装) +1张锂电池黑白警语书纸 + 1张防盗贴纸 (贴纸以及位置图
翻单PO#4500193539）+ 箱唛 + 外箱SSCC Label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9548: MA英语UPC版本包装（收缩膜和说明书, MA首选1L，如无1L可用多语且含英语的配套多语包装) + 1张防盗贴纸 (贴纸以及位置图翻单PO#4500126567）+ 箱唛
+ 外箱SSCC Label
25282: 全套MA英语UPC包装（首选1L，如果无1L可用多语含英语）+ 箱唛 + 外箱SCC Label，包装材质为PET;
92119-S001 : MA英语UPC版本包装（收缩膜和说明书, MA首选1L，如无1L可用多语且含英语的配套多语包装) + 1张防盗贴纸 (贴纸以及位置图翻单PO#4500160268）
+ 箱唛 + 外箱SSCC Label
配比信息：7 Assortment, Polar bear: Penguin: Walrus: Mammoth: Owl: Seal: Snow man=10:10:10:10:10:8:2. Snow man is the rare item.
9283: MA英语UPC版本包装（收缩膜和说明书, MA首选1L，如无1L可用多语且含英语的配套多语包装) + 1张防盗贴纸 (贴纸以及位置图翻单PO#4500095104）+ 箱唛
+ 外箱SSCC Label 配比信息：Kitten:Bunny:Puppy:Cow:Elephant:Flamingo=1:1:1:1:1:1;
9296:MA英语UPC版本包装（收缩膜和说明书, MA首选1L，如无1L可用多语且含英语的配套多语包装) + + 1张防盗贴纸 (贴纸以及位置图翻单PO# 4500111783）+ 箱
唛 + 外箱SSCC Label 配比信息：cow:monkey:panda:zebra:axolotl;chiken:=1:1:1:1:1:1;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其他款：MA说明书+1张说明书纽扣电池警告语贴纸+ 1张收缩膜纽扣电池警告语贴纸(贴纸及位置图翻单PO#4500182434)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</si>
  <si>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SHOPRITE CHECKERS (PTY) LTD</t>
  </si>
  <si>
    <t>4500200490-40</t>
  </si>
  <si>
    <t>日期码格式：ZURU INC(BVI) 标准格式                  日期：按实际生产日期
Packaging Info: MA UPC PKG(优先1L)
Remark: 请留意箱唛顶部色带高度要求40mm, 色带上方需留空10mm高.
箱唛色带的数字代表生产年份"2026"
出南非市场，需符合当地法规</t>
  </si>
  <si>
    <t>4500203028-130</t>
  </si>
  <si>
    <t>拆分总数不变</t>
  </si>
  <si>
    <t>6/14出</t>
  </si>
  <si>
    <t>客供价格贴翻4500171334+5/111-外箱贴纸</t>
  </si>
  <si>
    <t>日期码格式：ZURU INC(BVI) 标准格式                  日期：按实际生产日期
Packaging Info: 1. ZURU MA  （首选1L）UPC版本+客供价格贴+外箱贴纸（为方便进行装柜区分，请按照后续提供的外箱贴纸文档去粘贴外箱），出口美国
92104-S004/9258-S004/9298-S003价格贴 位置参考4500191650
9298-S003配比Poodle:Brown Dalnation:Dalnation:Hound Dog: Schnauzer:Shepherd:Corgi：10:7:5:7:12:10:9
9283-S001价格贴参考4500171334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</si>
  <si>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4500203028-140</t>
  </si>
  <si>
    <t>客供价格贴翻4500171334+5/11-外箱贴纸</t>
  </si>
  <si>
    <t>4500202382-140</t>
  </si>
  <si>
    <t>客办翻单4500189525</t>
  </si>
  <si>
    <t>口水胶袋贴纸翻4500189525</t>
  </si>
  <si>
    <t xml:space="preserve">日期码格式：ZURU INC(BVI) 标准格式 日期：按实际生产日期
Packaging Info: 出UAE, 包装不能有希伯来语，需备两套大货版寄到SZ办公室。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扫描结果另外通知； UPC条码显示193052099105；
客人箱唛排版，印4面，条码内容193052099105
77858:MA 1L PKG+进口商贴纸 (含G Mark, QR code, 阿拉伯警语); 贴纸上的QR code需微信可扫; 扫描结果另外通知； UPC条码显示193052100238；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返工消耗4500189510/4500189525的库存，需将WEEE(含希伯来语）的说明书去除。
9574:MA 1L PKG+进口商贴纸 (含G Mark, QR code, 阿拉伯警语); 贴纸上的QR code需微信可扫; 扫描结果另外通知； UPC条码显示193052098436；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
客人箱唛排版，印4面，条码内容1193052100375.
92147：客版收缩膜 (含G Mark, QR code, 阿拉伯警语); 贴纸上的QR code需微信可扫; 扫描结果另外通知； UPC条码显示193052100382；客版收藏指南，其他配件
等包装用MA.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71152：MA 1L 收缩膜+进口商贴纸 (含G Mark, QR code, 阿拉伯警语)( 贴纸翻单4500162474); 贴纸上的QR code需微信可扫，扫描结果另外通知; 收缩膜上UPC条
码为193052079190；说明书+贴纸(说明书贴纸翻单4500162345); 产品年龄3+；
客人箱唛排版，印4面，条码内容193052079190；
所有包装需要不含希伯来语/Hebrew/(He) 语言
71172：MA PKG+进口商贴纸 (含G Mark, QR code, 阿拉伯警语); 贴纸上的QR code需微信可扫; 扫描结果另外通知； UPC条码显示193052098443；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
所有包装需要不含希伯来语/Hebrew/(He) 语言
7133：MA 彩盒+进口商贴纸 (含G Mark, QR code, 阿拉伯警语)（贴纸翻单4500148906）; 贴纸上的QR code需微信可扫，扫描结果另外通知; 收缩膜上UPC条码为19
3052028181；客版说明书（说明书翻单4500148906）；产品年龄3+；
客人箱唛排版，印4面，条码内容193052028181；
所有包装需要不含希伯来语/Hebrew/(He) 语言
Remark:
</t>
  </si>
  <si>
    <t>沙特</t>
  </si>
  <si>
    <t>4500202631-150</t>
  </si>
  <si>
    <t>日期码格式：ZURU INC(BVI) 标准格式 日期：按实际生产日期
Packaging Info: 出KSA, 所有包装不能有希伯来语（HE), 所有RBC的产品（内外）包装上都不能有彩虹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77803GQ2:MA 1L PKG, 收缩膜(加UPC贴纸+进口商贴纸) +贴纸+客版PDQ跟回77782GQ1-S001-INT（翻单号4500161302）+客版收藏指南（客版包装翻单4500162410）;
PDQ+进口商贴纸, 贴纸AW翻单4500189510.
客人箱唛排版，印4面，条码内容193052092403
77843GQ2:MA 1L PKG+进口商贴纸 (含G Mark, QR code, 阿拉伯警语); 贴纸上的QR code需微信可扫； UPC条码显示193052099105；AW翻单4500202382。
客人箱唛排版，印4面，条码内容193052099105
77858:MA 1L PKG+进口商贴纸 (含G Mark, QR code, 阿拉伯警语); 贴纸上的QR code需微信可扫; 扫描结果另外通知； UPC条码显示193052100238；AW翻单4500202
382。
客人箱唛排版，印4面，条码内容193052100238
9565GQ1:MA 1L 收缩膜+进口商贴纸(含G Mark, QR code, 阿拉伯警语) ；贴纸上的QR code需微信可扫; MA说明书(不含希伯来语/Hebrew/He)+一张客制黑白说明书
纸(翻单4500167242)；MA PDQ+进口商贴纸; 产品年龄2+;AW翻单4500193317
4 assortment, Orange:blue:pink:brown=5:5:6:6
客人箱唛排版，印4面，条码内容：193052084545；
9574:MA 1L PKG+进口商贴纸 (含G Mark, QR code, 阿拉伯警语); 贴纸上的QR code需微信可扫; 扫描结果另外通知； UPC条码显示193052098436；AW翻单45002023
82。
客人箱唛排版，印4面，条码内容193052098436
92104TQ1: 客版收缩膜(含G Mark, QR code, 阿拉伯警语); 贴纸上的QR code需微信可扫; UPC条码显示193052064417; 客版PDQ+进口商贴纸; 客版收藏指南; 客版
镭射贴纸；MA 口水胶袋+贴纸；产品年龄3+；AW翻单4500189525
客人箱唛排版，印4面，条码内容193052064417；
92105: 客版包装(含G Mark, QR code, 阿拉伯警语); 贴纸上的QR code需微信可扫，扫描结果另外通知; UPC条码显示193052064165；客版收藏指南/客版贴纸/客
版证明卡， MA 胶袋。AW翻单4500202382。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口水胶袋和罐子+logo贴纸；产品年龄3+；AW全部翻单4500189525
2. 6 Assortments,siamese cat:pink-white cat:purple cat:black cat:brown-white cat:orange cat=1:1:1:1:1:1, no rare;
3.客人箱唛排版，印4面，条码内容193052083951；
92129TQ1：客版收缩膜(含G Mark, QR code, 阿拉伯警语); 贴纸上的QR code需微信可扫，扫描结果另外通知; UPC条码显示193052088925;客版PDQ+进口商贴纸; 客
版收藏指南; 客版镭射贴纸；MA 口水胶袋+贴纸；产品年龄3+；AW全部翻单4500189525
客人箱唛排版，印4面，条码内容193052088925；
7 assortments, Ratio: Elephant: Toucan: Zebra: Sloth: Giraffe: Tiger: Peacock=10: 10: 10: 10: 10: 8: 2;
92146TQ1：客版收缩膜 (含G Mark, QR code, 阿拉伯警语); 贴纸上的QR code需微信可扫; 扫描结果另外通知； UPC条码显示193052100375；客版PDQ, 客版收藏
指南，其他配件包装为MA。AW翻单4500202382。
客人箱唛排版，印4面，条码内容1193052100375.
92147：客版收缩膜 (含G Mark, QR code, 阿拉伯警语); 贴纸上的QR code需微信可扫; 扫描结果另外通知； UPC条码显示193052100382；客版收藏指南，其他配件
等包装用MA. 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MA。AW翻单4500202382。
客人箱唛排版，印4面，条码内容193052057129.
9298TQ1：客版收缩膜 (含G Mark, QR code, 阿拉伯警语); 贴纸上的QR code需微信可扫; UPC条码显示193052057426; 客版PDQ+进口商贴纸; 客版收藏指南; MA 口
水胶袋+贴纸；产品年龄3+；AW全部翻单4500189510
客人箱唛排版，印4面，条码内容193052057426；
7 assortment (6 common + 1 rare)=CORGI(Rare):SHEPHERD:POODLE:DALMATIAN: SCHNAUZER:BROWN DALNATIAN:HOUND DOG=2:8:10:10:10:10:10;
71172：MA PKG+进口商贴纸 (含G Mark, QR code, 阿拉伯警语); 贴纸上的QR code需微信可扫; 扫描结果另外通知； UPC条码显示193052098443；AW翻单450020238
2。
客人箱唛排版，印4面，条码内容193052098443.
7132：1. MA 彩盒+进口商贴纸 (含G Mark, QR code, 阿拉伯警语)(贴纸翻单4500128286); 贴纸上的QR code需微信可扫，扫描结果为40935; UPC条码显示19305202
8174; MA说明书(不含希伯来语/Hebrew/He); 产品年龄3+;
2. 客人箱唛排版，印4面，条码内容193052028174；</t>
  </si>
  <si>
    <t>4500202591-120</t>
  </si>
  <si>
    <t>日期码格式：ZURU INC(BVI) 标准格式 日期：按实际生产日期
Packaging Info: 出QATAR, 包装不能有希伯来语，带Slime（口水胶)的产品需寄2套MA样板到SZ办公室， 急需寄出给客户测试。
所有RBC的产品（内外）包装不能有彩虹。
77803GQ2/77803SK1:MA 1L PKG, 收缩膜(加UPC贴纸+进口商贴纸) ， 客版PDQ跟回77782GQ1-S001-INT（翻单号4500161302）+客版收藏指南（客版包装翻单450016
2410）; PDQ和展示架+进口商贴纸， 贴纸AW翻单4500189510。
客人箱唛排版，印4面，条码内容193052092403
77843GQ2:MA 1L PKG+进口商贴纸 (含G Mark, QR code, 阿拉伯警语); 贴纸上的QR code需微信可扫; 扫描结果另外通知； UPC条码显示193052099105；贴纸AW翻单
4500202382。
客人箱唛排版，印4面，条码内容193052099105
77858:MA 1L PKG+进口商贴纸 (含G Mark, QR code, 阿拉伯警语); 贴纸上的QR code需微信可扫; 扫描结果另外通知； UPC条码显示193052100238；贴纸AW翻单450
0202382。
客人箱唛排版，印4面，条码内容193052100238
9561： MA 收缩膜+进口商贴纸 (含G Mark, QR code, 阿拉伯警语)(贴纸翻单4500162345); 贴纸上的QR code需微信可扫，扫描结果为74664; UPC条码显示19305207
8902; 产品年龄3+; MA 收藏指南+贴纸(贴纸翻单4500162345);
客人箱唛排版，印4面，条码内容193052078902；
返工消耗4500189510的库存，需将WEEE(含希伯来语）的说明书去除。
9574:MA 1L PKG+进口商贴纸 (含G Mark, QR code, 阿拉伯警语); 贴纸上的QR code需微信可扫; 扫描结果另外通知； UPC条码显示193052098436；贴纸AW翻单4500
202382。
客人箱唛排版，印4面，条码内容193052098436
92105: 客版包装(含G Mark, QR code, 阿拉伯警语); 贴纸上的QR code需微信可扫，扫描结果另外通知; UPC条码显示193052064165；客版收藏指南/客版贴纸/客
版证明卡， MA 胶袋。 全部AW翻单4500202382。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92146TQ1：客版收缩膜 (含G Mark, QR code, 阿拉伯警语); 贴纸上的QR code需微信可扫; 扫描结果另外通知； UPC条码显示193052100375；客版PDQ, 客版收藏
指南，其他配件包装为MA。全部AW翻单4500202382。
客人箱唛排版，印4面，条码内容1193052100375.
92147：客版收缩膜 (含G Mark, QR code, 阿拉伯警语); 贴纸上的QR code需微信可扫; 扫描结果另外通知； UPC条码显示193052100382；客版收藏指南，其他配件
等包装用MA. 全部AW翻单4500202382。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MA。全部AW翻单4500202382。
客人箱唛排版，印4面，条码内容193052057129.
71172：MA PKG+进口商贴纸 (含G Mark, QR code, 阿拉伯警语); 贴纸上的QR code需微信可扫; 扫描结果另外通知； UPC条码显示193052098443；AW翻单450020238
2。
客人箱唛排版，印4面，条码内容193052098443.
Remark:
Order</t>
  </si>
  <si>
    <t>AUCHAN  FRANCE</t>
  </si>
  <si>
    <t>法国</t>
  </si>
  <si>
    <t>4500196050-30</t>
  </si>
  <si>
    <t>6/9第三方</t>
  </si>
  <si>
    <t>7/2出</t>
  </si>
  <si>
    <t>4/13-PL callout/Warning贴纸+收藏指南PL警语贴纸</t>
  </si>
  <si>
    <t>DG20260601</t>
  </si>
  <si>
    <t>日期码格式：DG20260601 日期：
Packaging Info: 
9283:MA3L C版收缩膜+1张PL callout/Warning贴纸(ALE CODE)+MA5L收藏指南+1张PL警语贴纸+MA布标/贴纸/证书/袋子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</si>
  <si>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Ula  Zhao</t>
  </si>
  <si>
    <t>GIOCHI PREZIOSI EĞITIMARAÇLARI TIC</t>
  </si>
  <si>
    <t>4500203892-30</t>
  </si>
  <si>
    <t>5/12收到</t>
  </si>
  <si>
    <t>客人警告语含条码贴纸翻单4500119826，产品蛋壳需印Item # 9283</t>
  </si>
  <si>
    <t>日期码格式：ZUR6156</t>
  </si>
  <si>
    <t>日期码格式：ZUR6156 日期：
Packaging Info: 
 9283:MA 1L收缩膜/MA 5L收藏指南 +客人警告语贴纸（含客户条码）; MA布标；AW翻单4500119826
 工厂日期码 产品/包装/外箱请保持一致。
 客户日期码: ZUR6156 包装/外箱请保持一致。
 产品蛋壳需印Item # 9283
 请将大货数量寄到以下地址：
 9298TQ1：两套大货样带PDQ
 92125: 随机成品6pcs
 9283：随机成品6pcs
 92104TQ1：两套大货样带PDQ
 92119：随机成品6pcs
 9296：随机成品6pcs
 Attn: Sylvia Li
 Company name: GP Services HK Limited
 Company address: Suite 1502, 15th Floor, Chinachem Golden Plaza, 77 Mody Road, TST East, Kowloon, Hong Kong
 Company address (Chinese): 香港九龍尖沙咀東部麼地道77號華懋廣場1502室
 Contact Tel: +852 2739 5363
Remark: 9298TQ1: assortment (6 common + 1 rare)=CORGI(Rare):SHEPHERD:POODLE:DALMATIAN:SCHNAUZER:BROWN DALNATIAN:HOUND DOG=2:8:10:10:10:10:10;
 92125:6 Assortments,siamese cat:pink-white cat:purple cat:black cat:brown-white cat:orange cat=1:1:1:1:1:1, no rare.
9283:Kitten:Bunny:Puppy:Cow:Elephant:Flamingo=1:1:1:1:1:1;
 92104TQ1:MUNCHKIN(RARE): HIMALAYAN: PERSIAN: MAINE COON: RAGDOLL: RAGAMUFFIN: NORWEGIAN FOREST CAT = 2: 8: 10: 10: 10: 10: 10
 92119:7 Assortment, Polar bear: Penguin: Walrus: Mammoth: Owl: Seal: Snow man=10:10:10:10:10:8:2. Snow man is the rare item.
 9296: cow:monkey:panda:zebra:axolotl;chiken:=1:1:1:1:1:1.</t>
  </si>
  <si>
    <t>4500196004-30</t>
  </si>
  <si>
    <t>4/13PL callout/Warning贴纸+收藏指南PL警语贴纸</t>
  </si>
  <si>
    <t>日期码格式：DG20260601 日期：
Packaging Info: 
9283：MA3L C版收缩膜+1张PL callout/Warning贴纸(ALE CODE)+MA5L收藏指南+1张PL警语贴纸+MA布标/贴纸/证书/袋子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</si>
  <si>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4500195886-10</t>
  </si>
  <si>
    <t>PL callout/Warning贴纸+收藏指南PL警语贴纸 全部翻4500196004</t>
  </si>
  <si>
    <t>日期码格式：DG20260601 日期：
Packaging Info: 9283:MA3L C版收缩膜+1张PL callout/Warning贴纸(ALE CODE)+MA5L收藏指南+1张PL警语贴纸+MA布标/贴纸/证书/袋子
Remark: 1. 预计6/9三方验货，请多备料1-2套大货样；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</si>
  <si>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4500199821-60</t>
  </si>
  <si>
    <t>6/18出</t>
  </si>
  <si>
    <t>5/18-进口商贴纸+4/15-QR code</t>
  </si>
  <si>
    <t>日期码格式：ZURU INC(BVI) 标准格式                  日期：按实际生产日期
Packaging Info: 15757: MA UPC 彩盒+ 进口商贴纸+QR code (一物一码)
92107B/92107D/92107E/9283/9296/9298/9565/9298/92104/92146/92147: MA UPC收缩膜+MA 收藏指南+ 进口商贴纸+QR code (一物一码)
9574: MA 1L UPC彩盒+MA 说明书+ 进口商贴纸+QR code (一物一码)
71152: MA UPC彩盒+MA 说明书+ 进口商贴纸+QR code (一物一码)
9561: MA 1L UPC收缩膜+MA 收藏指南+MA说明书+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</si>
  <si>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 xml:space="preserve"> MCD BRANDS SAS</t>
  </si>
  <si>
    <t>4500204440-80</t>
  </si>
  <si>
    <t>6/22出</t>
  </si>
  <si>
    <t>进口商贴纸翻4500195747</t>
  </si>
  <si>
    <t>日期码格式：ZURU INC(BVI) 标准格式 日期：按实际生产日期
Packaging Info: 
 9283 9574/9296/92125/9283:MA 多语包装+进口商贴纸+箱唛，进口商贴纸翻单PO4500195747
Remark: 1.进口商贴纸请多备料5pcs,出货后需要寄给客户留底
 2.如后续提供的贴纸文档中进口商贴纸和条码贴纸合并为一张，可忽略条码贴纸的需求</t>
  </si>
  <si>
    <t>4500202901-370</t>
  </si>
  <si>
    <t>进口商+UPC贴纸翻单PO4500199969</t>
  </si>
  <si>
    <t>价标贴纸</t>
  </si>
  <si>
    <t>日期码格式：ZURU INC(BVI) 标准格式                  日期：按实际生产日期
Packaging Info: 7152/7151/7150/7149/7133：:MA 1L包装+MA多语说明书（含西语）+进口商贴纸+价标贴纸+保证书+箱唛，包装/说明书都需要贴一张进口商贴纸,进口商贴纸和保证
书翻单PO4500199969
77673/77858/77773GQ2/77843GQ2/9574:MA 多语包装+进口商贴纸+UPC贴纸+价标贴纸+保证书+箱唛，包装/说明书都需要贴一张进口商贴纸进口商贴纸和UPC贴纸/保
证书翻单PO4500199969
77794UQ1/9565GQ1:MA 多语包装+进口商贴纸+UPC贴纸+价标贴纸+保证书+箱唛，包装/说明书都需要贴一张进口商贴纸
25252/25253:MA 1L包装+MA 多语说明书+进口商贴纸+价标贴纸+保证书+箱唛，包装/说明书都需要贴一张进口商贴纸
15752/15789UQ1/15750/15749/15787/15788:MA 多语UPC包装+进口商贴纸+价标贴纸+箱唛,进口商贴纸翻单PO4500199969
15756UQ1/15759UQ1/15760UQ1/157117UQ1:MA 多语UPC包装+进口商贴纸+MOTHER UPC贴纸+价标贴纸+箱唛,进口商贴纸和MOTHER UPC贴纸翻单PO4500199969
77711GQ2/77555GQ2/77770GQ2/92104TQ1/9296/9283:MA多语包装+进口商贴纸+UPC贴纸+价标贴纸+箱唛,进口商贴纸和UPC贴纸翻单PO4500199969
15747:MA 多语UPC包装+进口商贴纸+价标贴纸+箱唛
77685GQ2/77772GQ2/92107/9298TQ1/92146/92105/9297/92147:MA多语包装+进口商贴纸+UPC贴纸+价标贴纸+箱唛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</si>
  <si>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ET-GROUP A/S</t>
  </si>
  <si>
    <t>4500202539-10</t>
  </si>
  <si>
    <t>5/11收到</t>
  </si>
  <si>
    <t>日期码格式：ZURU INC(BVI) 标准格式                  日期：按实际生产日期
Packaging Info: 1. 9283: MA_C_3L(EAN)收缩膜+挪威/瑞典/芬兰语警告语&lt;(&gt;&amp;&lt;)&gt;care@zuru.com全部信息做成一张贴纸(贴纸和位置图翻PO#4500183592)
 2. 7150B: MA1L_B 彩盒+三岁以下警告语翻译成挪威语警告语&lt;(&gt;&amp;&lt;)&gt;7150B EAN#4894680021143&lt;(&gt;&amp;&lt;)&gt;care@zuru.com做成一张贴纸贴在彩盒上+彩盒上的瑞典语电
池信息错误,更新为Batterier ingårinte，做丹麦/芬兰/瑞典/挪威电池信息贴纸覆盖错误的部分(--贴纸和位置图翻PO#4500183825)+客版6L说明书(英语丹麦瑞典
芬兰挪威爱沙尼亚语言翻PO#4500162375)
--客版说明书消耗客版MA#1000032704库存
 3. 92129TQ2: MA_A_3L(Warning 23L)-EAN版收缩膜+MA A Version_5L(WARNING 9L) POOP POLYBAG_+丹麦瑞典芬兰挪威爱沙尼亚语警告语贴纸贴在polybag上(贴纸和
位置图翻SOK PO#4500175934)+MA 2L布标+MA_A_5L(Warning 23L)收藏指南+MA A版PDQ
 4. 9543GQ1: MA D_3L+5L EAN版收缩膜+警告语/MADE IN CHINA/收缩膜上的布标信息全部信息翻译成丹麦瑞典芬兰挪威爱沙尼亚语做成一张贴纸贴在收缩膜上(贴纸
和位置图翻Lekia PO#4500192711)+客版C6L 版说明书(英语丹麦瑞典芬兰挪威爱沙尼亚语言/WEEE信息直接印刷在说明书上--翻Lekia PO#4500192711)
 5.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--客版收藏海南消耗客版MA#1000038567库存
6. 77843GQ1: MA A3L EAN收缩膜+警告语和MADE IN CHINA都翻译成丹麦瑞典芬兰挪威爱沙尼亚语做成一张贴纸(贴纸和位置图翻ICA PO#4500195091)+MA A5L ACCES
SORY BAG+丹麦瑞典芬兰挪威爱沙尼亚警告语贴纸贴在袋子上(贴纸和位置图翻ICA PO#4500195091)+MA A5L收藏指南+MA A23L警告语和胶水说明书+WEEE_带电池走货
    说明书欧洲EN+29L_C版+MA 3L PDQ
7. 9258: MA_B_3L(warning 9L) UPC版收缩膜+EAN#4894680021082/丹麦瑞典芬兰挪威语警告语做成一张贴纸+slime polybag_MA_C_5L-9L warning+瑞典芬兰挪威语
警告语贴纸贴在slime袋子上+MA_B_5L(9L warning)收藏指南+MA_B beads bag+挪威瑞典丹麦芬兰爱沙尼亚警告语贴在beads bag袋子上(翻TAS PO#4500161075)+MA
布标
 8. 92104TQ2: MA_B_3L(Warning 13L)_EAN版收缩膜+丹麦瑞典芬兰挪威警告语贴纸(贴纸和位置图翻ICA PO#4500169371)+MA_B_5L(warning 23L)收藏指南+MA_C_5L(w
 arning 9L) Slime Polybag+丹麦瑞典芬兰挪威爱沙尼亚警告语贴纸贴在袋子上(贴纸和位置图翻Kärkkäine O#4500179713)+MA PDQ+MA 布标/贴纸/吊牌+MA B版PDQ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以及不含石棉成分
7. 产品条码如下: 请先检查条码是否正确再安排做货，如有问题请告知:
9283-S001:4894680026841
7150B-S002:4894680021143
92129TQ2-S002-NB:4894680049888
9543GQ1-S002:4894680026995
9565GQ1-S002:4894680046511
77843GQ1-S002:4894680057753
9258-S004-CA:4894680021082
92104TQ2-S002-NB:4894680033542</t>
  </si>
  <si>
    <t>GEKAS  ULLAREED  AB</t>
  </si>
  <si>
    <t>4500197002-100</t>
  </si>
  <si>
    <t>挪威/瑞典/芬兰语警告语翻4500183592</t>
  </si>
  <si>
    <t>日期码格式：ZURU INC(BVI) 标准格式 日期：按实际生产日期
Packaging Info: 71152-S001_MA_A_3L(23L warning) EAN版彩盒+MA 5L(9L warning)说明书+说明书上的play instructions/to replace batteries/battery safety information/警
告语/WEEE以上全部信息全部翻译成丹麦瑞典挪威语做成贴纸贴在说明书上(不能覆盖英语)(翻单4500195356)
9283:MA_C_3L(EAN)收缩膜+挪威/瑞典/芬兰语警告语&lt;(&gt;&amp;&lt;)&gt;care@zuru.com全部信息做成一张贴纸(贴纸和位置图翻PO#4500183592)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9296-S004-NB:COW:MONKEY:PANDA:ZEBRA:AXOLOTL;CHIKEN:=1:1:1:1:1:1;
92147-S001:Black Cat:Owl:Axolotl:Unicorn:Bat:Bunny=1:1:1:1:1:1
92146TQ1-S002:Cat:Raccoon:Deer:Tiger:Pigeon:Owl=1:1:1:1:1:1
9565GQ1-S002:4 assortment, Orange:blue:pink:brown=5:5:6:6
77673-S004:Fixed Collection
25282-2026-S004:Baby Shark(yellow)/ Mummy Shark(pink)/ Daddy Shark(blue) =1:1:1;
8. SKU-客户SKU-EAN
71152-S001-4894680042742
9258-S004-CA-4894680021082
9296-S004-NB-4894680029606
92147-S001-4894680058941
92146TQ1-S002-4894680058934
9565GQ1-S002-4894680046511
77515-S001-NS-4894680032255
77673-S004-4894680042773
77711-S001-INT-4894680043350
9283-S005-4894680026841
25282-2026-S004-4894680032705</t>
  </si>
  <si>
    <t>4500200614-200</t>
  </si>
  <si>
    <t>进口商贴纸/UPC贴纸翻4500200402</t>
  </si>
  <si>
    <t>日期码格式：ZURU INC(BVI) 标准格式 日期：按实际生产日期
Packaging Info:
9298TQ1/92129TQ1/92104TQ1/92146/92105/9283/92125/92147: MA多语包装+进口商贴纸+箱唛，进口商贴纸翻单PO4500200402
Remark: 如某个item的进口商贴纸和UPC贴纸合并为一张，请忽略UPC贴纸的需求，包装上的条码必须是UPC</t>
  </si>
  <si>
    <t>4500206680-40</t>
  </si>
  <si>
    <t>5/18收到</t>
  </si>
  <si>
    <t>6/2-进口商贴纸+5/12-QR code (一物一码)</t>
  </si>
  <si>
    <t>日期码格式：ZURU INC(BVI) 标准格式                  日期：按实际生产日期
Packaging Info: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BY TRAIN 要求带电池/不带电池不同柜；装柜时同一款必须放在同一个柜子里。
 7. 整张单走EXW。
Remark: 9548：MA UPC 包装+进口商贴纸+QR code (一物一码)
条码：193052064196
配比：1 Assortment
9565GQ1 MA UPC 包装+MA PDQ+进口商贴纸+QR code (一物一码)
条码：193052084545
配比：4 assortment, Orange:blue:pink:brown=5:5:6:6
9296 MA UPC包装+进口商贴纸+QR code (一物一码)
条码：193052057129
配比：cow:monkey:panda:zebra:axolotl;chiken:=1:1:1:1:1:1;
9283 MA UPC包装+进口商贴纸+QR code (一物一码)
条码：193052050106
配比：Kitten:Bunny:Puppy:Cow:Elephant:Flamingo=1:1:1:1:1:1;
92105 MA UPC包装+进口商贴纸+QR code (一物一码)
条码：193052064165
配比：SLOTH:BUNNY:DALMATIAN:HIPPO:COW:KITTEN:POODLE=3:7:10:10:10:10:10; RARE: SLOTH
15787 MA UPC 包装+进口商贴纸+QR code (一物一码)
条码：
15787A Stinkface  193052099525
15787B Wrinkle McStinkles 193052099532
15787D Rabid Rabbit 193052099549
15787E Oogah Boogah 193052099556
15787G Mr Screech 193052099563
15787H Sasquoosh 193052099570
配比：6 Assortments; Even ratio
71152 MA UPC 包装+进口商贴纸+QR code (一物一码)
条码：193052079190
配比：标准配比</t>
  </si>
  <si>
    <t>AUCHAN  POLSKA'  SP.  Z  O.O.</t>
  </si>
  <si>
    <t>4500196154-30</t>
  </si>
  <si>
    <t>预计6/26第三方</t>
  </si>
  <si>
    <t>PL callout/Warning贴纸+收藏指南PL警语贴纸翻4500196004</t>
  </si>
  <si>
    <t>DG20260618</t>
  </si>
  <si>
    <t>日期码格式：DG20260618 日期：
Packaging Info: 
9283：MA3L C版收缩膜+1张PL callout/Warning贴纸(ALE CODE)+MA5L收藏指南+1张PL警语贴纸+MA布标/贴纸/证书/袋子 （包装都翻4500196004）
Remark: 1. 预计6/26三方验货，请多备料1-2套大货样；
2. 指定日期码：包装上的日期码最好打在条码上方, 如位置不好可换其他适合的位置; 产品日期码直接打印在产品上
3. 所有包装材料不能含PVC &lt;(&gt;&amp;&lt;)&gt; EPS材料，需改用PET，EPE，or EPP环保材料; 另外包装不要覆膜，如果一定要覆膜，就改水性光油; 表面处理，不使用 UV 清
漆，无覆膜层压，改用哑油。
4.有关胶水类的：不使用溶剂型粘合剂。
5.包装材料：需要使用FSC或PEFC认证纸张
6. 关于"包装新油墨规定"，根据法国新法规：禁止在包装印刷油墨中使用矿物油中含有的物质。
欧尚要求有关物质必须遵守以下限制:
-油墨中MOAH的质量浓度(1-7个芳香环之和)≤0.1%
-油墨中MOAH的质量浓度(3-7个芳香环之和)≤1PPM
- MOSH油墨中的质量浓度(16 ~ 35个碳原子的总和)≤0.1%
7. 对于包装印刷, Auchan要求使用植物油，而非矿物油
8. 客户会突击检查&lt;(&gt;&amp;&lt;)&gt;验厂，确保在本厂生产，禁止外包，一旦被发现，中止所有订单的合作
9.产品请确保符合EU微塑料法规</t>
  </si>
  <si>
    <t>order 5383Ural</t>
  </si>
  <si>
    <t>4500198079-10</t>
  </si>
  <si>
    <t>6/4-进口商贴纸+EAN条码贴纸翻4500198067+3/31-QR code 贴纸+SSCC label 条码</t>
  </si>
  <si>
    <t>外包装/外箱不要打ZURU标准日期</t>
  </si>
  <si>
    <t>日期码格式：外包装/外箱不要打ZURU标准日期 日期：
Packaging Info: 此单所有item的进口商贴纸/EAN条码贴纸翻单4500198067；
9283/9296/9298TQ1/92105//92106/92107/92108/92119/9565GQ1/92129：
1L MAUPC 收缩膜+ 进口商贴纸+ EAN条码贴纸+QR code 贴纸 （一物一码）,MA PDQ/说明书/指南（如有）；
Remark: 客户DM订单注意事项:
1. 标准配比
2. 请按期完货， 会有罚金。
3. 出仓库- Ural ；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</si>
  <si>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Amy xiao</t>
  </si>
  <si>
    <t>order 5383Bekasovo 2</t>
  </si>
  <si>
    <t>4500198067-10</t>
  </si>
  <si>
    <t>6/4-进口商贴纸+ EAN条码贴纸+3/31-QR code 贴纸+SSCC label 条码</t>
  </si>
  <si>
    <t>日期码格式：外包装/外箱不要打ZURU标准日期 日期：
Packaging Info: 9283/9296/9298TQ1/92105//92106/92119/92129/92107/92108/9565GQ1:1L MAUPC 收缩膜+ 进口商贴纸+ EAN条码贴纸+QR code 贴纸 （一物一码）,MA PDQ/说明书
/指南（如有）；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</si>
  <si>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4500207784-260</t>
  </si>
  <si>
    <t>6/3-客供价格贴纸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</si>
  <si>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3.#15714-S001比例：b:d:e:g:h:k:m=1：1：1：2：1：1：5
    #15727-S001比例：d:l:m=1:1:1</t>
  </si>
  <si>
    <t>4500207784-360</t>
  </si>
  <si>
    <t>4500207784-370</t>
  </si>
  <si>
    <t>LLC  SALUS</t>
  </si>
  <si>
    <t>4500206895-10</t>
  </si>
  <si>
    <t>5/23收到</t>
  </si>
  <si>
    <t>6/9-进口商贴纸+5/23-QR code</t>
  </si>
  <si>
    <t>日期码格式：ZURU INC(BVI) 标准格式 日期：按实际生产日期
Packaging Info: MA UPC 包装+进口商贴纸+QR code (一物一码)+MA PDQ(如有）
配比：标准配比
包装上年龄需与进口商贴纸上的一致，若不一致需加上相对应的年龄贴纸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</si>
  <si>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  Zhang</t>
  </si>
  <si>
    <t>9283A-S003-1L</t>
  </si>
  <si>
    <t>4500206895-20</t>
  </si>
  <si>
    <t>9283B-S003-1L</t>
  </si>
  <si>
    <t>4500206895-30</t>
  </si>
  <si>
    <t>9283D-S003-1L</t>
  </si>
  <si>
    <t>4500206895-40</t>
  </si>
  <si>
    <t>9283H-S001-PKC-1</t>
  </si>
  <si>
    <t>4500206895-360</t>
  </si>
  <si>
    <t>4500206895-370</t>
  </si>
  <si>
    <t>4500206895-380</t>
  </si>
  <si>
    <t>4500206895-390</t>
  </si>
  <si>
    <t>4500207067-60</t>
  </si>
  <si>
    <t>6/9-客供价格贴纸</t>
  </si>
  <si>
    <t>日期码格式：ZURU INC(BVI) 标准格式                  日期：按实际生产日期
Packaging Info: 1.  STD Items: ZURU MA UPC 现有包装+客供价格贴纸，优先使用MA 1L最新版本（可接受多语）,出口美国
Cus Item: #9579, #9564:   MA UPC 现有包装+PVC桶, 铜板纸+客供价格贴纸，优先使用MA 1L最新版本（可接受多语），出口美国。
Remark: #15714 Ratio —   b:d:e:g:m=2:2:2:2:4
#15733 去除K款，其余平均
#92107 Ratio —   蝴蝶D: 长颈鹿B：大象A= 1:1:2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</si>
  <si>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05712-LNV-FALL</t>
  </si>
  <si>
    <t>4500206390-250</t>
  </si>
  <si>
    <t>6/9-UPC条码贴</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</si>
  <si>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Remark:9283  Kitten:Bunny:Puppy:Cow:Elephant:Flamingo=1:1:1:1:1:1;</t>
  </si>
  <si>
    <t>MELOMAN  HOME  VIDEO  LLP</t>
  </si>
  <si>
    <t>4500207968-80</t>
  </si>
  <si>
    <t>7/13出</t>
  </si>
  <si>
    <t>5/25收到</t>
  </si>
  <si>
    <t>5/25-通用贴纸</t>
  </si>
  <si>
    <t>日期码格式：ZURU  INC(BVI)  标准格式                                    日期：按实际生产日期
Packaging Info: MA  UPC  包装+通用贴纸，MA  PDQ/说明书（如有）
Remark: 标准配比；</t>
  </si>
  <si>
    <t>4500205041-240</t>
  </si>
  <si>
    <t>7/23出</t>
  </si>
  <si>
    <t>5/29收到</t>
  </si>
  <si>
    <t>进口商贴纸/UPC贴纸翻4500182578</t>
  </si>
  <si>
    <t>6/22-价标贴纸</t>
  </si>
  <si>
    <t>日期码格式：ZURU INC(BVI) 标准格式                  日期：按实际生产日期
Packaging Info: 
9296/9283/92125:MA 多语包装+进口商贴纸+UPC贴纸+价标贴纸+箱唛，进口商贴纸和UPC贴纸翻单PO4500182578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</si>
  <si>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4500208747-20</t>
  </si>
  <si>
    <t>警告语贴纸(贴纸和位置图翻4500183592)</t>
  </si>
  <si>
    <t>日期码格式：ZURU INC(BVI) 标准格式 日期：按实际生产日期
Packaging Info: 
9283:MA_C_3L(EAN)收缩膜+挪威/瑞典/芬兰语警告语贴纸(贴纸和位置图翻PO#4500183592)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</si>
  <si>
    <t>4500198128-10</t>
  </si>
  <si>
    <t>日期码格式：外包装/外箱不要打ZURU标准日期                  日期：
Packaging Info: 9283/9296/9298TQ1/92105//92106/92119/9565GQ1/92129的进口商贴纸/EAN条码贴纸翻单4500198067；
1. 9283/9296/9298TQ1/92105//92106/92119/9565GQ1/92129：
1L MAUPC 收缩膜+ 进口商贴纸+ EAN条码贴纸+QR code 贴纸  （一物一码）,MA PDQ/说明书/指南（如有）；
Remark: 客户DM订单注意事项:
 1. 标准配比
 2. 请按期完货，  会有罚金。
 3. 出仓库-Ural
 4. 外包装(指:收缩膜/彩卡/铝箔袋/挂卡/PDQ)/外箱不要打ZURU标准日期码!胶件可以打日期码。
 5. 零售包装上的QR code贴纸（要求一物一码，每PCS的二维码不一样，二维码可扫描区域尺寸要大于15x15mm ，  整张贴纸尺寸25X40MM &lt;(&gt;&lt;&lt;)&gt;含二维码下序列号
 /Art/size等&gt;,白底黑字，分辨率要大于300dpi，位置要远离条码。  可贴零售   包装的侧面右下角/背面的右上角/挂卡的背面/正面的右上角，距离边距5mm）;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t>
  </si>
  <si>
    <t>4500198108-10</t>
  </si>
  <si>
    <t>日期码格式：外包装/外箱不要打ZURU标准日期 日期：
Packaging Info: 9283/9296/9298TQ1/92105//92106/92119/9565GQ1/92129的进口商贴纸/EAN条码贴纸翻单4500198067；
1. 9283/9296/9298TQ1/92105//92106/92119/9565GQ1/92129：
1L MAUPC 收缩膜+ 进口商贴纸+ EAN条码贴纸+QR code 贴纸 （一物一码）,MA PDQ/说明书/指南（如有）；
Remark: 客户DM订单注意事项:
1. 标准配比
2. 请按期完货， 会有罚金。
3. 出仓库-Bekasovo 2；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</si>
  <si>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4500209889-200</t>
  </si>
  <si>
    <t>4500209889拆行
9283增加6pcs
92104增加6pcs
9298增加6pcs</t>
  </si>
  <si>
    <t>6/15收到</t>
  </si>
  <si>
    <t>6/23-外箱贴纸</t>
  </si>
  <si>
    <t>6/26-客供价格贴</t>
  </si>
  <si>
    <t>日期码格式：ZURU INC(BVI) 标准格式 日期：按实际生产日期</t>
  </si>
  <si>
    <t>日期码格式：ZURU INC(BVI) 标准格式                  日期：按实际生产日期
Packaging Info: 1. ZURU MA  （首选1L）UPC版本+客供价格贴+外箱贴纸（为方便进行装柜区分，请按照后续提供的外箱贴纸文档去粘贴外箱），出口美国
9283-S001翻单4500203028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</si>
  <si>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t>4500209889-280</t>
  </si>
  <si>
    <t>4500198940-40</t>
  </si>
  <si>
    <t>7/20出</t>
  </si>
  <si>
    <t>语警告语贴纸翻4500183592</t>
  </si>
  <si>
    <t>日期码格式：ZURU INC(BVI) 标准格式 日期：按实际生产日期
Packaging Info: 9296-S004-NB:9296-S004-NB:MA_A_3L(9L warning) UPC版收缩膜+EAN/警告语/Care.com邮箱贴纸(翻单4500176686)+MA 其它包装+slime袋子贴纸（瑞典语警告语，
翻单4500176686）
77515:MA C3L EAN版收缩膜+警告语和MADE IN CHINA翻译成丹麦瑞典挪威语言全部信息做成一张贴纸+MA B5L收藏指南+收藏指南无香空白贴纸覆盖有香味的产品以及
描述(翻单4500177965)+MA ACCESSORY BAG_C_5L版+丹麦瑞典挪威警告语贴纸贴在袋子上(4500177965)+MA C23L说明书+MA 23L_C_IFUD声明补充说明书(翻单4500177
965)+通用WEEE_带电池走货 _ 说明书欧洲EN+30L-B版
77711:MA 3L EAN版收缩膜+丹麦瑞典芬兰挪威警告语贴纸(贴纸和位置翻单4500194886)+MA paper bag+丹麦/挪威/瑞典/芬兰语警告语贴在纸袋子上(贴纸和位置图翻
PO#4500183825)+MA 5L(23L warning)收藏指南+MA 23L说明书
9283:MA_C_3L(EAN)收缩膜+挪威/瑞典/芬兰语警告语&lt;(&gt;&amp;&lt;)&gt;care@zuru.com全部信息做成一张贴纸(贴纸和位置图翻PO#4500183592)
25282:MA F 3L+23L warning 彩盒+MA H 9L 说明书+丹麦/瑞典/芬兰/挪威/爱沙尼亚说明书贴纸(含WEEE信息)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9296-S004-NB:COW:MONKEY:PANDA:ZEBRA:AXOLOTL;CHIKEN:=1:1:1:1:1:1;
25282-2026-S004:Baby Shark(yellow)/ Mummy Shark(pink)/ Daddy Shark(blue) =1:1:1;
8. SKU-客户SKU-EAN
9296-S004-NB-4894680029606
77515-S001-NS-4894680032255
77711-S001-INT-4894680043350
9283-S005-4894680026841
25282-2026-S004-4894680032705</t>
  </si>
  <si>
    <t>BURLINGTON  STORES,  INC.</t>
  </si>
  <si>
    <t>4500209889-120</t>
  </si>
  <si>
    <t>日期码格式：ZURU  INC(BVI)  标准格式                                    日期：按实际生产日期
Packaging Info: 1.  ZURU  MA    （首选1L）UPC版本+客供价格贴+外箱贴纸（为方便进行装柜区分，请按照后续提供的外箱贴纸文档去粘贴外箱），出口美国
9283-S001翻单4500203028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</si>
  <si>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r>
      <rPr>
        <sz val="11"/>
        <color rgb="FF0E2EF0"/>
        <rFont val="宋体"/>
        <charset val="0"/>
      </rPr>
      <t>Jessi</t>
    </r>
    <r>
      <rPr>
        <sz val="11"/>
        <color rgb="FF0E2EF0"/>
        <rFont val="宋体"/>
        <charset val="134"/>
      </rPr>
      <t xml:space="preserve">  Xu</t>
    </r>
  </si>
  <si>
    <t>4500212375-150</t>
  </si>
  <si>
    <t>预计7/23出</t>
  </si>
  <si>
    <t>6/26-UPC贴纸+进口商贴纸</t>
  </si>
  <si>
    <t>日期码格式：ZURU INC(BVI) 标准格式                  日期：按实际生产日期
Packaging Info: 
9296/9283/92106：MA 3L EAN包装+UPC贴纸+进口商贴纸+箱唛</t>
  </si>
  <si>
    <t>4500210563-80</t>
  </si>
  <si>
    <t>6/18收到</t>
  </si>
  <si>
    <t>7/4-UPC 贴纸+进口商贴纸</t>
  </si>
  <si>
    <t>日期码格式：ZURU INC(BVI) 标准格式                  日期：按实际生产日期
Packaging Info: 15789UQ1：MA 多语UPC包装+进口商贴纸+箱唛
9298TQ1/92129TQ1/92146/9283/92125：MA 多语包装+进口商贴纸+UPC贴纸+箱唛
15749/15788/15787：MA 多语包装+进口商贴纸+箱唛（进口商贴纸和MOTHER UPC贴纸合并为一张）
Remark: 包装上的条码必须是UPC，如后续提供进口商贴纸和UPC贴纸合并为一张，则可以忽略UPC贴纸的需求</t>
  </si>
  <si>
    <t>4500211508-160</t>
  </si>
  <si>
    <t>7/6-进口商贴纸+6/26-QR 贴纸</t>
  </si>
  <si>
    <t>日期码格式：ZURU INC(BVI) 标准格式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</si>
  <si>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Anna Lian</t>
  </si>
  <si>
    <t>4500211508-170</t>
  </si>
  <si>
    <t>4500211508-180</t>
  </si>
  <si>
    <t>4500211372-100</t>
  </si>
  <si>
    <t>6/9收到</t>
  </si>
  <si>
    <t xml:space="preserve">日期码格式：ZURU INC(BVI) 标准格式                  日期：按实际生产日期
Packaging Info: MA PKG ，  优先1L
Remark: </t>
  </si>
  <si>
    <t>4500211508-190</t>
  </si>
  <si>
    <r>
      <rPr>
        <sz val="11"/>
        <color rgb="FF0E2EF0"/>
        <rFont val="宋体"/>
        <charset val="134"/>
      </rPr>
      <t>KMART</t>
    </r>
    <r>
      <rPr>
        <sz val="11"/>
        <color rgb="FF0E2EF0"/>
        <rFont val="宋体"/>
        <charset val="0"/>
      </rPr>
      <t xml:space="preserve">  AUSTRALIA  LTD</t>
    </r>
  </si>
  <si>
    <t>4500210834-30</t>
  </si>
  <si>
    <t>4500206440&amp;4500206441转单</t>
  </si>
  <si>
    <t>8/3出</t>
  </si>
  <si>
    <t>消耗取消单PO4500206440 &amp; 4500206441的外箱</t>
  </si>
  <si>
    <t>防盗贴纸翻4500095104+7/17-外箱贴纸资料</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</si>
  <si>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注意：此单消耗取消订单PO#4500206440 &lt;(&gt;&amp;&lt;)&gt; 4500206441的外箱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PO#4500210835一起合并计算
Item#9283请务必要赶最晚8/3上午交仓</t>
  </si>
  <si>
    <r>
      <rPr>
        <sz val="11"/>
        <color rgb="FF0E2EF0"/>
        <rFont val="宋体"/>
        <charset val="0"/>
      </rPr>
      <t>Louise</t>
    </r>
    <r>
      <rPr>
        <sz val="11"/>
        <color rgb="FF0E2EF0"/>
        <rFont val="宋体"/>
        <charset val="134"/>
      </rPr>
      <t xml:space="preserve">  Lu</t>
    </r>
  </si>
  <si>
    <t>4500213430-40</t>
  </si>
  <si>
    <t>6/23收到</t>
  </si>
  <si>
    <t>7/6-进口商贴纸</t>
  </si>
  <si>
    <t>日期码格式：ZURU INC(BVI) 标准格式 日期：按实际生产日期
Packaging Info: MA EAN 3L收缩膜 +1L PDQ,其他包材配件使用1L+1张进口商贴纸,
Remark: 9283-Kitten:Bunny:Puppy:Cow:Elephant:Flamingo=1:1:1:1:1:1;</t>
  </si>
  <si>
    <t>LONDON  SUPPLY  GROUP  SA</t>
  </si>
  <si>
    <t>4500212151-210</t>
  </si>
  <si>
    <t>7/7-UPC贴纸</t>
  </si>
  <si>
    <t>日期码格式：ZURU  INC(BVI)  标准格式                                    日期：按实际生产日期
Packaging Info:15760UQ1/15754/92107/9548/9283/92125/92106  MA  多语UPC包装+UPC贴纸+箱唛，无客户贴纸（包装上的条码必须是UPC）
Remark：</t>
  </si>
  <si>
    <r>
      <rPr>
        <sz val="11"/>
        <color rgb="FF0E2EF0"/>
        <rFont val="宋体"/>
        <charset val="0"/>
      </rPr>
      <t>Ava</t>
    </r>
    <r>
      <rPr>
        <sz val="11"/>
        <color rgb="FF0E2EF0"/>
        <rFont val="宋体"/>
        <charset val="134"/>
      </rPr>
      <t xml:space="preserve">  Liang</t>
    </r>
  </si>
  <si>
    <t>4500211610-30</t>
  </si>
  <si>
    <t>6/29收到</t>
  </si>
  <si>
    <t>7/16-进口商贴纸+6/29-QR 贴纸</t>
  </si>
  <si>
    <t>日期码格式：ZURU INC(BVI) 标准格式                  日期：按实际生产日期
Packaging Info: 最新MA UPC包装+进口商贴纸+QR 贴纸（一物一码）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</si>
  <si>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LULU  SRL</t>
  </si>
  <si>
    <t>摩尔多瓦</t>
  </si>
  <si>
    <t>4500209304-40</t>
  </si>
  <si>
    <t>5/29-客户通用贴纸</t>
  </si>
  <si>
    <t>日期码格式：ZURU  INC(BVI)  标准格式                                    日期：按实际生产日期
Packaging Info: 92107/9298/92104/9283/92119/921472026/5/26:MA  UPC  包装+客户通用贴纸，MA  收藏指南/说明书（如有）
Remark: 客户LULU订单注意事项:
  1.  标准配比
  2.    产品如含有化学品（slime  等），需要低硼不含闪粉；
  3.  需要通过ZURU  验货结果后才能出货  (工厂需要主动提前同ZURU  QC预约验货避免延期出货造成不必要麻烦)；
  4.  客户通用贴纸贴在包装空白处即可，切记最好不要遮住警语以及品牌，如不太确定可发跟单确认贴纸位置图；</t>
  </si>
  <si>
    <t>order 5462Bekasovo 2</t>
  </si>
  <si>
    <t>4500211021-10</t>
  </si>
  <si>
    <t>6/12收到</t>
  </si>
  <si>
    <t>7/9-进口商贴纸+EAN条码贴纸+6/12-QR code 贴纸+6/12-SSCC label条码</t>
  </si>
  <si>
    <t>外包装(指:收缩膜/彩卡/铝箔袋/挂卡/PDQ)/外箱不要打ZURU标准日期码!胶件可以打日期码</t>
  </si>
  <si>
    <t>日期码格式：外包装/外箱不要打ZURU标准日期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
其余item：MA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----QQR 二维码格式要求： DATA MATRIX GS1 , 请用苹果手机下载 Честный знак 官方APP 进行扫描，必须100%成功验证并显示正确商品信息 ; --ZUR
U QC 请留意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</si>
  <si>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5462Ural</t>
  </si>
  <si>
    <t>4500211044-10</t>
  </si>
  <si>
    <t>7/9-进口商贴纸/EAN条码贴纸翻4500211021+6/12QR code 贴纸 +6/12-SSCC label 条码</t>
  </si>
  <si>
    <t>日期码格式：外包装/外箱不要打ZURU标准日期                  日期：
Packaging Info: 注意:   此单进口商贴纸，EAN条码贴纸翻4500211021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</si>
  <si>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EL  REGALO  UNIVERSAL  C.A.</t>
  </si>
  <si>
    <t>委内瑞拉</t>
  </si>
  <si>
    <t>4500214106</t>
  </si>
  <si>
    <t>4500214106-130</t>
  </si>
  <si>
    <t>7/1收到</t>
  </si>
  <si>
    <t>7/8-进口商贴纸+UPC贴纸</t>
  </si>
  <si>
    <t>日期码格式：ZURU INC(BVI) 标准格式 日期：按实际生产日期
Packaging Info: 71152/71126/7132/71101/77685GQ2/9543GQ1/9565GQ1/9574/92129TQ1/9283/92125: MA 3L EAN包装+UPC条码贴纸+进口商贴纸+箱唛
Remark:</t>
  </si>
  <si>
    <t>Doris  Shou</t>
  </si>
  <si>
    <t>MEIJER  DISTRIBUTION,  INC.</t>
  </si>
  <si>
    <t>4500214302</t>
  </si>
  <si>
    <t>219372892</t>
  </si>
  <si>
    <t>4500214302-30</t>
  </si>
  <si>
    <t>日期码格式：ZURU  INC(BVI)  标准格式                                    日期：按实际生产日期
Packaging Info: 1.      MA  UPC包装（优先1L）出美国
      2.    客人指定箱唛排版
4.  9283-S002      Kitten:Bunny:Puppy:Cow:Elephant:Flamingo=1:1:1:1:1:1
Remark: 出货前  Zuru  QC  验货</t>
  </si>
  <si>
    <t>Agnes  Zheng</t>
  </si>
  <si>
    <t>219372889</t>
  </si>
  <si>
    <t>4500214302-40</t>
  </si>
  <si>
    <t>约旦</t>
  </si>
  <si>
    <t>4500211330-90</t>
  </si>
  <si>
    <t>6/11收到</t>
  </si>
  <si>
    <t>7/13-约旦的通用进口商贴纸</t>
  </si>
  <si>
    <t>日期码格式：ZURU INC(BVI) 标准格式 日期：按实际生产日期
Packaging Info: 出Jordan, 包装不能有希伯来语
9283：MA UPC 1L收缩膜+1张约旦的通用进口商贴纸
9283-S001: Kitten:Bunny:Puppy:Cow:Elephant:Flamingo=1:1:1:1:1:1;
Remark:</t>
  </si>
  <si>
    <t>伊拉克</t>
  </si>
  <si>
    <t>4500211382-60</t>
  </si>
  <si>
    <t>7/15-伊拉克通用进口商贴纸（新稿）</t>
  </si>
  <si>
    <t>日期码格式：ZURU INC(BVI) 标准格式 日期：按实际生产日期
Packaging Info: 出Iraq, 包装不能有希伯来语
9283：MA 1L 收缩膜+1张伊拉克通用进口商贴纸（新稿）
9283-S001: Kitten:Bunny:Puppy:Cow:Elephant:Flamingo=1:1:1:1:1:1;
Remark:</t>
  </si>
  <si>
    <t>阿联酋</t>
  </si>
  <si>
    <t>4500204716-180</t>
  </si>
  <si>
    <t>7/3重新提供收到</t>
  </si>
  <si>
    <t>日期码格式：ZURU INC(BVI) 标准格式 日期：按实际生产日期
Packaging Info: 出UAE, 包装不能有希伯来语
所有RBC的产品（内外）包装上不能有彩虹。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</si>
  <si>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4500204719-180</t>
  </si>
  <si>
    <t>日期码格式：ZURU INC(BVI) 标准格式                  日期：按实际生产日期
Packaging Info: 出QATAR, 包装不能有希伯来语
所有RBC的产品（内外）包装上不能有彩虹。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Remark</t>
  </si>
  <si>
    <t>4500204723-180</t>
  </si>
  <si>
    <t>日期码格式：ZURU INC(BVI) 标准格式                  日期：按实际生产日期
Packaging Info: 出KSA 包装不能有希伯来语，
所有RBC的产品（内外）包装上不能有彩虹。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Remark</t>
  </si>
  <si>
    <t>ZMPO260870</t>
  </si>
  <si>
    <t>ZMPO260870-10</t>
  </si>
  <si>
    <t>Remark：大货最新版本/款号平均/麻烦按款号装箱/大货标准箱装箱/箱唛请参照邮件附件，备注：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</si>
  <si>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r>
      <rPr>
        <sz val="11"/>
        <color rgb="FF000000"/>
        <rFont val="宋体"/>
        <charset val="0"/>
      </rPr>
      <t>Angus</t>
    </r>
    <r>
      <rPr>
        <sz val="11"/>
        <color rgb="FF000000"/>
        <rFont val="宋体"/>
        <charset val="134"/>
      </rPr>
      <t xml:space="preserve"> </t>
    </r>
  </si>
  <si>
    <t>4500210229-280</t>
  </si>
  <si>
    <r>
      <rPr>
        <sz val="11"/>
        <color rgb="FF000000"/>
        <rFont val="宋体"/>
        <charset val="0"/>
      </rPr>
      <t>小猫</t>
    </r>
    <r>
      <rPr>
        <sz val="11"/>
        <color rgb="FFFF0000"/>
        <rFont val="宋体"/>
        <charset val="0"/>
      </rPr>
      <t>（胶袋装）</t>
    </r>
  </si>
  <si>
    <t>7/17收到</t>
  </si>
  <si>
    <t>7/24-UPC 贴纸+进口商贴纸</t>
  </si>
  <si>
    <t>日期码格式：ZURU INC(BVI) 标准格式 日期：按实际生产日期 Tracking Code:
Packaging Info:
 92106A/9283A/9283B/9283D: MA 3L EAN包装+进口商贴纸+UPC条码贴纸+箱唛, 按照单个产品入polybag胶袋后再装箱出货，胶袋无印刷警告语要求，但厚度要求要
 大于0.038mm，袋子需打孔，胶袋需封口
Remark:</t>
  </si>
  <si>
    <t>4500210229-290</t>
  </si>
  <si>
    <t>9283B-S001-PKC</t>
  </si>
  <si>
    <r>
      <rPr>
        <sz val="11"/>
        <color rgb="FF000000"/>
        <rFont val="宋体"/>
        <charset val="0"/>
      </rPr>
      <t>兔子</t>
    </r>
    <r>
      <rPr>
        <sz val="11"/>
        <color rgb="FFFF0000"/>
        <rFont val="宋体"/>
        <charset val="0"/>
      </rPr>
      <t>（胶袋装）</t>
    </r>
  </si>
  <si>
    <t>4500210229-300</t>
  </si>
  <si>
    <r>
      <rPr>
        <sz val="11"/>
        <color rgb="FF000000"/>
        <rFont val="宋体"/>
        <charset val="0"/>
      </rPr>
      <t>小狗</t>
    </r>
    <r>
      <rPr>
        <sz val="11"/>
        <color rgb="FFFF0000"/>
        <rFont val="宋体"/>
        <charset val="0"/>
      </rPr>
      <t>（胶袋装）</t>
    </r>
  </si>
  <si>
    <t>4500216390</t>
  </si>
  <si>
    <t>385293501</t>
  </si>
  <si>
    <t>4500216390-10</t>
  </si>
  <si>
    <t>7/16收到</t>
  </si>
  <si>
    <t>7/16-外箱贴纸资料</t>
  </si>
  <si>
    <t>7/18-客供价格贴纸</t>
  </si>
  <si>
    <t>日期码格式：ZURU  INC(BVI)  标准格式                                    日期：按实际生产日期
Packaging Info: 1.  ZURU  MA    （首选1L）UPC版本+客供价格贴+外箱贴纸（为方便进行装柜区分，请按照后续提供的外箱贴纸文档去粘贴外箱），出口美国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</si>
  <si>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t>Jessi  Xu</t>
  </si>
  <si>
    <t>4500208072-80</t>
  </si>
  <si>
    <t>5/27收到</t>
  </si>
  <si>
    <t>7/10-客供价格贴纸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</si>
  <si>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
#15714比例：B:D:G:J:K:M:N=1:1:1:2:1:4:2
#15727比例：a:b:d:e:j:l=3:1:1:3:2:2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</si>
  <si>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4500214656</t>
  </si>
  <si>
    <t>4500214656-150</t>
  </si>
  <si>
    <t>8/5-进口商贴纸+7/3-QR 贴纸（一物一码）</t>
  </si>
  <si>
    <t>日期码格式：ZURU INC(BVI) 标准格式 日期：按实际生产日期
Packaging Info: 最新MA UPC包装+进口商贴纸+QR 贴纸（一物一码）
若出独立款必须用独立款的条码，不可以用混装的条码,条码以订单显示为准
Remark: 1.包装：MA UPC包装+进口商贴纸+QR 贴纸
2. 条码以订单显示为准 ，请安排生产前先核对 ，有问题请提出。
3.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4. 二维码贴纸位置要远离包装上的条码及其他二维码， 贴在背面。
5. QR code贴纸（要求一物一码，每PCS的二维码不一样）;
6. QR code 格式 ：DATA MATRIX GS1 ；
7. 若多个柜子，BY TRAIN 要求带电池/不带电池不同柜；装柜时同一款必须放在同一个柜子里。
8. 整张单走EXW。</t>
  </si>
  <si>
    <t>Anna  Lian</t>
  </si>
  <si>
    <t>NASA  PANAMA</t>
  </si>
  <si>
    <t>4500216224</t>
  </si>
  <si>
    <t>Warehouse  1</t>
  </si>
  <si>
    <t>4500216224-30</t>
  </si>
  <si>
    <t>7/29收到</t>
  </si>
  <si>
    <t>7/29-UPC贴纸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</si>
  <si>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9283  MA  多语EAN  包装+UPC  贴纸+MA  多语收藏指南+箱唛
Remark:
   9283  Kitten:Bunny:Puppy:Cow:Elephant :Flamingo=1:1:1:1:1:1;</t>
  </si>
  <si>
    <t>Aimee  Huang</t>
  </si>
  <si>
    <t>4500212262-50</t>
  </si>
  <si>
    <t>8/13-口商贴纸+8/4-QR 贴纸</t>
  </si>
  <si>
    <t>日期码格式：ZURU INC(BVI) 标准格式                  日期：按实际生产日期
Packaging Info: 最新MA UPC包装+进口商贴纸+QR 贴纸（一物一码）
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</si>
  <si>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4500211444-10</t>
  </si>
  <si>
    <t>8/6-客供价格贴纸</t>
  </si>
  <si>
    <t>日期码格式：ZURU INC(BVI) 标准格式                  日期：按实际生产日期
Packaging Info: 1.ZURU MA UPC 最新版本包装 + 客供价格贴纸，出口美国 , 优先1L，可接受多语 。
Remark: #92107 比例   蝴蝶D: 长颈鹿B：大象A= 1:1:2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</si>
  <si>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PRO  &amp; PACIFIC  CO.,LTD</t>
  </si>
  <si>
    <t>ZU26051201</t>
  </si>
  <si>
    <t>4500218035-20</t>
  </si>
  <si>
    <t>8/3进口商贴纸</t>
  </si>
  <si>
    <t>日期码格式：ZURU  INC(BVI) 标准格式                                    日期：按实际生产日期
Packaging Info: MA UPC包装(优先1L)+进口商贴纸,待提供贴纸资料
Remark: 9283  -Kitten:Bunny:Puppy:Cow:Elephant:Flamingo=1:1:1:1:1:1;</t>
  </si>
  <si>
    <t>4500211833-120</t>
  </si>
  <si>
    <t>8/7-客供价格贴纸</t>
  </si>
  <si>
    <t>所有产品外包装及产品本身都必须有日期跟踪码(ZURU标准日期码格式，年月日的日期自行调整，但不能为周末)，并且确保产品及外包装的日期跟踪码要一致</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</si>
  <si>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</si>
  <si>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4500211833-150</t>
  </si>
  <si>
    <t>4500211833-170</t>
  </si>
  <si>
    <t>4500217640</t>
  </si>
  <si>
    <t>8P4T9FWM</t>
  </si>
  <si>
    <t>4500217640-140</t>
  </si>
  <si>
    <t>邮包盒图稿翻单4500169926</t>
  </si>
  <si>
    <t>8/4-客供外箱贴纸</t>
  </si>
  <si>
    <r>
      <rPr>
        <sz val="11"/>
        <color rgb="FF000000"/>
        <rFont val="宋体"/>
        <charset val="134"/>
      </rPr>
      <t xml:space="preserve">日期码格式：ZURU INC(BVI) 标准格式 日期：按实际生产日期 Tracking Code:
Packaging Info: 
 #9283: MA 3L入邮包盒，邮包盒图稿翻单#4500169926；
Remark: </t>
    </r>
    <r>
      <rPr>
        <sz val="11"/>
        <color rgb="FFFF0000"/>
        <rFont val="宋体"/>
        <charset val="134"/>
      </rPr>
      <t>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r>
  </si>
  <si>
    <t>8QID9O1Y</t>
  </si>
  <si>
    <t>4500217640-150</t>
  </si>
  <si>
    <t>4UD8GD4B</t>
  </si>
  <si>
    <t>4500217640-160</t>
  </si>
  <si>
    <t>48GVCTAG</t>
  </si>
  <si>
    <t>4500217640-170</t>
  </si>
  <si>
    <t>54OVTP4V</t>
  </si>
  <si>
    <t>4500217640-180</t>
  </si>
  <si>
    <t>4500211065-20</t>
  </si>
  <si>
    <t>7/9-进口商贴纸/EAN条码贴纸翻4500211021+7/20-QR code 贴纸 +SSCC label 条码</t>
  </si>
  <si>
    <t>日期码格式：外包装/外箱不要打ZURU标准日期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</si>
  <si>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4500211083-20</t>
  </si>
  <si>
    <t>7/9-进口商贴纸/EAN条码贴纸翻4500211021+6/12-QR code 贴纸 +SSCC label 条码</t>
  </si>
  <si>
    <t>日期码格式：外包装/外箱不要打ZURU标准日期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</si>
  <si>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4500211497-60</t>
  </si>
  <si>
    <t>日期码格式：ZURU INC(BVI) 标准格式                  日期：按实际生产日期
Packaging Info: 1.ZURU MA UPC 最新版本包装 + 客供价格贴纸，出口美国 , 优先1L，可接受多语 。
#157141，#92150：MA UPC + 客版彩盒 + 客供贴纸, 优先使用MA 1L最新版本，可接受多语，出口美国。
Remark: #15714  比例：  B:D:G:J:K:M:N=1:1:1:2:1:4:2
#15733 9款比例平均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</si>
  <si>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LIMITED  LIABILITY  COMPANY   “ARMOTOP”</t>
  </si>
  <si>
    <t>4500217495</t>
  </si>
  <si>
    <t>4500217495-30</t>
  </si>
  <si>
    <t>8/10-进口商贴纸（含客户EAN条码）+7/28-QR贴纸</t>
  </si>
  <si>
    <r>
      <rPr>
        <sz val="11"/>
        <color rgb="FF000000"/>
        <rFont val="宋体"/>
        <charset val="134"/>
      </rPr>
      <t>日期码格式：ZURU INC(BVI) 标准格式 日期：按实际生产日期
Packaging Info: 
9283/7150/15788：</t>
    </r>
    <r>
      <rPr>
        <sz val="11"/>
        <color rgb="FFFF0000"/>
        <rFont val="宋体"/>
        <charset val="134"/>
      </rPr>
      <t xml:space="preserve">1L </t>
    </r>
    <r>
      <rPr>
        <sz val="11"/>
        <color rgb="FF000000"/>
        <rFont val="宋体"/>
        <charset val="134"/>
      </rPr>
      <t>MA UPC包装+进口商贴纸（含客户EAN条码）+QR贴纸 ，MA 说明书/指南 (如有) ；
Remark: 1. QR code 贴纸 : 二维码要清晰可扫描，2年不褪色 ，强占不易脱落 ，材质同进口商贴纸纸。要求一物一码，每PCS的二维码不一样，尺寸可按包装尺寸适度调
整确保美观可扫,白底黑字，分辨率要大于300dpi，位置要远离条码。 可贴零售包装的侧面右下角/背面的右上角/挂卡的背面/正面的右上角，距离边距5mm）;
2. QR 二维码格式要求： DATA MATRIX GS1 ， 大货印刷前请发JPG 图片确认格式是否正确； 请用苹果手机下载 Честный знак 官方APP 进行扫描，必
须100%成功验证并显示正确商品信息 ; --ZURU QC 请留意 。
3.. 出货前需要按船务的指示提供零售包装上QR CODE 入外箱以及入货柜的明细清单供客户清关使用--用客户的模板（追踪到箱/到柜）；
4. 货期不能延,有罚金。
5. 若产品中的口水胶/棉花泥等配件已提前印刷好了日期码，需明确告知日期码是多少，客户要求距离货物到店时间至少还有三分之二的有效期（比如Slime有效期1
年，那到店后还需要8个月的有效） 。
6. 无特殊要求，按ZURU 标准比例；</t>
    </r>
  </si>
  <si>
    <t>4500218324-90</t>
  </si>
  <si>
    <t>7/31-通用贴纸</t>
  </si>
  <si>
    <r>
      <rPr>
        <sz val="11"/>
        <color rgb="FF000000"/>
        <rFont val="宋体"/>
        <charset val="0"/>
      </rPr>
      <t>Niki</t>
    </r>
    <r>
      <rPr>
        <sz val="11"/>
        <color rgb="FF000000"/>
        <rFont val="宋体"/>
        <charset val="134"/>
      </rPr>
      <t xml:space="preserve">  Chen</t>
    </r>
  </si>
  <si>
    <t>ADIR  INTERNATIOAL/  CURACAO</t>
  </si>
  <si>
    <t>4500218039-70</t>
  </si>
  <si>
    <t>8/12收到</t>
  </si>
  <si>
    <t>日期码格式：ZURU  INC(BVI)  标准格式                                    日期：按实际生产日期
Remark: 1.  包装方式：MA  UPC  优先1L  最新包装，出口美国
   2.  产品和包装上印刷tracking  code信息，格式为ZURU常规;
   3.  ZURU  QC验货即可出货。</t>
  </si>
  <si>
    <r>
      <rPr>
        <sz val="11"/>
        <color rgb="FF000000"/>
        <rFont val="宋体"/>
        <charset val="0"/>
      </rPr>
      <t>Echo</t>
    </r>
    <r>
      <rPr>
        <sz val="11"/>
        <color rgb="FF000000"/>
        <rFont val="宋体"/>
        <charset val="134"/>
      </rPr>
      <t xml:space="preserve">  Zhang</t>
    </r>
  </si>
  <si>
    <t>MINISO MEXICO</t>
  </si>
  <si>
    <t>4500217695-160</t>
  </si>
  <si>
    <t>8/13收到</t>
  </si>
  <si>
    <t>8/15-UPC贴纸</t>
  </si>
  <si>
    <t>日期码格式：ZURU INC(BVI) 标准格式 日期：按实际生产日期
Packaging Info: 
9298TQ1/9283:MA3L PKG+1张UPC 条形码贴纸
Remark: 出墨西哥，需符合墨西哥标准。</t>
  </si>
  <si>
    <t>4500214354-120</t>
  </si>
  <si>
    <t>防盗贴纸翻单4500095104</t>
  </si>
  <si>
    <t>欠外箱贴纸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</si>
  <si>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</si>
  <si>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t>4500214355-110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</si>
  <si>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</si>
  <si>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t>ARCHIBRAND,  S.A.  DE  C.V.</t>
  </si>
  <si>
    <t>4500220001-380</t>
  </si>
  <si>
    <t>进口商贴纸+UPC条码贴纸翻单4500210229</t>
  </si>
  <si>
    <r>
      <rPr>
        <sz val="11"/>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t>
    </r>
    <r>
      <rPr>
        <sz val="11"/>
        <color rgb="FF000000"/>
        <rFont val="宋体"/>
        <charset val="134"/>
      </rPr>
      <t xml:space="preserve">
</t>
    </r>
    <r>
      <rPr>
        <sz val="11"/>
        <color rgb="FF000000"/>
        <rFont val="宋体"/>
        <charset val="134"/>
      </rPr>
      <t>17.</t>
    </r>
    <r>
      <rPr>
        <sz val="11"/>
        <color rgb="FF000000"/>
        <rFont val="宋体"/>
        <charset val="134"/>
      </rPr>
      <t xml:space="preserve">  </t>
    </r>
    <r>
      <rPr>
        <sz val="11"/>
        <color rgb="FF000000"/>
        <rFont val="宋体"/>
        <charset val="134"/>
      </rPr>
      <t>9283A/B/D：MA</t>
    </r>
    <r>
      <rPr>
        <sz val="11"/>
        <color rgb="FF000000"/>
        <rFont val="宋体"/>
        <charset val="134"/>
      </rPr>
      <t xml:space="preserve">  </t>
    </r>
    <r>
      <rPr>
        <sz val="11"/>
        <color rgb="FF000000"/>
        <rFont val="宋体"/>
        <charset val="134"/>
      </rPr>
      <t>3L</t>
    </r>
    <r>
      <rPr>
        <sz val="11"/>
        <color rgb="FF000000"/>
        <rFont val="宋体"/>
        <charset val="134"/>
      </rPr>
      <t xml:space="preserve">  </t>
    </r>
    <r>
      <rPr>
        <sz val="11"/>
        <color rgb="FF000000"/>
        <rFont val="宋体"/>
        <charset val="134"/>
      </rPr>
      <t>EAN包装+进口商贴纸+UPC条码贴纸+箱唛,</t>
    </r>
    <r>
      <rPr>
        <sz val="11"/>
        <color rgb="FF000000"/>
        <rFont val="宋体"/>
        <charset val="134"/>
      </rPr>
      <t xml:space="preserve">  </t>
    </r>
    <r>
      <rPr>
        <sz val="11"/>
        <color rgb="FF000000"/>
        <rFont val="宋体"/>
        <charset val="134"/>
      </rPr>
      <t>贴纸翻单PO4500210229</t>
    </r>
    <r>
      <rPr>
        <sz val="11"/>
        <color rgb="FF000000"/>
        <rFont val="宋体"/>
        <charset val="134"/>
      </rPr>
      <t xml:space="preserve">
</t>
    </r>
    <r>
      <rPr>
        <sz val="11"/>
        <color rgb="FF000000"/>
        <rFont val="宋体"/>
        <charset val="134"/>
      </rPr>
      <t>按照单个产品入polybag胶袋后再装箱出货，胶袋无印刷警告语要求，但厚度要求要大于0.038mm，袋子需打孔，胶袋需封口</t>
    </r>
    <r>
      <rPr>
        <sz val="11"/>
        <color rgb="FF000000"/>
        <rFont val="宋体"/>
        <charset val="134"/>
      </rPr>
      <t xml:space="preserve">
</t>
    </r>
    <r>
      <rPr>
        <sz val="11"/>
        <color rgb="FF000000"/>
        <rFont val="宋体"/>
        <charset val="134"/>
      </rPr>
      <t>Remark:</t>
    </r>
  </si>
  <si>
    <r>
      <rPr>
        <sz val="11"/>
        <color rgb="FF000000"/>
        <rFont val="宋体"/>
        <charset val="0"/>
      </rPr>
      <t>Ever</t>
    </r>
    <r>
      <rPr>
        <sz val="11"/>
        <color rgb="FF000000"/>
        <rFont val="宋体"/>
        <charset val="134"/>
      </rPr>
      <t xml:space="preserve">  </t>
    </r>
    <r>
      <rPr>
        <sz val="11"/>
        <color rgb="FF000000"/>
        <rFont val="宋体"/>
        <charset val="134"/>
      </rPr>
      <t>Li</t>
    </r>
  </si>
  <si>
    <t>4500220001-390</t>
  </si>
  <si>
    <t>4500220001-400</t>
  </si>
  <si>
    <t>4500217585-120</t>
  </si>
  <si>
    <t>欠</t>
  </si>
  <si>
    <t>进口商贴纸翻单PO4500195747</t>
  </si>
  <si>
    <t>日期码格式：ZURU  INC(BVI) 标准格式                                    日期：按实际生产日期
Packaging Info: 9574/9283:MA  多语包装+进口商贴纸+箱唛，进口商贴纸翻单PO4500195747
Remark: 1.进口商贴纸请多备料5pcs,出货后需要寄给客户留底
  2 .如后续提供的贴纸文档中进口商贴纸和条码贴纸合并为一张，可忽略条码贴纸的需求</t>
  </si>
  <si>
    <r>
      <rPr>
        <sz val="11"/>
        <color rgb="FF000000"/>
        <rFont val="宋体"/>
        <charset val="0"/>
      </rPr>
      <t>Ava</t>
    </r>
    <r>
      <rPr>
        <sz val="11"/>
        <color rgb="FF000000"/>
        <rFont val="宋体"/>
        <charset val="134"/>
      </rPr>
      <t xml:space="preserve">  Liang</t>
    </r>
  </si>
  <si>
    <t>4500218792-150</t>
  </si>
  <si>
    <t>欠客供价格贴纸</t>
  </si>
  <si>
    <r>
      <rPr>
        <sz val="11"/>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 1.ZURU最新MA</t>
    </r>
    <r>
      <rPr>
        <sz val="11"/>
        <color rgb="FF000000"/>
        <rFont val="宋体"/>
        <charset val="134"/>
      </rPr>
      <t xml:space="preserve">  </t>
    </r>
    <r>
      <rPr>
        <sz val="11"/>
        <color rgb="FF000000"/>
        <rFont val="宋体"/>
        <charset val="134"/>
      </rPr>
      <t>UPC包装(优先1L)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客供价格贴纸（贴在产品包装右下角，跟单找第三方订购贴纸寄到工厂）。</t>
    </r>
    <r>
      <rPr>
        <sz val="11"/>
        <color rgb="FF000000"/>
        <rFont val="宋体"/>
        <charset val="134"/>
      </rPr>
      <t xml:space="preserve">
</t>
    </r>
    <r>
      <rPr>
        <sz val="11"/>
        <color rgb="FF000000"/>
        <rFont val="宋体"/>
        <charset val="134"/>
      </rPr>
      <t>Remark: 1.ZURU最新MA</t>
    </r>
    <r>
      <rPr>
        <sz val="11"/>
        <color rgb="FF000000"/>
        <rFont val="宋体"/>
        <charset val="134"/>
      </rPr>
      <t xml:space="preserve">  </t>
    </r>
    <r>
      <rPr>
        <sz val="11"/>
        <color rgb="FF000000"/>
        <rFont val="宋体"/>
        <charset val="134"/>
      </rPr>
      <t>UPC包装(优先1L)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客供价格贴纸（贴在产品包装右下角，跟单找第三方订购贴纸寄到工厂）。</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所有产品外包装及产品本身都必须有日期跟踪码(ZURU标准日期码格式，年月日的日期自行调整，但不能为周末)，并且确保产品及外包装的日期跟踪码要一致.</t>
    </r>
    <r>
      <rPr>
        <sz val="11"/>
        <color rgb="FF000000"/>
        <rFont val="宋体"/>
        <charset val="134"/>
      </rPr>
      <t xml:space="preserve">
</t>
    </r>
  </si>
  <si>
    <r>
      <rPr>
        <sz val="11"/>
        <color rgb="FF000000"/>
        <rFont val="宋体"/>
        <charset val="0"/>
      </rPr>
      <t>Hailey</t>
    </r>
    <r>
      <rPr>
        <sz val="11"/>
        <color rgb="FF000000"/>
        <rFont val="宋体"/>
        <charset val="134"/>
      </rPr>
      <t xml:space="preserve">  </t>
    </r>
    <r>
      <rPr>
        <sz val="11"/>
        <color rgb="FF000000"/>
        <rFont val="宋体"/>
        <charset val="134"/>
      </rPr>
      <t>Yu</t>
    </r>
  </si>
  <si>
    <t>4500218792-190</t>
  </si>
  <si>
    <t>4500218792-270</t>
  </si>
  <si>
    <r>
      <rPr>
        <sz val="11"/>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 1.ZURU最新MA</t>
    </r>
    <r>
      <rPr>
        <sz val="11"/>
        <color rgb="FF000000"/>
        <rFont val="宋体"/>
        <charset val="134"/>
      </rPr>
      <t xml:space="preserve">  </t>
    </r>
    <r>
      <rPr>
        <sz val="11"/>
        <color rgb="FF000000"/>
        <rFont val="宋体"/>
        <charset val="134"/>
      </rPr>
      <t>UPC包装(优先1L)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客供价格贴纸（贴在产品包装右下角，跟单找第三方订购贴纸寄到工厂）。</t>
    </r>
    <r>
      <rPr>
        <sz val="11"/>
        <color rgb="FF000000"/>
        <rFont val="宋体"/>
        <charset val="134"/>
      </rPr>
      <t xml:space="preserve">
</t>
    </r>
    <r>
      <rPr>
        <sz val="11"/>
        <color rgb="FF000000"/>
        <rFont val="宋体"/>
        <charset val="134"/>
      </rPr>
      <t>Remark: 1.ZURU最新MA</t>
    </r>
    <r>
      <rPr>
        <sz val="11"/>
        <color rgb="FF000000"/>
        <rFont val="宋体"/>
        <charset val="134"/>
      </rPr>
      <t xml:space="preserve">  </t>
    </r>
    <r>
      <rPr>
        <sz val="11"/>
        <color rgb="FF000000"/>
        <rFont val="宋体"/>
        <charset val="134"/>
      </rPr>
      <t>UPC包装(优先1L)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客供价格贴纸（贴在产品包装右下角，跟单找第三方订购贴纸寄到工厂）。</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所有产品外包装及产品本身都必须有日期跟踪码(ZURU标准日期码格式，年月日的日期自行调整，但不能为周末)，并且确保产品及外包装的日期跟踪码要一致.</t>
    </r>
  </si>
  <si>
    <t>4500211675-50</t>
  </si>
  <si>
    <t>日期码格式：ZURU INC(BVI) 标准格式                  日期：按实际生产日期
Packaging Info: 1.ZURU MA UPC 最新版本包装 + 客供价格贴纸，出口美国 , 优先1L，可接受多语 。
#157141, 77867 UPC 客版彩盒+客供贴纸，出口美国，优先1L，可接受多语
Remark: #15733    9款比例平均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</si>
  <si>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4500211160-20</t>
  </si>
  <si>
    <t>进口商贴纸/EAN条码贴纸翻4500211021（欠）+欠QR code 贴纸 +SSCC label 条码</t>
  </si>
  <si>
    <t>日期码格式：外包装/外箱不要打ZURU标准日期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</si>
  <si>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4500211176-20</t>
  </si>
  <si>
    <r>
      <rPr>
        <sz val="11"/>
        <color rgb="FF000000"/>
        <rFont val="宋体"/>
        <charset val="134"/>
      </rPr>
      <t>KMART</t>
    </r>
    <r>
      <rPr>
        <sz val="11"/>
        <color rgb="FF000000"/>
        <rFont val="宋体"/>
        <charset val="134"/>
      </rPr>
      <t xml:space="preserve">  </t>
    </r>
    <r>
      <rPr>
        <sz val="11"/>
        <color rgb="FF000000"/>
        <rFont val="宋体"/>
        <charset val="134"/>
      </rPr>
      <t>AUSTRALIA</t>
    </r>
    <r>
      <rPr>
        <sz val="11"/>
        <color rgb="FF000000"/>
        <rFont val="宋体"/>
        <charset val="134"/>
      </rPr>
      <t xml:space="preserve">  </t>
    </r>
    <r>
      <rPr>
        <sz val="11"/>
        <color rgb="FF000000"/>
        <rFont val="宋体"/>
        <charset val="134"/>
      </rPr>
      <t>LTD</t>
    </r>
  </si>
  <si>
    <t>4500215423</t>
  </si>
  <si>
    <t>21982870</t>
  </si>
  <si>
    <t>4500215423-90</t>
  </si>
  <si>
    <t>防盗贴纸 (贴纸以及位置图翻单PO#4500095104）</t>
  </si>
  <si>
    <t>欠外箱SSCC Label</t>
  </si>
  <si>
    <r>
      <rPr>
        <sz val="11"/>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t>
    </r>
    <r>
      <rPr>
        <sz val="11"/>
        <color rgb="FF000000"/>
        <rFont val="宋体"/>
        <charset val="134"/>
      </rPr>
      <t xml:space="preserve">
</t>
    </r>
    <r>
      <rPr>
        <sz val="11"/>
        <color rgb="FF000000"/>
        <rFont val="宋体"/>
        <charset val="134"/>
      </rPr>
      <t>9283:</t>
    </r>
    <r>
      <rPr>
        <sz val="11"/>
        <color rgb="FF000000"/>
        <rFont val="宋体"/>
        <charset val="134"/>
      </rPr>
      <t xml:space="preserve">  </t>
    </r>
    <r>
      <rPr>
        <sz val="11"/>
        <color rgb="FF000000"/>
        <rFont val="宋体"/>
        <charset val="134"/>
      </rPr>
      <t>MA英语UPC版本包装（收缩膜和说明书,</t>
    </r>
    <r>
      <rPr>
        <sz val="11"/>
        <color rgb="FF000000"/>
        <rFont val="宋体"/>
        <charset val="134"/>
      </rPr>
      <t xml:space="preserve">  </t>
    </r>
    <r>
      <rPr>
        <sz val="11"/>
        <color rgb="FF000000"/>
        <rFont val="宋体"/>
        <charset val="134"/>
      </rPr>
      <t>MA首选1L，如无1L可用多语且含英语的配套多语包装)</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1张防盗贴纸</t>
    </r>
    <r>
      <rPr>
        <sz val="11"/>
        <color rgb="FF000000"/>
        <rFont val="宋体"/>
        <charset val="134"/>
      </rPr>
      <t xml:space="preserve">  </t>
    </r>
    <r>
      <rPr>
        <sz val="11"/>
        <color rgb="FF000000"/>
        <rFont val="宋体"/>
        <charset val="134"/>
      </rPr>
      <t>(贴纸以及位置图翻单PO#4500095104）+</t>
    </r>
    <r>
      <rPr>
        <sz val="11"/>
        <color rgb="FF000000"/>
        <rFont val="宋体"/>
        <charset val="134"/>
      </rPr>
      <t xml:space="preserve">  </t>
    </r>
    <r>
      <rPr>
        <sz val="11"/>
        <color rgb="FF000000"/>
        <rFont val="宋体"/>
        <charset val="134"/>
      </rPr>
      <t>箱唛</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外箱SSCC</t>
    </r>
    <r>
      <rPr>
        <sz val="11"/>
        <color rgb="FF000000"/>
        <rFont val="宋体"/>
        <charset val="134"/>
      </rPr>
      <t xml:space="preserve">  </t>
    </r>
    <r>
      <rPr>
        <sz val="11"/>
        <color rgb="FF000000"/>
        <rFont val="宋体"/>
        <charset val="134"/>
      </rPr>
      <t>Label</t>
    </r>
    <r>
      <rPr>
        <sz val="11"/>
        <color rgb="FF000000"/>
        <rFont val="宋体"/>
        <charset val="134"/>
      </rPr>
      <t xml:space="preserve">  </t>
    </r>
    <r>
      <rPr>
        <sz val="11"/>
        <color rgb="FF000000"/>
        <rFont val="宋体"/>
        <charset val="134"/>
      </rPr>
      <t>配比信息：Kitten:Bunny:Puppy:Cow:Elephant:Flamingo=1:1:1:1:1:1;</t>
    </r>
    <r>
      <rPr>
        <sz val="11"/>
        <color rgb="FF000000"/>
        <rFont val="宋体"/>
        <charset val="134"/>
      </rPr>
      <t xml:space="preserve">
</t>
    </r>
    <r>
      <rPr>
        <sz val="11"/>
        <color rgb="FF000000"/>
        <rFont val="宋体"/>
        <charset val="134"/>
      </rPr>
      <t>Remark: 1.请务必按时完货，验货。并且按期送货入货代指定仓库，如果晚了导致船期Delay将会有罚金产生或者客户要求空运，所产生的罚金和空运费由工厂承担。</t>
    </r>
    <r>
      <rPr>
        <sz val="11"/>
        <color rgb="FF000000"/>
        <rFont val="宋体"/>
        <charset val="134"/>
      </rPr>
      <t xml:space="preserve">
</t>
    </r>
    <r>
      <rPr>
        <sz val="11"/>
        <color rgb="FF000000"/>
        <rFont val="宋体"/>
        <charset val="134"/>
      </rPr>
      <t>2.SSCC</t>
    </r>
    <r>
      <rPr>
        <sz val="11"/>
        <color rgb="FF000000"/>
        <rFont val="宋体"/>
        <charset val="134"/>
      </rPr>
      <t xml:space="preserve">  </t>
    </r>
    <r>
      <rPr>
        <sz val="11"/>
        <color rgb="FF000000"/>
        <rFont val="宋体"/>
        <charset val="134"/>
      </rPr>
      <t>外箱贴纸请同纸箱瓦楞纸方向（竖纹向）垂直，即外箱贴纸横着贴(注意条码不要被胶带粘住），贴1pc，贴1面正唛，封箱胶纸不能挡住贴纸内容。外箱贴纸</t>
    </r>
    <r>
      <rPr>
        <sz val="11"/>
        <color rgb="FF000000"/>
        <rFont val="宋体"/>
        <charset val="134"/>
      </rPr>
      <t xml:space="preserve">
</t>
    </r>
    <r>
      <rPr>
        <sz val="11"/>
        <color rgb="FF000000"/>
        <rFont val="宋体"/>
        <charset val="134"/>
      </rPr>
      <t>离外箱边距离不少于2cm。</t>
    </r>
    <r>
      <rPr>
        <sz val="11"/>
        <color rgb="FF000000"/>
        <rFont val="宋体"/>
        <charset val="134"/>
      </rPr>
      <t xml:space="preserve">
</t>
    </r>
    <r>
      <rPr>
        <sz val="11"/>
        <color rgb="FF000000"/>
        <rFont val="宋体"/>
        <charset val="134"/>
      </rPr>
      <t>3.外箱材质为ZURU标准；</t>
    </r>
    <r>
      <rPr>
        <sz val="11"/>
        <color rgb="FF000000"/>
        <rFont val="宋体"/>
        <charset val="134"/>
      </rPr>
      <t xml:space="preserve">
</t>
    </r>
    <r>
      <rPr>
        <sz val="11"/>
        <color rgb="FF000000"/>
        <rFont val="宋体"/>
        <charset val="134"/>
      </rPr>
      <t>4.此单需使用KMART封箱胶上下工字型封箱;从2019年6月开始，要用KMART</t>
    </r>
    <r>
      <rPr>
        <sz val="11"/>
        <color rgb="FF000000"/>
        <rFont val="宋体"/>
        <charset val="134"/>
      </rPr>
      <t xml:space="preserve">  </t>
    </r>
    <r>
      <rPr>
        <sz val="11"/>
        <color rgb="FF000000"/>
        <rFont val="宋体"/>
        <charset val="134"/>
      </rPr>
      <t>新版封箱胶带，此单要用"ANKO"封箱胶带</t>
    </r>
    <r>
      <rPr>
        <sz val="11"/>
        <color rgb="FF000000"/>
        <rFont val="宋体"/>
        <charset val="134"/>
      </rPr>
      <t xml:space="preserve">
</t>
    </r>
    <r>
      <rPr>
        <sz val="11"/>
        <color rgb="FF000000"/>
        <rFont val="宋体"/>
        <charset val="134"/>
      </rPr>
      <t>5.此单出口澳大利亚，请按相应的澳新标准生产；</t>
    </r>
    <r>
      <rPr>
        <sz val="11"/>
        <color rgb="FF000000"/>
        <rFont val="宋体"/>
        <charset val="134"/>
      </rPr>
      <t xml:space="preserve">
</t>
    </r>
    <r>
      <rPr>
        <sz val="11"/>
        <color rgb="FF000000"/>
        <rFont val="宋体"/>
        <charset val="134"/>
      </rPr>
      <t>6.产品和包装上生产批号的显示格式ZURU标准日期码格式</t>
    </r>
    <r>
      <rPr>
        <sz val="11"/>
        <color rgb="FF000000"/>
        <rFont val="宋体"/>
        <charset val="134"/>
      </rPr>
      <t xml:space="preserve">
</t>
    </r>
    <r>
      <rPr>
        <sz val="11"/>
        <color rgb="FF000000"/>
        <rFont val="宋体"/>
        <charset val="134"/>
      </rPr>
      <t>7.外箱信息不可手写，重量和体积需要与实际的一致(不可手写）</t>
    </r>
    <r>
      <rPr>
        <sz val="11"/>
        <color rgb="FF000000"/>
        <rFont val="宋体"/>
        <charset val="134"/>
      </rPr>
      <t xml:space="preserve">
</t>
    </r>
    <r>
      <rPr>
        <sz val="11"/>
        <color rgb="FF000000"/>
        <rFont val="宋体"/>
        <charset val="134"/>
      </rPr>
      <t xml:space="preserve">   </t>
    </r>
    <r>
      <rPr>
        <sz val="11"/>
        <color rgb="FF000000"/>
        <rFont val="宋体"/>
        <charset val="134"/>
      </rPr>
      <t>8.</t>
    </r>
    <r>
      <rPr>
        <sz val="11"/>
        <color rgb="FF000000"/>
        <rFont val="宋体"/>
        <charset val="134"/>
      </rPr>
      <t xml:space="preserve">  </t>
    </r>
    <r>
      <rPr>
        <sz val="11"/>
        <color rgb="FF000000"/>
        <rFont val="宋体"/>
        <charset val="134"/>
      </rPr>
      <t>每款item装箱后的G.W.超过10KG或者CBM超过0.13,(9.5KG或者以上，四舍五入后也属于10KG)</t>
    </r>
    <r>
      <rPr>
        <sz val="11"/>
        <color rgb="FF000000"/>
        <rFont val="宋体"/>
        <charset val="134"/>
      </rPr>
      <t xml:space="preserve">  </t>
    </r>
    <r>
      <rPr>
        <sz val="11"/>
        <color rgb="FF000000"/>
        <rFont val="宋体"/>
        <charset val="134"/>
      </rPr>
      <t>需在外箱上加印超</t>
    </r>
    <r>
      <rPr>
        <sz val="11"/>
        <color rgb="FF000000"/>
        <rFont val="宋体"/>
        <charset val="134"/>
      </rPr>
      <t xml:space="preserve">  </t>
    </r>
    <r>
      <rPr>
        <sz val="11"/>
        <color rgb="FF000000"/>
        <rFont val="宋体"/>
        <charset val="134"/>
      </rPr>
      <t>重或者Bulky</t>
    </r>
    <r>
      <rPr>
        <sz val="11"/>
        <color rgb="FF000000"/>
        <rFont val="宋体"/>
        <charset val="134"/>
      </rPr>
      <t xml:space="preserve">  </t>
    </r>
    <r>
      <rPr>
        <sz val="11"/>
        <color rgb="FF000000"/>
        <rFont val="宋体"/>
        <charset val="134"/>
      </rPr>
      <t>LOGO，若发现我们资料没有，请</t>
    </r>
    <r>
      <rPr>
        <sz val="11"/>
        <color rgb="FF000000"/>
        <rFont val="宋体"/>
        <charset val="134"/>
      </rPr>
      <t xml:space="preserve">
</t>
    </r>
    <r>
      <rPr>
        <sz val="11"/>
        <color rgb="FF000000"/>
        <rFont val="宋体"/>
        <charset val="134"/>
      </rPr>
      <t>帮忙提醒</t>
    </r>
    <r>
      <rPr>
        <sz val="11"/>
        <color rgb="FF000000"/>
        <rFont val="宋体"/>
        <charset val="134"/>
      </rPr>
      <t xml:space="preserve">
</t>
    </r>
    <r>
      <rPr>
        <sz val="11"/>
        <color rgb="FF000000"/>
        <rFont val="宋体"/>
        <charset val="134"/>
      </rPr>
      <t xml:space="preserve">   </t>
    </r>
    <r>
      <rPr>
        <sz val="11"/>
        <color rgb="FF000000"/>
        <rFont val="宋体"/>
        <charset val="134"/>
      </rPr>
      <t>1)重量超过10kg但不超过16kg且CBM不超过0. 13,10-16kg</t>
    </r>
    <r>
      <rPr>
        <sz val="11"/>
        <color rgb="FF000000"/>
        <rFont val="宋体"/>
        <charset val="134"/>
      </rPr>
      <t xml:space="preserve">  </t>
    </r>
    <r>
      <rPr>
        <sz val="11"/>
        <color rgb="FF000000"/>
        <rFont val="宋体"/>
        <charset val="134"/>
      </rPr>
      <t>超重logo</t>
    </r>
    <r>
      <rPr>
        <sz val="11"/>
        <color rgb="FF000000"/>
        <rFont val="宋体"/>
        <charset val="134"/>
      </rPr>
      <t xml:space="preserve">
</t>
    </r>
    <r>
      <rPr>
        <sz val="11"/>
        <color rgb="FF000000"/>
        <rFont val="宋体"/>
        <charset val="134"/>
      </rPr>
      <t xml:space="preserve">   </t>
    </r>
    <r>
      <rPr>
        <sz val="11"/>
        <color rgb="FF000000"/>
        <rFont val="宋体"/>
        <charset val="134"/>
      </rPr>
      <t>2）CBM超过0. 13且重量少于17kg，bulky</t>
    </r>
    <r>
      <rPr>
        <sz val="11"/>
        <color rgb="FF000000"/>
        <rFont val="宋体"/>
        <charset val="134"/>
      </rPr>
      <t xml:space="preserve">  </t>
    </r>
    <r>
      <rPr>
        <sz val="11"/>
        <color rgb="FF000000"/>
        <rFont val="宋体"/>
        <charset val="134"/>
      </rPr>
      <t>logo</t>
    </r>
    <r>
      <rPr>
        <sz val="11"/>
        <color rgb="FF000000"/>
        <rFont val="宋体"/>
        <charset val="134"/>
      </rPr>
      <t xml:space="preserve">
</t>
    </r>
    <r>
      <rPr>
        <sz val="11"/>
        <color rgb="FF000000"/>
        <rFont val="宋体"/>
        <charset val="134"/>
      </rPr>
      <t xml:space="preserve">   </t>
    </r>
    <r>
      <rPr>
        <sz val="11"/>
        <color rgb="FF000000"/>
        <rFont val="宋体"/>
        <charset val="134"/>
      </rPr>
      <t>3）不属于以上两种情况，需要使用相应重量范围内的超重logo</t>
    </r>
    <r>
      <rPr>
        <sz val="11"/>
        <color rgb="FF000000"/>
        <rFont val="宋体"/>
        <charset val="134"/>
      </rPr>
      <t xml:space="preserve">
</t>
    </r>
    <r>
      <rPr>
        <sz val="11"/>
        <color rgb="FF000000"/>
        <rFont val="宋体"/>
        <charset val="134"/>
      </rPr>
      <t xml:space="preserve">   </t>
    </r>
    <r>
      <rPr>
        <sz val="11"/>
        <color rgb="FF000000"/>
        <rFont val="宋体"/>
        <charset val="134"/>
      </rPr>
      <t>4）超重logo需要在外箱四面都印刷(箱唛右上角，两面侧唛超重logo需要尽量靠近毛重)，尺寸为:110mm</t>
    </r>
    <r>
      <rPr>
        <sz val="11"/>
        <color rgb="FF000000"/>
        <rFont val="宋体"/>
        <charset val="134"/>
      </rPr>
      <t xml:space="preserve">  </t>
    </r>
    <r>
      <rPr>
        <sz val="11"/>
        <color rgb="FF000000"/>
        <rFont val="宋体"/>
        <charset val="134"/>
      </rPr>
      <t>height*</t>
    </r>
    <r>
      <rPr>
        <sz val="11"/>
        <color rgb="FF000000"/>
        <rFont val="宋体"/>
        <charset val="134"/>
      </rPr>
      <t xml:space="preserve">  </t>
    </r>
    <r>
      <rPr>
        <sz val="11"/>
        <color rgb="FF000000"/>
        <rFont val="宋体"/>
        <charset val="134"/>
      </rPr>
      <t>95mm</t>
    </r>
    <r>
      <rPr>
        <sz val="11"/>
        <color rgb="FF000000"/>
        <rFont val="宋体"/>
        <charset val="134"/>
      </rPr>
      <t xml:space="preserve">  </t>
    </r>
    <r>
      <rPr>
        <sz val="11"/>
        <color rgb="FF000000"/>
        <rFont val="宋体"/>
        <charset val="134"/>
      </rPr>
      <t>width</t>
    </r>
    <r>
      <rPr>
        <sz val="11"/>
        <color rgb="FF000000"/>
        <rFont val="宋体"/>
        <charset val="134"/>
      </rPr>
      <t xml:space="preserve">
</t>
    </r>
    <r>
      <rPr>
        <sz val="11"/>
        <color rgb="FF000000"/>
        <rFont val="宋体"/>
        <charset val="134"/>
      </rPr>
      <t xml:space="preserve">   </t>
    </r>
    <r>
      <rPr>
        <sz val="11"/>
        <color rgb="FF000000"/>
        <rFont val="宋体"/>
        <charset val="134"/>
      </rPr>
      <t>9.</t>
    </r>
    <r>
      <rPr>
        <sz val="11"/>
        <color rgb="FF000000"/>
        <rFont val="宋体"/>
        <charset val="134"/>
      </rPr>
      <t xml:space="preserve">  </t>
    </r>
    <r>
      <rPr>
        <sz val="11"/>
        <color rgb="FF000000"/>
        <rFont val="宋体"/>
        <charset val="134"/>
      </rPr>
      <t>实际外箱重量跟印在箱唛上的数据差异不能超3%，尺寸按实际数据印刷</t>
    </r>
    <r>
      <rPr>
        <sz val="11"/>
        <color rgb="FF000000"/>
        <rFont val="宋体"/>
        <charset val="134"/>
      </rPr>
      <t xml:space="preserve">
</t>
    </r>
    <r>
      <rPr>
        <sz val="11"/>
        <color rgb="FF000000"/>
        <rFont val="宋体"/>
        <charset val="134"/>
      </rPr>
      <t>10.所有带纽扣电池的产品都需要在产品包装以及说明书上贴纽扣电池警告语贴纸</t>
    </r>
    <r>
      <rPr>
        <sz val="11"/>
        <color rgb="FF000000"/>
        <rFont val="宋体"/>
        <charset val="134"/>
      </rPr>
      <t xml:space="preserve">
</t>
    </r>
    <r>
      <rPr>
        <sz val="11"/>
        <color rgb="FF000000"/>
        <rFont val="宋体"/>
        <charset val="134"/>
      </rPr>
      <t>此单需要与NZ</t>
    </r>
    <r>
      <rPr>
        <sz val="11"/>
        <color rgb="FF000000"/>
        <rFont val="宋体"/>
        <charset val="134"/>
      </rPr>
      <t xml:space="preserve">  </t>
    </r>
    <r>
      <rPr>
        <sz val="11"/>
        <color rgb="FF000000"/>
        <rFont val="宋体"/>
        <charset val="134"/>
      </rPr>
      <t>PO#4500215424一起合并计算</t>
    </r>
  </si>
  <si>
    <r>
      <rPr>
        <sz val="11"/>
        <color rgb="FF000000"/>
        <rFont val="宋体"/>
        <charset val="0"/>
      </rPr>
      <t>Louise</t>
    </r>
    <r>
      <rPr>
        <sz val="11"/>
        <color rgb="FF000000"/>
        <rFont val="宋体"/>
        <charset val="134"/>
      </rPr>
      <t xml:space="preserve">  </t>
    </r>
    <r>
      <rPr>
        <sz val="11"/>
        <color rgb="FF000000"/>
        <rFont val="宋体"/>
        <charset val="134"/>
      </rPr>
      <t>Lu</t>
    </r>
  </si>
  <si>
    <t>4500214894-10</t>
  </si>
  <si>
    <t>8/4收到</t>
  </si>
  <si>
    <t>日期码格式：ZURU  INC(BVI) 标准格式                                    日期：按实际生产日期
Packaging Info: 1.ZURU MA UPC 最新版本包装  + 客供价格贴纸，出口美国  , 优先1L，可接受多语  。
Remark:
  2 .价格贴纸位于包装正面右下角，不挡住重要信息即可，可适当调整，价格贴纸由跟单提供。
  3 .标准日期码格式，产品和包装必须有日期码  。
  4 .同个产品同个货期不可出现不同的包装。
5. 跟单提供ROSS/DD's 箱唛模版和资料，工厂根据实际外箱尺寸，重量排版箱唛来确认。
  6.所有产品和包装须符合华盛顿州及俄勒冈州  CHCC/ HPCCCH测试要求。</t>
  </si>
  <si>
    <t>Total:</t>
  </si>
  <si>
    <t xml:space="preserve">  </t>
  </si>
  <si>
    <t>A</t>
  </si>
  <si>
    <t>#9283美人鱼系列MA 包装扣数表</t>
  </si>
  <si>
    <t>日期</t>
  </si>
  <si>
    <t>MA PO</t>
  </si>
  <si>
    <t>負責</t>
  </si>
  <si>
    <t>MA收缩膜</t>
  </si>
  <si>
    <r>
      <rPr>
        <sz val="10"/>
        <rFont val="Arial"/>
        <charset val="0"/>
      </rPr>
      <t>MA 1</t>
    </r>
    <r>
      <rPr>
        <sz val="10"/>
        <rFont val="宋体"/>
        <charset val="134"/>
      </rPr>
      <t>语收缩膜</t>
    </r>
  </si>
  <si>
    <r>
      <rPr>
        <sz val="10"/>
        <color rgb="FFFF0000"/>
        <rFont val="Arial"/>
        <charset val="0"/>
      </rPr>
      <t>MA 1</t>
    </r>
    <r>
      <rPr>
        <sz val="10"/>
        <color rgb="FFFF0000"/>
        <rFont val="宋体"/>
        <charset val="134"/>
      </rPr>
      <t>语收缩膜</t>
    </r>
  </si>
  <si>
    <r>
      <rPr>
        <sz val="10"/>
        <color rgb="FFFF0000"/>
        <rFont val="Arial"/>
        <charset val="0"/>
      </rPr>
      <t>MA 3</t>
    </r>
    <r>
      <rPr>
        <sz val="10"/>
        <color rgb="FFFF0000"/>
        <rFont val="宋体"/>
        <charset val="134"/>
      </rPr>
      <t>语收缩膜</t>
    </r>
  </si>
  <si>
    <t>5语收藏指南</t>
  </si>
  <si>
    <t>客版收缩膜</t>
  </si>
  <si>
    <t>藏宝图</t>
  </si>
  <si>
    <t>领养卡</t>
  </si>
  <si>
    <t>MEC展示架-1L</t>
  </si>
  <si>
    <t>EC展示架-1L</t>
  </si>
  <si>
    <t>A版本</t>
  </si>
  <si>
    <t>B版本</t>
  </si>
  <si>
    <t>C版本-无闪粉</t>
  </si>
  <si>
    <t>Amy</t>
  </si>
  <si>
    <t>Mona</t>
  </si>
  <si>
    <t>@Emma Chen   4500092956-9804pcs                                                                                                                                                   4500116561-2100pcs                                                                                                                                                                          4500122428-3000pcs                                                                                                                                                                         4500123591-3600pcs                                                                                                                                                                                       4500128665-3000PCS                                                                                                                                                                        4500129356-1002pcs                                                                                                                                                                                           4500136786-2100pcs</t>
  </si>
  <si>
    <t>4500097084-15000pcs                                                                                                                                                                                                 4500101379-10002pcs                                                                                                                                                                                        4500137318-2580pcs</t>
  </si>
  <si>
    <t>2023/4/11</t>
  </si>
  <si>
    <t>Charine Chen</t>
  </si>
  <si>
    <r>
      <rPr>
        <sz val="10"/>
        <rFont val="Arial"/>
        <charset val="0"/>
      </rPr>
      <t>Smyths</t>
    </r>
    <r>
      <rPr>
        <sz val="10"/>
        <rFont val="宋体"/>
        <charset val="0"/>
      </rPr>
      <t>客使用</t>
    </r>
    <r>
      <rPr>
        <sz val="10"/>
        <rFont val="Arial"/>
        <charset val="0"/>
      </rPr>
      <t xml:space="preserve">      Linda     4500094401</t>
    </r>
  </si>
  <si>
    <r>
      <rPr>
        <sz val="10"/>
        <color rgb="FFFF0000"/>
        <rFont val="宋体"/>
        <charset val="0"/>
      </rPr>
      <t>翻单</t>
    </r>
    <r>
      <rPr>
        <sz val="10"/>
        <color rgb="FFFF0000"/>
        <rFont val="Arial"/>
        <charset val="0"/>
      </rPr>
      <t xml:space="preserve">  4500094401</t>
    </r>
    <r>
      <rPr>
        <sz val="10"/>
        <color rgb="FFFF0000"/>
        <rFont val="宋体"/>
        <charset val="0"/>
      </rPr>
      <t>扣数</t>
    </r>
  </si>
  <si>
    <r>
      <rPr>
        <sz val="10"/>
        <rFont val="Arial"/>
        <charset val="0"/>
      </rPr>
      <t>Effy</t>
    </r>
    <r>
      <rPr>
        <sz val="10"/>
        <rFont val="宋体"/>
        <charset val="0"/>
      </rPr>
      <t>用于</t>
    </r>
    <r>
      <rPr>
        <sz val="10"/>
        <rFont val="Arial"/>
        <charset val="0"/>
      </rPr>
      <t>4500100631 4500100632 4500100633 4500100635</t>
    </r>
    <r>
      <rPr>
        <sz val="10"/>
        <rFont val="宋体"/>
        <charset val="0"/>
      </rPr>
      <t>（</t>
    </r>
    <r>
      <rPr>
        <sz val="10"/>
        <rFont val="Arial"/>
        <charset val="0"/>
      </rPr>
      <t>543</t>
    </r>
    <r>
      <rPr>
        <sz val="10"/>
        <rFont val="宋体"/>
        <charset val="0"/>
      </rPr>
      <t>座</t>
    </r>
    <r>
      <rPr>
        <sz val="10"/>
        <rFont val="Arial"/>
        <charset val="0"/>
      </rPr>
      <t xml:space="preserve"> </t>
    </r>
    <r>
      <rPr>
        <sz val="10"/>
        <rFont val="宋体"/>
        <charset val="0"/>
      </rPr>
      <t>剩</t>
    </r>
    <r>
      <rPr>
        <sz val="10"/>
        <rFont val="Arial"/>
        <charset val="0"/>
      </rPr>
      <t>3457</t>
    </r>
    <r>
      <rPr>
        <sz val="10"/>
        <rFont val="宋体"/>
        <charset val="0"/>
      </rPr>
      <t>座）</t>
    </r>
    <r>
      <rPr>
        <sz val="10"/>
        <rFont val="Arial"/>
        <charset val="0"/>
      </rPr>
      <t>1L</t>
    </r>
  </si>
  <si>
    <t>Daisy.Li</t>
  </si>
  <si>
    <r>
      <rPr>
        <sz val="10"/>
        <rFont val="Arial"/>
        <charset val="0"/>
      </rPr>
      <t>Willow</t>
    </r>
    <r>
      <rPr>
        <sz val="10"/>
        <rFont val="宋体"/>
        <charset val="0"/>
      </rPr>
      <t xml:space="preserve">用于订单 </t>
    </r>
    <r>
      <rPr>
        <sz val="10"/>
        <rFont val="Calibri"/>
        <charset val="0"/>
      </rPr>
      <t>4500104331</t>
    </r>
  </si>
  <si>
    <t>4500105312   4500100289    4500100344</t>
  </si>
  <si>
    <t>Linda Smyths EU:4500108836 334PCS
Sherry Smyths 4500108866 2406pcs</t>
  </si>
  <si>
    <t>4500137300-7422pcs                                                                                                                                                                                    4500137318-2580pcs</t>
  </si>
  <si>
    <t>AMY</t>
  </si>
  <si>
    <t>合计</t>
  </si>
  <si>
    <t>訂單需求數</t>
  </si>
  <si>
    <t>樣板需求</t>
  </si>
  <si>
    <t>MA庫存數</t>
  </si>
  <si>
    <r>
      <rPr>
        <sz val="10"/>
        <rFont val="Arial"/>
        <charset val="0"/>
      </rPr>
      <t>23</t>
    </r>
    <r>
      <rPr>
        <sz val="10"/>
        <rFont val="宋体"/>
        <charset val="0"/>
      </rPr>
      <t>年总数：</t>
    </r>
  </si>
  <si>
    <r>
      <rPr>
        <sz val="10"/>
        <rFont val="Arial"/>
        <charset val="0"/>
      </rPr>
      <t>23</t>
    </r>
    <r>
      <rPr>
        <sz val="10"/>
        <rFont val="宋体"/>
        <charset val="0"/>
      </rPr>
      <t>年数量：</t>
    </r>
  </si>
  <si>
    <r>
      <rPr>
        <sz val="10"/>
        <color rgb="FFF7241F"/>
        <rFont val="Arial"/>
        <charset val="0"/>
      </rPr>
      <t>24</t>
    </r>
    <r>
      <rPr>
        <sz val="10"/>
        <color rgb="FFF7241F"/>
        <rFont val="宋体"/>
        <charset val="0"/>
      </rPr>
      <t>年数量：</t>
    </r>
  </si>
  <si>
    <t>Item</t>
  </si>
  <si>
    <t>Character</t>
  </si>
  <si>
    <t>Ratio</t>
  </si>
  <si>
    <t>Materials Description</t>
  </si>
  <si>
    <t>MOQ</t>
  </si>
  <si>
    <r>
      <rPr>
        <b/>
        <sz val="10"/>
        <color theme="0"/>
        <rFont val="宋体"/>
        <charset val="134"/>
      </rPr>
      <t>产品用量</t>
    </r>
  </si>
  <si>
    <r>
      <rPr>
        <b/>
        <sz val="10"/>
        <color theme="0"/>
        <rFont val="Tahoma"/>
        <charset val="134"/>
      </rPr>
      <t>MOQ</t>
    </r>
    <r>
      <rPr>
        <b/>
        <sz val="10"/>
        <color theme="0"/>
        <rFont val="宋体"/>
        <charset val="134"/>
      </rPr>
      <t>生产数量</t>
    </r>
  </si>
  <si>
    <t>MA-RR-747</t>
  </si>
  <si>
    <t>MA-RR-783</t>
  </si>
  <si>
    <t>MA-RR-804</t>
  </si>
  <si>
    <t>MA-RR-849</t>
  </si>
  <si>
    <t>MA-RR-880</t>
  </si>
  <si>
    <t>MA-RR-930</t>
  </si>
  <si>
    <t>MA-RR-947</t>
  </si>
  <si>
    <r>
      <rPr>
        <b/>
        <sz val="10"/>
        <color theme="0"/>
        <rFont val="Tahoma"/>
        <charset val="134"/>
      </rPr>
      <t xml:space="preserve">MA-RR-968
</t>
    </r>
    <r>
      <rPr>
        <b/>
        <sz val="10"/>
        <color rgb="FFFFC000"/>
        <rFont val="宋体"/>
        <charset val="134"/>
      </rPr>
      <t>（共用布料挪给无闪粉用）</t>
    </r>
  </si>
  <si>
    <r>
      <rPr>
        <b/>
        <sz val="10"/>
        <color theme="0"/>
        <rFont val="Tahoma"/>
        <charset val="134"/>
      </rPr>
      <t>MA-RR-986
(</t>
    </r>
    <r>
      <rPr>
        <b/>
        <sz val="10"/>
        <color rgb="FFFFC000"/>
        <rFont val="宋体"/>
        <charset val="134"/>
      </rPr>
      <t>无闪粉)</t>
    </r>
  </si>
  <si>
    <r>
      <rPr>
        <b/>
        <sz val="10"/>
        <color rgb="FFFFC000"/>
        <rFont val="Tahoma"/>
        <charset val="134"/>
      </rPr>
      <t>MA-RR-1044
(</t>
    </r>
    <r>
      <rPr>
        <b/>
        <sz val="10"/>
        <color rgb="FFFFC000"/>
        <rFont val="宋体"/>
        <charset val="134"/>
      </rPr>
      <t>补放有闪粉的共用布料)</t>
    </r>
  </si>
  <si>
    <r>
      <rPr>
        <b/>
        <sz val="10"/>
        <color rgb="FFFFC000"/>
        <rFont val="Tahoma"/>
        <charset val="134"/>
      </rPr>
      <t>MA-RR-1067
(</t>
    </r>
    <r>
      <rPr>
        <b/>
        <sz val="10"/>
        <color rgb="FFFFC000"/>
        <rFont val="宋体"/>
        <charset val="134"/>
      </rPr>
      <t>无闪粉</t>
    </r>
    <r>
      <rPr>
        <b/>
        <sz val="10"/>
        <color rgb="FFFFC000"/>
        <rFont val="Tahoma"/>
        <charset val="134"/>
      </rPr>
      <t>)</t>
    </r>
  </si>
  <si>
    <r>
      <rPr>
        <b/>
        <sz val="10"/>
        <color rgb="FFFFC000"/>
        <rFont val="Tahoma"/>
        <charset val="134"/>
      </rPr>
      <t>MA-RR-1162
(</t>
    </r>
    <r>
      <rPr>
        <b/>
        <sz val="10"/>
        <color rgb="FFFFC000"/>
        <rFont val="宋体"/>
        <charset val="134"/>
      </rPr>
      <t>无闪粉</t>
    </r>
    <r>
      <rPr>
        <b/>
        <sz val="10"/>
        <color rgb="FFFFC000"/>
        <rFont val="Tahoma"/>
        <charset val="134"/>
      </rPr>
      <t>)</t>
    </r>
  </si>
  <si>
    <r>
      <rPr>
        <b/>
        <sz val="10"/>
        <color rgb="FFFFC000"/>
        <rFont val="Tahoma"/>
        <charset val="134"/>
      </rPr>
      <t>MA-RR-1206
(</t>
    </r>
    <r>
      <rPr>
        <b/>
        <sz val="10"/>
        <color rgb="FFFFC000"/>
        <rFont val="宋体"/>
        <charset val="134"/>
      </rPr>
      <t>无闪粉</t>
    </r>
    <r>
      <rPr>
        <b/>
        <sz val="10"/>
        <color rgb="FFFFC000"/>
        <rFont val="Tahoma"/>
        <charset val="134"/>
      </rPr>
      <t>)</t>
    </r>
  </si>
  <si>
    <t>MA-RR-1292
(无闪粉)</t>
  </si>
  <si>
    <t>MA-RR-1389
(无闪粉)</t>
  </si>
  <si>
    <t>MA-RR-1472
(无闪粉)</t>
  </si>
  <si>
    <t>MA-RR-1873
(无闪粉)</t>
  </si>
  <si>
    <r>
      <rPr>
        <b/>
        <sz val="10"/>
        <color rgb="FFFFC000"/>
        <rFont val="Tahoma"/>
        <charset val="134"/>
      </rPr>
      <t>MA-RR-1996
(</t>
    </r>
    <r>
      <rPr>
        <b/>
        <sz val="10"/>
        <color rgb="FFFFC000"/>
        <rFont val="宋体"/>
        <charset val="134"/>
      </rPr>
      <t>无闪粉</t>
    </r>
    <r>
      <rPr>
        <b/>
        <sz val="10"/>
        <color rgb="FFFFC000"/>
        <rFont val="Tahoma"/>
        <charset val="134"/>
      </rPr>
      <t>)</t>
    </r>
  </si>
  <si>
    <r>
      <rPr>
        <b/>
        <sz val="10"/>
        <color rgb="FFFFC000"/>
        <rFont val="Tahoma"/>
        <charset val="134"/>
      </rPr>
      <t>MA-RR-2103
(</t>
    </r>
    <r>
      <rPr>
        <b/>
        <sz val="10"/>
        <color rgb="FFFFC000"/>
        <rFont val="宋体"/>
        <charset val="134"/>
      </rPr>
      <t>无闪粉</t>
    </r>
    <r>
      <rPr>
        <b/>
        <sz val="10"/>
        <color rgb="FFFFC000"/>
        <rFont val="Tahoma"/>
        <charset val="134"/>
      </rPr>
      <t>)</t>
    </r>
  </si>
  <si>
    <t>Grand Total</t>
  </si>
  <si>
    <r>
      <rPr>
        <b/>
        <sz val="10"/>
        <color theme="0"/>
        <rFont val="Tahoma"/>
        <charset val="134"/>
      </rPr>
      <t>MA</t>
    </r>
    <r>
      <rPr>
        <b/>
        <sz val="10"/>
        <color theme="0"/>
        <rFont val="宋体"/>
        <charset val="134"/>
      </rPr>
      <t>可生产数量</t>
    </r>
  </si>
  <si>
    <t>Order Date</t>
  </si>
  <si>
    <t>Delivery Date</t>
  </si>
  <si>
    <t>Rainbocorn
Mermaidcorn Surprise 9283#</t>
  </si>
  <si>
    <t>小猫/Kitten</t>
  </si>
  <si>
    <t>10mm白色兔毛</t>
  </si>
  <si>
    <t>共用物料1</t>
  </si>
  <si>
    <t>10mm粉色小兔毛/烫银色镭射鱼尾纹</t>
  </si>
  <si>
    <t>紫色闪粉边伦布</t>
  </si>
  <si>
    <t>粉紫色幻彩PU</t>
  </si>
  <si>
    <t>1MM紫色戟绒</t>
  </si>
  <si>
    <t>110mm粉色长毛绒</t>
  </si>
  <si>
    <t>1.5MM漂白水晶超柔</t>
  </si>
  <si>
    <t>共用物料3</t>
  </si>
  <si>
    <t>白色边伦布</t>
  </si>
  <si>
    <t>共用物料4</t>
  </si>
  <si>
    <t>紫色巴黎之星</t>
  </si>
  <si>
    <t>白色喷棉</t>
  </si>
  <si>
    <t>共用物料5</t>
  </si>
  <si>
    <t>紫色闪粉PU</t>
  </si>
  <si>
    <t>6mm宽棉带</t>
  </si>
  <si>
    <t>共用物料6</t>
  </si>
  <si>
    <t>车缝线</t>
  </si>
  <si>
    <t>共用物料7</t>
  </si>
  <si>
    <t>32MM直径全包扣水晶眼/介子</t>
  </si>
  <si>
    <t>共用物料8</t>
  </si>
  <si>
    <t>棉花</t>
  </si>
  <si>
    <t>共用物料9</t>
  </si>
  <si>
    <t>布标</t>
  </si>
  <si>
    <t>共用物料10</t>
  </si>
  <si>
    <t>丝印/电绣</t>
  </si>
  <si>
    <t>兔子/Bunny</t>
  </si>
  <si>
    <t>10mm粉色兔毛</t>
  </si>
  <si>
    <t>10mm紫色小兔毛/烫银色镭射鱼尾纹</t>
  </si>
  <si>
    <t>蓝色闪粉边伦布</t>
  </si>
  <si>
    <t>蓝色幻彩PU</t>
  </si>
  <si>
    <t>1MM蓝色戟绒</t>
  </si>
  <si>
    <t>110mm紫色长毛绒</t>
  </si>
  <si>
    <t>蓝色巴黎之星</t>
  </si>
  <si>
    <t>3MM白色戟绒</t>
  </si>
  <si>
    <t>蓝色闪粉PU</t>
  </si>
  <si>
    <t>小狗/Puppy</t>
  </si>
  <si>
    <t>10mm深蓝色兔毛</t>
  </si>
  <si>
    <t>蓝色气蒸绒</t>
  </si>
  <si>
    <t>#16银色烫点布贴合T/C布</t>
  </si>
  <si>
    <t>10mm深粉色小兔毛/烫银色镭射鱼尾纹</t>
  </si>
  <si>
    <t>粉色闪粉边伦布</t>
  </si>
  <si>
    <t>浅粉色幻彩PU</t>
  </si>
  <si>
    <t>1MM白色戟绒</t>
  </si>
  <si>
    <t>共用物料2</t>
  </si>
  <si>
    <t>110mm红色长毛绒</t>
  </si>
  <si>
    <t>粉色巴黎之星</t>
  </si>
  <si>
    <t>红色闪粉PU</t>
  </si>
  <si>
    <t>奶牛/Cow</t>
  </si>
  <si>
    <t>10mm黑色兔毛</t>
  </si>
  <si>
    <t>浅金色闪粉边伦布</t>
  </si>
  <si>
    <t>金色烫金布/边纶底</t>
  </si>
  <si>
    <t>110mm橙色长毛绒</t>
  </si>
  <si>
    <t>1.5MM橙红色水晶超柔</t>
  </si>
  <si>
    <t>红色巴黎之星</t>
  </si>
  <si>
    <t>金色闪粉PU</t>
  </si>
  <si>
    <t>大象/Elephent</t>
  </si>
  <si>
    <t>10mm蓝色兔毛</t>
  </si>
  <si>
    <t>10mm白色小兔毛/烫银色镭射鱼尾纹</t>
  </si>
  <si>
    <t>浅蓝色闪粉边伦布</t>
  </si>
  <si>
    <t>绿色幻彩PU</t>
  </si>
  <si>
    <t>1MM绿色戟绒</t>
  </si>
  <si>
    <t>110mm绿色长毛绒</t>
  </si>
  <si>
    <t>2mm白色戟绒</t>
  </si>
  <si>
    <t>绿色巴黎之星</t>
  </si>
  <si>
    <t>绿色闪粉PU</t>
  </si>
  <si>
    <t>火烈鸟/Flamingo</t>
  </si>
  <si>
    <t>10mm粉色扎染兔毛</t>
  </si>
  <si>
    <t>银色闪粉边伦布</t>
  </si>
  <si>
    <t>银色烫金布/边纶底</t>
  </si>
  <si>
    <t>玫红色边伦布</t>
  </si>
  <si>
    <t>1.5MM黑色水晶超柔</t>
  </si>
  <si>
    <t>1.5MM玫红色水晶超柔</t>
  </si>
  <si>
    <t>银色巴黎之星</t>
  </si>
  <si>
    <t>银色闪粉PU</t>
  </si>
  <si>
    <t>Total</t>
  </si>
  <si>
    <t>主布料-专用款</t>
  </si>
  <si>
    <r>
      <rPr>
        <b/>
        <sz val="14"/>
        <rFont val="Arial"/>
        <charset val="0"/>
      </rPr>
      <t>#9283 MA</t>
    </r>
    <r>
      <rPr>
        <b/>
        <sz val="14"/>
        <rFont val="宋体"/>
        <charset val="0"/>
      </rPr>
      <t>半成品扣數表（</t>
    </r>
    <r>
      <rPr>
        <b/>
        <sz val="14"/>
        <color rgb="FFFF0000"/>
        <rFont val="宋体"/>
        <charset val="0"/>
      </rPr>
      <t>有闪粉毛绒</t>
    </r>
    <r>
      <rPr>
        <b/>
        <sz val="14"/>
        <rFont val="宋体"/>
        <charset val="0"/>
      </rPr>
      <t>）</t>
    </r>
  </si>
  <si>
    <t>布料</t>
  </si>
  <si>
    <t>布料剩余</t>
  </si>
  <si>
    <r>
      <rPr>
        <sz val="11"/>
        <rFont val="Arial"/>
        <charset val="0"/>
      </rPr>
      <t>MA</t>
    </r>
    <r>
      <rPr>
        <sz val="11"/>
        <rFont val="宋体"/>
        <charset val="134"/>
      </rPr>
      <t>訂單號</t>
    </r>
  </si>
  <si>
    <t>大象</t>
  </si>
  <si>
    <t>火烈鸟</t>
  </si>
  <si>
    <r>
      <rPr>
        <sz val="11"/>
        <rFont val="Arial"/>
        <charset val="0"/>
      </rPr>
      <t>6</t>
    </r>
    <r>
      <rPr>
        <sz val="11"/>
        <rFont val="宋体"/>
        <charset val="134"/>
      </rPr>
      <t>款合計</t>
    </r>
  </si>
  <si>
    <t>预留客版布标</t>
  </si>
  <si>
    <t>要求完成時間</t>
  </si>
  <si>
    <t>MA-RR-781</t>
  </si>
  <si>
    <t>MA-RR-805</t>
  </si>
  <si>
    <t>MA_RR_829</t>
  </si>
  <si>
    <t>MA_RR_881</t>
  </si>
  <si>
    <t>MA_RR_924</t>
  </si>
  <si>
    <t>MA_RR_945</t>
  </si>
  <si>
    <t>兔子B版本布标</t>
  </si>
  <si>
    <t>MA_RR_967</t>
  </si>
  <si>
    <t>MA_RR_1053</t>
  </si>
  <si>
    <t>有闪粉欠数</t>
  </si>
  <si>
    <r>
      <rPr>
        <sz val="11"/>
        <rFont val="Arial"/>
        <charset val="0"/>
      </rPr>
      <t>MA</t>
    </r>
    <r>
      <rPr>
        <sz val="11"/>
        <rFont val="宋体"/>
        <charset val="134"/>
      </rPr>
      <t>合計</t>
    </r>
  </si>
  <si>
    <r>
      <rPr>
        <sz val="11"/>
        <color rgb="FFFF0000"/>
        <rFont val="Arial"/>
        <charset val="0"/>
      </rPr>
      <t>2023</t>
    </r>
    <r>
      <rPr>
        <sz val="11"/>
        <color rgb="FFFF0000"/>
        <rFont val="宋体"/>
        <charset val="0"/>
      </rPr>
      <t>年删除数：</t>
    </r>
  </si>
  <si>
    <r>
      <rPr>
        <sz val="11"/>
        <color rgb="FFFF0000"/>
        <rFont val="Arial"/>
        <charset val="0"/>
      </rPr>
      <t>2024</t>
    </r>
    <r>
      <rPr>
        <sz val="11"/>
        <color rgb="FFFF0000"/>
        <rFont val="宋体"/>
        <charset val="0"/>
      </rPr>
      <t>年删除数：</t>
    </r>
  </si>
  <si>
    <r>
      <rPr>
        <sz val="11"/>
        <rFont val="Arial"/>
        <charset val="0"/>
      </rPr>
      <t>PO</t>
    </r>
    <r>
      <rPr>
        <sz val="11"/>
        <rFont val="宋体"/>
        <charset val="134"/>
      </rPr>
      <t>接單數量</t>
    </r>
  </si>
  <si>
    <t>樣板PO接單數</t>
  </si>
  <si>
    <r>
      <rPr>
        <sz val="11"/>
        <rFont val="Arial"/>
        <charset val="0"/>
      </rPr>
      <t>MA</t>
    </r>
    <r>
      <rPr>
        <sz val="11"/>
        <rFont val="宋体"/>
        <charset val="134"/>
      </rPr>
      <t>半成品剩餘數</t>
    </r>
  </si>
  <si>
    <r>
      <rPr>
        <sz val="11"/>
        <rFont val="Arial"/>
        <charset val="0"/>
      </rPr>
      <t>MA</t>
    </r>
    <r>
      <rPr>
        <sz val="11"/>
        <rFont val="宋体"/>
        <charset val="134"/>
      </rPr>
      <t>剩餘總數</t>
    </r>
  </si>
  <si>
    <r>
      <rPr>
        <b/>
        <sz val="14"/>
        <rFont val="Arial"/>
        <charset val="0"/>
      </rPr>
      <t>#9283 MA</t>
    </r>
    <r>
      <rPr>
        <b/>
        <sz val="14"/>
        <rFont val="宋体"/>
        <charset val="0"/>
      </rPr>
      <t>半成品扣數表（</t>
    </r>
    <r>
      <rPr>
        <b/>
        <sz val="14"/>
        <color rgb="FFFF0000"/>
        <rFont val="宋体"/>
        <charset val="0"/>
      </rPr>
      <t>无闪粉毛绒</t>
    </r>
    <r>
      <rPr>
        <b/>
        <sz val="14"/>
        <rFont val="宋体"/>
        <charset val="0"/>
      </rPr>
      <t>）</t>
    </r>
  </si>
  <si>
    <t>MA_RR_1013</t>
  </si>
  <si>
    <t>MA_RR_1098</t>
  </si>
  <si>
    <t>布标新日期格式</t>
  </si>
  <si>
    <t>MA_RR_1205</t>
  </si>
  <si>
    <t>MA_RR_1266</t>
  </si>
  <si>
    <t>MA_RR_1329</t>
  </si>
  <si>
    <t>补有闪粉欠数</t>
  </si>
  <si>
    <t>MA_RR_1412</t>
  </si>
  <si>
    <t>MA_RR_1473</t>
  </si>
  <si>
    <t>MA_RR_1917</t>
  </si>
  <si>
    <t>新布标地址</t>
  </si>
  <si>
    <t>MA_RR_2064</t>
  </si>
  <si>
    <t>MA-RR-2436</t>
  </si>
  <si>
    <t>合计半品MA</t>
  </si>
  <si>
    <t>总接单</t>
  </si>
  <si>
    <t>合计接单数：</t>
  </si>
  <si>
    <t>接单日期</t>
  </si>
  <si>
    <t>取消时间</t>
  </si>
  <si>
    <t>是否有物料产生</t>
  </si>
  <si>
    <t>消耗明细</t>
  </si>
  <si>
    <r>
      <rPr>
        <b/>
        <sz val="11"/>
        <rFont val="幼圆"/>
        <charset val="0"/>
      </rPr>
      <t>MA  1</t>
    </r>
    <r>
      <rPr>
        <b/>
        <sz val="11"/>
        <rFont val="幼圆"/>
        <charset val="134"/>
      </rPr>
      <t>語收縮膜</t>
    </r>
    <r>
      <rPr>
        <b/>
        <sz val="11"/>
        <rFont val="幼圆"/>
        <charset val="0"/>
      </rPr>
      <t xml:space="preserve">
A</t>
    </r>
    <r>
      <rPr>
        <b/>
        <sz val="11"/>
        <rFont val="幼圆"/>
        <charset val="134"/>
      </rPr>
      <t>版本</t>
    </r>
  </si>
  <si>
    <t>MA 3语收缩膜</t>
  </si>
  <si>
    <t>奶牛
Cow</t>
  </si>
  <si>
    <t>大象 Elephant</t>
  </si>
  <si>
    <t>H火烈鸟 Flamingo</t>
  </si>
  <si>
    <t>生產狀態</t>
  </si>
  <si>
    <t>SUOMEN OSUUSKAUPPOJEN</t>
  </si>
  <si>
    <t>芬兰</t>
  </si>
  <si>
    <t>4500096312-30</t>
  </si>
  <si>
    <t>欠布标贴
 纸+EAN贴纸+警告语贴纸</t>
  </si>
  <si>
    <t>日期码格式：ZURU 标准格式 日期：按实际生产日期
Packaging Info: 9283:MA 3L A版领养卡+MA 5L A版收藏指南+A_1L收缩膜+try me 1L A版贴纸+MA 3L A版地图+MA A版布标+MA 3L polybag/Accessories Bag/Magic sand bag+布标贴
 纸+EAN贴纸+警告语贴纸
Remark: 1. 包装不可有PVC，包装上的吸塑需要用PET代替。
2. 产品要求无硼无香
3.
工厂款号 条码
 9283 4894680026841
4. 产品信息：
9283:Kitten:Bunny:Puppy:Cow:Elephant:Flamingo=1:1:1:1:1:1;
5.此单有客人客验，请多备料。
6.出货前需寄3-4套大货样给客人签样。
7.客人需要大货样1pcs，请在4/21前寄到深圳办公室Luna签收</t>
  </si>
  <si>
    <t>Rose</t>
  </si>
  <si>
    <t>4500106533-30</t>
  </si>
  <si>
    <t>未接单实单</t>
  </si>
  <si>
    <t>9/12取消</t>
  </si>
  <si>
    <t>8/16收到外箱贴纸</t>
  </si>
  <si>
    <t>日期码格式：ZURU INC(BVI) 标准格式 日期：按实际生产日期
Packaging Info: 
9283: MA +1L
Remark:
2. 产品MA 1L包装，客版PDQ. 产品UPC显示193052050328, Integral single ratio=bule/purple/pink/orange =1:1:1:1
3. 外箱正唛左上角位置粘贴条码箱贴纸，每箱只贴一张，由ZURU订购。来料贴纸上显示的客户DPCI# 086-08-4053，UPC显示10193052050325;
6. 产品/包装:MA+1L, UPC显示 193052050014. MA PDQ
7. 外箱正唛左上角位置粘贴条码箱贴纸，每箱只贴一张，由ZURU订购。来料贴纸上显示的客户DPCI#086-08-3096， UPC显示10193052050011
9. 9283-S001-RAINBOCORNS-MERMAIDCORN SURPRISE-SERIES 7 Plush Medium,Bulk,6pcs,No Inner,STD Color Assortment
10. MA 1L包装. 产品UPC显示193052050106,Kitten:Bunny:Puppy:Cow:Elephant:Flamingo=1:1:1:1:1:1;
11. 外箱正唛左上角位置粘贴条码箱贴纸，每箱只贴一张，由ZURU订购。来料贴纸上显示的客户DPCI# 086-08-6431，UPC显示10193052050103;
12. 9283：Semi-products (Large size)，做半成品，只做好毛绒公仔，不入壳
13. 产品和包装上印刷 tracking code信息，格式为ZURU常规格式;
14. 出货方式：货代自提。</t>
  </si>
  <si>
    <t>ZURU</t>
  </si>
  <si>
    <t>库有</t>
  </si>
  <si>
    <t>MO20230828</t>
  </si>
  <si>
    <t>待定</t>
  </si>
  <si>
    <t>9/18取消</t>
  </si>
  <si>
    <t>请先按数量备料，正式订单会于周三前下</t>
  </si>
  <si>
    <t>MO20230612</t>
  </si>
  <si>
    <t>手工单暂未实单9/28</t>
  </si>
  <si>
    <t>待确认后订购</t>
  </si>
  <si>
    <t>客版布标贴纸, 客供RFID贴纸</t>
  </si>
  <si>
    <t>9283
1.包装信息：, MA A 版 1L收缩膜，MA A 版 收藏指南，MA A版 3L贴纸，MA A版 1L贴纸袋，MA A 版 3L泡泡水袋，MA A 版 3L小配件袋，MA A 版 3L魔力沙袋，MA A 版 3L领养卡，MA A 版 3L刮刮卡，MA车缝布标, 客版布标贴纸, 客供RFID贴纸， 
2.在外箱印刷带条码的箱唛以及四面印刷RFID的箱唛（新增ZURU黑色色带顶格四面印刷)，不需要贴白色艾利贴纸(由我们提供艾利贴纸替代箱唛），箱唛内容见附件, 外箱侧面任一角落标注"MADE IN CHINA" 字样。
3.产品如有扎带口要剪平，不能刮手。
4.此单需要验货，请自行多备包装物料。
5.此单BULIK PACK出货
配比：Kitten:Bunny:Puppy:Cow:Elephant:Flamingo=1:1:1:1:1:1;</t>
  </si>
  <si>
    <t>47672839 FRE</t>
  </si>
  <si>
    <t>4500124253-30</t>
  </si>
  <si>
    <t>改到4500125363</t>
  </si>
  <si>
    <t>转PO</t>
  </si>
  <si>
    <t>2/2收到</t>
  </si>
  <si>
    <t>进口商贴纸翻单4500106537</t>
  </si>
  <si>
    <t>日期码一致，为250324</t>
  </si>
  <si>
    <t>日期码格式：250324 日期：
Packaging Info: 1.包装(MA UPC 包装,1L 3L都可接受）
9283:MA UPC PKG+1张进口商贴纸，贴纸翻单4500106537
2.产品和产品包装上的日期码一致，为250324 (dd/mm/yy；进口商贴纸上已经去掉日期码，请按要求在包装上打日期码，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
4.比例：
9283：Kitten:Bunny:Puppy:Cow:Elephant:Flamingo=1:1:1:1:1:1;</t>
  </si>
  <si>
    <t>Lillian Li</t>
  </si>
  <si>
    <r>
      <rPr>
        <sz val="11"/>
        <rFont val="幼圆"/>
        <charset val="134"/>
      </rPr>
      <t>MA</t>
    </r>
    <r>
      <rPr>
        <sz val="11"/>
        <rFont val="幼圆"/>
        <charset val="0"/>
      </rPr>
      <t>布标</t>
    </r>
  </si>
  <si>
    <t>0831529356</t>
  </si>
  <si>
    <t>4500132388-30</t>
  </si>
  <si>
    <t>6/3取消订单</t>
  </si>
  <si>
    <t>滞留客供RFID贴纸</t>
  </si>
  <si>
    <t>在外箱印刷带条码的箱唛以及四面印刷RFID的箱唛（ZURU新logo右下角四面印刷)，外箱侧面任一角落标注"MADE IN CHINA" 字样。</t>
  </si>
  <si>
    <t>5/16 收到客供RFID贴纸</t>
  </si>
  <si>
    <t>日期码格式：ZURU DGYYYYMMDD CHINA(日期避开周末和法定节假日即可） 日期：按实际生产日期
Packaging Info:
Remark: 9283SLB
1.包装信息：, MA A 版 1L收缩膜，MA A 版 收藏指南，MA A版 3L贴纸，MA A版 1L贴纸袋，MA A 版 3L泡泡水袋，MA A 版 3L小配件袋，MA A 版 3L魔力沙袋，M
A A 版 3L领养卡，MA A 版 3L刮刮卡，MA车缝布标, 客版布标贴纸, 客供RFID贴纸，
2.2.在外箱印刷带条码的箱唛以及四面印刷RFID的箱唛（ZURU新logo右下角四面印刷)，不需要贴白色艾利贴纸(由我们提供艾利贴纸替代箱唛），箱唛内容见附件,
外箱侧面任一角落标注"MADE IN CHINA" 字样。每个slip sheet上面贴一张艾利贴纸和一张普通贴纸（可A4纸打印），slip sheet打印的普通贴纸的尺寸不能比艾
利贴纸小
3.产品如有扎带口要剪平，不能刮手。
4.此单需要验货，请自行多备包装物料。
5.此单打卡板出货
配比：Kitten:Bunny:Puppy:Cow:Elephant:Flamingo=1:1:1:1:1:1;</t>
  </si>
  <si>
    <t>Estate Chen</t>
  </si>
  <si>
    <t>0831529368</t>
  </si>
  <si>
    <t>4500132388-50</t>
  </si>
  <si>
    <t>0833375370</t>
  </si>
  <si>
    <t>4500132486-70</t>
  </si>
  <si>
    <t>日期码格式：ZURU DGYYYYMMDD CHINA(日期避开周末和法定节假日即可） 日期：按实际生产日期
Packaging Info:
Remark: 9283SLB
1.包装信息：, MA A 版 1L收缩膜，MA A 版 收藏指南，MA A版 3L贴纸，MA A版 1L贴纸袋，MA A 版 3L泡泡水袋，MA A 版 3L小配件袋，MA A 版 3L魔力沙袋，M
A A 版 3L领养卡，MA A 版 3L刮刮卡，MA车缝布标, 客版布标贴纸, 客供RFID贴纸，
2.在外箱印刷带条码的箱唛以及四面印刷RFID的箱唛（新增ZURU黑色色带顶格四面印刷)，不需要贴白色艾利贴纸(由我们提供艾利贴纸替代箱唛），箱唛内容见附件
, 外箱侧面任一角落标注"MADE IN CHINA" 字样。每个slip sheet上面贴一张艾利贴纸和一张普通贴纸（可A4纸打印），slip sheet打印的普通贴纸的尺寸不能比艾
利贴纸小。
3.产品如有扎带口要剪平，不能刮手。
4.此单需要验货，请自行多备包装物料。
5.此单打卡板出货
配比：Kitten:Bunny:Puppy:Cow:Elephant:Flamingo=1:1:1:1:1:1;
Order</t>
  </si>
  <si>
    <t>0831529353</t>
  </si>
  <si>
    <t>4500132388-10</t>
  </si>
  <si>
    <t>0831529355</t>
  </si>
  <si>
    <t>4500132388-20</t>
  </si>
  <si>
    <t>0831529357</t>
  </si>
  <si>
    <t>4500132388-40</t>
  </si>
  <si>
    <t>0831529371</t>
  </si>
  <si>
    <t>4500132388-60</t>
  </si>
  <si>
    <t>0833375350</t>
  </si>
  <si>
    <t>4500132486-40</t>
  </si>
  <si>
    <t>5/16收到客供RFID贴纸</t>
  </si>
  <si>
    <t>0833375351</t>
  </si>
  <si>
    <t>4500132486-50</t>
  </si>
  <si>
    <t>欠客供RFID贴纸</t>
  </si>
  <si>
    <t>0833375457</t>
  </si>
  <si>
    <t>4500132486-120</t>
  </si>
  <si>
    <t>0833375373</t>
  </si>
  <si>
    <t>4500132486-80</t>
  </si>
  <si>
    <t xml:space="preserve"> 
0833375439</t>
  </si>
  <si>
    <t>4500132486-110</t>
  </si>
  <si>
    <t>0833375510</t>
  </si>
  <si>
    <t>4500132486-130</t>
  </si>
  <si>
    <t>0833375403</t>
  </si>
  <si>
    <t>4500132486-90</t>
  </si>
  <si>
    <t>0833375316</t>
  </si>
  <si>
    <t>4500132486-20</t>
  </si>
  <si>
    <t>0833375304</t>
  </si>
  <si>
    <t>4500132486-10</t>
  </si>
  <si>
    <t>0833375331</t>
  </si>
  <si>
    <t>4500132486-30</t>
  </si>
  <si>
    <t>0833375362</t>
  </si>
  <si>
    <t>4500132486-60</t>
  </si>
  <si>
    <t>0833375408</t>
  </si>
  <si>
    <t>4500132486-100</t>
  </si>
  <si>
    <t>4500133663-70</t>
  </si>
  <si>
    <t>6/24取消订单</t>
  </si>
  <si>
    <t>5/15收到</t>
  </si>
  <si>
    <t>6/7收到防盗贴纸+5/14收到外箱贴纸</t>
  </si>
  <si>
    <t>日期码格式：ZURU INC(BVI) 标准格式 日期：按实际生产日期
Packaging Info: 
7.9283: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</si>
  <si>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有无混用</t>
  </si>
  <si>
    <t>4500139220</t>
  </si>
  <si>
    <t>51XO6Y7U</t>
  </si>
  <si>
    <t>4500139220-440</t>
  </si>
  <si>
    <t>7/8取消</t>
  </si>
  <si>
    <t>7/4收到</t>
  </si>
  <si>
    <t>欠客供外箱贴纸</t>
  </si>
  <si>
    <t>日期码格式：ZURU INC(BVI) 标准格式 日期：按实际生产日期
Packaging Info: 出口加拿大，包装需要至少2/3L UPC版，无硼版本；
#9283: MA 3L入邮包盒， 9283A，8283B 邮包盒图稿跟翻单#4500135161， 9283D邮包盒图稿跟返单4500097545。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</si>
  <si>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4500133767-40</t>
  </si>
  <si>
    <t>美人鱼6只装(无闪粉）</t>
  </si>
  <si>
    <t>8/2取消</t>
  </si>
  <si>
    <t>4500138615-此单消耗</t>
  </si>
  <si>
    <t>日期码格式：280624 日期：
Packaging Info: 1.包装 (MA UPC 包装,1L 3L都可接受）
9283：MA UPC PKG+1张进口商贴纸，贴纸翻单4500106537
2.产品和产品包装上的日期码一致，为280624(dd/mm/yy；进口商贴纸上已经去掉日期码，请按要求在包装上打日期码，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
4.比例：
9283：Kitten:Bunny:Puppy:Cow:Elephant:Flamingo=1:1:1:1:1:1;</t>
  </si>
  <si>
    <t>4500133767-30</t>
  </si>
  <si>
    <t>转4500138615此单消耗</t>
  </si>
  <si>
    <t>49JQLGZY</t>
  </si>
  <si>
    <t>4500143709-340</t>
  </si>
  <si>
    <t>8/27取消-无物料产生</t>
  </si>
  <si>
    <t>外箱正面印ZURU Logo+SSCC LABEL（客供贴纸), 侧面印item#（订单上显示的SKU#)+carton size(以工厂实际尺寸为准,单位: inch) +MADE IN CHINA</t>
  </si>
  <si>
    <t>日期码格式：ZURU INC(BVI) 标准格式 日期：按实际生产日期
Packaging Info:
#9283: MA 1L入邮包盒，9283A邮包盒图稿跟翻单#4500135161，9283D邮包盒图稿跟返单4500139401。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</si>
  <si>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4LFAXSCQ</t>
  </si>
  <si>
    <t>4500143730-290</t>
  </si>
  <si>
    <t>日期码格式：ZURU INC(BVI) 标准格式 日期：按实际生产日期
Packaging Info: 
#9283: MA 1L入邮包盒，9283A邮包盒图稿跟翻单#4500135161，9283D邮包盒图稿跟返单4500139401。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</si>
  <si>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Smyths Toys HQ UC UK</t>
  </si>
  <si>
    <t>4500144369-40</t>
  </si>
  <si>
    <t>9283D-S001-3L-1</t>
  </si>
  <si>
    <t>9283D-S001</t>
  </si>
  <si>
    <t>小狗(无闪粉）</t>
  </si>
  <si>
    <t>10/9取消</t>
  </si>
  <si>
    <t>纸箱滞留</t>
  </si>
  <si>
    <t>纸箱消耗在4500145942此单中</t>
  </si>
  <si>
    <t>UPC贴纸翻4500120617+德语callout翻译贴纸翻4500117992</t>
  </si>
  <si>
    <t>客版 Try me贴纸翻4500094401</t>
  </si>
  <si>
    <t>日期码格式：ZURU INC(BVI) 标准格式 日期：按实际生产日期
Packaging In
4.9283D: MA最新版3L (warning 9L)收缩膜+新的9283D 条码贴纸（9283D UPC#193052052896-UPC贴纸和位置图翻PO#4500120617)+德语callout翻译贴纸(德语callou
t翻译贴纸以及位置图翻4500117992这张单)+客版 Try me贴纸（翻4500094401这张单）
MA 5L(Warning 9L)收藏指南+MA 5L polybag+MA 5L太空沙胶袋+MA 5L纸袋+MA 5L证书+MA 5L地图+MA布标
7.所有配比跟MA配比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</si>
  <si>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Sheba Ye</t>
  </si>
  <si>
    <t>CUS
PO#47751858
BNE</t>
  </si>
  <si>
    <t>4500149671-140</t>
  </si>
  <si>
    <t>11/1取消</t>
  </si>
  <si>
    <t>进口商贴纸翻4500144447</t>
  </si>
  <si>
    <t>日期码格式：ZURU INC(BVI) 标准格式 日期：按实际生产日期
Packaging Info: 1. 包装
9283：英文MA包装 (UPC版本，首选1L，无1L可用多L含英语) + 1张进口商贴纸，贴纸翻单4500144447；
Ratio：Kitten:Bunny:Puppy:Cow:Elephant:Flamingo=1:1:1:1:1:1;
2. 进口商贴纸上已经去掉日期码，产品和包装上的日期码一致，请按要求在包装上打日期码（进口商贴纸不覆盖日期码）
3. 原指定日期码DDMMYY可改用ZURU标准日期码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</si>
  <si>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HOBBY LOBBY INC.</t>
  </si>
  <si>
    <t>W0692846</t>
  </si>
  <si>
    <t>4500150311-30</t>
  </si>
  <si>
    <t>11/12取消</t>
  </si>
  <si>
    <t>欠价格贴纸+外箱贴纸</t>
  </si>
  <si>
    <t>日期码格式：ZURU INC(BVI) 标准格式 日期：按实际生产日期
Packaging Info:2. 外箱正唛右下角贴条码贴纸2张，贴纸大小：2.75 x 1.5 inch。(跟单提供文档，工厂采购)
Remark: 3. 产品外包装及产品本身都必须有日期跟踪码，格式为：ZURU 标准日期码。
4. ZURU QC验货，无测试。
5. 产品配比：#9283: Kitten:Bunny:Puppy:Cow:Elephant:Flamingo=1:1:1:1:1:1;</t>
  </si>
  <si>
    <t>Eleven Zhang</t>
  </si>
  <si>
    <t>20478291</t>
  </si>
  <si>
    <t>4500151624-40</t>
  </si>
  <si>
    <t>12/13取消</t>
  </si>
  <si>
    <t>欠防盗贴纸+欠外箱贴纸</t>
  </si>
  <si>
    <t>4500151625-30</t>
  </si>
  <si>
    <t>CUS
PO#47792480
SYD</t>
  </si>
  <si>
    <t>4500157563-20</t>
  </si>
  <si>
    <t>3/11取消</t>
  </si>
  <si>
    <t>进口商贴纸翻450010653</t>
  </si>
  <si>
    <t>CUS
PO#47792597
MEL</t>
  </si>
  <si>
    <t>4500157563-40</t>
  </si>
  <si>
    <t>CUS
PO#47793022
BNE</t>
  </si>
  <si>
    <t>4500157563-70</t>
  </si>
  <si>
    <t>ZURU France</t>
  </si>
  <si>
    <t>5200006540</t>
  </si>
  <si>
    <t>4500162314-10</t>
  </si>
  <si>
    <t>9283-S006</t>
  </si>
  <si>
    <t>9283-S006-MTS</t>
  </si>
  <si>
    <t>4/16取消</t>
  </si>
  <si>
    <t>欠多语警语折叠贴纸（含包装缺失的法/意/西环保标）</t>
  </si>
  <si>
    <t>日期码格式：ZURU INC(BVI) 标准格式 日期：按实际生产日期
Packaging Info: 1.9283:最新MA 3L EAN收缩膜+最新MA 3L贴纸+最新MA 5L收藏指南+最新MA 布标+最新MA 5L包装+多语警语折叠贴纸（含包装缺失的法/意/西环保标）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</si>
  <si>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</si>
  <si>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4500168127-180</t>
  </si>
  <si>
    <t>9283E-S002</t>
  </si>
  <si>
    <t>奶牛（邮包盒）新稿</t>
  </si>
  <si>
    <t>6/16取消</t>
  </si>
  <si>
    <t>欠进口商贴纸</t>
  </si>
  <si>
    <t>日期码格式：ZURU INC(BVI) 标准格式 日期：按实际生产日期
Packaging Info: 
8. 9283: MA 3L包装入邮包盒， 9283A的邮包盒图稿跟翻单 4500135161，9283E和9283G的邮包盒图稿由跟单重新提供+进口商贴纸+SSCC label，A：193052052872，
E:193052052902, G:193052052919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</si>
  <si>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4LIGUCJC</t>
  </si>
  <si>
    <t>4500168127-390</t>
  </si>
  <si>
    <t>9283G-S002</t>
  </si>
  <si>
    <t>大象（邮包盒）新稿</t>
  </si>
  <si>
    <t>2M3CKZJZ</t>
  </si>
  <si>
    <t>4500169926-250</t>
  </si>
  <si>
    <t>8VF42DHN</t>
  </si>
  <si>
    <t>4500169926-260</t>
  </si>
  <si>
    <t>75ALB5WJ</t>
  </si>
  <si>
    <t>4500169926-270</t>
  </si>
  <si>
    <t>7N13T76A</t>
  </si>
  <si>
    <t>4500169926-280</t>
  </si>
  <si>
    <t>4500168594-30</t>
  </si>
  <si>
    <t>日期码格式：ZURU INC(BVI) 标准格式 日期：按实际生产日期
Packaging Info:9283:MA多语EAN+UPC贴纸+箱唛
Remark: 请确保包装上的条形码是UPC，如有不一致，请及时提出。谢谢！</t>
  </si>
  <si>
    <t>4500159211-10</t>
  </si>
  <si>
    <t>成品</t>
  </si>
  <si>
    <t>3/6-upc贴纸，欠大黄贴纸</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</si>
  <si>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9283: 产品包装要加baby upc贴纸，外箱要加大黄贴纸："ZURU Product for NZ test "
Remark: 9283: Non-glitter version, Kitten:Bunny:Puppy:Cow:Elephant:Flamingo=1:1:1:1:1:1;</t>
  </si>
  <si>
    <t>47838056 SYD</t>
  </si>
  <si>
    <t>4500168685-20</t>
  </si>
  <si>
    <t>日期码格式：ZURU INC(BVI) 标准格式 日期：按实际生产日期
Packaging Info: 1. 包装：
9283: MA UPC PKG+1张进口商贴纸，贴纸翻单4500106537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</si>
  <si>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</si>
  <si>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47838057 BNE</t>
  </si>
  <si>
    <t>4500168685-40</t>
  </si>
  <si>
    <t>47838058 MEL</t>
  </si>
  <si>
    <t>4500168685-60</t>
  </si>
  <si>
    <t>47838059 FRE</t>
  </si>
  <si>
    <t>4500168685-80</t>
  </si>
  <si>
    <t>4500151414-30</t>
  </si>
  <si>
    <t>8/11取消</t>
  </si>
  <si>
    <t>进口商贴纸+ EAN条码贴纸翻4500151398</t>
  </si>
  <si>
    <t>外包装/外箱不要打ZURU标准日期码</t>
  </si>
  <si>
    <t>日期码格式：外包装/外箱不要打ZURU标准日期码 日期：
Packaging Info: 注意 ：外包装 (指: 收缩膜/彩卡/铝箔袋/挂卡/PDQ) /外箱不要打ZURU标准日期码！胶件可以打日期码。
9283: 1L MA 收缩膜 or 彩卡 + 进口商贴纸翻4500151398+ EAN条码贴纸翻4500151398，MA 指南 /说明书（如有）；</t>
  </si>
  <si>
    <t>4500151414-120</t>
  </si>
  <si>
    <t>4500151404-30</t>
  </si>
  <si>
    <t>10/14取消</t>
  </si>
  <si>
    <t>日期码格式：外包装/外箱不要打ZURU标准日期码 日期：
Packaging Info: 注意 ：外包装 (指: 收缩膜/彩卡/铝箔袋/挂卡/PDQ) /外箱不要打ZURU标准日期码！胶件可以打日期码。
9283: 1L MA 收缩膜 or 彩卡 + 进口商贴纸翻4500151398+ EAN条码贴纸翻4500151398，MA 指南 /说明书（如有）；
Remark: 标准配比
出BEKASOVO 2 和Ural 2 个港口；
货期不可延， 有罚金 。</t>
  </si>
  <si>
    <t>4500151404-170</t>
  </si>
  <si>
    <t>进口商贴纸+EAN条码贴纸翻4500151398</t>
  </si>
  <si>
    <t>4500185298-20</t>
  </si>
  <si>
    <t>1/30取消</t>
  </si>
  <si>
    <t>转4500191138消耗</t>
  </si>
  <si>
    <t>12/11-外箱贴纸</t>
  </si>
  <si>
    <t>指定DG20251222</t>
  </si>
  <si>
    <t>日期码格式：ZURU INC(BVI) 标准格式 日期：按实际生产日期
Packaging Info:
2. 9283:英文MA包装(UPC版本，首选1L，无1L可用多L含英语)+箱唛+外箱贴纸；Ratio: Kitten:Bunny:Puppy:Cow:Elephant:Flamingo=1:1:1:1:1:1;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</si>
  <si>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4500187429-40</t>
  </si>
  <si>
    <t>客户取消</t>
  </si>
  <si>
    <t>12/26收到</t>
  </si>
  <si>
    <t>1/13-防盗贴纸+1/5-外箱贴纸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</si>
  <si>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</si>
  <si>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4500188118-30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</si>
  <si>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PO#4500187429一起合并计算</t>
  </si>
  <si>
    <t>4500188951-30</t>
  </si>
  <si>
    <t>转4500186375消耗</t>
  </si>
  <si>
    <t>1/14-外箱贴纸</t>
  </si>
  <si>
    <t>DGDG20260113</t>
  </si>
  <si>
    <t>日期码格式：ZURU INC(BVI) 标准格式 日期：按实际生产日期
Packaging Info:
3. 9283:英文MA包装(UPC版本，首选1L，无1L可用多L含英语)+箱唛+外箱贴纸；Ratio: Kitten:Bunny:Puppy:Cow:Elephant:Flamingo=1:1:1:1:1:1;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</si>
  <si>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4500191138-10</t>
  </si>
  <si>
    <t>未产生物料</t>
  </si>
  <si>
    <t>转4500186326消耗</t>
  </si>
  <si>
    <t>日期码格式：ZURU INC(BVI) 标准格式 日期：按实际生产日期
Packaging Info: 9283:英文MA包装(UPC版本，首选1L，无1L可用多L含英语)+箱唛+外箱贴纸；Ratio: Kitten:Bunny:Puppy:Cow:Elephant:Flamingo=1:1:1:1:1:1;
Ratio: 6 Assortments,siamese cat:pink-white cat:purple cat:black cat:brown-white cat:orange cat=1:1:1:1:1:1, no rare.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</si>
  <si>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4500206440-30</t>
  </si>
  <si>
    <t>客户6/23取消</t>
  </si>
  <si>
    <t>消耗在后续订单</t>
  </si>
  <si>
    <t>防盗贴纸以及位置图翻4500095104</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</si>
  <si>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PO#4500206441一起合并计算，谢谢！</t>
  </si>
  <si>
    <t>4500206441-20</t>
  </si>
  <si>
    <t>消耗在后续订单（需订购水贴纸）</t>
  </si>
  <si>
    <t>防盗贴纸 翻4500095104</t>
  </si>
  <si>
    <r>
      <rPr>
        <sz val="12"/>
        <color rgb="FFFF0000"/>
        <rFont val="宋体"/>
        <charset val="134"/>
        <scheme val="minor"/>
      </rPr>
      <t>日期码格式：ZURU INC(BVI) 标准格式</t>
    </r>
    <r>
      <rPr>
        <sz val="14"/>
        <color rgb="FFFF0000"/>
        <rFont val="宋体"/>
        <charset val="134"/>
      </rPr>
      <t xml:space="preserve">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PO#4500206440一起合并计算，谢谢！</t>
    </r>
  </si>
  <si>
    <t>4500195533-30</t>
  </si>
  <si>
    <t>客户7/31取消</t>
  </si>
  <si>
    <t>进口商贴纸+UPC条码贴纸滞留</t>
  </si>
  <si>
    <t>无物料产生</t>
  </si>
  <si>
    <t>日期码格式：LOTDGYYYYMMDD 日期：按实际生产日期
Packaging Info:
9283：MA 3L EAN包装+进口商贴纸+UPC条码贴纸+MA 5L收藏指南+箱唛，UPC贴纸和进口商贴纸可能会合并成一张贴纸，进口商贴纸和UPC贴纸翻单PO4500180866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9283: 每箱需放置10包干燥剂，每包重2-3g
4. 
9283: Kitten:Bunny:Puppy:Cow:Elephant:Flamingo=1:1:1:1:1:1
如走柜货等loading plan 确认后再通知集装箱干燥剂数量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</si>
</sst>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quot;US$&quot;#,##0_);[Red]\(&quot;US$&quot;#,##0\)"/>
    <numFmt numFmtId="178" formatCode="0_);[Red]\(0\)"/>
    <numFmt numFmtId="179" formatCode="yyyy/mm/dd\ aaaa\ "/>
    <numFmt numFmtId="180" formatCode="yyyy/m/d&quot;周&quot;aaa"/>
    <numFmt numFmtId="181" formatCode="&quot;US$&quot;#,##0.00;\-&quot;US$&quot;#,##0.00"/>
    <numFmt numFmtId="182" formatCode="0_ "/>
    <numFmt numFmtId="183" formatCode="m&quot;月&quot;d&quot;日&quot;;@"/>
    <numFmt numFmtId="184" formatCode="0.00##"/>
    <numFmt numFmtId="185" formatCode="yyyy&quot;年&quot;m&quot;月&quot;d&quot;日&quot;;@"/>
    <numFmt numFmtId="186" formatCode="#,##0_);[Red]\(#,##0\)"/>
    <numFmt numFmtId="187" formatCode="#,##0.0000_);[Red]\(#,##0.0000\)"/>
    <numFmt numFmtId="188" formatCode="#,##0_ "/>
    <numFmt numFmtId="189" formatCode="0_ ;[Red]\-0\ "/>
    <numFmt numFmtId="190" formatCode="yyyy/m/d;@"/>
    <numFmt numFmtId="191" formatCode="0.00_);[Red]\(0.00\)"/>
    <numFmt numFmtId="192" formatCode="[$-409]d/mmm/yy;@"/>
    <numFmt numFmtId="193" formatCode="[$HK$-C04]#,##0;\-[$HK$-C04]#,##0"/>
  </numFmts>
  <fonts count="106">
    <font>
      <sz val="12"/>
      <name val="宋体"/>
      <charset val="134"/>
    </font>
    <font>
      <sz val="11"/>
      <name val="幼圆"/>
      <charset val="0"/>
    </font>
    <font>
      <sz val="11"/>
      <name val="幼圆"/>
      <charset val="134"/>
    </font>
    <font>
      <sz val="12"/>
      <name val="宋体"/>
      <charset val="134"/>
      <scheme val="minor"/>
    </font>
    <font>
      <sz val="12"/>
      <color rgb="FFFF0000"/>
      <name val="宋体"/>
      <charset val="134"/>
      <scheme val="minor"/>
    </font>
    <font>
      <sz val="12"/>
      <color rgb="FFF7241F"/>
      <name val="宋体"/>
      <charset val="134"/>
      <scheme val="minor"/>
    </font>
    <font>
      <b/>
      <sz val="11"/>
      <name val="幼圆"/>
      <charset val="0"/>
    </font>
    <font>
      <b/>
      <sz val="11"/>
      <name val="幼圆"/>
      <charset val="134"/>
    </font>
    <font>
      <sz val="12"/>
      <name val="宋体"/>
      <charset val="0"/>
    </font>
    <font>
      <sz val="10"/>
      <name val="等线"/>
      <charset val="134"/>
    </font>
    <font>
      <sz val="12"/>
      <name val="宋体"/>
      <charset val="0"/>
      <scheme val="minor"/>
    </font>
    <font>
      <sz val="12"/>
      <color rgb="FFFF0000"/>
      <name val="宋体"/>
      <charset val="0"/>
      <scheme val="minor"/>
    </font>
    <font>
      <sz val="12"/>
      <color rgb="FFFF0000"/>
      <name val="宋体"/>
      <charset val="134"/>
    </font>
    <font>
      <sz val="11"/>
      <color rgb="FFFF0000"/>
      <name val="宋体"/>
      <charset val="134"/>
    </font>
    <font>
      <sz val="11"/>
      <color rgb="FFFF0000"/>
      <name val="Arial"/>
      <charset val="0"/>
    </font>
    <font>
      <sz val="12"/>
      <color rgb="FFF7241F"/>
      <name val="宋体"/>
      <charset val="0"/>
      <scheme val="minor"/>
    </font>
    <font>
      <sz val="12"/>
      <color rgb="FFF7241F"/>
      <name val="宋体"/>
      <charset val="134"/>
    </font>
    <font>
      <sz val="11"/>
      <color rgb="FFF7241F"/>
      <name val="宋体"/>
      <charset val="134"/>
    </font>
    <font>
      <sz val="11"/>
      <color rgb="FFF7241F"/>
      <name val="Arial"/>
      <charset val="0"/>
    </font>
    <font>
      <sz val="12"/>
      <color rgb="FF0E2EF0"/>
      <name val="宋体"/>
      <charset val="0"/>
      <scheme val="minor"/>
    </font>
    <font>
      <sz val="12"/>
      <color rgb="FF0E2EF0"/>
      <name val="宋体"/>
      <charset val="134"/>
      <scheme val="minor"/>
    </font>
    <font>
      <sz val="12"/>
      <color rgb="FFFF0000"/>
      <name val="宋体"/>
      <charset val="0"/>
    </font>
    <font>
      <sz val="11"/>
      <color rgb="FFFF0000"/>
      <name val="宋体"/>
      <charset val="0"/>
    </font>
    <font>
      <sz val="11"/>
      <name val="Arial"/>
      <charset val="0"/>
    </font>
    <font>
      <b/>
      <sz val="14"/>
      <name val="Arial"/>
      <charset val="0"/>
    </font>
    <font>
      <sz val="11"/>
      <name val="宋体"/>
      <charset val="134"/>
    </font>
    <font>
      <sz val="10"/>
      <name val="宋体"/>
      <charset val="0"/>
    </font>
    <font>
      <sz val="10"/>
      <name val="Tahoma"/>
      <charset val="0"/>
    </font>
    <font>
      <sz val="11"/>
      <name val="宋体"/>
      <charset val="0"/>
    </font>
    <font>
      <sz val="10"/>
      <name val="Tahoma"/>
      <charset val="134"/>
    </font>
    <font>
      <b/>
      <sz val="10"/>
      <color theme="0"/>
      <name val="Tahoma"/>
      <charset val="134"/>
    </font>
    <font>
      <b/>
      <sz val="10"/>
      <color rgb="FFFFC000"/>
      <name val="Tahoma"/>
      <charset val="134"/>
    </font>
    <font>
      <b/>
      <sz val="10"/>
      <name val="Tahoma"/>
      <charset val="134"/>
    </font>
    <font>
      <b/>
      <sz val="13"/>
      <name val="宋体"/>
      <charset val="134"/>
    </font>
    <font>
      <b/>
      <sz val="13"/>
      <name val="Tahoma"/>
      <charset val="134"/>
    </font>
    <font>
      <b/>
      <sz val="10"/>
      <color rgb="FF0000CC"/>
      <name val="Tahoma"/>
      <charset val="134"/>
    </font>
    <font>
      <sz val="10"/>
      <name val="Arial"/>
      <charset val="0"/>
    </font>
    <font>
      <sz val="10"/>
      <color rgb="FF000000"/>
      <name val="Arial"/>
      <charset val="0"/>
    </font>
    <font>
      <sz val="10"/>
      <color rgb="FFFF0000"/>
      <name val="Arial"/>
      <charset val="0"/>
    </font>
    <font>
      <sz val="10"/>
      <color rgb="FFF7241F"/>
      <name val="Arial"/>
      <charset val="0"/>
    </font>
    <font>
      <b/>
      <sz val="14"/>
      <name val="宋体"/>
      <charset val="134"/>
    </font>
    <font>
      <sz val="10"/>
      <name val="宋体"/>
      <charset val="134"/>
    </font>
    <font>
      <sz val="10"/>
      <color rgb="FFFF0000"/>
      <name val="宋体"/>
      <charset val="0"/>
    </font>
    <font>
      <sz val="8"/>
      <color rgb="FFFF0000"/>
      <name val="宋体"/>
      <charset val="134"/>
    </font>
    <font>
      <sz val="10"/>
      <color rgb="FF000000"/>
      <name val="宋体"/>
      <charset val="134"/>
    </font>
    <font>
      <sz val="11"/>
      <name val="Calibri"/>
      <charset val="0"/>
    </font>
    <font>
      <sz val="11"/>
      <color theme="1"/>
      <name val="Calibri"/>
      <charset val="0"/>
    </font>
    <font>
      <sz val="11"/>
      <color rgb="FF000000"/>
      <name val="Calibri"/>
      <charset val="0"/>
    </font>
    <font>
      <sz val="10"/>
      <name val="Calibri"/>
      <charset val="0"/>
    </font>
    <font>
      <sz val="12"/>
      <color rgb="FF000000"/>
      <name val="宋体"/>
      <charset val="134"/>
    </font>
    <font>
      <sz val="10"/>
      <color indexed="10"/>
      <name val="Arial"/>
      <charset val="0"/>
    </font>
    <font>
      <sz val="11"/>
      <color rgb="FF0E2EF0"/>
      <name val="宋体"/>
      <charset val="134"/>
    </font>
    <font>
      <sz val="11"/>
      <color rgb="FF000000"/>
      <name val="宋体"/>
      <charset val="134"/>
    </font>
    <font>
      <sz val="11"/>
      <color indexed="10"/>
      <name val="宋体"/>
      <charset val="0"/>
    </font>
    <font>
      <b/>
      <sz val="11"/>
      <name val="宋体"/>
      <charset val="0"/>
    </font>
    <font>
      <b/>
      <sz val="11"/>
      <color indexed="39"/>
      <name val="宋体"/>
      <charset val="0"/>
    </font>
    <font>
      <b/>
      <sz val="11"/>
      <color rgb="FFFF0000"/>
      <name val="宋体"/>
      <charset val="0"/>
    </font>
    <font>
      <b/>
      <sz val="11"/>
      <name val="宋体"/>
      <charset val="134"/>
    </font>
    <font>
      <b/>
      <sz val="11"/>
      <color indexed="10"/>
      <name val="宋体"/>
      <charset val="0"/>
    </font>
    <font>
      <b/>
      <sz val="11"/>
      <color indexed="10"/>
      <name val="宋体"/>
      <charset val="134"/>
    </font>
    <font>
      <b/>
      <sz val="11"/>
      <color rgb="FF0000FF"/>
      <name val="宋体"/>
      <charset val="0"/>
    </font>
    <font>
      <b/>
      <sz val="11"/>
      <color rgb="FF000000"/>
      <name val="宋体"/>
      <charset val="0"/>
    </font>
    <font>
      <b/>
      <sz val="11"/>
      <color rgb="FFC00000"/>
      <name val="宋体"/>
      <charset val="0"/>
    </font>
    <font>
      <sz val="11"/>
      <color rgb="FF0E2EF0"/>
      <name val="宋体"/>
      <charset val="0"/>
    </font>
    <font>
      <sz val="11"/>
      <color rgb="FF0000FF"/>
      <name val="宋体"/>
      <charset val="0"/>
    </font>
    <font>
      <sz val="11"/>
      <color rgb="FF0000FF"/>
      <name val="宋体"/>
      <charset val="134"/>
    </font>
    <font>
      <sz val="11"/>
      <color theme="1"/>
      <name val="宋体"/>
      <charset val="0"/>
    </font>
    <font>
      <sz val="11"/>
      <color theme="1"/>
      <name val="宋体"/>
      <charset val="134"/>
    </font>
    <font>
      <sz val="11"/>
      <color rgb="FF1506E0"/>
      <name val="宋体"/>
      <charset val="0"/>
    </font>
    <font>
      <sz val="11"/>
      <color rgb="FF2727F0"/>
      <name val="宋体"/>
      <charset val="134"/>
    </font>
    <font>
      <sz val="12"/>
      <color rgb="FF0E2EF0"/>
      <name val="Arial"/>
      <charset val="0"/>
    </font>
    <font>
      <sz val="11"/>
      <color rgb="FF2727F0"/>
      <name val="宋体"/>
      <charset val="0"/>
    </font>
    <font>
      <sz val="11"/>
      <color rgb="FF000000"/>
      <name val="宋体"/>
      <charset val="0"/>
    </font>
    <font>
      <b/>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0"/>
      <color indexed="8"/>
      <name val="Arial"/>
      <charset val="134"/>
    </font>
    <font>
      <sz val="10"/>
      <name val="Helv"/>
      <charset val="0"/>
    </font>
    <font>
      <b/>
      <sz val="10"/>
      <color rgb="FFFFC000"/>
      <name val="宋体"/>
      <charset val="134"/>
    </font>
    <font>
      <sz val="14"/>
      <color rgb="FFFF0000"/>
      <name val="宋体"/>
      <charset val="134"/>
    </font>
    <font>
      <sz val="10"/>
      <color rgb="FFF7241F"/>
      <name val="宋体"/>
      <charset val="0"/>
    </font>
    <font>
      <b/>
      <sz val="10"/>
      <color theme="0"/>
      <name val="宋体"/>
      <charset val="134"/>
    </font>
    <font>
      <sz val="10"/>
      <color rgb="FFFF0000"/>
      <name val="宋体"/>
      <charset val="134"/>
    </font>
    <font>
      <b/>
      <sz val="14"/>
      <name val="宋体"/>
      <charset val="0"/>
    </font>
    <font>
      <b/>
      <sz val="14"/>
      <color rgb="FFFF0000"/>
      <name val="宋体"/>
      <charset val="0"/>
    </font>
    <font>
      <sz val="9"/>
      <name val="宋体"/>
      <charset val="134"/>
    </font>
    <font>
      <b/>
      <sz val="9"/>
      <name val="宋体"/>
      <charset val="134"/>
    </font>
  </fonts>
  <fills count="45">
    <fill>
      <patternFill patternType="none"/>
    </fill>
    <fill>
      <patternFill patternType="gray125"/>
    </fill>
    <fill>
      <patternFill patternType="solid">
        <fgColor rgb="FFFFFF00"/>
        <bgColor indexed="64"/>
      </patternFill>
    </fill>
    <fill>
      <patternFill patternType="solid">
        <fgColor indexed="44"/>
        <bgColor indexed="64"/>
      </patternFill>
    </fill>
    <fill>
      <patternFill patternType="solid">
        <fgColor theme="1" tint="0.499984740745262"/>
        <bgColor indexed="64"/>
      </patternFill>
    </fill>
    <fill>
      <patternFill patternType="solid">
        <fgColor rgb="FFFFFF66"/>
        <bgColor indexed="64"/>
      </patternFill>
    </fill>
    <fill>
      <patternFill patternType="solid">
        <fgColor theme="0"/>
        <bgColor indexed="64"/>
      </patternFill>
    </fill>
    <fill>
      <patternFill patternType="solid">
        <fgColor rgb="FF99FF99"/>
        <bgColor indexed="64"/>
      </patternFill>
    </fill>
    <fill>
      <patternFill patternType="solid">
        <fgColor theme="9" tint="0.399975585192419"/>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theme="6" tint="-0.249977111117893"/>
        <bgColor indexed="64"/>
      </patternFill>
    </fill>
    <fill>
      <patternFill patternType="solid">
        <fgColor indexed="22"/>
        <bgColor indexed="64"/>
      </patternFill>
    </fill>
    <fill>
      <patternFill patternType="solid">
        <fgColor rgb="FF9DC3E6"/>
        <bgColor indexed="64"/>
      </patternFill>
    </fill>
    <fill>
      <patternFill patternType="solid">
        <fgColor rgb="FFFEC8CE"/>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right style="medium">
        <color auto="1"/>
      </right>
      <top style="medium">
        <color auto="1"/>
      </top>
      <bottom/>
      <diagonal/>
    </border>
    <border>
      <left style="thin">
        <color auto="1"/>
      </left>
      <right style="thin">
        <color auto="1"/>
      </right>
      <top/>
      <bottom style="thin">
        <color auto="1"/>
      </bottom>
      <diagonal/>
    </border>
    <border>
      <left/>
      <right style="medium">
        <color auto="1"/>
      </right>
      <top/>
      <bottom/>
      <diagonal/>
    </border>
    <border>
      <left style="thin">
        <color auto="1"/>
      </left>
      <right style="thin">
        <color auto="1"/>
      </right>
      <top/>
      <bottom/>
      <diagonal/>
    </border>
    <border>
      <left style="medium">
        <color auto="1"/>
      </left>
      <right style="thin">
        <color auto="1"/>
      </right>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bottom/>
      <diagonal/>
    </border>
    <border>
      <left style="thin">
        <color rgb="FF000000"/>
      </left>
      <right style="thin">
        <color rgb="FF000000"/>
      </right>
      <top/>
      <bottom style="thin">
        <color rgb="FF000000"/>
      </bottom>
      <diagonal/>
    </border>
    <border>
      <left/>
      <right style="thin">
        <color auto="1"/>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74" fillId="0" borderId="0" applyFont="0" applyFill="0" applyBorder="0" applyAlignment="0" applyProtection="0">
      <alignment vertical="center"/>
    </xf>
    <xf numFmtId="44" fontId="74" fillId="0" borderId="0" applyFont="0" applyFill="0" applyBorder="0" applyAlignment="0" applyProtection="0">
      <alignment vertical="center"/>
    </xf>
    <xf numFmtId="9" fontId="74" fillId="0" borderId="0" applyFont="0" applyFill="0" applyBorder="0" applyAlignment="0" applyProtection="0">
      <alignment vertical="center"/>
    </xf>
    <xf numFmtId="41" fontId="74" fillId="0" borderId="0" applyFont="0" applyFill="0" applyBorder="0" applyAlignment="0" applyProtection="0">
      <alignment vertical="center"/>
    </xf>
    <xf numFmtId="42" fontId="74" fillId="0" borderId="0" applyFon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4" fillId="16" borderId="45" applyNumberFormat="0" applyFont="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46" applyNumberFormat="0" applyFill="0" applyAlignment="0" applyProtection="0">
      <alignment vertical="center"/>
    </xf>
    <xf numFmtId="0" fontId="81" fillId="0" borderId="46" applyNumberFormat="0" applyFill="0" applyAlignment="0" applyProtection="0">
      <alignment vertical="center"/>
    </xf>
    <xf numFmtId="0" fontId="82" fillId="0" borderId="47" applyNumberFormat="0" applyFill="0" applyAlignment="0" applyProtection="0">
      <alignment vertical="center"/>
    </xf>
    <xf numFmtId="0" fontId="82" fillId="0" borderId="0" applyNumberFormat="0" applyFill="0" applyBorder="0" applyAlignment="0" applyProtection="0">
      <alignment vertical="center"/>
    </xf>
    <xf numFmtId="0" fontId="83" fillId="17" borderId="48" applyNumberFormat="0" applyAlignment="0" applyProtection="0">
      <alignment vertical="center"/>
    </xf>
    <xf numFmtId="0" fontId="84" fillId="18" borderId="49" applyNumberFormat="0" applyAlignment="0" applyProtection="0">
      <alignment vertical="center"/>
    </xf>
    <xf numFmtId="0" fontId="85" fillId="18" borderId="48" applyNumberFormat="0" applyAlignment="0" applyProtection="0">
      <alignment vertical="center"/>
    </xf>
    <xf numFmtId="0" fontId="86" fillId="19" borderId="50" applyNumberFormat="0" applyAlignment="0" applyProtection="0">
      <alignment vertical="center"/>
    </xf>
    <xf numFmtId="0" fontId="87" fillId="0" borderId="51" applyNumberFormat="0" applyFill="0" applyAlignment="0" applyProtection="0">
      <alignment vertical="center"/>
    </xf>
    <xf numFmtId="0" fontId="88" fillId="0" borderId="52" applyNumberFormat="0" applyFill="0" applyAlignment="0" applyProtection="0">
      <alignment vertical="center"/>
    </xf>
    <xf numFmtId="0" fontId="89" fillId="20" borderId="0" applyNumberFormat="0" applyBorder="0" applyAlignment="0" applyProtection="0">
      <alignment vertical="center"/>
    </xf>
    <xf numFmtId="0" fontId="90" fillId="21" borderId="0" applyNumberFormat="0" applyBorder="0" applyAlignment="0" applyProtection="0">
      <alignment vertical="center"/>
    </xf>
    <xf numFmtId="0" fontId="91" fillId="22" borderId="0" applyNumberFormat="0" applyBorder="0" applyAlignment="0" applyProtection="0">
      <alignment vertical="center"/>
    </xf>
    <xf numFmtId="0" fontId="92" fillId="23" borderId="0" applyNumberFormat="0" applyBorder="0" applyAlignment="0" applyProtection="0">
      <alignment vertical="center"/>
    </xf>
    <xf numFmtId="0" fontId="93" fillId="24" borderId="0" applyNumberFormat="0" applyBorder="0" applyAlignment="0" applyProtection="0">
      <alignment vertical="center"/>
    </xf>
    <xf numFmtId="0" fontId="93" fillId="25" borderId="0" applyNumberFormat="0" applyBorder="0" applyAlignment="0" applyProtection="0">
      <alignment vertical="center"/>
    </xf>
    <xf numFmtId="0" fontId="92"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3" fillId="29" borderId="0" applyNumberFormat="0" applyBorder="0" applyAlignment="0" applyProtection="0">
      <alignment vertical="center"/>
    </xf>
    <xf numFmtId="0" fontId="92" fillId="30" borderId="0" applyNumberFormat="0" applyBorder="0" applyAlignment="0" applyProtection="0">
      <alignment vertical="center"/>
    </xf>
    <xf numFmtId="0" fontId="92" fillId="31" borderId="0" applyNumberFormat="0" applyBorder="0" applyAlignment="0" applyProtection="0">
      <alignment vertical="center"/>
    </xf>
    <xf numFmtId="0" fontId="93" fillId="32" borderId="0" applyNumberFormat="0" applyBorder="0" applyAlignment="0" applyProtection="0">
      <alignment vertical="center"/>
    </xf>
    <xf numFmtId="0" fontId="93" fillId="33" borderId="0" applyNumberFormat="0" applyBorder="0" applyAlignment="0" applyProtection="0">
      <alignment vertical="center"/>
    </xf>
    <xf numFmtId="0" fontId="92" fillId="34" borderId="0" applyNumberFormat="0" applyBorder="0" applyAlignment="0" applyProtection="0">
      <alignment vertical="center"/>
    </xf>
    <xf numFmtId="0" fontId="92" fillId="35" borderId="0" applyNumberFormat="0" applyBorder="0" applyAlignment="0" applyProtection="0">
      <alignment vertical="center"/>
    </xf>
    <xf numFmtId="0" fontId="93" fillId="36" borderId="0" applyNumberFormat="0" applyBorder="0" applyAlignment="0" applyProtection="0">
      <alignment vertical="center"/>
    </xf>
    <xf numFmtId="0" fontId="93" fillId="37" borderId="0" applyNumberFormat="0" applyBorder="0" applyAlignment="0" applyProtection="0">
      <alignment vertical="center"/>
    </xf>
    <xf numFmtId="0" fontId="92" fillId="38" borderId="0" applyNumberFormat="0" applyBorder="0" applyAlignment="0" applyProtection="0">
      <alignment vertical="center"/>
    </xf>
    <xf numFmtId="0" fontId="92" fillId="39" borderId="0" applyNumberFormat="0" applyBorder="0" applyAlignment="0" applyProtection="0">
      <alignment vertical="center"/>
    </xf>
    <xf numFmtId="0" fontId="93" fillId="40" borderId="0" applyNumberFormat="0" applyBorder="0" applyAlignment="0" applyProtection="0">
      <alignment vertical="center"/>
    </xf>
    <xf numFmtId="0" fontId="93" fillId="41" borderId="0" applyNumberFormat="0" applyBorder="0" applyAlignment="0" applyProtection="0">
      <alignment vertical="center"/>
    </xf>
    <xf numFmtId="0" fontId="92" fillId="42" borderId="0" applyNumberFormat="0" applyBorder="0" applyAlignment="0" applyProtection="0">
      <alignment vertical="center"/>
    </xf>
    <xf numFmtId="0" fontId="92" fillId="43" borderId="0" applyNumberFormat="0" applyBorder="0" applyAlignment="0" applyProtection="0">
      <alignment vertical="center"/>
    </xf>
    <xf numFmtId="0" fontId="93" fillId="44" borderId="0" applyNumberFormat="0" applyBorder="0" applyAlignment="0" applyProtection="0">
      <alignment vertical="center"/>
    </xf>
    <xf numFmtId="0" fontId="93" fillId="10" borderId="0" applyNumberFormat="0" applyBorder="0" applyAlignment="0" applyProtection="0">
      <alignment vertical="center"/>
    </xf>
    <xf numFmtId="0" fontId="92" fillId="8" borderId="0" applyNumberFormat="0" applyBorder="0" applyAlignment="0" applyProtection="0">
      <alignment vertical="center"/>
    </xf>
    <xf numFmtId="0" fontId="74" fillId="0" borderId="0">
      <alignment vertical="center"/>
    </xf>
    <xf numFmtId="0" fontId="0" fillId="0" borderId="0"/>
    <xf numFmtId="0" fontId="94" fillId="0" borderId="0">
      <alignment vertical="center"/>
    </xf>
    <xf numFmtId="0" fontId="95" fillId="0" borderId="0">
      <alignment vertical="top"/>
    </xf>
    <xf numFmtId="0" fontId="96" fillId="0" borderId="0"/>
  </cellStyleXfs>
  <cellXfs count="1160">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vertical="center" wrapText="1"/>
    </xf>
    <xf numFmtId="0" fontId="2" fillId="0" borderId="0" xfId="0" applyFont="1" applyFill="1" applyBorder="1">
      <alignment vertical="center"/>
    </xf>
    <xf numFmtId="0" fontId="0" fillId="0" borderId="0" xfId="0" applyFont="1" applyFill="1" applyBorder="1">
      <alignment vertical="center"/>
    </xf>
    <xf numFmtId="0" fontId="3" fillId="0" borderId="0" xfId="0" applyFont="1" applyFill="1" applyBorder="1">
      <alignment vertical="center"/>
    </xf>
    <xf numFmtId="0" fontId="4" fillId="0" borderId="0" xfId="0" applyFont="1" applyFill="1" applyBorder="1">
      <alignment vertical="center"/>
    </xf>
    <xf numFmtId="0" fontId="4" fillId="0" borderId="0" xfId="0" applyFont="1" applyFill="1" applyBorder="1" applyProtection="1">
      <alignment vertical="center"/>
      <protection locked="0"/>
    </xf>
    <xf numFmtId="0" fontId="5" fillId="0" borderId="0" xfId="0" applyFont="1" applyFill="1" applyBorder="1" applyProtection="1">
      <alignment vertical="center"/>
      <protection locked="0"/>
    </xf>
    <xf numFmtId="0" fontId="0" fillId="0" borderId="0" xfId="0" applyFill="1" applyBorder="1">
      <alignment vertical="center"/>
    </xf>
    <xf numFmtId="0" fontId="6" fillId="0" borderId="1" xfId="0" applyFont="1" applyFill="1" applyBorder="1" applyAlignment="1">
      <alignment horizontal="center" vertical="center" wrapText="1" shrinkToFit="1"/>
    </xf>
    <xf numFmtId="176" fontId="6" fillId="0" borderId="1" xfId="0" applyNumberFormat="1" applyFont="1" applyFill="1" applyBorder="1" applyAlignment="1">
      <alignment horizontal="center" vertical="center" wrapText="1" shrinkToFit="1"/>
    </xf>
    <xf numFmtId="0" fontId="7" fillId="0" borderId="1" xfId="0" applyNumberFormat="1" applyFont="1" applyFill="1" applyBorder="1" applyAlignment="1">
      <alignment horizontal="center" vertical="center" wrapText="1" shrinkToFit="1"/>
    </xf>
    <xf numFmtId="177" fontId="6" fillId="0" borderId="1" xfId="0" applyNumberFormat="1" applyFont="1" applyFill="1" applyBorder="1" applyAlignment="1">
      <alignment horizontal="center" vertical="center" wrapText="1" shrinkToFit="1"/>
    </xf>
    <xf numFmtId="0" fontId="6" fillId="0" borderId="1"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wrapText="1" shrinkToFit="1"/>
    </xf>
    <xf numFmtId="178" fontId="7" fillId="0" borderId="1" xfId="0" applyNumberFormat="1" applyFont="1" applyFill="1" applyBorder="1" applyAlignment="1">
      <alignment horizontal="center" vertical="center" wrapText="1" shrinkToFi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xf>
    <xf numFmtId="179" fontId="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shrinkToFit="1"/>
    </xf>
    <xf numFmtId="0" fontId="1" fillId="0" borderId="1" xfId="0" applyNumberFormat="1" applyFont="1" applyFill="1" applyBorder="1" applyAlignment="1">
      <alignment horizontal="center" vertical="center" wrapText="1" shrinkToFit="1"/>
    </xf>
    <xf numFmtId="49" fontId="2" fillId="0" borderId="1" xfId="0" applyNumberFormat="1" applyFont="1" applyFill="1" applyBorder="1" applyAlignment="1">
      <alignment horizontal="center" vertical="center" wrapText="1"/>
    </xf>
    <xf numFmtId="180" fontId="2" fillId="0" borderId="1" xfId="0" applyNumberFormat="1" applyFont="1" applyFill="1" applyBorder="1" applyAlignment="1">
      <alignment horizontal="center" vertical="center" wrapText="1" shrinkToFit="1"/>
    </xf>
    <xf numFmtId="176" fontId="2" fillId="0" borderId="1" xfId="0" applyNumberFormat="1" applyFont="1" applyFill="1" applyBorder="1" applyAlignment="1">
      <alignment horizontal="center" vertical="center" wrapText="1"/>
    </xf>
    <xf numFmtId="181" fontId="1"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wrapText="1" shrinkToFit="1"/>
    </xf>
    <xf numFmtId="176" fontId="1"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178" fontId="1" fillId="0" borderId="1" xfId="0" applyNumberFormat="1" applyFont="1" applyFill="1" applyBorder="1" applyAlignment="1">
      <alignment horizontal="center" vertical="center" wrapText="1"/>
    </xf>
    <xf numFmtId="178" fontId="1" fillId="0" borderId="0" xfId="0" applyNumberFormat="1" applyFont="1" applyFill="1" applyBorder="1" applyAlignment="1">
      <alignment horizontal="center" vertical="center" wrapText="1" shrinkToFit="1"/>
    </xf>
    <xf numFmtId="0" fontId="2" fillId="0" borderId="0" xfId="0" applyFont="1" applyFill="1" applyBorder="1" applyAlignment="1">
      <alignment horizontal="center" vertical="center" wrapText="1"/>
    </xf>
    <xf numFmtId="179"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181"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0" fontId="2" fillId="0" borderId="1" xfId="0" applyFont="1" applyFill="1" applyBorder="1">
      <alignment vertical="center"/>
    </xf>
    <xf numFmtId="0" fontId="1" fillId="0" borderId="1" xfId="0" applyNumberFormat="1" applyFont="1" applyFill="1" applyBorder="1" applyAlignment="1">
      <alignment horizontal="center" vertical="center"/>
    </xf>
    <xf numFmtId="0" fontId="2" fillId="0" borderId="0" xfId="0" applyFont="1" applyFill="1" applyBorder="1" applyAlignment="1">
      <alignment horizontal="center" vertical="center"/>
    </xf>
    <xf numFmtId="179" fontId="8"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center" vertical="center" wrapText="1" shrinkToFit="1"/>
    </xf>
    <xf numFmtId="0" fontId="8" fillId="0" borderId="1" xfId="0" applyNumberFormat="1" applyFont="1" applyFill="1" applyBorder="1" applyAlignment="1">
      <alignment horizontal="center" vertical="center" shrinkToFit="1"/>
    </xf>
    <xf numFmtId="0" fontId="0"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shrinkToFit="1"/>
    </xf>
    <xf numFmtId="0" fontId="8" fillId="0" borderId="1" xfId="0" applyFont="1" applyFill="1" applyBorder="1" applyAlignment="1">
      <alignment horizontal="center" vertical="center"/>
    </xf>
    <xf numFmtId="180" fontId="0" fillId="0" borderId="1" xfId="0" applyNumberFormat="1" applyFont="1" applyFill="1" applyBorder="1" applyAlignment="1">
      <alignment horizontal="center" vertical="center" wrapText="1" shrinkToFit="1"/>
    </xf>
    <xf numFmtId="176"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180" fontId="3" fillId="0" borderId="1" xfId="0" applyNumberFormat="1" applyFont="1" applyFill="1" applyBorder="1" applyAlignment="1">
      <alignment horizontal="center" vertical="center" wrapText="1" shrinkToFit="1"/>
    </xf>
    <xf numFmtId="181" fontId="8" fillId="0" borderId="1" xfId="0" applyNumberFormat="1" applyFont="1" applyFill="1" applyBorder="1" applyAlignment="1">
      <alignment horizontal="center" vertical="center"/>
    </xf>
    <xf numFmtId="177"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wrapText="1" shrinkToFit="1"/>
    </xf>
    <xf numFmtId="0" fontId="8" fillId="0" borderId="1" xfId="0" applyNumberFormat="1" applyFont="1" applyFill="1" applyBorder="1" applyAlignment="1">
      <alignment horizontal="center" vertical="center"/>
    </xf>
    <xf numFmtId="0" fontId="0" fillId="0" borderId="1" xfId="0" applyFont="1" applyFill="1" applyBorder="1">
      <alignment vertical="center"/>
    </xf>
    <xf numFmtId="178" fontId="0" fillId="0" borderId="1" xfId="0" applyNumberFormat="1" applyFont="1" applyFill="1" applyBorder="1" applyAlignment="1">
      <alignment horizontal="center" vertical="center" wrapText="1" shrinkToFit="1"/>
    </xf>
    <xf numFmtId="178" fontId="8" fillId="0" borderId="1" xfId="0" applyNumberFormat="1" applyFont="1" applyFill="1" applyBorder="1" applyAlignment="1">
      <alignment horizontal="center" vertical="center" wrapText="1"/>
    </xf>
    <xf numFmtId="178" fontId="8" fillId="0" borderId="0" xfId="0" applyNumberFormat="1" applyFont="1" applyFill="1" applyBorder="1" applyAlignment="1">
      <alignment horizontal="center" vertical="center" wrapText="1" shrinkToFit="1"/>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49" fontId="0" fillId="0" borderId="1"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8" fontId="8" fillId="0" borderId="1" xfId="0" applyNumberFormat="1" applyFont="1" applyFill="1" applyBorder="1" applyAlignment="1">
      <alignment horizontal="center" vertical="center"/>
    </xf>
    <xf numFmtId="178" fontId="8" fillId="0" borderId="1" xfId="0" applyNumberFormat="1" applyFont="1" applyFill="1" applyBorder="1" applyAlignment="1">
      <alignment horizontal="center" vertical="center" wrapText="1" shrinkToFit="1"/>
    </xf>
    <xf numFmtId="178" fontId="8" fillId="0" borderId="0"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xf>
    <xf numFmtId="179" fontId="10"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10" fillId="0" borderId="1"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shrinkToFit="1"/>
    </xf>
    <xf numFmtId="0" fontId="3"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17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181" fontId="10" fillId="0" borderId="1" xfId="0"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shrinkToFit="1"/>
    </xf>
    <xf numFmtId="176" fontId="10"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wrapText="1" shrinkToFit="1"/>
    </xf>
    <xf numFmtId="178" fontId="10" fillId="0" borderId="1" xfId="0" applyNumberFormat="1" applyFont="1" applyFill="1" applyBorder="1" applyAlignment="1">
      <alignment horizontal="center" vertical="center" wrapText="1"/>
    </xf>
    <xf numFmtId="178" fontId="1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178" fontId="10" fillId="0" borderId="0" xfId="0" applyNumberFormat="1" applyFont="1" applyFill="1" applyBorder="1" applyAlignment="1">
      <alignment horizontal="center" vertical="center" wrapText="1" shrinkToFit="1"/>
    </xf>
    <xf numFmtId="0" fontId="3" fillId="0" borderId="0" xfId="0" applyFont="1" applyFill="1" applyBorder="1" applyAlignment="1">
      <alignment horizontal="center" vertical="center"/>
    </xf>
    <xf numFmtId="179" fontId="10" fillId="0" borderId="0"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3" fillId="0" borderId="0" xfId="0" applyFont="1" applyFill="1" applyBorder="1" applyAlignment="1">
      <alignment horizontal="center" vertical="center" wrapText="1" shrinkToFit="1"/>
    </xf>
    <xf numFmtId="0" fontId="10"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shrinkToFit="1"/>
    </xf>
    <xf numFmtId="0" fontId="10" fillId="0" borderId="0" xfId="0" applyFont="1" applyFill="1" applyBorder="1" applyAlignment="1">
      <alignment horizontal="center" vertical="center"/>
    </xf>
    <xf numFmtId="180" fontId="3" fillId="0" borderId="0" xfId="0" applyNumberFormat="1" applyFont="1" applyFill="1" applyBorder="1" applyAlignment="1">
      <alignment horizontal="center" vertical="center" wrapText="1" shrinkToFit="1"/>
    </xf>
    <xf numFmtId="176" fontId="3" fillId="0" borderId="0"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wrapText="1"/>
    </xf>
    <xf numFmtId="179" fontId="1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shrinkToFit="1"/>
    </xf>
    <xf numFmtId="0" fontId="11" fillId="0" borderId="1" xfId="0" applyNumberFormat="1" applyFont="1" applyFill="1" applyBorder="1" applyAlignment="1">
      <alignment horizontal="center" vertical="center" shrinkToFit="1"/>
    </xf>
    <xf numFmtId="49" fontId="4"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shrinkToFit="1"/>
    </xf>
    <xf numFmtId="0" fontId="4"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180" fontId="4" fillId="0" borderId="1" xfId="0" applyNumberFormat="1" applyFont="1" applyFill="1" applyBorder="1" applyAlignment="1">
      <alignment horizontal="center" vertical="center" wrapText="1" shrinkToFit="1"/>
    </xf>
    <xf numFmtId="176"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181" fontId="11" fillId="0" borderId="1" xfId="0" applyNumberFormat="1" applyFont="1" applyFill="1" applyBorder="1" applyAlignment="1">
      <alignment horizontal="center" vertical="center"/>
    </xf>
    <xf numFmtId="177" fontId="11" fillId="0"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wrapText="1" shrinkToFit="1"/>
    </xf>
    <xf numFmtId="176" fontId="11" fillId="0" borderId="1" xfId="0" applyNumberFormat="1" applyFont="1" applyFill="1" applyBorder="1" applyAlignment="1">
      <alignment horizontal="center" vertical="center"/>
    </xf>
    <xf numFmtId="178" fontId="11"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wrapText="1" shrinkToFit="1"/>
    </xf>
    <xf numFmtId="178" fontId="11" fillId="0" borderId="1"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178" fontId="11" fillId="0" borderId="0" xfId="0" applyNumberFormat="1" applyFont="1" applyFill="1" applyBorder="1" applyAlignment="1">
      <alignment horizontal="center" vertical="center" wrapText="1" shrinkToFit="1"/>
    </xf>
    <xf numFmtId="179" fontId="11" fillId="0" borderId="1" xfId="0" applyNumberFormat="1" applyFont="1" applyFill="1" applyBorder="1" applyAlignment="1" applyProtection="1">
      <alignment horizontal="center" vertical="center"/>
    </xf>
    <xf numFmtId="0" fontId="11" fillId="0" borderId="1"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shrinkToFit="1"/>
      <protection locked="0"/>
    </xf>
    <xf numFmtId="0" fontId="11" fillId="0" borderId="1" xfId="0" applyNumberFormat="1" applyFont="1" applyFill="1" applyBorder="1" applyAlignment="1" applyProtection="1">
      <alignment horizontal="center" vertical="center" shrinkToFit="1"/>
      <protection locked="0"/>
    </xf>
    <xf numFmtId="49" fontId="4" fillId="0" borderId="1" xfId="0" applyNumberFormat="1"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wrapText="1" shrinkToFit="1"/>
      <protection locked="0"/>
    </xf>
    <xf numFmtId="0" fontId="4"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protection locked="0"/>
    </xf>
    <xf numFmtId="0" fontId="11" fillId="0" borderId="1" xfId="0"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wrapText="1" shrinkToFit="1"/>
      <protection locked="0"/>
    </xf>
    <xf numFmtId="176" fontId="4" fillId="0" borderId="1" xfId="0" applyNumberFormat="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protection locked="0"/>
    </xf>
    <xf numFmtId="176" fontId="4" fillId="0"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wrapText="1"/>
    </xf>
    <xf numFmtId="181" fontId="11" fillId="0" borderId="1" xfId="0" applyNumberFormat="1" applyFont="1" applyFill="1" applyBorder="1" applyAlignment="1" applyProtection="1">
      <alignment horizontal="center" vertical="center"/>
    </xf>
    <xf numFmtId="177" fontId="11" fillId="0" borderId="1"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wrapText="1" shrinkToFit="1"/>
    </xf>
    <xf numFmtId="176" fontId="10" fillId="0" borderId="1" xfId="0" applyNumberFormat="1"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wrapText="1" shrinkToFit="1"/>
    </xf>
    <xf numFmtId="176" fontId="11" fillId="0" borderId="1" xfId="0" applyNumberFormat="1" applyFont="1" applyFill="1" applyBorder="1" applyAlignment="1" applyProtection="1">
      <alignment horizontal="center" vertical="center" wrapText="1"/>
    </xf>
    <xf numFmtId="176" fontId="11" fillId="0" borderId="1" xfId="0" applyNumberFormat="1" applyFont="1" applyFill="1" applyBorder="1" applyAlignment="1" applyProtection="1">
      <alignment horizontal="center" vertical="center"/>
    </xf>
    <xf numFmtId="0" fontId="4" fillId="0" borderId="1" xfId="0" applyFont="1" applyFill="1" applyBorder="1" applyAlignment="1" applyProtection="1">
      <alignment horizontal="center" vertical="center" wrapText="1" shrinkToFit="1"/>
    </xf>
    <xf numFmtId="178" fontId="11" fillId="0" borderId="1" xfId="0" applyNumberFormat="1" applyFont="1" applyFill="1" applyBorder="1" applyAlignment="1" applyProtection="1">
      <alignment horizontal="center" vertical="center"/>
    </xf>
    <xf numFmtId="178" fontId="10" fillId="0" borderId="1" xfId="0" applyNumberFormat="1" applyFont="1" applyFill="1" applyBorder="1" applyAlignment="1" applyProtection="1">
      <alignment horizontal="center" vertical="center"/>
    </xf>
    <xf numFmtId="0" fontId="4" fillId="0" borderId="1" xfId="0" applyFont="1" applyFill="1" applyBorder="1" applyAlignment="1" applyProtection="1">
      <alignment horizontal="center" vertical="center"/>
    </xf>
    <xf numFmtId="178" fontId="4" fillId="0" borderId="1" xfId="0" applyNumberFormat="1" applyFont="1" applyFill="1" applyBorder="1" applyAlignment="1" applyProtection="1">
      <alignment horizontal="center" vertical="center" wrapText="1" shrinkToFit="1"/>
    </xf>
    <xf numFmtId="178" fontId="11" fillId="0" borderId="1" xfId="0" applyNumberFormat="1" applyFont="1" applyFill="1" applyBorder="1" applyAlignment="1" applyProtection="1">
      <alignment horizontal="center" vertical="center" wrapText="1"/>
    </xf>
    <xf numFmtId="178" fontId="10" fillId="0" borderId="0" xfId="0" applyNumberFormat="1" applyFont="1" applyFill="1" applyBorder="1" applyAlignment="1" applyProtection="1">
      <alignment horizontal="center" vertical="center" wrapText="1"/>
    </xf>
    <xf numFmtId="0" fontId="4" fillId="0" borderId="0" xfId="0" applyFont="1" applyFill="1" applyBorder="1" applyAlignment="1" applyProtection="1">
      <alignment horizontal="center" vertical="center" wrapText="1"/>
    </xf>
    <xf numFmtId="178" fontId="11" fillId="0" borderId="0" xfId="0" applyNumberFormat="1" applyFont="1" applyFill="1" applyBorder="1" applyAlignment="1" applyProtection="1">
      <alignment horizontal="center" vertical="center" wrapText="1" shrinkToFit="1"/>
    </xf>
    <xf numFmtId="0" fontId="3" fillId="0" borderId="0" xfId="0" applyFont="1" applyFill="1" applyBorder="1" applyAlignment="1" applyProtection="1">
      <alignment horizontal="center" vertical="center"/>
      <protection locked="0"/>
    </xf>
    <xf numFmtId="0" fontId="4" fillId="0" borderId="1" xfId="0" applyNumberFormat="1" applyFont="1" applyFill="1" applyBorder="1" applyAlignment="1" applyProtection="1">
      <alignment horizontal="center" vertical="center" wrapText="1"/>
      <protection locked="0"/>
    </xf>
    <xf numFmtId="178" fontId="11" fillId="0" borderId="0" xfId="0" applyNumberFormat="1" applyFont="1" applyFill="1" applyBorder="1" applyAlignment="1" applyProtection="1">
      <alignment horizontal="center" vertical="center" wrapText="1"/>
    </xf>
    <xf numFmtId="0" fontId="4" fillId="0" borderId="0" xfId="0" applyFont="1" applyFill="1" applyBorder="1" applyAlignment="1" applyProtection="1">
      <alignment horizontal="center" vertical="center"/>
      <protection locked="0"/>
    </xf>
    <xf numFmtId="182" fontId="11" fillId="0" borderId="1" xfId="0" applyNumberFormat="1" applyFont="1" applyFill="1" applyBorder="1" applyAlignment="1" applyProtection="1">
      <alignment horizontal="center" vertical="center" wrapText="1"/>
    </xf>
    <xf numFmtId="178" fontId="4" fillId="0" borderId="0" xfId="0" applyNumberFormat="1" applyFont="1" applyFill="1" applyBorder="1" applyAlignment="1" applyProtection="1">
      <alignment horizontal="center" vertical="center" wrapText="1"/>
    </xf>
    <xf numFmtId="0" fontId="12" fillId="0" borderId="1" xfId="0" applyFont="1" applyFill="1" applyBorder="1" applyProtection="1">
      <alignment vertical="center"/>
      <protection locked="0"/>
    </xf>
    <xf numFmtId="0" fontId="13" fillId="0" borderId="1" xfId="0" applyFont="1" applyFill="1" applyBorder="1" applyAlignment="1" applyProtection="1">
      <alignment horizontal="center" vertical="center" wrapText="1" shrinkToFit="1"/>
      <protection locked="0"/>
    </xf>
    <xf numFmtId="0" fontId="14" fillId="0" borderId="1" xfId="0" applyNumberFormat="1" applyFont="1" applyFill="1" applyBorder="1" applyAlignment="1" applyProtection="1">
      <alignment horizontal="center" vertical="center" shrinkToFit="1"/>
      <protection locked="0"/>
    </xf>
    <xf numFmtId="0" fontId="12" fillId="0" borderId="1" xfId="0" applyFont="1" applyFill="1" applyBorder="1" applyAlignment="1" applyProtection="1">
      <alignment horizontal="center" vertical="center" wrapText="1"/>
      <protection locked="0"/>
    </xf>
    <xf numFmtId="176" fontId="13" fillId="0" borderId="1" xfId="0" applyNumberFormat="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xf>
    <xf numFmtId="178" fontId="11" fillId="0" borderId="1" xfId="0" applyNumberFormat="1" applyFont="1" applyFill="1" applyBorder="1" applyAlignment="1" applyProtection="1">
      <alignment horizontal="center" vertical="center" wrapText="1" shrinkToFit="1"/>
    </xf>
    <xf numFmtId="0" fontId="4" fillId="0" borderId="1" xfId="0" applyFont="1" applyFill="1" applyBorder="1" applyProtection="1">
      <alignment vertical="center"/>
      <protection locked="0"/>
    </xf>
    <xf numFmtId="0" fontId="14" fillId="0" borderId="1" xfId="0" applyFont="1" applyFill="1" applyBorder="1" applyAlignment="1" applyProtection="1">
      <alignment horizontal="center" vertical="center" wrapText="1"/>
      <protection locked="0"/>
    </xf>
    <xf numFmtId="179" fontId="15" fillId="0" borderId="1" xfId="0" applyNumberFormat="1" applyFont="1" applyFill="1" applyBorder="1" applyAlignment="1" applyProtection="1">
      <alignment horizontal="center" vertical="center"/>
    </xf>
    <xf numFmtId="0" fontId="16" fillId="0" borderId="1" xfId="0" applyFont="1" applyFill="1" applyBorder="1" applyProtection="1">
      <alignment vertical="center"/>
      <protection locked="0"/>
    </xf>
    <xf numFmtId="0" fontId="17" fillId="0" borderId="1" xfId="0" applyFont="1" applyFill="1" applyBorder="1" applyAlignment="1" applyProtection="1">
      <alignment horizontal="center" vertical="center" wrapText="1" shrinkToFit="1"/>
      <protection locked="0"/>
    </xf>
    <xf numFmtId="0" fontId="18" fillId="0" borderId="1" xfId="0" applyNumberFormat="1" applyFont="1" applyFill="1" applyBorder="1" applyAlignment="1" applyProtection="1">
      <alignment horizontal="center" vertical="center" shrinkToFit="1"/>
      <protection locked="0"/>
    </xf>
    <xf numFmtId="0" fontId="16" fillId="0" borderId="1" xfId="0"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protection locked="0"/>
    </xf>
    <xf numFmtId="0" fontId="15" fillId="0" borderId="1" xfId="0" applyFont="1" applyFill="1" applyBorder="1" applyAlignment="1" applyProtection="1">
      <alignment horizontal="center" vertical="center"/>
    </xf>
    <xf numFmtId="180" fontId="5" fillId="0" borderId="1" xfId="0" applyNumberFormat="1" applyFont="1" applyFill="1" applyBorder="1" applyAlignment="1" applyProtection="1">
      <alignment horizontal="center" vertical="center" wrapText="1" shrinkToFit="1"/>
      <protection locked="0"/>
    </xf>
    <xf numFmtId="176" fontId="5" fillId="0" borderId="1" xfId="0" applyNumberFormat="1" applyFont="1" applyFill="1" applyBorder="1" applyAlignment="1" applyProtection="1">
      <alignment horizontal="center" vertical="center" wrapText="1"/>
      <protection locked="0"/>
    </xf>
    <xf numFmtId="176"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pplyProtection="1">
      <alignment horizontal="center" vertical="center" wrapText="1"/>
    </xf>
    <xf numFmtId="176" fontId="17" fillId="0" borderId="1" xfId="0" applyNumberFormat="1" applyFont="1" applyFill="1" applyBorder="1" applyAlignment="1" applyProtection="1">
      <alignment horizontal="center" vertical="center" wrapText="1"/>
      <protection locked="0"/>
    </xf>
    <xf numFmtId="181" fontId="15" fillId="0" borderId="1" xfId="0" applyNumberFormat="1" applyFont="1" applyFill="1" applyBorder="1" applyAlignment="1" applyProtection="1">
      <alignment horizontal="center" vertical="center"/>
    </xf>
    <xf numFmtId="177" fontId="15" fillId="0" borderId="1"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wrapText="1" shrinkToFit="1"/>
    </xf>
    <xf numFmtId="178" fontId="19" fillId="0" borderId="1" xfId="0" applyNumberFormat="1" applyFont="1" applyFill="1" applyBorder="1" applyAlignment="1" applyProtection="1">
      <alignment horizontal="center" vertical="center"/>
    </xf>
    <xf numFmtId="178" fontId="15" fillId="0" borderId="1" xfId="0" applyNumberFormat="1" applyFont="1" applyFill="1" applyBorder="1" applyAlignment="1" applyProtection="1">
      <alignment horizontal="center" vertical="center"/>
    </xf>
    <xf numFmtId="0" fontId="20" fillId="0" borderId="1" xfId="0" applyFont="1" applyFill="1" applyBorder="1" applyAlignment="1" applyProtection="1">
      <alignment horizontal="center" vertical="center" wrapText="1" shrinkToFit="1"/>
    </xf>
    <xf numFmtId="0" fontId="19" fillId="0" borderId="1" xfId="0" applyFont="1" applyFill="1" applyBorder="1" applyAlignment="1" applyProtection="1">
      <alignment horizontal="center" vertical="center" wrapText="1"/>
    </xf>
    <xf numFmtId="0" fontId="20" fillId="0" borderId="1" xfId="0" applyFont="1" applyFill="1" applyBorder="1" applyAlignment="1" applyProtection="1">
      <alignment horizontal="center" vertical="center"/>
    </xf>
    <xf numFmtId="0" fontId="5" fillId="0" borderId="1" xfId="0" applyFont="1" applyFill="1" applyBorder="1" applyAlignment="1" applyProtection="1">
      <alignment horizontal="center" vertical="center" wrapText="1" shrinkToFit="1"/>
    </xf>
    <xf numFmtId="182" fontId="15" fillId="0" borderId="1" xfId="0" applyNumberFormat="1" applyFont="1" applyFill="1" applyBorder="1" applyAlignment="1" applyProtection="1">
      <alignment horizontal="center" vertical="center" wrapText="1"/>
    </xf>
    <xf numFmtId="182" fontId="19" fillId="0" borderId="1" xfId="0" applyNumberFormat="1" applyFont="1" applyFill="1" applyBorder="1" applyAlignment="1" applyProtection="1">
      <alignment horizontal="center" vertical="center" wrapText="1"/>
    </xf>
    <xf numFmtId="0" fontId="20" fillId="0" borderId="1" xfId="0" applyFont="1" applyFill="1" applyBorder="1" applyAlignment="1" applyProtection="1">
      <alignment horizontal="center" vertical="center" wrapText="1"/>
    </xf>
    <xf numFmtId="178" fontId="15" fillId="0" borderId="1" xfId="0" applyNumberFormat="1" applyFont="1" applyFill="1" applyBorder="1" applyAlignment="1" applyProtection="1">
      <alignment horizontal="center" vertical="center" wrapText="1" shrinkToFit="1"/>
    </xf>
    <xf numFmtId="0" fontId="15" fillId="0" borderId="1" xfId="0" applyFont="1" applyFill="1" applyBorder="1" applyAlignment="1" applyProtection="1">
      <alignment horizontal="center" vertical="center" wrapText="1"/>
    </xf>
    <xf numFmtId="178" fontId="5" fillId="0" borderId="1" xfId="0" applyNumberFormat="1" applyFont="1" applyFill="1" applyBorder="1" applyAlignment="1" applyProtection="1">
      <alignment horizontal="center" vertical="center" wrapText="1" shrinkToFit="1"/>
    </xf>
    <xf numFmtId="0" fontId="5" fillId="0" borderId="1" xfId="0" applyFont="1" applyFill="1" applyBorder="1" applyAlignment="1" applyProtection="1">
      <alignment horizontal="center" vertical="center" wrapText="1"/>
    </xf>
    <xf numFmtId="0" fontId="5" fillId="0" borderId="1" xfId="0" applyFont="1" applyFill="1" applyBorder="1" applyProtection="1">
      <alignment vertical="center"/>
      <protection locked="0"/>
    </xf>
    <xf numFmtId="0" fontId="20" fillId="0" borderId="0" xfId="0" applyFont="1" applyFill="1" applyBorder="1" applyProtection="1">
      <alignment vertical="center"/>
      <protection locked="0"/>
    </xf>
    <xf numFmtId="178" fontId="5" fillId="0" borderId="0" xfId="0" applyNumberFormat="1" applyFont="1" applyFill="1" applyBorder="1" applyAlignment="1" applyProtection="1">
      <alignment horizontal="center" vertical="center" wrapText="1"/>
    </xf>
    <xf numFmtId="178" fontId="15" fillId="0" borderId="0" xfId="0" applyNumberFormat="1" applyFont="1" applyFill="1" applyBorder="1" applyAlignment="1" applyProtection="1">
      <alignment horizontal="center" vertical="center" wrapText="1" shrinkToFit="1"/>
    </xf>
    <xf numFmtId="3" fontId="11" fillId="0" borderId="1" xfId="0" applyNumberFormat="1" applyFont="1" applyFill="1" applyBorder="1" applyAlignment="1" applyProtection="1">
      <alignment horizontal="center" vertical="center"/>
      <protection locked="0"/>
    </xf>
    <xf numFmtId="179" fontId="11" fillId="0" borderId="0" xfId="0" applyNumberFormat="1" applyFont="1" applyFill="1" applyBorder="1" applyAlignment="1" applyProtection="1">
      <alignment horizontal="center" vertical="center"/>
    </xf>
    <xf numFmtId="0" fontId="12" fillId="0" borderId="0" xfId="0" applyFont="1" applyFill="1" applyBorder="1" applyProtection="1">
      <alignment vertical="center"/>
      <protection locked="0"/>
    </xf>
    <xf numFmtId="0" fontId="13" fillId="0" borderId="0" xfId="0" applyFont="1" applyFill="1" applyBorder="1" applyAlignment="1" applyProtection="1">
      <alignment horizontal="center" vertical="center" wrapText="1" shrinkToFit="1"/>
      <protection locked="0"/>
    </xf>
    <xf numFmtId="0" fontId="14" fillId="0" borderId="0" xfId="0" applyNumberFormat="1" applyFont="1" applyFill="1" applyBorder="1" applyAlignment="1" applyProtection="1">
      <alignment horizontal="center" vertical="center" shrinkToFit="1"/>
      <protection locked="0"/>
    </xf>
    <xf numFmtId="0" fontId="12" fillId="0" borderId="0" xfId="0" applyFont="1" applyFill="1" applyBorder="1" applyAlignment="1" applyProtection="1">
      <alignment horizontal="center" vertical="center" wrapText="1"/>
      <protection locked="0"/>
    </xf>
    <xf numFmtId="0" fontId="11" fillId="0" borderId="0" xfId="0" applyFont="1" applyFill="1" applyBorder="1" applyAlignment="1" applyProtection="1">
      <alignment horizontal="center" vertical="center" wrapText="1" shrinkToFit="1"/>
      <protection locked="0"/>
    </xf>
    <xf numFmtId="0" fontId="4" fillId="0" borderId="0" xfId="0" applyFont="1" applyFill="1" applyBorder="1" applyAlignment="1" applyProtection="1">
      <alignment horizontal="center" vertical="center" wrapText="1"/>
      <protection locked="0"/>
    </xf>
    <xf numFmtId="0" fontId="11" fillId="0" borderId="0" xfId="0" applyFont="1" applyFill="1" applyBorder="1" applyAlignment="1" applyProtection="1">
      <alignment horizontal="center" vertical="center"/>
      <protection locked="0"/>
    </xf>
    <xf numFmtId="0" fontId="11" fillId="0" borderId="0" xfId="0" applyFont="1" applyFill="1" applyBorder="1" applyAlignment="1" applyProtection="1">
      <alignment horizontal="center" vertical="center"/>
    </xf>
    <xf numFmtId="180" fontId="4" fillId="0" borderId="0" xfId="0" applyNumberFormat="1" applyFont="1" applyFill="1" applyBorder="1" applyAlignment="1" applyProtection="1">
      <alignment horizontal="center" vertical="center" wrapText="1" shrinkToFit="1"/>
      <protection locked="0"/>
    </xf>
    <xf numFmtId="176" fontId="4" fillId="0" borderId="0" xfId="0" applyNumberFormat="1" applyFont="1" applyFill="1" applyBorder="1" applyAlignment="1" applyProtection="1">
      <alignment horizontal="center" vertical="center" wrapText="1"/>
      <protection locked="0"/>
    </xf>
    <xf numFmtId="0" fontId="11" fillId="0" borderId="1" xfId="0" applyNumberFormat="1" applyFont="1" applyFill="1" applyBorder="1" applyAlignment="1" applyProtection="1">
      <alignment horizontal="center" vertical="center" wrapText="1"/>
      <protection locked="0"/>
    </xf>
    <xf numFmtId="176" fontId="12" fillId="0" borderId="1" xfId="0" applyNumberFormat="1" applyFont="1" applyFill="1" applyBorder="1" applyAlignment="1" applyProtection="1">
      <alignment horizontal="center" vertical="center" wrapText="1"/>
      <protection locked="0"/>
    </xf>
    <xf numFmtId="183" fontId="12" fillId="0" borderId="1" xfId="0" applyNumberFormat="1" applyFont="1" applyFill="1" applyBorder="1" applyAlignment="1" applyProtection="1">
      <alignment horizontal="center" vertical="center" wrapText="1" shrinkToFit="1"/>
    </xf>
    <xf numFmtId="0" fontId="12" fillId="0" borderId="1" xfId="0" applyNumberFormat="1" applyFont="1" applyFill="1" applyBorder="1" applyAlignment="1" applyProtection="1">
      <alignment horizontal="center" vertical="center" wrapText="1"/>
      <protection locked="0"/>
    </xf>
    <xf numFmtId="184" fontId="11" fillId="0" borderId="1" xfId="0" applyNumberFormat="1" applyFont="1" applyFill="1" applyBorder="1" applyAlignment="1" applyProtection="1">
      <alignment horizontal="center" vertical="center"/>
    </xf>
    <xf numFmtId="178" fontId="21" fillId="0" borderId="1" xfId="0" applyNumberFormat="1" applyFont="1" applyFill="1" applyBorder="1" applyAlignment="1" applyProtection="1">
      <alignment horizontal="center" vertical="center" wrapText="1"/>
    </xf>
    <xf numFmtId="179" fontId="22" fillId="0" borderId="1" xfId="0" applyNumberFormat="1" applyFont="1" applyFill="1" applyBorder="1" applyAlignment="1" applyProtection="1">
      <alignment horizontal="center" vertical="center"/>
    </xf>
    <xf numFmtId="0" fontId="13" fillId="0" borderId="1" xfId="0" applyFont="1" applyFill="1" applyBorder="1" applyProtection="1">
      <alignment vertical="center"/>
      <protection locked="0"/>
    </xf>
    <xf numFmtId="0" fontId="22" fillId="0" borderId="1" xfId="0" applyNumberFormat="1" applyFont="1" applyFill="1" applyBorder="1" applyAlignment="1" applyProtection="1">
      <alignment horizontal="center" vertical="center" shrinkToFit="1"/>
      <protection locked="0"/>
    </xf>
    <xf numFmtId="0" fontId="13" fillId="0" borderId="1" xfId="0"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shrinkToFit="1"/>
      <protection locked="0"/>
    </xf>
    <xf numFmtId="0" fontId="22" fillId="0" borderId="1" xfId="0" applyFont="1" applyFill="1" applyBorder="1" applyAlignment="1" applyProtection="1">
      <alignment horizontal="center" vertical="center"/>
      <protection locked="0"/>
    </xf>
    <xf numFmtId="0" fontId="22" fillId="0" borderId="1" xfId="0" applyFont="1" applyFill="1" applyBorder="1" applyAlignment="1" applyProtection="1">
      <alignment horizontal="center" vertical="center"/>
    </xf>
    <xf numFmtId="180" fontId="13" fillId="0" borderId="1" xfId="0" applyNumberFormat="1" applyFont="1" applyFill="1" applyBorder="1" applyAlignment="1" applyProtection="1">
      <alignment horizontal="center" vertical="center" wrapText="1" shrinkToFit="1"/>
      <protection locked="0"/>
    </xf>
    <xf numFmtId="0" fontId="13" fillId="0" borderId="1" xfId="0" applyNumberFormat="1" applyFont="1" applyFill="1" applyBorder="1" applyAlignment="1" applyProtection="1">
      <alignment horizontal="center" vertical="center" wrapText="1"/>
    </xf>
    <xf numFmtId="181" fontId="22" fillId="0" borderId="1" xfId="0" applyNumberFormat="1" applyFont="1" applyFill="1" applyBorder="1" applyAlignment="1" applyProtection="1">
      <alignment horizontal="center" vertical="center"/>
    </xf>
    <xf numFmtId="177" fontId="22" fillId="0" borderId="1" xfId="0" applyNumberFormat="1" applyFont="1" applyFill="1" applyBorder="1" applyAlignment="1" applyProtection="1">
      <alignment horizontal="center" vertical="center"/>
    </xf>
    <xf numFmtId="0" fontId="23" fillId="0" borderId="0" xfId="0" applyFont="1" applyFill="1" applyAlignment="1">
      <alignment horizontal="center" vertical="center"/>
    </xf>
    <xf numFmtId="0" fontId="23" fillId="0" borderId="0" xfId="0" applyFont="1" applyAlignment="1">
      <alignment horizontal="center" vertical="center"/>
    </xf>
    <xf numFmtId="0" fontId="0" fillId="0" borderId="0" xfId="0" applyBorder="1">
      <alignment vertical="center"/>
    </xf>
    <xf numFmtId="0" fontId="0" fillId="2" borderId="0" xfId="0" applyFill="1">
      <alignment vertical="center"/>
    </xf>
    <xf numFmtId="0" fontId="24" fillId="3" borderId="2" xfId="0" applyFont="1" applyFill="1" applyBorder="1" applyAlignment="1">
      <alignment horizontal="center" vertical="center"/>
    </xf>
    <xf numFmtId="0" fontId="24" fillId="3" borderId="3" xfId="0" applyFont="1" applyFill="1" applyBorder="1" applyAlignment="1">
      <alignment horizontal="center" vertical="center"/>
    </xf>
    <xf numFmtId="0" fontId="24" fillId="3" borderId="4" xfId="0" applyFont="1" applyFill="1" applyBorder="1" applyAlignment="1">
      <alignment horizontal="center" vertical="center"/>
    </xf>
    <xf numFmtId="0" fontId="23" fillId="0" borderId="5" xfId="0" applyFont="1" applyBorder="1" applyAlignment="1">
      <alignment horizontal="center" vertical="center"/>
    </xf>
    <xf numFmtId="0" fontId="25" fillId="0" borderId="6" xfId="0" applyFont="1" applyBorder="1" applyAlignment="1">
      <alignment horizontal="center" vertical="center"/>
    </xf>
    <xf numFmtId="0" fontId="26" fillId="0" borderId="6"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3" fillId="0" borderId="6" xfId="0" applyFont="1" applyBorder="1" applyAlignment="1">
      <alignment horizontal="center" vertical="center"/>
    </xf>
    <xf numFmtId="0" fontId="28" fillId="0" borderId="7" xfId="0" applyFont="1" applyBorder="1" applyAlignment="1">
      <alignment horizontal="center" vertical="center"/>
    </xf>
    <xf numFmtId="0" fontId="25" fillId="0" borderId="8" xfId="0" applyFont="1" applyBorder="1" applyAlignment="1">
      <alignment horizontal="center" vertical="center"/>
    </xf>
    <xf numFmtId="0" fontId="23" fillId="2" borderId="0" xfId="0" applyFont="1" applyFill="1" applyAlignment="1">
      <alignment horizontal="center" vertical="center"/>
    </xf>
    <xf numFmtId="0" fontId="23" fillId="0" borderId="5" xfId="0" applyFont="1" applyFill="1" applyBorder="1" applyAlignment="1">
      <alignment horizontal="center" vertical="center"/>
    </xf>
    <xf numFmtId="185" fontId="23" fillId="0" borderId="6" xfId="0" applyNumberFormat="1" applyFont="1" applyFill="1" applyBorder="1" applyAlignment="1">
      <alignment horizontal="center" vertical="center"/>
    </xf>
    <xf numFmtId="0" fontId="23" fillId="0" borderId="7" xfId="0" applyFont="1" applyFill="1" applyBorder="1" applyAlignment="1">
      <alignment horizontal="center" vertical="center"/>
    </xf>
    <xf numFmtId="31" fontId="23" fillId="0" borderId="8" xfId="0" applyNumberFormat="1" applyFont="1" applyFill="1" applyBorder="1" applyAlignment="1">
      <alignment horizontal="center" vertical="center"/>
    </xf>
    <xf numFmtId="0" fontId="25" fillId="0" borderId="0" xfId="0" applyFont="1" applyAlignment="1">
      <alignment horizontal="center" vertical="center"/>
    </xf>
    <xf numFmtId="0" fontId="25" fillId="0" borderId="0" xfId="0" applyFont="1" applyFill="1" applyAlignment="1">
      <alignment horizontal="center" vertical="center"/>
    </xf>
    <xf numFmtId="0" fontId="23" fillId="0" borderId="6" xfId="0" applyFont="1" applyFill="1" applyBorder="1" applyAlignment="1">
      <alignment horizontal="center" vertical="center"/>
    </xf>
    <xf numFmtId="0" fontId="28" fillId="0" borderId="0" xfId="0" applyFont="1" applyAlignment="1">
      <alignment horizontal="center" vertical="center"/>
    </xf>
    <xf numFmtId="185" fontId="22" fillId="0" borderId="6" xfId="0" applyNumberFormat="1" applyFont="1" applyFill="1" applyBorder="1" applyAlignment="1">
      <alignment horizontal="center" vertical="center"/>
    </xf>
    <xf numFmtId="182" fontId="14" fillId="0" borderId="6" xfId="0" applyNumberFormat="1" applyFont="1" applyFill="1" applyBorder="1" applyAlignment="1">
      <alignment horizontal="center" vertical="center"/>
    </xf>
    <xf numFmtId="0" fontId="14" fillId="0" borderId="7" xfId="0" applyFont="1" applyFill="1" applyBorder="1" applyAlignment="1">
      <alignment horizontal="center" vertical="center"/>
    </xf>
    <xf numFmtId="0" fontId="23" fillId="3" borderId="5" xfId="0" applyFont="1" applyFill="1" applyBorder="1" applyAlignment="1">
      <alignment horizontal="center" vertical="center"/>
    </xf>
    <xf numFmtId="0" fontId="23" fillId="3" borderId="6" xfId="0" applyFont="1" applyFill="1" applyBorder="1" applyAlignment="1">
      <alignment horizontal="center" vertical="center"/>
    </xf>
    <xf numFmtId="182" fontId="23" fillId="3" borderId="6" xfId="0" applyNumberFormat="1" applyFont="1" applyFill="1" applyBorder="1" applyAlignment="1">
      <alignment horizontal="center" vertical="center"/>
    </xf>
    <xf numFmtId="0" fontId="23" fillId="3" borderId="8"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182" fontId="14" fillId="3" borderId="6" xfId="0" applyNumberFormat="1"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182" fontId="14" fillId="2" borderId="6" xfId="0" applyNumberFormat="1" applyFont="1" applyFill="1" applyBorder="1" applyAlignment="1">
      <alignment horizontal="center" vertical="center"/>
    </xf>
    <xf numFmtId="0" fontId="23" fillId="3" borderId="7" xfId="0" applyFont="1" applyFill="1" applyBorder="1" applyAlignment="1">
      <alignment horizontal="center" vertical="center"/>
    </xf>
    <xf numFmtId="178" fontId="23" fillId="3" borderId="6" xfId="0" applyNumberFormat="1" applyFont="1" applyFill="1" applyBorder="1" applyAlignment="1">
      <alignment horizontal="center" vertical="center"/>
    </xf>
    <xf numFmtId="0" fontId="23" fillId="3" borderId="9" xfId="0" applyFont="1" applyFill="1" applyBorder="1" applyAlignment="1">
      <alignment horizontal="center" vertical="center"/>
    </xf>
    <xf numFmtId="0" fontId="23" fillId="3" borderId="10" xfId="0" applyFont="1" applyFill="1" applyBorder="1" applyAlignment="1">
      <alignment horizontal="center" vertical="center"/>
    </xf>
    <xf numFmtId="182" fontId="23" fillId="3" borderId="11" xfId="0" applyNumberFormat="1" applyFont="1" applyFill="1" applyBorder="1" applyAlignment="1">
      <alignment horizontal="center" vertical="center"/>
    </xf>
    <xf numFmtId="182" fontId="23" fillId="3" borderId="12" xfId="0" applyNumberFormat="1" applyFont="1" applyFill="1" applyBorder="1" applyAlignment="1">
      <alignment horizontal="center" vertical="center"/>
    </xf>
    <xf numFmtId="0" fontId="23" fillId="3" borderId="11" xfId="0" applyFont="1" applyFill="1" applyBorder="1" applyAlignment="1">
      <alignment horizontal="center" vertical="center"/>
    </xf>
    <xf numFmtId="0" fontId="23" fillId="3" borderId="13" xfId="0" applyFont="1" applyFill="1" applyBorder="1" applyAlignment="1">
      <alignment horizontal="center" vertical="center"/>
    </xf>
    <xf numFmtId="182" fontId="23" fillId="0" borderId="0" xfId="0" applyNumberFormat="1" applyFont="1" applyAlignment="1">
      <alignment horizontal="center" vertical="center"/>
    </xf>
    <xf numFmtId="0" fontId="23" fillId="0" borderId="0" xfId="0" applyFont="1" applyBorder="1" applyAlignment="1">
      <alignment horizontal="center" vertical="center"/>
    </xf>
    <xf numFmtId="178" fontId="23" fillId="0" borderId="0" xfId="0" applyNumberFormat="1" applyFont="1" applyBorder="1" applyAlignment="1">
      <alignment horizontal="center" vertical="center"/>
    </xf>
    <xf numFmtId="182" fontId="23" fillId="0" borderId="0" xfId="0" applyNumberFormat="1" applyFont="1" applyBorder="1" applyAlignment="1">
      <alignment horizontal="center" vertical="center"/>
    </xf>
    <xf numFmtId="0" fontId="28" fillId="0" borderId="0" xfId="0" applyFont="1" applyFill="1" applyAlignment="1">
      <alignment horizontal="center" vertical="center"/>
    </xf>
    <xf numFmtId="185" fontId="23" fillId="0" borderId="14" xfId="0" applyNumberFormat="1" applyFont="1" applyFill="1" applyBorder="1" applyAlignment="1">
      <alignment horizontal="center" vertical="center"/>
    </xf>
    <xf numFmtId="185" fontId="28" fillId="0" borderId="6" xfId="0" applyNumberFormat="1" applyFont="1" applyFill="1" applyBorder="1" applyAlignment="1">
      <alignment horizontal="center" vertical="center"/>
    </xf>
    <xf numFmtId="178" fontId="23" fillId="0" borderId="14" xfId="0" applyNumberFormat="1" applyFont="1" applyFill="1" applyBorder="1" applyAlignment="1">
      <alignment horizontal="center" vertical="center"/>
    </xf>
    <xf numFmtId="178" fontId="22" fillId="0" borderId="14" xfId="0" applyNumberFormat="1" applyFont="1" applyFill="1" applyBorder="1" applyAlignment="1">
      <alignment horizontal="center" vertical="center"/>
    </xf>
    <xf numFmtId="185" fontId="14" fillId="0" borderId="6" xfId="0" applyNumberFormat="1" applyFont="1" applyFill="1" applyBorder="1" applyAlignment="1">
      <alignment horizontal="center" vertical="center"/>
    </xf>
    <xf numFmtId="0" fontId="14" fillId="0" borderId="6" xfId="0" applyFont="1" applyFill="1" applyBorder="1" applyAlignment="1">
      <alignment horizontal="center" vertical="center"/>
    </xf>
    <xf numFmtId="178" fontId="14" fillId="0" borderId="15" xfId="0" applyNumberFormat="1" applyFont="1" applyFill="1" applyBorder="1" applyAlignment="1">
      <alignment horizontal="center" vertical="center"/>
    </xf>
    <xf numFmtId="31" fontId="14" fillId="0" borderId="8" xfId="0" applyNumberFormat="1" applyFont="1" applyFill="1" applyBorder="1" applyAlignment="1">
      <alignment horizontal="center" vertical="center"/>
    </xf>
    <xf numFmtId="0" fontId="23" fillId="0" borderId="0" xfId="0" applyFont="1" applyFill="1" applyBorder="1" applyAlignment="1">
      <alignment horizontal="center" vertical="center"/>
    </xf>
    <xf numFmtId="178" fontId="22" fillId="2" borderId="14" xfId="0" applyNumberFormat="1" applyFont="1" applyFill="1" applyBorder="1" applyAlignment="1">
      <alignment horizontal="center" vertical="center"/>
    </xf>
    <xf numFmtId="185" fontId="14" fillId="2" borderId="6" xfId="0" applyNumberFormat="1" applyFont="1" applyFill="1" applyBorder="1" applyAlignment="1">
      <alignment horizontal="center" vertical="center"/>
    </xf>
    <xf numFmtId="3" fontId="23" fillId="2" borderId="6" xfId="0" applyNumberFormat="1" applyFont="1" applyFill="1" applyBorder="1" applyAlignment="1">
      <alignment horizontal="center" vertical="center"/>
    </xf>
    <xf numFmtId="0" fontId="23" fillId="2" borderId="7"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15" xfId="0" applyFont="1" applyFill="1" applyBorder="1" applyAlignment="1">
      <alignment horizontal="center" vertical="center"/>
    </xf>
    <xf numFmtId="0" fontId="28" fillId="2" borderId="0" xfId="0" applyFont="1" applyFill="1" applyAlignment="1">
      <alignment horizontal="center" vertical="center"/>
    </xf>
    <xf numFmtId="185" fontId="14" fillId="2" borderId="0" xfId="0" applyNumberFormat="1" applyFont="1" applyFill="1" applyBorder="1" applyAlignment="1">
      <alignment horizontal="center" vertical="center"/>
    </xf>
    <xf numFmtId="0" fontId="22" fillId="0" borderId="0" xfId="0" applyFont="1" applyAlignment="1">
      <alignment horizontal="center" vertical="center"/>
    </xf>
    <xf numFmtId="178" fontId="23" fillId="2" borderId="6" xfId="0" applyNumberFormat="1" applyFont="1" applyFill="1" applyBorder="1" applyAlignment="1">
      <alignment horizontal="center" vertical="center"/>
    </xf>
    <xf numFmtId="0" fontId="29" fillId="0" borderId="0" xfId="0" applyFont="1" applyFill="1" applyAlignment="1">
      <alignment wrapText="1"/>
    </xf>
    <xf numFmtId="0" fontId="29" fillId="0" borderId="0" xfId="0" applyFont="1" applyFill="1" applyAlignment="1"/>
    <xf numFmtId="0" fontId="30" fillId="4" borderId="16" xfId="0" applyFont="1" applyFill="1" applyBorder="1" applyAlignment="1">
      <alignment horizontal="left" vertical="center"/>
    </xf>
    <xf numFmtId="0" fontId="30" fillId="4" borderId="2" xfId="0" applyFont="1" applyFill="1" applyBorder="1" applyAlignment="1">
      <alignment horizontal="left" vertical="center"/>
    </xf>
    <xf numFmtId="0" fontId="30" fillId="4" borderId="17" xfId="0" applyFont="1" applyFill="1" applyBorder="1" applyAlignment="1">
      <alignment horizontal="left" vertical="center" wrapText="1"/>
    </xf>
    <xf numFmtId="0" fontId="30" fillId="4" borderId="18" xfId="0" applyFont="1" applyFill="1" applyBorder="1" applyAlignment="1">
      <alignment horizontal="left" vertical="center" wrapText="1"/>
    </xf>
    <xf numFmtId="186" fontId="30" fillId="4" borderId="17" xfId="0" applyNumberFormat="1" applyFont="1" applyFill="1" applyBorder="1" applyAlignment="1">
      <alignment horizontal="center" vertical="center" wrapText="1"/>
    </xf>
    <xf numFmtId="187" fontId="30" fillId="4" borderId="17" xfId="0" applyNumberFormat="1" applyFont="1" applyFill="1" applyBorder="1" applyAlignment="1">
      <alignment horizontal="left" vertical="center" wrapText="1"/>
    </xf>
    <xf numFmtId="0" fontId="30" fillId="4" borderId="19" xfId="0" applyFont="1" applyFill="1" applyBorder="1" applyAlignment="1">
      <alignment horizontal="center" vertical="center" wrapText="1"/>
    </xf>
    <xf numFmtId="0" fontId="31" fillId="4" borderId="19"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30" fillId="4" borderId="5" xfId="0" applyFont="1" applyFill="1" applyBorder="1" applyAlignment="1">
      <alignment horizontal="left" vertical="center"/>
    </xf>
    <xf numFmtId="0" fontId="30" fillId="4" borderId="7" xfId="0" applyFont="1" applyFill="1" applyBorder="1" applyAlignment="1">
      <alignment horizontal="left" vertical="center"/>
    </xf>
    <xf numFmtId="0" fontId="30" fillId="4" borderId="6" xfId="0" applyFont="1" applyFill="1" applyBorder="1" applyAlignment="1">
      <alignment horizontal="center" vertical="center"/>
    </xf>
    <xf numFmtId="0" fontId="30" fillId="4" borderId="14" xfId="0" applyFont="1" applyFill="1" applyBorder="1" applyAlignment="1">
      <alignment horizontal="left" vertical="center" wrapText="1"/>
    </xf>
    <xf numFmtId="186" fontId="30" fillId="4" borderId="6" xfId="0" applyNumberFormat="1" applyFont="1" applyFill="1" applyBorder="1" applyAlignment="1">
      <alignment horizontal="center" vertical="center" wrapText="1"/>
    </xf>
    <xf numFmtId="187" fontId="30" fillId="4" borderId="6" xfId="0" applyNumberFormat="1" applyFont="1" applyFill="1" applyBorder="1" applyAlignment="1">
      <alignment horizontal="center" vertical="center" wrapText="1"/>
    </xf>
    <xf numFmtId="14" fontId="30" fillId="4" borderId="6" xfId="0" applyNumberFormat="1" applyFont="1" applyFill="1" applyBorder="1" applyAlignment="1">
      <alignment horizontal="center" vertical="center"/>
    </xf>
    <xf numFmtId="14" fontId="31" fillId="4" borderId="6" xfId="0" applyNumberFormat="1" applyFont="1" applyFill="1" applyBorder="1" applyAlignment="1">
      <alignment horizontal="center" vertical="center"/>
    </xf>
    <xf numFmtId="0" fontId="30" fillId="4" borderId="6" xfId="0" applyFont="1" applyFill="1" applyBorder="1" applyAlignment="1">
      <alignment horizontal="center" vertical="center" wrapText="1"/>
    </xf>
    <xf numFmtId="0" fontId="30" fillId="4" borderId="8" xfId="0" applyFont="1" applyFill="1" applyBorder="1" applyAlignment="1">
      <alignment horizontal="right" vertical="center" wrapText="1"/>
    </xf>
    <xf numFmtId="0" fontId="30" fillId="4" borderId="9" xfId="0" applyFont="1" applyFill="1" applyBorder="1" applyAlignment="1">
      <alignment horizontal="left" vertical="center"/>
    </xf>
    <xf numFmtId="0" fontId="30" fillId="4" borderId="21" xfId="0" applyFont="1" applyFill="1" applyBorder="1" applyAlignment="1">
      <alignment horizontal="left" vertical="center"/>
    </xf>
    <xf numFmtId="0" fontId="30" fillId="4" borderId="22" xfId="0" applyFont="1" applyFill="1" applyBorder="1" applyAlignment="1">
      <alignment horizontal="left" vertical="center"/>
    </xf>
    <xf numFmtId="0" fontId="30" fillId="4" borderId="23" xfId="0" applyFont="1" applyFill="1" applyBorder="1" applyAlignment="1">
      <alignment horizontal="left" vertical="center" wrapText="1"/>
    </xf>
    <xf numFmtId="186" fontId="30" fillId="4" borderId="22" xfId="0" applyNumberFormat="1" applyFont="1" applyFill="1" applyBorder="1" applyAlignment="1">
      <alignment horizontal="center" vertical="center" wrapText="1"/>
    </xf>
    <xf numFmtId="187" fontId="30" fillId="4" borderId="22" xfId="0" applyNumberFormat="1" applyFont="1" applyFill="1" applyBorder="1" applyAlignment="1">
      <alignment horizontal="center" vertical="center" wrapText="1"/>
    </xf>
    <xf numFmtId="14" fontId="30" fillId="4" borderId="22" xfId="0" applyNumberFormat="1" applyFont="1" applyFill="1" applyBorder="1" applyAlignment="1">
      <alignment horizontal="center" vertical="center"/>
    </xf>
    <xf numFmtId="14" fontId="31" fillId="4" borderId="22" xfId="0" applyNumberFormat="1" applyFont="1" applyFill="1" applyBorder="1" applyAlignment="1">
      <alignment horizontal="center" vertical="center"/>
    </xf>
    <xf numFmtId="0" fontId="30" fillId="4" borderId="22" xfId="0" applyFont="1" applyFill="1" applyBorder="1" applyAlignment="1">
      <alignment horizontal="center" vertical="center" wrapText="1"/>
    </xf>
    <xf numFmtId="0" fontId="30" fillId="4" borderId="24" xfId="0" applyFont="1" applyFill="1" applyBorder="1" applyAlignment="1">
      <alignment horizontal="right" vertical="center" wrapText="1"/>
    </xf>
    <xf numFmtId="0" fontId="32" fillId="0" borderId="25" xfId="0" applyFont="1" applyFill="1" applyBorder="1" applyAlignment="1">
      <alignment horizontal="left" vertical="center" wrapText="1"/>
    </xf>
    <xf numFmtId="0" fontId="33" fillId="5" borderId="16" xfId="0" applyFont="1" applyFill="1" applyBorder="1" applyAlignment="1">
      <alignment horizontal="left" vertical="center" wrapText="1"/>
    </xf>
    <xf numFmtId="0" fontId="32" fillId="5" borderId="17" xfId="0" applyFont="1" applyFill="1" applyBorder="1" applyAlignment="1">
      <alignment horizontal="center" vertical="center" wrapText="1"/>
    </xf>
    <xf numFmtId="0" fontId="29" fillId="6" borderId="17" xfId="0" applyFont="1" applyFill="1" applyBorder="1" applyAlignment="1">
      <alignment vertical="center"/>
    </xf>
    <xf numFmtId="0" fontId="29" fillId="0" borderId="17" xfId="0" applyFont="1" applyFill="1" applyBorder="1" applyAlignment="1">
      <alignment vertical="center"/>
    </xf>
    <xf numFmtId="186" fontId="29" fillId="0" borderId="17" xfId="0" applyNumberFormat="1" applyFont="1" applyFill="1" applyBorder="1" applyAlignment="1">
      <alignment vertical="center"/>
    </xf>
    <xf numFmtId="187" fontId="29" fillId="0" borderId="17" xfId="0" applyNumberFormat="1" applyFont="1" applyFill="1" applyBorder="1" applyAlignment="1">
      <alignment vertical="center"/>
    </xf>
    <xf numFmtId="186" fontId="29" fillId="0" borderId="6" xfId="0" applyNumberFormat="1" applyFont="1" applyFill="1" applyBorder="1" applyAlignment="1">
      <alignment vertical="center"/>
    </xf>
    <xf numFmtId="186" fontId="32" fillId="7" borderId="17" xfId="0" applyNumberFormat="1" applyFont="1" applyFill="1" applyBorder="1" applyAlignment="1">
      <alignment horizontal="right" vertical="center"/>
    </xf>
    <xf numFmtId="186" fontId="32" fillId="7" borderId="26" xfId="0" applyNumberFormat="1" applyFont="1" applyFill="1" applyBorder="1" applyAlignment="1">
      <alignment horizontal="right" vertical="center"/>
    </xf>
    <xf numFmtId="186" fontId="32" fillId="5" borderId="26" xfId="0" applyNumberFormat="1" applyFont="1" applyFill="1" applyBorder="1" applyAlignment="1">
      <alignment vertical="center"/>
    </xf>
    <xf numFmtId="186" fontId="32" fillId="8" borderId="20" xfId="0" applyNumberFormat="1" applyFont="1" applyFill="1" applyBorder="1" applyAlignment="1">
      <alignment horizontal="right" vertical="center"/>
    </xf>
    <xf numFmtId="0" fontId="32" fillId="0" borderId="27" xfId="0" applyFont="1" applyFill="1" applyBorder="1" applyAlignment="1">
      <alignment horizontal="left" vertical="center" wrapText="1"/>
    </xf>
    <xf numFmtId="0" fontId="34" fillId="5" borderId="5" xfId="0" applyFont="1" applyFill="1" applyBorder="1" applyAlignment="1">
      <alignment horizontal="left" vertical="center" wrapText="1"/>
    </xf>
    <xf numFmtId="0" fontId="32" fillId="5" borderId="6" xfId="0" applyFont="1" applyFill="1" applyBorder="1" applyAlignment="1">
      <alignment horizontal="center" vertical="center" wrapText="1"/>
    </xf>
    <xf numFmtId="0" fontId="29" fillId="6" borderId="6" xfId="0" applyFont="1" applyFill="1" applyBorder="1" applyAlignment="1">
      <alignment vertical="center"/>
    </xf>
    <xf numFmtId="0" fontId="29" fillId="0" borderId="6" xfId="0" applyFont="1" applyFill="1" applyBorder="1" applyAlignment="1">
      <alignment vertical="center"/>
    </xf>
    <xf numFmtId="187" fontId="29" fillId="0" borderId="6" xfId="0" applyNumberFormat="1" applyFont="1" applyFill="1" applyBorder="1" applyAlignment="1">
      <alignment vertical="center"/>
    </xf>
    <xf numFmtId="186" fontId="32" fillId="7" borderId="6" xfId="0" applyNumberFormat="1" applyFont="1" applyFill="1" applyBorder="1" applyAlignment="1">
      <alignment vertical="center"/>
    </xf>
    <xf numFmtId="186" fontId="32" fillId="7" borderId="26" xfId="0" applyNumberFormat="1" applyFont="1" applyFill="1" applyBorder="1" applyAlignment="1">
      <alignment vertical="center"/>
    </xf>
    <xf numFmtId="186" fontId="32" fillId="8" borderId="8" xfId="0" applyNumberFormat="1" applyFont="1" applyFill="1" applyBorder="1" applyAlignment="1">
      <alignment horizontal="right" vertical="center"/>
    </xf>
    <xf numFmtId="0" fontId="29" fillId="9" borderId="6" xfId="0" applyFont="1" applyFill="1" applyBorder="1" applyAlignment="1">
      <alignment vertical="center"/>
    </xf>
    <xf numFmtId="0" fontId="29" fillId="10" borderId="6" xfId="0" applyFont="1" applyFill="1" applyBorder="1" applyAlignment="1">
      <alignment vertical="center"/>
    </xf>
    <xf numFmtId="186" fontId="35" fillId="7" borderId="6" xfId="0" applyNumberFormat="1" applyFont="1" applyFill="1" applyBorder="1" applyAlignment="1">
      <alignment vertical="center"/>
    </xf>
    <xf numFmtId="186" fontId="35" fillId="7" borderId="26" xfId="0" applyNumberFormat="1" applyFont="1" applyFill="1" applyBorder="1" applyAlignment="1">
      <alignment vertical="center"/>
    </xf>
    <xf numFmtId="0" fontId="34" fillId="5" borderId="9" xfId="0" applyFont="1" applyFill="1" applyBorder="1" applyAlignment="1">
      <alignment horizontal="left" vertical="center" wrapText="1"/>
    </xf>
    <xf numFmtId="0" fontId="32" fillId="5" borderId="10" xfId="0" applyFont="1" applyFill="1" applyBorder="1" applyAlignment="1">
      <alignment horizontal="center" vertical="center" wrapText="1"/>
    </xf>
    <xf numFmtId="0" fontId="29" fillId="6" borderId="10" xfId="0" applyFont="1" applyFill="1" applyBorder="1" applyAlignment="1">
      <alignment vertical="center"/>
    </xf>
    <xf numFmtId="0" fontId="29" fillId="0" borderId="10" xfId="0" applyFont="1" applyFill="1" applyBorder="1" applyAlignment="1">
      <alignment vertical="center"/>
    </xf>
    <xf numFmtId="186" fontId="29" fillId="0" borderId="10" xfId="0" applyNumberFormat="1" applyFont="1" applyFill="1" applyBorder="1" applyAlignment="1">
      <alignment vertical="center"/>
    </xf>
    <xf numFmtId="187" fontId="29" fillId="0" borderId="10" xfId="0" applyNumberFormat="1" applyFont="1" applyFill="1" applyBorder="1" applyAlignment="1">
      <alignment vertical="center"/>
    </xf>
    <xf numFmtId="186" fontId="32" fillId="7" borderId="10" xfId="0" applyNumberFormat="1" applyFont="1" applyFill="1" applyBorder="1" applyAlignment="1">
      <alignment vertical="center"/>
    </xf>
    <xf numFmtId="186" fontId="32" fillId="7" borderId="28" xfId="0" applyNumberFormat="1" applyFont="1" applyFill="1" applyBorder="1" applyAlignment="1">
      <alignment vertical="center"/>
    </xf>
    <xf numFmtId="186" fontId="32" fillId="8" borderId="13" xfId="0" applyNumberFormat="1" applyFont="1" applyFill="1" applyBorder="1" applyAlignment="1">
      <alignment horizontal="right" vertical="center"/>
    </xf>
    <xf numFmtId="186" fontId="29" fillId="0" borderId="26" xfId="0" applyNumberFormat="1" applyFont="1" applyFill="1" applyBorder="1" applyAlignment="1">
      <alignment vertical="center"/>
    </xf>
    <xf numFmtId="186" fontId="32" fillId="7" borderId="17" xfId="0" applyNumberFormat="1" applyFont="1" applyFill="1" applyBorder="1" applyAlignment="1">
      <alignment vertical="center"/>
    </xf>
    <xf numFmtId="0" fontId="33" fillId="5" borderId="29" xfId="0" applyFont="1" applyFill="1" applyBorder="1" applyAlignment="1">
      <alignment vertical="center" wrapText="1"/>
    </xf>
    <xf numFmtId="0" fontId="32" fillId="5" borderId="28" xfId="0" applyFont="1" applyFill="1" applyBorder="1" applyAlignment="1">
      <alignment horizontal="center" vertical="center" wrapText="1"/>
    </xf>
    <xf numFmtId="0" fontId="29" fillId="6" borderId="26" xfId="0" applyFont="1" applyFill="1" applyBorder="1" applyAlignment="1">
      <alignment vertical="center"/>
    </xf>
    <xf numFmtId="0" fontId="29" fillId="0" borderId="26" xfId="0" applyFont="1" applyFill="1" applyBorder="1" applyAlignment="1">
      <alignment vertical="center"/>
    </xf>
    <xf numFmtId="187" fontId="29" fillId="0" borderId="26" xfId="0" applyNumberFormat="1" applyFont="1" applyFill="1" applyBorder="1" applyAlignment="1">
      <alignment vertical="center"/>
    </xf>
    <xf numFmtId="186" fontId="32" fillId="8" borderId="30" xfId="0" applyNumberFormat="1" applyFont="1" applyFill="1" applyBorder="1" applyAlignment="1">
      <alignment horizontal="right" vertical="center"/>
    </xf>
    <xf numFmtId="0" fontId="33" fillId="5" borderId="31" xfId="0" applyFont="1" applyFill="1" applyBorder="1" applyAlignment="1">
      <alignment vertical="center" wrapText="1"/>
    </xf>
    <xf numFmtId="0" fontId="32" fillId="5" borderId="32" xfId="0" applyFont="1" applyFill="1" applyBorder="1" applyAlignment="1">
      <alignment horizontal="center" vertical="center" wrapText="1"/>
    </xf>
    <xf numFmtId="0" fontId="33" fillId="5" borderId="29" xfId="0" applyFont="1" applyFill="1" applyBorder="1" applyAlignment="1">
      <alignment horizontal="center" vertical="center" wrapText="1"/>
    </xf>
    <xf numFmtId="186" fontId="29" fillId="0" borderId="28" xfId="0" applyNumberFormat="1" applyFont="1" applyFill="1" applyBorder="1" applyAlignment="1">
      <alignment vertical="center"/>
    </xf>
    <xf numFmtId="187" fontId="29" fillId="0" borderId="28" xfId="0" applyNumberFormat="1" applyFont="1" applyFill="1" applyBorder="1" applyAlignment="1">
      <alignment vertical="center"/>
    </xf>
    <xf numFmtId="0" fontId="33" fillId="5" borderId="31" xfId="0" applyFont="1" applyFill="1" applyBorder="1" applyAlignment="1">
      <alignment horizontal="center" vertical="center" wrapText="1"/>
    </xf>
    <xf numFmtId="0" fontId="33" fillId="5" borderId="5" xfId="0" applyFont="1" applyFill="1" applyBorder="1" applyAlignment="1">
      <alignment horizontal="left" vertical="center" wrapText="1"/>
    </xf>
    <xf numFmtId="0" fontId="30" fillId="11" borderId="33" xfId="0" applyFont="1" applyFill="1" applyBorder="1" applyAlignment="1">
      <alignment horizontal="left" vertical="center"/>
    </xf>
    <xf numFmtId="0" fontId="30" fillId="11" borderId="34" xfId="0" applyNumberFormat="1" applyFont="1" applyFill="1" applyBorder="1" applyAlignment="1">
      <alignment vertical="center"/>
    </xf>
    <xf numFmtId="0" fontId="30" fillId="11" borderId="26" xfId="0" applyNumberFormat="1" applyFont="1" applyFill="1" applyBorder="1" applyAlignment="1">
      <alignment horizontal="center" vertical="center"/>
    </xf>
    <xf numFmtId="0" fontId="30" fillId="11" borderId="26" xfId="0" applyNumberFormat="1" applyFont="1" applyFill="1" applyBorder="1" applyAlignment="1">
      <alignment vertical="center"/>
    </xf>
    <xf numFmtId="186" fontId="30" fillId="11" borderId="6" xfId="0" applyNumberFormat="1" applyFont="1" applyFill="1" applyBorder="1" applyAlignment="1">
      <alignment vertical="center"/>
    </xf>
    <xf numFmtId="187" fontId="30" fillId="11" borderId="26" xfId="0" applyNumberFormat="1" applyFont="1" applyFill="1" applyBorder="1" applyAlignment="1">
      <alignment vertical="center"/>
    </xf>
    <xf numFmtId="186" fontId="30" fillId="11" borderId="26" xfId="0" applyNumberFormat="1" applyFont="1" applyFill="1" applyBorder="1" applyAlignment="1">
      <alignment vertical="center"/>
    </xf>
    <xf numFmtId="186" fontId="30" fillId="11" borderId="30" xfId="0" applyNumberFormat="1" applyFont="1" applyFill="1" applyBorder="1" applyAlignment="1">
      <alignment horizontal="right" vertical="center"/>
    </xf>
    <xf numFmtId="0" fontId="30" fillId="11" borderId="35" xfId="0" applyFont="1" applyFill="1" applyBorder="1" applyAlignment="1">
      <alignment horizontal="left" vertical="center"/>
    </xf>
    <xf numFmtId="0" fontId="30" fillId="11" borderId="30" xfId="0" applyNumberFormat="1" applyFont="1" applyFill="1" applyBorder="1" applyAlignment="1">
      <alignment horizontal="right" vertical="center"/>
    </xf>
    <xf numFmtId="0" fontId="30" fillId="11" borderId="36" xfId="0" applyFont="1" applyFill="1" applyBorder="1" applyAlignment="1">
      <alignment horizontal="left" vertical="center"/>
    </xf>
    <xf numFmtId="0" fontId="30" fillId="11" borderId="5" xfId="0" applyNumberFormat="1" applyFont="1" applyFill="1" applyBorder="1" applyAlignment="1">
      <alignment vertical="center"/>
    </xf>
    <xf numFmtId="0" fontId="30" fillId="11" borderId="6" xfId="0" applyNumberFormat="1" applyFont="1" applyFill="1" applyBorder="1" applyAlignment="1">
      <alignment vertical="center"/>
    </xf>
    <xf numFmtId="187" fontId="30" fillId="11" borderId="6" xfId="0" applyNumberFormat="1" applyFont="1" applyFill="1" applyBorder="1" applyAlignment="1">
      <alignment vertical="center"/>
    </xf>
    <xf numFmtId="0" fontId="30" fillId="11" borderId="8" xfId="0" applyNumberFormat="1" applyFont="1" applyFill="1" applyBorder="1" applyAlignment="1">
      <alignment horizontal="right" vertical="center"/>
    </xf>
    <xf numFmtId="186" fontId="29" fillId="0" borderId="0" xfId="0" applyNumberFormat="1" applyFont="1" applyFill="1" applyAlignment="1"/>
    <xf numFmtId="0" fontId="36" fillId="0" borderId="0" xfId="0" applyFont="1" applyFill="1" applyAlignment="1">
      <alignment horizontal="center" vertical="center"/>
    </xf>
    <xf numFmtId="0" fontId="37" fillId="0" borderId="0" xfId="0" applyFont="1" applyFill="1" applyAlignment="1">
      <alignment horizontal="center" vertical="center"/>
    </xf>
    <xf numFmtId="0" fontId="38" fillId="0" borderId="0" xfId="0" applyFont="1" applyFill="1" applyAlignment="1">
      <alignment horizontal="center" vertical="center"/>
    </xf>
    <xf numFmtId="0" fontId="36" fillId="2" borderId="0" xfId="0" applyFont="1" applyFill="1" applyAlignment="1">
      <alignment horizontal="center" vertical="center"/>
    </xf>
    <xf numFmtId="0" fontId="39" fillId="0" borderId="0" xfId="0" applyFont="1" applyAlignment="1">
      <alignment horizontal="center" vertical="center"/>
    </xf>
    <xf numFmtId="0" fontId="36" fillId="0" borderId="0" xfId="0" applyFont="1" applyAlignment="1">
      <alignment horizontal="center" vertical="center"/>
    </xf>
    <xf numFmtId="0" fontId="40" fillId="12" borderId="6" xfId="0" applyFont="1" applyFill="1" applyBorder="1" applyAlignment="1">
      <alignment horizontal="center" vertical="center"/>
    </xf>
    <xf numFmtId="0" fontId="40" fillId="12" borderId="0" xfId="0" applyFont="1" applyFill="1" applyAlignment="1">
      <alignment horizontal="center" vertical="center"/>
    </xf>
    <xf numFmtId="0" fontId="36" fillId="0" borderId="6" xfId="51" applyFont="1" applyBorder="1" applyAlignment="1">
      <alignment horizontal="center" vertical="center"/>
    </xf>
    <xf numFmtId="178" fontId="41" fillId="0" borderId="6" xfId="51" applyNumberFormat="1" applyFont="1" applyBorder="1" applyAlignment="1">
      <alignment horizontal="center" vertical="center"/>
    </xf>
    <xf numFmtId="0" fontId="41" fillId="0" borderId="6" xfId="51" applyFont="1" applyBorder="1" applyAlignment="1">
      <alignment horizontal="center" vertical="center"/>
    </xf>
    <xf numFmtId="0" fontId="26" fillId="0" borderId="6" xfId="50" applyFont="1" applyBorder="1" applyAlignment="1">
      <alignment horizontal="center" vertical="center" wrapText="1"/>
    </xf>
    <xf numFmtId="0" fontId="26" fillId="0" borderId="6" xfId="0" applyFont="1" applyBorder="1" applyAlignment="1">
      <alignment horizontal="center" vertical="center"/>
    </xf>
    <xf numFmtId="0" fontId="36" fillId="0" borderId="6" xfId="51" applyFont="1" applyFill="1" applyBorder="1" applyAlignment="1">
      <alignment horizontal="center" vertical="center"/>
    </xf>
    <xf numFmtId="178" fontId="36" fillId="0" borderId="6" xfId="51" applyNumberFormat="1" applyFont="1" applyFill="1" applyBorder="1" applyAlignment="1">
      <alignment horizontal="center" vertical="center"/>
    </xf>
    <xf numFmtId="0" fontId="36" fillId="0" borderId="6" xfId="50" applyFont="1" applyFill="1" applyBorder="1" applyAlignment="1">
      <alignment horizontal="center" vertical="center" wrapText="1"/>
    </xf>
    <xf numFmtId="0" fontId="38" fillId="2" borderId="6" xfId="50" applyFont="1" applyFill="1" applyBorder="1" applyAlignment="1">
      <alignment horizontal="center" vertical="center" wrapText="1"/>
    </xf>
    <xf numFmtId="0" fontId="38" fillId="0" borderId="6" xfId="50" applyFont="1" applyFill="1" applyBorder="1" applyAlignment="1">
      <alignment horizontal="center" vertical="center" wrapText="1"/>
    </xf>
    <xf numFmtId="0" fontId="42" fillId="0" borderId="6" xfId="50" applyFont="1" applyFill="1" applyBorder="1" applyAlignment="1">
      <alignment horizontal="center" vertical="center" wrapText="1"/>
    </xf>
    <xf numFmtId="0" fontId="42" fillId="2" borderId="6" xfId="50" applyFont="1" applyFill="1" applyBorder="1" applyAlignment="1">
      <alignment horizontal="center" vertical="center" wrapText="1"/>
    </xf>
    <xf numFmtId="0" fontId="28" fillId="0" borderId="6" xfId="50" applyFont="1" applyFill="1" applyBorder="1" applyAlignment="1">
      <alignment horizontal="center" vertical="center" wrapText="1"/>
    </xf>
    <xf numFmtId="0" fontId="26" fillId="2" borderId="6" xfId="0" applyFont="1" applyFill="1" applyBorder="1" applyAlignment="1">
      <alignment horizontal="center" vertical="center" wrapText="1"/>
    </xf>
    <xf numFmtId="0" fontId="0" fillId="0" borderId="0" xfId="0" applyFill="1">
      <alignment vertical="center"/>
    </xf>
    <xf numFmtId="0" fontId="41" fillId="0" borderId="6" xfId="50" applyFont="1" applyFill="1" applyBorder="1" applyAlignment="1">
      <alignment horizontal="center" vertical="center" wrapText="1"/>
    </xf>
    <xf numFmtId="0" fontId="43" fillId="0" borderId="6" xfId="50" applyFont="1" applyFill="1" applyBorder="1" applyAlignment="1">
      <alignment horizontal="center" vertical="center" wrapText="1"/>
    </xf>
    <xf numFmtId="0" fontId="44" fillId="0" borderId="6" xfId="50" applyFont="1" applyFill="1" applyBorder="1" applyAlignment="1">
      <alignment horizontal="center" vertical="center" wrapText="1"/>
    </xf>
    <xf numFmtId="0" fontId="36" fillId="0" borderId="6" xfId="0" applyFont="1" applyFill="1" applyBorder="1" applyAlignment="1">
      <alignment horizontal="center" vertical="center"/>
    </xf>
    <xf numFmtId="14" fontId="45" fillId="0" borderId="6" xfId="0" applyNumberFormat="1" applyFont="1" applyFill="1" applyBorder="1" applyAlignment="1">
      <alignment horizontal="center" vertical="center"/>
    </xf>
    <xf numFmtId="0" fontId="46" fillId="0" borderId="6" xfId="0" applyFont="1" applyFill="1" applyBorder="1" applyAlignment="1">
      <alignment horizontal="center" vertical="center"/>
    </xf>
    <xf numFmtId="0" fontId="38" fillId="0" borderId="6"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36" fillId="0" borderId="0" xfId="0" applyFont="1" applyFill="1" applyAlignment="1">
      <alignment horizontal="justify" vertical="center"/>
    </xf>
    <xf numFmtId="0" fontId="45" fillId="0" borderId="6" xfId="0" applyFont="1" applyFill="1" applyBorder="1" applyAlignment="1">
      <alignment horizontal="center" vertical="center"/>
    </xf>
    <xf numFmtId="14" fontId="45" fillId="0" borderId="6" xfId="0" applyNumberFormat="1" applyFont="1" applyFill="1" applyBorder="1" applyAlignment="1">
      <alignment horizontal="center" vertical="center" wrapText="1"/>
    </xf>
    <xf numFmtId="0" fontId="46" fillId="0" borderId="6" xfId="0" applyFont="1" applyFill="1" applyBorder="1" applyAlignment="1">
      <alignment horizontal="center" vertical="center" wrapText="1"/>
    </xf>
    <xf numFmtId="0" fontId="36" fillId="0" borderId="6" xfId="51" applyFont="1" applyFill="1" applyBorder="1" applyAlignment="1">
      <alignment horizontal="center" vertical="center" wrapText="1"/>
    </xf>
    <xf numFmtId="0" fontId="42" fillId="0" borderId="0" xfId="0" applyFont="1" applyFill="1" applyAlignment="1">
      <alignment horizontal="center" vertical="center"/>
    </xf>
    <xf numFmtId="14" fontId="47" fillId="0" borderId="6" xfId="0" applyNumberFormat="1" applyFont="1" applyFill="1" applyBorder="1" applyAlignment="1">
      <alignment horizontal="center" vertical="center"/>
    </xf>
    <xf numFmtId="0" fontId="47" fillId="0" borderId="6" xfId="0" applyNumberFormat="1" applyFont="1" applyFill="1" applyBorder="1" applyAlignment="1">
      <alignment horizontal="center" vertical="center"/>
    </xf>
    <xf numFmtId="0" fontId="37" fillId="0" borderId="6" xfId="51" applyFont="1" applyFill="1" applyBorder="1" applyAlignment="1">
      <alignment horizontal="center" vertical="center"/>
    </xf>
    <xf numFmtId="0" fontId="37" fillId="0" borderId="6" xfId="50" applyFont="1" applyFill="1" applyBorder="1" applyAlignment="1">
      <alignment horizontal="center" vertical="center" wrapText="1"/>
    </xf>
    <xf numFmtId="0" fontId="37" fillId="0" borderId="6" xfId="0" applyFont="1" applyFill="1" applyBorder="1" applyAlignment="1">
      <alignment horizontal="center" vertical="center"/>
    </xf>
    <xf numFmtId="0" fontId="37" fillId="0" borderId="6" xfId="0" applyFont="1" applyFill="1" applyBorder="1" applyAlignment="1">
      <alignment horizontal="center" vertical="center" wrapText="1"/>
    </xf>
    <xf numFmtId="0" fontId="36" fillId="0" borderId="0" xfId="0" applyFont="1" applyAlignment="1">
      <alignment horizontal="center" vertical="center" wrapText="1"/>
    </xf>
    <xf numFmtId="188" fontId="47" fillId="0" borderId="6" xfId="0" applyNumberFormat="1" applyFont="1" applyFill="1" applyBorder="1" applyAlignment="1">
      <alignment horizontal="center" vertical="center" wrapText="1"/>
    </xf>
    <xf numFmtId="188" fontId="45" fillId="0" borderId="6" xfId="0" applyNumberFormat="1" applyFont="1" applyFill="1" applyBorder="1" applyAlignment="1">
      <alignment horizontal="center" vertical="center" wrapText="1"/>
    </xf>
    <xf numFmtId="14" fontId="48" fillId="0" borderId="6" xfId="0" applyNumberFormat="1" applyFont="1" applyFill="1" applyBorder="1" applyAlignment="1">
      <alignment horizontal="center" vertical="center"/>
    </xf>
    <xf numFmtId="0" fontId="48" fillId="0" borderId="6" xfId="0" applyFont="1" applyFill="1" applyBorder="1" applyAlignment="1">
      <alignment horizontal="center" vertical="center"/>
    </xf>
    <xf numFmtId="0" fontId="37" fillId="0" borderId="6" xfId="51" applyFont="1" applyFill="1" applyBorder="1" applyAlignment="1">
      <alignment horizontal="center" vertical="center" wrapText="1"/>
    </xf>
    <xf numFmtId="0" fontId="36" fillId="0" borderId="0" xfId="0" applyFont="1" applyFill="1" applyAlignment="1">
      <alignment horizontal="center" vertical="center" wrapText="1"/>
    </xf>
    <xf numFmtId="0" fontId="46" fillId="0" borderId="6" xfId="0" applyNumberFormat="1" applyFont="1" applyFill="1" applyBorder="1" applyAlignment="1">
      <alignment horizontal="center" vertical="center"/>
    </xf>
    <xf numFmtId="0" fontId="45" fillId="0" borderId="6" xfId="0" applyNumberFormat="1" applyFont="1" applyFill="1" applyBorder="1" applyAlignment="1">
      <alignment horizontal="center" vertical="center"/>
    </xf>
    <xf numFmtId="0" fontId="0" fillId="0" borderId="0" xfId="0" applyFont="1" applyFill="1">
      <alignment vertical="center"/>
    </xf>
    <xf numFmtId="0" fontId="37" fillId="0" borderId="0" xfId="0" applyFont="1" applyFill="1" applyAlignment="1">
      <alignment horizontal="center" vertical="center" wrapText="1"/>
    </xf>
    <xf numFmtId="0" fontId="49" fillId="0" borderId="0" xfId="0" applyFont="1" applyFill="1">
      <alignment vertical="center"/>
    </xf>
    <xf numFmtId="0" fontId="38" fillId="0" borderId="0" xfId="0" applyFont="1" applyFill="1" applyAlignment="1">
      <alignment horizontal="center" vertical="center" wrapText="1"/>
    </xf>
    <xf numFmtId="0" fontId="12" fillId="0" borderId="0" xfId="0" applyFont="1" applyFill="1">
      <alignment vertical="center"/>
    </xf>
    <xf numFmtId="14" fontId="45" fillId="2" borderId="6" xfId="0" applyNumberFormat="1" applyFont="1" applyFill="1" applyBorder="1" applyAlignment="1">
      <alignment horizontal="center" vertical="center"/>
    </xf>
    <xf numFmtId="0" fontId="47" fillId="2" borderId="1" xfId="0" applyFont="1" applyFill="1" applyBorder="1" applyAlignment="1">
      <alignment horizontal="center" vertical="center"/>
    </xf>
    <xf numFmtId="0" fontId="36" fillId="2" borderId="6" xfId="51" applyFont="1" applyFill="1" applyBorder="1" applyAlignment="1">
      <alignment horizontal="center" vertical="center"/>
    </xf>
    <xf numFmtId="0" fontId="36" fillId="2" borderId="6" xfId="50" applyFont="1" applyFill="1" applyBorder="1" applyAlignment="1">
      <alignment horizontal="center" vertical="center" wrapText="1"/>
    </xf>
    <xf numFmtId="188" fontId="47" fillId="2" borderId="1" xfId="0" applyNumberFormat="1" applyFont="1" applyFill="1" applyBorder="1" applyAlignment="1">
      <alignment horizontal="center" vertical="center" wrapText="1"/>
    </xf>
    <xf numFmtId="188" fontId="45" fillId="2" borderId="6" xfId="0" applyNumberFormat="1" applyFont="1" applyFill="1" applyBorder="1" applyAlignment="1">
      <alignment horizontal="center" vertical="center" wrapText="1"/>
    </xf>
    <xf numFmtId="0" fontId="36" fillId="2" borderId="6" xfId="0" applyFont="1" applyFill="1" applyBorder="1" applyAlignment="1">
      <alignment horizontal="center" vertical="center"/>
    </xf>
    <xf numFmtId="0" fontId="36" fillId="2" borderId="6" xfId="0" applyFont="1" applyFill="1" applyBorder="1" applyAlignment="1">
      <alignment horizontal="center" vertical="center" wrapText="1"/>
    </xf>
    <xf numFmtId="0" fontId="36" fillId="2" borderId="0" xfId="0" applyFont="1" applyFill="1" applyAlignment="1">
      <alignment horizontal="center" vertical="center" wrapText="1"/>
    </xf>
    <xf numFmtId="0" fontId="36" fillId="12" borderId="6" xfId="51" applyFont="1" applyFill="1" applyBorder="1" applyAlignment="1">
      <alignment horizontal="center" vertical="center" wrapText="1"/>
    </xf>
    <xf numFmtId="178" fontId="36" fillId="12" borderId="6" xfId="51" applyNumberFormat="1" applyFont="1" applyFill="1" applyBorder="1" applyAlignment="1">
      <alignment horizontal="center" vertical="center" wrapText="1"/>
    </xf>
    <xf numFmtId="0" fontId="36" fillId="12" borderId="6" xfId="50" applyFont="1" applyFill="1" applyBorder="1" applyAlignment="1">
      <alignment horizontal="center" vertical="center" wrapText="1" shrinkToFit="1"/>
    </xf>
    <xf numFmtId="0" fontId="36" fillId="12" borderId="6" xfId="51" applyFont="1" applyFill="1" applyBorder="1" applyAlignment="1">
      <alignment horizontal="center" vertical="center"/>
    </xf>
    <xf numFmtId="0" fontId="41" fillId="12" borderId="6" xfId="51" applyFont="1" applyFill="1" applyBorder="1" applyAlignment="1">
      <alignment horizontal="center" vertical="center"/>
    </xf>
    <xf numFmtId="189" fontId="36" fillId="12" borderId="6" xfId="51" applyNumberFormat="1" applyFont="1" applyFill="1" applyBorder="1" applyAlignment="1">
      <alignment horizontal="center" vertical="center"/>
    </xf>
    <xf numFmtId="189" fontId="36" fillId="12" borderId="6" xfId="51" applyNumberFormat="1" applyFont="1" applyFill="1" applyBorder="1" applyAlignment="1">
      <alignment horizontal="center" vertical="center" wrapText="1"/>
    </xf>
    <xf numFmtId="0" fontId="36" fillId="0" borderId="6" xfId="0" applyFont="1" applyBorder="1" applyAlignment="1">
      <alignment horizontal="center" vertical="center"/>
    </xf>
    <xf numFmtId="0" fontId="39" fillId="2" borderId="6" xfId="0" applyFont="1" applyFill="1" applyBorder="1" applyAlignment="1">
      <alignment horizontal="center" vertical="center"/>
    </xf>
    <xf numFmtId="0" fontId="39" fillId="2" borderId="6" xfId="0" applyNumberFormat="1" applyFont="1" applyFill="1" applyBorder="1" applyAlignment="1">
      <alignment horizontal="center" vertical="center"/>
    </xf>
    <xf numFmtId="0" fontId="16" fillId="0" borderId="0" xfId="0" applyFont="1">
      <alignment vertical="center"/>
    </xf>
    <xf numFmtId="0" fontId="26" fillId="0" borderId="0" xfId="0" applyFont="1" applyAlignment="1">
      <alignment horizontal="center" vertical="center"/>
    </xf>
    <xf numFmtId="0" fontId="50" fillId="0" borderId="0" xfId="0" applyFont="1" applyAlignment="1">
      <alignment horizontal="center" vertical="center"/>
    </xf>
    <xf numFmtId="0" fontId="28" fillId="0" borderId="0" xfId="0" applyFont="1" applyFill="1" applyBorder="1" applyAlignment="1" applyProtection="1">
      <alignment vertical="center" wrapText="1"/>
      <protection locked="0"/>
    </xf>
    <xf numFmtId="0" fontId="28" fillId="0" borderId="0" xfId="0" applyFont="1" applyFill="1" applyBorder="1" applyAlignment="1" applyProtection="1">
      <alignment horizontal="center" vertical="center" wrapText="1"/>
      <protection locked="0"/>
    </xf>
    <xf numFmtId="0" fontId="51" fillId="0" borderId="0" xfId="0" applyFont="1" applyFill="1" applyBorder="1" applyProtection="1">
      <alignment vertical="center"/>
      <protection locked="0"/>
    </xf>
    <xf numFmtId="0" fontId="51" fillId="0" borderId="0" xfId="0" applyFont="1" applyFill="1" applyBorder="1" applyAlignment="1" applyProtection="1">
      <alignment horizontal="center" vertical="center"/>
      <protection locked="0"/>
    </xf>
    <xf numFmtId="0" fontId="51" fillId="0" borderId="1" xfId="0" applyFont="1" applyFill="1" applyBorder="1" applyProtection="1">
      <alignment vertical="center"/>
      <protection locked="0"/>
    </xf>
    <xf numFmtId="0" fontId="52" fillId="0" borderId="0" xfId="0" applyFont="1" applyFill="1" applyBorder="1" applyProtection="1">
      <alignment vertical="center"/>
      <protection locked="0"/>
    </xf>
    <xf numFmtId="0" fontId="52" fillId="0" borderId="1" xfId="0" applyFont="1" applyFill="1" applyBorder="1" applyProtection="1">
      <alignment vertical="center"/>
      <protection locked="0"/>
    </xf>
    <xf numFmtId="0" fontId="25" fillId="0" borderId="0" xfId="0" applyFont="1" applyFill="1" applyBorder="1" applyProtection="1">
      <alignment vertical="center"/>
      <protection locked="0"/>
    </xf>
    <xf numFmtId="0" fontId="52" fillId="0" borderId="1" xfId="0" applyFont="1" applyFill="1" applyBorder="1" applyAlignment="1" applyProtection="1">
      <alignment horizontal="center" vertical="center"/>
      <protection locked="0"/>
    </xf>
    <xf numFmtId="0" fontId="28" fillId="0" borderId="0" xfId="0" applyFont="1" applyFill="1" applyBorder="1" applyAlignment="1" applyProtection="1">
      <alignment horizontal="center" vertical="center"/>
    </xf>
    <xf numFmtId="0" fontId="28" fillId="0" borderId="0" xfId="0" applyFont="1" applyFill="1" applyBorder="1" applyAlignment="1" applyProtection="1">
      <alignment horizontal="center" vertical="center"/>
      <protection locked="0"/>
    </xf>
    <xf numFmtId="176" fontId="28" fillId="0" borderId="0" xfId="0" applyNumberFormat="1" applyFont="1" applyFill="1" applyBorder="1" applyAlignment="1" applyProtection="1">
      <alignment horizontal="center" vertical="center" wrapText="1"/>
      <protection locked="0"/>
    </xf>
    <xf numFmtId="0" fontId="22" fillId="0" borderId="0" xfId="0" applyFont="1" applyFill="1" applyBorder="1" applyAlignment="1" applyProtection="1">
      <alignment horizontal="center" vertical="center" wrapText="1"/>
      <protection locked="0"/>
    </xf>
    <xf numFmtId="176" fontId="25" fillId="0" borderId="0" xfId="0" applyNumberFormat="1" applyFont="1" applyFill="1" applyBorder="1" applyAlignment="1" applyProtection="1">
      <alignment horizontal="center" vertical="center" wrapText="1"/>
      <protection locked="0"/>
    </xf>
    <xf numFmtId="0" fontId="28" fillId="0" borderId="0" xfId="0" applyNumberFormat="1" applyFont="1" applyFill="1" applyBorder="1" applyAlignment="1" applyProtection="1">
      <alignment horizontal="center" vertical="center" wrapText="1"/>
      <protection locked="0"/>
    </xf>
    <xf numFmtId="177" fontId="28" fillId="0" borderId="0" xfId="0" applyNumberFormat="1" applyFont="1" applyFill="1" applyBorder="1" applyAlignment="1" applyProtection="1">
      <alignment horizontal="center" vertical="center"/>
      <protection locked="0"/>
    </xf>
    <xf numFmtId="0" fontId="28" fillId="0" borderId="0" xfId="0" applyNumberFormat="1" applyFont="1" applyFill="1" applyBorder="1" applyAlignment="1" applyProtection="1">
      <alignment horizontal="center" vertical="center"/>
      <protection locked="0"/>
    </xf>
    <xf numFmtId="0" fontId="53" fillId="6" borderId="0" xfId="0" applyFont="1" applyFill="1" applyBorder="1" applyAlignment="1" applyProtection="1">
      <alignment horizontal="center" vertical="center" wrapText="1"/>
      <protection locked="0"/>
    </xf>
    <xf numFmtId="0" fontId="53" fillId="0" borderId="0" xfId="0" applyFont="1" applyFill="1" applyBorder="1" applyAlignment="1" applyProtection="1">
      <alignment horizontal="center" vertical="center" wrapText="1"/>
      <protection locked="0"/>
    </xf>
    <xf numFmtId="0" fontId="54" fillId="0" borderId="0" xfId="0" applyFont="1" applyFill="1" applyBorder="1" applyAlignment="1" applyProtection="1">
      <alignment horizontal="center" vertical="center"/>
      <protection locked="0"/>
    </xf>
    <xf numFmtId="178" fontId="53" fillId="6" borderId="0" xfId="0" applyNumberFormat="1" applyFont="1" applyFill="1" applyBorder="1" applyAlignment="1" applyProtection="1">
      <alignment horizontal="center" vertical="center"/>
      <protection locked="0"/>
    </xf>
    <xf numFmtId="178" fontId="53" fillId="0" borderId="0" xfId="0" applyNumberFormat="1" applyFont="1" applyFill="1" applyBorder="1" applyAlignment="1" applyProtection="1">
      <alignment horizontal="center" vertical="center"/>
      <protection locked="0"/>
    </xf>
    <xf numFmtId="178" fontId="28" fillId="0" borderId="0" xfId="0" applyNumberFormat="1" applyFont="1" applyFill="1" applyBorder="1" applyAlignment="1" applyProtection="1">
      <alignment horizontal="center" vertical="center"/>
      <protection locked="0"/>
    </xf>
    <xf numFmtId="178" fontId="54" fillId="0" borderId="0" xfId="0" applyNumberFormat="1" applyFont="1" applyFill="1" applyBorder="1" applyAlignment="1" applyProtection="1">
      <alignment horizontal="center" vertical="center"/>
      <protection locked="0"/>
    </xf>
    <xf numFmtId="178" fontId="55" fillId="6" borderId="0" xfId="0" applyNumberFormat="1" applyFont="1" applyFill="1" applyBorder="1" applyAlignment="1" applyProtection="1">
      <alignment horizontal="center" vertical="center"/>
      <protection locked="0"/>
    </xf>
    <xf numFmtId="178" fontId="55" fillId="0" borderId="0" xfId="0" applyNumberFormat="1" applyFont="1" applyFill="1" applyBorder="1" applyAlignment="1" applyProtection="1">
      <alignment horizontal="center" vertical="center"/>
      <protection locked="0"/>
    </xf>
    <xf numFmtId="178" fontId="54" fillId="0" borderId="1" xfId="0" applyNumberFormat="1" applyFont="1" applyFill="1" applyBorder="1" applyAlignment="1" applyProtection="1">
      <alignment horizontal="center" vertical="center" wrapText="1"/>
      <protection locked="0"/>
    </xf>
    <xf numFmtId="178" fontId="54" fillId="0" borderId="1" xfId="0" applyNumberFormat="1" applyFont="1" applyFill="1" applyBorder="1" applyAlignment="1" applyProtection="1">
      <alignment horizontal="center" vertical="center"/>
      <protection locked="0"/>
    </xf>
    <xf numFmtId="178" fontId="54" fillId="0" borderId="37" xfId="0" applyNumberFormat="1"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54" fillId="0" borderId="0" xfId="0" applyFont="1" applyFill="1" applyBorder="1" applyAlignment="1" applyProtection="1">
      <alignment vertical="center" wrapText="1"/>
    </xf>
    <xf numFmtId="0" fontId="54" fillId="0" borderId="0" xfId="0" applyFont="1" applyFill="1" applyBorder="1" applyAlignment="1" applyProtection="1">
      <alignment vertical="center" wrapText="1"/>
      <protection locked="0"/>
    </xf>
    <xf numFmtId="176" fontId="54" fillId="0" borderId="0" xfId="0" applyNumberFormat="1" applyFont="1" applyFill="1" applyBorder="1" applyAlignment="1" applyProtection="1">
      <alignment vertical="center" wrapText="1"/>
      <protection locked="0"/>
    </xf>
    <xf numFmtId="0" fontId="56" fillId="0" borderId="0" xfId="0" applyFont="1" applyFill="1" applyBorder="1" applyAlignment="1" applyProtection="1">
      <alignment vertical="center" wrapText="1"/>
      <protection locked="0"/>
    </xf>
    <xf numFmtId="176" fontId="25" fillId="0" borderId="0" xfId="0" applyNumberFormat="1" applyFont="1" applyFill="1" applyBorder="1" applyAlignment="1" applyProtection="1">
      <alignment vertical="center" wrapText="1"/>
      <protection locked="0"/>
    </xf>
    <xf numFmtId="0" fontId="57" fillId="0" borderId="0" xfId="0" applyNumberFormat="1" applyFont="1" applyFill="1" applyBorder="1" applyAlignment="1" applyProtection="1">
      <alignment vertical="center" wrapText="1"/>
      <protection locked="0"/>
    </xf>
    <xf numFmtId="0" fontId="25" fillId="0" borderId="0" xfId="0" applyFont="1" applyFill="1" applyBorder="1" applyAlignment="1" applyProtection="1">
      <alignment vertical="center" wrapText="1"/>
      <protection locked="0"/>
    </xf>
    <xf numFmtId="0" fontId="54" fillId="0" borderId="0" xfId="0" applyNumberFormat="1" applyFont="1" applyFill="1" applyBorder="1" applyAlignment="1" applyProtection="1">
      <alignment vertical="center" wrapText="1"/>
      <protection locked="0"/>
    </xf>
    <xf numFmtId="0" fontId="58" fillId="6" borderId="0" xfId="0" applyFont="1" applyFill="1" applyBorder="1" applyAlignment="1" applyProtection="1">
      <alignment vertical="center" wrapText="1"/>
      <protection locked="0"/>
    </xf>
    <xf numFmtId="0" fontId="58" fillId="0" borderId="0" xfId="0" applyFont="1" applyFill="1" applyBorder="1" applyAlignment="1" applyProtection="1">
      <alignment vertical="center" wrapText="1"/>
      <protection locked="0"/>
    </xf>
    <xf numFmtId="178" fontId="58" fillId="6" borderId="0" xfId="0" applyNumberFormat="1" applyFont="1" applyFill="1" applyBorder="1" applyAlignment="1" applyProtection="1">
      <alignment vertical="center" wrapText="1"/>
      <protection locked="0"/>
    </xf>
    <xf numFmtId="178" fontId="58" fillId="0" borderId="0" xfId="0" applyNumberFormat="1" applyFont="1" applyFill="1" applyBorder="1" applyAlignment="1" applyProtection="1">
      <alignment vertical="center" wrapText="1"/>
      <protection locked="0"/>
    </xf>
    <xf numFmtId="178" fontId="54" fillId="0" borderId="0" xfId="0" applyNumberFormat="1" applyFont="1" applyFill="1" applyBorder="1" applyAlignment="1" applyProtection="1">
      <alignment horizontal="center" vertical="center" wrapText="1"/>
      <protection locked="0"/>
    </xf>
    <xf numFmtId="178" fontId="54" fillId="0" borderId="0" xfId="0" applyNumberFormat="1" applyFont="1" applyFill="1" applyBorder="1" applyAlignment="1" applyProtection="1">
      <alignment vertical="center" wrapText="1"/>
      <protection locked="0"/>
    </xf>
    <xf numFmtId="178" fontId="55" fillId="6" borderId="0" xfId="0" applyNumberFormat="1" applyFont="1" applyFill="1" applyBorder="1" applyAlignment="1" applyProtection="1">
      <alignment vertical="center" wrapText="1"/>
      <protection locked="0"/>
    </xf>
    <xf numFmtId="178" fontId="55" fillId="0" borderId="0" xfId="0" applyNumberFormat="1" applyFont="1" applyFill="1" applyBorder="1" applyAlignment="1" applyProtection="1">
      <alignment vertical="center" wrapText="1"/>
      <protection locked="0"/>
    </xf>
    <xf numFmtId="178" fontId="54" fillId="0" borderId="37" xfId="0" applyNumberFormat="1" applyFont="1" applyFill="1" applyBorder="1" applyAlignment="1" applyProtection="1">
      <alignment horizontal="center" vertical="center" wrapText="1"/>
      <protection locked="0"/>
    </xf>
    <xf numFmtId="0" fontId="54" fillId="0" borderId="0" xfId="0" applyFont="1" applyFill="1" applyBorder="1" applyAlignment="1" applyProtection="1">
      <alignment horizontal="center" vertical="center" wrapText="1"/>
      <protection locked="0"/>
    </xf>
    <xf numFmtId="178" fontId="28" fillId="0" borderId="0" xfId="0" applyNumberFormat="1" applyFont="1" applyFill="1" applyBorder="1" applyAlignment="1" applyProtection="1">
      <alignment horizontal="center" vertical="center" wrapText="1"/>
      <protection locked="0"/>
    </xf>
    <xf numFmtId="179" fontId="57" fillId="0" borderId="0" xfId="0" applyNumberFormat="1" applyFont="1" applyFill="1" applyBorder="1" applyAlignment="1" applyProtection="1">
      <alignment vertical="center" wrapText="1"/>
    </xf>
    <xf numFmtId="179" fontId="57" fillId="0" borderId="0" xfId="0" applyNumberFormat="1" applyFont="1" applyFill="1" applyBorder="1" applyAlignment="1" applyProtection="1">
      <alignment vertical="center" wrapText="1"/>
      <protection locked="0"/>
    </xf>
    <xf numFmtId="0" fontId="57" fillId="0" borderId="0" xfId="0" applyFont="1" applyFill="1" applyBorder="1" applyAlignment="1" applyProtection="1">
      <alignment vertical="center" wrapText="1"/>
      <protection locked="0"/>
    </xf>
    <xf numFmtId="179" fontId="54" fillId="0" borderId="0" xfId="0" applyNumberFormat="1" applyFont="1" applyFill="1" applyBorder="1" applyAlignment="1" applyProtection="1">
      <alignment vertical="center" wrapText="1"/>
    </xf>
    <xf numFmtId="177" fontId="54" fillId="0" borderId="0" xfId="0" applyNumberFormat="1" applyFont="1" applyFill="1" applyBorder="1" applyAlignment="1" applyProtection="1">
      <alignment vertical="center" wrapText="1"/>
    </xf>
    <xf numFmtId="0" fontId="54" fillId="0" borderId="0" xfId="0" applyNumberFormat="1" applyFont="1" applyFill="1" applyBorder="1" applyAlignment="1" applyProtection="1">
      <alignment vertical="center" wrapText="1"/>
    </xf>
    <xf numFmtId="0" fontId="57" fillId="0" borderId="0" xfId="0" applyFont="1" applyFill="1" applyBorder="1" applyAlignment="1" applyProtection="1">
      <alignment vertical="center" wrapText="1"/>
    </xf>
    <xf numFmtId="178" fontId="59" fillId="0" borderId="0" xfId="0" applyNumberFormat="1" applyFont="1" applyFill="1" applyBorder="1" applyAlignment="1" applyProtection="1">
      <alignment vertical="center" wrapText="1"/>
    </xf>
    <xf numFmtId="178" fontId="59" fillId="0" borderId="0" xfId="0" applyNumberFormat="1" applyFont="1" applyFill="1" applyBorder="1" applyAlignment="1" applyProtection="1">
      <alignment horizontal="center" vertical="center" wrapText="1"/>
    </xf>
    <xf numFmtId="178" fontId="60" fillId="0" borderId="0" xfId="0" applyNumberFormat="1" applyFont="1" applyFill="1" applyBorder="1" applyAlignment="1" applyProtection="1">
      <alignment vertical="center" wrapText="1"/>
    </xf>
    <xf numFmtId="178" fontId="54" fillId="0" borderId="0" xfId="0" applyNumberFormat="1" applyFont="1" applyFill="1" applyBorder="1" applyAlignment="1" applyProtection="1">
      <alignment horizontal="center" vertical="center" wrapText="1"/>
    </xf>
    <xf numFmtId="178" fontId="54" fillId="0" borderId="0" xfId="0" applyNumberFormat="1" applyFont="1" applyFill="1" applyBorder="1" applyAlignment="1" applyProtection="1">
      <alignment vertical="center" wrapText="1"/>
    </xf>
    <xf numFmtId="178" fontId="54" fillId="0" borderId="1" xfId="0" applyNumberFormat="1" applyFont="1" applyFill="1" applyBorder="1" applyAlignment="1" applyProtection="1">
      <alignment horizontal="center" vertical="center" wrapText="1"/>
    </xf>
    <xf numFmtId="178" fontId="54" fillId="0" borderId="37" xfId="0" applyNumberFormat="1" applyFont="1" applyFill="1" applyBorder="1" applyAlignment="1" applyProtection="1">
      <alignment horizontal="center" vertical="center" wrapText="1"/>
    </xf>
    <xf numFmtId="0" fontId="56" fillId="0" borderId="0" xfId="0" applyFont="1" applyFill="1" applyBorder="1" applyAlignment="1" applyProtection="1">
      <alignment horizontal="center" vertical="center" wrapText="1"/>
    </xf>
    <xf numFmtId="178" fontId="28" fillId="0" borderId="0" xfId="0" applyNumberFormat="1" applyFont="1" applyFill="1" applyBorder="1" applyAlignment="1" applyProtection="1">
      <alignment horizontal="center" vertical="center" wrapText="1"/>
    </xf>
    <xf numFmtId="190" fontId="54" fillId="0" borderId="6" xfId="0" applyNumberFormat="1" applyFont="1" applyFill="1" applyBorder="1" applyAlignment="1" applyProtection="1">
      <alignment horizontal="center" vertical="center" wrapText="1" shrinkToFit="1"/>
    </xf>
    <xf numFmtId="0" fontId="54" fillId="0" borderId="6" xfId="0" applyFont="1" applyFill="1" applyBorder="1" applyAlignment="1" applyProtection="1">
      <alignment horizontal="center" vertical="center" wrapText="1" shrinkToFit="1"/>
      <protection locked="0"/>
    </xf>
    <xf numFmtId="176" fontId="54" fillId="0" borderId="6" xfId="0" applyNumberFormat="1" applyFont="1" applyFill="1" applyBorder="1" applyAlignment="1" applyProtection="1">
      <alignment horizontal="center" vertical="center" wrapText="1" shrinkToFit="1"/>
      <protection locked="0"/>
    </xf>
    <xf numFmtId="0" fontId="61" fillId="0" borderId="6" xfId="0" applyFont="1" applyFill="1" applyBorder="1" applyAlignment="1" applyProtection="1">
      <alignment horizontal="center" vertical="center" wrapText="1"/>
      <protection locked="0"/>
    </xf>
    <xf numFmtId="0" fontId="54" fillId="0" borderId="6" xfId="0" applyFont="1" applyFill="1" applyBorder="1" applyAlignment="1" applyProtection="1">
      <alignment horizontal="center" vertical="center" wrapText="1"/>
      <protection locked="0"/>
    </xf>
    <xf numFmtId="0" fontId="62" fillId="0" borderId="6" xfId="0" applyFont="1" applyFill="1" applyBorder="1" applyAlignment="1" applyProtection="1">
      <alignment horizontal="center" vertical="center" wrapText="1"/>
      <protection locked="0"/>
    </xf>
    <xf numFmtId="0" fontId="57" fillId="0" borderId="6" xfId="0" applyNumberFormat="1" applyFont="1" applyFill="1" applyBorder="1" applyAlignment="1" applyProtection="1">
      <alignment horizontal="center" vertical="center" wrapText="1" shrinkToFit="1"/>
      <protection locked="0"/>
    </xf>
    <xf numFmtId="0" fontId="54" fillId="0" borderId="6" xfId="0" applyFont="1" applyFill="1" applyBorder="1" applyAlignment="1" applyProtection="1">
      <alignment horizontal="center" vertical="center" wrapText="1" shrinkToFit="1"/>
    </xf>
    <xf numFmtId="177" fontId="54" fillId="0" borderId="6" xfId="0" applyNumberFormat="1" applyFont="1" applyFill="1" applyBorder="1" applyAlignment="1" applyProtection="1">
      <alignment horizontal="center" vertical="center" wrapText="1" shrinkToFit="1"/>
    </xf>
    <xf numFmtId="0" fontId="54" fillId="0" borderId="6" xfId="0" applyNumberFormat="1" applyFont="1" applyFill="1" applyBorder="1" applyAlignment="1" applyProtection="1">
      <alignment horizontal="center" vertical="center" wrapText="1" shrinkToFit="1"/>
    </xf>
    <xf numFmtId="0" fontId="54" fillId="13" borderId="6" xfId="0" applyFont="1" applyFill="1" applyBorder="1" applyAlignment="1" applyProtection="1">
      <alignment horizontal="center" vertical="center" wrapText="1" shrinkToFit="1"/>
    </xf>
    <xf numFmtId="0" fontId="57" fillId="0" borderId="6" xfId="0" applyFont="1" applyFill="1" applyBorder="1" applyAlignment="1" applyProtection="1">
      <alignment horizontal="center" vertical="center" wrapText="1" shrinkToFit="1"/>
    </xf>
    <xf numFmtId="0" fontId="57" fillId="14" borderId="6" xfId="0" applyFont="1" applyFill="1" applyBorder="1" applyAlignment="1" applyProtection="1">
      <alignment horizontal="center" vertical="center" wrapText="1" shrinkToFit="1"/>
    </xf>
    <xf numFmtId="178" fontId="57" fillId="0" borderId="6" xfId="0" applyNumberFormat="1" applyFont="1" applyFill="1" applyBorder="1" applyAlignment="1" applyProtection="1">
      <alignment horizontal="center" vertical="center" wrapText="1" shrinkToFit="1"/>
    </xf>
    <xf numFmtId="178" fontId="57" fillId="13" borderId="6" xfId="0" applyNumberFormat="1" applyFont="1" applyFill="1" applyBorder="1" applyAlignment="1" applyProtection="1">
      <alignment horizontal="center" vertical="center" wrapText="1" shrinkToFit="1"/>
    </xf>
    <xf numFmtId="178" fontId="57" fillId="14" borderId="6" xfId="0" applyNumberFormat="1" applyFont="1" applyFill="1" applyBorder="1" applyAlignment="1" applyProtection="1">
      <alignment horizontal="center" vertical="center" wrapText="1" shrinkToFit="1"/>
    </xf>
    <xf numFmtId="0" fontId="28" fillId="0" borderId="6" xfId="0" applyFont="1" applyFill="1" applyBorder="1" applyAlignment="1" applyProtection="1">
      <alignment horizontal="center" vertical="center" wrapText="1"/>
    </xf>
    <xf numFmtId="178" fontId="57" fillId="0" borderId="7" xfId="0" applyNumberFormat="1" applyFont="1" applyFill="1" applyBorder="1" applyAlignment="1" applyProtection="1">
      <alignment horizontal="center" vertical="center" wrapText="1" shrinkToFit="1"/>
    </xf>
    <xf numFmtId="178" fontId="57" fillId="14" borderId="1" xfId="0" applyNumberFormat="1" applyFont="1" applyFill="1" applyBorder="1" applyAlignment="1" applyProtection="1">
      <alignment horizontal="center" vertical="center" wrapText="1" shrinkToFit="1"/>
    </xf>
    <xf numFmtId="178" fontId="57" fillId="0" borderId="1" xfId="0" applyNumberFormat="1" applyFont="1" applyFill="1" applyBorder="1" applyAlignment="1" applyProtection="1">
      <alignment horizontal="center" vertical="center" wrapText="1" shrinkToFit="1"/>
    </xf>
    <xf numFmtId="178" fontId="57" fillId="0" borderId="37" xfId="0" applyNumberFormat="1" applyFont="1" applyFill="1" applyBorder="1" applyAlignment="1" applyProtection="1">
      <alignment horizontal="center" vertical="center" wrapText="1" shrinkToFit="1"/>
    </xf>
    <xf numFmtId="0" fontId="57" fillId="0" borderId="1" xfId="0" applyNumberFormat="1" applyFont="1" applyFill="1" applyBorder="1" applyAlignment="1" applyProtection="1">
      <alignment horizontal="center" vertical="center" wrapText="1"/>
    </xf>
    <xf numFmtId="178" fontId="25" fillId="0" borderId="1" xfId="0" applyNumberFormat="1" applyFont="1" applyFill="1" applyBorder="1" applyAlignment="1" applyProtection="1">
      <alignment horizontal="center" vertical="center" wrapText="1"/>
    </xf>
    <xf numFmtId="178" fontId="28" fillId="0" borderId="1" xfId="0" applyNumberFormat="1" applyFont="1" applyFill="1" applyBorder="1" applyAlignment="1" applyProtection="1">
      <alignment horizontal="center" vertical="center" wrapText="1" shrinkToFit="1"/>
    </xf>
    <xf numFmtId="179" fontId="63" fillId="0" borderId="6" xfId="0" applyNumberFormat="1" applyFont="1" applyFill="1" applyBorder="1" applyAlignment="1" applyProtection="1">
      <alignment horizontal="center" vertical="center"/>
    </xf>
    <xf numFmtId="0" fontId="51" fillId="0" borderId="6" xfId="0" applyFont="1" applyFill="1" applyBorder="1" applyAlignment="1" applyProtection="1">
      <alignment horizontal="center" vertical="center" wrapText="1"/>
      <protection locked="0"/>
    </xf>
    <xf numFmtId="0" fontId="51" fillId="0" borderId="6" xfId="0" applyFont="1" applyFill="1" applyBorder="1" applyAlignment="1" applyProtection="1">
      <alignment horizontal="center" vertical="center" wrapText="1" shrinkToFit="1"/>
      <protection locked="0"/>
    </xf>
    <xf numFmtId="0" fontId="63" fillId="0" borderId="6" xfId="0" applyNumberFormat="1" applyFont="1" applyFill="1" applyBorder="1" applyAlignment="1" applyProtection="1">
      <alignment horizontal="center" vertical="center" shrinkToFit="1"/>
      <protection locked="0"/>
    </xf>
    <xf numFmtId="0" fontId="63" fillId="0" borderId="6" xfId="0" applyFont="1" applyFill="1" applyBorder="1" applyAlignment="1" applyProtection="1">
      <alignment horizontal="center" vertical="center" wrapText="1"/>
      <protection locked="0"/>
    </xf>
    <xf numFmtId="0" fontId="63" fillId="0" borderId="6" xfId="0" applyFont="1" applyFill="1" applyBorder="1" applyAlignment="1" applyProtection="1">
      <alignment horizontal="center" vertical="center" wrapText="1" shrinkToFit="1"/>
      <protection locked="0"/>
    </xf>
    <xf numFmtId="0" fontId="63" fillId="0" borderId="6" xfId="0" applyFont="1" applyFill="1" applyBorder="1" applyAlignment="1" applyProtection="1">
      <alignment horizontal="center" vertical="center"/>
      <protection locked="0"/>
    </xf>
    <xf numFmtId="0" fontId="63" fillId="0" borderId="6" xfId="0" applyFont="1" applyFill="1" applyBorder="1" applyAlignment="1" applyProtection="1">
      <alignment horizontal="center" vertical="center"/>
    </xf>
    <xf numFmtId="180" fontId="51" fillId="0" borderId="6" xfId="0" applyNumberFormat="1" applyFont="1" applyFill="1" applyBorder="1" applyAlignment="1" applyProtection="1">
      <alignment horizontal="center" vertical="center" wrapText="1" shrinkToFit="1"/>
      <protection locked="0"/>
    </xf>
    <xf numFmtId="176" fontId="51" fillId="0" borderId="6" xfId="0" applyNumberFormat="1" applyFont="1" applyFill="1" applyBorder="1" applyAlignment="1" applyProtection="1">
      <alignment horizontal="center" vertical="center" wrapText="1"/>
      <protection locked="0"/>
    </xf>
    <xf numFmtId="0" fontId="13" fillId="0" borderId="6" xfId="0" applyFont="1" applyFill="1" applyBorder="1" applyAlignment="1" applyProtection="1">
      <alignment horizontal="center" vertical="center"/>
      <protection locked="0"/>
    </xf>
    <xf numFmtId="0" fontId="51" fillId="0" borderId="6" xfId="0" applyNumberFormat="1" applyFont="1" applyFill="1" applyBorder="1" applyAlignment="1" applyProtection="1">
      <alignment horizontal="center" vertical="center" wrapText="1"/>
      <protection locked="0"/>
    </xf>
    <xf numFmtId="176" fontId="63" fillId="0" borderId="6" xfId="0" applyNumberFormat="1" applyFont="1" applyFill="1" applyBorder="1" applyAlignment="1" applyProtection="1">
      <alignment horizontal="center" vertical="center" wrapText="1"/>
    </xf>
    <xf numFmtId="181" fontId="63" fillId="0" borderId="6" xfId="0" applyNumberFormat="1" applyFont="1" applyFill="1" applyBorder="1" applyAlignment="1" applyProtection="1">
      <alignment horizontal="center" vertical="center"/>
    </xf>
    <xf numFmtId="177" fontId="63" fillId="0" borderId="6" xfId="0" applyNumberFormat="1" applyFont="1" applyFill="1" applyBorder="1" applyAlignment="1" applyProtection="1">
      <alignment horizontal="center" vertical="center"/>
    </xf>
    <xf numFmtId="0" fontId="51" fillId="0" borderId="6" xfId="0" applyFont="1" applyFill="1" applyBorder="1" applyAlignment="1" applyProtection="1">
      <alignment horizontal="center" vertical="center"/>
    </xf>
    <xf numFmtId="0" fontId="63" fillId="0" borderId="6" xfId="0" applyNumberFormat="1" applyFont="1" applyFill="1" applyBorder="1" applyAlignment="1" applyProtection="1">
      <alignment horizontal="center" vertical="center" wrapText="1" shrinkToFit="1"/>
    </xf>
    <xf numFmtId="0" fontId="64" fillId="0" borderId="6" xfId="0" applyFont="1" applyFill="1" applyBorder="1" applyAlignment="1" applyProtection="1">
      <alignment horizontal="center" vertical="center" wrapText="1" shrinkToFit="1"/>
    </xf>
    <xf numFmtId="0" fontId="63" fillId="0" borderId="6" xfId="0" applyFont="1" applyFill="1" applyBorder="1" applyAlignment="1" applyProtection="1">
      <alignment horizontal="center" vertical="center" wrapText="1" shrinkToFit="1"/>
    </xf>
    <xf numFmtId="0" fontId="65" fillId="0" borderId="6" xfId="0" applyFont="1" applyFill="1" applyBorder="1" applyAlignment="1" applyProtection="1">
      <alignment horizontal="center" vertical="center"/>
    </xf>
    <xf numFmtId="0" fontId="65" fillId="0" borderId="6" xfId="0" applyFont="1" applyFill="1" applyBorder="1" applyAlignment="1" applyProtection="1">
      <alignment horizontal="center" vertical="center" wrapText="1" shrinkToFit="1"/>
    </xf>
    <xf numFmtId="0" fontId="51" fillId="0" borderId="6" xfId="0" applyFont="1" applyFill="1" applyBorder="1" applyAlignment="1" applyProtection="1">
      <alignment horizontal="center" vertical="center" wrapText="1" shrinkToFit="1"/>
    </xf>
    <xf numFmtId="0" fontId="64" fillId="0" borderId="6" xfId="0" applyNumberFormat="1" applyFont="1" applyFill="1" applyBorder="1" applyAlignment="1" applyProtection="1">
      <alignment horizontal="center" vertical="center"/>
    </xf>
    <xf numFmtId="0" fontId="51" fillId="0" borderId="6" xfId="0" applyFont="1" applyFill="1" applyBorder="1" applyProtection="1">
      <alignment vertical="center"/>
    </xf>
    <xf numFmtId="0" fontId="51" fillId="0" borderId="7" xfId="0" applyFont="1" applyFill="1" applyBorder="1" applyProtection="1">
      <alignment vertical="center"/>
    </xf>
    <xf numFmtId="0" fontId="63" fillId="0" borderId="1" xfId="0" applyFont="1" applyFill="1" applyBorder="1" applyAlignment="1" applyProtection="1">
      <alignment horizontal="center" vertical="center" wrapText="1"/>
    </xf>
    <xf numFmtId="178" fontId="51" fillId="0" borderId="1" xfId="0" applyNumberFormat="1" applyFont="1" applyFill="1" applyBorder="1" applyAlignment="1" applyProtection="1">
      <alignment horizontal="center" vertical="center" wrapText="1" shrinkToFit="1"/>
    </xf>
    <xf numFmtId="0" fontId="63" fillId="0" borderId="37" xfId="0" applyFont="1" applyFill="1" applyBorder="1" applyAlignment="1" applyProtection="1">
      <alignment horizontal="center" vertical="center" wrapText="1"/>
    </xf>
    <xf numFmtId="178" fontId="63" fillId="0" borderId="1" xfId="0" applyNumberFormat="1" applyFont="1" applyFill="1" applyBorder="1" applyAlignment="1" applyProtection="1">
      <alignment horizontal="center" vertical="center" wrapText="1"/>
    </xf>
    <xf numFmtId="178" fontId="64" fillId="0" borderId="1" xfId="0" applyNumberFormat="1" applyFont="1" applyFill="1" applyBorder="1" applyAlignment="1" applyProtection="1">
      <alignment horizontal="center" vertical="center" wrapText="1" shrinkToFit="1"/>
    </xf>
    <xf numFmtId="178" fontId="51" fillId="0" borderId="1" xfId="0" applyNumberFormat="1" applyFont="1" applyFill="1" applyBorder="1" applyAlignment="1" applyProtection="1">
      <alignment horizontal="center" vertical="center" wrapText="1"/>
    </xf>
    <xf numFmtId="178" fontId="63" fillId="0" borderId="1" xfId="0" applyNumberFormat="1" applyFont="1" applyFill="1" applyBorder="1" applyAlignment="1" applyProtection="1">
      <alignment horizontal="center" vertical="center" wrapText="1" shrinkToFit="1"/>
    </xf>
    <xf numFmtId="0" fontId="65" fillId="0" borderId="0" xfId="0" applyFont="1" applyFill="1" applyBorder="1" applyAlignment="1" applyProtection="1">
      <alignment horizontal="center" vertical="center"/>
      <protection locked="0"/>
    </xf>
    <xf numFmtId="180" fontId="51" fillId="0" borderId="6" xfId="0" applyNumberFormat="1" applyFont="1" applyFill="1" applyBorder="1" applyAlignment="1" applyProtection="1">
      <alignment horizontal="center" vertical="center" wrapText="1" shrinkToFit="1"/>
    </xf>
    <xf numFmtId="0" fontId="28" fillId="0" borderId="6" xfId="0" applyFont="1" applyFill="1" applyBorder="1" applyAlignment="1" applyProtection="1">
      <alignment horizontal="center" vertical="center" wrapText="1" shrinkToFit="1"/>
    </xf>
    <xf numFmtId="0" fontId="25" fillId="0" borderId="6" xfId="0" applyFont="1" applyFill="1" applyBorder="1" applyAlignment="1" applyProtection="1">
      <alignment horizontal="center" vertical="center"/>
    </xf>
    <xf numFmtId="0" fontId="25" fillId="0" borderId="6" xfId="0" applyFont="1" applyFill="1" applyBorder="1" applyAlignment="1" applyProtection="1">
      <alignment horizontal="center" vertical="center" wrapText="1" shrinkToFit="1"/>
    </xf>
    <xf numFmtId="0" fontId="28" fillId="0" borderId="6" xfId="0" applyNumberFormat="1" applyFont="1" applyFill="1" applyBorder="1" applyAlignment="1" applyProtection="1">
      <alignment horizontal="center" vertical="center"/>
    </xf>
    <xf numFmtId="178" fontId="22" fillId="0" borderId="1" xfId="0" applyNumberFormat="1" applyFont="1" applyFill="1" applyBorder="1" applyAlignment="1" applyProtection="1">
      <alignment horizontal="center" vertical="center" wrapText="1" shrinkToFit="1"/>
    </xf>
    <xf numFmtId="49" fontId="51" fillId="0" borderId="6" xfId="0" applyNumberFormat="1" applyFont="1" applyFill="1" applyBorder="1" applyAlignment="1" applyProtection="1">
      <alignment horizontal="center" vertical="center" wrapText="1"/>
      <protection locked="0"/>
    </xf>
    <xf numFmtId="176" fontId="13" fillId="0" borderId="6" xfId="0" applyNumberFormat="1" applyFont="1" applyFill="1" applyBorder="1" applyAlignment="1" applyProtection="1">
      <alignment horizontal="center" vertical="center" wrapText="1"/>
      <protection locked="0"/>
    </xf>
    <xf numFmtId="0" fontId="63" fillId="0" borderId="6" xfId="0" applyFont="1" applyFill="1" applyBorder="1" applyAlignment="1" applyProtection="1">
      <alignment horizontal="center" vertical="center" wrapText="1"/>
    </xf>
    <xf numFmtId="0" fontId="63" fillId="0" borderId="6" xfId="0" applyNumberFormat="1" applyFont="1" applyFill="1" applyBorder="1" applyAlignment="1" applyProtection="1">
      <alignment horizontal="center" vertical="center"/>
    </xf>
    <xf numFmtId="176" fontId="28" fillId="0" borderId="6" xfId="0" applyNumberFormat="1" applyFont="1" applyFill="1" applyBorder="1" applyAlignment="1" applyProtection="1">
      <alignment horizontal="center" vertical="center" wrapText="1"/>
    </xf>
    <xf numFmtId="178" fontId="63" fillId="0" borderId="6" xfId="0" applyNumberFormat="1" applyFont="1" applyFill="1" applyBorder="1" applyAlignment="1" applyProtection="1">
      <alignment horizontal="center" vertical="center"/>
    </xf>
    <xf numFmtId="178" fontId="28" fillId="0" borderId="6" xfId="0" applyNumberFormat="1" applyFont="1" applyFill="1" applyBorder="1" applyAlignment="1" applyProtection="1">
      <alignment horizontal="center" vertical="center"/>
    </xf>
    <xf numFmtId="178" fontId="63" fillId="0" borderId="7" xfId="0" applyNumberFormat="1" applyFont="1" applyFill="1" applyBorder="1" applyAlignment="1" applyProtection="1">
      <alignment horizontal="center" vertical="center"/>
    </xf>
    <xf numFmtId="178" fontId="28" fillId="0" borderId="1" xfId="0" applyNumberFormat="1" applyFont="1" applyFill="1" applyBorder="1" applyAlignment="1" applyProtection="1">
      <alignment horizontal="center" vertical="center" wrapText="1"/>
    </xf>
    <xf numFmtId="176" fontId="66" fillId="0" borderId="6" xfId="0" applyNumberFormat="1" applyFont="1" applyFill="1" applyBorder="1" applyAlignment="1" applyProtection="1">
      <alignment horizontal="center" vertical="center" wrapText="1"/>
    </xf>
    <xf numFmtId="178" fontId="66" fillId="0" borderId="6" xfId="0" applyNumberFormat="1" applyFont="1" applyFill="1" applyBorder="1" applyAlignment="1" applyProtection="1">
      <alignment horizontal="center" vertical="center"/>
    </xf>
    <xf numFmtId="0" fontId="67" fillId="0" borderId="0" xfId="0" applyFont="1" applyFill="1" applyBorder="1" applyAlignment="1" applyProtection="1">
      <alignment horizontal="center" vertical="center"/>
      <protection locked="0"/>
    </xf>
    <xf numFmtId="176" fontId="64" fillId="0" borderId="6" xfId="0" applyNumberFormat="1" applyFont="1" applyFill="1" applyBorder="1" applyAlignment="1" applyProtection="1">
      <alignment horizontal="center" vertical="center" wrapText="1"/>
    </xf>
    <xf numFmtId="176" fontId="63" fillId="0" borderId="6" xfId="0" applyNumberFormat="1" applyFont="1" applyFill="1" applyBorder="1" applyAlignment="1" applyProtection="1">
      <alignment horizontal="center" vertical="center"/>
    </xf>
    <xf numFmtId="178" fontId="64" fillId="0" borderId="6" xfId="0" applyNumberFormat="1" applyFont="1" applyFill="1" applyBorder="1" applyAlignment="1" applyProtection="1">
      <alignment horizontal="center" vertical="center"/>
    </xf>
    <xf numFmtId="178" fontId="64" fillId="0" borderId="1" xfId="0" applyNumberFormat="1" applyFont="1" applyFill="1" applyBorder="1" applyAlignment="1" applyProtection="1">
      <alignment horizontal="center" vertical="center" wrapText="1"/>
    </xf>
    <xf numFmtId="182" fontId="63" fillId="0" borderId="37" xfId="0" applyNumberFormat="1" applyFont="1" applyFill="1" applyBorder="1" applyAlignment="1" applyProtection="1">
      <alignment horizontal="center" vertical="center" wrapText="1"/>
    </xf>
    <xf numFmtId="182" fontId="63" fillId="0" borderId="1" xfId="0" applyNumberFormat="1" applyFont="1" applyFill="1" applyBorder="1" applyAlignment="1" applyProtection="1">
      <alignment horizontal="center" vertical="center" wrapText="1"/>
    </xf>
    <xf numFmtId="0" fontId="63" fillId="0" borderId="6" xfId="0" applyNumberFormat="1" applyFont="1" applyFill="1" applyBorder="1" applyAlignment="1" applyProtection="1">
      <alignment horizontal="center" vertical="center" wrapText="1"/>
      <protection locked="0"/>
    </xf>
    <xf numFmtId="178" fontId="66" fillId="0" borderId="1" xfId="0" applyNumberFormat="1" applyFont="1" applyFill="1" applyBorder="1" applyAlignment="1" applyProtection="1">
      <alignment horizontal="center" vertical="center" wrapText="1"/>
    </xf>
    <xf numFmtId="176" fontId="22" fillId="0" borderId="6" xfId="0" applyNumberFormat="1" applyFont="1" applyFill="1" applyBorder="1" applyAlignment="1" applyProtection="1">
      <alignment horizontal="center" vertical="center" wrapText="1"/>
      <protection locked="0"/>
    </xf>
    <xf numFmtId="178" fontId="63" fillId="0" borderId="6" xfId="0" applyNumberFormat="1" applyFont="1" applyFill="1" applyBorder="1" applyAlignment="1" applyProtection="1">
      <alignment horizontal="center" vertical="center" wrapText="1"/>
    </xf>
    <xf numFmtId="0" fontId="63" fillId="0" borderId="6" xfId="0" applyNumberFormat="1" applyFont="1" applyFill="1" applyBorder="1" applyAlignment="1" applyProtection="1">
      <alignment horizontal="center" vertical="center" wrapText="1" shrinkToFit="1"/>
      <protection locked="0"/>
    </xf>
    <xf numFmtId="58" fontId="13" fillId="0" borderId="6" xfId="0" applyNumberFormat="1" applyFont="1" applyFill="1" applyBorder="1" applyAlignment="1" applyProtection="1">
      <alignment horizontal="center" vertical="center"/>
      <protection locked="0"/>
    </xf>
    <xf numFmtId="178" fontId="51" fillId="0" borderId="6" xfId="0" applyNumberFormat="1" applyFont="1" applyFill="1" applyBorder="1" applyAlignment="1" applyProtection="1">
      <alignment horizontal="center" vertical="center" wrapText="1"/>
      <protection locked="0"/>
    </xf>
    <xf numFmtId="176" fontId="51" fillId="0" borderId="6"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6" xfId="0" applyNumberFormat="1"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65" fillId="0" borderId="1" xfId="0" applyFont="1" applyFill="1" applyBorder="1" applyAlignment="1" applyProtection="1">
      <alignment horizontal="center" vertical="center"/>
    </xf>
    <xf numFmtId="182" fontId="64" fillId="0" borderId="1" xfId="0" applyNumberFormat="1" applyFont="1" applyFill="1" applyBorder="1" applyAlignment="1" applyProtection="1">
      <alignment horizontal="center" vertical="center" wrapText="1"/>
    </xf>
    <xf numFmtId="182" fontId="63" fillId="0" borderId="1" xfId="0" applyNumberFormat="1" applyFont="1" applyFill="1" applyBorder="1" applyAlignment="1" applyProtection="1">
      <alignment horizontal="center" vertical="center" wrapText="1" shrinkToFit="1"/>
    </xf>
    <xf numFmtId="0" fontId="51" fillId="0" borderId="6" xfId="0" applyFont="1" applyFill="1" applyBorder="1" applyAlignment="1" applyProtection="1">
      <alignment horizontal="center" vertical="center"/>
      <protection locked="0"/>
    </xf>
    <xf numFmtId="0" fontId="51" fillId="0" borderId="6" xfId="0" applyFont="1" applyFill="1" applyBorder="1" applyProtection="1">
      <alignment vertical="center"/>
      <protection locked="0"/>
    </xf>
    <xf numFmtId="0" fontId="25" fillId="0" borderId="1" xfId="0" applyFont="1" applyFill="1" applyBorder="1" applyAlignment="1" applyProtection="1">
      <alignment horizontal="center" vertical="center"/>
    </xf>
    <xf numFmtId="179" fontId="63" fillId="0" borderId="0"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horizontal="center" vertical="center" wrapText="1"/>
      <protection locked="0"/>
    </xf>
    <xf numFmtId="0" fontId="51" fillId="0" borderId="0" xfId="0" applyFont="1" applyFill="1" applyBorder="1" applyAlignment="1" applyProtection="1">
      <alignment horizontal="center" vertical="center" wrapText="1" shrinkToFit="1"/>
      <protection locked="0"/>
    </xf>
    <xf numFmtId="0" fontId="63" fillId="0" borderId="0" xfId="0" applyNumberFormat="1" applyFont="1" applyFill="1" applyBorder="1" applyAlignment="1" applyProtection="1">
      <alignment horizontal="center" vertical="center" shrinkToFit="1"/>
      <protection locked="0"/>
    </xf>
    <xf numFmtId="49" fontId="51" fillId="0" borderId="0" xfId="0" applyNumberFormat="1" applyFont="1" applyFill="1" applyBorder="1" applyAlignment="1" applyProtection="1">
      <alignment horizontal="center" vertical="center" wrapText="1"/>
      <protection locked="0"/>
    </xf>
    <xf numFmtId="0" fontId="63" fillId="0" borderId="0" xfId="0" applyFont="1" applyFill="1" applyBorder="1" applyAlignment="1" applyProtection="1">
      <alignment horizontal="center" vertical="center" wrapText="1" shrinkToFit="1"/>
      <protection locked="0"/>
    </xf>
    <xf numFmtId="0" fontId="51" fillId="0" borderId="0" xfId="0" applyFont="1" applyFill="1" applyBorder="1" applyAlignment="1" applyProtection="1">
      <alignment horizontal="center" vertical="center" wrapText="1"/>
      <protection locked="0"/>
    </xf>
    <xf numFmtId="0" fontId="63" fillId="0" borderId="0" xfId="0" applyFont="1" applyFill="1" applyBorder="1" applyAlignment="1" applyProtection="1">
      <alignment horizontal="center" vertical="center"/>
      <protection locked="0"/>
    </xf>
    <xf numFmtId="180" fontId="51" fillId="0" borderId="0" xfId="0" applyNumberFormat="1" applyFont="1" applyFill="1" applyBorder="1" applyAlignment="1" applyProtection="1">
      <alignment horizontal="center" vertical="center" wrapText="1" shrinkToFit="1"/>
      <protection locked="0"/>
    </xf>
    <xf numFmtId="176" fontId="51" fillId="0" borderId="0" xfId="0" applyNumberFormat="1" applyFont="1" applyFill="1" applyBorder="1" applyAlignment="1" applyProtection="1">
      <alignment horizontal="center" vertical="center" wrapText="1"/>
      <protection locked="0"/>
    </xf>
    <xf numFmtId="0" fontId="51" fillId="0" borderId="6" xfId="0" applyNumberFormat="1" applyFont="1" applyFill="1" applyBorder="1" applyAlignment="1" applyProtection="1">
      <alignment horizontal="center" vertical="center" wrapText="1"/>
    </xf>
    <xf numFmtId="178" fontId="63" fillId="0" borderId="37" xfId="0" applyNumberFormat="1" applyFont="1" applyFill="1" applyBorder="1" applyAlignment="1" applyProtection="1">
      <alignment horizontal="center" vertical="center" wrapText="1"/>
    </xf>
    <xf numFmtId="176" fontId="68" fillId="0" borderId="6" xfId="0" applyNumberFormat="1" applyFont="1" applyFill="1" applyBorder="1" applyAlignment="1" applyProtection="1">
      <alignment horizontal="center" vertical="center" wrapText="1"/>
      <protection locked="0"/>
    </xf>
    <xf numFmtId="0" fontId="69" fillId="0" borderId="6" xfId="0" applyFont="1" applyFill="1" applyBorder="1" applyAlignment="1" applyProtection="1">
      <alignment horizontal="center" vertical="center" wrapText="1" shrinkToFit="1"/>
      <protection locked="0"/>
    </xf>
    <xf numFmtId="178" fontId="64" fillId="0" borderId="6" xfId="0" applyNumberFormat="1" applyFont="1" applyFill="1" applyBorder="1" applyAlignment="1" applyProtection="1">
      <alignment horizontal="center" vertical="center" wrapText="1"/>
    </xf>
    <xf numFmtId="182" fontId="63" fillId="0" borderId="6" xfId="0" applyNumberFormat="1" applyFont="1" applyFill="1" applyBorder="1" applyAlignment="1" applyProtection="1">
      <alignment horizontal="center" vertical="center" wrapText="1"/>
    </xf>
    <xf numFmtId="0" fontId="51" fillId="0" borderId="6" xfId="0" applyFont="1" applyFill="1" applyBorder="1" applyAlignment="1" applyProtection="1">
      <alignment horizontal="center" vertical="center" wrapText="1"/>
    </xf>
    <xf numFmtId="178" fontId="63" fillId="0" borderId="7" xfId="0" applyNumberFormat="1" applyFont="1" applyFill="1" applyBorder="1" applyAlignment="1" applyProtection="1">
      <alignment horizontal="center" vertical="center" wrapText="1" shrinkToFit="1"/>
    </xf>
    <xf numFmtId="0" fontId="51" fillId="0" borderId="6" xfId="0" applyFont="1" applyFill="1" applyBorder="1" applyAlignment="1" applyProtection="1">
      <alignment vertical="center" wrapText="1"/>
    </xf>
    <xf numFmtId="179" fontId="63" fillId="0" borderId="0" xfId="0" applyNumberFormat="1"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178" fontId="63" fillId="0" borderId="6" xfId="0" applyNumberFormat="1" applyFont="1" applyFill="1" applyBorder="1" applyAlignment="1" applyProtection="1">
      <alignment horizontal="center" vertical="center" wrapText="1" shrinkToFit="1"/>
    </xf>
    <xf numFmtId="176" fontId="13" fillId="0" borderId="6" xfId="0" applyNumberFormat="1" applyFont="1" applyFill="1" applyBorder="1" applyAlignment="1" applyProtection="1">
      <alignment horizontal="center" vertical="center" wrapText="1"/>
    </xf>
    <xf numFmtId="0" fontId="70" fillId="0" borderId="26" xfId="0" applyFont="1" applyFill="1" applyBorder="1" applyAlignment="1" applyProtection="1">
      <alignment horizontal="center" vertical="center"/>
    </xf>
    <xf numFmtId="191" fontId="64" fillId="0" borderId="6" xfId="0" applyNumberFormat="1" applyFont="1" applyFill="1" applyBorder="1" applyAlignment="1" applyProtection="1">
      <alignment horizontal="center" vertical="center" wrapText="1"/>
      <protection locked="0"/>
    </xf>
    <xf numFmtId="191" fontId="71" fillId="0" borderId="6" xfId="0" applyNumberFormat="1" applyFont="1" applyFill="1" applyBorder="1" applyAlignment="1" applyProtection="1">
      <alignment horizontal="center" vertical="center" wrapText="1"/>
      <protection locked="0"/>
    </xf>
    <xf numFmtId="178" fontId="28" fillId="0" borderId="6" xfId="0" applyNumberFormat="1" applyFont="1" applyFill="1" applyBorder="1" applyAlignment="1" applyProtection="1">
      <alignment horizontal="center" vertical="center" wrapText="1"/>
    </xf>
    <xf numFmtId="178" fontId="51" fillId="0" borderId="6" xfId="0" applyNumberFormat="1" applyFont="1" applyFill="1" applyBorder="1" applyAlignment="1" applyProtection="1">
      <alignment horizontal="center" vertical="center" wrapText="1" shrinkToFit="1"/>
    </xf>
    <xf numFmtId="0" fontId="51" fillId="0" borderId="1"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protection locked="0"/>
    </xf>
    <xf numFmtId="3" fontId="63" fillId="0" borderId="6" xfId="0" applyNumberFormat="1" applyFont="1" applyFill="1" applyBorder="1" applyAlignment="1" applyProtection="1">
      <alignment horizontal="center" vertical="center"/>
      <protection locked="0"/>
    </xf>
    <xf numFmtId="178" fontId="51" fillId="0" borderId="6" xfId="0" applyNumberFormat="1" applyFont="1" applyFill="1" applyBorder="1" applyAlignment="1" applyProtection="1">
      <alignment horizontal="center" vertical="center" wrapText="1"/>
    </xf>
    <xf numFmtId="0" fontId="51" fillId="0" borderId="0" xfId="0" applyNumberFormat="1" applyFont="1" applyFill="1" applyBorder="1" applyAlignment="1" applyProtection="1">
      <alignment horizontal="center" vertical="center" wrapText="1"/>
      <protection locked="0"/>
    </xf>
    <xf numFmtId="0" fontId="51" fillId="0" borderId="7" xfId="0" applyFont="1" applyFill="1" applyBorder="1" applyAlignment="1" applyProtection="1">
      <alignment horizontal="center" vertical="center"/>
    </xf>
    <xf numFmtId="0" fontId="51" fillId="0" borderId="7" xfId="0" applyFont="1" applyFill="1" applyBorder="1" applyProtection="1">
      <alignment vertical="center"/>
      <protection locked="0"/>
    </xf>
    <xf numFmtId="184" fontId="63" fillId="0" borderId="6" xfId="0" applyNumberFormat="1" applyFont="1" applyFill="1" applyBorder="1" applyAlignment="1" applyProtection="1">
      <alignment horizontal="center" vertical="center"/>
    </xf>
    <xf numFmtId="178" fontId="71" fillId="0" borderId="6" xfId="0" applyNumberFormat="1" applyFont="1" applyFill="1" applyBorder="1" applyAlignment="1" applyProtection="1">
      <alignment horizontal="center" vertical="center"/>
    </xf>
    <xf numFmtId="0" fontId="69" fillId="0" borderId="6" xfId="0" applyFont="1" applyFill="1" applyBorder="1" applyAlignment="1" applyProtection="1">
      <alignment horizontal="center" vertical="center" wrapText="1" shrinkToFit="1"/>
    </xf>
    <xf numFmtId="0" fontId="71" fillId="0" borderId="6" xfId="0" applyFont="1" applyFill="1" applyBorder="1" applyAlignment="1" applyProtection="1">
      <alignment horizontal="center" vertical="center" wrapText="1"/>
    </xf>
    <xf numFmtId="0" fontId="69" fillId="0" borderId="6" xfId="0" applyFont="1" applyFill="1" applyBorder="1" applyAlignment="1" applyProtection="1">
      <alignment horizontal="center" vertical="center"/>
    </xf>
    <xf numFmtId="182" fontId="71" fillId="0" borderId="6" xfId="0" applyNumberFormat="1" applyFont="1" applyFill="1" applyBorder="1" applyAlignment="1" applyProtection="1">
      <alignment horizontal="center" vertical="center" wrapText="1"/>
    </xf>
    <xf numFmtId="0" fontId="69" fillId="0" borderId="6" xfId="0" applyFont="1" applyFill="1" applyBorder="1" applyAlignment="1" applyProtection="1">
      <alignment horizontal="center" vertical="center" wrapText="1"/>
    </xf>
    <xf numFmtId="178" fontId="71" fillId="0" borderId="1" xfId="0" applyNumberFormat="1" applyFont="1" applyFill="1" applyBorder="1" applyAlignment="1" applyProtection="1">
      <alignment horizontal="center" vertical="center" wrapText="1"/>
    </xf>
    <xf numFmtId="0" fontId="69" fillId="0" borderId="0" xfId="0" applyFont="1" applyFill="1" applyBorder="1" applyAlignment="1" applyProtection="1">
      <alignment horizontal="center" vertical="center"/>
      <protection locked="0"/>
    </xf>
    <xf numFmtId="0" fontId="71" fillId="0" borderId="6" xfId="0" applyFont="1" applyFill="1" applyBorder="1" applyAlignment="1" applyProtection="1">
      <alignment horizontal="center" vertical="center" wrapText="1" shrinkToFit="1"/>
    </xf>
    <xf numFmtId="0" fontId="71" fillId="0" borderId="6" xfId="0" applyNumberFormat="1" applyFont="1" applyFill="1" applyBorder="1" applyAlignment="1" applyProtection="1">
      <alignment horizontal="center" vertical="center"/>
    </xf>
    <xf numFmtId="0" fontId="69" fillId="0" borderId="1" xfId="0" applyFont="1" applyFill="1" applyBorder="1" applyAlignment="1" applyProtection="1">
      <alignment horizontal="center" vertical="center"/>
      <protection locked="0"/>
    </xf>
    <xf numFmtId="178" fontId="71" fillId="0" borderId="6" xfId="0" applyNumberFormat="1" applyFont="1" applyFill="1" applyBorder="1" applyAlignment="1" applyProtection="1">
      <alignment horizontal="center" vertical="center" wrapText="1" shrinkToFit="1"/>
    </xf>
    <xf numFmtId="0" fontId="69" fillId="0" borderId="6" xfId="0" applyFont="1" applyFill="1" applyBorder="1" applyAlignment="1" applyProtection="1">
      <alignment horizontal="center" vertical="center"/>
      <protection locked="0"/>
    </xf>
    <xf numFmtId="0" fontId="69" fillId="0" borderId="6" xfId="0" applyFont="1" applyFill="1" applyBorder="1" applyProtection="1">
      <alignment vertical="center"/>
      <protection locked="0"/>
    </xf>
    <xf numFmtId="178" fontId="69" fillId="0" borderId="6" xfId="0" applyNumberFormat="1" applyFont="1" applyFill="1" applyBorder="1" applyAlignment="1" applyProtection="1">
      <alignment horizontal="center" vertical="center" wrapText="1"/>
    </xf>
    <xf numFmtId="178" fontId="71" fillId="0" borderId="6" xfId="0" applyNumberFormat="1" applyFont="1" applyFill="1" applyBorder="1" applyAlignment="1" applyProtection="1">
      <alignment horizontal="center" vertical="center" wrapText="1"/>
    </xf>
    <xf numFmtId="0" fontId="51" fillId="0" borderId="7" xfId="0" applyFont="1" applyFill="1" applyBorder="1" applyAlignment="1" applyProtection="1">
      <alignment horizontal="center" vertical="center"/>
      <protection locked="0"/>
    </xf>
    <xf numFmtId="178" fontId="51" fillId="0" borderId="37" xfId="0" applyNumberFormat="1" applyFont="1" applyFill="1" applyBorder="1" applyAlignment="1" applyProtection="1">
      <alignment horizontal="center" vertical="center"/>
      <protection locked="0"/>
    </xf>
    <xf numFmtId="178" fontId="51" fillId="0" borderId="1" xfId="0" applyNumberFormat="1" applyFont="1" applyFill="1" applyBorder="1" applyAlignment="1" applyProtection="1">
      <alignment horizontal="center" vertical="center"/>
      <protection locked="0"/>
    </xf>
    <xf numFmtId="178" fontId="51" fillId="0" borderId="6" xfId="0" applyNumberFormat="1" applyFont="1" applyFill="1" applyBorder="1" applyAlignment="1" applyProtection="1">
      <alignment horizontal="center" vertical="center"/>
    </xf>
    <xf numFmtId="178" fontId="51" fillId="0" borderId="6" xfId="0" applyNumberFormat="1" applyFont="1" applyFill="1" applyBorder="1" applyAlignment="1" applyProtection="1">
      <alignment horizontal="center" vertical="center"/>
      <protection locked="0"/>
    </xf>
    <xf numFmtId="0" fontId="51" fillId="0" borderId="37" xfId="0" applyFont="1" applyFill="1" applyBorder="1" applyAlignment="1" applyProtection="1">
      <alignment horizontal="center" vertical="center"/>
    </xf>
    <xf numFmtId="192" fontId="51" fillId="0" borderId="6" xfId="0" applyNumberFormat="1" applyFont="1" applyFill="1" applyBorder="1" applyAlignment="1" applyProtection="1">
      <alignment horizontal="center" vertical="center" wrapText="1"/>
      <protection locked="0"/>
    </xf>
    <xf numFmtId="178" fontId="51" fillId="0" borderId="37" xfId="0" applyNumberFormat="1" applyFont="1" applyFill="1" applyBorder="1" applyAlignment="1" applyProtection="1">
      <alignment horizontal="center" vertical="center"/>
    </xf>
    <xf numFmtId="178" fontId="51" fillId="0" borderId="1" xfId="0" applyNumberFormat="1" applyFont="1" applyFill="1" applyBorder="1" applyAlignment="1" applyProtection="1">
      <alignment horizontal="center" vertical="center"/>
    </xf>
    <xf numFmtId="180" fontId="51" fillId="0" borderId="22" xfId="0" applyNumberFormat="1" applyFont="1" applyFill="1" applyBorder="1" applyAlignment="1" applyProtection="1">
      <alignment horizontal="center" vertical="center" wrapText="1" shrinkToFit="1"/>
      <protection locked="0"/>
    </xf>
    <xf numFmtId="180" fontId="51" fillId="0" borderId="26" xfId="0" applyNumberFormat="1" applyFont="1" applyFill="1" applyBorder="1" applyAlignment="1" applyProtection="1">
      <alignment horizontal="center" vertical="center" wrapText="1" shrinkToFit="1"/>
      <protection locked="0"/>
    </xf>
    <xf numFmtId="180" fontId="51" fillId="0" borderId="7" xfId="0" applyNumberFormat="1" applyFont="1" applyFill="1" applyBorder="1" applyAlignment="1" applyProtection="1">
      <alignment horizontal="center" vertical="center" wrapText="1" shrinkToFit="1"/>
      <protection locked="0"/>
    </xf>
    <xf numFmtId="180" fontId="51" fillId="0" borderId="1" xfId="0" applyNumberFormat="1" applyFont="1" applyFill="1" applyBorder="1" applyAlignment="1" applyProtection="1">
      <alignment horizontal="center" vertical="center" wrapText="1" shrinkToFit="1"/>
      <protection locked="0"/>
    </xf>
    <xf numFmtId="176" fontId="51" fillId="0" borderId="14" xfId="0" applyNumberFormat="1" applyFont="1" applyFill="1" applyBorder="1" applyAlignment="1" applyProtection="1">
      <alignment horizontal="center" vertical="center" wrapText="1"/>
      <protection locked="0"/>
    </xf>
    <xf numFmtId="179" fontId="63" fillId="0" borderId="22" xfId="0" applyNumberFormat="1" applyFont="1" applyFill="1" applyBorder="1" applyAlignment="1" applyProtection="1">
      <alignment horizontal="center" vertical="center"/>
    </xf>
    <xf numFmtId="0" fontId="51" fillId="0" borderId="22" xfId="0" applyFont="1" applyFill="1" applyBorder="1" applyAlignment="1" applyProtection="1">
      <alignment horizontal="center" vertical="center" wrapText="1"/>
      <protection locked="0"/>
    </xf>
    <xf numFmtId="0" fontId="51" fillId="0" borderId="22" xfId="0" applyFont="1" applyFill="1" applyBorder="1" applyAlignment="1" applyProtection="1">
      <alignment horizontal="center" vertical="center" wrapText="1" shrinkToFit="1"/>
      <protection locked="0"/>
    </xf>
    <xf numFmtId="0" fontId="63" fillId="0" borderId="22" xfId="0" applyNumberFormat="1" applyFont="1" applyFill="1" applyBorder="1" applyAlignment="1" applyProtection="1">
      <alignment horizontal="center" vertical="center" shrinkToFit="1"/>
      <protection locked="0"/>
    </xf>
    <xf numFmtId="0" fontId="63" fillId="0" borderId="22" xfId="0" applyNumberFormat="1" applyFont="1" applyFill="1" applyBorder="1" applyAlignment="1" applyProtection="1">
      <alignment horizontal="center" vertical="center" wrapText="1"/>
      <protection locked="0"/>
    </xf>
    <xf numFmtId="0" fontId="63" fillId="0" borderId="22" xfId="0" applyFont="1" applyFill="1" applyBorder="1" applyAlignment="1" applyProtection="1">
      <alignment horizontal="center" vertical="center" wrapText="1" shrinkToFit="1"/>
      <protection locked="0"/>
    </xf>
    <xf numFmtId="0" fontId="63" fillId="0" borderId="22" xfId="0" applyFont="1" applyFill="1" applyBorder="1" applyAlignment="1" applyProtection="1">
      <alignment horizontal="center" vertical="center"/>
      <protection locked="0"/>
    </xf>
    <xf numFmtId="0" fontId="63" fillId="0" borderId="22" xfId="0" applyFont="1" applyFill="1" applyBorder="1" applyAlignment="1" applyProtection="1">
      <alignment horizontal="center" vertical="center"/>
    </xf>
    <xf numFmtId="176" fontId="51" fillId="0" borderId="22" xfId="0" applyNumberFormat="1" applyFont="1" applyFill="1" applyBorder="1" applyAlignment="1" applyProtection="1">
      <alignment horizontal="center" vertical="center" wrapText="1"/>
      <protection locked="0"/>
    </xf>
    <xf numFmtId="0" fontId="13" fillId="0" borderId="22" xfId="0" applyFont="1" applyFill="1" applyBorder="1" applyAlignment="1" applyProtection="1">
      <alignment horizontal="center" vertical="center"/>
      <protection locked="0"/>
    </xf>
    <xf numFmtId="0" fontId="51" fillId="0" borderId="22" xfId="0" applyNumberFormat="1" applyFont="1" applyFill="1" applyBorder="1" applyAlignment="1" applyProtection="1">
      <alignment horizontal="center" vertical="center" wrapText="1"/>
      <protection locked="0"/>
    </xf>
    <xf numFmtId="176" fontId="63" fillId="0" borderId="22" xfId="0" applyNumberFormat="1" applyFont="1" applyFill="1" applyBorder="1" applyAlignment="1" applyProtection="1">
      <alignment horizontal="center" vertical="center" wrapText="1"/>
    </xf>
    <xf numFmtId="184" fontId="63" fillId="0" borderId="22" xfId="0" applyNumberFormat="1" applyFont="1" applyFill="1" applyBorder="1" applyAlignment="1" applyProtection="1">
      <alignment horizontal="center" vertical="center"/>
    </xf>
    <xf numFmtId="177" fontId="63" fillId="0" borderId="22" xfId="0" applyNumberFormat="1" applyFont="1" applyFill="1" applyBorder="1" applyAlignment="1" applyProtection="1">
      <alignment horizontal="center" vertical="center"/>
    </xf>
    <xf numFmtId="0" fontId="51" fillId="0" borderId="22" xfId="0" applyFont="1" applyFill="1" applyBorder="1" applyAlignment="1" applyProtection="1">
      <alignment horizontal="center" vertical="center"/>
    </xf>
    <xf numFmtId="0" fontId="63" fillId="0" borderId="22" xfId="0" applyNumberFormat="1" applyFont="1" applyFill="1" applyBorder="1" applyAlignment="1" applyProtection="1">
      <alignment horizontal="center" vertical="center" wrapText="1" shrinkToFit="1"/>
    </xf>
    <xf numFmtId="0" fontId="63" fillId="0" borderId="22" xfId="0" applyFont="1" applyFill="1" applyBorder="1" applyAlignment="1" applyProtection="1">
      <alignment horizontal="center" vertical="center" wrapText="1" shrinkToFit="1"/>
    </xf>
    <xf numFmtId="0" fontId="51" fillId="0" borderId="22" xfId="0" applyFont="1" applyFill="1" applyBorder="1" applyAlignment="1" applyProtection="1">
      <alignment horizontal="center" vertical="center" wrapText="1" shrinkToFit="1"/>
    </xf>
    <xf numFmtId="0" fontId="63" fillId="0" borderId="22" xfId="0" applyNumberFormat="1" applyFont="1" applyFill="1" applyBorder="1" applyAlignment="1" applyProtection="1">
      <alignment horizontal="center" vertical="center"/>
    </xf>
    <xf numFmtId="0" fontId="63" fillId="0" borderId="22" xfId="0" applyFont="1" applyFill="1" applyBorder="1" applyAlignment="1" applyProtection="1">
      <alignment horizontal="center" vertical="center" wrapText="1"/>
    </xf>
    <xf numFmtId="0" fontId="51" fillId="0" borderId="22" xfId="0" applyFont="1" applyFill="1" applyBorder="1" applyProtection="1">
      <alignment vertical="center"/>
    </xf>
    <xf numFmtId="182" fontId="63" fillId="0" borderId="22" xfId="0" applyNumberFormat="1" applyFont="1" applyFill="1" applyBorder="1" applyAlignment="1" applyProtection="1">
      <alignment horizontal="center" vertical="center" wrapText="1"/>
    </xf>
    <xf numFmtId="0" fontId="51" fillId="0" borderId="22" xfId="0" applyFont="1" applyFill="1" applyBorder="1" applyAlignment="1" applyProtection="1">
      <alignment horizontal="center" vertical="center" wrapText="1"/>
    </xf>
    <xf numFmtId="178" fontId="63" fillId="0" borderId="21" xfId="0" applyNumberFormat="1" applyFont="1" applyFill="1" applyBorder="1" applyAlignment="1" applyProtection="1">
      <alignment horizontal="center" vertical="center" wrapText="1" shrinkToFit="1"/>
    </xf>
    <xf numFmtId="0" fontId="63" fillId="0" borderId="22" xfId="0" applyFont="1" applyFill="1" applyBorder="1" applyAlignment="1" applyProtection="1">
      <alignment horizontal="center" vertical="center" wrapText="1"/>
      <protection locked="0"/>
    </xf>
    <xf numFmtId="3" fontId="63" fillId="0" borderId="0" xfId="0" applyNumberFormat="1" applyFont="1" applyFill="1" applyBorder="1" applyAlignment="1" applyProtection="1">
      <alignment horizontal="center" vertical="center"/>
      <protection locked="0"/>
    </xf>
    <xf numFmtId="176" fontId="63" fillId="0" borderId="0" xfId="0" applyNumberFormat="1" applyFont="1" applyFill="1" applyBorder="1" applyAlignment="1" applyProtection="1">
      <alignment horizontal="center" vertical="center" wrapText="1"/>
      <protection locked="0"/>
    </xf>
    <xf numFmtId="0" fontId="51" fillId="0" borderId="37" xfId="0" applyFont="1" applyFill="1" applyBorder="1" applyAlignment="1" applyProtection="1">
      <alignment horizontal="center" vertical="center"/>
      <protection locked="0"/>
    </xf>
    <xf numFmtId="0" fontId="51" fillId="0" borderId="22" xfId="0" applyFont="1" applyFill="1" applyBorder="1" applyAlignment="1" applyProtection="1">
      <alignment horizontal="center" vertical="center"/>
      <protection locked="0"/>
    </xf>
    <xf numFmtId="179" fontId="63" fillId="0" borderId="1" xfId="0" applyNumberFormat="1" applyFont="1" applyFill="1" applyBorder="1" applyAlignment="1" applyProtection="1">
      <alignment horizontal="center" vertical="center"/>
    </xf>
    <xf numFmtId="0" fontId="51" fillId="0" borderId="1" xfId="0" applyFont="1" applyFill="1" applyBorder="1" applyAlignment="1" applyProtection="1">
      <alignment horizontal="center" vertical="center" wrapText="1" shrinkToFit="1"/>
      <protection locked="0"/>
    </xf>
    <xf numFmtId="0" fontId="63" fillId="0" borderId="1" xfId="0" applyNumberFormat="1" applyFont="1" applyFill="1" applyBorder="1" applyAlignment="1" applyProtection="1">
      <alignment horizontal="center" vertical="center" shrinkToFit="1"/>
      <protection locked="0"/>
    </xf>
    <xf numFmtId="0" fontId="63" fillId="0" borderId="1" xfId="0" applyFont="1" applyFill="1" applyBorder="1" applyAlignment="1" applyProtection="1">
      <alignment horizontal="center" vertical="center" wrapText="1" shrinkToFit="1"/>
      <protection locked="0"/>
    </xf>
    <xf numFmtId="0" fontId="63" fillId="0" borderId="1" xfId="0"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xf>
    <xf numFmtId="176" fontId="51" fillId="0" borderId="1" xfId="0" applyNumberFormat="1" applyFont="1" applyFill="1" applyBorder="1" applyAlignment="1" applyProtection="1">
      <alignment horizontal="center" vertical="center" wrapText="1"/>
      <protection locked="0"/>
    </xf>
    <xf numFmtId="176" fontId="51" fillId="0" borderId="37" xfId="0" applyNumberFormat="1" applyFont="1" applyFill="1" applyBorder="1" applyAlignment="1" applyProtection="1">
      <alignment horizontal="center" vertical="center" wrapText="1"/>
      <protection locked="0"/>
    </xf>
    <xf numFmtId="176" fontId="51" fillId="0" borderId="38" xfId="0" applyNumberFormat="1" applyFont="1" applyFill="1" applyBorder="1" applyAlignment="1" applyProtection="1">
      <alignment horizontal="center" vertical="center" wrapText="1"/>
    </xf>
    <xf numFmtId="176" fontId="51" fillId="0" borderId="1" xfId="0" applyNumberFormat="1" applyFont="1" applyFill="1" applyBorder="1" applyAlignment="1" applyProtection="1">
      <alignment horizontal="center" vertical="center" wrapText="1"/>
    </xf>
    <xf numFmtId="0" fontId="51" fillId="0" borderId="1" xfId="0" applyNumberFormat="1" applyFont="1" applyFill="1" applyBorder="1" applyAlignment="1" applyProtection="1">
      <alignment horizontal="center" vertical="center" wrapText="1"/>
    </xf>
    <xf numFmtId="181" fontId="63" fillId="0" borderId="1" xfId="0" applyNumberFormat="1" applyFont="1" applyFill="1" applyBorder="1" applyAlignment="1" applyProtection="1">
      <alignment horizontal="center" vertical="center"/>
    </xf>
    <xf numFmtId="177" fontId="63" fillId="0" borderId="1" xfId="0" applyNumberFormat="1" applyFont="1" applyFill="1" applyBorder="1" applyAlignment="1" applyProtection="1">
      <alignment horizontal="center" vertical="center"/>
    </xf>
    <xf numFmtId="0" fontId="63" fillId="0" borderId="1" xfId="0" applyNumberFormat="1" applyFont="1" applyFill="1" applyBorder="1" applyAlignment="1" applyProtection="1">
      <alignment horizontal="center" vertical="center"/>
    </xf>
    <xf numFmtId="0" fontId="63" fillId="0" borderId="1" xfId="0" applyNumberFormat="1" applyFont="1" applyFill="1" applyBorder="1" applyAlignment="1" applyProtection="1">
      <alignment horizontal="center" vertical="center" wrapText="1" shrinkToFit="1"/>
    </xf>
    <xf numFmtId="182" fontId="28" fillId="0" borderId="1" xfId="0" applyNumberFormat="1" applyFont="1" applyFill="1" applyBorder="1" applyAlignment="1" applyProtection="1">
      <alignment horizontal="center" vertical="center" wrapText="1"/>
    </xf>
    <xf numFmtId="0" fontId="25" fillId="0" borderId="1" xfId="0" applyFont="1" applyFill="1" applyBorder="1" applyProtection="1">
      <alignment vertical="center"/>
      <protection locked="0"/>
    </xf>
    <xf numFmtId="0" fontId="51" fillId="0" borderId="39"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protection locked="0"/>
    </xf>
    <xf numFmtId="176" fontId="51" fillId="0" borderId="26" xfId="0" applyNumberFormat="1" applyFont="1" applyFill="1" applyBorder="1" applyAlignment="1" applyProtection="1">
      <alignment horizontal="center" vertical="center" wrapText="1"/>
      <protection locked="0"/>
    </xf>
    <xf numFmtId="180" fontId="51" fillId="0" borderId="28" xfId="0" applyNumberFormat="1" applyFont="1" applyFill="1" applyBorder="1" applyAlignment="1" applyProtection="1">
      <alignment horizontal="center" vertical="center" wrapText="1" shrinkToFit="1"/>
      <protection locked="0"/>
    </xf>
    <xf numFmtId="176" fontId="51" fillId="0" borderId="39" xfId="0" applyNumberFormat="1" applyFont="1" applyFill="1" applyBorder="1" applyAlignment="1" applyProtection="1">
      <alignment horizontal="center" vertical="center" wrapText="1"/>
      <protection locked="0"/>
    </xf>
    <xf numFmtId="0" fontId="28" fillId="0" borderId="22" xfId="0" applyFont="1" applyFill="1" applyBorder="1" applyAlignment="1" applyProtection="1">
      <alignment horizontal="center" vertical="center" wrapText="1" shrinkToFit="1"/>
    </xf>
    <xf numFmtId="0" fontId="25" fillId="0" borderId="22" xfId="0" applyFont="1" applyFill="1" applyBorder="1" applyAlignment="1" applyProtection="1">
      <alignment horizontal="center" vertical="center"/>
    </xf>
    <xf numFmtId="0" fontId="25" fillId="0" borderId="22" xfId="0" applyFont="1" applyFill="1" applyBorder="1" applyAlignment="1" applyProtection="1">
      <alignment horizontal="center" vertical="center" wrapText="1" shrinkToFit="1"/>
    </xf>
    <xf numFmtId="0" fontId="28" fillId="0" borderId="22" xfId="0" applyNumberFormat="1" applyFont="1" applyFill="1" applyBorder="1" applyAlignment="1" applyProtection="1">
      <alignment horizontal="center" vertical="center"/>
    </xf>
    <xf numFmtId="182" fontId="28" fillId="0" borderId="22" xfId="0" applyNumberFormat="1" applyFont="1" applyFill="1" applyBorder="1" applyAlignment="1" applyProtection="1">
      <alignment horizontal="center" vertical="center" wrapText="1"/>
    </xf>
    <xf numFmtId="0" fontId="25" fillId="0" borderId="22" xfId="0" applyFont="1" applyFill="1" applyBorder="1" applyAlignment="1" applyProtection="1">
      <alignment horizontal="center" vertical="center" wrapText="1"/>
    </xf>
    <xf numFmtId="178" fontId="63" fillId="0" borderId="22" xfId="0" applyNumberFormat="1" applyFont="1" applyFill="1" applyBorder="1" applyAlignment="1" applyProtection="1">
      <alignment horizontal="center" vertical="center" wrapText="1" shrinkToFit="1"/>
    </xf>
    <xf numFmtId="178" fontId="51" fillId="0" borderId="22" xfId="0" applyNumberFormat="1" applyFont="1" applyFill="1" applyBorder="1" applyAlignment="1" applyProtection="1">
      <alignment horizontal="center" vertical="center" wrapText="1"/>
    </xf>
    <xf numFmtId="0" fontId="51" fillId="0" borderId="39" xfId="0" applyFont="1" applyFill="1" applyBorder="1" applyAlignment="1" applyProtection="1">
      <alignment horizontal="center" vertical="center"/>
      <protection locked="0"/>
    </xf>
    <xf numFmtId="182" fontId="63" fillId="0" borderId="40" xfId="0" applyNumberFormat="1" applyFont="1" applyFill="1" applyBorder="1" applyAlignment="1" applyProtection="1">
      <alignment horizontal="center" vertical="center" wrapText="1"/>
    </xf>
    <xf numFmtId="182" fontId="63" fillId="0" borderId="39" xfId="0" applyNumberFormat="1" applyFont="1" applyFill="1" applyBorder="1" applyAlignment="1" applyProtection="1">
      <alignment horizontal="center" vertical="center" wrapText="1"/>
    </xf>
    <xf numFmtId="178" fontId="64" fillId="0" borderId="39" xfId="0" applyNumberFormat="1" applyFont="1" applyFill="1" applyBorder="1" applyAlignment="1" applyProtection="1">
      <alignment horizontal="center" vertical="center" wrapText="1"/>
    </xf>
    <xf numFmtId="178" fontId="51" fillId="0" borderId="39" xfId="0" applyNumberFormat="1" applyFont="1" applyFill="1" applyBorder="1" applyAlignment="1" applyProtection="1">
      <alignment horizontal="center" vertical="center" wrapText="1"/>
    </xf>
    <xf numFmtId="178" fontId="63" fillId="0" borderId="39" xfId="0" applyNumberFormat="1" applyFont="1" applyFill="1" applyBorder="1" applyAlignment="1" applyProtection="1">
      <alignment horizontal="center" vertical="center" wrapText="1" shrinkToFit="1"/>
    </xf>
    <xf numFmtId="0" fontId="63" fillId="0" borderId="26" xfId="0" applyFont="1" applyFill="1" applyBorder="1" applyAlignment="1" applyProtection="1">
      <alignment horizontal="center" vertical="center" wrapText="1" shrinkToFit="1"/>
      <protection locked="0"/>
    </xf>
    <xf numFmtId="179" fontId="63" fillId="0" borderId="28" xfId="0" applyNumberFormat="1" applyFont="1" applyFill="1" applyBorder="1" applyAlignment="1" applyProtection="1">
      <alignment horizontal="center" vertical="center"/>
    </xf>
    <xf numFmtId="0" fontId="51" fillId="0" borderId="28" xfId="0" applyFont="1" applyFill="1" applyBorder="1" applyAlignment="1" applyProtection="1">
      <alignment horizontal="center" vertical="center" wrapText="1"/>
      <protection locked="0"/>
    </xf>
    <xf numFmtId="0" fontId="51" fillId="0" borderId="28" xfId="0" applyFont="1" applyFill="1" applyBorder="1" applyAlignment="1" applyProtection="1">
      <alignment horizontal="center" vertical="center" wrapText="1" shrinkToFit="1"/>
      <protection locked="0"/>
    </xf>
    <xf numFmtId="0" fontId="63" fillId="0" borderId="28" xfId="0" applyNumberFormat="1" applyFont="1" applyFill="1" applyBorder="1" applyAlignment="1" applyProtection="1">
      <alignment horizontal="center" vertical="center" shrinkToFit="1"/>
      <protection locked="0"/>
    </xf>
    <xf numFmtId="0" fontId="63" fillId="0" borderId="28" xfId="0" applyFont="1" applyFill="1" applyBorder="1" applyAlignment="1" applyProtection="1">
      <alignment horizontal="center" vertical="center" wrapText="1"/>
      <protection locked="0"/>
    </xf>
    <xf numFmtId="0" fontId="63" fillId="0" borderId="28" xfId="0" applyFont="1" applyFill="1" applyBorder="1" applyAlignment="1" applyProtection="1">
      <alignment horizontal="center" vertical="center" wrapText="1" shrinkToFit="1"/>
      <protection locked="0"/>
    </xf>
    <xf numFmtId="0" fontId="63" fillId="0" borderId="28" xfId="0" applyFont="1" applyFill="1" applyBorder="1" applyAlignment="1" applyProtection="1">
      <alignment horizontal="center" vertical="center"/>
      <protection locked="0"/>
    </xf>
    <xf numFmtId="0" fontId="63" fillId="0" borderId="41" xfId="0" applyFont="1" applyFill="1" applyBorder="1" applyAlignment="1" applyProtection="1">
      <alignment horizontal="center" vertical="center"/>
    </xf>
    <xf numFmtId="180" fontId="51" fillId="0" borderId="42" xfId="0" applyNumberFormat="1" applyFont="1" applyFill="1" applyBorder="1" applyAlignment="1" applyProtection="1">
      <alignment horizontal="center" vertical="center" wrapText="1" shrinkToFit="1"/>
      <protection locked="0"/>
    </xf>
    <xf numFmtId="180" fontId="51" fillId="2" borderId="42" xfId="0" applyNumberFormat="1" applyFont="1" applyFill="1" applyBorder="1" applyAlignment="1" applyProtection="1">
      <alignment horizontal="center" vertical="center" wrapText="1" shrinkToFit="1"/>
      <protection locked="0"/>
    </xf>
    <xf numFmtId="176" fontId="51" fillId="0" borderId="43" xfId="0" applyNumberFormat="1" applyFont="1" applyFill="1" applyBorder="1" applyAlignment="1" applyProtection="1">
      <alignment horizontal="center" vertical="center" wrapText="1"/>
      <protection locked="0"/>
    </xf>
    <xf numFmtId="0" fontId="51" fillId="0" borderId="28" xfId="0" applyFont="1" applyFill="1" applyBorder="1" applyAlignment="1" applyProtection="1">
      <alignment horizontal="center" vertical="center"/>
      <protection locked="0"/>
    </xf>
    <xf numFmtId="176" fontId="51" fillId="0" borderId="41" xfId="0" applyNumberFormat="1" applyFont="1" applyFill="1" applyBorder="1" applyAlignment="1" applyProtection="1">
      <alignment horizontal="center" vertical="center" wrapText="1"/>
      <protection locked="0"/>
    </xf>
    <xf numFmtId="176" fontId="51" fillId="0" borderId="28" xfId="0" applyNumberFormat="1" applyFont="1" applyFill="1" applyBorder="1" applyAlignment="1" applyProtection="1">
      <alignment horizontal="center" vertical="center" wrapText="1"/>
      <protection locked="0"/>
    </xf>
    <xf numFmtId="0" fontId="51" fillId="0" borderId="28" xfId="0" applyNumberFormat="1" applyFont="1" applyFill="1" applyBorder="1" applyAlignment="1" applyProtection="1">
      <alignment horizontal="center" vertical="center" wrapText="1"/>
      <protection locked="0"/>
    </xf>
    <xf numFmtId="176" fontId="63" fillId="0" borderId="28" xfId="0" applyNumberFormat="1" applyFont="1" applyFill="1" applyBorder="1" applyAlignment="1" applyProtection="1">
      <alignment horizontal="center" vertical="center" wrapText="1"/>
    </xf>
    <xf numFmtId="184" fontId="63" fillId="0" borderId="28" xfId="0" applyNumberFormat="1" applyFont="1" applyFill="1" applyBorder="1" applyAlignment="1" applyProtection="1">
      <alignment horizontal="center" vertical="center"/>
    </xf>
    <xf numFmtId="177" fontId="63" fillId="0" borderId="28" xfId="0" applyNumberFormat="1" applyFont="1" applyFill="1" applyBorder="1" applyAlignment="1" applyProtection="1">
      <alignment horizontal="center" vertical="center"/>
    </xf>
    <xf numFmtId="0" fontId="51" fillId="0" borderId="28" xfId="0" applyFont="1" applyFill="1" applyBorder="1" applyAlignment="1" applyProtection="1">
      <alignment horizontal="center" vertical="center"/>
    </xf>
    <xf numFmtId="0" fontId="63" fillId="0" borderId="28" xfId="0" applyNumberFormat="1" applyFont="1" applyFill="1" applyBorder="1" applyAlignment="1" applyProtection="1">
      <alignment horizontal="center" vertical="center" wrapText="1" shrinkToFit="1"/>
    </xf>
    <xf numFmtId="0" fontId="63" fillId="0" borderId="28" xfId="0" applyFont="1" applyFill="1" applyBorder="1" applyAlignment="1" applyProtection="1">
      <alignment horizontal="center" vertical="center" wrapText="1" shrinkToFit="1"/>
    </xf>
    <xf numFmtId="0" fontId="51" fillId="2" borderId="28" xfId="0" applyFont="1" applyFill="1" applyBorder="1" applyAlignment="1" applyProtection="1">
      <alignment horizontal="center" vertical="center"/>
    </xf>
    <xf numFmtId="0" fontId="51" fillId="0" borderId="26" xfId="0" applyFont="1" applyFill="1" applyBorder="1" applyAlignment="1" applyProtection="1">
      <alignment horizontal="center" vertical="center"/>
    </xf>
    <xf numFmtId="0" fontId="51" fillId="2" borderId="28" xfId="0" applyFont="1" applyFill="1" applyBorder="1" applyAlignment="1" applyProtection="1">
      <alignment horizontal="center" vertical="center" wrapText="1" shrinkToFit="1"/>
    </xf>
    <xf numFmtId="0" fontId="51" fillId="0" borderId="26" xfId="0" applyFont="1" applyFill="1" applyBorder="1" applyAlignment="1" applyProtection="1">
      <alignment horizontal="center" vertical="center" wrapText="1" shrinkToFit="1"/>
    </xf>
    <xf numFmtId="0" fontId="63" fillId="2" borderId="28" xfId="0" applyNumberFormat="1" applyFont="1" applyFill="1" applyBorder="1" applyAlignment="1" applyProtection="1">
      <alignment horizontal="center" vertical="center"/>
    </xf>
    <xf numFmtId="0" fontId="63" fillId="0" borderId="28" xfId="0" applyFont="1" applyFill="1" applyBorder="1" applyAlignment="1" applyProtection="1">
      <alignment horizontal="center" vertical="center" wrapText="1"/>
    </xf>
    <xf numFmtId="182" fontId="63" fillId="0" borderId="28" xfId="0" applyNumberFormat="1" applyFont="1" applyFill="1" applyBorder="1" applyAlignment="1" applyProtection="1">
      <alignment horizontal="center" vertical="center" wrapText="1"/>
    </xf>
    <xf numFmtId="0" fontId="51" fillId="0" borderId="28" xfId="0" applyFont="1" applyFill="1" applyBorder="1" applyAlignment="1" applyProtection="1">
      <alignment horizontal="center" vertical="center" wrapText="1"/>
    </xf>
    <xf numFmtId="178" fontId="63" fillId="0" borderId="41" xfId="0" applyNumberFormat="1" applyFont="1" applyFill="1" applyBorder="1" applyAlignment="1" applyProtection="1">
      <alignment horizontal="center" vertical="center" wrapText="1" shrinkToFit="1"/>
    </xf>
    <xf numFmtId="0" fontId="51" fillId="0" borderId="42" xfId="0" applyFont="1" applyFill="1" applyBorder="1" applyAlignment="1" applyProtection="1">
      <alignment horizontal="center" vertical="center" wrapText="1"/>
      <protection locked="0"/>
    </xf>
    <xf numFmtId="0" fontId="51" fillId="0" borderId="42" xfId="0" applyFont="1" applyFill="1" applyBorder="1" applyAlignment="1" applyProtection="1">
      <alignment horizontal="center" vertical="center"/>
      <protection locked="0"/>
    </xf>
    <xf numFmtId="182" fontId="63" fillId="0" borderId="44" xfId="0" applyNumberFormat="1" applyFont="1" applyFill="1" applyBorder="1" applyAlignment="1" applyProtection="1">
      <alignment horizontal="center" vertical="center" wrapText="1"/>
    </xf>
    <xf numFmtId="182" fontId="63" fillId="0" borderId="42" xfId="0" applyNumberFormat="1" applyFont="1" applyFill="1" applyBorder="1" applyAlignment="1" applyProtection="1">
      <alignment horizontal="center" vertical="center" wrapText="1"/>
    </xf>
    <xf numFmtId="178" fontId="63" fillId="2" borderId="42" xfId="0" applyNumberFormat="1" applyFont="1" applyFill="1" applyBorder="1" applyAlignment="1" applyProtection="1">
      <alignment horizontal="center" vertical="center" wrapText="1"/>
    </xf>
    <xf numFmtId="178" fontId="51" fillId="0" borderId="42" xfId="0" applyNumberFormat="1" applyFont="1" applyFill="1" applyBorder="1" applyAlignment="1" applyProtection="1">
      <alignment horizontal="center" vertical="center" wrapText="1"/>
    </xf>
    <xf numFmtId="178" fontId="63" fillId="0" borderId="42" xfId="0" applyNumberFormat="1" applyFont="1" applyFill="1" applyBorder="1" applyAlignment="1" applyProtection="1">
      <alignment horizontal="center" vertical="center" wrapText="1" shrinkToFit="1"/>
    </xf>
    <xf numFmtId="0" fontId="51" fillId="2" borderId="0" xfId="0"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wrapText="1"/>
      <protection locked="0"/>
    </xf>
    <xf numFmtId="180" fontId="51" fillId="2" borderId="1" xfId="0" applyNumberFormat="1" applyFont="1" applyFill="1" applyBorder="1" applyAlignment="1" applyProtection="1">
      <alignment horizontal="center" vertical="center" wrapText="1" shrinkToFit="1"/>
      <protection locked="0"/>
    </xf>
    <xf numFmtId="0" fontId="51" fillId="0" borderId="1" xfId="0" applyFont="1" applyFill="1" applyBorder="1" applyAlignment="1" applyProtection="1">
      <alignment horizontal="center" vertical="center" wrapText="1"/>
    </xf>
    <xf numFmtId="178" fontId="63" fillId="0" borderId="1" xfId="0" applyNumberFormat="1" applyFont="1" applyFill="1" applyBorder="1" applyAlignment="1" applyProtection="1">
      <alignment horizontal="center" vertical="center"/>
    </xf>
    <xf numFmtId="0" fontId="51" fillId="0" borderId="1" xfId="0" applyFont="1" applyFill="1" applyBorder="1" applyAlignment="1" applyProtection="1">
      <alignment horizontal="center" vertical="center" wrapText="1" shrinkToFit="1"/>
    </xf>
    <xf numFmtId="178" fontId="63" fillId="15" borderId="1" xfId="0" applyNumberFormat="1" applyFont="1" applyFill="1" applyBorder="1" applyAlignment="1" applyProtection="1">
      <alignment horizontal="center" vertical="center"/>
    </xf>
    <xf numFmtId="182" fontId="63" fillId="15" borderId="1" xfId="0" applyNumberFormat="1" applyFont="1" applyFill="1" applyBorder="1" applyAlignment="1" applyProtection="1">
      <alignment horizontal="center" vertical="center" wrapText="1"/>
    </xf>
    <xf numFmtId="178" fontId="63" fillId="15" borderId="1" xfId="0" applyNumberFormat="1" applyFont="1" applyFill="1" applyBorder="1" applyAlignment="1" applyProtection="1">
      <alignment horizontal="center" vertical="center" wrapText="1" shrinkToFit="1"/>
    </xf>
    <xf numFmtId="0" fontId="63" fillId="15" borderId="1" xfId="0" applyFont="1" applyFill="1" applyBorder="1" applyAlignment="1" applyProtection="1">
      <alignment horizontal="center" vertical="center" wrapText="1"/>
    </xf>
    <xf numFmtId="0" fontId="51" fillId="15" borderId="1" xfId="0" applyFont="1" applyFill="1" applyBorder="1" applyAlignment="1" applyProtection="1">
      <alignment horizontal="center" vertical="center"/>
      <protection locked="0"/>
    </xf>
    <xf numFmtId="0" fontId="51" fillId="15" borderId="0" xfId="0" applyFont="1" applyFill="1" applyBorder="1" applyAlignment="1" applyProtection="1">
      <alignment horizontal="center" vertical="center"/>
      <protection locked="0"/>
    </xf>
    <xf numFmtId="176" fontId="51" fillId="0" borderId="0" xfId="0" applyNumberFormat="1" applyFont="1" applyFill="1" applyBorder="1" applyAlignment="1" applyProtection="1">
      <alignment horizontal="center" vertical="center" wrapText="1"/>
    </xf>
    <xf numFmtId="0" fontId="63" fillId="0" borderId="1" xfId="0" applyFont="1" applyFill="1" applyBorder="1" applyAlignment="1" applyProtection="1">
      <alignment horizontal="center" vertical="center" wrapText="1" shrinkToFit="1"/>
    </xf>
    <xf numFmtId="178" fontId="63" fillId="15" borderId="1" xfId="0" applyNumberFormat="1" applyFont="1" applyFill="1" applyBorder="1" applyAlignment="1" applyProtection="1">
      <alignment horizontal="center" vertical="center" wrapText="1"/>
    </xf>
    <xf numFmtId="0" fontId="63" fillId="2" borderId="1" xfId="0" applyNumberFormat="1" applyFont="1" applyFill="1" applyBorder="1" applyAlignment="1" applyProtection="1">
      <alignment horizontal="center" vertical="center" wrapText="1"/>
      <protection locked="0"/>
    </xf>
    <xf numFmtId="0" fontId="51" fillId="2" borderId="1" xfId="0" applyNumberFormat="1" applyFont="1" applyFill="1" applyBorder="1" applyAlignment="1" applyProtection="1">
      <alignment horizontal="center" vertical="center" wrapText="1"/>
      <protection locked="0"/>
    </xf>
    <xf numFmtId="176" fontId="63" fillId="0" borderId="1" xfId="0" applyNumberFormat="1" applyFont="1" applyFill="1" applyBorder="1" applyAlignment="1" applyProtection="1">
      <alignment horizontal="center" vertical="center" wrapText="1"/>
    </xf>
    <xf numFmtId="184" fontId="63" fillId="0" borderId="1" xfId="0" applyNumberFormat="1" applyFont="1" applyFill="1" applyBorder="1" applyAlignment="1" applyProtection="1">
      <alignment horizontal="center" vertical="center"/>
    </xf>
    <xf numFmtId="0" fontId="63" fillId="0" borderId="39" xfId="0" applyFont="1" applyFill="1" applyBorder="1" applyAlignment="1" applyProtection="1">
      <alignment horizontal="center" vertical="center" wrapText="1" shrinkToFit="1"/>
      <protection locked="0"/>
    </xf>
    <xf numFmtId="0" fontId="51" fillId="2" borderId="1" xfId="0" applyFont="1" applyFill="1" applyBorder="1" applyAlignment="1" applyProtection="1">
      <alignment horizontal="center" vertical="center" wrapText="1" shrinkToFit="1"/>
    </xf>
    <xf numFmtId="0" fontId="51" fillId="2" borderId="1" xfId="0" applyFont="1" applyFill="1" applyBorder="1" applyAlignment="1" applyProtection="1">
      <alignment horizontal="center" vertical="center"/>
    </xf>
    <xf numFmtId="0" fontId="63" fillId="2" borderId="1" xfId="0" applyFont="1" applyFill="1" applyBorder="1" applyAlignment="1" applyProtection="1">
      <alignment horizontal="center" vertical="center" wrapText="1"/>
    </xf>
    <xf numFmtId="0" fontId="51" fillId="0" borderId="1" xfId="0" applyFont="1" applyFill="1" applyBorder="1" applyProtection="1">
      <alignment vertical="center"/>
    </xf>
    <xf numFmtId="182" fontId="63" fillId="2" borderId="1" xfId="0" applyNumberFormat="1" applyFont="1" applyFill="1" applyBorder="1" applyAlignment="1" applyProtection="1">
      <alignment horizontal="center" vertical="center" wrapText="1"/>
    </xf>
    <xf numFmtId="0" fontId="51" fillId="2" borderId="1" xfId="0" applyFont="1" applyFill="1" applyBorder="1" applyAlignment="1" applyProtection="1">
      <alignment horizontal="center" vertical="center" wrapText="1"/>
    </xf>
    <xf numFmtId="0" fontId="51" fillId="2" borderId="1" xfId="0" applyFont="1" applyFill="1" applyBorder="1" applyAlignment="1" applyProtection="1">
      <alignment horizontal="center" vertical="center"/>
      <protection locked="0"/>
    </xf>
    <xf numFmtId="0" fontId="51" fillId="2" borderId="1" xfId="0" applyFont="1" applyFill="1" applyBorder="1" applyProtection="1">
      <alignment vertical="center"/>
      <protection locked="0"/>
    </xf>
    <xf numFmtId="0" fontId="63" fillId="2" borderId="1" xfId="0" applyNumberFormat="1" applyFont="1" applyFill="1" applyBorder="1" applyAlignment="1" applyProtection="1">
      <alignment horizontal="center" vertical="center"/>
    </xf>
    <xf numFmtId="178" fontId="63" fillId="2" borderId="1" xfId="0" applyNumberFormat="1" applyFont="1" applyFill="1" applyBorder="1" applyAlignment="1" applyProtection="1">
      <alignment horizontal="center" vertical="center" wrapText="1"/>
    </xf>
    <xf numFmtId="0" fontId="51" fillId="0" borderId="1" xfId="0" applyNumberFormat="1" applyFont="1" applyFill="1" applyBorder="1" applyAlignment="1" applyProtection="1">
      <alignment horizontal="center" vertical="center" wrapText="1"/>
      <protection locked="0"/>
    </xf>
    <xf numFmtId="0" fontId="51" fillId="2" borderId="1" xfId="0" applyFont="1" applyFill="1" applyBorder="1" applyAlignment="1" applyProtection="1">
      <alignment horizontal="center" vertical="center" wrapText="1"/>
      <protection locked="0"/>
    </xf>
    <xf numFmtId="0" fontId="51" fillId="15" borderId="1" xfId="0" applyFont="1" applyFill="1" applyBorder="1" applyAlignment="1" applyProtection="1">
      <alignment horizontal="center" vertical="center"/>
    </xf>
    <xf numFmtId="0" fontId="51" fillId="15" borderId="1" xfId="0" applyFont="1" applyFill="1" applyBorder="1" applyAlignment="1" applyProtection="1">
      <alignment horizontal="center" vertical="center" wrapText="1" shrinkToFit="1"/>
    </xf>
    <xf numFmtId="0" fontId="63" fillId="15" borderId="1" xfId="0" applyNumberFormat="1" applyFont="1" applyFill="1" applyBorder="1" applyAlignment="1" applyProtection="1">
      <alignment horizontal="center" vertical="center"/>
    </xf>
    <xf numFmtId="176" fontId="63" fillId="2" borderId="1" xfId="0" applyNumberFormat="1" applyFont="1" applyFill="1" applyBorder="1" applyAlignment="1" applyProtection="1">
      <alignment horizontal="center" vertical="center" wrapText="1"/>
    </xf>
    <xf numFmtId="0" fontId="51" fillId="2" borderId="1" xfId="0" applyNumberFormat="1" applyFont="1" applyFill="1" applyBorder="1" applyAlignment="1" applyProtection="1">
      <alignment horizontal="center" vertical="center" wrapText="1"/>
    </xf>
    <xf numFmtId="179" fontId="63" fillId="0" borderId="39" xfId="0" applyNumberFormat="1" applyFont="1" applyFill="1" applyBorder="1" applyAlignment="1" applyProtection="1">
      <alignment horizontal="center" vertical="center"/>
    </xf>
    <xf numFmtId="0" fontId="51" fillId="0" borderId="39" xfId="0" applyFont="1" applyFill="1" applyBorder="1" applyProtection="1">
      <alignment vertical="center"/>
      <protection locked="0"/>
    </xf>
    <xf numFmtId="0" fontId="51" fillId="0" borderId="39" xfId="0" applyFont="1" applyFill="1" applyBorder="1" applyAlignment="1" applyProtection="1">
      <alignment horizontal="center" vertical="center" wrapText="1" shrinkToFit="1"/>
      <protection locked="0"/>
    </xf>
    <xf numFmtId="0" fontId="63" fillId="0" borderId="39" xfId="0" applyNumberFormat="1" applyFont="1" applyFill="1" applyBorder="1" applyAlignment="1" applyProtection="1">
      <alignment horizontal="center" vertical="center" shrinkToFit="1"/>
      <protection locked="0"/>
    </xf>
    <xf numFmtId="0" fontId="63" fillId="0" borderId="39" xfId="0" applyFont="1" applyFill="1" applyBorder="1" applyAlignment="1" applyProtection="1">
      <alignment horizontal="center" vertical="center"/>
      <protection locked="0"/>
    </xf>
    <xf numFmtId="0" fontId="63" fillId="0" borderId="39" xfId="0" applyFont="1" applyFill="1" applyBorder="1" applyAlignment="1" applyProtection="1">
      <alignment horizontal="center" vertical="center" wrapText="1"/>
      <protection locked="0"/>
    </xf>
    <xf numFmtId="0" fontId="63" fillId="0" borderId="39" xfId="0" applyFont="1" applyFill="1" applyBorder="1" applyAlignment="1" applyProtection="1">
      <alignment horizontal="center" vertical="center"/>
    </xf>
    <xf numFmtId="180" fontId="51" fillId="2" borderId="39" xfId="0" applyNumberFormat="1" applyFont="1" applyFill="1" applyBorder="1" applyAlignment="1" applyProtection="1">
      <alignment horizontal="center" vertical="center" wrapText="1" shrinkToFit="1"/>
      <protection locked="0"/>
    </xf>
    <xf numFmtId="176" fontId="51" fillId="0" borderId="39" xfId="0" applyNumberFormat="1" applyFont="1" applyFill="1" applyBorder="1" applyAlignment="1" applyProtection="1">
      <alignment horizontal="center" vertical="center" wrapText="1"/>
    </xf>
    <xf numFmtId="0" fontId="51" fillId="0" borderId="39" xfId="0" applyNumberFormat="1" applyFont="1" applyFill="1" applyBorder="1" applyAlignment="1" applyProtection="1">
      <alignment horizontal="center" vertical="center" wrapText="1"/>
    </xf>
    <xf numFmtId="0" fontId="51" fillId="2" borderId="39" xfId="0" applyNumberFormat="1" applyFont="1" applyFill="1" applyBorder="1" applyAlignment="1" applyProtection="1">
      <alignment horizontal="center" vertical="center" wrapText="1"/>
    </xf>
    <xf numFmtId="177" fontId="63" fillId="0" borderId="39" xfId="0" applyNumberFormat="1" applyFont="1" applyFill="1" applyBorder="1" applyAlignment="1" applyProtection="1">
      <alignment horizontal="center" vertical="center"/>
    </xf>
    <xf numFmtId="0" fontId="63" fillId="0" borderId="39" xfId="0" applyNumberFormat="1" applyFont="1" applyFill="1" applyBorder="1" applyAlignment="1" applyProtection="1">
      <alignment horizontal="center" vertical="center"/>
    </xf>
    <xf numFmtId="0" fontId="63" fillId="0" borderId="39" xfId="0" applyNumberFormat="1" applyFont="1" applyFill="1" applyBorder="1" applyAlignment="1" applyProtection="1">
      <alignment horizontal="center" vertical="center" wrapText="1" shrinkToFit="1"/>
    </xf>
    <xf numFmtId="178" fontId="63" fillId="0" borderId="39" xfId="0" applyNumberFormat="1" applyFont="1" applyFill="1" applyBorder="1" applyAlignment="1" applyProtection="1">
      <alignment horizontal="center" vertical="center" wrapText="1"/>
    </xf>
    <xf numFmtId="178" fontId="63" fillId="0" borderId="39" xfId="0" applyNumberFormat="1" applyFont="1" applyFill="1" applyBorder="1" applyAlignment="1" applyProtection="1">
      <alignment horizontal="center" vertical="center"/>
    </xf>
    <xf numFmtId="0" fontId="51" fillId="0" borderId="39" xfId="0" applyFont="1" applyFill="1" applyBorder="1" applyAlignment="1" applyProtection="1">
      <alignment horizontal="center" vertical="center" wrapText="1" shrinkToFit="1"/>
    </xf>
    <xf numFmtId="178" fontId="63" fillId="15" borderId="39" xfId="0" applyNumberFormat="1" applyFont="1" applyFill="1" applyBorder="1" applyAlignment="1" applyProtection="1">
      <alignment horizontal="center" vertical="center"/>
    </xf>
    <xf numFmtId="0" fontId="51" fillId="0" borderId="39" xfId="0" applyFont="1" applyFill="1" applyBorder="1" applyAlignment="1" applyProtection="1">
      <alignment horizontal="center" vertical="center"/>
    </xf>
    <xf numFmtId="182" fontId="63" fillId="15" borderId="39" xfId="0" applyNumberFormat="1" applyFont="1" applyFill="1" applyBorder="1" applyAlignment="1" applyProtection="1">
      <alignment horizontal="center" vertical="center" wrapText="1"/>
    </xf>
    <xf numFmtId="178" fontId="63" fillId="15" borderId="39" xfId="0" applyNumberFormat="1" applyFont="1" applyFill="1" applyBorder="1" applyAlignment="1" applyProtection="1">
      <alignment horizontal="center" vertical="center" wrapText="1" shrinkToFit="1"/>
    </xf>
    <xf numFmtId="0" fontId="63" fillId="15" borderId="39" xfId="0" applyFont="1" applyFill="1" applyBorder="1" applyAlignment="1" applyProtection="1">
      <alignment horizontal="center" vertical="center" wrapText="1"/>
    </xf>
    <xf numFmtId="178" fontId="51" fillId="0" borderId="39" xfId="0" applyNumberFormat="1" applyFont="1" applyFill="1" applyBorder="1" applyAlignment="1" applyProtection="1">
      <alignment horizontal="center" vertical="center" wrapText="1" shrinkToFit="1"/>
    </xf>
    <xf numFmtId="0" fontId="63" fillId="0" borderId="39" xfId="0" applyFont="1" applyFill="1" applyBorder="1" applyAlignment="1" applyProtection="1">
      <alignment horizontal="center" vertical="center" wrapText="1"/>
    </xf>
    <xf numFmtId="0" fontId="51" fillId="15" borderId="39" xfId="0" applyFont="1" applyFill="1" applyBorder="1" applyAlignment="1" applyProtection="1">
      <alignment horizontal="center" vertical="center"/>
      <protection locked="0"/>
    </xf>
    <xf numFmtId="179" fontId="72" fillId="0" borderId="1" xfId="0" applyNumberFormat="1" applyFont="1" applyFill="1" applyBorder="1" applyAlignment="1" applyProtection="1">
      <alignment horizontal="center" vertical="center"/>
    </xf>
    <xf numFmtId="0" fontId="52" fillId="0" borderId="1" xfId="0"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shrinkToFit="1"/>
      <protection locked="0"/>
    </xf>
    <xf numFmtId="0" fontId="72" fillId="0" borderId="1" xfId="0" applyNumberFormat="1" applyFont="1" applyFill="1" applyBorder="1" applyAlignment="1" applyProtection="1">
      <alignment horizontal="center" vertical="center" shrinkToFit="1"/>
      <protection locked="0"/>
    </xf>
    <xf numFmtId="0" fontId="72" fillId="0" borderId="1" xfId="0" applyFont="1" applyFill="1" applyBorder="1" applyAlignment="1" applyProtection="1">
      <alignment horizontal="center" vertical="center" wrapText="1"/>
      <protection locked="0"/>
    </xf>
    <xf numFmtId="0" fontId="72" fillId="0" borderId="1" xfId="0" applyFont="1" applyFill="1" applyBorder="1" applyAlignment="1" applyProtection="1">
      <alignment horizontal="center" vertical="center" wrapText="1" shrinkToFit="1"/>
      <protection locked="0"/>
    </xf>
    <xf numFmtId="0" fontId="72" fillId="0" borderId="1" xfId="0" applyFont="1" applyFill="1" applyBorder="1" applyAlignment="1" applyProtection="1">
      <alignment horizontal="center" vertical="center"/>
      <protection locked="0"/>
    </xf>
    <xf numFmtId="0" fontId="72" fillId="0" borderId="1" xfId="0" applyFont="1" applyFill="1" applyBorder="1" applyAlignment="1" applyProtection="1">
      <alignment horizontal="center" vertical="center"/>
    </xf>
    <xf numFmtId="180" fontId="52" fillId="0" borderId="1" xfId="0" applyNumberFormat="1" applyFont="1" applyFill="1" applyBorder="1" applyAlignment="1" applyProtection="1">
      <alignment horizontal="center" vertical="center" wrapText="1" shrinkToFit="1"/>
      <protection locked="0"/>
    </xf>
    <xf numFmtId="176" fontId="52" fillId="0" borderId="1" xfId="0" applyNumberFormat="1" applyFont="1" applyFill="1" applyBorder="1" applyAlignment="1" applyProtection="1">
      <alignment horizontal="center" vertical="center" wrapText="1"/>
      <protection locked="0"/>
    </xf>
    <xf numFmtId="0" fontId="52" fillId="0" borderId="1" xfId="0" applyNumberFormat="1" applyFont="1" applyFill="1" applyBorder="1" applyAlignment="1" applyProtection="1">
      <alignment horizontal="center" vertical="center" wrapText="1"/>
      <protection locked="0"/>
    </xf>
    <xf numFmtId="176" fontId="72" fillId="0" borderId="1" xfId="0" applyNumberFormat="1" applyFont="1" applyFill="1" applyBorder="1" applyAlignment="1" applyProtection="1">
      <alignment horizontal="center" vertical="center" wrapText="1"/>
    </xf>
    <xf numFmtId="184" fontId="72" fillId="0" borderId="1" xfId="0" applyNumberFormat="1" applyFont="1" applyFill="1" applyBorder="1" applyAlignment="1" applyProtection="1">
      <alignment horizontal="center" vertical="center"/>
    </xf>
    <xf numFmtId="177" fontId="72" fillId="0" borderId="1" xfId="0" applyNumberFormat="1"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28" fillId="0" borderId="1" xfId="0" applyFont="1" applyFill="1" applyBorder="1" applyAlignment="1" applyProtection="1">
      <alignment horizontal="center" vertical="center" wrapText="1" shrinkToFit="1"/>
      <protection locked="0"/>
    </xf>
    <xf numFmtId="0" fontId="72" fillId="0" borderId="1" xfId="0" applyNumberFormat="1" applyFont="1" applyFill="1" applyBorder="1" applyAlignment="1" applyProtection="1">
      <alignment horizontal="center" vertical="center" wrapText="1" shrinkToFit="1"/>
    </xf>
    <xf numFmtId="0" fontId="72" fillId="0" borderId="1" xfId="0" applyFont="1" applyFill="1" applyBorder="1" applyAlignment="1" applyProtection="1">
      <alignment horizontal="center" vertical="center" wrapText="1" shrinkToFit="1"/>
    </xf>
    <xf numFmtId="0" fontId="52" fillId="15" borderId="1" xfId="0" applyFont="1" applyFill="1" applyBorder="1" applyAlignment="1" applyProtection="1">
      <alignment horizontal="center" vertical="center"/>
    </xf>
    <xf numFmtId="0" fontId="52" fillId="15" borderId="1" xfId="0" applyFont="1" applyFill="1" applyBorder="1" applyAlignment="1" applyProtection="1">
      <alignment horizontal="center" vertical="center" wrapText="1" shrinkToFit="1"/>
    </xf>
    <xf numFmtId="0" fontId="52" fillId="0" borderId="1" xfId="0" applyFont="1" applyFill="1" applyBorder="1" applyAlignment="1" applyProtection="1">
      <alignment horizontal="center" vertical="center" wrapText="1" shrinkToFit="1"/>
    </xf>
    <xf numFmtId="0" fontId="72" fillId="15" borderId="1" xfId="0" applyNumberFormat="1" applyFont="1" applyFill="1" applyBorder="1" applyAlignment="1" applyProtection="1">
      <alignment horizontal="center" vertical="center"/>
    </xf>
    <xf numFmtId="0" fontId="72" fillId="0" borderId="1" xfId="0" applyFont="1" applyFill="1" applyBorder="1" applyAlignment="1" applyProtection="1">
      <alignment horizontal="center" vertical="center" wrapText="1"/>
    </xf>
    <xf numFmtId="0" fontId="52" fillId="0" borderId="1" xfId="0" applyFont="1" applyFill="1" applyBorder="1" applyProtection="1">
      <alignment vertical="center"/>
    </xf>
    <xf numFmtId="182" fontId="72" fillId="0" borderId="1" xfId="0" applyNumberFormat="1"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178" fontId="72" fillId="0" borderId="1" xfId="0" applyNumberFormat="1" applyFont="1" applyFill="1" applyBorder="1" applyAlignment="1" applyProtection="1">
      <alignment horizontal="center" vertical="center" wrapText="1" shrinkToFit="1"/>
    </xf>
    <xf numFmtId="0" fontId="52" fillId="2" borderId="1" xfId="0" applyFont="1" applyFill="1" applyBorder="1" applyAlignment="1" applyProtection="1">
      <alignment horizontal="center" vertical="center"/>
      <protection locked="0"/>
    </xf>
    <xf numFmtId="3" fontId="72" fillId="0" borderId="1" xfId="0" applyNumberFormat="1" applyFont="1" applyFill="1" applyBorder="1" applyAlignment="1" applyProtection="1">
      <alignment horizontal="center" vertical="center"/>
      <protection locked="0"/>
    </xf>
    <xf numFmtId="180" fontId="25" fillId="0" borderId="1" xfId="0" applyNumberFormat="1" applyFont="1" applyFill="1" applyBorder="1" applyAlignment="1" applyProtection="1">
      <alignment horizontal="center" vertical="center" wrapText="1" shrinkToFit="1"/>
      <protection locked="0"/>
    </xf>
    <xf numFmtId="176"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wrapText="1"/>
    </xf>
    <xf numFmtId="0" fontId="52" fillId="2" borderId="1" xfId="0" applyNumberFormat="1" applyFont="1" applyFill="1" applyBorder="1" applyAlignment="1" applyProtection="1">
      <alignment horizontal="center" vertical="center" wrapText="1"/>
    </xf>
    <xf numFmtId="0" fontId="72" fillId="0" borderId="1" xfId="0" applyNumberFormat="1" applyFont="1" applyFill="1" applyBorder="1" applyAlignment="1" applyProtection="1">
      <alignment horizontal="center" vertical="center"/>
    </xf>
    <xf numFmtId="178" fontId="63" fillId="2" borderId="1" xfId="0" applyNumberFormat="1" applyFont="1" applyFill="1" applyBorder="1" applyAlignment="1" applyProtection="1">
      <alignment horizontal="center" vertical="center" wrapText="1" shrinkToFit="1"/>
    </xf>
    <xf numFmtId="178" fontId="52" fillId="0" borderId="1" xfId="0" applyNumberFormat="1" applyFont="1" applyFill="1" applyBorder="1" applyAlignment="1" applyProtection="1">
      <alignment horizontal="center" vertical="center" wrapText="1" shrinkToFit="1"/>
    </xf>
    <xf numFmtId="0" fontId="25" fillId="0" borderId="1" xfId="0" applyFont="1" applyFill="1" applyBorder="1" applyAlignment="1" applyProtection="1">
      <alignment horizontal="center" vertical="center" wrapText="1" shrinkToFit="1"/>
    </xf>
    <xf numFmtId="178" fontId="52" fillId="0" borderId="1" xfId="0" applyNumberFormat="1"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protection locked="0"/>
    </xf>
    <xf numFmtId="179" fontId="72" fillId="0" borderId="42" xfId="0" applyNumberFormat="1" applyFont="1" applyFill="1" applyBorder="1" applyAlignment="1" applyProtection="1">
      <alignment horizontal="center" vertical="center"/>
    </xf>
    <xf numFmtId="0" fontId="52" fillId="0" borderId="42" xfId="0" applyFont="1" applyFill="1" applyBorder="1" applyProtection="1">
      <alignment vertical="center"/>
      <protection locked="0"/>
    </xf>
    <xf numFmtId="0" fontId="52" fillId="0" borderId="42" xfId="0" applyFont="1" applyFill="1" applyBorder="1" applyAlignment="1" applyProtection="1">
      <alignment horizontal="center" vertical="center" wrapText="1" shrinkToFit="1"/>
      <protection locked="0"/>
    </xf>
    <xf numFmtId="0" fontId="72" fillId="0" borderId="42" xfId="0" applyNumberFormat="1" applyFont="1" applyFill="1" applyBorder="1" applyAlignment="1" applyProtection="1">
      <alignment horizontal="center" vertical="center" shrinkToFit="1"/>
      <protection locked="0"/>
    </xf>
    <xf numFmtId="0" fontId="63" fillId="0" borderId="42" xfId="0" applyNumberFormat="1" applyFont="1" applyFill="1" applyBorder="1" applyAlignment="1" applyProtection="1">
      <alignment horizontal="center" vertical="center" shrinkToFit="1"/>
      <protection locked="0"/>
    </xf>
    <xf numFmtId="0" fontId="72" fillId="0" borderId="42" xfId="0" applyFont="1" applyFill="1" applyBorder="1" applyAlignment="1" applyProtection="1">
      <alignment horizontal="center" vertical="center" wrapText="1" shrinkToFit="1"/>
      <protection locked="0"/>
    </xf>
    <xf numFmtId="3" fontId="72" fillId="0" borderId="42" xfId="0" applyNumberFormat="1" applyFont="1" applyFill="1" applyBorder="1" applyAlignment="1" applyProtection="1">
      <alignment horizontal="center" vertical="center"/>
      <protection locked="0"/>
    </xf>
    <xf numFmtId="0" fontId="72" fillId="0" borderId="42" xfId="0" applyFont="1" applyFill="1" applyBorder="1" applyAlignment="1" applyProtection="1">
      <alignment horizontal="center" vertical="center" wrapText="1"/>
      <protection locked="0"/>
    </xf>
    <xf numFmtId="0" fontId="72" fillId="0" borderId="42" xfId="0" applyFont="1" applyFill="1" applyBorder="1" applyAlignment="1" applyProtection="1">
      <alignment horizontal="center" vertical="center"/>
      <protection locked="0"/>
    </xf>
    <xf numFmtId="0" fontId="72" fillId="0" borderId="42" xfId="0" applyFont="1" applyFill="1" applyBorder="1" applyAlignment="1" applyProtection="1">
      <alignment horizontal="center" vertical="center"/>
    </xf>
    <xf numFmtId="180" fontId="25" fillId="0" borderId="42" xfId="0" applyNumberFormat="1" applyFont="1" applyFill="1" applyBorder="1" applyAlignment="1" applyProtection="1">
      <alignment horizontal="center" vertical="center" wrapText="1" shrinkToFit="1"/>
      <protection locked="0"/>
    </xf>
    <xf numFmtId="0" fontId="52" fillId="0" borderId="42" xfId="0" applyFont="1" applyFill="1" applyBorder="1" applyAlignment="1" applyProtection="1">
      <alignment horizontal="center" vertical="center"/>
      <protection locked="0"/>
    </xf>
    <xf numFmtId="176" fontId="52" fillId="0" borderId="42" xfId="0" applyNumberFormat="1" applyFont="1" applyFill="1" applyBorder="1" applyAlignment="1" applyProtection="1">
      <alignment horizontal="center" vertical="center" wrapText="1"/>
      <protection locked="0"/>
    </xf>
    <xf numFmtId="176" fontId="13" fillId="0" borderId="42" xfId="0" applyNumberFormat="1" applyFont="1" applyFill="1" applyBorder="1" applyAlignment="1" applyProtection="1">
      <alignment horizontal="center" vertical="center" wrapText="1"/>
      <protection locked="0"/>
    </xf>
    <xf numFmtId="176" fontId="52" fillId="0" borderId="42" xfId="0" applyNumberFormat="1" applyFont="1" applyFill="1" applyBorder="1" applyAlignment="1" applyProtection="1">
      <alignment horizontal="center" vertical="center" wrapText="1"/>
    </xf>
    <xf numFmtId="0" fontId="52" fillId="0" borderId="42" xfId="0" applyNumberFormat="1" applyFont="1" applyFill="1" applyBorder="1" applyAlignment="1" applyProtection="1">
      <alignment horizontal="center" vertical="center" wrapText="1"/>
    </xf>
    <xf numFmtId="177" fontId="72" fillId="0" borderId="42" xfId="0" applyNumberFormat="1" applyFont="1" applyFill="1" applyBorder="1" applyAlignment="1" applyProtection="1">
      <alignment horizontal="center" vertical="center"/>
    </xf>
    <xf numFmtId="0" fontId="72" fillId="0" borderId="42" xfId="0" applyNumberFormat="1" applyFont="1" applyFill="1" applyBorder="1" applyAlignment="1" applyProtection="1">
      <alignment horizontal="center" vertical="center"/>
    </xf>
    <xf numFmtId="0" fontId="72" fillId="0" borderId="42" xfId="0" applyNumberFormat="1" applyFont="1" applyFill="1" applyBorder="1" applyAlignment="1" applyProtection="1">
      <alignment horizontal="center" vertical="center" wrapText="1" shrinkToFit="1"/>
    </xf>
    <xf numFmtId="178" fontId="72" fillId="0" borderId="42" xfId="0" applyNumberFormat="1" applyFont="1" applyFill="1" applyBorder="1" applyAlignment="1" applyProtection="1">
      <alignment horizontal="center" vertical="center"/>
    </xf>
    <xf numFmtId="182" fontId="72" fillId="0" borderId="42" xfId="0" applyNumberFormat="1" applyFont="1" applyFill="1" applyBorder="1" applyAlignment="1" applyProtection="1">
      <alignment horizontal="center" vertical="center" wrapText="1"/>
    </xf>
    <xf numFmtId="0" fontId="51" fillId="0" borderId="42" xfId="0" applyFont="1" applyFill="1" applyBorder="1" applyAlignment="1" applyProtection="1">
      <alignment horizontal="center" vertical="center" wrapText="1" shrinkToFit="1"/>
    </xf>
    <xf numFmtId="182" fontId="63" fillId="2" borderId="42" xfId="0" applyNumberFormat="1" applyFont="1" applyFill="1" applyBorder="1" applyAlignment="1" applyProtection="1">
      <alignment horizontal="center" vertical="center" wrapText="1"/>
    </xf>
    <xf numFmtId="178" fontId="63" fillId="2" borderId="42" xfId="0" applyNumberFormat="1" applyFont="1" applyFill="1" applyBorder="1" applyAlignment="1" applyProtection="1">
      <alignment horizontal="center" vertical="center" wrapText="1" shrinkToFit="1"/>
    </xf>
    <xf numFmtId="178" fontId="52" fillId="0" borderId="42" xfId="0" applyNumberFormat="1" applyFont="1" applyFill="1" applyBorder="1" applyAlignment="1" applyProtection="1">
      <alignment horizontal="center" vertical="center" wrapText="1" shrinkToFit="1"/>
    </xf>
    <xf numFmtId="0" fontId="25" fillId="0" borderId="42" xfId="0" applyFont="1" applyFill="1" applyBorder="1" applyAlignment="1" applyProtection="1">
      <alignment horizontal="center" vertical="center" wrapText="1" shrinkToFit="1"/>
    </xf>
    <xf numFmtId="0" fontId="52" fillId="0" borderId="42" xfId="0" applyFont="1" applyFill="1" applyBorder="1" applyAlignment="1" applyProtection="1">
      <alignment horizontal="center" vertical="center" wrapText="1"/>
    </xf>
    <xf numFmtId="0" fontId="51" fillId="2" borderId="42" xfId="0" applyFont="1" applyFill="1" applyBorder="1" applyAlignment="1" applyProtection="1">
      <alignment horizontal="center" vertical="center" wrapText="1"/>
      <protection locked="0"/>
    </xf>
    <xf numFmtId="178" fontId="52" fillId="0" borderId="42" xfId="0" applyNumberFormat="1" applyFont="1" applyFill="1" applyBorder="1" applyAlignment="1" applyProtection="1">
      <alignment horizontal="center" vertical="center" wrapText="1"/>
    </xf>
    <xf numFmtId="178" fontId="72" fillId="0" borderId="42" xfId="0" applyNumberFormat="1" applyFont="1" applyFill="1" applyBorder="1" applyAlignment="1" applyProtection="1">
      <alignment horizontal="center" vertical="center" wrapText="1" shrinkToFit="1"/>
    </xf>
    <xf numFmtId="0" fontId="25" fillId="0" borderId="42" xfId="0" applyFont="1" applyFill="1" applyBorder="1" applyAlignment="1" applyProtection="1">
      <alignment horizontal="center" vertical="center" wrapText="1"/>
      <protection locked="0"/>
    </xf>
    <xf numFmtId="0" fontId="51" fillId="2" borderId="42" xfId="0" applyFont="1" applyFill="1" applyBorder="1" applyAlignment="1" applyProtection="1">
      <alignment horizontal="center" vertical="center"/>
      <protection locked="0"/>
    </xf>
    <xf numFmtId="0" fontId="52" fillId="0" borderId="0" xfId="0" applyFont="1" applyFill="1" applyBorder="1" applyAlignment="1" applyProtection="1">
      <alignment horizontal="center" vertical="center"/>
      <protection locked="0"/>
    </xf>
    <xf numFmtId="179" fontId="72" fillId="0" borderId="0" xfId="0" applyNumberFormat="1" applyFont="1" applyFill="1" applyBorder="1" applyAlignment="1" applyProtection="1">
      <alignment horizontal="center" vertical="center"/>
    </xf>
    <xf numFmtId="0" fontId="52" fillId="0" borderId="0" xfId="0" applyFont="1" applyFill="1" applyBorder="1" applyAlignment="1" applyProtection="1">
      <alignment horizontal="center" vertical="center" wrapText="1" shrinkToFit="1"/>
      <protection locked="0"/>
    </xf>
    <xf numFmtId="0" fontId="72" fillId="0" borderId="0" xfId="0" applyNumberFormat="1" applyFont="1" applyFill="1" applyBorder="1" applyAlignment="1" applyProtection="1">
      <alignment horizontal="center" vertical="center" shrinkToFit="1"/>
      <protection locked="0"/>
    </xf>
    <xf numFmtId="0" fontId="52" fillId="0" borderId="0" xfId="0" applyFont="1" applyFill="1" applyBorder="1" applyAlignment="1" applyProtection="1">
      <alignment horizontal="center" vertical="center" wrapText="1"/>
      <protection locked="0"/>
    </xf>
    <xf numFmtId="0" fontId="72" fillId="0" borderId="0" xfId="0" applyFont="1" applyFill="1" applyBorder="1" applyAlignment="1" applyProtection="1">
      <alignment horizontal="center" vertical="center" wrapText="1" shrinkToFit="1"/>
      <protection locked="0"/>
    </xf>
    <xf numFmtId="0" fontId="72" fillId="0" borderId="0" xfId="0" applyFont="1" applyFill="1" applyBorder="1" applyAlignment="1" applyProtection="1">
      <alignment horizontal="center" vertical="center"/>
      <protection locked="0"/>
    </xf>
    <xf numFmtId="0" fontId="72" fillId="0" borderId="0" xfId="0" applyFont="1" applyFill="1" applyBorder="1" applyAlignment="1" applyProtection="1">
      <alignment horizontal="center" vertical="center"/>
    </xf>
    <xf numFmtId="180" fontId="52" fillId="0" borderId="0" xfId="0" applyNumberFormat="1" applyFont="1" applyFill="1" applyBorder="1" applyAlignment="1" applyProtection="1">
      <alignment horizontal="center" vertical="center" wrapText="1" shrinkToFit="1"/>
      <protection locked="0"/>
    </xf>
    <xf numFmtId="176" fontId="52" fillId="0" borderId="0" xfId="0" applyNumberFormat="1" applyFont="1" applyFill="1" applyBorder="1" applyAlignment="1" applyProtection="1">
      <alignment horizontal="center" vertical="center" wrapText="1"/>
      <protection locked="0"/>
    </xf>
    <xf numFmtId="3" fontId="72" fillId="0" borderId="0" xfId="0" applyNumberFormat="1" applyFont="1" applyFill="1" applyBorder="1" applyAlignment="1" applyProtection="1">
      <alignment horizontal="center" vertical="center"/>
      <protection locked="0"/>
    </xf>
    <xf numFmtId="176" fontId="52" fillId="0" borderId="0" xfId="0" applyNumberFormat="1" applyFont="1" applyFill="1" applyBorder="1" applyAlignment="1" applyProtection="1">
      <alignment horizontal="center" vertical="center" wrapText="1"/>
    </xf>
    <xf numFmtId="178" fontId="72" fillId="0" borderId="1" xfId="0" applyNumberFormat="1" applyFont="1" applyFill="1" applyBorder="1" applyAlignment="1" applyProtection="1">
      <alignment horizontal="center" vertical="center" wrapText="1"/>
    </xf>
    <xf numFmtId="178" fontId="72" fillId="0" borderId="1" xfId="0" applyNumberFormat="1" applyFont="1" applyFill="1" applyBorder="1" applyAlignment="1" applyProtection="1">
      <alignment horizontal="center" vertical="center"/>
    </xf>
    <xf numFmtId="178" fontId="63" fillId="2" borderId="1" xfId="0" applyNumberFormat="1" applyFont="1" applyFill="1" applyBorder="1" applyAlignment="1" applyProtection="1">
      <alignment horizontal="center" vertical="center"/>
    </xf>
    <xf numFmtId="0" fontId="52" fillId="0" borderId="1" xfId="0" applyFont="1" applyFill="1" applyBorder="1" applyAlignment="1">
      <alignment horizontal="center" vertical="center" wrapText="1"/>
    </xf>
    <xf numFmtId="0" fontId="52" fillId="0" borderId="1" xfId="0" applyFont="1" applyFill="1" applyBorder="1" applyAlignment="1">
      <alignment horizontal="center" vertical="center" wrapText="1" shrinkToFit="1"/>
    </xf>
    <xf numFmtId="182" fontId="52" fillId="0" borderId="1" xfId="0" applyNumberFormat="1" applyFont="1" applyFill="1" applyBorder="1" applyAlignment="1">
      <alignment horizontal="center" vertical="center"/>
    </xf>
    <xf numFmtId="0" fontId="52" fillId="0" borderId="1" xfId="0" applyFont="1" applyFill="1" applyBorder="1" applyAlignment="1">
      <alignment horizontal="center" vertical="center"/>
    </xf>
    <xf numFmtId="180" fontId="52" fillId="0" borderId="1" xfId="0" applyNumberFormat="1" applyFont="1" applyFill="1" applyBorder="1" applyAlignment="1">
      <alignment horizontal="center" vertical="center" wrapText="1" shrinkToFit="1"/>
    </xf>
    <xf numFmtId="0" fontId="13" fillId="0" borderId="1" xfId="0" applyFont="1" applyFill="1" applyBorder="1" applyAlignment="1" applyProtection="1">
      <alignment horizontal="center" vertical="center"/>
      <protection locked="0"/>
    </xf>
    <xf numFmtId="0" fontId="72" fillId="0" borderId="39" xfId="0" applyFont="1" applyFill="1" applyBorder="1" applyAlignment="1" applyProtection="1">
      <alignment horizontal="center" vertical="center" wrapText="1" shrinkToFit="1"/>
      <protection locked="0"/>
    </xf>
    <xf numFmtId="178" fontId="72" fillId="15" borderId="1" xfId="0" applyNumberFormat="1" applyFont="1" applyFill="1" applyBorder="1" applyAlignment="1" applyProtection="1">
      <alignment horizontal="center" vertical="center" wrapText="1"/>
    </xf>
    <xf numFmtId="0" fontId="52" fillId="15" borderId="0"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vertical="center" wrapText="1" shrinkToFit="1"/>
      <protection locked="0"/>
    </xf>
    <xf numFmtId="0" fontId="28" fillId="0" borderId="1" xfId="0" applyNumberFormat="1" applyFont="1" applyFill="1" applyBorder="1" applyAlignment="1" applyProtection="1">
      <alignment horizontal="center" vertical="center" shrinkToFit="1"/>
      <protection locked="0"/>
    </xf>
    <xf numFmtId="0" fontId="28" fillId="0" borderId="1" xfId="0" applyNumberFormat="1" applyFont="1" applyFill="1" applyBorder="1" applyAlignment="1" applyProtection="1">
      <alignment horizontal="center" vertical="center" wrapText="1"/>
      <protection locked="0"/>
    </xf>
    <xf numFmtId="0" fontId="28" fillId="0" borderId="1" xfId="0"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xf>
    <xf numFmtId="176" fontId="25" fillId="0" borderId="1" xfId="0" applyNumberFormat="1" applyFont="1" applyFill="1" applyBorder="1" applyAlignment="1" applyProtection="1">
      <alignment horizontal="center" vertical="center" wrapText="1"/>
      <protection locked="0"/>
    </xf>
    <xf numFmtId="176" fontId="67" fillId="0" borderId="1" xfId="0" applyNumberFormat="1" applyFont="1" applyFill="1" applyBorder="1" applyAlignment="1" applyProtection="1">
      <alignment horizontal="center" vertical="center" wrapText="1"/>
      <protection locked="0"/>
    </xf>
    <xf numFmtId="0" fontId="25" fillId="0" borderId="1" xfId="0" applyNumberFormat="1" applyFont="1" applyFill="1" applyBorder="1" applyAlignment="1" applyProtection="1">
      <alignment horizontal="center" vertical="center" wrapText="1"/>
      <protection locked="0"/>
    </xf>
    <xf numFmtId="176" fontId="28" fillId="0" borderId="1" xfId="0" applyNumberFormat="1" applyFont="1" applyFill="1" applyBorder="1" applyAlignment="1" applyProtection="1">
      <alignment horizontal="center" vertical="center" wrapText="1"/>
    </xf>
    <xf numFmtId="184" fontId="28" fillId="0" borderId="1" xfId="0" applyNumberFormat="1" applyFont="1" applyFill="1" applyBorder="1" applyAlignment="1" applyProtection="1">
      <alignment horizontal="center" vertical="center"/>
    </xf>
    <xf numFmtId="177" fontId="28" fillId="0" borderId="1" xfId="0" applyNumberFormat="1" applyFont="1" applyFill="1" applyBorder="1" applyAlignment="1" applyProtection="1">
      <alignment horizontal="center" vertical="center"/>
    </xf>
    <xf numFmtId="0" fontId="28" fillId="0" borderId="1" xfId="0" applyFont="1" applyFill="1" applyBorder="1" applyAlignment="1" applyProtection="1">
      <alignment horizontal="center" vertical="center" wrapText="1" shrinkToFit="1"/>
    </xf>
    <xf numFmtId="0" fontId="25" fillId="2" borderId="1" xfId="0" applyFont="1" applyFill="1" applyBorder="1" applyAlignment="1" applyProtection="1">
      <alignment horizontal="center" vertical="center"/>
    </xf>
    <xf numFmtId="0" fontId="25" fillId="2" borderId="1" xfId="0" applyFont="1" applyFill="1" applyBorder="1" applyAlignment="1" applyProtection="1">
      <alignment horizontal="center" vertical="center" wrapText="1" shrinkToFit="1"/>
    </xf>
    <xf numFmtId="0" fontId="28" fillId="2" borderId="1" xfId="0" applyNumberFormat="1" applyFont="1" applyFill="1" applyBorder="1" applyAlignment="1" applyProtection="1">
      <alignment horizontal="center" vertical="center"/>
    </xf>
    <xf numFmtId="0" fontId="28"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178" fontId="64" fillId="2" borderId="1" xfId="0" applyNumberFormat="1" applyFont="1" applyFill="1" applyBorder="1" applyAlignment="1" applyProtection="1">
      <alignment horizontal="center" vertical="center" wrapText="1"/>
    </xf>
    <xf numFmtId="0" fontId="25" fillId="2" borderId="0" xfId="0" applyFont="1" applyFill="1" applyBorder="1" applyAlignment="1" applyProtection="1">
      <alignment horizontal="center" vertical="center"/>
      <protection locked="0"/>
    </xf>
    <xf numFmtId="180" fontId="13" fillId="2" borderId="1" xfId="0" applyNumberFormat="1" applyFont="1" applyFill="1" applyBorder="1" applyAlignment="1" applyProtection="1">
      <alignment horizontal="center" vertical="center" wrapText="1" shrinkToFit="1"/>
      <protection locked="0"/>
    </xf>
    <xf numFmtId="0" fontId="52" fillId="2" borderId="1" xfId="0" applyNumberFormat="1" applyFont="1" applyFill="1" applyBorder="1" applyAlignment="1" applyProtection="1">
      <alignment horizontal="center" vertical="center" wrapText="1"/>
      <protection locked="0"/>
    </xf>
    <xf numFmtId="0" fontId="52" fillId="2" borderId="1" xfId="0" applyFont="1" applyFill="1" applyBorder="1" applyAlignment="1" applyProtection="1">
      <alignment horizontal="center" vertical="center"/>
    </xf>
    <xf numFmtId="0" fontId="52" fillId="2" borderId="1" xfId="0" applyFont="1" applyFill="1" applyBorder="1" applyAlignment="1" applyProtection="1">
      <alignment horizontal="center" vertical="center" wrapText="1" shrinkToFit="1"/>
    </xf>
    <xf numFmtId="0" fontId="72" fillId="2" borderId="1" xfId="0" applyNumberFormat="1" applyFont="1" applyFill="1" applyBorder="1" applyAlignment="1" applyProtection="1">
      <alignment horizontal="center" vertical="center"/>
    </xf>
    <xf numFmtId="178" fontId="72" fillId="2" borderId="1" xfId="0" applyNumberFormat="1" applyFont="1" applyFill="1" applyBorder="1" applyAlignment="1" applyProtection="1">
      <alignment horizontal="center" vertical="center" wrapText="1"/>
    </xf>
    <xf numFmtId="0" fontId="52" fillId="2" borderId="0" xfId="0" applyFont="1" applyFill="1" applyBorder="1" applyAlignment="1" applyProtection="1">
      <alignment horizontal="center" vertical="center"/>
      <protection locked="0"/>
    </xf>
    <xf numFmtId="180" fontId="13" fillId="2" borderId="21" xfId="0" applyNumberFormat="1" applyFont="1" applyFill="1" applyBorder="1" applyAlignment="1" applyProtection="1">
      <alignment horizontal="center" vertical="center" wrapText="1" shrinkToFit="1"/>
      <protection locked="0"/>
    </xf>
    <xf numFmtId="176" fontId="13" fillId="0" borderId="21" xfId="0" applyNumberFormat="1" applyFont="1" applyFill="1" applyBorder="1" applyAlignment="1" applyProtection="1">
      <alignment horizontal="center" vertical="center" wrapText="1"/>
      <protection locked="0"/>
    </xf>
    <xf numFmtId="180" fontId="52" fillId="2" borderId="1" xfId="0" applyNumberFormat="1" applyFont="1" applyFill="1" applyBorder="1" applyAlignment="1" applyProtection="1">
      <alignment horizontal="center" vertical="center" wrapText="1" shrinkToFit="1"/>
      <protection locked="0"/>
    </xf>
    <xf numFmtId="181" fontId="72" fillId="0" borderId="1" xfId="0" applyNumberFormat="1" applyFont="1" applyFill="1" applyBorder="1" applyAlignment="1" applyProtection="1">
      <alignment horizontal="center" vertical="center"/>
    </xf>
    <xf numFmtId="182" fontId="28" fillId="2" borderId="1" xfId="0" applyNumberFormat="1" applyFont="1" applyFill="1" applyBorder="1" applyAlignment="1" applyProtection="1">
      <alignment horizontal="center" vertical="center" wrapText="1"/>
    </xf>
    <xf numFmtId="0" fontId="25" fillId="2" borderId="1" xfId="0" applyFont="1" applyFill="1" applyBorder="1" applyProtection="1">
      <alignment vertical="center"/>
      <protection locked="0"/>
    </xf>
    <xf numFmtId="0" fontId="25" fillId="0" borderId="39" xfId="0" applyFont="1" applyFill="1" applyBorder="1" applyAlignment="1" applyProtection="1">
      <alignment horizontal="center" vertical="center" wrapText="1"/>
      <protection locked="0"/>
    </xf>
    <xf numFmtId="0" fontId="25" fillId="2" borderId="1" xfId="0" applyFont="1" applyFill="1" applyBorder="1" applyAlignment="1" applyProtection="1">
      <alignment horizontal="center" vertical="center"/>
      <protection locked="0"/>
    </xf>
    <xf numFmtId="179" fontId="72" fillId="0" borderId="39" xfId="0" applyNumberFormat="1" applyFont="1" applyFill="1" applyBorder="1" applyAlignment="1" applyProtection="1">
      <alignment horizontal="center" vertical="center"/>
    </xf>
    <xf numFmtId="0" fontId="52" fillId="0" borderId="39" xfId="0" applyFont="1" applyFill="1" applyBorder="1" applyProtection="1">
      <alignment vertical="center"/>
      <protection locked="0"/>
    </xf>
    <xf numFmtId="0" fontId="52" fillId="0" borderId="39" xfId="0" applyFont="1" applyFill="1" applyBorder="1" applyAlignment="1" applyProtection="1">
      <alignment horizontal="center" vertical="center" wrapText="1" shrinkToFit="1"/>
      <protection locked="0"/>
    </xf>
    <xf numFmtId="0" fontId="72" fillId="0" borderId="39" xfId="0" applyNumberFormat="1" applyFont="1" applyFill="1" applyBorder="1" applyAlignment="1" applyProtection="1">
      <alignment horizontal="center" vertical="center" shrinkToFit="1"/>
      <protection locked="0"/>
    </xf>
    <xf numFmtId="0" fontId="72" fillId="0" borderId="39" xfId="0" applyFont="1" applyFill="1" applyBorder="1" applyAlignment="1" applyProtection="1">
      <alignment horizontal="center" vertical="center"/>
      <protection locked="0"/>
    </xf>
    <xf numFmtId="0" fontId="72" fillId="0" borderId="39" xfId="0" applyFont="1" applyFill="1" applyBorder="1" applyAlignment="1" applyProtection="1">
      <alignment horizontal="center" vertical="center" wrapText="1"/>
      <protection locked="0"/>
    </xf>
    <xf numFmtId="0" fontId="72" fillId="0" borderId="39" xfId="0" applyFont="1" applyFill="1" applyBorder="1" applyAlignment="1" applyProtection="1">
      <alignment horizontal="center" vertical="center"/>
    </xf>
    <xf numFmtId="180" fontId="52" fillId="0" borderId="39" xfId="0" applyNumberFormat="1" applyFont="1" applyFill="1" applyBorder="1" applyAlignment="1" applyProtection="1">
      <alignment horizontal="center" vertical="center" wrapText="1" shrinkToFit="1"/>
      <protection locked="0"/>
    </xf>
    <xf numFmtId="0" fontId="52" fillId="0" borderId="39" xfId="0" applyFont="1" applyFill="1" applyBorder="1" applyAlignment="1" applyProtection="1">
      <alignment horizontal="center" vertical="center"/>
      <protection locked="0"/>
    </xf>
    <xf numFmtId="176" fontId="52" fillId="0" borderId="39" xfId="0" applyNumberFormat="1" applyFont="1" applyFill="1" applyBorder="1" applyAlignment="1" applyProtection="1">
      <alignment horizontal="center" vertical="center" wrapText="1"/>
      <protection locked="0"/>
    </xf>
    <xf numFmtId="176" fontId="13" fillId="0" borderId="39" xfId="0" applyNumberFormat="1" applyFont="1" applyFill="1" applyBorder="1" applyAlignment="1" applyProtection="1">
      <alignment horizontal="center" vertical="center" wrapText="1"/>
      <protection locked="0"/>
    </xf>
    <xf numFmtId="176" fontId="52" fillId="0" borderId="39" xfId="0" applyNumberFormat="1" applyFont="1" applyFill="1" applyBorder="1" applyAlignment="1" applyProtection="1">
      <alignment horizontal="center" vertical="center" wrapText="1"/>
    </xf>
    <xf numFmtId="0" fontId="52" fillId="0" borderId="39" xfId="0" applyNumberFormat="1" applyFont="1" applyFill="1" applyBorder="1" applyAlignment="1" applyProtection="1">
      <alignment horizontal="center" vertical="center" wrapText="1"/>
    </xf>
    <xf numFmtId="177" fontId="72" fillId="0" borderId="39" xfId="0" applyNumberFormat="1" applyFont="1" applyFill="1" applyBorder="1" applyAlignment="1" applyProtection="1">
      <alignment horizontal="center" vertical="center"/>
    </xf>
    <xf numFmtId="0" fontId="72" fillId="0" borderId="39" xfId="0" applyNumberFormat="1" applyFont="1" applyFill="1" applyBorder="1" applyAlignment="1" applyProtection="1">
      <alignment horizontal="center" vertical="center"/>
    </xf>
    <xf numFmtId="0" fontId="72" fillId="0" borderId="39" xfId="0" applyNumberFormat="1" applyFont="1" applyFill="1" applyBorder="1" applyAlignment="1" applyProtection="1">
      <alignment horizontal="center" vertical="center" wrapText="1" shrinkToFit="1"/>
    </xf>
    <xf numFmtId="0" fontId="28" fillId="0" borderId="39" xfId="0" applyFont="1" applyFill="1" applyBorder="1" applyAlignment="1" applyProtection="1">
      <alignment horizontal="center" vertical="center" wrapText="1" shrinkToFit="1"/>
      <protection locked="0"/>
    </xf>
    <xf numFmtId="178" fontId="72" fillId="0" borderId="39" xfId="0" applyNumberFormat="1" applyFont="1" applyFill="1" applyBorder="1" applyAlignment="1" applyProtection="1">
      <alignment horizontal="center" vertical="center" wrapText="1"/>
    </xf>
    <xf numFmtId="178" fontId="72" fillId="0" borderId="39" xfId="0" applyNumberFormat="1" applyFont="1" applyFill="1" applyBorder="1" applyAlignment="1" applyProtection="1">
      <alignment horizontal="center" vertical="center"/>
    </xf>
    <xf numFmtId="0" fontId="25" fillId="15" borderId="1" xfId="0" applyFont="1" applyFill="1" applyBorder="1" applyAlignment="1" applyProtection="1">
      <alignment horizontal="center" vertical="center" wrapText="1" shrinkToFit="1"/>
    </xf>
    <xf numFmtId="182" fontId="72" fillId="15" borderId="1" xfId="0" applyNumberFormat="1" applyFont="1" applyFill="1" applyBorder="1" applyAlignment="1" applyProtection="1">
      <alignment horizontal="center" vertical="center" wrapText="1"/>
    </xf>
    <xf numFmtId="0" fontId="52" fillId="0" borderId="39" xfId="0" applyFont="1" applyFill="1" applyBorder="1" applyAlignment="1" applyProtection="1">
      <alignment horizontal="center" vertical="center" wrapText="1"/>
    </xf>
    <xf numFmtId="178" fontId="52" fillId="0" borderId="39" xfId="0" applyNumberFormat="1" applyFont="1" applyFill="1" applyBorder="1" applyAlignment="1" applyProtection="1">
      <alignment horizontal="center" vertical="center" wrapText="1" shrinkToFit="1"/>
    </xf>
    <xf numFmtId="0" fontId="25" fillId="0" borderId="39" xfId="0" applyFont="1" applyFill="1" applyBorder="1" applyAlignment="1" applyProtection="1">
      <alignment horizontal="center" vertical="center" wrapText="1" shrinkToFit="1"/>
    </xf>
    <xf numFmtId="0" fontId="72" fillId="0" borderId="39" xfId="0" applyFont="1" applyFill="1" applyBorder="1" applyAlignment="1" applyProtection="1">
      <alignment horizontal="center" vertical="center" wrapText="1"/>
    </xf>
    <xf numFmtId="0" fontId="72" fillId="15" borderId="1" xfId="0" applyFont="1" applyFill="1" applyBorder="1" applyAlignment="1" applyProtection="1">
      <alignment horizontal="center" vertical="center" wrapText="1"/>
    </xf>
    <xf numFmtId="178" fontId="72" fillId="15" borderId="1" xfId="0" applyNumberFormat="1" applyFont="1" applyFill="1" applyBorder="1" applyAlignment="1" applyProtection="1">
      <alignment horizontal="center" vertical="center" wrapText="1" shrinkToFit="1"/>
    </xf>
    <xf numFmtId="0" fontId="52" fillId="15" borderId="1" xfId="0" applyFont="1" applyFill="1" applyBorder="1" applyProtection="1">
      <alignment vertical="center"/>
      <protection locked="0"/>
    </xf>
    <xf numFmtId="0" fontId="52" fillId="0" borderId="39" xfId="0" applyFont="1" applyFill="1" applyBorder="1" applyAlignment="1" applyProtection="1">
      <alignment horizontal="center" vertical="center" wrapText="1"/>
      <protection locked="0"/>
    </xf>
    <xf numFmtId="182" fontId="72" fillId="0" borderId="39" xfId="0" applyNumberFormat="1" applyFont="1" applyFill="1" applyBorder="1" applyAlignment="1" applyProtection="1">
      <alignment horizontal="center" vertical="center" wrapText="1"/>
    </xf>
    <xf numFmtId="0" fontId="52" fillId="15" borderId="1" xfId="0" applyFont="1" applyFill="1" applyBorder="1" applyAlignment="1" applyProtection="1">
      <alignment horizontal="center" vertical="center"/>
      <protection locked="0"/>
    </xf>
    <xf numFmtId="178" fontId="72" fillId="0" borderId="38" xfId="0" applyNumberFormat="1" applyFont="1" applyFill="1" applyBorder="1" applyAlignment="1" applyProtection="1">
      <alignment horizontal="center" vertical="center"/>
    </xf>
    <xf numFmtId="0" fontId="52" fillId="0" borderId="37" xfId="0" applyFont="1" applyFill="1" applyBorder="1" applyAlignment="1" applyProtection="1">
      <alignment horizontal="center" vertical="center"/>
      <protection locked="0"/>
    </xf>
    <xf numFmtId="0" fontId="25" fillId="15" borderId="38" xfId="0" applyFont="1" applyFill="1" applyBorder="1" applyAlignment="1" applyProtection="1">
      <alignment horizontal="center" vertical="center" wrapText="1" shrinkToFit="1"/>
    </xf>
    <xf numFmtId="182" fontId="72" fillId="15" borderId="37" xfId="0" applyNumberFormat="1" applyFont="1" applyFill="1" applyBorder="1" applyAlignment="1" applyProtection="1">
      <alignment horizontal="center" vertical="center" wrapText="1"/>
    </xf>
    <xf numFmtId="182" fontId="72" fillId="15" borderId="38" xfId="0" applyNumberFormat="1" applyFont="1" applyFill="1" applyBorder="1" applyAlignment="1" applyProtection="1">
      <alignment horizontal="center" vertical="center" wrapText="1"/>
    </xf>
    <xf numFmtId="0" fontId="72" fillId="15" borderId="38" xfId="0" applyFont="1" applyFill="1" applyBorder="1" applyAlignment="1" applyProtection="1">
      <alignment horizontal="center" vertical="center" wrapText="1"/>
    </xf>
    <xf numFmtId="0" fontId="72" fillId="15" borderId="37" xfId="0" applyFont="1" applyFill="1" applyBorder="1" applyAlignment="1" applyProtection="1">
      <alignment horizontal="center" vertical="center" wrapText="1"/>
    </xf>
    <xf numFmtId="178" fontId="72" fillId="15" borderId="38" xfId="0" applyNumberFormat="1" applyFont="1" applyFill="1" applyBorder="1" applyAlignment="1" applyProtection="1">
      <alignment horizontal="center" vertical="center" wrapText="1" shrinkToFit="1"/>
    </xf>
    <xf numFmtId="0" fontId="52" fillId="15" borderId="37" xfId="0" applyFont="1" applyFill="1" applyBorder="1" applyProtection="1">
      <alignment vertical="center"/>
      <protection locked="0"/>
    </xf>
    <xf numFmtId="0" fontId="52" fillId="15" borderId="38" xfId="0" applyFont="1" applyFill="1" applyBorder="1" applyAlignment="1" applyProtection="1">
      <alignment horizontal="center" vertical="center"/>
      <protection locked="0"/>
    </xf>
    <xf numFmtId="0" fontId="52" fillId="15" borderId="37" xfId="0" applyFont="1" applyFill="1" applyBorder="1" applyAlignment="1" applyProtection="1">
      <alignment horizontal="center" vertical="center"/>
      <protection locked="0"/>
    </xf>
    <xf numFmtId="180" fontId="52" fillId="0" borderId="42" xfId="0" applyNumberFormat="1" applyFont="1" applyFill="1" applyBorder="1" applyAlignment="1" applyProtection="1">
      <alignment horizontal="center" vertical="center" wrapText="1" shrinkToFit="1"/>
      <protection locked="0"/>
    </xf>
    <xf numFmtId="0" fontId="28" fillId="0" borderId="42" xfId="0" applyFont="1" applyFill="1" applyBorder="1" applyAlignment="1" applyProtection="1">
      <alignment horizontal="center" vertical="center" wrapText="1" shrinkToFit="1"/>
      <protection locked="0"/>
    </xf>
    <xf numFmtId="178" fontId="72" fillId="0" borderId="42" xfId="0" applyNumberFormat="1" applyFont="1" applyFill="1" applyBorder="1" applyAlignment="1" applyProtection="1">
      <alignment horizontal="center" vertical="center" wrapText="1"/>
    </xf>
    <xf numFmtId="0" fontId="52" fillId="0" borderId="42" xfId="0" applyFont="1" applyFill="1" applyBorder="1" applyAlignment="1" applyProtection="1">
      <alignment horizontal="center" vertical="center"/>
    </xf>
    <xf numFmtId="0" fontId="72" fillId="0" borderId="42" xfId="0" applyFont="1" applyFill="1" applyBorder="1" applyAlignment="1" applyProtection="1">
      <alignment horizontal="center" vertical="center" wrapText="1"/>
    </xf>
    <xf numFmtId="0" fontId="52" fillId="0" borderId="42"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72" fillId="0" borderId="6" xfId="0" applyFont="1" applyFill="1" applyBorder="1" applyAlignment="1" applyProtection="1">
      <alignment horizontal="center" vertical="center"/>
    </xf>
    <xf numFmtId="177" fontId="72" fillId="0" borderId="6" xfId="0" applyNumberFormat="1" applyFont="1" applyFill="1" applyBorder="1" applyAlignment="1" applyProtection="1">
      <alignment horizontal="center" vertical="center"/>
    </xf>
    <xf numFmtId="0" fontId="72" fillId="0" borderId="6" xfId="0" applyNumberFormat="1" applyFont="1" applyFill="1" applyBorder="1" applyAlignment="1" applyProtection="1">
      <alignment horizontal="center" vertical="center" wrapText="1" shrinkToFit="1"/>
      <protection locked="0"/>
    </xf>
    <xf numFmtId="0" fontId="52" fillId="0" borderId="6" xfId="0" applyFont="1" applyFill="1" applyBorder="1" applyAlignment="1" applyProtection="1">
      <alignment horizontal="center" vertical="center"/>
    </xf>
    <xf numFmtId="0" fontId="72" fillId="2" borderId="39" xfId="0" applyFont="1" applyFill="1" applyBorder="1" applyAlignment="1" applyProtection="1">
      <alignment horizontal="center" vertical="center" wrapText="1"/>
      <protection locked="0"/>
    </xf>
    <xf numFmtId="0" fontId="52" fillId="2" borderId="39" xfId="0" applyNumberFormat="1" applyFont="1" applyFill="1" applyBorder="1" applyAlignment="1" applyProtection="1">
      <alignment horizontal="center" vertical="center" wrapText="1"/>
      <protection locked="0"/>
    </xf>
    <xf numFmtId="176" fontId="72" fillId="0" borderId="39" xfId="0" applyNumberFormat="1" applyFont="1" applyFill="1" applyBorder="1" applyAlignment="1" applyProtection="1">
      <alignment horizontal="center" vertical="center" wrapText="1"/>
    </xf>
    <xf numFmtId="184" fontId="72" fillId="0" borderId="39" xfId="0" applyNumberFormat="1" applyFont="1" applyFill="1" applyBorder="1" applyAlignment="1" applyProtection="1">
      <alignment horizontal="center" vertical="center"/>
    </xf>
    <xf numFmtId="0" fontId="52" fillId="0" borderId="39" xfId="0" applyFont="1" applyFill="1" applyBorder="1" applyAlignment="1" applyProtection="1">
      <alignment horizontal="center" vertical="center"/>
    </xf>
    <xf numFmtId="0" fontId="72" fillId="0" borderId="39" xfId="0" applyFont="1" applyFill="1" applyBorder="1" applyAlignment="1" applyProtection="1">
      <alignment horizontal="center" vertical="center" wrapText="1" shrinkToFit="1"/>
    </xf>
    <xf numFmtId="0" fontId="52" fillId="15" borderId="39" xfId="0" applyFont="1" applyFill="1" applyBorder="1" applyAlignment="1" applyProtection="1">
      <alignment horizontal="center" vertical="center"/>
    </xf>
    <xf numFmtId="0" fontId="52" fillId="15" borderId="39" xfId="0" applyFont="1" applyFill="1" applyBorder="1" applyAlignment="1" applyProtection="1">
      <alignment horizontal="center" vertical="center" wrapText="1" shrinkToFit="1"/>
    </xf>
    <xf numFmtId="0" fontId="52" fillId="0" borderId="39" xfId="0" applyFont="1" applyFill="1" applyBorder="1" applyAlignment="1" applyProtection="1">
      <alignment horizontal="center" vertical="center" wrapText="1" shrinkToFit="1"/>
    </xf>
    <xf numFmtId="0" fontId="72" fillId="15" borderId="39" xfId="0" applyNumberFormat="1" applyFont="1" applyFill="1" applyBorder="1" applyAlignment="1" applyProtection="1">
      <alignment horizontal="center" vertical="center"/>
    </xf>
    <xf numFmtId="178" fontId="72" fillId="0" borderId="39" xfId="0" applyNumberFormat="1" applyFont="1" applyFill="1" applyBorder="1" applyAlignment="1" applyProtection="1">
      <alignment horizontal="center" vertical="center" wrapText="1" shrinkToFit="1"/>
    </xf>
    <xf numFmtId="178" fontId="72" fillId="15" borderId="39" xfId="0" applyNumberFormat="1" applyFont="1" applyFill="1" applyBorder="1" applyAlignment="1" applyProtection="1">
      <alignment horizontal="center" vertical="center" wrapText="1"/>
    </xf>
    <xf numFmtId="178" fontId="52" fillId="0" borderId="39" xfId="0" applyNumberFormat="1" applyFont="1" applyFill="1" applyBorder="1" applyAlignment="1" applyProtection="1">
      <alignment horizontal="center" vertical="center" wrapText="1"/>
    </xf>
    <xf numFmtId="0" fontId="52" fillId="15" borderId="1" xfId="0" applyFont="1" applyFill="1" applyBorder="1" applyAlignment="1" applyProtection="1">
      <alignment horizontal="center" vertical="center" wrapText="1"/>
      <protection locked="0"/>
    </xf>
    <xf numFmtId="0" fontId="25" fillId="15" borderId="42" xfId="0" applyFont="1" applyFill="1" applyBorder="1" applyAlignment="1" applyProtection="1">
      <alignment horizontal="center" vertical="center" wrapText="1" shrinkToFit="1"/>
    </xf>
    <xf numFmtId="0" fontId="72" fillId="15" borderId="42" xfId="0" applyFont="1" applyFill="1" applyBorder="1" applyAlignment="1" applyProtection="1">
      <alignment horizontal="center" vertical="center" wrapText="1"/>
    </xf>
    <xf numFmtId="0" fontId="52" fillId="15" borderId="42" xfId="0" applyFont="1" applyFill="1" applyBorder="1" applyAlignment="1" applyProtection="1">
      <alignment horizontal="center" vertical="center" wrapText="1"/>
      <protection locked="0"/>
    </xf>
    <xf numFmtId="182" fontId="72" fillId="15" borderId="42" xfId="0" applyNumberFormat="1" applyFont="1" applyFill="1" applyBorder="1" applyAlignment="1" applyProtection="1">
      <alignment horizontal="center" vertical="center" wrapText="1"/>
    </xf>
    <xf numFmtId="0" fontId="52" fillId="15" borderId="42" xfId="0" applyFont="1" applyFill="1" applyBorder="1" applyAlignment="1" applyProtection="1">
      <alignment horizontal="center" vertical="center"/>
      <protection locked="0"/>
    </xf>
    <xf numFmtId="0" fontId="52" fillId="15" borderId="42" xfId="0" applyFont="1" applyFill="1" applyBorder="1" applyProtection="1">
      <alignment vertical="center"/>
      <protection locked="0"/>
    </xf>
    <xf numFmtId="0" fontId="52" fillId="15" borderId="0" xfId="0" applyFont="1" applyFill="1" applyBorder="1" applyProtection="1">
      <alignment vertical="center"/>
      <protection locked="0"/>
    </xf>
    <xf numFmtId="176" fontId="49" fillId="0" borderId="1" xfId="0" applyNumberFormat="1" applyFont="1" applyFill="1" applyBorder="1" applyAlignment="1" applyProtection="1">
      <alignment horizontal="center" vertical="center" wrapText="1"/>
      <protection locked="0"/>
    </xf>
    <xf numFmtId="178" fontId="72" fillId="15" borderId="38" xfId="0" applyNumberFormat="1" applyFont="1" applyFill="1" applyBorder="1" applyAlignment="1" applyProtection="1">
      <alignment horizontal="center" vertical="center" wrapText="1"/>
    </xf>
    <xf numFmtId="178" fontId="72" fillId="15" borderId="37" xfId="0" applyNumberFormat="1" applyFont="1" applyFill="1" applyBorder="1" applyAlignment="1" applyProtection="1">
      <alignment horizontal="center" vertical="center" wrapText="1"/>
    </xf>
    <xf numFmtId="0" fontId="25" fillId="15" borderId="39" xfId="0" applyFont="1" applyFill="1" applyBorder="1" applyAlignment="1" applyProtection="1">
      <alignment horizontal="center" vertical="center" wrapText="1" shrinkToFit="1"/>
    </xf>
    <xf numFmtId="182" fontId="72" fillId="15" borderId="39" xfId="0" applyNumberFormat="1" applyFont="1" applyFill="1" applyBorder="1" applyAlignment="1" applyProtection="1">
      <alignment horizontal="center" vertical="center" wrapText="1"/>
    </xf>
    <xf numFmtId="0" fontId="72" fillId="15" borderId="39" xfId="0" applyFont="1" applyFill="1" applyBorder="1" applyAlignment="1" applyProtection="1">
      <alignment horizontal="center" vertical="center" wrapText="1"/>
    </xf>
    <xf numFmtId="178" fontId="72" fillId="15" borderId="39" xfId="0" applyNumberFormat="1" applyFont="1" applyFill="1" applyBorder="1" applyAlignment="1" applyProtection="1">
      <alignment horizontal="center" vertical="center" wrapText="1" shrinkToFit="1"/>
    </xf>
    <xf numFmtId="0" fontId="52" fillId="15" borderId="39" xfId="0" applyFont="1" applyFill="1" applyBorder="1" applyProtection="1">
      <alignment vertical="center"/>
      <protection locked="0"/>
    </xf>
    <xf numFmtId="0" fontId="52" fillId="15" borderId="39" xfId="0" applyFont="1" applyFill="1" applyBorder="1" applyAlignment="1" applyProtection="1">
      <alignment horizontal="center" vertical="center"/>
      <protection locked="0"/>
    </xf>
    <xf numFmtId="0" fontId="13" fillId="0" borderId="42" xfId="0" applyFont="1" applyFill="1" applyBorder="1" applyAlignment="1" applyProtection="1">
      <alignment horizontal="center" vertical="center"/>
      <protection locked="0"/>
    </xf>
    <xf numFmtId="0" fontId="52" fillId="0" borderId="42" xfId="0" applyNumberFormat="1" applyFont="1" applyFill="1" applyBorder="1" applyAlignment="1" applyProtection="1">
      <alignment horizontal="center" vertical="center" wrapText="1"/>
      <protection locked="0"/>
    </xf>
    <xf numFmtId="176" fontId="72" fillId="0" borderId="42" xfId="0" applyNumberFormat="1" applyFont="1" applyFill="1" applyBorder="1" applyAlignment="1" applyProtection="1">
      <alignment horizontal="center" vertical="center" wrapText="1"/>
    </xf>
    <xf numFmtId="184" fontId="72" fillId="0" borderId="42" xfId="0" applyNumberFormat="1" applyFont="1" applyFill="1" applyBorder="1" applyAlignment="1" applyProtection="1">
      <alignment horizontal="center" vertical="center"/>
    </xf>
    <xf numFmtId="0" fontId="72" fillId="0" borderId="42" xfId="0" applyFont="1" applyFill="1" applyBorder="1" applyAlignment="1" applyProtection="1">
      <alignment horizontal="center" vertical="center" wrapText="1" shrinkToFit="1"/>
    </xf>
    <xf numFmtId="0" fontId="52" fillId="15" borderId="42" xfId="0" applyFont="1" applyFill="1" applyBorder="1" applyAlignment="1" applyProtection="1">
      <alignment horizontal="center" vertical="center"/>
    </xf>
    <xf numFmtId="0" fontId="52" fillId="15" borderId="42" xfId="0" applyFont="1" applyFill="1" applyBorder="1" applyAlignment="1" applyProtection="1">
      <alignment horizontal="center" vertical="center" wrapText="1" shrinkToFit="1"/>
    </xf>
    <xf numFmtId="0" fontId="52" fillId="0" borderId="42" xfId="0" applyFont="1" applyFill="1" applyBorder="1" applyAlignment="1" applyProtection="1">
      <alignment horizontal="center" vertical="center" wrapText="1" shrinkToFit="1"/>
    </xf>
    <xf numFmtId="0" fontId="72" fillId="15" borderId="42" xfId="0" applyNumberFormat="1" applyFont="1" applyFill="1" applyBorder="1" applyAlignment="1" applyProtection="1">
      <alignment horizontal="center" vertical="center"/>
    </xf>
    <xf numFmtId="178" fontId="72" fillId="15" borderId="42" xfId="0" applyNumberFormat="1" applyFont="1" applyFill="1" applyBorder="1" applyAlignment="1" applyProtection="1">
      <alignment horizontal="center" vertical="center" wrapText="1"/>
    </xf>
    <xf numFmtId="179" fontId="28" fillId="0" borderId="1" xfId="0" applyNumberFormat="1" applyFont="1" applyFill="1" applyBorder="1" applyAlignment="1" applyProtection="1">
      <alignment horizontal="center" vertical="center"/>
    </xf>
    <xf numFmtId="0" fontId="28" fillId="0" borderId="1" xfId="0" applyFont="1" applyFill="1" applyBorder="1" applyAlignment="1" applyProtection="1">
      <alignment horizontal="center" vertical="center" wrapText="1"/>
      <protection locked="0"/>
    </xf>
    <xf numFmtId="0" fontId="28" fillId="0" borderId="1" xfId="0" applyNumberFormat="1" applyFont="1" applyFill="1" applyBorder="1" applyAlignment="1" applyProtection="1">
      <alignment horizontal="center" vertical="center"/>
    </xf>
    <xf numFmtId="0" fontId="67" fillId="0" borderId="1" xfId="0" applyFont="1" applyFill="1" applyBorder="1" applyAlignment="1" applyProtection="1">
      <alignment horizontal="center" vertical="center"/>
    </xf>
    <xf numFmtId="179" fontId="28" fillId="0" borderId="0" xfId="0" applyNumberFormat="1" applyFont="1" applyFill="1" applyBorder="1" applyAlignment="1" applyProtection="1">
      <alignment horizontal="center" vertical="center"/>
    </xf>
    <xf numFmtId="0" fontId="25" fillId="0" borderId="0" xfId="0" applyFont="1" applyFill="1" applyBorder="1" applyAlignment="1" applyProtection="1">
      <alignment horizontal="center" vertical="center" wrapText="1" shrinkToFit="1"/>
      <protection locked="0"/>
    </xf>
    <xf numFmtId="0" fontId="28" fillId="0" borderId="0" xfId="0" applyNumberFormat="1" applyFont="1" applyFill="1" applyBorder="1" applyAlignment="1" applyProtection="1">
      <alignment horizontal="center" vertical="center" shrinkToFit="1"/>
      <protection locked="0"/>
    </xf>
    <xf numFmtId="49" fontId="25" fillId="0" borderId="0" xfId="0" applyNumberFormat="1" applyFont="1" applyFill="1" applyBorder="1" applyAlignment="1" applyProtection="1">
      <alignment horizontal="center" vertical="center" wrapText="1"/>
      <protection locked="0"/>
    </xf>
    <xf numFmtId="0" fontId="28" fillId="0" borderId="0" xfId="0" applyFont="1" applyFill="1" applyBorder="1" applyAlignment="1" applyProtection="1">
      <alignment horizontal="center" vertical="center" wrapText="1" shrinkToFit="1"/>
      <protection locked="0"/>
    </xf>
    <xf numFmtId="0" fontId="25" fillId="0" borderId="0" xfId="0" applyFont="1" applyFill="1" applyBorder="1" applyAlignment="1" applyProtection="1">
      <alignment horizontal="center" vertical="center" wrapText="1"/>
      <protection locked="0"/>
    </xf>
    <xf numFmtId="180" fontId="25" fillId="0" borderId="0" xfId="0" applyNumberFormat="1" applyFont="1" applyFill="1" applyBorder="1" applyAlignment="1" applyProtection="1">
      <alignment horizontal="center" vertical="center" wrapText="1" shrinkToFit="1"/>
      <protection locked="0"/>
    </xf>
    <xf numFmtId="0" fontId="13" fillId="0" borderId="0" xfId="0" applyFont="1" applyFill="1" applyBorder="1" applyAlignment="1" applyProtection="1">
      <alignment horizontal="center" vertical="center"/>
      <protection locked="0"/>
    </xf>
    <xf numFmtId="0" fontId="25" fillId="0" borderId="0" xfId="0" applyNumberFormat="1" applyFont="1" applyFill="1" applyBorder="1" applyAlignment="1" applyProtection="1">
      <alignment horizontal="center" vertical="center" wrapText="1"/>
      <protection locked="0"/>
    </xf>
    <xf numFmtId="181" fontId="28" fillId="0" borderId="0" xfId="0" applyNumberFormat="1" applyFont="1" applyFill="1" applyBorder="1" applyAlignment="1" applyProtection="1">
      <alignment horizontal="center" vertical="center"/>
      <protection locked="0"/>
    </xf>
    <xf numFmtId="0" fontId="28" fillId="0" borderId="0" xfId="0" applyNumberFormat="1" applyFont="1" applyFill="1" applyBorder="1" applyAlignment="1" applyProtection="1">
      <alignment horizontal="center" vertical="center" wrapText="1" shrinkToFit="1"/>
      <protection locked="0"/>
    </xf>
    <xf numFmtId="176" fontId="28" fillId="0" borderId="0" xfId="0" applyNumberFormat="1" applyFont="1" applyFill="1" applyBorder="1" applyAlignment="1" applyProtection="1">
      <alignment horizontal="center" vertical="center"/>
      <protection locked="0"/>
    </xf>
    <xf numFmtId="0" fontId="28" fillId="0" borderId="42" xfId="0" applyFont="1" applyFill="1" applyBorder="1" applyAlignment="1" applyProtection="1">
      <alignment horizontal="center" vertical="center" wrapText="1"/>
      <protection locked="0"/>
    </xf>
    <xf numFmtId="178" fontId="25" fillId="0" borderId="42" xfId="0" applyNumberFormat="1" applyFont="1" applyFill="1" applyBorder="1" applyAlignment="1" applyProtection="1">
      <alignment horizontal="center" vertical="center" wrapText="1" shrinkToFit="1"/>
      <protection locked="0"/>
    </xf>
    <xf numFmtId="0" fontId="28" fillId="0" borderId="44" xfId="0" applyFont="1" applyFill="1" applyBorder="1" applyAlignment="1" applyProtection="1">
      <alignment horizontal="center" vertical="center" wrapText="1"/>
      <protection locked="0"/>
    </xf>
    <xf numFmtId="178" fontId="25" fillId="0" borderId="42" xfId="0" applyNumberFormat="1" applyFont="1" applyFill="1" applyBorder="1" applyAlignment="1" applyProtection="1">
      <alignment horizontal="center" vertical="center" wrapText="1"/>
    </xf>
    <xf numFmtId="178" fontId="28" fillId="0" borderId="42" xfId="0" applyNumberFormat="1" applyFont="1" applyFill="1" applyBorder="1" applyAlignment="1" applyProtection="1">
      <alignment horizontal="center" vertical="center" wrapText="1" shrinkToFit="1"/>
    </xf>
    <xf numFmtId="178" fontId="25" fillId="0" borderId="1" xfId="0" applyNumberFormat="1" applyFont="1" applyFill="1" applyBorder="1" applyAlignment="1" applyProtection="1">
      <alignment horizontal="center" vertical="center" wrapText="1" shrinkToFit="1"/>
      <protection locked="0"/>
    </xf>
    <xf numFmtId="0" fontId="28" fillId="0" borderId="37" xfId="0" applyFont="1" applyFill="1" applyBorder="1" applyAlignment="1" applyProtection="1">
      <alignment horizontal="center" vertical="center" wrapText="1"/>
      <protection locked="0"/>
    </xf>
    <xf numFmtId="178" fontId="25" fillId="0" borderId="0" xfId="0" applyNumberFormat="1" applyFont="1" applyFill="1" applyBorder="1" applyAlignment="1" applyProtection="1">
      <alignment horizontal="center" vertical="center" wrapText="1"/>
      <protection locked="0"/>
    </xf>
    <xf numFmtId="178" fontId="28" fillId="0" borderId="0" xfId="0" applyNumberFormat="1" applyFont="1" applyFill="1" applyBorder="1" applyAlignment="1" applyProtection="1">
      <alignment horizontal="center" vertical="center" wrapText="1" shrinkToFit="1"/>
      <protection locked="0"/>
    </xf>
    <xf numFmtId="176" fontId="28" fillId="6" borderId="0" xfId="0" applyNumberFormat="1" applyFont="1" applyFill="1" applyBorder="1" applyAlignment="1" applyProtection="1">
      <alignment horizontal="center" vertical="center" wrapText="1"/>
      <protection locked="0"/>
    </xf>
    <xf numFmtId="178" fontId="28" fillId="6" borderId="0" xfId="0" applyNumberFormat="1" applyFont="1" applyFill="1" applyBorder="1" applyAlignment="1" applyProtection="1">
      <alignment horizontal="center" vertical="center"/>
      <protection locked="0"/>
    </xf>
    <xf numFmtId="178" fontId="22" fillId="0" borderId="0" xfId="0" applyNumberFormat="1" applyFont="1" applyFill="1" applyBorder="1" applyAlignment="1" applyProtection="1">
      <alignment horizontal="center" vertical="center"/>
      <protection locked="0"/>
    </xf>
    <xf numFmtId="178" fontId="28" fillId="0" borderId="1" xfId="0" applyNumberFormat="1" applyFont="1" applyFill="1" applyBorder="1" applyAlignment="1" applyProtection="1">
      <alignment horizontal="center" vertical="center" wrapText="1"/>
      <protection locked="0"/>
    </xf>
    <xf numFmtId="178" fontId="28" fillId="0" borderId="37" xfId="0" applyNumberFormat="1" applyFont="1" applyFill="1" applyBorder="1" applyAlignment="1" applyProtection="1">
      <alignment horizontal="center" vertical="center"/>
      <protection locked="0"/>
    </xf>
    <xf numFmtId="178" fontId="28" fillId="6" borderId="0" xfId="0" applyNumberFormat="1" applyFont="1" applyFill="1" applyBorder="1" applyAlignment="1" applyProtection="1">
      <alignment horizontal="center" vertical="center" wrapText="1"/>
      <protection locked="0"/>
    </xf>
    <xf numFmtId="178" fontId="25" fillId="0" borderId="1" xfId="0" applyNumberFormat="1" applyFont="1" applyFill="1" applyBorder="1" applyAlignment="1" applyProtection="1">
      <alignment horizontal="center" vertical="center" wrapText="1"/>
      <protection locked="0"/>
    </xf>
    <xf numFmtId="178" fontId="28" fillId="0" borderId="1" xfId="0" applyNumberFormat="1" applyFont="1" applyFill="1" applyBorder="1" applyAlignment="1" applyProtection="1">
      <alignment horizontal="center" vertical="center" wrapText="1" shrinkToFit="1"/>
      <protection locked="0"/>
    </xf>
    <xf numFmtId="176" fontId="28" fillId="0" borderId="0" xfId="0" applyNumberFormat="1" applyFont="1" applyFill="1" applyBorder="1" applyAlignment="1" applyProtection="1">
      <alignment horizontal="center" vertical="center"/>
    </xf>
    <xf numFmtId="176" fontId="13" fillId="0" borderId="0" xfId="0" applyNumberFormat="1" applyFont="1" applyFill="1" applyBorder="1" applyAlignment="1" applyProtection="1">
      <alignment horizontal="center" vertical="center" wrapText="1"/>
      <protection locked="0"/>
    </xf>
    <xf numFmtId="193" fontId="54" fillId="0" borderId="0" xfId="0" applyNumberFormat="1" applyFont="1" applyFill="1" applyBorder="1" applyAlignment="1" applyProtection="1">
      <alignment horizontal="center" vertical="center"/>
      <protection locked="0"/>
    </xf>
    <xf numFmtId="182" fontId="54" fillId="0" borderId="0" xfId="0" applyNumberFormat="1" applyFont="1" applyFill="1" applyBorder="1" applyAlignment="1" applyProtection="1">
      <alignment horizontal="center" vertical="center" wrapText="1"/>
      <protection locked="0"/>
    </xf>
    <xf numFmtId="182" fontId="54" fillId="6" borderId="0" xfId="0" applyNumberFormat="1" applyFont="1" applyFill="1" applyBorder="1" applyAlignment="1" applyProtection="1">
      <alignment horizontal="center" vertical="center" wrapText="1"/>
      <protection locked="0"/>
    </xf>
    <xf numFmtId="182" fontId="54" fillId="0" borderId="1" xfId="0" applyNumberFormat="1" applyFont="1" applyFill="1" applyBorder="1" applyAlignment="1" applyProtection="1">
      <alignment horizontal="center" vertical="center" wrapText="1"/>
      <protection locked="0"/>
    </xf>
    <xf numFmtId="182" fontId="57" fillId="0" borderId="37" xfId="0" applyNumberFormat="1" applyFont="1" applyFill="1" applyBorder="1" applyAlignment="1" applyProtection="1">
      <alignment horizontal="center" vertical="center"/>
      <protection locked="0"/>
    </xf>
    <xf numFmtId="182" fontId="57" fillId="0" borderId="1" xfId="0" applyNumberFormat="1" applyFont="1" applyFill="1" applyBorder="1" applyAlignment="1" applyProtection="1">
      <alignment horizontal="center" vertical="center"/>
      <protection locked="0"/>
    </xf>
    <xf numFmtId="182" fontId="54" fillId="6" borderId="1" xfId="0" applyNumberFormat="1" applyFont="1" applyFill="1" applyBorder="1" applyAlignment="1" applyProtection="1">
      <alignment horizontal="center" vertical="center" wrapText="1"/>
      <protection locked="0"/>
    </xf>
    <xf numFmtId="191" fontId="28" fillId="0" borderId="0" xfId="0" applyNumberFormat="1" applyFont="1" applyFill="1" applyBorder="1" applyAlignment="1" applyProtection="1">
      <alignment horizontal="center" vertical="center" wrapText="1"/>
      <protection locked="0"/>
    </xf>
    <xf numFmtId="176" fontId="53" fillId="6" borderId="0" xfId="0" applyNumberFormat="1" applyFont="1" applyFill="1" applyBorder="1" applyAlignment="1" applyProtection="1">
      <alignment horizontal="center" vertical="center" wrapText="1"/>
      <protection locked="0"/>
    </xf>
    <xf numFmtId="176" fontId="53" fillId="0" borderId="0" xfId="0" applyNumberFormat="1" applyFont="1" applyFill="1" applyBorder="1" applyAlignment="1" applyProtection="1">
      <alignment horizontal="center" vertical="center" wrapText="1"/>
      <protection locked="0"/>
    </xf>
    <xf numFmtId="176" fontId="54" fillId="0" borderId="0" xfId="0" applyNumberFormat="1" applyFont="1" applyFill="1" applyBorder="1" applyAlignment="1" applyProtection="1">
      <alignment horizontal="center" vertical="center"/>
      <protection locked="0"/>
    </xf>
    <xf numFmtId="182" fontId="28" fillId="0" borderId="0" xfId="0" applyNumberFormat="1" applyFont="1" applyFill="1" applyBorder="1" applyAlignment="1" applyProtection="1">
      <alignment horizontal="center" vertical="center" wrapText="1"/>
      <protection locked="0"/>
    </xf>
    <xf numFmtId="182" fontId="28" fillId="0" borderId="37" xfId="0" applyNumberFormat="1" applyFont="1" applyFill="1" applyBorder="1" applyAlignment="1" applyProtection="1">
      <alignment horizontal="center" vertical="center" wrapText="1"/>
    </xf>
    <xf numFmtId="182" fontId="28" fillId="0" borderId="0" xfId="0" applyNumberFormat="1" applyFont="1" applyFill="1" applyBorder="1" applyAlignment="1" applyProtection="1">
      <alignment horizontal="center" vertical="center" wrapText="1"/>
    </xf>
    <xf numFmtId="178" fontId="25" fillId="0" borderId="0" xfId="0" applyNumberFormat="1" applyFont="1" applyFill="1" applyBorder="1" applyAlignment="1" applyProtection="1">
      <alignment horizontal="center" vertical="center" wrapText="1"/>
    </xf>
    <xf numFmtId="178" fontId="28" fillId="0" borderId="0" xfId="0" applyNumberFormat="1" applyFont="1" applyFill="1" applyBorder="1" applyAlignment="1" applyProtection="1">
      <alignment horizontal="center" vertical="center" wrapText="1" shrinkToFit="1"/>
    </xf>
    <xf numFmtId="0" fontId="73" fillId="0" borderId="0"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wrapText="1"/>
      <protection locked="0"/>
    </xf>
    <xf numFmtId="190" fontId="22" fillId="0" borderId="0" xfId="0" applyNumberFormat="1" applyFont="1" applyFill="1" applyBorder="1" applyAlignment="1" applyProtection="1">
      <alignment horizontal="center" vertical="center" wrapText="1"/>
      <protection locked="0"/>
    </xf>
    <xf numFmtId="176" fontId="22" fillId="0" borderId="0" xfId="0" applyNumberFormat="1" applyFont="1" applyFill="1" applyBorder="1" applyAlignment="1" applyProtection="1">
      <alignment horizontal="center" vertical="center" wrapText="1"/>
      <protection locked="0"/>
    </xf>
    <xf numFmtId="0" fontId="72" fillId="0" borderId="0" xfId="0" applyNumberFormat="1" applyFont="1" applyFill="1" applyBorder="1" applyAlignment="1" applyProtection="1">
      <alignment horizontal="center" vertical="center"/>
      <protection locked="0"/>
    </xf>
    <xf numFmtId="0" fontId="63" fillId="0" borderId="6" xfId="0" applyNumberFormat="1" applyFont="1" applyFill="1" applyBorder="1" applyAlignment="1" applyProtection="1" quotePrefix="1">
      <alignment horizontal="center" vertical="center" shrinkToFit="1"/>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9" xfId="49"/>
    <cellStyle name="常规 5 6" xfId="50"/>
    <cellStyle name="常规_MA Inventory list" xfId="51"/>
    <cellStyle name="常规_总表_1" xfId="52"/>
    <cellStyle name="常规_Sheet1" xfId="53"/>
  </cellStyles>
  <dxfs count="3">
    <dxf>
      <fill>
        <patternFill patternType="solid">
          <bgColor rgb="FFFFC7CE"/>
        </patternFill>
      </fill>
    </dxf>
    <dxf>
      <font>
        <color rgb="FFD73434"/>
      </font>
      <fill>
        <patternFill patternType="solid">
          <bgColor rgb="FFFEC8CE"/>
        </patternFill>
      </fill>
    </dxf>
    <dxf>
      <font>
        <color rgb="FF9C0006"/>
      </font>
      <fill>
        <patternFill patternType="solid">
          <bgColor rgb="FFFFC7CE"/>
        </patternFill>
      </fill>
    </dxf>
  </dxfs>
  <tableStyles count="0" defaultTableStyle="TableStyleMedium2" defaultPivotStyle="PivotStyleLight16"/>
  <colors>
    <mruColors>
      <color rgb="00FFFFFF"/>
      <color rgb="000000FF"/>
      <color rgb="00F7241F"/>
      <color rgb="000FB7FD"/>
      <color rgb="002727F0"/>
      <color rgb="00000000"/>
      <color rgb="000E2EF0"/>
      <color rgb="0000B0F0"/>
      <color rgb="00FFFF00"/>
      <color rgb="00FF00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732" dbFileVersion="0" changeLogVersion="0">
    <open main="155" threadCnt="1"/>
    <sheetInfos>
      <sheetInfo cellCmpFml="1442" sheetStid="1">
        <open main="56" threadCnt="1"/>
      </sheetInfo>
      <sheetInfo cellCmpFml="58" sheetStid="3">
        <open main="16" threadCnt="1"/>
      </sheetInfo>
      <sheetInfo cellCmpFml="36" sheetStid="2">
        <open main="4" threadCnt="1"/>
      </sheetInfo>
      <sheetInfo cellCmpFml="49" sheetStid="4">
        <open main="4" threadCnt="1"/>
      </sheetInfo>
      <sheetInfo cellCmpFml="147" sheetStid="5">
        <open main="9" threadCnt="1"/>
      </sheetInfo>
      <sheetInfo cellCmpFml="0" sheetStid="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www.wps.cn/officeDocument/2023/relationships/woinfos" Target="woinfos.xml"/><Relationship Id="rId14" Type="http://schemas.openxmlformats.org/officeDocument/2006/relationships/styles" Target="styles.xml"/><Relationship Id="rId13" Type="http://schemas.openxmlformats.org/officeDocument/2006/relationships/customXml" Target="../customXml/item5.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08"/>
  <sheetViews>
    <sheetView tabSelected="1" zoomScale="50" zoomScaleNormal="50" workbookViewId="0">
      <pane xSplit="14" ySplit="3" topLeftCell="O516" activePane="bottomRight" state="frozen"/>
      <selection/>
      <selection pane="topRight"/>
      <selection pane="bottomLeft"/>
      <selection pane="bottomRight" activeCell="F516" sqref="F516"/>
    </sheetView>
  </sheetViews>
  <sheetFormatPr defaultColWidth="9" defaultRowHeight="13.5"/>
  <cols>
    <col min="1" max="1" width="19.9916666666667" style="497" customWidth="1"/>
    <col min="2" max="2" width="12.1916666666667" style="489" customWidth="1"/>
    <col min="3" max="3" width="10.25" style="489" customWidth="1"/>
    <col min="4" max="4" width="12.4916666666667" style="498" customWidth="1"/>
    <col min="5" max="5" width="14.85" style="489" customWidth="1"/>
    <col min="6" max="6" width="15.5666666666667" style="489" customWidth="1"/>
    <col min="7" max="7" width="15.4666666666667" style="498" customWidth="1"/>
    <col min="8" max="8" width="16.5416666666667" style="489" customWidth="1"/>
    <col min="9" max="9" width="11.1833333333333" style="498" customWidth="1"/>
    <col min="10" max="10" width="6.54166666666667" style="498" customWidth="1"/>
    <col min="11" max="11" width="6.875" style="498" customWidth="1"/>
    <col min="12" max="12" width="7.61666666666667" style="498" customWidth="1"/>
    <col min="13" max="13" width="20.875" style="498" customWidth="1"/>
    <col min="14" max="14" width="21.4583333333333" style="498" customWidth="1"/>
    <col min="15" max="15" width="16.1666666666667" style="489" customWidth="1"/>
    <col min="16" max="16" width="8.63333333333333" style="499" customWidth="1"/>
    <col min="17" max="17" width="14.7666666666667" style="500" customWidth="1"/>
    <col min="18" max="18" width="14.2833333333333" style="498" customWidth="1"/>
    <col min="19" max="19" width="8.99166666666667" style="498" customWidth="1"/>
    <col min="20" max="20" width="9.45833333333333" style="498" customWidth="1"/>
    <col min="21" max="21" width="13" style="499" customWidth="1"/>
    <col min="22" max="22" width="11.85" style="501" customWidth="1"/>
    <col min="23" max="23" width="16.5416666666667" style="499" customWidth="1"/>
    <col min="24" max="24" width="31.9916666666667" style="502" customWidth="1"/>
    <col min="25" max="26" width="11.1333333333333" style="498" customWidth="1"/>
    <col min="27" max="27" width="19.3666666666667" style="503" customWidth="1"/>
    <col min="28" max="28" width="17.325" style="504" customWidth="1"/>
    <col min="29" max="29" width="14.4666666666667" style="489" customWidth="1"/>
    <col min="30" max="30" width="13.3916666666667" style="504" customWidth="1"/>
    <col min="31" max="33" width="9.575" style="489" customWidth="1"/>
    <col min="34" max="34" width="9.575" style="505" hidden="1" customWidth="1"/>
    <col min="35" max="35" width="9.575" style="506" hidden="1" customWidth="1"/>
    <col min="36" max="36" width="9.575" style="489" customWidth="1"/>
    <col min="37" max="37" width="7.75" style="507" customWidth="1"/>
    <col min="38" max="38" width="8.48333333333333" style="508" hidden="1" customWidth="1"/>
    <col min="39" max="39" width="8.48333333333333" style="509" hidden="1" customWidth="1"/>
    <col min="40" max="40" width="8.48333333333333" style="510" customWidth="1"/>
    <col min="41" max="41" width="7.5" style="511" customWidth="1"/>
    <col min="42" max="42" width="12" style="512" hidden="1" customWidth="1"/>
    <col min="43" max="43" width="12" style="513" hidden="1" customWidth="1"/>
    <col min="44" max="44" width="12" style="511" customWidth="1"/>
    <col min="45" max="45" width="12" style="512" hidden="1" customWidth="1"/>
    <col min="46" max="46" width="12" style="513" hidden="1" customWidth="1"/>
    <col min="47" max="50" width="12" style="511" customWidth="1"/>
    <col min="51" max="51" width="9.99166666666667" style="511" customWidth="1"/>
    <col min="52" max="57" width="10" style="511" customWidth="1"/>
    <col min="58" max="58" width="14.7083333333333" style="514" customWidth="1"/>
    <col min="59" max="59" width="9.41666666666667" style="515" customWidth="1"/>
    <col min="60" max="60" width="9.41666666666667" style="516" customWidth="1"/>
    <col min="61" max="65" width="9.41666666666667" style="511" customWidth="1"/>
    <col min="66" max="69" width="10.375" style="489" hidden="1" customWidth="1"/>
    <col min="70" max="71" width="9.875" style="510" hidden="1" customWidth="1"/>
    <col min="72" max="72" width="14.1333333333333" style="510" customWidth="1"/>
    <col min="73" max="73" width="8.5" style="510" customWidth="1"/>
    <col min="74" max="74" width="13.275" style="517" hidden="1" customWidth="1"/>
    <col min="75" max="75" width="9" style="517"/>
    <col min="76" max="16381" width="9" style="495"/>
    <col min="16382" max="16382" width="12.8" style="495"/>
    <col min="16383" max="16384" width="9" style="495"/>
  </cols>
  <sheetData>
    <row r="1" s="488" customFormat="1" ht="47" customHeight="1" spans="1:75">
      <c r="A1" s="518" t="s">
        <v>0</v>
      </c>
      <c r="B1" s="518"/>
      <c r="C1" s="518"/>
      <c r="D1" s="518"/>
      <c r="E1" s="518"/>
      <c r="F1" s="519"/>
      <c r="G1" s="519"/>
      <c r="H1" s="519"/>
      <c r="I1" s="519"/>
      <c r="J1" s="519"/>
      <c r="K1" s="519"/>
      <c r="L1" s="519"/>
      <c r="M1" s="519"/>
      <c r="N1" s="519"/>
      <c r="O1" s="519"/>
      <c r="P1" s="520"/>
      <c r="Q1" s="521"/>
      <c r="R1" s="519"/>
      <c r="S1" s="519"/>
      <c r="T1" s="519"/>
      <c r="U1" s="520"/>
      <c r="V1" s="522"/>
      <c r="W1" s="520"/>
      <c r="X1" s="523"/>
      <c r="Y1" s="519"/>
      <c r="Z1" s="519"/>
      <c r="AA1" s="524"/>
      <c r="AB1" s="525"/>
      <c r="AC1" s="519"/>
      <c r="AD1" s="525"/>
      <c r="AE1" s="519"/>
      <c r="AF1" s="519"/>
      <c r="AG1" s="519"/>
      <c r="AH1" s="526"/>
      <c r="AI1" s="527"/>
      <c r="AJ1" s="519"/>
      <c r="AK1" s="519"/>
      <c r="AL1" s="528"/>
      <c r="AM1" s="529"/>
      <c r="AN1" s="530"/>
      <c r="AO1" s="531"/>
      <c r="AP1" s="532"/>
      <c r="AQ1" s="533"/>
      <c r="AR1" s="530"/>
      <c r="AS1" s="532"/>
      <c r="AT1" s="533"/>
      <c r="AU1" s="531"/>
      <c r="AV1" s="531"/>
      <c r="AW1" s="530"/>
      <c r="AX1" s="531"/>
      <c r="AY1" s="531"/>
      <c r="AZ1" s="531"/>
      <c r="BA1" s="531"/>
      <c r="BB1" s="531"/>
      <c r="BC1" s="531"/>
      <c r="BD1" s="531"/>
      <c r="BE1" s="531"/>
      <c r="BF1" s="514"/>
      <c r="BG1" s="514"/>
      <c r="BH1" s="534"/>
      <c r="BI1" s="530"/>
      <c r="BJ1" s="530"/>
      <c r="BK1" s="530"/>
      <c r="BL1" s="530"/>
      <c r="BM1" s="530"/>
      <c r="BN1" s="535"/>
      <c r="BO1" s="535"/>
      <c r="BP1" s="535"/>
      <c r="BQ1" s="535"/>
      <c r="BR1" s="530"/>
      <c r="BS1" s="530"/>
      <c r="BT1" s="536"/>
      <c r="BU1" s="536"/>
      <c r="BV1" s="489"/>
      <c r="BW1" s="489"/>
    </row>
    <row r="2" s="488" customFormat="1" ht="28" customHeight="1" spans="1:75">
      <c r="A2" s="537">
        <v>44982</v>
      </c>
      <c r="B2" s="537"/>
      <c r="C2" s="519"/>
      <c r="D2" s="538"/>
      <c r="E2" s="539"/>
      <c r="F2" s="539"/>
      <c r="G2" s="539" t="s">
        <v>1</v>
      </c>
      <c r="H2" s="539"/>
      <c r="I2" s="539"/>
      <c r="J2" s="519" t="s">
        <v>2</v>
      </c>
      <c r="K2" s="519"/>
      <c r="L2" s="519"/>
      <c r="M2" s="519" t="s">
        <v>3</v>
      </c>
      <c r="N2" s="519"/>
      <c r="O2" s="519"/>
      <c r="P2" s="520"/>
      <c r="Q2" s="521"/>
      <c r="R2" s="519"/>
      <c r="S2" s="519"/>
      <c r="T2" s="519"/>
      <c r="U2" s="520"/>
      <c r="V2" s="522"/>
      <c r="W2" s="520"/>
      <c r="X2" s="525"/>
      <c r="Y2" s="540"/>
      <c r="Z2" s="518"/>
      <c r="AA2" s="541"/>
      <c r="AB2" s="542"/>
      <c r="AC2" s="539"/>
      <c r="AD2" s="542"/>
      <c r="AE2" s="543" t="s">
        <v>4</v>
      </c>
      <c r="AF2" s="543"/>
      <c r="AG2" s="543"/>
      <c r="AH2" s="543"/>
      <c r="AI2" s="543"/>
      <c r="AJ2" s="543"/>
      <c r="AK2" s="543"/>
      <c r="AL2" s="544" t="s">
        <v>5</v>
      </c>
      <c r="AM2" s="544"/>
      <c r="AN2" s="545"/>
      <c r="AO2" s="544"/>
      <c r="AP2" s="546" t="s">
        <v>6</v>
      </c>
      <c r="AQ2" s="546"/>
      <c r="AR2" s="547"/>
      <c r="AS2" s="546"/>
      <c r="AT2" s="546"/>
      <c r="AU2" s="548"/>
      <c r="AV2" s="548"/>
      <c r="AW2" s="547"/>
      <c r="AX2" s="548"/>
      <c r="AY2" s="548"/>
      <c r="AZ2" s="548"/>
      <c r="BA2" s="548"/>
      <c r="BB2" s="548"/>
      <c r="BC2" s="548"/>
      <c r="BD2" s="548"/>
      <c r="BE2" s="548"/>
      <c r="BF2" s="549"/>
      <c r="BG2" s="549"/>
      <c r="BH2" s="550" t="s">
        <v>7</v>
      </c>
      <c r="BI2" s="547"/>
      <c r="BJ2" s="547"/>
      <c r="BK2" s="547"/>
      <c r="BL2" s="547"/>
      <c r="BM2" s="547"/>
      <c r="BN2" s="551" t="s">
        <v>8</v>
      </c>
      <c r="BO2" s="551"/>
      <c r="BP2" s="551"/>
      <c r="BQ2" s="551"/>
      <c r="BR2" s="551"/>
      <c r="BS2" s="551"/>
      <c r="BT2" s="552"/>
      <c r="BU2" s="552"/>
      <c r="BV2" s="489"/>
      <c r="BW2" s="489"/>
    </row>
    <row r="3" s="489" customFormat="1" ht="77" customHeight="1" spans="1:75">
      <c r="A3" s="553" t="s">
        <v>9</v>
      </c>
      <c r="B3" s="554" t="s">
        <v>10</v>
      </c>
      <c r="C3" s="554" t="s">
        <v>11</v>
      </c>
      <c r="D3" s="554" t="s">
        <v>12</v>
      </c>
      <c r="E3" s="554" t="s">
        <v>13</v>
      </c>
      <c r="F3" s="554" t="s">
        <v>14</v>
      </c>
      <c r="G3" s="554" t="s">
        <v>15</v>
      </c>
      <c r="H3" s="554" t="s">
        <v>16</v>
      </c>
      <c r="I3" s="554" t="s">
        <v>17</v>
      </c>
      <c r="J3" s="554" t="s">
        <v>18</v>
      </c>
      <c r="K3" s="554" t="s">
        <v>19</v>
      </c>
      <c r="L3" s="554" t="s">
        <v>20</v>
      </c>
      <c r="M3" s="554" t="s">
        <v>21</v>
      </c>
      <c r="N3" s="554" t="s">
        <v>22</v>
      </c>
      <c r="O3" s="555" t="s">
        <v>23</v>
      </c>
      <c r="P3" s="554" t="s">
        <v>24</v>
      </c>
      <c r="Q3" s="556" t="s">
        <v>25</v>
      </c>
      <c r="R3" s="557" t="s">
        <v>26</v>
      </c>
      <c r="S3" s="557" t="s">
        <v>27</v>
      </c>
      <c r="T3" s="558" t="s">
        <v>28</v>
      </c>
      <c r="U3" s="557" t="s">
        <v>29</v>
      </c>
      <c r="V3" s="557" t="s">
        <v>30</v>
      </c>
      <c r="W3" s="557" t="s">
        <v>31</v>
      </c>
      <c r="X3" s="559" t="s">
        <v>32</v>
      </c>
      <c r="Y3" s="560" t="s">
        <v>33</v>
      </c>
      <c r="Z3" s="560" t="s">
        <v>34</v>
      </c>
      <c r="AA3" s="561" t="s">
        <v>35</v>
      </c>
      <c r="AB3" s="562" t="s">
        <v>36</v>
      </c>
      <c r="AC3" s="554" t="s">
        <v>37</v>
      </c>
      <c r="AD3" s="562" t="s">
        <v>38</v>
      </c>
      <c r="AE3" s="560" t="s">
        <v>39</v>
      </c>
      <c r="AF3" s="560" t="s">
        <v>40</v>
      </c>
      <c r="AG3" s="563" t="s">
        <v>41</v>
      </c>
      <c r="AH3" s="560" t="s">
        <v>42</v>
      </c>
      <c r="AI3" s="560" t="s">
        <v>43</v>
      </c>
      <c r="AJ3" s="563" t="s">
        <v>44</v>
      </c>
      <c r="AK3" s="564" t="s">
        <v>45</v>
      </c>
      <c r="AL3" s="564" t="s">
        <v>46</v>
      </c>
      <c r="AM3" s="564" t="s">
        <v>47</v>
      </c>
      <c r="AN3" s="565" t="s">
        <v>48</v>
      </c>
      <c r="AO3" s="566" t="s">
        <v>49</v>
      </c>
      <c r="AP3" s="566" t="s">
        <v>50</v>
      </c>
      <c r="AQ3" s="566" t="s">
        <v>51</v>
      </c>
      <c r="AR3" s="567" t="s">
        <v>52</v>
      </c>
      <c r="AS3" s="566" t="s">
        <v>53</v>
      </c>
      <c r="AT3" s="566" t="s">
        <v>54</v>
      </c>
      <c r="AU3" s="567" t="s">
        <v>55</v>
      </c>
      <c r="AV3" s="566" t="s">
        <v>56</v>
      </c>
      <c r="AW3" s="568" t="s">
        <v>57</v>
      </c>
      <c r="AX3" s="566" t="s">
        <v>58</v>
      </c>
      <c r="AY3" s="566" t="s">
        <v>59</v>
      </c>
      <c r="AZ3" s="566" t="s">
        <v>60</v>
      </c>
      <c r="BA3" s="569" t="s">
        <v>61</v>
      </c>
      <c r="BB3" s="566" t="s">
        <v>62</v>
      </c>
      <c r="BC3" s="566" t="s">
        <v>63</v>
      </c>
      <c r="BD3" s="566" t="s">
        <v>64</v>
      </c>
      <c r="BE3" s="570" t="s">
        <v>65</v>
      </c>
      <c r="BF3" s="571" t="s">
        <v>66</v>
      </c>
      <c r="BG3" s="572" t="s">
        <v>67</v>
      </c>
      <c r="BH3" s="573" t="s">
        <v>68</v>
      </c>
      <c r="BI3" s="572" t="s">
        <v>69</v>
      </c>
      <c r="BJ3" s="572" t="s">
        <v>70</v>
      </c>
      <c r="BK3" s="572" t="s">
        <v>71</v>
      </c>
      <c r="BL3" s="572" t="s">
        <v>72</v>
      </c>
      <c r="BM3" s="572" t="s">
        <v>73</v>
      </c>
      <c r="BN3" s="574" t="s">
        <v>68</v>
      </c>
      <c r="BO3" s="574" t="s">
        <v>69</v>
      </c>
      <c r="BP3" s="574" t="s">
        <v>70</v>
      </c>
      <c r="BQ3" s="574" t="s">
        <v>71</v>
      </c>
      <c r="BR3" s="574" t="s">
        <v>72</v>
      </c>
      <c r="BS3" s="574" t="s">
        <v>73</v>
      </c>
      <c r="BT3" s="575" t="s">
        <v>74</v>
      </c>
      <c r="BU3" s="576" t="s">
        <v>75</v>
      </c>
      <c r="BV3" s="489" t="s">
        <v>76</v>
      </c>
    </row>
    <row r="4" s="490" customFormat="1" ht="33" customHeight="1" spans="1:75">
      <c r="A4" s="577">
        <v>45455</v>
      </c>
      <c r="B4" s="578" t="s">
        <v>77</v>
      </c>
      <c r="C4" s="579" t="s">
        <v>78</v>
      </c>
      <c r="D4" s="580">
        <v>4500135559</v>
      </c>
      <c r="E4" s="581" t="s">
        <v>79</v>
      </c>
      <c r="F4" s="580" t="s">
        <v>80</v>
      </c>
      <c r="G4" s="582" t="s">
        <v>81</v>
      </c>
      <c r="H4" s="578" t="s">
        <v>82</v>
      </c>
      <c r="I4" s="583">
        <v>2898</v>
      </c>
      <c r="J4" s="583">
        <v>0</v>
      </c>
      <c r="K4" s="583">
        <v>6</v>
      </c>
      <c r="L4" s="584">
        <f>I4/K4</f>
        <v>483</v>
      </c>
      <c r="M4" s="585">
        <v>45492</v>
      </c>
      <c r="N4" s="585">
        <v>45488</v>
      </c>
      <c r="O4" s="586"/>
      <c r="P4" s="586" t="s">
        <v>83</v>
      </c>
      <c r="Q4" s="587" t="s">
        <v>84</v>
      </c>
      <c r="R4" s="586" t="s">
        <v>85</v>
      </c>
      <c r="S4" s="586"/>
      <c r="T4" s="586"/>
      <c r="U4" s="586" t="s">
        <v>86</v>
      </c>
      <c r="V4" s="586"/>
      <c r="W4" s="586"/>
      <c r="X4" s="588" t="s">
        <v>87</v>
      </c>
      <c r="Y4" s="589" t="s">
        <v>88</v>
      </c>
      <c r="Z4" s="590">
        <v>5.8973</v>
      </c>
      <c r="AA4" s="591">
        <f t="shared" ref="AA4:AA11" si="0">Z4*I4</f>
        <v>17090.3754</v>
      </c>
      <c r="AB4" s="592"/>
      <c r="AC4" s="582" t="s">
        <v>81</v>
      </c>
      <c r="AD4" s="593" t="s">
        <v>89</v>
      </c>
      <c r="AE4" s="594"/>
      <c r="AF4" s="594"/>
      <c r="AG4" s="595">
        <f>I4</f>
        <v>2898</v>
      </c>
      <c r="AH4" s="596"/>
      <c r="AI4" s="596"/>
      <c r="AJ4" s="592"/>
      <c r="AK4" s="592"/>
      <c r="AL4" s="596"/>
      <c r="AM4" s="597"/>
      <c r="AN4" s="598">
        <f t="shared" ref="AN4:AN9" si="1">I4</f>
        <v>2898</v>
      </c>
      <c r="AO4" s="592"/>
      <c r="AP4" s="599"/>
      <c r="AQ4" s="596"/>
      <c r="AR4" s="592">
        <f>I4</f>
        <v>2898</v>
      </c>
      <c r="AS4" s="596"/>
      <c r="AT4" s="596"/>
      <c r="AU4" s="592"/>
      <c r="AV4" s="592"/>
      <c r="AW4" s="592">
        <f t="shared" ref="AW4:AW11" si="2">I4</f>
        <v>2898</v>
      </c>
      <c r="AX4" s="592"/>
      <c r="AY4" s="600"/>
      <c r="AZ4" s="600"/>
      <c r="BA4" s="600"/>
      <c r="BB4" s="600"/>
      <c r="BC4" s="600"/>
      <c r="BD4" s="600"/>
      <c r="BE4" s="601"/>
      <c r="BF4" s="602" t="s">
        <v>90</v>
      </c>
      <c r="BG4" s="603">
        <f>I4</f>
        <v>2898</v>
      </c>
      <c r="BH4" s="604">
        <f>I4/6</f>
        <v>483</v>
      </c>
      <c r="BI4" s="605">
        <f>I4/6</f>
        <v>483</v>
      </c>
      <c r="BJ4" s="602">
        <f>I4/6</f>
        <v>483</v>
      </c>
      <c r="BK4" s="602">
        <f>I4/6</f>
        <v>483</v>
      </c>
      <c r="BL4" s="602">
        <f>I4/6</f>
        <v>483</v>
      </c>
      <c r="BM4" s="602">
        <f>I4/6</f>
        <v>483</v>
      </c>
      <c r="BN4" s="606"/>
      <c r="BO4" s="606"/>
      <c r="BP4" s="606"/>
      <c r="BQ4" s="606"/>
      <c r="BR4" s="606"/>
      <c r="BS4" s="606"/>
      <c r="BT4" s="607">
        <f t="shared" ref="BT4:BT42" si="3">SUM(BH4:BS4)</f>
        <v>2898</v>
      </c>
      <c r="BU4" s="608">
        <f t="shared" ref="BU4:BU42" si="4">I4-BT4</f>
        <v>0</v>
      </c>
      <c r="BV4" s="609"/>
      <c r="BW4" s="491"/>
    </row>
    <row r="5" s="490" customFormat="1" ht="33" customHeight="1" spans="1:75">
      <c r="A5" s="577">
        <v>45600</v>
      </c>
      <c r="B5" s="578" t="s">
        <v>91</v>
      </c>
      <c r="C5" s="579" t="s">
        <v>92</v>
      </c>
      <c r="D5" s="580">
        <v>4500150025</v>
      </c>
      <c r="E5" s="581" t="s">
        <v>93</v>
      </c>
      <c r="F5" s="580" t="s">
        <v>94</v>
      </c>
      <c r="G5" s="582" t="s">
        <v>81</v>
      </c>
      <c r="H5" s="578" t="s">
        <v>95</v>
      </c>
      <c r="I5" s="583">
        <v>3486</v>
      </c>
      <c r="J5" s="583">
        <v>0</v>
      </c>
      <c r="K5" s="583">
        <v>6</v>
      </c>
      <c r="L5" s="584">
        <f t="shared" ref="L5:L15" si="5">I5/K5</f>
        <v>581</v>
      </c>
      <c r="M5" s="585">
        <v>45645</v>
      </c>
      <c r="N5" s="585">
        <v>45642</v>
      </c>
      <c r="O5" s="586"/>
      <c r="P5" s="586" t="s">
        <v>83</v>
      </c>
      <c r="Q5" s="587" t="s">
        <v>96</v>
      </c>
      <c r="R5" s="586" t="s">
        <v>97</v>
      </c>
      <c r="S5" s="586"/>
      <c r="T5" s="586"/>
      <c r="U5" s="586" t="s">
        <v>86</v>
      </c>
      <c r="V5" s="586" t="s">
        <v>98</v>
      </c>
      <c r="W5" s="586"/>
      <c r="X5" s="588" t="s">
        <v>99</v>
      </c>
      <c r="Y5" s="589" t="s">
        <v>100</v>
      </c>
      <c r="Z5" s="590">
        <v>5.701</v>
      </c>
      <c r="AA5" s="591">
        <f t="shared" si="0"/>
        <v>19873.686</v>
      </c>
      <c r="AB5" s="592" t="s">
        <v>101</v>
      </c>
      <c r="AC5" s="582" t="s">
        <v>81</v>
      </c>
      <c r="AD5" s="593" t="s">
        <v>89</v>
      </c>
      <c r="AE5" s="594"/>
      <c r="AF5" s="594"/>
      <c r="AG5" s="595">
        <f>I5</f>
        <v>3486</v>
      </c>
      <c r="AH5" s="596"/>
      <c r="AI5" s="596"/>
      <c r="AJ5" s="592"/>
      <c r="AK5" s="592"/>
      <c r="AL5" s="596"/>
      <c r="AM5" s="597"/>
      <c r="AN5" s="598">
        <f t="shared" si="1"/>
        <v>3486</v>
      </c>
      <c r="AO5" s="592"/>
      <c r="AP5" s="599"/>
      <c r="AQ5" s="596"/>
      <c r="AR5" s="592">
        <f>I5</f>
        <v>3486</v>
      </c>
      <c r="AS5" s="596"/>
      <c r="AT5" s="596"/>
      <c r="AU5" s="592"/>
      <c r="AV5" s="592"/>
      <c r="AW5" s="592">
        <f t="shared" si="2"/>
        <v>3486</v>
      </c>
      <c r="AX5" s="592"/>
      <c r="AY5" s="600"/>
      <c r="AZ5" s="600"/>
      <c r="BA5" s="600"/>
      <c r="BB5" s="600"/>
      <c r="BC5" s="600"/>
      <c r="BD5" s="600"/>
      <c r="BE5" s="601"/>
      <c r="BF5" s="602" t="s">
        <v>90</v>
      </c>
      <c r="BG5" s="603"/>
      <c r="BH5" s="604">
        <f>I5/6</f>
        <v>581</v>
      </c>
      <c r="BI5" s="605">
        <f>I5/6</f>
        <v>581</v>
      </c>
      <c r="BJ5" s="602">
        <f>I5/6</f>
        <v>581</v>
      </c>
      <c r="BK5" s="602">
        <f>I5/6</f>
        <v>581</v>
      </c>
      <c r="BL5" s="602">
        <f>I5/6</f>
        <v>581</v>
      </c>
      <c r="BM5" s="602">
        <f>I5/6</f>
        <v>581</v>
      </c>
      <c r="BN5" s="606"/>
      <c r="BO5" s="606"/>
      <c r="BP5" s="606"/>
      <c r="BQ5" s="606"/>
      <c r="BR5" s="606"/>
      <c r="BS5" s="606"/>
      <c r="BT5" s="607">
        <f t="shared" si="3"/>
        <v>3486</v>
      </c>
      <c r="BU5" s="608">
        <f t="shared" si="4"/>
        <v>0</v>
      </c>
      <c r="BV5" s="609"/>
      <c r="BW5" s="491"/>
    </row>
    <row r="6" s="490" customFormat="1" ht="33" customHeight="1" spans="1:75">
      <c r="A6" s="577">
        <v>45586</v>
      </c>
      <c r="B6" s="578" t="s">
        <v>102</v>
      </c>
      <c r="C6" s="579" t="s">
        <v>92</v>
      </c>
      <c r="D6" s="580">
        <v>4500147789</v>
      </c>
      <c r="E6" s="588" t="s">
        <v>103</v>
      </c>
      <c r="F6" s="580" t="s">
        <v>104</v>
      </c>
      <c r="G6" s="582" t="s">
        <v>81</v>
      </c>
      <c r="H6" s="578" t="s">
        <v>95</v>
      </c>
      <c r="I6" s="583">
        <v>1800</v>
      </c>
      <c r="J6" s="583">
        <v>0</v>
      </c>
      <c r="K6" s="583">
        <v>6</v>
      </c>
      <c r="L6" s="584">
        <f t="shared" si="5"/>
        <v>300</v>
      </c>
      <c r="M6" s="585">
        <v>45649</v>
      </c>
      <c r="N6" s="585">
        <v>45645</v>
      </c>
      <c r="O6" s="586"/>
      <c r="P6" s="586" t="s">
        <v>83</v>
      </c>
      <c r="Q6" s="587" t="s">
        <v>105</v>
      </c>
      <c r="R6" s="586" t="s">
        <v>106</v>
      </c>
      <c r="S6" s="586"/>
      <c r="T6" s="586"/>
      <c r="U6" s="586" t="s">
        <v>86</v>
      </c>
      <c r="V6" s="586" t="s">
        <v>107</v>
      </c>
      <c r="W6" s="586"/>
      <c r="X6" s="588" t="s">
        <v>108</v>
      </c>
      <c r="Y6" s="610" t="s">
        <v>109</v>
      </c>
      <c r="Z6" s="590">
        <v>5.712</v>
      </c>
      <c r="AA6" s="591">
        <f t="shared" si="0"/>
        <v>10281.6</v>
      </c>
      <c r="AB6" s="592" t="s">
        <v>110</v>
      </c>
      <c r="AC6" s="582" t="s">
        <v>81</v>
      </c>
      <c r="AD6" s="593" t="s">
        <v>89</v>
      </c>
      <c r="AE6" s="611"/>
      <c r="AF6" s="611"/>
      <c r="AG6" s="595">
        <f>I6</f>
        <v>1800</v>
      </c>
      <c r="AH6" s="612"/>
      <c r="AI6" s="612"/>
      <c r="AJ6" s="592"/>
      <c r="AK6" s="592"/>
      <c r="AL6" s="612"/>
      <c r="AM6" s="613"/>
      <c r="AN6" s="598">
        <f t="shared" si="1"/>
        <v>1800</v>
      </c>
      <c r="AO6" s="592"/>
      <c r="AP6" s="614"/>
      <c r="AQ6" s="612"/>
      <c r="AR6" s="592">
        <f>I6</f>
        <v>1800</v>
      </c>
      <c r="AS6" s="612"/>
      <c r="AT6" s="612"/>
      <c r="AU6" s="592"/>
      <c r="AV6" s="592"/>
      <c r="AW6" s="592">
        <f t="shared" si="2"/>
        <v>1800</v>
      </c>
      <c r="AX6" s="592"/>
      <c r="AY6" s="600"/>
      <c r="AZ6" s="600"/>
      <c r="BA6" s="600"/>
      <c r="BB6" s="600"/>
      <c r="BC6" s="600"/>
      <c r="BD6" s="600"/>
      <c r="BE6" s="601"/>
      <c r="BF6" s="602" t="s">
        <v>90</v>
      </c>
      <c r="BG6" s="603"/>
      <c r="BH6" s="604">
        <f>I6/6</f>
        <v>300</v>
      </c>
      <c r="BI6" s="605">
        <f>I6/6</f>
        <v>300</v>
      </c>
      <c r="BJ6" s="602">
        <f>I6/6</f>
        <v>300</v>
      </c>
      <c r="BK6" s="602">
        <f>I6/6</f>
        <v>300</v>
      </c>
      <c r="BL6" s="602">
        <f>I6/6</f>
        <v>300</v>
      </c>
      <c r="BM6" s="602">
        <f>I6/6</f>
        <v>300</v>
      </c>
      <c r="BN6" s="615"/>
      <c r="BO6" s="615"/>
      <c r="BP6" s="615"/>
      <c r="BQ6" s="615"/>
      <c r="BR6" s="615"/>
      <c r="BS6" s="615"/>
      <c r="BT6" s="607">
        <f t="shared" si="3"/>
        <v>1800</v>
      </c>
      <c r="BU6" s="608">
        <f t="shared" si="4"/>
        <v>0</v>
      </c>
      <c r="BV6" s="517"/>
      <c r="BW6" s="491"/>
    </row>
    <row r="7" s="490" customFormat="1" ht="33" customHeight="1" spans="1:75">
      <c r="A7" s="577">
        <v>45587</v>
      </c>
      <c r="B7" s="578" t="s">
        <v>111</v>
      </c>
      <c r="C7" s="579" t="s">
        <v>112</v>
      </c>
      <c r="D7" s="580">
        <v>4500148621</v>
      </c>
      <c r="E7" s="588">
        <v>24000405</v>
      </c>
      <c r="F7" s="580" t="s">
        <v>113</v>
      </c>
      <c r="G7" s="582" t="s">
        <v>81</v>
      </c>
      <c r="H7" s="578" t="s">
        <v>95</v>
      </c>
      <c r="I7" s="583">
        <v>252</v>
      </c>
      <c r="J7" s="583">
        <v>0</v>
      </c>
      <c r="K7" s="583">
        <v>6</v>
      </c>
      <c r="L7" s="584">
        <f t="shared" si="5"/>
        <v>42</v>
      </c>
      <c r="M7" s="585">
        <v>45651</v>
      </c>
      <c r="N7" s="585">
        <v>45647</v>
      </c>
      <c r="O7" s="586"/>
      <c r="P7" s="586" t="s">
        <v>83</v>
      </c>
      <c r="Q7" s="587" t="s">
        <v>105</v>
      </c>
      <c r="R7" s="586" t="s">
        <v>114</v>
      </c>
      <c r="S7" s="586"/>
      <c r="T7" s="586"/>
      <c r="U7" s="586" t="s">
        <v>86</v>
      </c>
      <c r="V7" s="586"/>
      <c r="W7" s="586"/>
      <c r="X7" s="588" t="s">
        <v>115</v>
      </c>
      <c r="Y7" s="610" t="s">
        <v>116</v>
      </c>
      <c r="Z7" s="590">
        <v>5.7196</v>
      </c>
      <c r="AA7" s="591">
        <f t="shared" si="0"/>
        <v>1441.3392</v>
      </c>
      <c r="AB7" s="592" t="s">
        <v>117</v>
      </c>
      <c r="AC7" s="582" t="s">
        <v>81</v>
      </c>
      <c r="AD7" s="593" t="s">
        <v>89</v>
      </c>
      <c r="AE7" s="611"/>
      <c r="AF7" s="611"/>
      <c r="AG7" s="595">
        <f>I7</f>
        <v>252</v>
      </c>
      <c r="AH7" s="612"/>
      <c r="AI7" s="612"/>
      <c r="AJ7" s="592"/>
      <c r="AK7" s="592"/>
      <c r="AL7" s="612"/>
      <c r="AM7" s="613"/>
      <c r="AN7" s="598">
        <f t="shared" si="1"/>
        <v>252</v>
      </c>
      <c r="AO7" s="592"/>
      <c r="AP7" s="614"/>
      <c r="AQ7" s="612"/>
      <c r="AR7" s="592">
        <f>I7</f>
        <v>252</v>
      </c>
      <c r="AS7" s="612"/>
      <c r="AT7" s="612"/>
      <c r="AU7" s="592"/>
      <c r="AV7" s="592"/>
      <c r="AW7" s="592">
        <f t="shared" si="2"/>
        <v>252</v>
      </c>
      <c r="AX7" s="592"/>
      <c r="AY7" s="600"/>
      <c r="AZ7" s="600"/>
      <c r="BA7" s="600"/>
      <c r="BB7" s="600"/>
      <c r="BC7" s="600"/>
      <c r="BD7" s="600"/>
      <c r="BE7" s="601"/>
      <c r="BF7" s="602" t="s">
        <v>90</v>
      </c>
      <c r="BG7" s="603"/>
      <c r="BH7" s="604">
        <f>I7/6</f>
        <v>42</v>
      </c>
      <c r="BI7" s="605">
        <f>I7/6</f>
        <v>42</v>
      </c>
      <c r="BJ7" s="602">
        <f>I7/6</f>
        <v>42</v>
      </c>
      <c r="BK7" s="602">
        <f>I7/6</f>
        <v>42</v>
      </c>
      <c r="BL7" s="602">
        <f>I7/6</f>
        <v>42</v>
      </c>
      <c r="BM7" s="602">
        <f>I7/6</f>
        <v>42</v>
      </c>
      <c r="BN7" s="615"/>
      <c r="BO7" s="615"/>
      <c r="BP7" s="615"/>
      <c r="BQ7" s="615"/>
      <c r="BR7" s="615"/>
      <c r="BS7" s="615"/>
      <c r="BT7" s="607">
        <f t="shared" si="3"/>
        <v>252</v>
      </c>
      <c r="BU7" s="608">
        <f t="shared" si="4"/>
        <v>0</v>
      </c>
      <c r="BV7" s="517"/>
      <c r="BW7" s="491"/>
    </row>
    <row r="8" s="490" customFormat="1" ht="33" customHeight="1" spans="1:75">
      <c r="A8" s="577">
        <v>45590</v>
      </c>
      <c r="B8" s="581" t="s">
        <v>118</v>
      </c>
      <c r="C8" s="579" t="s">
        <v>119</v>
      </c>
      <c r="D8" s="580">
        <v>4500148999</v>
      </c>
      <c r="E8" s="616" t="s">
        <v>120</v>
      </c>
      <c r="F8" s="580" t="s">
        <v>121</v>
      </c>
      <c r="G8" s="582" t="s">
        <v>122</v>
      </c>
      <c r="H8" s="578" t="s">
        <v>123</v>
      </c>
      <c r="I8" s="583">
        <v>500</v>
      </c>
      <c r="J8" s="583">
        <v>0</v>
      </c>
      <c r="K8" s="583">
        <v>4</v>
      </c>
      <c r="L8" s="584">
        <f t="shared" si="5"/>
        <v>125</v>
      </c>
      <c r="M8" s="585">
        <v>45651</v>
      </c>
      <c r="N8" s="585">
        <v>45647</v>
      </c>
      <c r="O8" s="586"/>
      <c r="P8" s="586" t="s">
        <v>83</v>
      </c>
      <c r="Q8" s="617" t="s">
        <v>124</v>
      </c>
      <c r="R8" s="586" t="s">
        <v>125</v>
      </c>
      <c r="S8" s="586"/>
      <c r="T8" s="586"/>
      <c r="U8" s="586" t="s">
        <v>126</v>
      </c>
      <c r="V8" s="586" t="s">
        <v>127</v>
      </c>
      <c r="W8" s="586"/>
      <c r="X8" s="588" t="s">
        <v>128</v>
      </c>
      <c r="Y8" s="618" t="s">
        <v>129</v>
      </c>
      <c r="Z8" s="590">
        <v>5.8612</v>
      </c>
      <c r="AA8" s="591">
        <f t="shared" si="0"/>
        <v>2930.6</v>
      </c>
      <c r="AB8" s="619" t="s">
        <v>130</v>
      </c>
      <c r="AC8" s="582" t="s">
        <v>122</v>
      </c>
      <c r="AD8" s="619" t="s">
        <v>89</v>
      </c>
      <c r="AE8" s="620"/>
      <c r="AF8" s="620"/>
      <c r="AG8" s="595"/>
      <c r="AH8" s="620"/>
      <c r="AI8" s="620"/>
      <c r="AJ8" s="592">
        <f>I8</f>
        <v>500</v>
      </c>
      <c r="AK8" s="592"/>
      <c r="AL8" s="620"/>
      <c r="AM8" s="620"/>
      <c r="AN8" s="598">
        <f t="shared" si="1"/>
        <v>500</v>
      </c>
      <c r="AO8" s="621"/>
      <c r="AP8" s="622"/>
      <c r="AQ8" s="622"/>
      <c r="AR8" s="621"/>
      <c r="AS8" s="622"/>
      <c r="AT8" s="622"/>
      <c r="AU8" s="592">
        <f>I8</f>
        <v>500</v>
      </c>
      <c r="AV8" s="621"/>
      <c r="AW8" s="592">
        <f t="shared" si="2"/>
        <v>500</v>
      </c>
      <c r="AX8" s="621"/>
      <c r="AY8" s="621"/>
      <c r="AZ8" s="621"/>
      <c r="BA8" s="621"/>
      <c r="BB8" s="621"/>
      <c r="BC8" s="621"/>
      <c r="BD8" s="621"/>
      <c r="BE8" s="623"/>
      <c r="BF8" s="602" t="s">
        <v>90</v>
      </c>
      <c r="BG8" s="603"/>
      <c r="BH8" s="604"/>
      <c r="BI8" s="602">
        <f>I8</f>
        <v>500</v>
      </c>
      <c r="BJ8" s="602"/>
      <c r="BK8" s="602"/>
      <c r="BL8" s="602"/>
      <c r="BM8" s="602"/>
      <c r="BN8" s="624"/>
      <c r="BO8" s="624"/>
      <c r="BP8" s="624"/>
      <c r="BQ8" s="624"/>
      <c r="BR8" s="624"/>
      <c r="BS8" s="624"/>
      <c r="BT8" s="607">
        <f t="shared" si="3"/>
        <v>500</v>
      </c>
      <c r="BU8" s="608">
        <f t="shared" si="4"/>
        <v>0</v>
      </c>
      <c r="BV8" s="517"/>
      <c r="BW8" s="491"/>
    </row>
    <row r="9" s="490" customFormat="1" ht="33" customHeight="1" spans="1:75">
      <c r="A9" s="577">
        <v>45595</v>
      </c>
      <c r="B9" s="581" t="s">
        <v>131</v>
      </c>
      <c r="C9" s="579" t="s">
        <v>78</v>
      </c>
      <c r="D9" s="580">
        <v>4500149496</v>
      </c>
      <c r="E9" s="616" t="s">
        <v>132</v>
      </c>
      <c r="F9" s="580" t="s">
        <v>133</v>
      </c>
      <c r="G9" s="582" t="s">
        <v>122</v>
      </c>
      <c r="H9" s="578" t="s">
        <v>123</v>
      </c>
      <c r="I9" s="583">
        <v>500</v>
      </c>
      <c r="J9" s="583">
        <v>0</v>
      </c>
      <c r="K9" s="583">
        <v>4</v>
      </c>
      <c r="L9" s="584">
        <f t="shared" si="5"/>
        <v>125</v>
      </c>
      <c r="M9" s="585">
        <v>45651</v>
      </c>
      <c r="N9" s="585">
        <v>45647</v>
      </c>
      <c r="O9" s="586"/>
      <c r="P9" s="586" t="s">
        <v>83</v>
      </c>
      <c r="Q9" s="587"/>
      <c r="R9" s="586" t="s">
        <v>134</v>
      </c>
      <c r="S9" s="586"/>
      <c r="T9" s="586"/>
      <c r="U9" s="586" t="s">
        <v>135</v>
      </c>
      <c r="V9" s="586" t="s">
        <v>98</v>
      </c>
      <c r="W9" s="586"/>
      <c r="X9" s="588" t="s">
        <v>136</v>
      </c>
      <c r="Y9" s="618" t="s">
        <v>137</v>
      </c>
      <c r="Z9" s="590">
        <v>5.8612</v>
      </c>
      <c r="AA9" s="591">
        <f t="shared" si="0"/>
        <v>2930.6</v>
      </c>
      <c r="AB9" s="619" t="s">
        <v>138</v>
      </c>
      <c r="AC9" s="582" t="s">
        <v>122</v>
      </c>
      <c r="AD9" s="593" t="s">
        <v>89</v>
      </c>
      <c r="AE9" s="620"/>
      <c r="AF9" s="620"/>
      <c r="AG9" s="595"/>
      <c r="AH9" s="620"/>
      <c r="AI9" s="620"/>
      <c r="AJ9" s="592">
        <f>I9</f>
        <v>500</v>
      </c>
      <c r="AK9" s="592"/>
      <c r="AL9" s="620"/>
      <c r="AM9" s="620"/>
      <c r="AN9" s="598">
        <f t="shared" si="1"/>
        <v>500</v>
      </c>
      <c r="AO9" s="621"/>
      <c r="AP9" s="622"/>
      <c r="AQ9" s="622"/>
      <c r="AR9" s="621"/>
      <c r="AS9" s="622"/>
      <c r="AT9" s="622"/>
      <c r="AU9" s="592">
        <f>I9</f>
        <v>500</v>
      </c>
      <c r="AV9" s="621"/>
      <c r="AW9" s="592">
        <f t="shared" si="2"/>
        <v>500</v>
      </c>
      <c r="AX9" s="621"/>
      <c r="AY9" s="621"/>
      <c r="AZ9" s="621"/>
      <c r="BA9" s="621"/>
      <c r="BB9" s="621"/>
      <c r="BC9" s="621"/>
      <c r="BD9" s="621"/>
      <c r="BE9" s="623"/>
      <c r="BF9" s="602" t="s">
        <v>90</v>
      </c>
      <c r="BG9" s="603"/>
      <c r="BH9" s="604"/>
      <c r="BI9" s="602">
        <f>I9</f>
        <v>500</v>
      </c>
      <c r="BJ9" s="602"/>
      <c r="BK9" s="602"/>
      <c r="BL9" s="602"/>
      <c r="BM9" s="602"/>
      <c r="BN9" s="624"/>
      <c r="BO9" s="624"/>
      <c r="BP9" s="624"/>
      <c r="BQ9" s="624"/>
      <c r="BR9" s="624"/>
      <c r="BS9" s="624"/>
      <c r="BT9" s="607">
        <f t="shared" si="3"/>
        <v>500</v>
      </c>
      <c r="BU9" s="608">
        <f t="shared" si="4"/>
        <v>0</v>
      </c>
      <c r="BV9" s="517"/>
      <c r="BW9" s="491"/>
    </row>
    <row r="10" s="490" customFormat="1" ht="33" customHeight="1" spans="1:75">
      <c r="A10" s="577">
        <v>45621</v>
      </c>
      <c r="B10" s="581" t="s">
        <v>139</v>
      </c>
      <c r="C10" s="579" t="s">
        <v>140</v>
      </c>
      <c r="D10" s="580">
        <v>4500152175</v>
      </c>
      <c r="E10" s="588">
        <v>5000001714</v>
      </c>
      <c r="F10" s="580" t="s">
        <v>141</v>
      </c>
      <c r="G10" s="582" t="s">
        <v>81</v>
      </c>
      <c r="H10" s="578" t="s">
        <v>95</v>
      </c>
      <c r="I10" s="583">
        <v>8004</v>
      </c>
      <c r="J10" s="583">
        <v>0</v>
      </c>
      <c r="K10" s="583">
        <v>6</v>
      </c>
      <c r="L10" s="584">
        <f t="shared" si="5"/>
        <v>1334</v>
      </c>
      <c r="M10" s="585">
        <v>45651</v>
      </c>
      <c r="N10" s="585">
        <v>45647</v>
      </c>
      <c r="O10" s="586"/>
      <c r="P10" s="586" t="s">
        <v>83</v>
      </c>
      <c r="Q10" s="587" t="s">
        <v>142</v>
      </c>
      <c r="R10" s="586" t="s">
        <v>143</v>
      </c>
      <c r="S10" s="586"/>
      <c r="T10" s="586"/>
      <c r="U10" s="586" t="s">
        <v>144</v>
      </c>
      <c r="V10" s="586" t="s">
        <v>145</v>
      </c>
      <c r="W10" s="586"/>
      <c r="X10" s="588" t="s">
        <v>146</v>
      </c>
      <c r="Y10" s="618" t="s">
        <v>147</v>
      </c>
      <c r="Z10" s="590">
        <v>5.6846</v>
      </c>
      <c r="AA10" s="591">
        <f t="shared" si="0"/>
        <v>45499.5384</v>
      </c>
      <c r="AB10" s="619" t="s">
        <v>148</v>
      </c>
      <c r="AC10" s="582" t="s">
        <v>149</v>
      </c>
      <c r="AD10" s="593" t="s">
        <v>89</v>
      </c>
      <c r="AE10" s="625"/>
      <c r="AF10" s="625"/>
      <c r="AG10" s="595">
        <f>I10</f>
        <v>8004</v>
      </c>
      <c r="AH10" s="625"/>
      <c r="AI10" s="625"/>
      <c r="AJ10" s="592"/>
      <c r="AK10" s="592"/>
      <c r="AL10" s="625"/>
      <c r="AM10" s="625"/>
      <c r="AN10" s="598"/>
      <c r="AO10" s="621">
        <f>I10</f>
        <v>8004</v>
      </c>
      <c r="AP10" s="626"/>
      <c r="AQ10" s="626"/>
      <c r="AR10" s="592">
        <f>I10</f>
        <v>8004</v>
      </c>
      <c r="AS10" s="626"/>
      <c r="AT10" s="626"/>
      <c r="AU10" s="592"/>
      <c r="AV10" s="621"/>
      <c r="AW10" s="592">
        <f t="shared" si="2"/>
        <v>8004</v>
      </c>
      <c r="AX10" s="621"/>
      <c r="AY10" s="621"/>
      <c r="AZ10" s="621"/>
      <c r="BA10" s="621"/>
      <c r="BB10" s="621"/>
      <c r="BC10" s="621"/>
      <c r="BD10" s="621"/>
      <c r="BE10" s="623"/>
      <c r="BF10" s="602" t="s">
        <v>90</v>
      </c>
      <c r="BG10" s="603"/>
      <c r="BH10" s="604">
        <f>I10/6</f>
        <v>1334</v>
      </c>
      <c r="BI10" s="605">
        <f>I10/6</f>
        <v>1334</v>
      </c>
      <c r="BJ10" s="602">
        <f>I10/6</f>
        <v>1334</v>
      </c>
      <c r="BK10" s="602">
        <f>I10/6</f>
        <v>1334</v>
      </c>
      <c r="BL10" s="602">
        <f>I10/6</f>
        <v>1334</v>
      </c>
      <c r="BM10" s="602">
        <f>I10/6</f>
        <v>1334</v>
      </c>
      <c r="BN10" s="615"/>
      <c r="BO10" s="615"/>
      <c r="BP10" s="615"/>
      <c r="BQ10" s="615"/>
      <c r="BR10" s="615"/>
      <c r="BS10" s="615"/>
      <c r="BT10" s="607">
        <f t="shared" si="3"/>
        <v>8004</v>
      </c>
      <c r="BU10" s="608">
        <f t="shared" si="4"/>
        <v>0</v>
      </c>
      <c r="BV10" s="627"/>
      <c r="BW10" s="491"/>
    </row>
    <row r="11" s="490" customFormat="1" ht="33" customHeight="1" spans="1:75">
      <c r="A11" s="577">
        <v>45623</v>
      </c>
      <c r="B11" s="581" t="s">
        <v>139</v>
      </c>
      <c r="C11" s="579" t="s">
        <v>140</v>
      </c>
      <c r="D11" s="580">
        <v>4500152175</v>
      </c>
      <c r="E11" s="588">
        <v>5000001714</v>
      </c>
      <c r="F11" s="580" t="s">
        <v>150</v>
      </c>
      <c r="G11" s="582" t="s">
        <v>81</v>
      </c>
      <c r="H11" s="578" t="s">
        <v>95</v>
      </c>
      <c r="I11" s="583">
        <v>2400</v>
      </c>
      <c r="J11" s="583">
        <v>0</v>
      </c>
      <c r="K11" s="583">
        <v>6</v>
      </c>
      <c r="L11" s="584">
        <f t="shared" si="5"/>
        <v>400</v>
      </c>
      <c r="M11" s="585">
        <v>45653</v>
      </c>
      <c r="N11" s="585">
        <v>45649</v>
      </c>
      <c r="O11" s="586"/>
      <c r="P11" s="586" t="s">
        <v>83</v>
      </c>
      <c r="Q11" s="587" t="s">
        <v>142</v>
      </c>
      <c r="R11" s="586" t="s">
        <v>143</v>
      </c>
      <c r="S11" s="586"/>
      <c r="T11" s="586"/>
      <c r="U11" s="586" t="s">
        <v>144</v>
      </c>
      <c r="V11" s="586" t="s">
        <v>151</v>
      </c>
      <c r="W11" s="586"/>
      <c r="X11" s="588" t="s">
        <v>152</v>
      </c>
      <c r="Y11" s="618" t="s">
        <v>147</v>
      </c>
      <c r="Z11" s="590">
        <v>5.6684</v>
      </c>
      <c r="AA11" s="591">
        <f t="shared" si="0"/>
        <v>13604.16</v>
      </c>
      <c r="AB11" s="619" t="s">
        <v>148</v>
      </c>
      <c r="AC11" s="582" t="s">
        <v>149</v>
      </c>
      <c r="AD11" s="593" t="s">
        <v>89</v>
      </c>
      <c r="AE11" s="620"/>
      <c r="AF11" s="620"/>
      <c r="AG11" s="595">
        <f>I11</f>
        <v>2400</v>
      </c>
      <c r="AH11" s="620"/>
      <c r="AI11" s="620"/>
      <c r="AJ11" s="592"/>
      <c r="AK11" s="592"/>
      <c r="AL11" s="620"/>
      <c r="AM11" s="620"/>
      <c r="AN11" s="598"/>
      <c r="AO11" s="621">
        <f>I11</f>
        <v>2400</v>
      </c>
      <c r="AP11" s="622"/>
      <c r="AQ11" s="622"/>
      <c r="AR11" s="592">
        <f>I11</f>
        <v>2400</v>
      </c>
      <c r="AS11" s="622"/>
      <c r="AT11" s="622"/>
      <c r="AU11" s="621"/>
      <c r="AV11" s="621"/>
      <c r="AW11" s="592">
        <f t="shared" si="2"/>
        <v>2400</v>
      </c>
      <c r="AX11" s="621"/>
      <c r="AY11" s="621"/>
      <c r="AZ11" s="621"/>
      <c r="BA11" s="621"/>
      <c r="BB11" s="621"/>
      <c r="BC11" s="621"/>
      <c r="BD11" s="621"/>
      <c r="BE11" s="623"/>
      <c r="BF11" s="602" t="s">
        <v>90</v>
      </c>
      <c r="BG11" s="603"/>
      <c r="BH11" s="604">
        <f>I11/6</f>
        <v>400</v>
      </c>
      <c r="BI11" s="605">
        <f>I11/6</f>
        <v>400</v>
      </c>
      <c r="BJ11" s="602">
        <f>I11/6</f>
        <v>400</v>
      </c>
      <c r="BK11" s="602">
        <f>I11/6</f>
        <v>400</v>
      </c>
      <c r="BL11" s="602">
        <f>I11/6</f>
        <v>400</v>
      </c>
      <c r="BM11" s="602">
        <f>I11/6</f>
        <v>400</v>
      </c>
      <c r="BN11" s="624"/>
      <c r="BO11" s="624"/>
      <c r="BP11" s="624"/>
      <c r="BQ11" s="624"/>
      <c r="BR11" s="624"/>
      <c r="BS11" s="624"/>
      <c r="BT11" s="607">
        <f t="shared" si="3"/>
        <v>2400</v>
      </c>
      <c r="BU11" s="608">
        <f t="shared" si="4"/>
        <v>0</v>
      </c>
      <c r="BV11" s="517"/>
      <c r="BW11" s="491"/>
    </row>
    <row r="12" s="490" customFormat="1" ht="33" customHeight="1" spans="1:75">
      <c r="A12" s="577">
        <v>45618</v>
      </c>
      <c r="B12" s="578" t="s">
        <v>153</v>
      </c>
      <c r="C12" s="579" t="s">
        <v>92</v>
      </c>
      <c r="D12" s="580">
        <v>4500152092</v>
      </c>
      <c r="E12" s="588">
        <v>877286412</v>
      </c>
      <c r="F12" s="580" t="s">
        <v>154</v>
      </c>
      <c r="G12" s="582" t="s">
        <v>155</v>
      </c>
      <c r="H12" s="578" t="s">
        <v>156</v>
      </c>
      <c r="I12" s="583">
        <v>540</v>
      </c>
      <c r="J12" s="583">
        <v>0</v>
      </c>
      <c r="K12" s="583">
        <v>108</v>
      </c>
      <c r="L12" s="584">
        <f t="shared" si="5"/>
        <v>5</v>
      </c>
      <c r="M12" s="585">
        <v>45650</v>
      </c>
      <c r="N12" s="585">
        <v>45646</v>
      </c>
      <c r="O12" s="586" t="s">
        <v>157</v>
      </c>
      <c r="P12" s="586" t="s">
        <v>83</v>
      </c>
      <c r="Q12" s="587" t="s">
        <v>158</v>
      </c>
      <c r="R12" s="586" t="s">
        <v>159</v>
      </c>
      <c r="S12" s="586"/>
      <c r="T12" s="586"/>
      <c r="U12" s="586" t="s">
        <v>160</v>
      </c>
      <c r="V12" s="586" t="s">
        <v>161</v>
      </c>
      <c r="W12" s="586"/>
      <c r="X12" s="588" t="s">
        <v>162</v>
      </c>
      <c r="Y12" s="610" t="s">
        <v>163</v>
      </c>
      <c r="Z12" s="590">
        <v>658.0781</v>
      </c>
      <c r="AA12" s="591">
        <f>L12*Z12</f>
        <v>3290.3905</v>
      </c>
      <c r="AB12" s="592" t="s">
        <v>164</v>
      </c>
      <c r="AC12" s="582" t="s">
        <v>155</v>
      </c>
      <c r="AD12" s="593" t="s">
        <v>89</v>
      </c>
      <c r="AE12" s="594"/>
      <c r="AF12" s="594"/>
      <c r="AG12" s="595">
        <f>I12</f>
        <v>540</v>
      </c>
      <c r="AH12" s="596"/>
      <c r="AI12" s="596"/>
      <c r="AJ12" s="592"/>
      <c r="AK12" s="592"/>
      <c r="AL12" s="596"/>
      <c r="AM12" s="597"/>
      <c r="AN12" s="598">
        <f>I12</f>
        <v>540</v>
      </c>
      <c r="AO12" s="592"/>
      <c r="AP12" s="599"/>
      <c r="AQ12" s="596"/>
      <c r="AR12" s="592">
        <f>I12</f>
        <v>540</v>
      </c>
      <c r="AS12" s="596"/>
      <c r="AT12" s="596"/>
      <c r="AU12" s="592"/>
      <c r="AV12" s="592"/>
      <c r="AW12" s="592">
        <f t="shared" ref="AW12:AW42" si="6">I12</f>
        <v>540</v>
      </c>
      <c r="AX12" s="592"/>
      <c r="AY12" s="600"/>
      <c r="AZ12" s="600"/>
      <c r="BA12" s="600"/>
      <c r="BB12" s="600"/>
      <c r="BC12" s="600"/>
      <c r="BD12" s="600"/>
      <c r="BE12" s="601"/>
      <c r="BF12" s="602" t="s">
        <v>165</v>
      </c>
      <c r="BG12" s="603">
        <f>I12</f>
        <v>540</v>
      </c>
      <c r="BH12" s="604">
        <f>I12/6</f>
        <v>90</v>
      </c>
      <c r="BI12" s="602">
        <f>I12/6</f>
        <v>90</v>
      </c>
      <c r="BJ12" s="602">
        <f>I12/6</f>
        <v>90</v>
      </c>
      <c r="BK12" s="602">
        <f>I12/6</f>
        <v>90</v>
      </c>
      <c r="BL12" s="602">
        <f>I12/6</f>
        <v>90</v>
      </c>
      <c r="BM12" s="602">
        <f>I12/6</f>
        <v>90</v>
      </c>
      <c r="BN12" s="606"/>
      <c r="BO12" s="606"/>
      <c r="BP12" s="606"/>
      <c r="BQ12" s="606"/>
      <c r="BR12" s="606"/>
      <c r="BS12" s="606"/>
      <c r="BT12" s="607">
        <f t="shared" si="3"/>
        <v>540</v>
      </c>
      <c r="BU12" s="608">
        <f t="shared" si="4"/>
        <v>0</v>
      </c>
      <c r="BV12" s="609"/>
      <c r="BW12" s="491"/>
    </row>
    <row r="13" s="490" customFormat="1" ht="33" customHeight="1" spans="1:75">
      <c r="A13" s="577">
        <v>45587</v>
      </c>
      <c r="B13" s="581" t="s">
        <v>166</v>
      </c>
      <c r="C13" s="579" t="s">
        <v>92</v>
      </c>
      <c r="D13" s="580">
        <v>4500147716</v>
      </c>
      <c r="E13" s="588">
        <v>60190663</v>
      </c>
      <c r="F13" s="580" t="s">
        <v>167</v>
      </c>
      <c r="G13" s="582" t="s">
        <v>81</v>
      </c>
      <c r="H13" s="578" t="s">
        <v>95</v>
      </c>
      <c r="I13" s="583">
        <v>2004</v>
      </c>
      <c r="J13" s="583">
        <v>0</v>
      </c>
      <c r="K13" s="583">
        <v>6</v>
      </c>
      <c r="L13" s="584">
        <f t="shared" si="5"/>
        <v>334</v>
      </c>
      <c r="M13" s="585">
        <v>45653</v>
      </c>
      <c r="N13" s="585">
        <v>45649</v>
      </c>
      <c r="O13" s="586"/>
      <c r="P13" s="586" t="s">
        <v>83</v>
      </c>
      <c r="Q13" s="587" t="s">
        <v>168</v>
      </c>
      <c r="R13" s="586" t="s">
        <v>169</v>
      </c>
      <c r="S13" s="586"/>
      <c r="T13" s="586"/>
      <c r="U13" s="586" t="s">
        <v>86</v>
      </c>
      <c r="V13" s="586" t="s">
        <v>170</v>
      </c>
      <c r="W13" s="586"/>
      <c r="X13" s="588" t="s">
        <v>171</v>
      </c>
      <c r="Y13" s="618" t="s">
        <v>172</v>
      </c>
      <c r="Z13" s="590">
        <v>5.712</v>
      </c>
      <c r="AA13" s="591">
        <f t="shared" ref="AA13:AA20" si="7">Z13*I13</f>
        <v>11446.848</v>
      </c>
      <c r="AB13" s="619" t="s">
        <v>173</v>
      </c>
      <c r="AC13" s="582" t="s">
        <v>81</v>
      </c>
      <c r="AD13" s="593" t="s">
        <v>89</v>
      </c>
      <c r="AE13" s="628"/>
      <c r="AF13" s="628"/>
      <c r="AG13" s="595">
        <f>I13</f>
        <v>2004</v>
      </c>
      <c r="AH13" s="628"/>
      <c r="AI13" s="628"/>
      <c r="AJ13" s="589"/>
      <c r="AK13" s="629"/>
      <c r="AL13" s="628"/>
      <c r="AM13" s="628"/>
      <c r="AN13" s="598">
        <f>I13</f>
        <v>2004</v>
      </c>
      <c r="AO13" s="621"/>
      <c r="AP13" s="630"/>
      <c r="AQ13" s="630"/>
      <c r="AR13" s="621">
        <f>I13</f>
        <v>2004</v>
      </c>
      <c r="AS13" s="630"/>
      <c r="AT13" s="630"/>
      <c r="AU13" s="621"/>
      <c r="AV13" s="621"/>
      <c r="AW13" s="592">
        <f t="shared" si="6"/>
        <v>2004</v>
      </c>
      <c r="AX13" s="621"/>
      <c r="AY13" s="621"/>
      <c r="AZ13" s="621"/>
      <c r="BA13" s="621"/>
      <c r="BB13" s="621"/>
      <c r="BC13" s="621"/>
      <c r="BD13" s="621"/>
      <c r="BE13" s="623"/>
      <c r="BF13" s="602" t="s">
        <v>90</v>
      </c>
      <c r="BG13" s="603"/>
      <c r="BH13" s="604">
        <f>I13/6</f>
        <v>334</v>
      </c>
      <c r="BI13" s="605">
        <f>I13/6</f>
        <v>334</v>
      </c>
      <c r="BJ13" s="602">
        <f>I13/6</f>
        <v>334</v>
      </c>
      <c r="BK13" s="602">
        <f>I13/6</f>
        <v>334</v>
      </c>
      <c r="BL13" s="602">
        <f>I13/6</f>
        <v>334</v>
      </c>
      <c r="BM13" s="602">
        <f>I13/6</f>
        <v>334</v>
      </c>
      <c r="BN13" s="631"/>
      <c r="BO13" s="631"/>
      <c r="BP13" s="631"/>
      <c r="BQ13" s="631"/>
      <c r="BR13" s="631"/>
      <c r="BS13" s="631"/>
      <c r="BT13" s="607">
        <f t="shared" si="3"/>
        <v>2004</v>
      </c>
      <c r="BU13" s="608">
        <f t="shared" si="4"/>
        <v>0</v>
      </c>
      <c r="BV13" s="609"/>
      <c r="BW13" s="491"/>
    </row>
    <row r="14" s="490" customFormat="1" ht="33" customHeight="1" spans="1:75">
      <c r="A14" s="577">
        <v>45611</v>
      </c>
      <c r="B14" s="578" t="s">
        <v>174</v>
      </c>
      <c r="C14" s="579" t="s">
        <v>175</v>
      </c>
      <c r="D14" s="580">
        <v>4500151435</v>
      </c>
      <c r="E14" s="588">
        <v>83721</v>
      </c>
      <c r="F14" s="580" t="s">
        <v>176</v>
      </c>
      <c r="G14" s="582" t="s">
        <v>81</v>
      </c>
      <c r="H14" s="578" t="s">
        <v>95</v>
      </c>
      <c r="I14" s="583">
        <v>1302</v>
      </c>
      <c r="J14" s="583">
        <v>0</v>
      </c>
      <c r="K14" s="583">
        <v>6</v>
      </c>
      <c r="L14" s="584">
        <f t="shared" si="5"/>
        <v>217</v>
      </c>
      <c r="M14" s="585">
        <v>45656</v>
      </c>
      <c r="N14" s="585">
        <v>45652</v>
      </c>
      <c r="O14" s="586"/>
      <c r="P14" s="586" t="s">
        <v>83</v>
      </c>
      <c r="Q14" s="587" t="s">
        <v>105</v>
      </c>
      <c r="R14" s="586" t="s">
        <v>177</v>
      </c>
      <c r="S14" s="586"/>
      <c r="T14" s="586"/>
      <c r="U14" s="586" t="s">
        <v>178</v>
      </c>
      <c r="V14" s="586"/>
      <c r="W14" s="586" t="s">
        <v>179</v>
      </c>
      <c r="X14" s="588" t="s">
        <v>180</v>
      </c>
      <c r="Y14" s="610" t="s">
        <v>181</v>
      </c>
      <c r="Z14" s="590">
        <v>5.8973</v>
      </c>
      <c r="AA14" s="591">
        <f t="shared" si="7"/>
        <v>7678.2846</v>
      </c>
      <c r="AB14" s="592" t="s">
        <v>182</v>
      </c>
      <c r="AC14" s="582" t="s">
        <v>81</v>
      </c>
      <c r="AD14" s="593" t="s">
        <v>89</v>
      </c>
      <c r="AE14" s="594"/>
      <c r="AF14" s="594"/>
      <c r="AG14" s="595">
        <f t="shared" ref="AG12:AG24" si="8">I14</f>
        <v>1302</v>
      </c>
      <c r="AH14" s="596"/>
      <c r="AI14" s="596"/>
      <c r="AJ14" s="592"/>
      <c r="AK14" s="592"/>
      <c r="AL14" s="596"/>
      <c r="AM14" s="597"/>
      <c r="AN14" s="598">
        <f t="shared" ref="AN14:AN42" si="9">I14</f>
        <v>1302</v>
      </c>
      <c r="AO14" s="592"/>
      <c r="AP14" s="599"/>
      <c r="AQ14" s="596"/>
      <c r="AR14" s="592">
        <f t="shared" ref="AR12:AR24" si="10">I14</f>
        <v>1302</v>
      </c>
      <c r="AS14" s="596"/>
      <c r="AT14" s="596"/>
      <c r="AU14" s="592"/>
      <c r="AV14" s="592"/>
      <c r="AW14" s="592">
        <f t="shared" si="6"/>
        <v>1302</v>
      </c>
      <c r="AX14" s="592"/>
      <c r="AY14" s="600"/>
      <c r="AZ14" s="600"/>
      <c r="BA14" s="600"/>
      <c r="BB14" s="600"/>
      <c r="BC14" s="600"/>
      <c r="BD14" s="600"/>
      <c r="BE14" s="601"/>
      <c r="BF14" s="602" t="s">
        <v>90</v>
      </c>
      <c r="BG14" s="603"/>
      <c r="BH14" s="604">
        <f t="shared" ref="BH12:BH35" si="11">I14/6</f>
        <v>217</v>
      </c>
      <c r="BI14" s="605">
        <f t="shared" ref="BI12:BI35" si="12">I14/6</f>
        <v>217</v>
      </c>
      <c r="BJ14" s="602">
        <f t="shared" ref="BJ12:BJ35" si="13">I14/6</f>
        <v>217</v>
      </c>
      <c r="BK14" s="602">
        <f t="shared" ref="BK12:BK35" si="14">I14/6</f>
        <v>217</v>
      </c>
      <c r="BL14" s="602">
        <f t="shared" ref="BL12:BL35" si="15">I14/6</f>
        <v>217</v>
      </c>
      <c r="BM14" s="602">
        <f t="shared" ref="BM12:BM35" si="16">I14/6</f>
        <v>217</v>
      </c>
      <c r="BN14" s="606"/>
      <c r="BO14" s="606"/>
      <c r="BP14" s="606"/>
      <c r="BQ14" s="606"/>
      <c r="BR14" s="606"/>
      <c r="BS14" s="606"/>
      <c r="BT14" s="607">
        <f t="shared" si="3"/>
        <v>1302</v>
      </c>
      <c r="BU14" s="608">
        <f t="shared" si="4"/>
        <v>0</v>
      </c>
      <c r="BV14" s="609"/>
      <c r="BW14" s="491"/>
    </row>
    <row r="15" s="490" customFormat="1" ht="33" customHeight="1" spans="1:75">
      <c r="A15" s="577">
        <v>45586</v>
      </c>
      <c r="B15" s="581" t="s">
        <v>102</v>
      </c>
      <c r="C15" s="579" t="s">
        <v>92</v>
      </c>
      <c r="D15" s="580">
        <v>4500147796</v>
      </c>
      <c r="E15" s="616" t="s">
        <v>183</v>
      </c>
      <c r="F15" s="580" t="s">
        <v>184</v>
      </c>
      <c r="G15" s="582" t="s">
        <v>81</v>
      </c>
      <c r="H15" s="578" t="s">
        <v>95</v>
      </c>
      <c r="I15" s="583">
        <v>1998</v>
      </c>
      <c r="J15" s="583">
        <v>0</v>
      </c>
      <c r="K15" s="583">
        <v>6</v>
      </c>
      <c r="L15" s="584">
        <f t="shared" si="5"/>
        <v>333</v>
      </c>
      <c r="M15" s="585">
        <v>45656</v>
      </c>
      <c r="N15" s="585">
        <v>45652</v>
      </c>
      <c r="O15" s="586"/>
      <c r="P15" s="586" t="s">
        <v>83</v>
      </c>
      <c r="Q15" s="587" t="s">
        <v>185</v>
      </c>
      <c r="R15" s="586" t="s">
        <v>106</v>
      </c>
      <c r="S15" s="586"/>
      <c r="T15" s="586"/>
      <c r="U15" s="586" t="s">
        <v>86</v>
      </c>
      <c r="V15" s="586" t="s">
        <v>186</v>
      </c>
      <c r="W15" s="586"/>
      <c r="X15" s="588" t="s">
        <v>108</v>
      </c>
      <c r="Y15" s="618" t="s">
        <v>109</v>
      </c>
      <c r="Z15" s="590">
        <v>5.8973</v>
      </c>
      <c r="AA15" s="591">
        <f t="shared" si="7"/>
        <v>11782.8054</v>
      </c>
      <c r="AB15" s="619" t="s">
        <v>187</v>
      </c>
      <c r="AC15" s="582" t="s">
        <v>81</v>
      </c>
      <c r="AD15" s="593" t="s">
        <v>89</v>
      </c>
      <c r="AE15" s="628"/>
      <c r="AF15" s="628"/>
      <c r="AG15" s="595">
        <f t="shared" si="8"/>
        <v>1998</v>
      </c>
      <c r="AH15" s="628"/>
      <c r="AI15" s="628"/>
      <c r="AJ15" s="589"/>
      <c r="AK15" s="629"/>
      <c r="AL15" s="628"/>
      <c r="AM15" s="628"/>
      <c r="AN15" s="598">
        <f t="shared" si="9"/>
        <v>1998</v>
      </c>
      <c r="AO15" s="621"/>
      <c r="AP15" s="630"/>
      <c r="AQ15" s="630"/>
      <c r="AR15" s="592">
        <f t="shared" si="10"/>
        <v>1998</v>
      </c>
      <c r="AS15" s="630"/>
      <c r="AT15" s="630"/>
      <c r="AU15" s="621"/>
      <c r="AV15" s="621"/>
      <c r="AW15" s="592">
        <f t="shared" si="6"/>
        <v>1998</v>
      </c>
      <c r="AX15" s="621"/>
      <c r="AY15" s="621"/>
      <c r="AZ15" s="621"/>
      <c r="BA15" s="621"/>
      <c r="BB15" s="621"/>
      <c r="BC15" s="621"/>
      <c r="BD15" s="621"/>
      <c r="BE15" s="623"/>
      <c r="BF15" s="602" t="s">
        <v>90</v>
      </c>
      <c r="BG15" s="603"/>
      <c r="BH15" s="604">
        <f t="shared" si="11"/>
        <v>333</v>
      </c>
      <c r="BI15" s="605">
        <f t="shared" si="12"/>
        <v>333</v>
      </c>
      <c r="BJ15" s="602">
        <f t="shared" si="13"/>
        <v>333</v>
      </c>
      <c r="BK15" s="602">
        <f t="shared" si="14"/>
        <v>333</v>
      </c>
      <c r="BL15" s="602">
        <f t="shared" si="15"/>
        <v>333</v>
      </c>
      <c r="BM15" s="602">
        <f t="shared" si="16"/>
        <v>333</v>
      </c>
      <c r="BN15" s="631"/>
      <c r="BO15" s="631"/>
      <c r="BP15" s="631"/>
      <c r="BQ15" s="631"/>
      <c r="BR15" s="631"/>
      <c r="BS15" s="631"/>
      <c r="BT15" s="607">
        <f t="shared" si="3"/>
        <v>1998</v>
      </c>
      <c r="BU15" s="608">
        <f t="shared" si="4"/>
        <v>0</v>
      </c>
      <c r="BV15" s="609"/>
      <c r="BW15" s="491"/>
    </row>
    <row r="16" s="490" customFormat="1" ht="33" customHeight="1" spans="1:75">
      <c r="A16" s="577">
        <v>45586</v>
      </c>
      <c r="B16" s="581" t="s">
        <v>102</v>
      </c>
      <c r="C16" s="579" t="s">
        <v>92</v>
      </c>
      <c r="D16" s="580">
        <v>4500147793</v>
      </c>
      <c r="E16" s="616" t="s">
        <v>188</v>
      </c>
      <c r="F16" s="580" t="s">
        <v>189</v>
      </c>
      <c r="G16" s="582" t="s">
        <v>81</v>
      </c>
      <c r="H16" s="578" t="s">
        <v>95</v>
      </c>
      <c r="I16" s="583">
        <v>1800</v>
      </c>
      <c r="J16" s="583">
        <v>0</v>
      </c>
      <c r="K16" s="583">
        <v>6</v>
      </c>
      <c r="L16" s="584">
        <f t="shared" ref="L16:L23" si="17">I16/K16</f>
        <v>300</v>
      </c>
      <c r="M16" s="585">
        <v>45656</v>
      </c>
      <c r="N16" s="585">
        <v>45652</v>
      </c>
      <c r="O16" s="586"/>
      <c r="P16" s="586" t="s">
        <v>83</v>
      </c>
      <c r="Q16" s="587" t="s">
        <v>190</v>
      </c>
      <c r="R16" s="586" t="s">
        <v>106</v>
      </c>
      <c r="S16" s="586"/>
      <c r="T16" s="586"/>
      <c r="U16" s="586" t="s">
        <v>86</v>
      </c>
      <c r="V16" s="586" t="s">
        <v>186</v>
      </c>
      <c r="W16" s="586"/>
      <c r="X16" s="588" t="s">
        <v>108</v>
      </c>
      <c r="Y16" s="618" t="s">
        <v>109</v>
      </c>
      <c r="Z16" s="590">
        <v>5.8973</v>
      </c>
      <c r="AA16" s="591">
        <f t="shared" si="7"/>
        <v>10615.14</v>
      </c>
      <c r="AB16" s="619" t="s">
        <v>191</v>
      </c>
      <c r="AC16" s="582" t="s">
        <v>81</v>
      </c>
      <c r="AD16" s="619" t="s">
        <v>89</v>
      </c>
      <c r="AE16" s="628"/>
      <c r="AF16" s="628"/>
      <c r="AG16" s="595">
        <f t="shared" si="8"/>
        <v>1800</v>
      </c>
      <c r="AH16" s="628"/>
      <c r="AI16" s="628"/>
      <c r="AJ16" s="589"/>
      <c r="AK16" s="629"/>
      <c r="AL16" s="628"/>
      <c r="AM16" s="628"/>
      <c r="AN16" s="598">
        <f t="shared" si="9"/>
        <v>1800</v>
      </c>
      <c r="AO16" s="621"/>
      <c r="AP16" s="630"/>
      <c r="AQ16" s="630"/>
      <c r="AR16" s="592">
        <f t="shared" si="10"/>
        <v>1800</v>
      </c>
      <c r="AS16" s="630"/>
      <c r="AT16" s="630"/>
      <c r="AU16" s="621"/>
      <c r="AV16" s="621"/>
      <c r="AW16" s="592">
        <f t="shared" si="6"/>
        <v>1800</v>
      </c>
      <c r="AX16" s="621"/>
      <c r="AY16" s="621"/>
      <c r="AZ16" s="621"/>
      <c r="BA16" s="621"/>
      <c r="BB16" s="621"/>
      <c r="BC16" s="621"/>
      <c r="BD16" s="621"/>
      <c r="BE16" s="623"/>
      <c r="BF16" s="602" t="s">
        <v>90</v>
      </c>
      <c r="BG16" s="603"/>
      <c r="BH16" s="604">
        <f t="shared" si="11"/>
        <v>300</v>
      </c>
      <c r="BI16" s="605">
        <f t="shared" si="12"/>
        <v>300</v>
      </c>
      <c r="BJ16" s="602">
        <f t="shared" si="13"/>
        <v>300</v>
      </c>
      <c r="BK16" s="602">
        <f t="shared" si="14"/>
        <v>300</v>
      </c>
      <c r="BL16" s="602">
        <f t="shared" si="15"/>
        <v>300</v>
      </c>
      <c r="BM16" s="602">
        <f t="shared" si="16"/>
        <v>300</v>
      </c>
      <c r="BN16" s="631"/>
      <c r="BO16" s="631"/>
      <c r="BP16" s="631"/>
      <c r="BQ16" s="631"/>
      <c r="BR16" s="631"/>
      <c r="BS16" s="631"/>
      <c r="BT16" s="607">
        <f t="shared" si="3"/>
        <v>1800</v>
      </c>
      <c r="BU16" s="608">
        <f t="shared" si="4"/>
        <v>0</v>
      </c>
      <c r="BV16" s="609"/>
      <c r="BW16" s="491"/>
    </row>
    <row r="17" s="490" customFormat="1" ht="33" customHeight="1" spans="1:75">
      <c r="A17" s="577">
        <v>45586</v>
      </c>
      <c r="B17" s="581" t="s">
        <v>102</v>
      </c>
      <c r="C17" s="579" t="s">
        <v>92</v>
      </c>
      <c r="D17" s="580">
        <v>4500147795</v>
      </c>
      <c r="E17" s="616" t="s">
        <v>192</v>
      </c>
      <c r="F17" s="580" t="s">
        <v>193</v>
      </c>
      <c r="G17" s="582" t="s">
        <v>81</v>
      </c>
      <c r="H17" s="578" t="s">
        <v>95</v>
      </c>
      <c r="I17" s="583">
        <v>1998</v>
      </c>
      <c r="J17" s="583">
        <v>0</v>
      </c>
      <c r="K17" s="583">
        <v>6</v>
      </c>
      <c r="L17" s="584">
        <f t="shared" si="17"/>
        <v>333</v>
      </c>
      <c r="M17" s="585">
        <v>45656</v>
      </c>
      <c r="N17" s="585">
        <v>45652</v>
      </c>
      <c r="O17" s="586"/>
      <c r="P17" s="586" t="s">
        <v>83</v>
      </c>
      <c r="Q17" s="587" t="s">
        <v>185</v>
      </c>
      <c r="R17" s="586" t="s">
        <v>106</v>
      </c>
      <c r="S17" s="586"/>
      <c r="T17" s="586"/>
      <c r="U17" s="586" t="s">
        <v>86</v>
      </c>
      <c r="V17" s="586" t="s">
        <v>186</v>
      </c>
      <c r="W17" s="586"/>
      <c r="X17" s="588" t="s">
        <v>108</v>
      </c>
      <c r="Y17" s="618" t="s">
        <v>109</v>
      </c>
      <c r="Z17" s="590">
        <v>5.8973</v>
      </c>
      <c r="AA17" s="591">
        <f t="shared" si="7"/>
        <v>11782.8054</v>
      </c>
      <c r="AB17" s="619" t="s">
        <v>194</v>
      </c>
      <c r="AC17" s="582" t="s">
        <v>81</v>
      </c>
      <c r="AD17" s="619" t="s">
        <v>89</v>
      </c>
      <c r="AE17" s="628"/>
      <c r="AF17" s="628"/>
      <c r="AG17" s="595">
        <f t="shared" si="8"/>
        <v>1998</v>
      </c>
      <c r="AH17" s="628"/>
      <c r="AI17" s="628"/>
      <c r="AJ17" s="589"/>
      <c r="AK17" s="629"/>
      <c r="AL17" s="628"/>
      <c r="AM17" s="628"/>
      <c r="AN17" s="598">
        <f t="shared" si="9"/>
        <v>1998</v>
      </c>
      <c r="AO17" s="621"/>
      <c r="AP17" s="630"/>
      <c r="AQ17" s="630"/>
      <c r="AR17" s="592">
        <f t="shared" si="10"/>
        <v>1998</v>
      </c>
      <c r="AS17" s="630"/>
      <c r="AT17" s="630"/>
      <c r="AU17" s="621"/>
      <c r="AV17" s="621"/>
      <c r="AW17" s="592">
        <f t="shared" si="6"/>
        <v>1998</v>
      </c>
      <c r="AX17" s="621"/>
      <c r="AY17" s="621"/>
      <c r="AZ17" s="621"/>
      <c r="BA17" s="621"/>
      <c r="BB17" s="621"/>
      <c r="BC17" s="621"/>
      <c r="BD17" s="621"/>
      <c r="BE17" s="623"/>
      <c r="BF17" s="602" t="s">
        <v>90</v>
      </c>
      <c r="BG17" s="603"/>
      <c r="BH17" s="604">
        <f t="shared" si="11"/>
        <v>333</v>
      </c>
      <c r="BI17" s="605">
        <f t="shared" si="12"/>
        <v>333</v>
      </c>
      <c r="BJ17" s="602">
        <f t="shared" si="13"/>
        <v>333</v>
      </c>
      <c r="BK17" s="602">
        <f t="shared" si="14"/>
        <v>333</v>
      </c>
      <c r="BL17" s="602">
        <f t="shared" si="15"/>
        <v>333</v>
      </c>
      <c r="BM17" s="602">
        <f t="shared" si="16"/>
        <v>333</v>
      </c>
      <c r="BN17" s="631"/>
      <c r="BO17" s="631"/>
      <c r="BP17" s="631"/>
      <c r="BQ17" s="631"/>
      <c r="BR17" s="631"/>
      <c r="BS17" s="631"/>
      <c r="BT17" s="607">
        <f t="shared" si="3"/>
        <v>1998</v>
      </c>
      <c r="BU17" s="608">
        <f t="shared" si="4"/>
        <v>0</v>
      </c>
      <c r="BV17" s="609"/>
      <c r="BW17" s="491"/>
    </row>
    <row r="18" s="490" customFormat="1" ht="33" customHeight="1" spans="1:75">
      <c r="A18" s="577">
        <v>45586</v>
      </c>
      <c r="B18" s="581" t="s">
        <v>102</v>
      </c>
      <c r="C18" s="579" t="s">
        <v>92</v>
      </c>
      <c r="D18" s="580">
        <v>4500147792</v>
      </c>
      <c r="E18" s="616" t="s">
        <v>103</v>
      </c>
      <c r="F18" s="580" t="s">
        <v>195</v>
      </c>
      <c r="G18" s="582" t="s">
        <v>81</v>
      </c>
      <c r="H18" s="578" t="s">
        <v>95</v>
      </c>
      <c r="I18" s="583">
        <v>1800</v>
      </c>
      <c r="J18" s="583">
        <v>0</v>
      </c>
      <c r="K18" s="583">
        <v>6</v>
      </c>
      <c r="L18" s="584">
        <f t="shared" si="17"/>
        <v>300</v>
      </c>
      <c r="M18" s="585">
        <v>45656</v>
      </c>
      <c r="N18" s="585">
        <v>45652</v>
      </c>
      <c r="O18" s="586"/>
      <c r="P18" s="586" t="s">
        <v>83</v>
      </c>
      <c r="Q18" s="587" t="s">
        <v>196</v>
      </c>
      <c r="R18" s="586" t="s">
        <v>106</v>
      </c>
      <c r="S18" s="586"/>
      <c r="T18" s="586"/>
      <c r="U18" s="586" t="s">
        <v>86</v>
      </c>
      <c r="V18" s="586" t="s">
        <v>186</v>
      </c>
      <c r="W18" s="586"/>
      <c r="X18" s="588" t="s">
        <v>108</v>
      </c>
      <c r="Y18" s="618" t="s">
        <v>109</v>
      </c>
      <c r="Z18" s="590">
        <v>5.8973</v>
      </c>
      <c r="AA18" s="591">
        <f t="shared" si="7"/>
        <v>10615.14</v>
      </c>
      <c r="AB18" s="619" t="s">
        <v>197</v>
      </c>
      <c r="AC18" s="582" t="s">
        <v>81</v>
      </c>
      <c r="AD18" s="619" t="s">
        <v>89</v>
      </c>
      <c r="AE18" s="628"/>
      <c r="AF18" s="628"/>
      <c r="AG18" s="595">
        <f t="shared" si="8"/>
        <v>1800</v>
      </c>
      <c r="AH18" s="628"/>
      <c r="AI18" s="628"/>
      <c r="AJ18" s="589"/>
      <c r="AK18" s="629"/>
      <c r="AL18" s="628"/>
      <c r="AM18" s="628"/>
      <c r="AN18" s="598">
        <f t="shared" si="9"/>
        <v>1800</v>
      </c>
      <c r="AO18" s="621"/>
      <c r="AP18" s="630"/>
      <c r="AQ18" s="630"/>
      <c r="AR18" s="592">
        <f t="shared" si="10"/>
        <v>1800</v>
      </c>
      <c r="AS18" s="630"/>
      <c r="AT18" s="630"/>
      <c r="AU18" s="621"/>
      <c r="AV18" s="621"/>
      <c r="AW18" s="592">
        <f t="shared" si="6"/>
        <v>1800</v>
      </c>
      <c r="AX18" s="621"/>
      <c r="AY18" s="621"/>
      <c r="AZ18" s="621"/>
      <c r="BA18" s="621"/>
      <c r="BB18" s="621"/>
      <c r="BC18" s="621"/>
      <c r="BD18" s="621"/>
      <c r="BE18" s="623"/>
      <c r="BF18" s="602" t="s">
        <v>90</v>
      </c>
      <c r="BG18" s="603"/>
      <c r="BH18" s="604">
        <f t="shared" si="11"/>
        <v>300</v>
      </c>
      <c r="BI18" s="605">
        <f t="shared" si="12"/>
        <v>300</v>
      </c>
      <c r="BJ18" s="602">
        <f t="shared" si="13"/>
        <v>300</v>
      </c>
      <c r="BK18" s="602">
        <f t="shared" si="14"/>
        <v>300</v>
      </c>
      <c r="BL18" s="602">
        <f t="shared" si="15"/>
        <v>300</v>
      </c>
      <c r="BM18" s="602">
        <f t="shared" si="16"/>
        <v>300</v>
      </c>
      <c r="BN18" s="631"/>
      <c r="BO18" s="631"/>
      <c r="BP18" s="631"/>
      <c r="BQ18" s="631"/>
      <c r="BR18" s="631"/>
      <c r="BS18" s="631"/>
      <c r="BT18" s="607">
        <f t="shared" si="3"/>
        <v>1800</v>
      </c>
      <c r="BU18" s="608">
        <f t="shared" si="4"/>
        <v>0</v>
      </c>
      <c r="BV18" s="609"/>
      <c r="BW18" s="491"/>
    </row>
    <row r="19" s="490" customFormat="1" ht="33" customHeight="1" spans="1:75">
      <c r="A19" s="577">
        <v>45586</v>
      </c>
      <c r="B19" s="581" t="s">
        <v>102</v>
      </c>
      <c r="C19" s="579" t="s">
        <v>92</v>
      </c>
      <c r="D19" s="580">
        <v>4500147798</v>
      </c>
      <c r="E19" s="616" t="s">
        <v>192</v>
      </c>
      <c r="F19" s="580" t="s">
        <v>198</v>
      </c>
      <c r="G19" s="582" t="s">
        <v>81</v>
      </c>
      <c r="H19" s="578" t="s">
        <v>95</v>
      </c>
      <c r="I19" s="583">
        <v>1998</v>
      </c>
      <c r="J19" s="583">
        <v>0</v>
      </c>
      <c r="K19" s="583">
        <v>6</v>
      </c>
      <c r="L19" s="584">
        <f t="shared" si="17"/>
        <v>333</v>
      </c>
      <c r="M19" s="585">
        <v>45657</v>
      </c>
      <c r="N19" s="585">
        <v>45653</v>
      </c>
      <c r="O19" s="586"/>
      <c r="P19" s="586" t="s">
        <v>83</v>
      </c>
      <c r="Q19" s="587" t="s">
        <v>185</v>
      </c>
      <c r="R19" s="586" t="s">
        <v>106</v>
      </c>
      <c r="S19" s="586"/>
      <c r="T19" s="586"/>
      <c r="U19" s="586" t="s">
        <v>86</v>
      </c>
      <c r="V19" s="586" t="s">
        <v>186</v>
      </c>
      <c r="W19" s="586"/>
      <c r="X19" s="588" t="s">
        <v>108</v>
      </c>
      <c r="Y19" s="618" t="s">
        <v>109</v>
      </c>
      <c r="Z19" s="590">
        <v>5.8973</v>
      </c>
      <c r="AA19" s="591">
        <f t="shared" si="7"/>
        <v>11782.8054</v>
      </c>
      <c r="AB19" s="619" t="s">
        <v>199</v>
      </c>
      <c r="AC19" s="582" t="s">
        <v>81</v>
      </c>
      <c r="AD19" s="619" t="s">
        <v>89</v>
      </c>
      <c r="AE19" s="628"/>
      <c r="AF19" s="628"/>
      <c r="AG19" s="595">
        <f t="shared" si="8"/>
        <v>1998</v>
      </c>
      <c r="AH19" s="628"/>
      <c r="AI19" s="628"/>
      <c r="AJ19" s="589"/>
      <c r="AK19" s="629"/>
      <c r="AL19" s="628"/>
      <c r="AM19" s="628"/>
      <c r="AN19" s="598">
        <f t="shared" si="9"/>
        <v>1998</v>
      </c>
      <c r="AO19" s="621"/>
      <c r="AP19" s="630"/>
      <c r="AQ19" s="630"/>
      <c r="AR19" s="592">
        <f t="shared" si="10"/>
        <v>1998</v>
      </c>
      <c r="AS19" s="630"/>
      <c r="AT19" s="630"/>
      <c r="AU19" s="621"/>
      <c r="AV19" s="621"/>
      <c r="AW19" s="592">
        <f t="shared" si="6"/>
        <v>1998</v>
      </c>
      <c r="AX19" s="621"/>
      <c r="AY19" s="621"/>
      <c r="AZ19" s="621"/>
      <c r="BA19" s="621"/>
      <c r="BB19" s="621"/>
      <c r="BC19" s="621"/>
      <c r="BD19" s="621"/>
      <c r="BE19" s="623"/>
      <c r="BF19" s="602" t="s">
        <v>90</v>
      </c>
      <c r="BG19" s="603"/>
      <c r="BH19" s="604">
        <f t="shared" si="11"/>
        <v>333</v>
      </c>
      <c r="BI19" s="605">
        <f t="shared" si="12"/>
        <v>333</v>
      </c>
      <c r="BJ19" s="602">
        <f t="shared" si="13"/>
        <v>333</v>
      </c>
      <c r="BK19" s="602">
        <f t="shared" si="14"/>
        <v>333</v>
      </c>
      <c r="BL19" s="602">
        <f t="shared" si="15"/>
        <v>333</v>
      </c>
      <c r="BM19" s="602">
        <f t="shared" si="16"/>
        <v>333</v>
      </c>
      <c r="BN19" s="631"/>
      <c r="BO19" s="631"/>
      <c r="BP19" s="631"/>
      <c r="BQ19" s="631"/>
      <c r="BR19" s="631"/>
      <c r="BS19" s="631"/>
      <c r="BT19" s="607">
        <f t="shared" si="3"/>
        <v>1998</v>
      </c>
      <c r="BU19" s="608">
        <f t="shared" si="4"/>
        <v>0</v>
      </c>
      <c r="BV19" s="609"/>
      <c r="BW19" s="491"/>
    </row>
    <row r="20" s="490" customFormat="1" ht="33" customHeight="1" spans="1:75">
      <c r="A20" s="577">
        <v>45586</v>
      </c>
      <c r="B20" s="581" t="s">
        <v>102</v>
      </c>
      <c r="C20" s="579" t="s">
        <v>92</v>
      </c>
      <c r="D20" s="580">
        <v>4500147794</v>
      </c>
      <c r="E20" s="616" t="s">
        <v>103</v>
      </c>
      <c r="F20" s="580" t="s">
        <v>200</v>
      </c>
      <c r="G20" s="582" t="s">
        <v>81</v>
      </c>
      <c r="H20" s="578" t="s">
        <v>95</v>
      </c>
      <c r="I20" s="583">
        <v>1800</v>
      </c>
      <c r="J20" s="583">
        <v>0</v>
      </c>
      <c r="K20" s="583">
        <v>6</v>
      </c>
      <c r="L20" s="584">
        <f t="shared" si="17"/>
        <v>300</v>
      </c>
      <c r="M20" s="585">
        <v>45657</v>
      </c>
      <c r="N20" s="585">
        <v>45653</v>
      </c>
      <c r="O20" s="586"/>
      <c r="P20" s="586" t="s">
        <v>83</v>
      </c>
      <c r="Q20" s="587" t="s">
        <v>201</v>
      </c>
      <c r="R20" s="586" t="s">
        <v>106</v>
      </c>
      <c r="S20" s="586"/>
      <c r="T20" s="586"/>
      <c r="U20" s="586" t="s">
        <v>86</v>
      </c>
      <c r="V20" s="586" t="s">
        <v>186</v>
      </c>
      <c r="W20" s="586"/>
      <c r="X20" s="588" t="s">
        <v>108</v>
      </c>
      <c r="Y20" s="618" t="s">
        <v>109</v>
      </c>
      <c r="Z20" s="590">
        <v>5.8973</v>
      </c>
      <c r="AA20" s="591">
        <f t="shared" si="7"/>
        <v>10615.14</v>
      </c>
      <c r="AB20" s="619" t="s">
        <v>202</v>
      </c>
      <c r="AC20" s="582" t="s">
        <v>81</v>
      </c>
      <c r="AD20" s="619" t="s">
        <v>89</v>
      </c>
      <c r="AE20" s="628"/>
      <c r="AF20" s="628"/>
      <c r="AG20" s="595">
        <f t="shared" si="8"/>
        <v>1800</v>
      </c>
      <c r="AH20" s="628"/>
      <c r="AI20" s="628"/>
      <c r="AJ20" s="589"/>
      <c r="AK20" s="629"/>
      <c r="AL20" s="628"/>
      <c r="AM20" s="628"/>
      <c r="AN20" s="598">
        <f t="shared" si="9"/>
        <v>1800</v>
      </c>
      <c r="AO20" s="621"/>
      <c r="AP20" s="630"/>
      <c r="AQ20" s="630"/>
      <c r="AR20" s="592">
        <f t="shared" si="10"/>
        <v>1800</v>
      </c>
      <c r="AS20" s="630"/>
      <c r="AT20" s="630"/>
      <c r="AU20" s="621"/>
      <c r="AV20" s="621"/>
      <c r="AW20" s="592">
        <f t="shared" si="6"/>
        <v>1800</v>
      </c>
      <c r="AX20" s="621"/>
      <c r="AY20" s="621"/>
      <c r="AZ20" s="621"/>
      <c r="BA20" s="621"/>
      <c r="BB20" s="621"/>
      <c r="BC20" s="621"/>
      <c r="BD20" s="621"/>
      <c r="BE20" s="623"/>
      <c r="BF20" s="602" t="s">
        <v>90</v>
      </c>
      <c r="BG20" s="603"/>
      <c r="BH20" s="604">
        <f t="shared" si="11"/>
        <v>300</v>
      </c>
      <c r="BI20" s="605">
        <f t="shared" si="12"/>
        <v>300</v>
      </c>
      <c r="BJ20" s="602">
        <f t="shared" si="13"/>
        <v>300</v>
      </c>
      <c r="BK20" s="602">
        <f t="shared" si="14"/>
        <v>300</v>
      </c>
      <c r="BL20" s="602">
        <f t="shared" si="15"/>
        <v>300</v>
      </c>
      <c r="BM20" s="602">
        <f t="shared" si="16"/>
        <v>300</v>
      </c>
      <c r="BN20" s="631"/>
      <c r="BO20" s="631"/>
      <c r="BP20" s="631"/>
      <c r="BQ20" s="631"/>
      <c r="BR20" s="631"/>
      <c r="BS20" s="631"/>
      <c r="BT20" s="607">
        <f t="shared" si="3"/>
        <v>1800</v>
      </c>
      <c r="BU20" s="608">
        <f t="shared" si="4"/>
        <v>0</v>
      </c>
      <c r="BV20" s="609"/>
      <c r="BW20" s="491"/>
    </row>
    <row r="21" s="490" customFormat="1" ht="33" customHeight="1" spans="1:75">
      <c r="A21" s="577">
        <v>45604</v>
      </c>
      <c r="B21" s="581" t="s">
        <v>203</v>
      </c>
      <c r="C21" s="579" t="s">
        <v>78</v>
      </c>
      <c r="D21" s="580">
        <v>4500150696</v>
      </c>
      <c r="E21" s="588">
        <v>2950866090</v>
      </c>
      <c r="F21" s="580" t="s">
        <v>204</v>
      </c>
      <c r="G21" s="582" t="s">
        <v>205</v>
      </c>
      <c r="H21" s="578" t="s">
        <v>206</v>
      </c>
      <c r="I21" s="583">
        <v>1040</v>
      </c>
      <c r="J21" s="583">
        <v>1</v>
      </c>
      <c r="K21" s="583">
        <v>80</v>
      </c>
      <c r="L21" s="584">
        <f t="shared" si="17"/>
        <v>13</v>
      </c>
      <c r="M21" s="585">
        <v>45656</v>
      </c>
      <c r="N21" s="585">
        <v>45652</v>
      </c>
      <c r="O21" s="586"/>
      <c r="P21" s="586" t="s">
        <v>83</v>
      </c>
      <c r="Q21" s="587" t="s">
        <v>185</v>
      </c>
      <c r="R21" s="586" t="s">
        <v>207</v>
      </c>
      <c r="S21" s="586"/>
      <c r="T21" s="586"/>
      <c r="U21" s="586" t="s">
        <v>208</v>
      </c>
      <c r="V21" s="586"/>
      <c r="W21" s="586"/>
      <c r="X21" s="588" t="s">
        <v>209</v>
      </c>
      <c r="Y21" s="618" t="s">
        <v>210</v>
      </c>
      <c r="Z21" s="590">
        <v>482.4908</v>
      </c>
      <c r="AA21" s="591">
        <f>Z21*L21</f>
        <v>6272.3804</v>
      </c>
      <c r="AB21" s="619" t="s">
        <v>211</v>
      </c>
      <c r="AC21" s="582" t="s">
        <v>205</v>
      </c>
      <c r="AD21" s="619" t="s">
        <v>89</v>
      </c>
      <c r="AE21" s="620"/>
      <c r="AF21" s="620"/>
      <c r="AG21" s="595">
        <f t="shared" si="8"/>
        <v>1040</v>
      </c>
      <c r="AH21" s="620"/>
      <c r="AI21" s="620"/>
      <c r="AJ21" s="592"/>
      <c r="AK21" s="592"/>
      <c r="AL21" s="620"/>
      <c r="AM21" s="620"/>
      <c r="AN21" s="592">
        <f t="shared" si="9"/>
        <v>1040</v>
      </c>
      <c r="AO21" s="621"/>
      <c r="AP21" s="622"/>
      <c r="AQ21" s="622"/>
      <c r="AR21" s="592">
        <f t="shared" si="10"/>
        <v>1040</v>
      </c>
      <c r="AS21" s="622"/>
      <c r="AT21" s="622"/>
      <c r="AU21" s="621"/>
      <c r="AV21" s="621"/>
      <c r="AW21" s="592">
        <f t="shared" si="6"/>
        <v>1040</v>
      </c>
      <c r="AX21" s="621"/>
      <c r="AY21" s="621"/>
      <c r="AZ21" s="621"/>
      <c r="BA21" s="621"/>
      <c r="BB21" s="621"/>
      <c r="BC21" s="621"/>
      <c r="BD21" s="621"/>
      <c r="BE21" s="623"/>
      <c r="BF21" s="602" t="s">
        <v>90</v>
      </c>
      <c r="BG21" s="608">
        <f>I21</f>
        <v>1040</v>
      </c>
      <c r="BH21" s="632">
        <f t="shared" si="11"/>
        <v>173.333333333333</v>
      </c>
      <c r="BI21" s="633">
        <f t="shared" si="12"/>
        <v>173.333333333333</v>
      </c>
      <c r="BJ21" s="633">
        <f t="shared" si="13"/>
        <v>173.333333333333</v>
      </c>
      <c r="BK21" s="633">
        <f t="shared" si="14"/>
        <v>173.333333333333</v>
      </c>
      <c r="BL21" s="633">
        <f t="shared" si="15"/>
        <v>173.333333333333</v>
      </c>
      <c r="BM21" s="633">
        <f t="shared" si="16"/>
        <v>173.333333333333</v>
      </c>
      <c r="BN21" s="624"/>
      <c r="BO21" s="624"/>
      <c r="BP21" s="624"/>
      <c r="BQ21" s="624"/>
      <c r="BR21" s="624"/>
      <c r="BS21" s="624"/>
      <c r="BT21" s="607">
        <f t="shared" si="3"/>
        <v>1040</v>
      </c>
      <c r="BU21" s="608">
        <f t="shared" si="4"/>
        <v>0</v>
      </c>
      <c r="BV21" s="517"/>
      <c r="BW21" s="491"/>
    </row>
    <row r="22" s="490" customFormat="1" ht="33" customHeight="1" spans="1:75">
      <c r="A22" s="577">
        <v>45617</v>
      </c>
      <c r="B22" s="581" t="s">
        <v>91</v>
      </c>
      <c r="C22" s="579" t="s">
        <v>92</v>
      </c>
      <c r="D22" s="580">
        <v>4500151914</v>
      </c>
      <c r="E22" s="616" t="s">
        <v>212</v>
      </c>
      <c r="F22" s="580" t="s">
        <v>213</v>
      </c>
      <c r="G22" s="582" t="s">
        <v>81</v>
      </c>
      <c r="H22" s="578" t="s">
        <v>95</v>
      </c>
      <c r="I22" s="583">
        <v>3030</v>
      </c>
      <c r="J22" s="583">
        <v>0</v>
      </c>
      <c r="K22" s="583">
        <v>6</v>
      </c>
      <c r="L22" s="584">
        <f t="shared" si="17"/>
        <v>505</v>
      </c>
      <c r="M22" s="585">
        <v>45657</v>
      </c>
      <c r="N22" s="585">
        <v>45654</v>
      </c>
      <c r="O22" s="586"/>
      <c r="P22" s="586" t="s">
        <v>83</v>
      </c>
      <c r="Q22" s="587" t="s">
        <v>214</v>
      </c>
      <c r="R22" s="586" t="s">
        <v>177</v>
      </c>
      <c r="S22" s="586"/>
      <c r="T22" s="586"/>
      <c r="U22" s="586" t="s">
        <v>86</v>
      </c>
      <c r="V22" s="586" t="s">
        <v>215</v>
      </c>
      <c r="W22" s="586"/>
      <c r="X22" s="588" t="s">
        <v>216</v>
      </c>
      <c r="Y22" s="618" t="s">
        <v>100</v>
      </c>
      <c r="Z22" s="590">
        <v>5.701</v>
      </c>
      <c r="AA22" s="591">
        <f t="shared" ref="AA22:AA28" si="18">Z22*I22</f>
        <v>17274.03</v>
      </c>
      <c r="AB22" s="619" t="s">
        <v>217</v>
      </c>
      <c r="AC22" s="582" t="s">
        <v>81</v>
      </c>
      <c r="AD22" s="619" t="s">
        <v>89</v>
      </c>
      <c r="AE22" s="620"/>
      <c r="AF22" s="620"/>
      <c r="AG22" s="595">
        <f t="shared" si="8"/>
        <v>3030</v>
      </c>
      <c r="AH22" s="620"/>
      <c r="AI22" s="620"/>
      <c r="AJ22" s="589"/>
      <c r="AK22" s="629"/>
      <c r="AL22" s="620"/>
      <c r="AM22" s="620"/>
      <c r="AN22" s="598">
        <f t="shared" si="9"/>
        <v>3030</v>
      </c>
      <c r="AO22" s="621"/>
      <c r="AP22" s="622"/>
      <c r="AQ22" s="622"/>
      <c r="AR22" s="592">
        <f t="shared" si="10"/>
        <v>3030</v>
      </c>
      <c r="AS22" s="622"/>
      <c r="AT22" s="622"/>
      <c r="AU22" s="621"/>
      <c r="AV22" s="621"/>
      <c r="AW22" s="592">
        <f t="shared" si="6"/>
        <v>3030</v>
      </c>
      <c r="AX22" s="621"/>
      <c r="AY22" s="621"/>
      <c r="AZ22" s="621"/>
      <c r="BA22" s="621"/>
      <c r="BB22" s="621"/>
      <c r="BC22" s="621"/>
      <c r="BD22" s="621"/>
      <c r="BE22" s="623"/>
      <c r="BF22" s="602" t="s">
        <v>90</v>
      </c>
      <c r="BG22" s="603"/>
      <c r="BH22" s="604">
        <f t="shared" si="11"/>
        <v>505</v>
      </c>
      <c r="BI22" s="605">
        <f t="shared" si="12"/>
        <v>505</v>
      </c>
      <c r="BJ22" s="602">
        <f t="shared" si="13"/>
        <v>505</v>
      </c>
      <c r="BK22" s="602">
        <f t="shared" si="14"/>
        <v>505</v>
      </c>
      <c r="BL22" s="602">
        <f t="shared" si="15"/>
        <v>505</v>
      </c>
      <c r="BM22" s="602">
        <f t="shared" si="16"/>
        <v>505</v>
      </c>
      <c r="BN22" s="624"/>
      <c r="BO22" s="624"/>
      <c r="BP22" s="624"/>
      <c r="BQ22" s="624"/>
      <c r="BR22" s="624"/>
      <c r="BS22" s="624"/>
      <c r="BT22" s="607">
        <f t="shared" si="3"/>
        <v>3030</v>
      </c>
      <c r="BU22" s="608">
        <f t="shared" si="4"/>
        <v>0</v>
      </c>
      <c r="BV22" s="517"/>
      <c r="BW22" s="491"/>
    </row>
    <row r="23" s="490" customFormat="1" ht="33" customHeight="1" spans="1:75">
      <c r="A23" s="577">
        <v>45614</v>
      </c>
      <c r="B23" s="581" t="s">
        <v>218</v>
      </c>
      <c r="C23" s="579" t="s">
        <v>92</v>
      </c>
      <c r="D23" s="580">
        <v>4500151472</v>
      </c>
      <c r="E23" s="616" t="s">
        <v>219</v>
      </c>
      <c r="F23" s="580" t="s">
        <v>220</v>
      </c>
      <c r="G23" s="582" t="s">
        <v>81</v>
      </c>
      <c r="H23" s="578" t="s">
        <v>95</v>
      </c>
      <c r="I23" s="583">
        <v>2400</v>
      </c>
      <c r="J23" s="583">
        <v>0</v>
      </c>
      <c r="K23" s="583">
        <v>6</v>
      </c>
      <c r="L23" s="584">
        <f t="shared" si="17"/>
        <v>400</v>
      </c>
      <c r="M23" s="585">
        <v>45663</v>
      </c>
      <c r="N23" s="585">
        <v>45659</v>
      </c>
      <c r="O23" s="586"/>
      <c r="P23" s="586" t="s">
        <v>83</v>
      </c>
      <c r="Q23" s="587" t="s">
        <v>201</v>
      </c>
      <c r="R23" s="586" t="s">
        <v>97</v>
      </c>
      <c r="S23" s="586"/>
      <c r="T23" s="586"/>
      <c r="U23" s="586" t="s">
        <v>221</v>
      </c>
      <c r="V23" s="586"/>
      <c r="W23" s="586"/>
      <c r="X23" s="588" t="s">
        <v>222</v>
      </c>
      <c r="Y23" s="618" t="s">
        <v>223</v>
      </c>
      <c r="Z23" s="590">
        <v>5.8973</v>
      </c>
      <c r="AA23" s="591">
        <f t="shared" si="18"/>
        <v>14153.52</v>
      </c>
      <c r="AB23" s="619" t="s">
        <v>224</v>
      </c>
      <c r="AC23" s="582" t="s">
        <v>81</v>
      </c>
      <c r="AD23" s="593" t="s">
        <v>89</v>
      </c>
      <c r="AE23" s="620"/>
      <c r="AF23" s="620"/>
      <c r="AG23" s="595">
        <f t="shared" si="8"/>
        <v>2400</v>
      </c>
      <c r="AH23" s="620"/>
      <c r="AI23" s="620"/>
      <c r="AJ23" s="589"/>
      <c r="AK23" s="629"/>
      <c r="AL23" s="620"/>
      <c r="AM23" s="620"/>
      <c r="AN23" s="598">
        <f t="shared" si="9"/>
        <v>2400</v>
      </c>
      <c r="AO23" s="621"/>
      <c r="AP23" s="622"/>
      <c r="AQ23" s="622"/>
      <c r="AR23" s="592">
        <f t="shared" si="10"/>
        <v>2400</v>
      </c>
      <c r="AS23" s="622"/>
      <c r="AT23" s="622"/>
      <c r="AU23" s="621"/>
      <c r="AV23" s="621"/>
      <c r="AW23" s="592">
        <f t="shared" si="6"/>
        <v>2400</v>
      </c>
      <c r="AX23" s="621"/>
      <c r="AY23" s="621"/>
      <c r="AZ23" s="621"/>
      <c r="BA23" s="621"/>
      <c r="BB23" s="621"/>
      <c r="BC23" s="621"/>
      <c r="BD23" s="621"/>
      <c r="BE23" s="623"/>
      <c r="BF23" s="602" t="s">
        <v>90</v>
      </c>
      <c r="BG23" s="603"/>
      <c r="BH23" s="604">
        <f t="shared" si="11"/>
        <v>400</v>
      </c>
      <c r="BI23" s="605">
        <f t="shared" si="12"/>
        <v>400</v>
      </c>
      <c r="BJ23" s="602">
        <f t="shared" si="13"/>
        <v>400</v>
      </c>
      <c r="BK23" s="602">
        <f t="shared" si="14"/>
        <v>400</v>
      </c>
      <c r="BL23" s="602">
        <f t="shared" si="15"/>
        <v>400</v>
      </c>
      <c r="BM23" s="602">
        <f t="shared" si="16"/>
        <v>400</v>
      </c>
      <c r="BN23" s="624"/>
      <c r="BO23" s="624"/>
      <c r="BP23" s="624"/>
      <c r="BQ23" s="624"/>
      <c r="BR23" s="624"/>
      <c r="BS23" s="624"/>
      <c r="BT23" s="607">
        <f t="shared" si="3"/>
        <v>2400</v>
      </c>
      <c r="BU23" s="608">
        <f t="shared" si="4"/>
        <v>0</v>
      </c>
      <c r="BV23" s="517"/>
      <c r="BW23" s="491"/>
    </row>
    <row r="24" s="490" customFormat="1" ht="33" customHeight="1" spans="1:75">
      <c r="A24" s="577">
        <v>45614</v>
      </c>
      <c r="B24" s="581" t="s">
        <v>218</v>
      </c>
      <c r="C24" s="579" t="s">
        <v>92</v>
      </c>
      <c r="D24" s="580">
        <v>4500151472</v>
      </c>
      <c r="E24" s="616" t="s">
        <v>225</v>
      </c>
      <c r="F24" s="580" t="s">
        <v>226</v>
      </c>
      <c r="G24" s="582" t="s">
        <v>81</v>
      </c>
      <c r="H24" s="578" t="s">
        <v>95</v>
      </c>
      <c r="I24" s="583">
        <v>2400</v>
      </c>
      <c r="J24" s="583">
        <v>0</v>
      </c>
      <c r="K24" s="583">
        <v>6</v>
      </c>
      <c r="L24" s="584">
        <f t="shared" ref="L24:L32" si="19">I24/K24</f>
        <v>400</v>
      </c>
      <c r="M24" s="585">
        <v>45663</v>
      </c>
      <c r="N24" s="585">
        <v>45659</v>
      </c>
      <c r="O24" s="586"/>
      <c r="P24" s="586" t="s">
        <v>83</v>
      </c>
      <c r="Q24" s="587" t="s">
        <v>201</v>
      </c>
      <c r="R24" s="586" t="s">
        <v>97</v>
      </c>
      <c r="S24" s="586"/>
      <c r="T24" s="586"/>
      <c r="U24" s="586" t="s">
        <v>221</v>
      </c>
      <c r="V24" s="586"/>
      <c r="W24" s="586"/>
      <c r="X24" s="588" t="s">
        <v>222</v>
      </c>
      <c r="Y24" s="618" t="s">
        <v>223</v>
      </c>
      <c r="Z24" s="590">
        <v>5.8973</v>
      </c>
      <c r="AA24" s="591">
        <f t="shared" si="18"/>
        <v>14153.52</v>
      </c>
      <c r="AB24" s="619" t="s">
        <v>227</v>
      </c>
      <c r="AC24" s="582" t="s">
        <v>81</v>
      </c>
      <c r="AD24" s="593" t="s">
        <v>89</v>
      </c>
      <c r="AE24" s="620"/>
      <c r="AF24" s="620"/>
      <c r="AG24" s="595">
        <f t="shared" si="8"/>
        <v>2400</v>
      </c>
      <c r="AH24" s="620"/>
      <c r="AI24" s="620"/>
      <c r="AJ24" s="589"/>
      <c r="AK24" s="629"/>
      <c r="AL24" s="620"/>
      <c r="AM24" s="620"/>
      <c r="AN24" s="598">
        <f t="shared" si="9"/>
        <v>2400</v>
      </c>
      <c r="AO24" s="621"/>
      <c r="AP24" s="622"/>
      <c r="AQ24" s="622"/>
      <c r="AR24" s="592">
        <f t="shared" si="10"/>
        <v>2400</v>
      </c>
      <c r="AS24" s="622"/>
      <c r="AT24" s="622"/>
      <c r="AU24" s="621"/>
      <c r="AV24" s="621"/>
      <c r="AW24" s="592">
        <f t="shared" si="6"/>
        <v>2400</v>
      </c>
      <c r="AX24" s="621"/>
      <c r="AY24" s="621"/>
      <c r="AZ24" s="621"/>
      <c r="BA24" s="621"/>
      <c r="BB24" s="621"/>
      <c r="BC24" s="621"/>
      <c r="BD24" s="621"/>
      <c r="BE24" s="623"/>
      <c r="BF24" s="602" t="s">
        <v>90</v>
      </c>
      <c r="BG24" s="603"/>
      <c r="BH24" s="604">
        <f t="shared" si="11"/>
        <v>400</v>
      </c>
      <c r="BI24" s="605">
        <f t="shared" si="12"/>
        <v>400</v>
      </c>
      <c r="BJ24" s="602">
        <f t="shared" si="13"/>
        <v>400</v>
      </c>
      <c r="BK24" s="602">
        <f t="shared" si="14"/>
        <v>400</v>
      </c>
      <c r="BL24" s="602">
        <f t="shared" si="15"/>
        <v>400</v>
      </c>
      <c r="BM24" s="602">
        <f t="shared" si="16"/>
        <v>400</v>
      </c>
      <c r="BN24" s="624"/>
      <c r="BO24" s="624"/>
      <c r="BP24" s="624"/>
      <c r="BQ24" s="624"/>
      <c r="BR24" s="624"/>
      <c r="BS24" s="624"/>
      <c r="BT24" s="607">
        <f t="shared" si="3"/>
        <v>2400</v>
      </c>
      <c r="BU24" s="608">
        <f t="shared" si="4"/>
        <v>0</v>
      </c>
      <c r="BV24" s="517"/>
      <c r="BW24" s="491"/>
    </row>
    <row r="25" s="490" customFormat="1" ht="33" customHeight="1" spans="1:75">
      <c r="A25" s="577">
        <v>45617</v>
      </c>
      <c r="B25" s="581" t="s">
        <v>228</v>
      </c>
      <c r="C25" s="579" t="s">
        <v>229</v>
      </c>
      <c r="D25" s="580">
        <v>4500151910</v>
      </c>
      <c r="E25" s="580">
        <v>450054548</v>
      </c>
      <c r="F25" s="580" t="s">
        <v>230</v>
      </c>
      <c r="G25" s="582" t="s">
        <v>81</v>
      </c>
      <c r="H25" s="578" t="s">
        <v>95</v>
      </c>
      <c r="I25" s="583">
        <v>1596</v>
      </c>
      <c r="J25" s="583">
        <v>0</v>
      </c>
      <c r="K25" s="583">
        <v>6</v>
      </c>
      <c r="L25" s="584">
        <f t="shared" si="19"/>
        <v>266</v>
      </c>
      <c r="M25" s="585">
        <v>45663</v>
      </c>
      <c r="N25" s="585">
        <v>45659</v>
      </c>
      <c r="O25" s="586"/>
      <c r="P25" s="586" t="s">
        <v>83</v>
      </c>
      <c r="Q25" s="587"/>
      <c r="R25" s="586" t="s">
        <v>231</v>
      </c>
      <c r="S25" s="586"/>
      <c r="T25" s="586"/>
      <c r="U25" s="586" t="s">
        <v>86</v>
      </c>
      <c r="V25" s="586"/>
      <c r="W25" s="586"/>
      <c r="X25" s="588" t="s">
        <v>232</v>
      </c>
      <c r="Y25" s="618" t="s">
        <v>233</v>
      </c>
      <c r="Z25" s="590">
        <v>5.712</v>
      </c>
      <c r="AA25" s="591">
        <f t="shared" si="18"/>
        <v>9116.352</v>
      </c>
      <c r="AB25" s="619" t="s">
        <v>234</v>
      </c>
      <c r="AC25" s="582" t="s">
        <v>235</v>
      </c>
      <c r="AD25" s="592" t="s">
        <v>89</v>
      </c>
      <c r="AE25" s="620"/>
      <c r="AF25" s="620"/>
      <c r="AG25" s="595"/>
      <c r="AH25" s="620"/>
      <c r="AI25" s="620"/>
      <c r="AJ25" s="592">
        <f>I25</f>
        <v>1596</v>
      </c>
      <c r="AK25" s="629"/>
      <c r="AL25" s="620"/>
      <c r="AM25" s="620"/>
      <c r="AN25" s="598">
        <f t="shared" si="9"/>
        <v>1596</v>
      </c>
      <c r="AO25" s="621"/>
      <c r="AP25" s="622"/>
      <c r="AQ25" s="622"/>
      <c r="AR25" s="592"/>
      <c r="AS25" s="622"/>
      <c r="AT25" s="622"/>
      <c r="AU25" s="621">
        <f>I25</f>
        <v>1596</v>
      </c>
      <c r="AV25" s="621"/>
      <c r="AW25" s="592">
        <f t="shared" si="6"/>
        <v>1596</v>
      </c>
      <c r="AX25" s="621"/>
      <c r="AY25" s="621"/>
      <c r="AZ25" s="621"/>
      <c r="BA25" s="621"/>
      <c r="BB25" s="621"/>
      <c r="BC25" s="621"/>
      <c r="BD25" s="621"/>
      <c r="BE25" s="623"/>
      <c r="BF25" s="602" t="s">
        <v>90</v>
      </c>
      <c r="BG25" s="603"/>
      <c r="BH25" s="604">
        <f t="shared" si="11"/>
        <v>266</v>
      </c>
      <c r="BI25" s="605">
        <f t="shared" si="12"/>
        <v>266</v>
      </c>
      <c r="BJ25" s="602">
        <f t="shared" si="13"/>
        <v>266</v>
      </c>
      <c r="BK25" s="602">
        <f t="shared" si="14"/>
        <v>266</v>
      </c>
      <c r="BL25" s="602">
        <f t="shared" si="15"/>
        <v>266</v>
      </c>
      <c r="BM25" s="602">
        <f t="shared" si="16"/>
        <v>266</v>
      </c>
      <c r="BN25" s="624"/>
      <c r="BO25" s="624"/>
      <c r="BP25" s="624"/>
      <c r="BQ25" s="624"/>
      <c r="BR25" s="624"/>
      <c r="BS25" s="624"/>
      <c r="BT25" s="607">
        <f t="shared" si="3"/>
        <v>1596</v>
      </c>
      <c r="BU25" s="608">
        <f t="shared" si="4"/>
        <v>0</v>
      </c>
      <c r="BV25" s="517"/>
      <c r="BW25" s="491"/>
    </row>
    <row r="26" s="490" customFormat="1" ht="33" customHeight="1" spans="1:75">
      <c r="A26" s="577">
        <v>45622</v>
      </c>
      <c r="B26" s="581" t="s">
        <v>236</v>
      </c>
      <c r="C26" s="579" t="s">
        <v>237</v>
      </c>
      <c r="D26" s="580">
        <v>4500152326</v>
      </c>
      <c r="E26" s="580"/>
      <c r="F26" s="580" t="s">
        <v>238</v>
      </c>
      <c r="G26" s="582" t="s">
        <v>81</v>
      </c>
      <c r="H26" s="578" t="s">
        <v>95</v>
      </c>
      <c r="I26" s="583">
        <v>120</v>
      </c>
      <c r="J26" s="583">
        <v>0</v>
      </c>
      <c r="K26" s="583">
        <v>6</v>
      </c>
      <c r="L26" s="584">
        <f t="shared" si="19"/>
        <v>20</v>
      </c>
      <c r="M26" s="585">
        <v>45663</v>
      </c>
      <c r="N26" s="585">
        <v>45659</v>
      </c>
      <c r="O26" s="586"/>
      <c r="P26" s="586" t="s">
        <v>83</v>
      </c>
      <c r="Q26" s="587" t="s">
        <v>239</v>
      </c>
      <c r="R26" s="586" t="s">
        <v>240</v>
      </c>
      <c r="S26" s="586"/>
      <c r="T26" s="586"/>
      <c r="U26" s="586" t="s">
        <v>241</v>
      </c>
      <c r="V26" s="586"/>
      <c r="W26" s="586"/>
      <c r="X26" s="634" t="s">
        <v>242</v>
      </c>
      <c r="Y26" s="618" t="s">
        <v>243</v>
      </c>
      <c r="Z26" s="590">
        <v>5.905</v>
      </c>
      <c r="AA26" s="591">
        <f t="shared" si="18"/>
        <v>708.6</v>
      </c>
      <c r="AB26" s="619" t="s">
        <v>244</v>
      </c>
      <c r="AC26" s="582" t="s">
        <v>235</v>
      </c>
      <c r="AD26" s="592" t="s">
        <v>89</v>
      </c>
      <c r="AE26" s="620"/>
      <c r="AF26" s="620"/>
      <c r="AG26" s="595"/>
      <c r="AH26" s="620"/>
      <c r="AI26" s="620"/>
      <c r="AJ26" s="592">
        <f>I26</f>
        <v>120</v>
      </c>
      <c r="AK26" s="629"/>
      <c r="AL26" s="620"/>
      <c r="AM26" s="620"/>
      <c r="AN26" s="598">
        <f t="shared" si="9"/>
        <v>120</v>
      </c>
      <c r="AO26" s="621"/>
      <c r="AP26" s="622"/>
      <c r="AQ26" s="622"/>
      <c r="AR26" s="592"/>
      <c r="AS26" s="622"/>
      <c r="AT26" s="622"/>
      <c r="AU26" s="621">
        <f>I26</f>
        <v>120</v>
      </c>
      <c r="AV26" s="621"/>
      <c r="AW26" s="592">
        <f t="shared" si="6"/>
        <v>120</v>
      </c>
      <c r="AX26" s="621"/>
      <c r="AY26" s="621"/>
      <c r="AZ26" s="621"/>
      <c r="BA26" s="621"/>
      <c r="BB26" s="621"/>
      <c r="BC26" s="621"/>
      <c r="BD26" s="621"/>
      <c r="BE26" s="623"/>
      <c r="BF26" s="602" t="s">
        <v>90</v>
      </c>
      <c r="BG26" s="603"/>
      <c r="BH26" s="604">
        <f t="shared" si="11"/>
        <v>20</v>
      </c>
      <c r="BI26" s="605">
        <f t="shared" si="12"/>
        <v>20</v>
      </c>
      <c r="BJ26" s="602">
        <f t="shared" si="13"/>
        <v>20</v>
      </c>
      <c r="BK26" s="602">
        <f t="shared" si="14"/>
        <v>20</v>
      </c>
      <c r="BL26" s="602">
        <f t="shared" si="15"/>
        <v>20</v>
      </c>
      <c r="BM26" s="602">
        <f t="shared" si="16"/>
        <v>20</v>
      </c>
      <c r="BN26" s="624"/>
      <c r="BO26" s="624"/>
      <c r="BP26" s="624"/>
      <c r="BQ26" s="624"/>
      <c r="BR26" s="624"/>
      <c r="BS26" s="624"/>
      <c r="BT26" s="607">
        <f t="shared" si="3"/>
        <v>120</v>
      </c>
      <c r="BU26" s="608">
        <f t="shared" si="4"/>
        <v>0</v>
      </c>
      <c r="BV26" s="517"/>
      <c r="BW26" s="491"/>
    </row>
    <row r="27" s="490" customFormat="1" ht="33" customHeight="1" spans="1:75">
      <c r="A27" s="577">
        <v>45618</v>
      </c>
      <c r="B27" s="581" t="s">
        <v>245</v>
      </c>
      <c r="C27" s="579" t="s">
        <v>246</v>
      </c>
      <c r="D27" s="580">
        <v>4500152016</v>
      </c>
      <c r="E27" s="588">
        <v>20478298</v>
      </c>
      <c r="F27" s="580" t="s">
        <v>247</v>
      </c>
      <c r="G27" s="582" t="s">
        <v>81</v>
      </c>
      <c r="H27" s="578" t="s">
        <v>95</v>
      </c>
      <c r="I27" s="583">
        <v>42</v>
      </c>
      <c r="J27" s="583">
        <v>0</v>
      </c>
      <c r="K27" s="583">
        <v>6</v>
      </c>
      <c r="L27" s="584">
        <f t="shared" si="19"/>
        <v>7</v>
      </c>
      <c r="M27" s="585">
        <v>45663</v>
      </c>
      <c r="N27" s="585">
        <v>45659</v>
      </c>
      <c r="O27" s="586"/>
      <c r="P27" s="586" t="s">
        <v>83</v>
      </c>
      <c r="Q27" s="587" t="s">
        <v>248</v>
      </c>
      <c r="R27" s="586" t="s">
        <v>249</v>
      </c>
      <c r="S27" s="586"/>
      <c r="T27" s="586"/>
      <c r="U27" s="586" t="s">
        <v>250</v>
      </c>
      <c r="V27" s="586"/>
      <c r="W27" s="586"/>
      <c r="X27" s="588" t="s">
        <v>251</v>
      </c>
      <c r="Y27" s="618" t="s">
        <v>252</v>
      </c>
      <c r="Z27" s="590">
        <v>6.2984</v>
      </c>
      <c r="AA27" s="591">
        <f t="shared" si="18"/>
        <v>264.5328</v>
      </c>
      <c r="AB27" s="619" t="s">
        <v>253</v>
      </c>
      <c r="AC27" s="582" t="s">
        <v>81</v>
      </c>
      <c r="AD27" s="619" t="s">
        <v>89</v>
      </c>
      <c r="AE27" s="625"/>
      <c r="AF27" s="625"/>
      <c r="AG27" s="595">
        <f>I27</f>
        <v>42</v>
      </c>
      <c r="AH27" s="625"/>
      <c r="AI27" s="625"/>
      <c r="AJ27" s="592"/>
      <c r="AK27" s="629"/>
      <c r="AL27" s="625"/>
      <c r="AM27" s="625"/>
      <c r="AN27" s="598">
        <f t="shared" si="9"/>
        <v>42</v>
      </c>
      <c r="AO27" s="621"/>
      <c r="AP27" s="626"/>
      <c r="AQ27" s="626"/>
      <c r="AR27" s="592">
        <f>I27</f>
        <v>42</v>
      </c>
      <c r="AS27" s="626"/>
      <c r="AT27" s="626"/>
      <c r="AU27" s="621"/>
      <c r="AV27" s="621"/>
      <c r="AW27" s="592">
        <f t="shared" si="6"/>
        <v>42</v>
      </c>
      <c r="AX27" s="621"/>
      <c r="AY27" s="621"/>
      <c r="AZ27" s="621"/>
      <c r="BA27" s="621"/>
      <c r="BB27" s="621"/>
      <c r="BC27" s="621"/>
      <c r="BD27" s="621"/>
      <c r="BE27" s="623"/>
      <c r="BF27" s="602" t="s">
        <v>90</v>
      </c>
      <c r="BG27" s="603"/>
      <c r="BH27" s="604">
        <f t="shared" si="11"/>
        <v>7</v>
      </c>
      <c r="BI27" s="605">
        <f t="shared" si="12"/>
        <v>7</v>
      </c>
      <c r="BJ27" s="602">
        <f t="shared" si="13"/>
        <v>7</v>
      </c>
      <c r="BK27" s="602">
        <f t="shared" si="14"/>
        <v>7</v>
      </c>
      <c r="BL27" s="602">
        <f t="shared" si="15"/>
        <v>7</v>
      </c>
      <c r="BM27" s="602">
        <f t="shared" si="16"/>
        <v>7</v>
      </c>
      <c r="BN27" s="624"/>
      <c r="BO27" s="624"/>
      <c r="BP27" s="624"/>
      <c r="BQ27" s="624"/>
      <c r="BR27" s="624"/>
      <c r="BS27" s="624"/>
      <c r="BT27" s="607">
        <f t="shared" si="3"/>
        <v>42</v>
      </c>
      <c r="BU27" s="608">
        <f t="shared" si="4"/>
        <v>0</v>
      </c>
      <c r="BV27" s="627"/>
      <c r="BW27" s="491"/>
    </row>
    <row r="28" s="490" customFormat="1" ht="33" customHeight="1" spans="1:75">
      <c r="A28" s="577">
        <v>45618</v>
      </c>
      <c r="B28" s="581" t="s">
        <v>254</v>
      </c>
      <c r="C28" s="579" t="s">
        <v>255</v>
      </c>
      <c r="D28" s="580">
        <v>4500152006</v>
      </c>
      <c r="E28" s="588">
        <v>20357441</v>
      </c>
      <c r="F28" s="580" t="s">
        <v>256</v>
      </c>
      <c r="G28" s="582" t="s">
        <v>81</v>
      </c>
      <c r="H28" s="578" t="s">
        <v>95</v>
      </c>
      <c r="I28" s="583">
        <v>1458</v>
      </c>
      <c r="J28" s="583">
        <v>0</v>
      </c>
      <c r="K28" s="583">
        <v>6</v>
      </c>
      <c r="L28" s="584">
        <f t="shared" si="19"/>
        <v>243</v>
      </c>
      <c r="M28" s="585">
        <v>45663</v>
      </c>
      <c r="N28" s="585">
        <v>45659</v>
      </c>
      <c r="O28" s="586"/>
      <c r="P28" s="586" t="s">
        <v>83</v>
      </c>
      <c r="Q28" s="587" t="s">
        <v>248</v>
      </c>
      <c r="R28" s="586" t="s">
        <v>249</v>
      </c>
      <c r="S28" s="586"/>
      <c r="T28" s="586"/>
      <c r="U28" s="586" t="s">
        <v>250</v>
      </c>
      <c r="V28" s="586"/>
      <c r="W28" s="586"/>
      <c r="X28" s="588" t="s">
        <v>257</v>
      </c>
      <c r="Y28" s="618" t="s">
        <v>252</v>
      </c>
      <c r="Z28" s="590">
        <v>6.2908</v>
      </c>
      <c r="AA28" s="591">
        <f t="shared" si="18"/>
        <v>9171.9864</v>
      </c>
      <c r="AB28" s="619" t="s">
        <v>258</v>
      </c>
      <c r="AC28" s="582" t="s">
        <v>81</v>
      </c>
      <c r="AD28" s="619" t="s">
        <v>89</v>
      </c>
      <c r="AE28" s="620"/>
      <c r="AF28" s="620"/>
      <c r="AG28" s="595">
        <f>I28</f>
        <v>1458</v>
      </c>
      <c r="AH28" s="620"/>
      <c r="AI28" s="620"/>
      <c r="AJ28" s="592"/>
      <c r="AK28" s="629"/>
      <c r="AL28" s="620"/>
      <c r="AM28" s="620"/>
      <c r="AN28" s="598">
        <f t="shared" si="9"/>
        <v>1458</v>
      </c>
      <c r="AO28" s="621"/>
      <c r="AP28" s="622"/>
      <c r="AQ28" s="622"/>
      <c r="AR28" s="592">
        <f>I28</f>
        <v>1458</v>
      </c>
      <c r="AS28" s="622"/>
      <c r="AT28" s="622"/>
      <c r="AU28" s="621"/>
      <c r="AV28" s="621"/>
      <c r="AW28" s="592">
        <f t="shared" si="6"/>
        <v>1458</v>
      </c>
      <c r="AX28" s="621"/>
      <c r="AY28" s="621"/>
      <c r="AZ28" s="621"/>
      <c r="BA28" s="621"/>
      <c r="BB28" s="621"/>
      <c r="BC28" s="621"/>
      <c r="BD28" s="621"/>
      <c r="BE28" s="623"/>
      <c r="BF28" s="602" t="s">
        <v>90</v>
      </c>
      <c r="BG28" s="603"/>
      <c r="BH28" s="604">
        <f t="shared" si="11"/>
        <v>243</v>
      </c>
      <c r="BI28" s="605">
        <f t="shared" si="12"/>
        <v>243</v>
      </c>
      <c r="BJ28" s="602">
        <f t="shared" si="13"/>
        <v>243</v>
      </c>
      <c r="BK28" s="602">
        <f t="shared" si="14"/>
        <v>243</v>
      </c>
      <c r="BL28" s="602">
        <f t="shared" si="15"/>
        <v>243</v>
      </c>
      <c r="BM28" s="602">
        <f t="shared" si="16"/>
        <v>243</v>
      </c>
      <c r="BN28" s="624"/>
      <c r="BO28" s="624"/>
      <c r="BP28" s="624"/>
      <c r="BQ28" s="624"/>
      <c r="BR28" s="624"/>
      <c r="BS28" s="624"/>
      <c r="BT28" s="607">
        <f t="shared" si="3"/>
        <v>1458</v>
      </c>
      <c r="BU28" s="608">
        <f t="shared" si="4"/>
        <v>0</v>
      </c>
      <c r="BV28" s="517"/>
      <c r="BW28" s="491"/>
    </row>
    <row r="29" s="490" customFormat="1" ht="33" customHeight="1" spans="1:75">
      <c r="A29" s="577">
        <v>45621</v>
      </c>
      <c r="B29" s="581" t="s">
        <v>254</v>
      </c>
      <c r="C29" s="579" t="s">
        <v>255</v>
      </c>
      <c r="D29" s="580">
        <v>4500152292</v>
      </c>
      <c r="E29" s="580">
        <v>20357441</v>
      </c>
      <c r="F29" s="580" t="s">
        <v>259</v>
      </c>
      <c r="G29" s="582" t="s">
        <v>81</v>
      </c>
      <c r="H29" s="578" t="s">
        <v>95</v>
      </c>
      <c r="I29" s="583">
        <v>1362</v>
      </c>
      <c r="J29" s="583">
        <v>0</v>
      </c>
      <c r="K29" s="583">
        <v>6</v>
      </c>
      <c r="L29" s="584">
        <f t="shared" si="19"/>
        <v>227</v>
      </c>
      <c r="M29" s="585">
        <v>45663</v>
      </c>
      <c r="N29" s="585">
        <v>45659</v>
      </c>
      <c r="O29" s="586"/>
      <c r="P29" s="586" t="s">
        <v>83</v>
      </c>
      <c r="Q29" s="587" t="s">
        <v>248</v>
      </c>
      <c r="R29" s="586" t="s">
        <v>260</v>
      </c>
      <c r="S29" s="586"/>
      <c r="T29" s="586"/>
      <c r="U29" s="586" t="s">
        <v>250</v>
      </c>
      <c r="V29" s="586"/>
      <c r="W29" s="586"/>
      <c r="X29" s="588" t="s">
        <v>261</v>
      </c>
      <c r="Y29" s="618" t="s">
        <v>252</v>
      </c>
      <c r="Z29" s="590">
        <v>6.2908</v>
      </c>
      <c r="AA29" s="591">
        <f t="shared" ref="AA27:AA41" si="20">Z29*I29</f>
        <v>8568.0696</v>
      </c>
      <c r="AB29" s="619" t="s">
        <v>262</v>
      </c>
      <c r="AC29" s="582" t="s">
        <v>81</v>
      </c>
      <c r="AD29" s="619" t="s">
        <v>89</v>
      </c>
      <c r="AE29" s="620"/>
      <c r="AF29" s="620"/>
      <c r="AG29" s="595">
        <f>I29</f>
        <v>1362</v>
      </c>
      <c r="AH29" s="620"/>
      <c r="AI29" s="620"/>
      <c r="AJ29" s="592"/>
      <c r="AK29" s="629"/>
      <c r="AL29" s="620"/>
      <c r="AM29" s="620"/>
      <c r="AN29" s="598">
        <f t="shared" si="9"/>
        <v>1362</v>
      </c>
      <c r="AO29" s="621"/>
      <c r="AP29" s="622"/>
      <c r="AQ29" s="622"/>
      <c r="AR29" s="592">
        <f>I29</f>
        <v>1362</v>
      </c>
      <c r="AS29" s="622"/>
      <c r="AT29" s="622"/>
      <c r="AU29" s="621"/>
      <c r="AV29" s="621"/>
      <c r="AW29" s="592">
        <f t="shared" si="6"/>
        <v>1362</v>
      </c>
      <c r="AX29" s="621"/>
      <c r="AY29" s="621"/>
      <c r="AZ29" s="621"/>
      <c r="BA29" s="621"/>
      <c r="BB29" s="621"/>
      <c r="BC29" s="621"/>
      <c r="BD29" s="621"/>
      <c r="BE29" s="623"/>
      <c r="BF29" s="602" t="s">
        <v>90</v>
      </c>
      <c r="BG29" s="603"/>
      <c r="BH29" s="604">
        <f t="shared" si="11"/>
        <v>227</v>
      </c>
      <c r="BI29" s="605">
        <f t="shared" si="12"/>
        <v>227</v>
      </c>
      <c r="BJ29" s="602">
        <f t="shared" si="13"/>
        <v>227</v>
      </c>
      <c r="BK29" s="602">
        <f t="shared" si="14"/>
        <v>227</v>
      </c>
      <c r="BL29" s="602">
        <f t="shared" si="15"/>
        <v>227</v>
      </c>
      <c r="BM29" s="602">
        <f t="shared" si="16"/>
        <v>227</v>
      </c>
      <c r="BN29" s="624"/>
      <c r="BO29" s="624"/>
      <c r="BP29" s="624"/>
      <c r="BQ29" s="624"/>
      <c r="BR29" s="624"/>
      <c r="BS29" s="624"/>
      <c r="BT29" s="607">
        <f t="shared" si="3"/>
        <v>1362</v>
      </c>
      <c r="BU29" s="608">
        <f t="shared" si="4"/>
        <v>0</v>
      </c>
      <c r="BV29" s="517"/>
      <c r="BW29" s="491"/>
    </row>
    <row r="30" s="490" customFormat="1" ht="33" customHeight="1" spans="1:75">
      <c r="A30" s="577">
        <v>45621</v>
      </c>
      <c r="B30" s="581" t="s">
        <v>263</v>
      </c>
      <c r="C30" s="579" t="s">
        <v>264</v>
      </c>
      <c r="D30" s="580">
        <v>4500152261</v>
      </c>
      <c r="E30" s="580"/>
      <c r="F30" s="580" t="s">
        <v>265</v>
      </c>
      <c r="G30" s="582" t="s">
        <v>81</v>
      </c>
      <c r="H30" s="578" t="s">
        <v>95</v>
      </c>
      <c r="I30" s="583">
        <v>600</v>
      </c>
      <c r="J30" s="583">
        <v>0</v>
      </c>
      <c r="K30" s="583">
        <v>6</v>
      </c>
      <c r="L30" s="584">
        <f t="shared" si="19"/>
        <v>100</v>
      </c>
      <c r="M30" s="585">
        <v>45663</v>
      </c>
      <c r="N30" s="585">
        <v>45659</v>
      </c>
      <c r="O30" s="586"/>
      <c r="P30" s="586" t="s">
        <v>83</v>
      </c>
      <c r="Q30" s="587" t="s">
        <v>214</v>
      </c>
      <c r="R30" s="586" t="s">
        <v>266</v>
      </c>
      <c r="S30" s="586"/>
      <c r="T30" s="586"/>
      <c r="U30" s="586" t="s">
        <v>267</v>
      </c>
      <c r="V30" s="586"/>
      <c r="W30" s="586"/>
      <c r="X30" s="588" t="s">
        <v>268</v>
      </c>
      <c r="Y30" s="618" t="s">
        <v>269</v>
      </c>
      <c r="Z30" s="590">
        <v>5.905</v>
      </c>
      <c r="AA30" s="591">
        <f t="shared" si="20"/>
        <v>3543</v>
      </c>
      <c r="AB30" s="619" t="s">
        <v>270</v>
      </c>
      <c r="AC30" s="582" t="s">
        <v>235</v>
      </c>
      <c r="AD30" s="592" t="s">
        <v>89</v>
      </c>
      <c r="AE30" s="620"/>
      <c r="AF30" s="620"/>
      <c r="AG30" s="595"/>
      <c r="AH30" s="620"/>
      <c r="AI30" s="620"/>
      <c r="AJ30" s="592">
        <f>I30</f>
        <v>600</v>
      </c>
      <c r="AK30" s="629"/>
      <c r="AL30" s="620"/>
      <c r="AM30" s="620"/>
      <c r="AN30" s="598">
        <f t="shared" si="9"/>
        <v>600</v>
      </c>
      <c r="AO30" s="621"/>
      <c r="AP30" s="622"/>
      <c r="AQ30" s="622"/>
      <c r="AR30" s="592"/>
      <c r="AS30" s="622"/>
      <c r="AT30" s="622"/>
      <c r="AU30" s="621">
        <f>I30</f>
        <v>600</v>
      </c>
      <c r="AV30" s="621"/>
      <c r="AW30" s="592">
        <f t="shared" si="6"/>
        <v>600</v>
      </c>
      <c r="AX30" s="621"/>
      <c r="AY30" s="621"/>
      <c r="AZ30" s="621"/>
      <c r="BA30" s="621"/>
      <c r="BB30" s="621"/>
      <c r="BC30" s="621"/>
      <c r="BD30" s="621"/>
      <c r="BE30" s="623"/>
      <c r="BF30" s="602" t="s">
        <v>90</v>
      </c>
      <c r="BG30" s="603"/>
      <c r="BH30" s="604">
        <f t="shared" si="11"/>
        <v>100</v>
      </c>
      <c r="BI30" s="605">
        <f t="shared" si="12"/>
        <v>100</v>
      </c>
      <c r="BJ30" s="602">
        <f t="shared" si="13"/>
        <v>100</v>
      </c>
      <c r="BK30" s="602">
        <f t="shared" si="14"/>
        <v>100</v>
      </c>
      <c r="BL30" s="602">
        <f t="shared" si="15"/>
        <v>100</v>
      </c>
      <c r="BM30" s="602">
        <f t="shared" si="16"/>
        <v>100</v>
      </c>
      <c r="BN30" s="624"/>
      <c r="BO30" s="624"/>
      <c r="BP30" s="624"/>
      <c r="BQ30" s="624"/>
      <c r="BR30" s="624"/>
      <c r="BS30" s="624"/>
      <c r="BT30" s="607">
        <f t="shared" si="3"/>
        <v>600</v>
      </c>
      <c r="BU30" s="608">
        <f t="shared" si="4"/>
        <v>0</v>
      </c>
      <c r="BV30" s="517"/>
      <c r="BW30" s="491"/>
    </row>
    <row r="31" s="490" customFormat="1" ht="33" customHeight="1" spans="1:75">
      <c r="A31" s="577">
        <v>45624</v>
      </c>
      <c r="B31" s="581" t="s">
        <v>271</v>
      </c>
      <c r="C31" s="579" t="s">
        <v>272</v>
      </c>
      <c r="D31" s="580">
        <v>4500152720</v>
      </c>
      <c r="E31" s="580"/>
      <c r="F31" s="580" t="s">
        <v>273</v>
      </c>
      <c r="G31" s="582" t="s">
        <v>81</v>
      </c>
      <c r="H31" s="578" t="s">
        <v>95</v>
      </c>
      <c r="I31" s="583">
        <v>900</v>
      </c>
      <c r="J31" s="583">
        <v>0</v>
      </c>
      <c r="K31" s="583">
        <v>6</v>
      </c>
      <c r="L31" s="584">
        <f t="shared" si="19"/>
        <v>150</v>
      </c>
      <c r="M31" s="585">
        <v>45663</v>
      </c>
      <c r="N31" s="585">
        <v>45659</v>
      </c>
      <c r="O31" s="586"/>
      <c r="P31" s="586" t="s">
        <v>83</v>
      </c>
      <c r="Q31" s="587" t="s">
        <v>185</v>
      </c>
      <c r="R31" s="586" t="s">
        <v>260</v>
      </c>
      <c r="S31" s="586"/>
      <c r="T31" s="586"/>
      <c r="U31" s="586" t="s">
        <v>274</v>
      </c>
      <c r="V31" s="586"/>
      <c r="W31" s="586"/>
      <c r="X31" s="634" t="s">
        <v>275</v>
      </c>
      <c r="Y31" s="618" t="s">
        <v>243</v>
      </c>
      <c r="Z31" s="590">
        <v>5.905</v>
      </c>
      <c r="AA31" s="591">
        <f t="shared" si="20"/>
        <v>5314.5</v>
      </c>
      <c r="AB31" s="619" t="s">
        <v>276</v>
      </c>
      <c r="AC31" s="582" t="s">
        <v>235</v>
      </c>
      <c r="AD31" s="592" t="s">
        <v>89</v>
      </c>
      <c r="AE31" s="620"/>
      <c r="AF31" s="620"/>
      <c r="AG31" s="595"/>
      <c r="AH31" s="620"/>
      <c r="AI31" s="620"/>
      <c r="AJ31" s="592">
        <f>I31</f>
        <v>900</v>
      </c>
      <c r="AK31" s="629"/>
      <c r="AL31" s="620"/>
      <c r="AM31" s="620"/>
      <c r="AN31" s="598">
        <f t="shared" si="9"/>
        <v>900</v>
      </c>
      <c r="AO31" s="621"/>
      <c r="AP31" s="622"/>
      <c r="AQ31" s="622"/>
      <c r="AR31" s="592"/>
      <c r="AS31" s="622"/>
      <c r="AT31" s="622"/>
      <c r="AU31" s="621">
        <f>I31</f>
        <v>900</v>
      </c>
      <c r="AV31" s="621"/>
      <c r="AW31" s="592">
        <f t="shared" si="6"/>
        <v>900</v>
      </c>
      <c r="AX31" s="621"/>
      <c r="AY31" s="621"/>
      <c r="AZ31" s="621"/>
      <c r="BA31" s="621"/>
      <c r="BB31" s="621"/>
      <c r="BC31" s="621"/>
      <c r="BD31" s="621"/>
      <c r="BE31" s="623"/>
      <c r="BF31" s="602" t="s">
        <v>90</v>
      </c>
      <c r="BG31" s="603"/>
      <c r="BH31" s="604">
        <f t="shared" si="11"/>
        <v>150</v>
      </c>
      <c r="BI31" s="605">
        <f t="shared" si="12"/>
        <v>150</v>
      </c>
      <c r="BJ31" s="602">
        <f t="shared" si="13"/>
        <v>150</v>
      </c>
      <c r="BK31" s="602">
        <f t="shared" si="14"/>
        <v>150</v>
      </c>
      <c r="BL31" s="602">
        <f t="shared" si="15"/>
        <v>150</v>
      </c>
      <c r="BM31" s="602">
        <f t="shared" si="16"/>
        <v>150</v>
      </c>
      <c r="BN31" s="624"/>
      <c r="BO31" s="624"/>
      <c r="BP31" s="624"/>
      <c r="BQ31" s="624"/>
      <c r="BR31" s="624"/>
      <c r="BS31" s="624"/>
      <c r="BT31" s="607">
        <f t="shared" si="3"/>
        <v>900</v>
      </c>
      <c r="BU31" s="608">
        <f t="shared" si="4"/>
        <v>0</v>
      </c>
      <c r="BV31" s="517"/>
      <c r="BW31" s="491"/>
    </row>
    <row r="32" s="490" customFormat="1" ht="33" customHeight="1" spans="1:75">
      <c r="A32" s="577">
        <v>45623</v>
      </c>
      <c r="B32" s="581" t="s">
        <v>277</v>
      </c>
      <c r="C32" s="579" t="s">
        <v>92</v>
      </c>
      <c r="D32" s="580">
        <v>4500152379</v>
      </c>
      <c r="E32" s="616" t="s">
        <v>278</v>
      </c>
      <c r="F32" s="580" t="s">
        <v>279</v>
      </c>
      <c r="G32" s="582" t="s">
        <v>280</v>
      </c>
      <c r="H32" s="578" t="s">
        <v>281</v>
      </c>
      <c r="I32" s="583">
        <v>36</v>
      </c>
      <c r="J32" s="583">
        <v>1</v>
      </c>
      <c r="K32" s="583">
        <v>4</v>
      </c>
      <c r="L32" s="584">
        <f t="shared" si="19"/>
        <v>9</v>
      </c>
      <c r="M32" s="585">
        <v>45664</v>
      </c>
      <c r="N32" s="585">
        <v>45660</v>
      </c>
      <c r="O32" s="586"/>
      <c r="P32" s="586" t="s">
        <v>83</v>
      </c>
      <c r="Q32" s="587" t="s">
        <v>282</v>
      </c>
      <c r="R32" s="586" t="s">
        <v>283</v>
      </c>
      <c r="S32" s="586"/>
      <c r="T32" s="586"/>
      <c r="U32" s="586" t="s">
        <v>86</v>
      </c>
      <c r="V32" s="586" t="s">
        <v>284</v>
      </c>
      <c r="W32" s="586" t="s">
        <v>285</v>
      </c>
      <c r="X32" s="588" t="s">
        <v>286</v>
      </c>
      <c r="Y32" s="618" t="s">
        <v>287</v>
      </c>
      <c r="Z32" s="590">
        <v>6.1693</v>
      </c>
      <c r="AA32" s="591">
        <f t="shared" si="20"/>
        <v>222.0948</v>
      </c>
      <c r="AB32" s="619" t="s">
        <v>288</v>
      </c>
      <c r="AC32" s="582" t="s">
        <v>280</v>
      </c>
      <c r="AD32" s="593" t="s">
        <v>89</v>
      </c>
      <c r="AE32" s="620"/>
      <c r="AF32" s="620"/>
      <c r="AG32" s="595">
        <f>I32</f>
        <v>36</v>
      </c>
      <c r="AH32" s="620"/>
      <c r="AI32" s="620"/>
      <c r="AJ32" s="589"/>
      <c r="AK32" s="629"/>
      <c r="AL32" s="620"/>
      <c r="AM32" s="620"/>
      <c r="AN32" s="598">
        <f t="shared" si="9"/>
        <v>36</v>
      </c>
      <c r="AO32" s="621"/>
      <c r="AP32" s="622"/>
      <c r="AQ32" s="622"/>
      <c r="AR32" s="592">
        <f>I32</f>
        <v>36</v>
      </c>
      <c r="AS32" s="622"/>
      <c r="AT32" s="622"/>
      <c r="AU32" s="621"/>
      <c r="AV32" s="621"/>
      <c r="AW32" s="592">
        <f t="shared" si="6"/>
        <v>36</v>
      </c>
      <c r="AX32" s="621"/>
      <c r="AY32" s="621"/>
      <c r="AZ32" s="621"/>
      <c r="BA32" s="621"/>
      <c r="BB32" s="621"/>
      <c r="BC32" s="621"/>
      <c r="BD32" s="621"/>
      <c r="BE32" s="623"/>
      <c r="BF32" s="602" t="s">
        <v>90</v>
      </c>
      <c r="BG32" s="603"/>
      <c r="BH32" s="632"/>
      <c r="BI32" s="633"/>
      <c r="BJ32" s="602">
        <f>I32</f>
        <v>36</v>
      </c>
      <c r="BK32" s="633"/>
      <c r="BL32" s="633"/>
      <c r="BM32" s="633"/>
      <c r="BN32" s="624"/>
      <c r="BO32" s="624"/>
      <c r="BP32" s="624"/>
      <c r="BQ32" s="624"/>
      <c r="BR32" s="624"/>
      <c r="BS32" s="624"/>
      <c r="BT32" s="607">
        <f t="shared" si="3"/>
        <v>36</v>
      </c>
      <c r="BU32" s="608">
        <f t="shared" si="4"/>
        <v>0</v>
      </c>
      <c r="BV32" s="517"/>
      <c r="BW32" s="491"/>
    </row>
    <row r="33" s="490" customFormat="1" ht="33" customHeight="1" spans="1:75">
      <c r="A33" s="577">
        <v>45623</v>
      </c>
      <c r="B33" s="581" t="s">
        <v>277</v>
      </c>
      <c r="C33" s="579" t="s">
        <v>92</v>
      </c>
      <c r="D33" s="580">
        <v>4500152379</v>
      </c>
      <c r="E33" s="616" t="s">
        <v>289</v>
      </c>
      <c r="F33" s="580" t="s">
        <v>290</v>
      </c>
      <c r="G33" s="582" t="s">
        <v>280</v>
      </c>
      <c r="H33" s="578" t="s">
        <v>281</v>
      </c>
      <c r="I33" s="583">
        <v>116</v>
      </c>
      <c r="J33" s="583">
        <v>1</v>
      </c>
      <c r="K33" s="583">
        <v>4</v>
      </c>
      <c r="L33" s="584">
        <f t="shared" ref="L33:L41" si="21">I33/K33</f>
        <v>29</v>
      </c>
      <c r="M33" s="585">
        <v>45664</v>
      </c>
      <c r="N33" s="585">
        <v>45660</v>
      </c>
      <c r="O33" s="586"/>
      <c r="P33" s="586" t="s">
        <v>83</v>
      </c>
      <c r="Q33" s="587" t="s">
        <v>282</v>
      </c>
      <c r="R33" s="586" t="s">
        <v>283</v>
      </c>
      <c r="S33" s="586"/>
      <c r="T33" s="586"/>
      <c r="U33" s="586" t="s">
        <v>86</v>
      </c>
      <c r="V33" s="586" t="s">
        <v>284</v>
      </c>
      <c r="W33" s="586" t="s">
        <v>285</v>
      </c>
      <c r="X33" s="588" t="s">
        <v>286</v>
      </c>
      <c r="Y33" s="618" t="s">
        <v>287</v>
      </c>
      <c r="Z33" s="590">
        <v>6.1693</v>
      </c>
      <c r="AA33" s="591">
        <f t="shared" si="20"/>
        <v>715.6388</v>
      </c>
      <c r="AB33" s="619" t="s">
        <v>288</v>
      </c>
      <c r="AC33" s="582" t="s">
        <v>280</v>
      </c>
      <c r="AD33" s="593" t="s">
        <v>89</v>
      </c>
      <c r="AE33" s="620"/>
      <c r="AF33" s="620"/>
      <c r="AG33" s="595">
        <f>I33</f>
        <v>116</v>
      </c>
      <c r="AH33" s="620"/>
      <c r="AI33" s="620"/>
      <c r="AJ33" s="589"/>
      <c r="AK33" s="629"/>
      <c r="AL33" s="620"/>
      <c r="AM33" s="620"/>
      <c r="AN33" s="598">
        <f t="shared" si="9"/>
        <v>116</v>
      </c>
      <c r="AO33" s="621"/>
      <c r="AP33" s="622"/>
      <c r="AQ33" s="622"/>
      <c r="AR33" s="592">
        <f>I33</f>
        <v>116</v>
      </c>
      <c r="AS33" s="622"/>
      <c r="AT33" s="622"/>
      <c r="AU33" s="621"/>
      <c r="AV33" s="621"/>
      <c r="AW33" s="592">
        <f t="shared" si="6"/>
        <v>116</v>
      </c>
      <c r="AX33" s="621"/>
      <c r="AY33" s="621"/>
      <c r="AZ33" s="621"/>
      <c r="BA33" s="621"/>
      <c r="BB33" s="621"/>
      <c r="BC33" s="621"/>
      <c r="BD33" s="621"/>
      <c r="BE33" s="623"/>
      <c r="BF33" s="602" t="s">
        <v>90</v>
      </c>
      <c r="BG33" s="603"/>
      <c r="BH33" s="632"/>
      <c r="BI33" s="633"/>
      <c r="BJ33" s="602">
        <f>I33</f>
        <v>116</v>
      </c>
      <c r="BK33" s="633"/>
      <c r="BL33" s="633"/>
      <c r="BM33" s="633"/>
      <c r="BN33" s="624"/>
      <c r="BO33" s="624"/>
      <c r="BP33" s="624"/>
      <c r="BQ33" s="624"/>
      <c r="BR33" s="624"/>
      <c r="BS33" s="624"/>
      <c r="BT33" s="607">
        <f t="shared" si="3"/>
        <v>116</v>
      </c>
      <c r="BU33" s="608">
        <f t="shared" si="4"/>
        <v>0</v>
      </c>
      <c r="BV33" s="517"/>
      <c r="BW33" s="491"/>
    </row>
    <row r="34" s="490" customFormat="1" ht="33" customHeight="1" spans="1:75">
      <c r="A34" s="577">
        <v>45623</v>
      </c>
      <c r="B34" s="581" t="s">
        <v>277</v>
      </c>
      <c r="C34" s="579" t="s">
        <v>92</v>
      </c>
      <c r="D34" s="580">
        <v>4500152657</v>
      </c>
      <c r="E34" s="616" t="s">
        <v>291</v>
      </c>
      <c r="F34" s="580" t="s">
        <v>292</v>
      </c>
      <c r="G34" s="582" t="s">
        <v>280</v>
      </c>
      <c r="H34" s="578" t="s">
        <v>281</v>
      </c>
      <c r="I34" s="583">
        <v>172</v>
      </c>
      <c r="J34" s="583">
        <v>1</v>
      </c>
      <c r="K34" s="583">
        <v>4</v>
      </c>
      <c r="L34" s="584">
        <f t="shared" si="21"/>
        <v>43</v>
      </c>
      <c r="M34" s="585">
        <v>45664</v>
      </c>
      <c r="N34" s="585">
        <v>45660</v>
      </c>
      <c r="O34" s="586"/>
      <c r="P34" s="586" t="s">
        <v>83</v>
      </c>
      <c r="Q34" s="587" t="s">
        <v>196</v>
      </c>
      <c r="R34" s="586" t="s">
        <v>283</v>
      </c>
      <c r="S34" s="586"/>
      <c r="T34" s="586"/>
      <c r="U34" s="586" t="s">
        <v>86</v>
      </c>
      <c r="V34" s="586" t="s">
        <v>284</v>
      </c>
      <c r="W34" s="586" t="s">
        <v>285</v>
      </c>
      <c r="X34" s="588" t="s">
        <v>293</v>
      </c>
      <c r="Y34" s="618" t="s">
        <v>287</v>
      </c>
      <c r="Z34" s="590">
        <v>6.1693</v>
      </c>
      <c r="AA34" s="591">
        <f t="shared" si="20"/>
        <v>1061.1196</v>
      </c>
      <c r="AB34" s="619" t="s">
        <v>294</v>
      </c>
      <c r="AC34" s="582" t="s">
        <v>280</v>
      </c>
      <c r="AD34" s="593" t="s">
        <v>89</v>
      </c>
      <c r="AE34" s="620"/>
      <c r="AF34" s="620"/>
      <c r="AG34" s="595">
        <f>I34</f>
        <v>172</v>
      </c>
      <c r="AH34" s="620"/>
      <c r="AI34" s="620"/>
      <c r="AJ34" s="589"/>
      <c r="AK34" s="629"/>
      <c r="AL34" s="620"/>
      <c r="AM34" s="620"/>
      <c r="AN34" s="598">
        <f t="shared" si="9"/>
        <v>172</v>
      </c>
      <c r="AO34" s="621"/>
      <c r="AP34" s="622"/>
      <c r="AQ34" s="622"/>
      <c r="AR34" s="592">
        <f>I34</f>
        <v>172</v>
      </c>
      <c r="AS34" s="622"/>
      <c r="AT34" s="622"/>
      <c r="AU34" s="621"/>
      <c r="AV34" s="621"/>
      <c r="AW34" s="592">
        <f t="shared" si="6"/>
        <v>172</v>
      </c>
      <c r="AX34" s="621"/>
      <c r="AY34" s="621"/>
      <c r="AZ34" s="621"/>
      <c r="BA34" s="621"/>
      <c r="BB34" s="621"/>
      <c r="BC34" s="621"/>
      <c r="BD34" s="621"/>
      <c r="BE34" s="623"/>
      <c r="BF34" s="602" t="s">
        <v>90</v>
      </c>
      <c r="BG34" s="603"/>
      <c r="BH34" s="632"/>
      <c r="BI34" s="633"/>
      <c r="BJ34" s="602">
        <f>I34</f>
        <v>172</v>
      </c>
      <c r="BK34" s="633"/>
      <c r="BL34" s="633"/>
      <c r="BM34" s="633"/>
      <c r="BN34" s="624"/>
      <c r="BO34" s="624"/>
      <c r="BP34" s="624"/>
      <c r="BQ34" s="624"/>
      <c r="BR34" s="624"/>
      <c r="BS34" s="624"/>
      <c r="BT34" s="607">
        <f t="shared" si="3"/>
        <v>172</v>
      </c>
      <c r="BU34" s="608">
        <f t="shared" si="4"/>
        <v>0</v>
      </c>
      <c r="BV34" s="517"/>
      <c r="BW34" s="491"/>
    </row>
    <row r="35" s="490" customFormat="1" ht="33" customHeight="1" spans="1:75">
      <c r="A35" s="577">
        <v>45623</v>
      </c>
      <c r="B35" s="581" t="s">
        <v>277</v>
      </c>
      <c r="C35" s="579" t="s">
        <v>92</v>
      </c>
      <c r="D35" s="580">
        <v>4500152472</v>
      </c>
      <c r="E35" s="616" t="s">
        <v>295</v>
      </c>
      <c r="F35" s="580" t="s">
        <v>296</v>
      </c>
      <c r="G35" s="582" t="s">
        <v>297</v>
      </c>
      <c r="H35" s="578" t="s">
        <v>298</v>
      </c>
      <c r="I35" s="583">
        <v>548</v>
      </c>
      <c r="J35" s="583">
        <v>1</v>
      </c>
      <c r="K35" s="583">
        <v>4</v>
      </c>
      <c r="L35" s="584">
        <f t="shared" si="21"/>
        <v>137</v>
      </c>
      <c r="M35" s="585">
        <v>45666</v>
      </c>
      <c r="N35" s="585">
        <v>45663</v>
      </c>
      <c r="O35" s="586"/>
      <c r="P35" s="586" t="s">
        <v>83</v>
      </c>
      <c r="Q35" s="587" t="s">
        <v>299</v>
      </c>
      <c r="R35" s="586" t="s">
        <v>283</v>
      </c>
      <c r="S35" s="586"/>
      <c r="T35" s="586"/>
      <c r="U35" s="586" t="s">
        <v>86</v>
      </c>
      <c r="V35" s="586" t="s">
        <v>284</v>
      </c>
      <c r="W35" s="586" t="s">
        <v>300</v>
      </c>
      <c r="X35" s="588" t="s">
        <v>301</v>
      </c>
      <c r="Y35" s="618" t="s">
        <v>287</v>
      </c>
      <c r="Z35" s="590">
        <v>6.1693</v>
      </c>
      <c r="AA35" s="591">
        <f t="shared" si="20"/>
        <v>3380.7764</v>
      </c>
      <c r="AB35" s="619" t="s">
        <v>302</v>
      </c>
      <c r="AC35" s="582" t="s">
        <v>297</v>
      </c>
      <c r="AD35" s="593" t="s">
        <v>89</v>
      </c>
      <c r="AE35" s="625"/>
      <c r="AF35" s="625"/>
      <c r="AG35" s="595">
        <f>I35</f>
        <v>548</v>
      </c>
      <c r="AH35" s="625"/>
      <c r="AI35" s="625"/>
      <c r="AJ35" s="589"/>
      <c r="AK35" s="629"/>
      <c r="AL35" s="625"/>
      <c r="AM35" s="625"/>
      <c r="AN35" s="598">
        <f t="shared" si="9"/>
        <v>548</v>
      </c>
      <c r="AO35" s="621"/>
      <c r="AP35" s="626"/>
      <c r="AQ35" s="626"/>
      <c r="AR35" s="592">
        <f>I35</f>
        <v>548</v>
      </c>
      <c r="AS35" s="626"/>
      <c r="AT35" s="626"/>
      <c r="AU35" s="621"/>
      <c r="AV35" s="621"/>
      <c r="AW35" s="592">
        <f t="shared" si="6"/>
        <v>548</v>
      </c>
      <c r="AX35" s="621"/>
      <c r="AY35" s="621"/>
      <c r="AZ35" s="621"/>
      <c r="BA35" s="621"/>
      <c r="BB35" s="621"/>
      <c r="BC35" s="621"/>
      <c r="BD35" s="621"/>
      <c r="BE35" s="623"/>
      <c r="BF35" s="602" t="s">
        <v>90</v>
      </c>
      <c r="BG35" s="603"/>
      <c r="BH35" s="604">
        <f>I35</f>
        <v>548</v>
      </c>
      <c r="BI35" s="605"/>
      <c r="BJ35" s="602"/>
      <c r="BK35" s="602"/>
      <c r="BL35" s="602"/>
      <c r="BM35" s="602"/>
      <c r="BN35" s="635"/>
      <c r="BO35" s="635"/>
      <c r="BP35" s="635"/>
      <c r="BQ35" s="635"/>
      <c r="BR35" s="635"/>
      <c r="BS35" s="635"/>
      <c r="BT35" s="607">
        <f t="shared" si="3"/>
        <v>548</v>
      </c>
      <c r="BU35" s="608">
        <f t="shared" si="4"/>
        <v>0</v>
      </c>
      <c r="BV35" s="627"/>
      <c r="BW35" s="491"/>
    </row>
    <row r="36" s="490" customFormat="1" ht="33" customHeight="1" spans="1:75">
      <c r="A36" s="577">
        <v>45618</v>
      </c>
      <c r="B36" s="581" t="s">
        <v>303</v>
      </c>
      <c r="C36" s="579" t="s">
        <v>304</v>
      </c>
      <c r="D36" s="580">
        <v>4500152087</v>
      </c>
      <c r="E36" s="616" t="s">
        <v>305</v>
      </c>
      <c r="F36" s="580" t="s">
        <v>306</v>
      </c>
      <c r="G36" s="582" t="s">
        <v>81</v>
      </c>
      <c r="H36" s="578" t="s">
        <v>95</v>
      </c>
      <c r="I36" s="583">
        <v>504</v>
      </c>
      <c r="J36" s="583">
        <v>0</v>
      </c>
      <c r="K36" s="583">
        <v>6</v>
      </c>
      <c r="L36" s="584">
        <f t="shared" si="21"/>
        <v>84</v>
      </c>
      <c r="M36" s="585">
        <v>45660</v>
      </c>
      <c r="N36" s="585">
        <v>45656</v>
      </c>
      <c r="O36" s="586"/>
      <c r="P36" s="586" t="s">
        <v>83</v>
      </c>
      <c r="Q36" s="587" t="s">
        <v>185</v>
      </c>
      <c r="R36" s="586" t="s">
        <v>283</v>
      </c>
      <c r="S36" s="586"/>
      <c r="T36" s="586"/>
      <c r="U36" s="586" t="s">
        <v>307</v>
      </c>
      <c r="V36" s="586"/>
      <c r="W36" s="586"/>
      <c r="X36" s="588" t="s">
        <v>308</v>
      </c>
      <c r="Y36" s="618" t="s">
        <v>243</v>
      </c>
      <c r="Z36" s="590">
        <v>5.905</v>
      </c>
      <c r="AA36" s="591">
        <f t="shared" si="20"/>
        <v>2976.12</v>
      </c>
      <c r="AB36" s="619" t="s">
        <v>309</v>
      </c>
      <c r="AC36" s="582" t="s">
        <v>81</v>
      </c>
      <c r="AD36" s="619" t="s">
        <v>89</v>
      </c>
      <c r="AE36" s="620"/>
      <c r="AF36" s="620"/>
      <c r="AG36" s="595">
        <f>I36</f>
        <v>504</v>
      </c>
      <c r="AH36" s="620"/>
      <c r="AI36" s="620"/>
      <c r="AJ36" s="589"/>
      <c r="AK36" s="629"/>
      <c r="AL36" s="620"/>
      <c r="AM36" s="620"/>
      <c r="AN36" s="598">
        <f t="shared" si="9"/>
        <v>504</v>
      </c>
      <c r="AO36" s="621"/>
      <c r="AP36" s="622"/>
      <c r="AQ36" s="622"/>
      <c r="AR36" s="592">
        <f>I36</f>
        <v>504</v>
      </c>
      <c r="AS36" s="622"/>
      <c r="AT36" s="622"/>
      <c r="AU36" s="621"/>
      <c r="AV36" s="621"/>
      <c r="AW36" s="592">
        <f t="shared" si="6"/>
        <v>504</v>
      </c>
      <c r="AX36" s="621"/>
      <c r="AY36" s="621"/>
      <c r="AZ36" s="621"/>
      <c r="BA36" s="621"/>
      <c r="BB36" s="621"/>
      <c r="BC36" s="621"/>
      <c r="BD36" s="621"/>
      <c r="BE36" s="623"/>
      <c r="BF36" s="602" t="s">
        <v>90</v>
      </c>
      <c r="BG36" s="603"/>
      <c r="BH36" s="604">
        <f t="shared" ref="BH36:BH42" si="22">I36/6</f>
        <v>84</v>
      </c>
      <c r="BI36" s="605">
        <f t="shared" ref="BI36:BI42" si="23">I36/6</f>
        <v>84</v>
      </c>
      <c r="BJ36" s="602">
        <f t="shared" ref="BJ36:BJ42" si="24">I36/6</f>
        <v>84</v>
      </c>
      <c r="BK36" s="602">
        <f t="shared" ref="BK36:BK42" si="25">I36/6</f>
        <v>84</v>
      </c>
      <c r="BL36" s="602">
        <f t="shared" ref="BL36:BL42" si="26">I36/6</f>
        <v>84</v>
      </c>
      <c r="BM36" s="602">
        <f t="shared" ref="BM36:BM42" si="27">I36/6</f>
        <v>84</v>
      </c>
      <c r="BN36" s="624"/>
      <c r="BO36" s="624"/>
      <c r="BP36" s="624"/>
      <c r="BQ36" s="624"/>
      <c r="BR36" s="624"/>
      <c r="BS36" s="624"/>
      <c r="BT36" s="607">
        <f t="shared" si="3"/>
        <v>504</v>
      </c>
      <c r="BU36" s="608">
        <f t="shared" si="4"/>
        <v>0</v>
      </c>
      <c r="BV36" s="517"/>
      <c r="BW36" s="491"/>
    </row>
    <row r="37" s="490" customFormat="1" ht="33" customHeight="1" spans="1:75">
      <c r="A37" s="577">
        <v>45625</v>
      </c>
      <c r="B37" s="581" t="s">
        <v>310</v>
      </c>
      <c r="C37" s="579" t="s">
        <v>78</v>
      </c>
      <c r="D37" s="580">
        <v>4500152937</v>
      </c>
      <c r="E37" s="616" t="s">
        <v>311</v>
      </c>
      <c r="F37" s="580" t="s">
        <v>312</v>
      </c>
      <c r="G37" s="582" t="s">
        <v>81</v>
      </c>
      <c r="H37" s="578" t="s">
        <v>95</v>
      </c>
      <c r="I37" s="583">
        <v>900</v>
      </c>
      <c r="J37" s="583">
        <v>0</v>
      </c>
      <c r="K37" s="583">
        <v>6</v>
      </c>
      <c r="L37" s="584">
        <f t="shared" si="21"/>
        <v>150</v>
      </c>
      <c r="M37" s="585">
        <v>45660</v>
      </c>
      <c r="N37" s="585">
        <v>45656</v>
      </c>
      <c r="O37" s="586"/>
      <c r="P37" s="586" t="s">
        <v>83</v>
      </c>
      <c r="Q37" s="587" t="s">
        <v>239</v>
      </c>
      <c r="R37" s="586" t="s">
        <v>313</v>
      </c>
      <c r="S37" s="586"/>
      <c r="T37" s="586"/>
      <c r="U37" s="586" t="s">
        <v>314</v>
      </c>
      <c r="V37" s="586"/>
      <c r="W37" s="586"/>
      <c r="X37" s="588" t="s">
        <v>315</v>
      </c>
      <c r="Y37" s="618" t="s">
        <v>129</v>
      </c>
      <c r="Z37" s="590">
        <v>5.905</v>
      </c>
      <c r="AA37" s="591">
        <f t="shared" si="20"/>
        <v>5314.5</v>
      </c>
      <c r="AB37" s="619" t="s">
        <v>316</v>
      </c>
      <c r="AC37" s="582" t="s">
        <v>235</v>
      </c>
      <c r="AD37" s="593" t="s">
        <v>89</v>
      </c>
      <c r="AE37" s="625"/>
      <c r="AF37" s="625"/>
      <c r="AG37" s="595"/>
      <c r="AH37" s="625"/>
      <c r="AI37" s="625"/>
      <c r="AJ37" s="592">
        <f>I37</f>
        <v>900</v>
      </c>
      <c r="AK37" s="629"/>
      <c r="AL37" s="625"/>
      <c r="AM37" s="625"/>
      <c r="AN37" s="598">
        <f t="shared" si="9"/>
        <v>900</v>
      </c>
      <c r="AO37" s="621"/>
      <c r="AP37" s="626"/>
      <c r="AQ37" s="626"/>
      <c r="AR37" s="592"/>
      <c r="AS37" s="626"/>
      <c r="AT37" s="626"/>
      <c r="AU37" s="621">
        <f>I37</f>
        <v>900</v>
      </c>
      <c r="AV37" s="621"/>
      <c r="AW37" s="592">
        <f t="shared" si="6"/>
        <v>900</v>
      </c>
      <c r="AX37" s="621"/>
      <c r="AY37" s="621"/>
      <c r="AZ37" s="621"/>
      <c r="BA37" s="621"/>
      <c r="BB37" s="621"/>
      <c r="BC37" s="621"/>
      <c r="BD37" s="621"/>
      <c r="BE37" s="623"/>
      <c r="BF37" s="602" t="s">
        <v>90</v>
      </c>
      <c r="BG37" s="603"/>
      <c r="BH37" s="604">
        <f t="shared" si="22"/>
        <v>150</v>
      </c>
      <c r="BI37" s="605">
        <f t="shared" si="23"/>
        <v>150</v>
      </c>
      <c r="BJ37" s="602">
        <f t="shared" si="24"/>
        <v>150</v>
      </c>
      <c r="BK37" s="602">
        <f t="shared" si="25"/>
        <v>150</v>
      </c>
      <c r="BL37" s="602">
        <f t="shared" si="26"/>
        <v>150</v>
      </c>
      <c r="BM37" s="602">
        <f t="shared" si="27"/>
        <v>150</v>
      </c>
      <c r="BN37" s="635"/>
      <c r="BO37" s="635"/>
      <c r="BP37" s="635"/>
      <c r="BQ37" s="635"/>
      <c r="BR37" s="635"/>
      <c r="BS37" s="635"/>
      <c r="BT37" s="607">
        <f t="shared" si="3"/>
        <v>900</v>
      </c>
      <c r="BU37" s="608">
        <f t="shared" si="4"/>
        <v>0</v>
      </c>
      <c r="BV37" s="627"/>
      <c r="BW37" s="491"/>
    </row>
    <row r="38" s="490" customFormat="1" ht="33" customHeight="1" spans="1:75">
      <c r="A38" s="577">
        <v>45625</v>
      </c>
      <c r="B38" s="581" t="s">
        <v>317</v>
      </c>
      <c r="C38" s="579" t="s">
        <v>78</v>
      </c>
      <c r="D38" s="580">
        <v>4500152906</v>
      </c>
      <c r="E38" s="616" t="s">
        <v>318</v>
      </c>
      <c r="F38" s="580" t="s">
        <v>319</v>
      </c>
      <c r="G38" s="582" t="s">
        <v>81</v>
      </c>
      <c r="H38" s="578" t="s">
        <v>95</v>
      </c>
      <c r="I38" s="583">
        <v>900</v>
      </c>
      <c r="J38" s="583">
        <v>0</v>
      </c>
      <c r="K38" s="583">
        <v>6</v>
      </c>
      <c r="L38" s="584">
        <f t="shared" si="21"/>
        <v>150</v>
      </c>
      <c r="M38" s="585">
        <v>45660</v>
      </c>
      <c r="N38" s="585">
        <v>45656</v>
      </c>
      <c r="O38" s="586"/>
      <c r="P38" s="586" t="s">
        <v>83</v>
      </c>
      <c r="Q38" s="587" t="s">
        <v>201</v>
      </c>
      <c r="R38" s="586" t="s">
        <v>313</v>
      </c>
      <c r="S38" s="586"/>
      <c r="T38" s="586"/>
      <c r="U38" s="586" t="s">
        <v>320</v>
      </c>
      <c r="V38" s="586"/>
      <c r="W38" s="586"/>
      <c r="X38" s="588" t="s">
        <v>321</v>
      </c>
      <c r="Y38" s="618" t="s">
        <v>129</v>
      </c>
      <c r="Z38" s="590">
        <v>5.905</v>
      </c>
      <c r="AA38" s="591">
        <f t="shared" si="20"/>
        <v>5314.5</v>
      </c>
      <c r="AB38" s="619" t="s">
        <v>322</v>
      </c>
      <c r="AC38" s="582" t="s">
        <v>235</v>
      </c>
      <c r="AD38" s="593" t="s">
        <v>89</v>
      </c>
      <c r="AE38" s="625"/>
      <c r="AF38" s="625"/>
      <c r="AG38" s="595"/>
      <c r="AH38" s="625"/>
      <c r="AI38" s="625"/>
      <c r="AJ38" s="592">
        <f>I38</f>
        <v>900</v>
      </c>
      <c r="AK38" s="629"/>
      <c r="AL38" s="625"/>
      <c r="AM38" s="625"/>
      <c r="AN38" s="598">
        <f t="shared" si="9"/>
        <v>900</v>
      </c>
      <c r="AO38" s="621"/>
      <c r="AP38" s="626"/>
      <c r="AQ38" s="626"/>
      <c r="AR38" s="592"/>
      <c r="AS38" s="626"/>
      <c r="AT38" s="626"/>
      <c r="AU38" s="621">
        <f>I38</f>
        <v>900</v>
      </c>
      <c r="AV38" s="621"/>
      <c r="AW38" s="592">
        <f t="shared" si="6"/>
        <v>900</v>
      </c>
      <c r="AX38" s="621"/>
      <c r="AY38" s="621"/>
      <c r="AZ38" s="621"/>
      <c r="BA38" s="621"/>
      <c r="BB38" s="621"/>
      <c r="BC38" s="621"/>
      <c r="BD38" s="621"/>
      <c r="BE38" s="623"/>
      <c r="BF38" s="602" t="s">
        <v>90</v>
      </c>
      <c r="BG38" s="603"/>
      <c r="BH38" s="604">
        <f t="shared" si="22"/>
        <v>150</v>
      </c>
      <c r="BI38" s="605">
        <f t="shared" si="23"/>
        <v>150</v>
      </c>
      <c r="BJ38" s="602">
        <f t="shared" si="24"/>
        <v>150</v>
      </c>
      <c r="BK38" s="602">
        <f t="shared" si="25"/>
        <v>150</v>
      </c>
      <c r="BL38" s="602">
        <f t="shared" si="26"/>
        <v>150</v>
      </c>
      <c r="BM38" s="602">
        <f t="shared" si="27"/>
        <v>150</v>
      </c>
      <c r="BN38" s="635"/>
      <c r="BO38" s="635"/>
      <c r="BP38" s="635"/>
      <c r="BQ38" s="635"/>
      <c r="BR38" s="635"/>
      <c r="BS38" s="635"/>
      <c r="BT38" s="607">
        <f t="shared" si="3"/>
        <v>900</v>
      </c>
      <c r="BU38" s="608">
        <f t="shared" si="4"/>
        <v>0</v>
      </c>
      <c r="BV38" s="627"/>
      <c r="BW38" s="491"/>
    </row>
    <row r="39" s="490" customFormat="1" ht="33" customHeight="1" spans="1:75">
      <c r="A39" s="577">
        <v>45623</v>
      </c>
      <c r="B39" s="581" t="s">
        <v>323</v>
      </c>
      <c r="C39" s="579" t="s">
        <v>92</v>
      </c>
      <c r="D39" s="580">
        <v>4500152429</v>
      </c>
      <c r="E39" s="616" t="s">
        <v>324</v>
      </c>
      <c r="F39" s="580" t="s">
        <v>325</v>
      </c>
      <c r="G39" s="582" t="s">
        <v>326</v>
      </c>
      <c r="H39" s="578" t="s">
        <v>327</v>
      </c>
      <c r="I39" s="583">
        <v>1344</v>
      </c>
      <c r="J39" s="583">
        <v>0</v>
      </c>
      <c r="K39" s="583">
        <v>2</v>
      </c>
      <c r="L39" s="584">
        <f t="shared" si="21"/>
        <v>672</v>
      </c>
      <c r="M39" s="585">
        <v>45665</v>
      </c>
      <c r="N39" s="585">
        <v>45661</v>
      </c>
      <c r="O39" s="586" t="s">
        <v>328</v>
      </c>
      <c r="P39" s="586" t="s">
        <v>83</v>
      </c>
      <c r="Q39" s="587" t="s">
        <v>329</v>
      </c>
      <c r="R39" s="586" t="s">
        <v>283</v>
      </c>
      <c r="S39" s="586"/>
      <c r="T39" s="586"/>
      <c r="U39" s="586" t="s">
        <v>86</v>
      </c>
      <c r="V39" s="586"/>
      <c r="W39" s="586"/>
      <c r="X39" s="588" t="s">
        <v>330</v>
      </c>
      <c r="Y39" s="618" t="s">
        <v>331</v>
      </c>
      <c r="Z39" s="590">
        <v>5.8775</v>
      </c>
      <c r="AA39" s="591">
        <f t="shared" si="20"/>
        <v>7899.36</v>
      </c>
      <c r="AB39" s="619" t="s">
        <v>332</v>
      </c>
      <c r="AC39" s="582" t="s">
        <v>326</v>
      </c>
      <c r="AD39" s="593" t="s">
        <v>89</v>
      </c>
      <c r="AE39" s="620"/>
      <c r="AF39" s="620"/>
      <c r="AG39" s="595">
        <f>I39</f>
        <v>1344</v>
      </c>
      <c r="AH39" s="620"/>
      <c r="AI39" s="620"/>
      <c r="AJ39" s="589"/>
      <c r="AK39" s="629"/>
      <c r="AL39" s="620"/>
      <c r="AM39" s="620"/>
      <c r="AN39" s="598">
        <f t="shared" si="9"/>
        <v>1344</v>
      </c>
      <c r="AO39" s="621"/>
      <c r="AP39" s="622"/>
      <c r="AQ39" s="622"/>
      <c r="AR39" s="592">
        <f>I39</f>
        <v>1344</v>
      </c>
      <c r="AS39" s="622"/>
      <c r="AT39" s="622"/>
      <c r="AU39" s="621"/>
      <c r="AV39" s="621"/>
      <c r="AW39" s="592">
        <f t="shared" si="6"/>
        <v>1344</v>
      </c>
      <c r="AX39" s="621"/>
      <c r="AY39" s="621"/>
      <c r="AZ39" s="621"/>
      <c r="BA39" s="621"/>
      <c r="BB39" s="621"/>
      <c r="BC39" s="621"/>
      <c r="BD39" s="621"/>
      <c r="BE39" s="623"/>
      <c r="BF39" s="602" t="s">
        <v>90</v>
      </c>
      <c r="BG39" s="603"/>
      <c r="BH39" s="632">
        <f t="shared" si="22"/>
        <v>224</v>
      </c>
      <c r="BI39" s="633">
        <f t="shared" si="23"/>
        <v>224</v>
      </c>
      <c r="BJ39" s="633">
        <f t="shared" si="24"/>
        <v>224</v>
      </c>
      <c r="BK39" s="633">
        <f t="shared" si="25"/>
        <v>224</v>
      </c>
      <c r="BL39" s="633">
        <f t="shared" si="26"/>
        <v>224</v>
      </c>
      <c r="BM39" s="633">
        <f t="shared" si="27"/>
        <v>224</v>
      </c>
      <c r="BN39" s="624"/>
      <c r="BO39" s="624"/>
      <c r="BP39" s="624"/>
      <c r="BQ39" s="624"/>
      <c r="BR39" s="624"/>
      <c r="BS39" s="624"/>
      <c r="BT39" s="607">
        <f t="shared" si="3"/>
        <v>1344</v>
      </c>
      <c r="BU39" s="608">
        <f t="shared" si="4"/>
        <v>0</v>
      </c>
      <c r="BV39" s="517"/>
      <c r="BW39" s="491"/>
    </row>
    <row r="40" s="490" customFormat="1" ht="33" customHeight="1" spans="1:75">
      <c r="A40" s="577">
        <v>45625</v>
      </c>
      <c r="B40" s="581" t="s">
        <v>333</v>
      </c>
      <c r="C40" s="579" t="s">
        <v>334</v>
      </c>
      <c r="D40" s="580">
        <v>4500153048</v>
      </c>
      <c r="E40" s="616"/>
      <c r="F40" s="580" t="s">
        <v>335</v>
      </c>
      <c r="G40" s="582" t="s">
        <v>81</v>
      </c>
      <c r="H40" s="578" t="s">
        <v>95</v>
      </c>
      <c r="I40" s="583">
        <v>906</v>
      </c>
      <c r="J40" s="583">
        <v>0</v>
      </c>
      <c r="K40" s="583">
        <v>6</v>
      </c>
      <c r="L40" s="584">
        <f t="shared" si="21"/>
        <v>151</v>
      </c>
      <c r="M40" s="585">
        <v>45667</v>
      </c>
      <c r="N40" s="585">
        <v>45663</v>
      </c>
      <c r="O40" s="586"/>
      <c r="P40" s="586" t="s">
        <v>83</v>
      </c>
      <c r="Q40" s="587" t="s">
        <v>336</v>
      </c>
      <c r="R40" s="586" t="s">
        <v>337</v>
      </c>
      <c r="S40" s="586"/>
      <c r="T40" s="586"/>
      <c r="U40" s="586" t="s">
        <v>338</v>
      </c>
      <c r="V40" s="586"/>
      <c r="W40" s="586"/>
      <c r="X40" s="588" t="s">
        <v>339</v>
      </c>
      <c r="Y40" s="618" t="s">
        <v>340</v>
      </c>
      <c r="Z40" s="590">
        <v>5.7196</v>
      </c>
      <c r="AA40" s="591">
        <f t="shared" si="20"/>
        <v>5181.9576</v>
      </c>
      <c r="AB40" s="619" t="s">
        <v>341</v>
      </c>
      <c r="AC40" s="582" t="s">
        <v>235</v>
      </c>
      <c r="AD40" s="592" t="s">
        <v>89</v>
      </c>
      <c r="AE40" s="625"/>
      <c r="AF40" s="625"/>
      <c r="AG40" s="595"/>
      <c r="AH40" s="625"/>
      <c r="AI40" s="625"/>
      <c r="AJ40" s="592">
        <f>I40</f>
        <v>906</v>
      </c>
      <c r="AK40" s="629"/>
      <c r="AL40" s="625"/>
      <c r="AM40" s="625"/>
      <c r="AN40" s="598">
        <f t="shared" si="9"/>
        <v>906</v>
      </c>
      <c r="AO40" s="621"/>
      <c r="AP40" s="626"/>
      <c r="AQ40" s="626"/>
      <c r="AR40" s="592"/>
      <c r="AS40" s="626"/>
      <c r="AT40" s="626"/>
      <c r="AU40" s="621">
        <f>I40</f>
        <v>906</v>
      </c>
      <c r="AV40" s="621"/>
      <c r="AW40" s="592">
        <f t="shared" si="6"/>
        <v>906</v>
      </c>
      <c r="AX40" s="621"/>
      <c r="AY40" s="621"/>
      <c r="AZ40" s="621"/>
      <c r="BA40" s="621"/>
      <c r="BB40" s="621"/>
      <c r="BC40" s="621"/>
      <c r="BD40" s="621"/>
      <c r="BE40" s="623"/>
      <c r="BF40" s="602" t="s">
        <v>90</v>
      </c>
      <c r="BG40" s="603"/>
      <c r="BH40" s="604">
        <f t="shared" si="22"/>
        <v>151</v>
      </c>
      <c r="BI40" s="605">
        <f t="shared" si="23"/>
        <v>151</v>
      </c>
      <c r="BJ40" s="602">
        <f t="shared" si="24"/>
        <v>151</v>
      </c>
      <c r="BK40" s="602">
        <f t="shared" si="25"/>
        <v>151</v>
      </c>
      <c r="BL40" s="602">
        <f t="shared" si="26"/>
        <v>151</v>
      </c>
      <c r="BM40" s="602">
        <f t="shared" si="27"/>
        <v>151</v>
      </c>
      <c r="BN40" s="635"/>
      <c r="BO40" s="635"/>
      <c r="BP40" s="635"/>
      <c r="BQ40" s="635"/>
      <c r="BR40" s="635"/>
      <c r="BS40" s="635"/>
      <c r="BT40" s="607">
        <f t="shared" si="3"/>
        <v>906</v>
      </c>
      <c r="BU40" s="608">
        <f t="shared" si="4"/>
        <v>0</v>
      </c>
      <c r="BV40" s="627"/>
      <c r="BW40" s="491"/>
    </row>
    <row r="41" s="490" customFormat="1" ht="33" customHeight="1" spans="1:75">
      <c r="A41" s="577">
        <v>45637</v>
      </c>
      <c r="B41" s="581" t="s">
        <v>342</v>
      </c>
      <c r="C41" s="579" t="s">
        <v>343</v>
      </c>
      <c r="D41" s="580">
        <v>4500153669</v>
      </c>
      <c r="E41" s="588">
        <v>56072</v>
      </c>
      <c r="F41" s="580" t="s">
        <v>344</v>
      </c>
      <c r="G41" s="582" t="s">
        <v>81</v>
      </c>
      <c r="H41" s="578" t="s">
        <v>95</v>
      </c>
      <c r="I41" s="583">
        <v>1002</v>
      </c>
      <c r="J41" s="583">
        <v>0</v>
      </c>
      <c r="K41" s="583">
        <v>6</v>
      </c>
      <c r="L41" s="584">
        <f t="shared" si="21"/>
        <v>167</v>
      </c>
      <c r="M41" s="585">
        <v>45672</v>
      </c>
      <c r="N41" s="585">
        <v>45668</v>
      </c>
      <c r="O41" s="586"/>
      <c r="P41" s="586" t="s">
        <v>83</v>
      </c>
      <c r="Q41" s="587" t="s">
        <v>345</v>
      </c>
      <c r="R41" s="586" t="s">
        <v>346</v>
      </c>
      <c r="S41" s="586"/>
      <c r="T41" s="586"/>
      <c r="U41" s="586" t="s">
        <v>347</v>
      </c>
      <c r="V41" s="586"/>
      <c r="W41" s="586"/>
      <c r="X41" s="588" t="s">
        <v>348</v>
      </c>
      <c r="Y41" s="618" t="s">
        <v>181</v>
      </c>
      <c r="Z41" s="590">
        <v>5.8973</v>
      </c>
      <c r="AA41" s="591">
        <f t="shared" si="20"/>
        <v>5909.0946</v>
      </c>
      <c r="AB41" s="619" t="s">
        <v>349</v>
      </c>
      <c r="AC41" s="582" t="s">
        <v>81</v>
      </c>
      <c r="AD41" s="592" t="s">
        <v>89</v>
      </c>
      <c r="AE41" s="620"/>
      <c r="AF41" s="620"/>
      <c r="AG41" s="595">
        <f>I41</f>
        <v>1002</v>
      </c>
      <c r="AH41" s="620"/>
      <c r="AI41" s="620"/>
      <c r="AJ41" s="589"/>
      <c r="AK41" s="629"/>
      <c r="AL41" s="620"/>
      <c r="AM41" s="620"/>
      <c r="AN41" s="598">
        <f t="shared" si="9"/>
        <v>1002</v>
      </c>
      <c r="AO41" s="621"/>
      <c r="AP41" s="622"/>
      <c r="AQ41" s="622"/>
      <c r="AR41" s="621">
        <f>I41</f>
        <v>1002</v>
      </c>
      <c r="AS41" s="622"/>
      <c r="AT41" s="622"/>
      <c r="AU41" s="621"/>
      <c r="AV41" s="621"/>
      <c r="AW41" s="592">
        <f t="shared" si="6"/>
        <v>1002</v>
      </c>
      <c r="AX41" s="621"/>
      <c r="AY41" s="621"/>
      <c r="AZ41" s="621"/>
      <c r="BA41" s="621"/>
      <c r="BB41" s="621"/>
      <c r="BC41" s="621"/>
      <c r="BD41" s="621"/>
      <c r="BE41" s="623"/>
      <c r="BF41" s="602" t="s">
        <v>90</v>
      </c>
      <c r="BG41" s="603"/>
      <c r="BH41" s="604">
        <f t="shared" si="22"/>
        <v>167</v>
      </c>
      <c r="BI41" s="605">
        <f t="shared" si="23"/>
        <v>167</v>
      </c>
      <c r="BJ41" s="602">
        <f t="shared" si="24"/>
        <v>167</v>
      </c>
      <c r="BK41" s="602">
        <f t="shared" si="25"/>
        <v>167</v>
      </c>
      <c r="BL41" s="602">
        <f t="shared" si="26"/>
        <v>167</v>
      </c>
      <c r="BM41" s="602">
        <f t="shared" si="27"/>
        <v>167</v>
      </c>
      <c r="BN41" s="624"/>
      <c r="BO41" s="624"/>
      <c r="BP41" s="624"/>
      <c r="BQ41" s="624"/>
      <c r="BR41" s="624"/>
      <c r="BS41" s="624"/>
      <c r="BT41" s="607">
        <f t="shared" si="3"/>
        <v>1002</v>
      </c>
      <c r="BU41" s="608">
        <f t="shared" si="4"/>
        <v>0</v>
      </c>
      <c r="BV41" s="517"/>
      <c r="BW41" s="491"/>
    </row>
    <row r="42" s="490" customFormat="1" ht="33" customHeight="1" spans="1:75">
      <c r="A42" s="577">
        <v>45604</v>
      </c>
      <c r="B42" s="581" t="s">
        <v>350</v>
      </c>
      <c r="C42" s="579" t="s">
        <v>351</v>
      </c>
      <c r="D42" s="580">
        <v>4500150770</v>
      </c>
      <c r="E42" s="616" t="s">
        <v>352</v>
      </c>
      <c r="F42" s="580" t="s">
        <v>353</v>
      </c>
      <c r="G42" s="582" t="s">
        <v>81</v>
      </c>
      <c r="H42" s="578" t="s">
        <v>95</v>
      </c>
      <c r="I42" s="583">
        <v>252</v>
      </c>
      <c r="J42" s="583">
        <v>0</v>
      </c>
      <c r="K42" s="583">
        <v>6</v>
      </c>
      <c r="L42" s="584">
        <f t="shared" ref="L42:L52" si="28">I42/K42</f>
        <v>42</v>
      </c>
      <c r="M42" s="585">
        <v>45663</v>
      </c>
      <c r="N42" s="585">
        <v>45659</v>
      </c>
      <c r="O42" s="586"/>
      <c r="P42" s="586" t="s">
        <v>83</v>
      </c>
      <c r="Q42" s="587" t="s">
        <v>336</v>
      </c>
      <c r="R42" s="586" t="s">
        <v>354</v>
      </c>
      <c r="S42" s="586"/>
      <c r="T42" s="586"/>
      <c r="U42" s="586" t="s">
        <v>86</v>
      </c>
      <c r="V42" s="586"/>
      <c r="W42" s="586"/>
      <c r="X42" s="588" t="s">
        <v>355</v>
      </c>
      <c r="Y42" s="618" t="s">
        <v>356</v>
      </c>
      <c r="Z42" s="590">
        <v>5.974</v>
      </c>
      <c r="AA42" s="591">
        <v>1505.448</v>
      </c>
      <c r="AB42" s="619" t="s">
        <v>357</v>
      </c>
      <c r="AC42" s="582" t="s">
        <v>81</v>
      </c>
      <c r="AD42" s="593" t="s">
        <v>89</v>
      </c>
      <c r="AE42" s="620"/>
      <c r="AF42" s="620"/>
      <c r="AG42" s="595">
        <v>252</v>
      </c>
      <c r="AH42" s="620"/>
      <c r="AI42" s="620"/>
      <c r="AJ42" s="589"/>
      <c r="AK42" s="629"/>
      <c r="AL42" s="620"/>
      <c r="AM42" s="620"/>
      <c r="AN42" s="598">
        <v>252</v>
      </c>
      <c r="AO42" s="621"/>
      <c r="AP42" s="622"/>
      <c r="AQ42" s="622"/>
      <c r="AR42" s="621">
        <v>252</v>
      </c>
      <c r="AS42" s="622"/>
      <c r="AT42" s="622"/>
      <c r="AU42" s="621"/>
      <c r="AV42" s="621"/>
      <c r="AW42" s="592">
        <v>252</v>
      </c>
      <c r="AX42" s="621"/>
      <c r="AY42" s="621"/>
      <c r="AZ42" s="621"/>
      <c r="BA42" s="621"/>
      <c r="BB42" s="621"/>
      <c r="BC42" s="621"/>
      <c r="BD42" s="621"/>
      <c r="BE42" s="623"/>
      <c r="BF42" s="602" t="s">
        <v>90</v>
      </c>
      <c r="BG42" s="603"/>
      <c r="BH42" s="604">
        <v>42</v>
      </c>
      <c r="BI42" s="605">
        <v>42</v>
      </c>
      <c r="BJ42" s="602">
        <v>42</v>
      </c>
      <c r="BK42" s="602">
        <v>42</v>
      </c>
      <c r="BL42" s="602">
        <v>42</v>
      </c>
      <c r="BM42" s="602">
        <v>42</v>
      </c>
      <c r="BN42" s="624"/>
      <c r="BO42" s="624"/>
      <c r="BP42" s="624"/>
      <c r="BQ42" s="624"/>
      <c r="BR42" s="624"/>
      <c r="BS42" s="624"/>
      <c r="BT42" s="607">
        <v>252</v>
      </c>
      <c r="BU42" s="608">
        <v>0</v>
      </c>
      <c r="BV42" s="517"/>
      <c r="BW42" s="491"/>
    </row>
    <row r="43" s="490" customFormat="1" ht="33" customHeight="1" spans="1:75">
      <c r="A43" s="577">
        <v>45623</v>
      </c>
      <c r="B43" s="581" t="s">
        <v>358</v>
      </c>
      <c r="C43" s="579" t="s">
        <v>359</v>
      </c>
      <c r="D43" s="580">
        <v>4500152544</v>
      </c>
      <c r="E43" s="616" t="s">
        <v>360</v>
      </c>
      <c r="F43" s="580" t="s">
        <v>361</v>
      </c>
      <c r="G43" s="582" t="s">
        <v>297</v>
      </c>
      <c r="H43" s="578" t="s">
        <v>298</v>
      </c>
      <c r="I43" s="583">
        <v>24</v>
      </c>
      <c r="J43" s="583">
        <v>1</v>
      </c>
      <c r="K43" s="583">
        <v>4</v>
      </c>
      <c r="L43" s="584">
        <f t="shared" si="28"/>
        <v>6</v>
      </c>
      <c r="M43" s="585">
        <v>45670</v>
      </c>
      <c r="N43" s="585">
        <v>45666</v>
      </c>
      <c r="O43" s="586"/>
      <c r="P43" s="586" t="s">
        <v>83</v>
      </c>
      <c r="Q43" s="636" t="s">
        <v>362</v>
      </c>
      <c r="R43" s="586" t="s">
        <v>283</v>
      </c>
      <c r="S43" s="586"/>
      <c r="T43" s="586"/>
      <c r="U43" s="586" t="s">
        <v>86</v>
      </c>
      <c r="V43" s="586" t="s">
        <v>284</v>
      </c>
      <c r="W43" s="586" t="s">
        <v>300</v>
      </c>
      <c r="X43" s="588" t="s">
        <v>363</v>
      </c>
      <c r="Y43" s="618" t="s">
        <v>364</v>
      </c>
      <c r="Z43" s="590">
        <v>5.9383</v>
      </c>
      <c r="AA43" s="591">
        <f>Z43*I43</f>
        <v>142.5192</v>
      </c>
      <c r="AB43" s="619" t="s">
        <v>365</v>
      </c>
      <c r="AC43" s="582" t="s">
        <v>366</v>
      </c>
      <c r="AD43" s="593" t="s">
        <v>89</v>
      </c>
      <c r="AE43" s="620"/>
      <c r="AF43" s="620"/>
      <c r="AG43" s="595"/>
      <c r="AH43" s="620"/>
      <c r="AI43" s="620"/>
      <c r="AJ43" s="592">
        <f t="shared" ref="AJ43:AJ45" si="29">I43</f>
        <v>24</v>
      </c>
      <c r="AK43" s="629"/>
      <c r="AL43" s="620"/>
      <c r="AM43" s="620"/>
      <c r="AN43" s="598">
        <f t="shared" ref="AN43:AN50" si="30">I43</f>
        <v>24</v>
      </c>
      <c r="AO43" s="621"/>
      <c r="AP43" s="622"/>
      <c r="AQ43" s="622"/>
      <c r="AR43" s="592"/>
      <c r="AS43" s="622"/>
      <c r="AT43" s="622"/>
      <c r="AU43" s="621">
        <f>I43</f>
        <v>24</v>
      </c>
      <c r="AV43" s="621"/>
      <c r="AW43" s="592">
        <f>I43</f>
        <v>24</v>
      </c>
      <c r="AX43" s="621"/>
      <c r="AY43" s="621"/>
      <c r="AZ43" s="621"/>
      <c r="BA43" s="621"/>
      <c r="BB43" s="621"/>
      <c r="BC43" s="621"/>
      <c r="BD43" s="621"/>
      <c r="BE43" s="623"/>
      <c r="BF43" s="602" t="s">
        <v>90</v>
      </c>
      <c r="BG43" s="603"/>
      <c r="BH43" s="604">
        <f>I43</f>
        <v>24</v>
      </c>
      <c r="BI43" s="633"/>
      <c r="BJ43" s="633"/>
      <c r="BK43" s="633"/>
      <c r="BL43" s="633"/>
      <c r="BM43" s="633"/>
      <c r="BN43" s="624"/>
      <c r="BO43" s="624"/>
      <c r="BP43" s="624"/>
      <c r="BQ43" s="624"/>
      <c r="BR43" s="624"/>
      <c r="BS43" s="624"/>
      <c r="BT43" s="607">
        <f>SUM(BH43:BS43)</f>
        <v>24</v>
      </c>
      <c r="BU43" s="608">
        <f>I43-BT43</f>
        <v>0</v>
      </c>
      <c r="BV43" s="517"/>
      <c r="BW43" s="491"/>
    </row>
    <row r="44" s="490" customFormat="1" ht="33" customHeight="1" spans="1:75">
      <c r="A44" s="577">
        <v>45623</v>
      </c>
      <c r="B44" s="581" t="s">
        <v>358</v>
      </c>
      <c r="C44" s="579" t="s">
        <v>359</v>
      </c>
      <c r="D44" s="580">
        <v>4500152544</v>
      </c>
      <c r="E44" s="616" t="s">
        <v>367</v>
      </c>
      <c r="F44" s="580" t="s">
        <v>368</v>
      </c>
      <c r="G44" s="582" t="s">
        <v>297</v>
      </c>
      <c r="H44" s="578" t="s">
        <v>298</v>
      </c>
      <c r="I44" s="583">
        <v>36</v>
      </c>
      <c r="J44" s="583">
        <v>1</v>
      </c>
      <c r="K44" s="583">
        <v>4</v>
      </c>
      <c r="L44" s="584">
        <f t="shared" si="28"/>
        <v>9</v>
      </c>
      <c r="M44" s="585">
        <v>45670</v>
      </c>
      <c r="N44" s="585">
        <v>45666</v>
      </c>
      <c r="O44" s="586"/>
      <c r="P44" s="586" t="s">
        <v>83</v>
      </c>
      <c r="Q44" s="636" t="s">
        <v>362</v>
      </c>
      <c r="R44" s="586" t="s">
        <v>283</v>
      </c>
      <c r="S44" s="586"/>
      <c r="T44" s="586"/>
      <c r="U44" s="586" t="s">
        <v>86</v>
      </c>
      <c r="V44" s="586" t="s">
        <v>284</v>
      </c>
      <c r="W44" s="586" t="s">
        <v>300</v>
      </c>
      <c r="X44" s="588" t="s">
        <v>363</v>
      </c>
      <c r="Y44" s="618" t="s">
        <v>364</v>
      </c>
      <c r="Z44" s="590">
        <v>5.9383</v>
      </c>
      <c r="AA44" s="591">
        <f>Z44*I44</f>
        <v>213.7788</v>
      </c>
      <c r="AB44" s="619" t="s">
        <v>365</v>
      </c>
      <c r="AC44" s="582" t="s">
        <v>366</v>
      </c>
      <c r="AD44" s="593" t="s">
        <v>89</v>
      </c>
      <c r="AE44" s="620"/>
      <c r="AF44" s="620"/>
      <c r="AG44" s="595"/>
      <c r="AH44" s="620"/>
      <c r="AI44" s="620"/>
      <c r="AJ44" s="592">
        <f t="shared" si="29"/>
        <v>36</v>
      </c>
      <c r="AK44" s="629"/>
      <c r="AL44" s="620"/>
      <c r="AM44" s="620"/>
      <c r="AN44" s="598">
        <f t="shared" si="30"/>
        <v>36</v>
      </c>
      <c r="AO44" s="621"/>
      <c r="AP44" s="622"/>
      <c r="AQ44" s="622"/>
      <c r="AR44" s="592"/>
      <c r="AS44" s="622"/>
      <c r="AT44" s="622"/>
      <c r="AU44" s="621">
        <f>I44</f>
        <v>36</v>
      </c>
      <c r="AV44" s="621"/>
      <c r="AW44" s="592">
        <f>I44</f>
        <v>36</v>
      </c>
      <c r="AX44" s="621"/>
      <c r="AY44" s="621"/>
      <c r="AZ44" s="621"/>
      <c r="BA44" s="621"/>
      <c r="BB44" s="621"/>
      <c r="BC44" s="621"/>
      <c r="BD44" s="621"/>
      <c r="BE44" s="623"/>
      <c r="BF44" s="602" t="s">
        <v>90</v>
      </c>
      <c r="BG44" s="603"/>
      <c r="BH44" s="604">
        <f>I44</f>
        <v>36</v>
      </c>
      <c r="BI44" s="633"/>
      <c r="BJ44" s="633"/>
      <c r="BK44" s="633"/>
      <c r="BL44" s="633"/>
      <c r="BM44" s="633"/>
      <c r="BN44" s="624"/>
      <c r="BO44" s="624"/>
      <c r="BP44" s="624"/>
      <c r="BQ44" s="624"/>
      <c r="BR44" s="624"/>
      <c r="BS44" s="624"/>
      <c r="BT44" s="607">
        <f>SUM(BH44:BS44)</f>
        <v>36</v>
      </c>
      <c r="BU44" s="608">
        <f>I44-BT44</f>
        <v>0</v>
      </c>
      <c r="BV44" s="517"/>
      <c r="BW44" s="491"/>
    </row>
    <row r="45" s="490" customFormat="1" ht="33" customHeight="1" spans="1:75">
      <c r="A45" s="577">
        <v>45623</v>
      </c>
      <c r="B45" s="581" t="s">
        <v>358</v>
      </c>
      <c r="C45" s="579" t="s">
        <v>359</v>
      </c>
      <c r="D45" s="580">
        <v>4500152544</v>
      </c>
      <c r="E45" s="616" t="s">
        <v>369</v>
      </c>
      <c r="F45" s="580" t="s">
        <v>370</v>
      </c>
      <c r="G45" s="582" t="s">
        <v>297</v>
      </c>
      <c r="H45" s="578" t="s">
        <v>298</v>
      </c>
      <c r="I45" s="583">
        <v>12</v>
      </c>
      <c r="J45" s="583">
        <v>1</v>
      </c>
      <c r="K45" s="583">
        <v>4</v>
      </c>
      <c r="L45" s="584">
        <f t="shared" si="28"/>
        <v>3</v>
      </c>
      <c r="M45" s="585">
        <v>45670</v>
      </c>
      <c r="N45" s="585">
        <v>45666</v>
      </c>
      <c r="O45" s="586"/>
      <c r="P45" s="586" t="s">
        <v>83</v>
      </c>
      <c r="Q45" s="636" t="s">
        <v>362</v>
      </c>
      <c r="R45" s="586" t="s">
        <v>283</v>
      </c>
      <c r="S45" s="586"/>
      <c r="T45" s="586"/>
      <c r="U45" s="586" t="s">
        <v>86</v>
      </c>
      <c r="V45" s="586" t="s">
        <v>284</v>
      </c>
      <c r="W45" s="586" t="s">
        <v>300</v>
      </c>
      <c r="X45" s="588" t="s">
        <v>363</v>
      </c>
      <c r="Y45" s="618" t="s">
        <v>364</v>
      </c>
      <c r="Z45" s="590">
        <v>5.9383</v>
      </c>
      <c r="AA45" s="591">
        <f>Z45*I45</f>
        <v>71.2596</v>
      </c>
      <c r="AB45" s="619" t="s">
        <v>365</v>
      </c>
      <c r="AC45" s="582" t="s">
        <v>366</v>
      </c>
      <c r="AD45" s="593" t="s">
        <v>89</v>
      </c>
      <c r="AE45" s="620"/>
      <c r="AF45" s="620"/>
      <c r="AG45" s="595"/>
      <c r="AH45" s="620"/>
      <c r="AI45" s="620"/>
      <c r="AJ45" s="592">
        <f t="shared" si="29"/>
        <v>12</v>
      </c>
      <c r="AK45" s="629"/>
      <c r="AL45" s="620"/>
      <c r="AM45" s="620"/>
      <c r="AN45" s="598">
        <f t="shared" si="30"/>
        <v>12</v>
      </c>
      <c r="AO45" s="621"/>
      <c r="AP45" s="622"/>
      <c r="AQ45" s="622"/>
      <c r="AR45" s="592"/>
      <c r="AS45" s="622"/>
      <c r="AT45" s="622"/>
      <c r="AU45" s="621">
        <f>I45</f>
        <v>12</v>
      </c>
      <c r="AV45" s="592"/>
      <c r="AW45" s="592">
        <f>I45</f>
        <v>12</v>
      </c>
      <c r="AX45" s="621"/>
      <c r="AY45" s="621"/>
      <c r="AZ45" s="621"/>
      <c r="BA45" s="621"/>
      <c r="BB45" s="621"/>
      <c r="BC45" s="621"/>
      <c r="BD45" s="621"/>
      <c r="BE45" s="623"/>
      <c r="BF45" s="602" t="s">
        <v>90</v>
      </c>
      <c r="BG45" s="603"/>
      <c r="BH45" s="604">
        <f>I45</f>
        <v>12</v>
      </c>
      <c r="BI45" s="633"/>
      <c r="BJ45" s="633"/>
      <c r="BK45" s="633"/>
      <c r="BL45" s="633"/>
      <c r="BM45" s="633"/>
      <c r="BN45" s="624"/>
      <c r="BO45" s="624"/>
      <c r="BP45" s="624"/>
      <c r="BQ45" s="624"/>
      <c r="BR45" s="624"/>
      <c r="BS45" s="624"/>
      <c r="BT45" s="607">
        <f>SUM(BH45:BS45)</f>
        <v>12</v>
      </c>
      <c r="BU45" s="608">
        <f>I45-BT45</f>
        <v>0</v>
      </c>
      <c r="BV45" s="517"/>
      <c r="BW45" s="491"/>
    </row>
    <row r="46" s="490" customFormat="1" ht="33" customHeight="1" spans="1:75">
      <c r="A46" s="577">
        <v>45630</v>
      </c>
      <c r="B46" s="581" t="s">
        <v>153</v>
      </c>
      <c r="C46" s="579" t="s">
        <v>92</v>
      </c>
      <c r="D46" s="580">
        <v>4500153263</v>
      </c>
      <c r="E46" s="588">
        <v>881410092</v>
      </c>
      <c r="F46" s="580" t="s">
        <v>371</v>
      </c>
      <c r="G46" s="582" t="s">
        <v>155</v>
      </c>
      <c r="H46" s="578" t="s">
        <v>156</v>
      </c>
      <c r="I46" s="583">
        <v>540</v>
      </c>
      <c r="J46" s="583">
        <v>0</v>
      </c>
      <c r="K46" s="583">
        <v>108</v>
      </c>
      <c r="L46" s="584">
        <f t="shared" si="28"/>
        <v>5</v>
      </c>
      <c r="M46" s="585">
        <v>45664</v>
      </c>
      <c r="N46" s="585">
        <v>45660</v>
      </c>
      <c r="O46" s="586" t="s">
        <v>372</v>
      </c>
      <c r="P46" s="586" t="s">
        <v>83</v>
      </c>
      <c r="Q46" s="587" t="s">
        <v>239</v>
      </c>
      <c r="R46" s="586" t="s">
        <v>159</v>
      </c>
      <c r="S46" s="586"/>
      <c r="T46" s="586"/>
      <c r="U46" s="586" t="s">
        <v>160</v>
      </c>
      <c r="V46" s="586" t="s">
        <v>161</v>
      </c>
      <c r="W46" s="586"/>
      <c r="X46" s="588" t="s">
        <v>373</v>
      </c>
      <c r="Y46" s="618" t="s">
        <v>163</v>
      </c>
      <c r="Z46" s="590">
        <v>54.1605</v>
      </c>
      <c r="AA46" s="591">
        <f>L46*Z46</f>
        <v>270.8025</v>
      </c>
      <c r="AB46" s="619" t="s">
        <v>374</v>
      </c>
      <c r="AC46" s="582" t="s">
        <v>155</v>
      </c>
      <c r="AD46" s="593" t="s">
        <v>89</v>
      </c>
      <c r="AE46" s="628"/>
      <c r="AF46" s="628"/>
      <c r="AG46" s="595">
        <f>I46</f>
        <v>540</v>
      </c>
      <c r="AH46" s="628"/>
      <c r="AI46" s="628"/>
      <c r="AJ46" s="589"/>
      <c r="AK46" s="629"/>
      <c r="AL46" s="628"/>
      <c r="AM46" s="628"/>
      <c r="AN46" s="598">
        <f t="shared" si="30"/>
        <v>540</v>
      </c>
      <c r="AO46" s="621"/>
      <c r="AP46" s="630"/>
      <c r="AQ46" s="630"/>
      <c r="AR46" s="592">
        <f t="shared" ref="AR46:AR62" si="31">I46</f>
        <v>540</v>
      </c>
      <c r="AS46" s="630"/>
      <c r="AT46" s="630"/>
      <c r="AU46" s="621"/>
      <c r="AV46" s="621"/>
      <c r="AW46" s="592">
        <f t="shared" ref="AW46:AW109" si="32">I46</f>
        <v>540</v>
      </c>
      <c r="AX46" s="621"/>
      <c r="AY46" s="621"/>
      <c r="AZ46" s="621"/>
      <c r="BA46" s="621"/>
      <c r="BB46" s="621"/>
      <c r="BC46" s="621"/>
      <c r="BD46" s="621"/>
      <c r="BE46" s="623"/>
      <c r="BF46" s="602" t="s">
        <v>165</v>
      </c>
      <c r="BG46" s="603"/>
      <c r="BH46" s="604">
        <f t="shared" ref="BH46:BH81" si="33">I46/6</f>
        <v>90</v>
      </c>
      <c r="BI46" s="602">
        <f t="shared" ref="BI46:BI81" si="34">I46/6</f>
        <v>90</v>
      </c>
      <c r="BJ46" s="602">
        <f t="shared" ref="BJ46:BJ81" si="35">I46/6</f>
        <v>90</v>
      </c>
      <c r="BK46" s="602">
        <f t="shared" ref="BK46:BK81" si="36">I46/6</f>
        <v>90</v>
      </c>
      <c r="BL46" s="602">
        <f t="shared" ref="BL46:BL81" si="37">I46/6</f>
        <v>90</v>
      </c>
      <c r="BM46" s="602">
        <f t="shared" ref="BM46:BM81" si="38">I46/6</f>
        <v>90</v>
      </c>
      <c r="BN46" s="631"/>
      <c r="BO46" s="631"/>
      <c r="BP46" s="631"/>
      <c r="BQ46" s="631"/>
      <c r="BR46" s="631"/>
      <c r="BS46" s="631"/>
      <c r="BT46" s="607">
        <f t="shared" ref="BT46:BT110" si="39">SUM(BH46:BS46)</f>
        <v>540</v>
      </c>
      <c r="BU46" s="608">
        <f t="shared" ref="BU46:BU109" si="40">I46-BT46</f>
        <v>0</v>
      </c>
      <c r="BV46" s="609"/>
      <c r="BW46" s="491"/>
    </row>
    <row r="47" s="490" customFormat="1" ht="33" customHeight="1" spans="1:75">
      <c r="A47" s="577">
        <v>45630</v>
      </c>
      <c r="B47" s="581" t="s">
        <v>153</v>
      </c>
      <c r="C47" s="579" t="s">
        <v>92</v>
      </c>
      <c r="D47" s="580">
        <v>4500153263</v>
      </c>
      <c r="E47" s="588">
        <v>881410096</v>
      </c>
      <c r="F47" s="1160" t="s">
        <v>375</v>
      </c>
      <c r="G47" s="582" t="s">
        <v>155</v>
      </c>
      <c r="H47" s="578" t="s">
        <v>156</v>
      </c>
      <c r="I47" s="583">
        <v>540</v>
      </c>
      <c r="J47" s="583">
        <v>0</v>
      </c>
      <c r="K47" s="583">
        <v>108</v>
      </c>
      <c r="L47" s="584">
        <f t="shared" si="28"/>
        <v>5</v>
      </c>
      <c r="M47" s="585">
        <v>45664</v>
      </c>
      <c r="N47" s="585">
        <v>45660</v>
      </c>
      <c r="O47" s="586" t="s">
        <v>372</v>
      </c>
      <c r="P47" s="586" t="s">
        <v>83</v>
      </c>
      <c r="Q47" s="587" t="s">
        <v>376</v>
      </c>
      <c r="R47" s="586" t="s">
        <v>159</v>
      </c>
      <c r="S47" s="586"/>
      <c r="T47" s="586"/>
      <c r="U47" s="586" t="s">
        <v>160</v>
      </c>
      <c r="V47" s="586" t="s">
        <v>161</v>
      </c>
      <c r="W47" s="586"/>
      <c r="X47" s="588" t="s">
        <v>373</v>
      </c>
      <c r="Y47" s="618" t="s">
        <v>163</v>
      </c>
      <c r="Z47" s="590">
        <v>54.1605</v>
      </c>
      <c r="AA47" s="591">
        <f>L47*Z47</f>
        <v>270.8025</v>
      </c>
      <c r="AB47" s="619" t="s">
        <v>377</v>
      </c>
      <c r="AC47" s="582" t="s">
        <v>155</v>
      </c>
      <c r="AD47" s="593" t="s">
        <v>89</v>
      </c>
      <c r="AE47" s="628"/>
      <c r="AF47" s="628"/>
      <c r="AG47" s="595">
        <f>I47</f>
        <v>540</v>
      </c>
      <c r="AH47" s="628"/>
      <c r="AI47" s="628"/>
      <c r="AJ47" s="589"/>
      <c r="AK47" s="629"/>
      <c r="AL47" s="628"/>
      <c r="AM47" s="628"/>
      <c r="AN47" s="598">
        <f t="shared" si="30"/>
        <v>540</v>
      </c>
      <c r="AO47" s="621"/>
      <c r="AP47" s="630"/>
      <c r="AQ47" s="630"/>
      <c r="AR47" s="592">
        <f t="shared" si="31"/>
        <v>540</v>
      </c>
      <c r="AS47" s="630"/>
      <c r="AT47" s="630"/>
      <c r="AU47" s="621"/>
      <c r="AV47" s="621"/>
      <c r="AW47" s="592">
        <f t="shared" si="32"/>
        <v>540</v>
      </c>
      <c r="AX47" s="621"/>
      <c r="AY47" s="621"/>
      <c r="AZ47" s="621"/>
      <c r="BA47" s="621"/>
      <c r="BB47" s="621"/>
      <c r="BC47" s="621"/>
      <c r="BD47" s="621"/>
      <c r="BE47" s="623"/>
      <c r="BF47" s="602" t="s">
        <v>165</v>
      </c>
      <c r="BG47" s="603"/>
      <c r="BH47" s="604">
        <f t="shared" si="33"/>
        <v>90</v>
      </c>
      <c r="BI47" s="602">
        <f t="shared" si="34"/>
        <v>90</v>
      </c>
      <c r="BJ47" s="602">
        <f t="shared" si="35"/>
        <v>90</v>
      </c>
      <c r="BK47" s="602">
        <f t="shared" si="36"/>
        <v>90</v>
      </c>
      <c r="BL47" s="602">
        <f t="shared" si="37"/>
        <v>90</v>
      </c>
      <c r="BM47" s="602">
        <f t="shared" si="38"/>
        <v>90</v>
      </c>
      <c r="BN47" s="631"/>
      <c r="BO47" s="631"/>
      <c r="BP47" s="631"/>
      <c r="BQ47" s="631"/>
      <c r="BR47" s="631"/>
      <c r="BS47" s="631"/>
      <c r="BT47" s="607">
        <f t="shared" si="39"/>
        <v>540</v>
      </c>
      <c r="BU47" s="608">
        <f t="shared" si="40"/>
        <v>0</v>
      </c>
      <c r="BV47" s="609"/>
      <c r="BW47" s="491"/>
    </row>
    <row r="48" s="490" customFormat="1" ht="33" customHeight="1" spans="1:75">
      <c r="A48" s="577">
        <v>45630</v>
      </c>
      <c r="B48" s="581" t="s">
        <v>153</v>
      </c>
      <c r="C48" s="579" t="s">
        <v>92</v>
      </c>
      <c r="D48" s="580">
        <v>4500153263</v>
      </c>
      <c r="E48" s="588">
        <v>881410102</v>
      </c>
      <c r="F48" s="1160" t="s">
        <v>378</v>
      </c>
      <c r="G48" s="582" t="s">
        <v>155</v>
      </c>
      <c r="H48" s="578" t="s">
        <v>156</v>
      </c>
      <c r="I48" s="583">
        <v>648</v>
      </c>
      <c r="J48" s="583">
        <v>0</v>
      </c>
      <c r="K48" s="583">
        <v>108</v>
      </c>
      <c r="L48" s="584">
        <f t="shared" si="28"/>
        <v>6</v>
      </c>
      <c r="M48" s="585">
        <v>45664</v>
      </c>
      <c r="N48" s="585">
        <v>45660</v>
      </c>
      <c r="O48" s="586" t="s">
        <v>372</v>
      </c>
      <c r="P48" s="586" t="s">
        <v>83</v>
      </c>
      <c r="Q48" s="587" t="s">
        <v>196</v>
      </c>
      <c r="R48" s="586" t="s">
        <v>159</v>
      </c>
      <c r="S48" s="586"/>
      <c r="T48" s="586"/>
      <c r="U48" s="586" t="s">
        <v>160</v>
      </c>
      <c r="V48" s="586" t="s">
        <v>161</v>
      </c>
      <c r="W48" s="586"/>
      <c r="X48" s="588" t="s">
        <v>373</v>
      </c>
      <c r="Y48" s="618" t="s">
        <v>163</v>
      </c>
      <c r="Z48" s="590">
        <v>54.1605</v>
      </c>
      <c r="AA48" s="591">
        <f>L48*Z48</f>
        <v>324.963</v>
      </c>
      <c r="AB48" s="619" t="s">
        <v>377</v>
      </c>
      <c r="AC48" s="582" t="s">
        <v>155</v>
      </c>
      <c r="AD48" s="593" t="s">
        <v>89</v>
      </c>
      <c r="AE48" s="628"/>
      <c r="AF48" s="628"/>
      <c r="AG48" s="595">
        <f>I48</f>
        <v>648</v>
      </c>
      <c r="AH48" s="628"/>
      <c r="AI48" s="628"/>
      <c r="AJ48" s="589"/>
      <c r="AK48" s="629"/>
      <c r="AL48" s="628"/>
      <c r="AM48" s="628"/>
      <c r="AN48" s="598">
        <f t="shared" si="30"/>
        <v>648</v>
      </c>
      <c r="AO48" s="621"/>
      <c r="AP48" s="630"/>
      <c r="AQ48" s="630"/>
      <c r="AR48" s="592">
        <f t="shared" si="31"/>
        <v>648</v>
      </c>
      <c r="AS48" s="630"/>
      <c r="AT48" s="630"/>
      <c r="AU48" s="621"/>
      <c r="AV48" s="621"/>
      <c r="AW48" s="592">
        <f t="shared" si="32"/>
        <v>648</v>
      </c>
      <c r="AX48" s="621"/>
      <c r="AY48" s="621"/>
      <c r="AZ48" s="621"/>
      <c r="BA48" s="621"/>
      <c r="BB48" s="621"/>
      <c r="BC48" s="621"/>
      <c r="BD48" s="621"/>
      <c r="BE48" s="623"/>
      <c r="BF48" s="602" t="s">
        <v>165</v>
      </c>
      <c r="BG48" s="603"/>
      <c r="BH48" s="604">
        <f t="shared" si="33"/>
        <v>108</v>
      </c>
      <c r="BI48" s="602">
        <f t="shared" si="34"/>
        <v>108</v>
      </c>
      <c r="BJ48" s="602">
        <f t="shared" si="35"/>
        <v>108</v>
      </c>
      <c r="BK48" s="602">
        <f t="shared" si="36"/>
        <v>108</v>
      </c>
      <c r="BL48" s="602">
        <f t="shared" si="37"/>
        <v>108</v>
      </c>
      <c r="BM48" s="602">
        <f t="shared" si="38"/>
        <v>108</v>
      </c>
      <c r="BN48" s="631"/>
      <c r="BO48" s="631"/>
      <c r="BP48" s="631"/>
      <c r="BQ48" s="631"/>
      <c r="BR48" s="631"/>
      <c r="BS48" s="631"/>
      <c r="BT48" s="607">
        <f t="shared" si="39"/>
        <v>648</v>
      </c>
      <c r="BU48" s="608">
        <f t="shared" si="40"/>
        <v>0</v>
      </c>
      <c r="BV48" s="609"/>
      <c r="BW48" s="491"/>
    </row>
    <row r="49" s="490" customFormat="1" ht="33" customHeight="1" spans="1:75">
      <c r="A49" s="577">
        <v>45630</v>
      </c>
      <c r="B49" s="581" t="s">
        <v>153</v>
      </c>
      <c r="C49" s="579" t="s">
        <v>92</v>
      </c>
      <c r="D49" s="580">
        <v>4500153263</v>
      </c>
      <c r="E49" s="588">
        <v>881410118</v>
      </c>
      <c r="F49" s="580" t="s">
        <v>379</v>
      </c>
      <c r="G49" s="582" t="s">
        <v>155</v>
      </c>
      <c r="H49" s="578" t="s">
        <v>156</v>
      </c>
      <c r="I49" s="583">
        <v>540</v>
      </c>
      <c r="J49" s="583">
        <v>0</v>
      </c>
      <c r="K49" s="583">
        <v>108</v>
      </c>
      <c r="L49" s="584">
        <f t="shared" si="28"/>
        <v>5</v>
      </c>
      <c r="M49" s="585">
        <v>45664</v>
      </c>
      <c r="N49" s="585">
        <v>45660</v>
      </c>
      <c r="O49" s="586" t="s">
        <v>372</v>
      </c>
      <c r="P49" s="586" t="s">
        <v>83</v>
      </c>
      <c r="Q49" s="587" t="s">
        <v>380</v>
      </c>
      <c r="R49" s="586" t="s">
        <v>159</v>
      </c>
      <c r="S49" s="586"/>
      <c r="T49" s="586"/>
      <c r="U49" s="586" t="s">
        <v>160</v>
      </c>
      <c r="V49" s="586" t="s">
        <v>161</v>
      </c>
      <c r="W49" s="586"/>
      <c r="X49" s="588" t="s">
        <v>373</v>
      </c>
      <c r="Y49" s="618" t="s">
        <v>163</v>
      </c>
      <c r="Z49" s="590">
        <v>54.1605</v>
      </c>
      <c r="AA49" s="591">
        <f>L49*Z49</f>
        <v>270.8025</v>
      </c>
      <c r="AB49" s="619" t="s">
        <v>381</v>
      </c>
      <c r="AC49" s="582" t="s">
        <v>155</v>
      </c>
      <c r="AD49" s="593" t="s">
        <v>89</v>
      </c>
      <c r="AE49" s="628"/>
      <c r="AF49" s="628"/>
      <c r="AG49" s="595">
        <f>I49</f>
        <v>540</v>
      </c>
      <c r="AH49" s="628"/>
      <c r="AI49" s="628"/>
      <c r="AJ49" s="589"/>
      <c r="AK49" s="629"/>
      <c r="AL49" s="628"/>
      <c r="AM49" s="628"/>
      <c r="AN49" s="598">
        <f t="shared" si="30"/>
        <v>540</v>
      </c>
      <c r="AO49" s="621"/>
      <c r="AP49" s="630"/>
      <c r="AQ49" s="630"/>
      <c r="AR49" s="592">
        <f t="shared" si="31"/>
        <v>540</v>
      </c>
      <c r="AS49" s="630"/>
      <c r="AT49" s="630"/>
      <c r="AU49" s="621"/>
      <c r="AV49" s="621"/>
      <c r="AW49" s="592">
        <f t="shared" si="32"/>
        <v>540</v>
      </c>
      <c r="AX49" s="621"/>
      <c r="AY49" s="621"/>
      <c r="AZ49" s="621"/>
      <c r="BA49" s="621"/>
      <c r="BB49" s="621"/>
      <c r="BC49" s="621"/>
      <c r="BD49" s="621"/>
      <c r="BE49" s="623"/>
      <c r="BF49" s="602" t="s">
        <v>165</v>
      </c>
      <c r="BG49" s="603"/>
      <c r="BH49" s="604">
        <f t="shared" si="33"/>
        <v>90</v>
      </c>
      <c r="BI49" s="602">
        <f t="shared" si="34"/>
        <v>90</v>
      </c>
      <c r="BJ49" s="602">
        <f t="shared" si="35"/>
        <v>90</v>
      </c>
      <c r="BK49" s="602">
        <f t="shared" si="36"/>
        <v>90</v>
      </c>
      <c r="BL49" s="602">
        <f t="shared" si="37"/>
        <v>90</v>
      </c>
      <c r="BM49" s="602">
        <f t="shared" si="38"/>
        <v>90</v>
      </c>
      <c r="BN49" s="631"/>
      <c r="BO49" s="631"/>
      <c r="BP49" s="631"/>
      <c r="BQ49" s="631"/>
      <c r="BR49" s="631"/>
      <c r="BS49" s="631"/>
      <c r="BT49" s="607">
        <f t="shared" si="39"/>
        <v>540</v>
      </c>
      <c r="BU49" s="608">
        <f t="shared" si="40"/>
        <v>0</v>
      </c>
      <c r="BV49" s="609"/>
      <c r="BW49" s="491"/>
    </row>
    <row r="50" s="490" customFormat="1" ht="33" customHeight="1" spans="1:75">
      <c r="A50" s="577">
        <v>45630</v>
      </c>
      <c r="B50" s="581" t="s">
        <v>153</v>
      </c>
      <c r="C50" s="579" t="s">
        <v>92</v>
      </c>
      <c r="D50" s="580">
        <v>4500153263</v>
      </c>
      <c r="E50" s="588">
        <v>881410133</v>
      </c>
      <c r="F50" s="580" t="s">
        <v>382</v>
      </c>
      <c r="G50" s="582" t="s">
        <v>155</v>
      </c>
      <c r="H50" s="578" t="s">
        <v>156</v>
      </c>
      <c r="I50" s="583">
        <v>540</v>
      </c>
      <c r="J50" s="583">
        <v>0</v>
      </c>
      <c r="K50" s="583">
        <v>108</v>
      </c>
      <c r="L50" s="584">
        <f t="shared" si="28"/>
        <v>5</v>
      </c>
      <c r="M50" s="585">
        <v>45664</v>
      </c>
      <c r="N50" s="585">
        <v>45660</v>
      </c>
      <c r="O50" s="586" t="s">
        <v>372</v>
      </c>
      <c r="P50" s="586" t="s">
        <v>83</v>
      </c>
      <c r="Q50" s="587" t="s">
        <v>383</v>
      </c>
      <c r="R50" s="586" t="s">
        <v>159</v>
      </c>
      <c r="S50" s="586"/>
      <c r="T50" s="586"/>
      <c r="U50" s="586" t="s">
        <v>160</v>
      </c>
      <c r="V50" s="586" t="s">
        <v>161</v>
      </c>
      <c r="W50" s="586"/>
      <c r="X50" s="588" t="s">
        <v>373</v>
      </c>
      <c r="Y50" s="618" t="s">
        <v>163</v>
      </c>
      <c r="Z50" s="590">
        <v>54.1605</v>
      </c>
      <c r="AA50" s="591">
        <f>L50*Z50</f>
        <v>270.8025</v>
      </c>
      <c r="AB50" s="619" t="s">
        <v>384</v>
      </c>
      <c r="AC50" s="582" t="s">
        <v>155</v>
      </c>
      <c r="AD50" s="593" t="s">
        <v>89</v>
      </c>
      <c r="AE50" s="628"/>
      <c r="AF50" s="628"/>
      <c r="AG50" s="595">
        <f>I50</f>
        <v>540</v>
      </c>
      <c r="AH50" s="628"/>
      <c r="AI50" s="628"/>
      <c r="AJ50" s="589"/>
      <c r="AK50" s="629"/>
      <c r="AL50" s="628"/>
      <c r="AM50" s="628"/>
      <c r="AN50" s="598">
        <f t="shared" si="30"/>
        <v>540</v>
      </c>
      <c r="AO50" s="621"/>
      <c r="AP50" s="630"/>
      <c r="AQ50" s="630"/>
      <c r="AR50" s="592">
        <f t="shared" si="31"/>
        <v>540</v>
      </c>
      <c r="AS50" s="630"/>
      <c r="AT50" s="630"/>
      <c r="AU50" s="621"/>
      <c r="AV50" s="621"/>
      <c r="AW50" s="592">
        <f t="shared" si="32"/>
        <v>540</v>
      </c>
      <c r="AX50" s="621"/>
      <c r="AY50" s="621"/>
      <c r="AZ50" s="621"/>
      <c r="BA50" s="621"/>
      <c r="BB50" s="621"/>
      <c r="BC50" s="621"/>
      <c r="BD50" s="621"/>
      <c r="BE50" s="623"/>
      <c r="BF50" s="602" t="s">
        <v>165</v>
      </c>
      <c r="BG50" s="603"/>
      <c r="BH50" s="604">
        <f t="shared" si="33"/>
        <v>90</v>
      </c>
      <c r="BI50" s="602">
        <f t="shared" si="34"/>
        <v>90</v>
      </c>
      <c r="BJ50" s="602">
        <f t="shared" si="35"/>
        <v>90</v>
      </c>
      <c r="BK50" s="602">
        <f t="shared" si="36"/>
        <v>90</v>
      </c>
      <c r="BL50" s="602">
        <f t="shared" si="37"/>
        <v>90</v>
      </c>
      <c r="BM50" s="602">
        <f t="shared" si="38"/>
        <v>90</v>
      </c>
      <c r="BN50" s="631"/>
      <c r="BO50" s="631"/>
      <c r="BP50" s="631"/>
      <c r="BQ50" s="631"/>
      <c r="BR50" s="631"/>
      <c r="BS50" s="631"/>
      <c r="BT50" s="607">
        <f t="shared" si="39"/>
        <v>540</v>
      </c>
      <c r="BU50" s="608">
        <f t="shared" si="40"/>
        <v>0</v>
      </c>
      <c r="BV50" s="609"/>
      <c r="BW50" s="491"/>
    </row>
    <row r="51" s="490" customFormat="1" ht="33" customHeight="1" spans="1:75">
      <c r="A51" s="577">
        <v>45609</v>
      </c>
      <c r="B51" s="581" t="s">
        <v>385</v>
      </c>
      <c r="C51" s="579" t="s">
        <v>386</v>
      </c>
      <c r="D51" s="580">
        <v>4500151230</v>
      </c>
      <c r="E51" s="616" t="s">
        <v>387</v>
      </c>
      <c r="F51" s="580" t="s">
        <v>388</v>
      </c>
      <c r="G51" s="582" t="s">
        <v>81</v>
      </c>
      <c r="H51" s="578" t="s">
        <v>95</v>
      </c>
      <c r="I51" s="583">
        <v>10002</v>
      </c>
      <c r="J51" s="583">
        <v>0</v>
      </c>
      <c r="K51" s="583">
        <v>6</v>
      </c>
      <c r="L51" s="584">
        <f t="shared" si="28"/>
        <v>1667</v>
      </c>
      <c r="M51" s="585">
        <v>45666</v>
      </c>
      <c r="N51" s="585">
        <v>45663</v>
      </c>
      <c r="O51" s="586"/>
      <c r="P51" s="586" t="s">
        <v>83</v>
      </c>
      <c r="Q51" s="587" t="s">
        <v>389</v>
      </c>
      <c r="R51" s="586" t="s">
        <v>390</v>
      </c>
      <c r="S51" s="586"/>
      <c r="T51" s="586"/>
      <c r="U51" s="586" t="s">
        <v>86</v>
      </c>
      <c r="V51" s="586"/>
      <c r="W51" s="586" t="s">
        <v>391</v>
      </c>
      <c r="X51" s="588" t="s">
        <v>392</v>
      </c>
      <c r="Y51" s="618" t="s">
        <v>181</v>
      </c>
      <c r="Z51" s="590">
        <v>5.8538</v>
      </c>
      <c r="AA51" s="591">
        <f t="shared" ref="AA51:AA63" si="41">Z51*I51</f>
        <v>58549.7076</v>
      </c>
      <c r="AB51" s="619" t="s">
        <v>393</v>
      </c>
      <c r="AC51" s="582" t="s">
        <v>394</v>
      </c>
      <c r="AD51" s="619" t="s">
        <v>89</v>
      </c>
      <c r="AE51" s="628"/>
      <c r="AF51" s="628"/>
      <c r="AG51" s="595"/>
      <c r="AH51" s="628"/>
      <c r="AI51" s="628"/>
      <c r="AJ51" s="589"/>
      <c r="AK51" s="598">
        <f>I51</f>
        <v>10002</v>
      </c>
      <c r="AL51" s="628"/>
      <c r="AM51" s="628"/>
      <c r="AN51" s="598"/>
      <c r="AO51" s="621">
        <f>I51</f>
        <v>10002</v>
      </c>
      <c r="AP51" s="630"/>
      <c r="AQ51" s="630"/>
      <c r="AR51" s="592">
        <f t="shared" si="31"/>
        <v>10002</v>
      </c>
      <c r="AS51" s="630"/>
      <c r="AT51" s="630"/>
      <c r="AU51" s="621"/>
      <c r="AV51" s="621"/>
      <c r="AW51" s="592">
        <f t="shared" si="32"/>
        <v>10002</v>
      </c>
      <c r="AX51" s="621"/>
      <c r="AY51" s="621"/>
      <c r="AZ51" s="621"/>
      <c r="BA51" s="621"/>
      <c r="BB51" s="621"/>
      <c r="BC51" s="621"/>
      <c r="BD51" s="621"/>
      <c r="BE51" s="623"/>
      <c r="BF51" s="602" t="s">
        <v>90</v>
      </c>
      <c r="BG51" s="603"/>
      <c r="BH51" s="604">
        <f t="shared" si="33"/>
        <v>1667</v>
      </c>
      <c r="BI51" s="605">
        <f t="shared" si="34"/>
        <v>1667</v>
      </c>
      <c r="BJ51" s="602">
        <f t="shared" si="35"/>
        <v>1667</v>
      </c>
      <c r="BK51" s="602">
        <f t="shared" si="36"/>
        <v>1667</v>
      </c>
      <c r="BL51" s="602">
        <f t="shared" si="37"/>
        <v>1667</v>
      </c>
      <c r="BM51" s="602">
        <f t="shared" si="38"/>
        <v>1667</v>
      </c>
      <c r="BN51" s="631"/>
      <c r="BO51" s="631"/>
      <c r="BP51" s="631"/>
      <c r="BQ51" s="631"/>
      <c r="BR51" s="631"/>
      <c r="BS51" s="631"/>
      <c r="BT51" s="607">
        <f t="shared" si="39"/>
        <v>10002</v>
      </c>
      <c r="BU51" s="608">
        <f t="shared" si="40"/>
        <v>0</v>
      </c>
      <c r="BV51" s="609"/>
      <c r="BW51" s="491"/>
    </row>
    <row r="52" s="490" customFormat="1" ht="33" customHeight="1" spans="1:75">
      <c r="A52" s="577">
        <v>45603</v>
      </c>
      <c r="B52" s="581" t="s">
        <v>395</v>
      </c>
      <c r="C52" s="579" t="s">
        <v>92</v>
      </c>
      <c r="D52" s="580">
        <v>4500150317</v>
      </c>
      <c r="E52" s="588">
        <v>70054070</v>
      </c>
      <c r="F52" s="580" t="s">
        <v>396</v>
      </c>
      <c r="G52" s="582" t="s">
        <v>81</v>
      </c>
      <c r="H52" s="578" t="s">
        <v>95</v>
      </c>
      <c r="I52" s="583">
        <v>402</v>
      </c>
      <c r="J52" s="583">
        <v>0</v>
      </c>
      <c r="K52" s="583">
        <v>6</v>
      </c>
      <c r="L52" s="584">
        <f t="shared" si="28"/>
        <v>67</v>
      </c>
      <c r="M52" s="585">
        <v>45670</v>
      </c>
      <c r="N52" s="585">
        <v>45666</v>
      </c>
      <c r="O52" s="586"/>
      <c r="P52" s="586" t="s">
        <v>83</v>
      </c>
      <c r="Q52" s="587" t="s">
        <v>299</v>
      </c>
      <c r="R52" s="586" t="s">
        <v>169</v>
      </c>
      <c r="S52" s="586"/>
      <c r="T52" s="586"/>
      <c r="U52" s="586" t="s">
        <v>86</v>
      </c>
      <c r="V52" s="586" t="s">
        <v>397</v>
      </c>
      <c r="W52" s="586"/>
      <c r="X52" s="588" t="s">
        <v>171</v>
      </c>
      <c r="Y52" s="618" t="s">
        <v>398</v>
      </c>
      <c r="Z52" s="590">
        <v>5.7196</v>
      </c>
      <c r="AA52" s="591">
        <f t="shared" si="41"/>
        <v>2299.2792</v>
      </c>
      <c r="AB52" s="619" t="s">
        <v>399</v>
      </c>
      <c r="AC52" s="582" t="s">
        <v>81</v>
      </c>
      <c r="AD52" s="593" t="s">
        <v>89</v>
      </c>
      <c r="AE52" s="620"/>
      <c r="AF52" s="620"/>
      <c r="AG52" s="595">
        <f t="shared" ref="AG52:AG65" si="42">I52</f>
        <v>402</v>
      </c>
      <c r="AH52" s="620"/>
      <c r="AI52" s="620"/>
      <c r="AJ52" s="589"/>
      <c r="AK52" s="629"/>
      <c r="AL52" s="620"/>
      <c r="AM52" s="620"/>
      <c r="AN52" s="598">
        <f>I52</f>
        <v>402</v>
      </c>
      <c r="AO52" s="621"/>
      <c r="AP52" s="622"/>
      <c r="AQ52" s="622"/>
      <c r="AR52" s="592">
        <f t="shared" si="31"/>
        <v>402</v>
      </c>
      <c r="AS52" s="622"/>
      <c r="AT52" s="622"/>
      <c r="AU52" s="621"/>
      <c r="AV52" s="621"/>
      <c r="AW52" s="592">
        <f t="shared" si="32"/>
        <v>402</v>
      </c>
      <c r="AX52" s="621"/>
      <c r="AY52" s="621"/>
      <c r="AZ52" s="621"/>
      <c r="BA52" s="621"/>
      <c r="BB52" s="621"/>
      <c r="BC52" s="621"/>
      <c r="BD52" s="621"/>
      <c r="BE52" s="623"/>
      <c r="BF52" s="602" t="s">
        <v>90</v>
      </c>
      <c r="BG52" s="603"/>
      <c r="BH52" s="604">
        <f t="shared" si="33"/>
        <v>67</v>
      </c>
      <c r="BI52" s="605">
        <f t="shared" si="34"/>
        <v>67</v>
      </c>
      <c r="BJ52" s="602">
        <f t="shared" si="35"/>
        <v>67</v>
      </c>
      <c r="BK52" s="602">
        <f t="shared" si="36"/>
        <v>67</v>
      </c>
      <c r="BL52" s="602">
        <f t="shared" si="37"/>
        <v>67</v>
      </c>
      <c r="BM52" s="602">
        <f t="shared" si="38"/>
        <v>67</v>
      </c>
      <c r="BN52" s="624"/>
      <c r="BO52" s="624"/>
      <c r="BP52" s="624"/>
      <c r="BQ52" s="624"/>
      <c r="BR52" s="624"/>
      <c r="BS52" s="624"/>
      <c r="BT52" s="607">
        <f t="shared" si="39"/>
        <v>402</v>
      </c>
      <c r="BU52" s="608">
        <f t="shared" si="40"/>
        <v>0</v>
      </c>
      <c r="BV52" s="517"/>
      <c r="BW52" s="491"/>
    </row>
    <row r="53" s="490" customFormat="1" ht="33" customHeight="1" spans="1:75">
      <c r="A53" s="577">
        <v>45635</v>
      </c>
      <c r="B53" s="581" t="s">
        <v>139</v>
      </c>
      <c r="C53" s="579" t="s">
        <v>140</v>
      </c>
      <c r="D53" s="580">
        <v>4500153795</v>
      </c>
      <c r="E53" s="588">
        <v>5000001719</v>
      </c>
      <c r="F53" s="580" t="s">
        <v>400</v>
      </c>
      <c r="G53" s="582" t="s">
        <v>81</v>
      </c>
      <c r="H53" s="578" t="s">
        <v>95</v>
      </c>
      <c r="I53" s="583">
        <v>1968</v>
      </c>
      <c r="J53" s="583">
        <v>0</v>
      </c>
      <c r="K53" s="583">
        <v>6</v>
      </c>
      <c r="L53" s="584">
        <f t="shared" ref="L53:L62" si="43">I53/K53</f>
        <v>328</v>
      </c>
      <c r="M53" s="585">
        <v>45670</v>
      </c>
      <c r="N53" s="585">
        <v>45666</v>
      </c>
      <c r="O53" s="586"/>
      <c r="P53" s="586" t="s">
        <v>83</v>
      </c>
      <c r="Q53" s="587" t="s">
        <v>401</v>
      </c>
      <c r="R53" s="586" t="s">
        <v>402</v>
      </c>
      <c r="S53" s="586"/>
      <c r="T53" s="586"/>
      <c r="U53" s="586" t="s">
        <v>403</v>
      </c>
      <c r="V53" s="586" t="s">
        <v>404</v>
      </c>
      <c r="W53" s="586"/>
      <c r="X53" s="588" t="s">
        <v>405</v>
      </c>
      <c r="Y53" s="618" t="s">
        <v>147</v>
      </c>
      <c r="Z53" s="590">
        <v>5.712</v>
      </c>
      <c r="AA53" s="591">
        <f t="shared" si="41"/>
        <v>11241.216</v>
      </c>
      <c r="AB53" s="619" t="s">
        <v>406</v>
      </c>
      <c r="AC53" s="582" t="s">
        <v>149</v>
      </c>
      <c r="AD53" s="619" t="s">
        <v>89</v>
      </c>
      <c r="AE53" s="620"/>
      <c r="AF53" s="620"/>
      <c r="AG53" s="595">
        <f t="shared" si="42"/>
        <v>1968</v>
      </c>
      <c r="AH53" s="620"/>
      <c r="AI53" s="620"/>
      <c r="AJ53" s="589"/>
      <c r="AK53" s="629"/>
      <c r="AL53" s="620"/>
      <c r="AM53" s="620"/>
      <c r="AN53" s="598"/>
      <c r="AO53" s="621">
        <f>I53</f>
        <v>1968</v>
      </c>
      <c r="AP53" s="622"/>
      <c r="AQ53" s="622"/>
      <c r="AR53" s="621">
        <f t="shared" si="31"/>
        <v>1968</v>
      </c>
      <c r="AS53" s="622"/>
      <c r="AT53" s="622"/>
      <c r="AU53" s="621"/>
      <c r="AV53" s="621"/>
      <c r="AW53" s="592">
        <f t="shared" si="32"/>
        <v>1968</v>
      </c>
      <c r="AX53" s="621"/>
      <c r="AY53" s="621"/>
      <c r="AZ53" s="621"/>
      <c r="BA53" s="621"/>
      <c r="BB53" s="621"/>
      <c r="BC53" s="621"/>
      <c r="BD53" s="621"/>
      <c r="BE53" s="623"/>
      <c r="BF53" s="602" t="s">
        <v>407</v>
      </c>
      <c r="BG53" s="603"/>
      <c r="BH53" s="604">
        <f t="shared" si="33"/>
        <v>328</v>
      </c>
      <c r="BI53" s="605">
        <f t="shared" si="34"/>
        <v>328</v>
      </c>
      <c r="BJ53" s="602">
        <f t="shared" si="35"/>
        <v>328</v>
      </c>
      <c r="BK53" s="602">
        <f t="shared" si="36"/>
        <v>328</v>
      </c>
      <c r="BL53" s="602">
        <f t="shared" si="37"/>
        <v>328</v>
      </c>
      <c r="BM53" s="602">
        <f t="shared" si="38"/>
        <v>328</v>
      </c>
      <c r="BN53" s="624"/>
      <c r="BO53" s="624"/>
      <c r="BP53" s="624"/>
      <c r="BQ53" s="624"/>
      <c r="BR53" s="624"/>
      <c r="BS53" s="624"/>
      <c r="BT53" s="607">
        <f t="shared" si="39"/>
        <v>1968</v>
      </c>
      <c r="BU53" s="608">
        <f t="shared" si="40"/>
        <v>0</v>
      </c>
      <c r="BV53" s="517"/>
      <c r="BW53" s="491"/>
    </row>
    <row r="54" s="490" customFormat="1" ht="33" customHeight="1" spans="1:75">
      <c r="A54" s="577">
        <v>45635</v>
      </c>
      <c r="B54" s="581" t="s">
        <v>139</v>
      </c>
      <c r="C54" s="579" t="s">
        <v>140</v>
      </c>
      <c r="D54" s="580">
        <v>4500153795</v>
      </c>
      <c r="E54" s="588">
        <v>5000001719</v>
      </c>
      <c r="F54" s="580" t="s">
        <v>408</v>
      </c>
      <c r="G54" s="582" t="s">
        <v>81</v>
      </c>
      <c r="H54" s="578" t="s">
        <v>95</v>
      </c>
      <c r="I54" s="583">
        <v>1632</v>
      </c>
      <c r="J54" s="583">
        <v>0</v>
      </c>
      <c r="K54" s="583">
        <v>6</v>
      </c>
      <c r="L54" s="584">
        <f t="shared" si="43"/>
        <v>272</v>
      </c>
      <c r="M54" s="585">
        <v>45670</v>
      </c>
      <c r="N54" s="585">
        <v>45666</v>
      </c>
      <c r="O54" s="586"/>
      <c r="P54" s="586" t="s">
        <v>83</v>
      </c>
      <c r="Q54" s="587" t="s">
        <v>401</v>
      </c>
      <c r="R54" s="586" t="s">
        <v>402</v>
      </c>
      <c r="S54" s="586"/>
      <c r="T54" s="586"/>
      <c r="U54" s="586" t="s">
        <v>403</v>
      </c>
      <c r="V54" s="586" t="s">
        <v>404</v>
      </c>
      <c r="W54" s="586"/>
      <c r="X54" s="588" t="s">
        <v>405</v>
      </c>
      <c r="Y54" s="618" t="s">
        <v>147</v>
      </c>
      <c r="Z54" s="590">
        <v>5.712</v>
      </c>
      <c r="AA54" s="591">
        <f t="shared" si="41"/>
        <v>9321.984</v>
      </c>
      <c r="AB54" s="619" t="s">
        <v>406</v>
      </c>
      <c r="AC54" s="582" t="s">
        <v>149</v>
      </c>
      <c r="AD54" s="619" t="s">
        <v>89</v>
      </c>
      <c r="AE54" s="620"/>
      <c r="AF54" s="620"/>
      <c r="AG54" s="595">
        <f t="shared" si="42"/>
        <v>1632</v>
      </c>
      <c r="AH54" s="620"/>
      <c r="AI54" s="620"/>
      <c r="AJ54" s="589"/>
      <c r="AK54" s="629"/>
      <c r="AL54" s="620"/>
      <c r="AM54" s="620"/>
      <c r="AN54" s="598"/>
      <c r="AO54" s="621">
        <f>I54</f>
        <v>1632</v>
      </c>
      <c r="AP54" s="622"/>
      <c r="AQ54" s="622"/>
      <c r="AR54" s="621">
        <f t="shared" si="31"/>
        <v>1632</v>
      </c>
      <c r="AS54" s="622"/>
      <c r="AT54" s="622"/>
      <c r="AU54" s="621"/>
      <c r="AV54" s="621"/>
      <c r="AW54" s="592">
        <f t="shared" si="32"/>
        <v>1632</v>
      </c>
      <c r="AX54" s="621"/>
      <c r="AY54" s="621"/>
      <c r="AZ54" s="621"/>
      <c r="BA54" s="621"/>
      <c r="BB54" s="621"/>
      <c r="BC54" s="621"/>
      <c r="BD54" s="621"/>
      <c r="BE54" s="623"/>
      <c r="BF54" s="602" t="s">
        <v>407</v>
      </c>
      <c r="BG54" s="603"/>
      <c r="BH54" s="604">
        <f t="shared" si="33"/>
        <v>272</v>
      </c>
      <c r="BI54" s="605">
        <f t="shared" si="34"/>
        <v>272</v>
      </c>
      <c r="BJ54" s="602">
        <f t="shared" si="35"/>
        <v>272</v>
      </c>
      <c r="BK54" s="602">
        <f t="shared" si="36"/>
        <v>272</v>
      </c>
      <c r="BL54" s="602">
        <f t="shared" si="37"/>
        <v>272</v>
      </c>
      <c r="BM54" s="602">
        <f t="shared" si="38"/>
        <v>272</v>
      </c>
      <c r="BN54" s="624"/>
      <c r="BO54" s="624"/>
      <c r="BP54" s="624"/>
      <c r="BQ54" s="624"/>
      <c r="BR54" s="624"/>
      <c r="BS54" s="624"/>
      <c r="BT54" s="607">
        <f t="shared" si="39"/>
        <v>1632</v>
      </c>
      <c r="BU54" s="608">
        <f t="shared" si="40"/>
        <v>0</v>
      </c>
      <c r="BV54" s="517"/>
      <c r="BW54" s="491"/>
    </row>
    <row r="55" s="490" customFormat="1" ht="33" customHeight="1" spans="1:75">
      <c r="A55" s="577">
        <v>45586</v>
      </c>
      <c r="B55" s="581" t="s">
        <v>102</v>
      </c>
      <c r="C55" s="579" t="s">
        <v>92</v>
      </c>
      <c r="D55" s="580">
        <v>4500147800</v>
      </c>
      <c r="E55" s="616" t="s">
        <v>188</v>
      </c>
      <c r="F55" s="580" t="s">
        <v>409</v>
      </c>
      <c r="G55" s="582" t="s">
        <v>81</v>
      </c>
      <c r="H55" s="578" t="s">
        <v>95</v>
      </c>
      <c r="I55" s="583">
        <v>1800</v>
      </c>
      <c r="J55" s="583">
        <v>0</v>
      </c>
      <c r="K55" s="583">
        <v>6</v>
      </c>
      <c r="L55" s="584">
        <f t="shared" si="43"/>
        <v>300</v>
      </c>
      <c r="M55" s="585">
        <v>45677</v>
      </c>
      <c r="N55" s="585">
        <v>45673</v>
      </c>
      <c r="O55" s="586"/>
      <c r="P55" s="586" t="s">
        <v>83</v>
      </c>
      <c r="Q55" s="587" t="s">
        <v>410</v>
      </c>
      <c r="R55" s="586" t="s">
        <v>106</v>
      </c>
      <c r="S55" s="586"/>
      <c r="T55" s="586"/>
      <c r="U55" s="586" t="s">
        <v>86</v>
      </c>
      <c r="V55" s="586" t="s">
        <v>411</v>
      </c>
      <c r="W55" s="586"/>
      <c r="X55" s="588" t="s">
        <v>108</v>
      </c>
      <c r="Y55" s="618" t="s">
        <v>109</v>
      </c>
      <c r="Z55" s="590">
        <v>5.8973</v>
      </c>
      <c r="AA55" s="591">
        <f t="shared" si="41"/>
        <v>10615.14</v>
      </c>
      <c r="AB55" s="619"/>
      <c r="AC55" s="582" t="s">
        <v>81</v>
      </c>
      <c r="AD55" s="619" t="s">
        <v>89</v>
      </c>
      <c r="AE55" s="620"/>
      <c r="AF55" s="620"/>
      <c r="AG55" s="595">
        <f t="shared" si="42"/>
        <v>1800</v>
      </c>
      <c r="AH55" s="620"/>
      <c r="AI55" s="620"/>
      <c r="AJ55" s="589"/>
      <c r="AK55" s="629"/>
      <c r="AL55" s="620"/>
      <c r="AM55" s="620"/>
      <c r="AN55" s="598">
        <f t="shared" ref="AN55:AN76" si="44">I55</f>
        <v>1800</v>
      </c>
      <c r="AO55" s="621"/>
      <c r="AP55" s="622"/>
      <c r="AQ55" s="622"/>
      <c r="AR55" s="592">
        <f t="shared" si="31"/>
        <v>1800</v>
      </c>
      <c r="AS55" s="622"/>
      <c r="AT55" s="622"/>
      <c r="AU55" s="621"/>
      <c r="AV55" s="621"/>
      <c r="AW55" s="592">
        <f t="shared" si="32"/>
        <v>1800</v>
      </c>
      <c r="AX55" s="621"/>
      <c r="AY55" s="621"/>
      <c r="AZ55" s="621"/>
      <c r="BA55" s="621"/>
      <c r="BB55" s="621"/>
      <c r="BC55" s="621"/>
      <c r="BD55" s="621"/>
      <c r="BE55" s="623"/>
      <c r="BF55" s="602" t="s">
        <v>90</v>
      </c>
      <c r="BG55" s="603"/>
      <c r="BH55" s="604">
        <f t="shared" si="33"/>
        <v>300</v>
      </c>
      <c r="BI55" s="605">
        <f t="shared" si="34"/>
        <v>300</v>
      </c>
      <c r="BJ55" s="602">
        <f t="shared" si="35"/>
        <v>300</v>
      </c>
      <c r="BK55" s="602">
        <f t="shared" si="36"/>
        <v>300</v>
      </c>
      <c r="BL55" s="602">
        <f t="shared" si="37"/>
        <v>300</v>
      </c>
      <c r="BM55" s="602">
        <f t="shared" si="38"/>
        <v>300</v>
      </c>
      <c r="BN55" s="624"/>
      <c r="BO55" s="624"/>
      <c r="BP55" s="624"/>
      <c r="BQ55" s="624"/>
      <c r="BR55" s="624"/>
      <c r="BS55" s="624"/>
      <c r="BT55" s="607">
        <f t="shared" si="39"/>
        <v>1800</v>
      </c>
      <c r="BU55" s="608">
        <f t="shared" si="40"/>
        <v>0</v>
      </c>
      <c r="BV55" s="517"/>
      <c r="BW55" s="491"/>
    </row>
    <row r="56" s="490" customFormat="1" ht="33" customHeight="1" spans="1:75">
      <c r="A56" s="577">
        <v>45586</v>
      </c>
      <c r="B56" s="581" t="s">
        <v>102</v>
      </c>
      <c r="C56" s="579" t="s">
        <v>92</v>
      </c>
      <c r="D56" s="580">
        <v>4500147803</v>
      </c>
      <c r="E56" s="616" t="s">
        <v>183</v>
      </c>
      <c r="F56" s="580" t="s">
        <v>412</v>
      </c>
      <c r="G56" s="582" t="s">
        <v>81</v>
      </c>
      <c r="H56" s="578" t="s">
        <v>95</v>
      </c>
      <c r="I56" s="583">
        <v>1998</v>
      </c>
      <c r="J56" s="583">
        <v>0</v>
      </c>
      <c r="K56" s="583">
        <v>6</v>
      </c>
      <c r="L56" s="584">
        <f t="shared" si="43"/>
        <v>333</v>
      </c>
      <c r="M56" s="585">
        <v>45677</v>
      </c>
      <c r="N56" s="585">
        <v>45673</v>
      </c>
      <c r="O56" s="586"/>
      <c r="P56" s="586" t="s">
        <v>83</v>
      </c>
      <c r="Q56" s="587" t="s">
        <v>413</v>
      </c>
      <c r="R56" s="586" t="s">
        <v>106</v>
      </c>
      <c r="S56" s="586"/>
      <c r="T56" s="586"/>
      <c r="U56" s="586" t="s">
        <v>86</v>
      </c>
      <c r="V56" s="586" t="s">
        <v>411</v>
      </c>
      <c r="W56" s="586"/>
      <c r="X56" s="588" t="s">
        <v>108</v>
      </c>
      <c r="Y56" s="618" t="s">
        <v>109</v>
      </c>
      <c r="Z56" s="590">
        <v>5.8973</v>
      </c>
      <c r="AA56" s="591">
        <f t="shared" si="41"/>
        <v>11782.8054</v>
      </c>
      <c r="AB56" s="619"/>
      <c r="AC56" s="582" t="s">
        <v>81</v>
      </c>
      <c r="AD56" s="619" t="s">
        <v>89</v>
      </c>
      <c r="AE56" s="620"/>
      <c r="AF56" s="620"/>
      <c r="AG56" s="595">
        <f t="shared" si="42"/>
        <v>1998</v>
      </c>
      <c r="AH56" s="620"/>
      <c r="AI56" s="620"/>
      <c r="AJ56" s="589"/>
      <c r="AK56" s="629"/>
      <c r="AL56" s="620"/>
      <c r="AM56" s="620"/>
      <c r="AN56" s="598">
        <f t="shared" si="44"/>
        <v>1998</v>
      </c>
      <c r="AO56" s="621"/>
      <c r="AP56" s="622"/>
      <c r="AQ56" s="622"/>
      <c r="AR56" s="592">
        <f t="shared" si="31"/>
        <v>1998</v>
      </c>
      <c r="AS56" s="622"/>
      <c r="AT56" s="622"/>
      <c r="AU56" s="621"/>
      <c r="AV56" s="621"/>
      <c r="AW56" s="592">
        <f t="shared" si="32"/>
        <v>1998</v>
      </c>
      <c r="AX56" s="621"/>
      <c r="AY56" s="621"/>
      <c r="AZ56" s="621"/>
      <c r="BA56" s="621"/>
      <c r="BB56" s="621"/>
      <c r="BC56" s="621"/>
      <c r="BD56" s="621"/>
      <c r="BE56" s="623"/>
      <c r="BF56" s="602" t="s">
        <v>90</v>
      </c>
      <c r="BG56" s="603"/>
      <c r="BH56" s="604">
        <f t="shared" si="33"/>
        <v>333</v>
      </c>
      <c r="BI56" s="605">
        <f t="shared" si="34"/>
        <v>333</v>
      </c>
      <c r="BJ56" s="602">
        <f t="shared" si="35"/>
        <v>333</v>
      </c>
      <c r="BK56" s="602">
        <f t="shared" si="36"/>
        <v>333</v>
      </c>
      <c r="BL56" s="602">
        <f t="shared" si="37"/>
        <v>333</v>
      </c>
      <c r="BM56" s="602">
        <f t="shared" si="38"/>
        <v>333</v>
      </c>
      <c r="BN56" s="624"/>
      <c r="BO56" s="624"/>
      <c r="BP56" s="624"/>
      <c r="BQ56" s="624"/>
      <c r="BR56" s="624"/>
      <c r="BS56" s="624"/>
      <c r="BT56" s="607">
        <f t="shared" si="39"/>
        <v>1998</v>
      </c>
      <c r="BU56" s="608">
        <f t="shared" si="40"/>
        <v>0</v>
      </c>
      <c r="BV56" s="517"/>
      <c r="BW56" s="491"/>
    </row>
    <row r="57" s="490" customFormat="1" ht="33" customHeight="1" spans="1:75">
      <c r="A57" s="577">
        <v>45586</v>
      </c>
      <c r="B57" s="581" t="s">
        <v>102</v>
      </c>
      <c r="C57" s="579" t="s">
        <v>92</v>
      </c>
      <c r="D57" s="580">
        <v>4500147799</v>
      </c>
      <c r="E57" s="616" t="s">
        <v>188</v>
      </c>
      <c r="F57" s="580" t="s">
        <v>414</v>
      </c>
      <c r="G57" s="582" t="s">
        <v>81</v>
      </c>
      <c r="H57" s="578" t="s">
        <v>95</v>
      </c>
      <c r="I57" s="583">
        <v>1800</v>
      </c>
      <c r="J57" s="583">
        <v>0</v>
      </c>
      <c r="K57" s="583">
        <v>6</v>
      </c>
      <c r="L57" s="584">
        <f t="shared" si="43"/>
        <v>300</v>
      </c>
      <c r="M57" s="585">
        <v>45677</v>
      </c>
      <c r="N57" s="585">
        <v>45673</v>
      </c>
      <c r="O57" s="586"/>
      <c r="P57" s="586" t="s">
        <v>83</v>
      </c>
      <c r="Q57" s="587" t="s">
        <v>410</v>
      </c>
      <c r="R57" s="586" t="s">
        <v>106</v>
      </c>
      <c r="S57" s="586"/>
      <c r="T57" s="586"/>
      <c r="U57" s="586" t="s">
        <v>86</v>
      </c>
      <c r="V57" s="586" t="s">
        <v>411</v>
      </c>
      <c r="W57" s="586"/>
      <c r="X57" s="588" t="s">
        <v>108</v>
      </c>
      <c r="Y57" s="618" t="s">
        <v>109</v>
      </c>
      <c r="Z57" s="590">
        <v>5.712</v>
      </c>
      <c r="AA57" s="591">
        <f t="shared" si="41"/>
        <v>10281.6</v>
      </c>
      <c r="AB57" s="619"/>
      <c r="AC57" s="582" t="s">
        <v>81</v>
      </c>
      <c r="AD57" s="619" t="s">
        <v>89</v>
      </c>
      <c r="AE57" s="620"/>
      <c r="AF57" s="620"/>
      <c r="AG57" s="595">
        <f t="shared" si="42"/>
        <v>1800</v>
      </c>
      <c r="AH57" s="620"/>
      <c r="AI57" s="620"/>
      <c r="AJ57" s="589"/>
      <c r="AK57" s="629"/>
      <c r="AL57" s="620"/>
      <c r="AM57" s="620"/>
      <c r="AN57" s="598">
        <f t="shared" si="44"/>
        <v>1800</v>
      </c>
      <c r="AO57" s="621"/>
      <c r="AP57" s="622"/>
      <c r="AQ57" s="622"/>
      <c r="AR57" s="592">
        <f t="shared" si="31"/>
        <v>1800</v>
      </c>
      <c r="AS57" s="622"/>
      <c r="AT57" s="622"/>
      <c r="AU57" s="621"/>
      <c r="AV57" s="621"/>
      <c r="AW57" s="592">
        <f t="shared" si="32"/>
        <v>1800</v>
      </c>
      <c r="AX57" s="621"/>
      <c r="AY57" s="621"/>
      <c r="AZ57" s="621"/>
      <c r="BA57" s="621"/>
      <c r="BB57" s="621"/>
      <c r="BC57" s="621"/>
      <c r="BD57" s="621"/>
      <c r="BE57" s="623"/>
      <c r="BF57" s="602" t="s">
        <v>90</v>
      </c>
      <c r="BG57" s="603"/>
      <c r="BH57" s="604">
        <f t="shared" si="33"/>
        <v>300</v>
      </c>
      <c r="BI57" s="605">
        <f t="shared" si="34"/>
        <v>300</v>
      </c>
      <c r="BJ57" s="602">
        <f t="shared" si="35"/>
        <v>300</v>
      </c>
      <c r="BK57" s="602">
        <f t="shared" si="36"/>
        <v>300</v>
      </c>
      <c r="BL57" s="602">
        <f t="shared" si="37"/>
        <v>300</v>
      </c>
      <c r="BM57" s="602">
        <f t="shared" si="38"/>
        <v>300</v>
      </c>
      <c r="BN57" s="624"/>
      <c r="BO57" s="624"/>
      <c r="BP57" s="624"/>
      <c r="BQ57" s="624"/>
      <c r="BR57" s="624"/>
      <c r="BS57" s="624"/>
      <c r="BT57" s="607">
        <f t="shared" si="39"/>
        <v>1800</v>
      </c>
      <c r="BU57" s="608">
        <f t="shared" si="40"/>
        <v>0</v>
      </c>
      <c r="BV57" s="517"/>
      <c r="BW57" s="491"/>
    </row>
    <row r="58" s="490" customFormat="1" ht="33" customHeight="1" spans="1:75">
      <c r="A58" s="577">
        <v>45586</v>
      </c>
      <c r="B58" s="581" t="s">
        <v>102</v>
      </c>
      <c r="C58" s="579" t="s">
        <v>92</v>
      </c>
      <c r="D58" s="580">
        <v>4500147801</v>
      </c>
      <c r="E58" s="616" t="s">
        <v>183</v>
      </c>
      <c r="F58" s="580" t="s">
        <v>415</v>
      </c>
      <c r="G58" s="582" t="s">
        <v>81</v>
      </c>
      <c r="H58" s="578" t="s">
        <v>95</v>
      </c>
      <c r="I58" s="583">
        <v>1998</v>
      </c>
      <c r="J58" s="583">
        <v>0</v>
      </c>
      <c r="K58" s="583">
        <v>6</v>
      </c>
      <c r="L58" s="584">
        <f t="shared" si="43"/>
        <v>333</v>
      </c>
      <c r="M58" s="585">
        <v>45677</v>
      </c>
      <c r="N58" s="585">
        <v>45673</v>
      </c>
      <c r="O58" s="586"/>
      <c r="P58" s="586" t="s">
        <v>83</v>
      </c>
      <c r="Q58" s="587" t="s">
        <v>416</v>
      </c>
      <c r="R58" s="586" t="s">
        <v>106</v>
      </c>
      <c r="S58" s="586"/>
      <c r="T58" s="586"/>
      <c r="U58" s="586" t="s">
        <v>86</v>
      </c>
      <c r="V58" s="586" t="s">
        <v>417</v>
      </c>
      <c r="W58" s="586"/>
      <c r="X58" s="588" t="s">
        <v>108</v>
      </c>
      <c r="Y58" s="618" t="s">
        <v>109</v>
      </c>
      <c r="Z58" s="590">
        <v>5.8973</v>
      </c>
      <c r="AA58" s="591">
        <f t="shared" si="41"/>
        <v>11782.8054</v>
      </c>
      <c r="AB58" s="619"/>
      <c r="AC58" s="582" t="s">
        <v>81</v>
      </c>
      <c r="AD58" s="619" t="s">
        <v>89</v>
      </c>
      <c r="AE58" s="620"/>
      <c r="AF58" s="620"/>
      <c r="AG58" s="595">
        <f t="shared" si="42"/>
        <v>1998</v>
      </c>
      <c r="AH58" s="620"/>
      <c r="AI58" s="620"/>
      <c r="AJ58" s="589"/>
      <c r="AK58" s="629"/>
      <c r="AL58" s="620"/>
      <c r="AM58" s="620"/>
      <c r="AN58" s="598">
        <f t="shared" si="44"/>
        <v>1998</v>
      </c>
      <c r="AO58" s="621"/>
      <c r="AP58" s="622"/>
      <c r="AQ58" s="622"/>
      <c r="AR58" s="592">
        <f t="shared" si="31"/>
        <v>1998</v>
      </c>
      <c r="AS58" s="622"/>
      <c r="AT58" s="622"/>
      <c r="AU58" s="621"/>
      <c r="AV58" s="621"/>
      <c r="AW58" s="592">
        <f t="shared" si="32"/>
        <v>1998</v>
      </c>
      <c r="AX58" s="621"/>
      <c r="AY58" s="621"/>
      <c r="AZ58" s="621"/>
      <c r="BA58" s="621"/>
      <c r="BB58" s="621"/>
      <c r="BC58" s="621"/>
      <c r="BD58" s="621"/>
      <c r="BE58" s="623"/>
      <c r="BF58" s="602" t="s">
        <v>90</v>
      </c>
      <c r="BG58" s="603"/>
      <c r="BH58" s="604">
        <f t="shared" si="33"/>
        <v>333</v>
      </c>
      <c r="BI58" s="605">
        <f t="shared" si="34"/>
        <v>333</v>
      </c>
      <c r="BJ58" s="602">
        <f t="shared" si="35"/>
        <v>333</v>
      </c>
      <c r="BK58" s="602">
        <f t="shared" si="36"/>
        <v>333</v>
      </c>
      <c r="BL58" s="602">
        <f t="shared" si="37"/>
        <v>333</v>
      </c>
      <c r="BM58" s="602">
        <f t="shared" si="38"/>
        <v>333</v>
      </c>
      <c r="BN58" s="624"/>
      <c r="BO58" s="624"/>
      <c r="BP58" s="624"/>
      <c r="BQ58" s="624"/>
      <c r="BR58" s="624"/>
      <c r="BS58" s="624"/>
      <c r="BT58" s="607">
        <f t="shared" si="39"/>
        <v>1998</v>
      </c>
      <c r="BU58" s="608">
        <f t="shared" si="40"/>
        <v>0</v>
      </c>
      <c r="BV58" s="517"/>
      <c r="BW58" s="491"/>
    </row>
    <row r="59" s="490" customFormat="1" ht="33" customHeight="1" spans="1:75">
      <c r="A59" s="577">
        <v>45608</v>
      </c>
      <c r="B59" s="581" t="s">
        <v>166</v>
      </c>
      <c r="C59" s="579" t="s">
        <v>92</v>
      </c>
      <c r="D59" s="580">
        <v>4500150488</v>
      </c>
      <c r="E59" s="588">
        <v>60190680</v>
      </c>
      <c r="F59" s="580" t="s">
        <v>418</v>
      </c>
      <c r="G59" s="582" t="s">
        <v>81</v>
      </c>
      <c r="H59" s="578" t="s">
        <v>95</v>
      </c>
      <c r="I59" s="583">
        <v>1500</v>
      </c>
      <c r="J59" s="583">
        <v>0</v>
      </c>
      <c r="K59" s="583">
        <v>6</v>
      </c>
      <c r="L59" s="584">
        <f t="shared" si="43"/>
        <v>250</v>
      </c>
      <c r="M59" s="585">
        <v>45677</v>
      </c>
      <c r="N59" s="585">
        <v>45673</v>
      </c>
      <c r="O59" s="586"/>
      <c r="P59" s="586" t="s">
        <v>83</v>
      </c>
      <c r="Q59" s="636" t="s">
        <v>416</v>
      </c>
      <c r="R59" s="586" t="s">
        <v>169</v>
      </c>
      <c r="S59" s="586"/>
      <c r="T59" s="586"/>
      <c r="U59" s="586" t="s">
        <v>86</v>
      </c>
      <c r="V59" s="586" t="s">
        <v>411</v>
      </c>
      <c r="W59" s="586"/>
      <c r="X59" s="588" t="s">
        <v>171</v>
      </c>
      <c r="Y59" s="618" t="s">
        <v>172</v>
      </c>
      <c r="Z59" s="590">
        <v>5.8973</v>
      </c>
      <c r="AA59" s="591">
        <f t="shared" si="41"/>
        <v>8845.95</v>
      </c>
      <c r="AB59" s="619" t="s">
        <v>419</v>
      </c>
      <c r="AC59" s="582" t="s">
        <v>81</v>
      </c>
      <c r="AD59" s="593" t="s">
        <v>89</v>
      </c>
      <c r="AE59" s="628"/>
      <c r="AF59" s="628"/>
      <c r="AG59" s="595">
        <f t="shared" si="42"/>
        <v>1500</v>
      </c>
      <c r="AH59" s="628"/>
      <c r="AI59" s="628"/>
      <c r="AJ59" s="589"/>
      <c r="AK59" s="629"/>
      <c r="AL59" s="628"/>
      <c r="AM59" s="628"/>
      <c r="AN59" s="598">
        <f t="shared" si="44"/>
        <v>1500</v>
      </c>
      <c r="AO59" s="621"/>
      <c r="AP59" s="630"/>
      <c r="AQ59" s="630"/>
      <c r="AR59" s="592">
        <f t="shared" si="31"/>
        <v>1500</v>
      </c>
      <c r="AS59" s="630"/>
      <c r="AT59" s="630"/>
      <c r="AU59" s="621"/>
      <c r="AV59" s="621"/>
      <c r="AW59" s="592">
        <f t="shared" si="32"/>
        <v>1500</v>
      </c>
      <c r="AX59" s="621"/>
      <c r="AY59" s="621"/>
      <c r="AZ59" s="621"/>
      <c r="BA59" s="621"/>
      <c r="BB59" s="621"/>
      <c r="BC59" s="621"/>
      <c r="BD59" s="621"/>
      <c r="BE59" s="623"/>
      <c r="BF59" s="602" t="s">
        <v>90</v>
      </c>
      <c r="BG59" s="603"/>
      <c r="BH59" s="604">
        <f t="shared" si="33"/>
        <v>250</v>
      </c>
      <c r="BI59" s="605">
        <f t="shared" si="34"/>
        <v>250</v>
      </c>
      <c r="BJ59" s="602">
        <f t="shared" si="35"/>
        <v>250</v>
      </c>
      <c r="BK59" s="602">
        <f t="shared" si="36"/>
        <v>250</v>
      </c>
      <c r="BL59" s="602">
        <f t="shared" si="37"/>
        <v>250</v>
      </c>
      <c r="BM59" s="602">
        <f t="shared" si="38"/>
        <v>250</v>
      </c>
      <c r="BN59" s="631"/>
      <c r="BO59" s="631"/>
      <c r="BP59" s="631"/>
      <c r="BQ59" s="631"/>
      <c r="BR59" s="631"/>
      <c r="BS59" s="631"/>
      <c r="BT59" s="607">
        <f t="shared" si="39"/>
        <v>1500</v>
      </c>
      <c r="BU59" s="608">
        <f t="shared" si="40"/>
        <v>0</v>
      </c>
      <c r="BV59" s="609"/>
      <c r="BW59" s="491"/>
    </row>
    <row r="60" s="490" customFormat="1" ht="33" customHeight="1" spans="1:75">
      <c r="A60" s="577">
        <v>45621</v>
      </c>
      <c r="B60" s="581" t="s">
        <v>91</v>
      </c>
      <c r="C60" s="579" t="s">
        <v>92</v>
      </c>
      <c r="D60" s="580">
        <v>4500152157</v>
      </c>
      <c r="E60" s="616" t="s">
        <v>420</v>
      </c>
      <c r="F60" s="580" t="s">
        <v>421</v>
      </c>
      <c r="G60" s="582" t="s">
        <v>81</v>
      </c>
      <c r="H60" s="578" t="s">
        <v>95</v>
      </c>
      <c r="I60" s="583">
        <v>3030</v>
      </c>
      <c r="J60" s="583">
        <v>0</v>
      </c>
      <c r="K60" s="583">
        <v>6</v>
      </c>
      <c r="L60" s="584">
        <f t="shared" si="43"/>
        <v>505</v>
      </c>
      <c r="M60" s="585">
        <v>45681</v>
      </c>
      <c r="N60" s="585">
        <v>45677</v>
      </c>
      <c r="O60" s="586"/>
      <c r="P60" s="586" t="s">
        <v>83</v>
      </c>
      <c r="Q60" s="587" t="s">
        <v>422</v>
      </c>
      <c r="R60" s="586" t="s">
        <v>423</v>
      </c>
      <c r="S60" s="586"/>
      <c r="T60" s="586"/>
      <c r="U60" s="586" t="s">
        <v>86</v>
      </c>
      <c r="V60" s="586" t="s">
        <v>424</v>
      </c>
      <c r="W60" s="586"/>
      <c r="X60" s="588" t="s">
        <v>425</v>
      </c>
      <c r="Y60" s="618" t="s">
        <v>100</v>
      </c>
      <c r="Z60" s="590">
        <v>5.701</v>
      </c>
      <c r="AA60" s="591">
        <f t="shared" si="41"/>
        <v>17274.03</v>
      </c>
      <c r="AB60" s="619" t="s">
        <v>426</v>
      </c>
      <c r="AC60" s="582" t="s">
        <v>81</v>
      </c>
      <c r="AD60" s="619" t="s">
        <v>89</v>
      </c>
      <c r="AE60" s="628"/>
      <c r="AF60" s="628"/>
      <c r="AG60" s="595">
        <f t="shared" si="42"/>
        <v>3030</v>
      </c>
      <c r="AH60" s="628"/>
      <c r="AI60" s="628"/>
      <c r="AJ60" s="589"/>
      <c r="AK60" s="629"/>
      <c r="AL60" s="628"/>
      <c r="AM60" s="628"/>
      <c r="AN60" s="598">
        <f t="shared" si="44"/>
        <v>3030</v>
      </c>
      <c r="AO60" s="621"/>
      <c r="AP60" s="630"/>
      <c r="AQ60" s="630"/>
      <c r="AR60" s="592">
        <f t="shared" si="31"/>
        <v>3030</v>
      </c>
      <c r="AS60" s="630"/>
      <c r="AT60" s="630"/>
      <c r="AU60" s="621"/>
      <c r="AV60" s="592"/>
      <c r="AW60" s="592">
        <f t="shared" si="32"/>
        <v>3030</v>
      </c>
      <c r="AX60" s="621"/>
      <c r="AY60" s="621"/>
      <c r="AZ60" s="621"/>
      <c r="BA60" s="621"/>
      <c r="BB60" s="621"/>
      <c r="BC60" s="621"/>
      <c r="BD60" s="621"/>
      <c r="BE60" s="623"/>
      <c r="BF60" s="602" t="s">
        <v>90</v>
      </c>
      <c r="BG60" s="603"/>
      <c r="BH60" s="604">
        <f t="shared" si="33"/>
        <v>505</v>
      </c>
      <c r="BI60" s="605">
        <f t="shared" si="34"/>
        <v>505</v>
      </c>
      <c r="BJ60" s="602">
        <f t="shared" si="35"/>
        <v>505</v>
      </c>
      <c r="BK60" s="602">
        <f t="shared" si="36"/>
        <v>505</v>
      </c>
      <c r="BL60" s="602">
        <f t="shared" si="37"/>
        <v>505</v>
      </c>
      <c r="BM60" s="602">
        <f t="shared" si="38"/>
        <v>505</v>
      </c>
      <c r="BN60" s="631"/>
      <c r="BO60" s="631"/>
      <c r="BP60" s="631"/>
      <c r="BQ60" s="631"/>
      <c r="BR60" s="631"/>
      <c r="BS60" s="631"/>
      <c r="BT60" s="607">
        <f t="shared" si="39"/>
        <v>3030</v>
      </c>
      <c r="BU60" s="608">
        <f t="shared" si="40"/>
        <v>0</v>
      </c>
      <c r="BV60" s="609"/>
      <c r="BW60" s="491"/>
    </row>
    <row r="61" s="490" customFormat="1" ht="33" customHeight="1" spans="1:75">
      <c r="A61" s="577">
        <v>45586</v>
      </c>
      <c r="B61" s="581" t="s">
        <v>102</v>
      </c>
      <c r="C61" s="579" t="s">
        <v>92</v>
      </c>
      <c r="D61" s="580">
        <v>4500147804</v>
      </c>
      <c r="E61" s="616" t="s">
        <v>188</v>
      </c>
      <c r="F61" s="580" t="s">
        <v>427</v>
      </c>
      <c r="G61" s="582" t="s">
        <v>81</v>
      </c>
      <c r="H61" s="578" t="s">
        <v>95</v>
      </c>
      <c r="I61" s="583">
        <v>1800</v>
      </c>
      <c r="J61" s="583">
        <v>0</v>
      </c>
      <c r="K61" s="583">
        <v>6</v>
      </c>
      <c r="L61" s="584">
        <f t="shared" si="43"/>
        <v>300</v>
      </c>
      <c r="M61" s="585">
        <v>45698</v>
      </c>
      <c r="N61" s="585">
        <v>45694</v>
      </c>
      <c r="O61" s="586"/>
      <c r="P61" s="586" t="s">
        <v>83</v>
      </c>
      <c r="Q61" s="587" t="s">
        <v>428</v>
      </c>
      <c r="R61" s="586" t="s">
        <v>106</v>
      </c>
      <c r="S61" s="586"/>
      <c r="T61" s="586"/>
      <c r="U61" s="586" t="s">
        <v>86</v>
      </c>
      <c r="V61" s="586" t="s">
        <v>411</v>
      </c>
      <c r="W61" s="586"/>
      <c r="X61" s="588" t="s">
        <v>108</v>
      </c>
      <c r="Y61" s="618" t="s">
        <v>109</v>
      </c>
      <c r="Z61" s="590">
        <v>5.8973</v>
      </c>
      <c r="AA61" s="591">
        <f t="shared" si="41"/>
        <v>10615.14</v>
      </c>
      <c r="AB61" s="619" t="s">
        <v>429</v>
      </c>
      <c r="AC61" s="582" t="s">
        <v>81</v>
      </c>
      <c r="AD61" s="619" t="s">
        <v>89</v>
      </c>
      <c r="AE61" s="620"/>
      <c r="AF61" s="620"/>
      <c r="AG61" s="595">
        <f t="shared" si="42"/>
        <v>1800</v>
      </c>
      <c r="AH61" s="620"/>
      <c r="AI61" s="620"/>
      <c r="AJ61" s="589"/>
      <c r="AK61" s="629"/>
      <c r="AL61" s="620"/>
      <c r="AM61" s="620"/>
      <c r="AN61" s="598">
        <f t="shared" si="44"/>
        <v>1800</v>
      </c>
      <c r="AO61" s="621"/>
      <c r="AP61" s="622"/>
      <c r="AQ61" s="622"/>
      <c r="AR61" s="592">
        <f t="shared" si="31"/>
        <v>1800</v>
      </c>
      <c r="AS61" s="622"/>
      <c r="AT61" s="622"/>
      <c r="AU61" s="621"/>
      <c r="AV61" s="621"/>
      <c r="AW61" s="592">
        <f t="shared" si="32"/>
        <v>1800</v>
      </c>
      <c r="AX61" s="621"/>
      <c r="AY61" s="621"/>
      <c r="AZ61" s="621"/>
      <c r="BA61" s="621"/>
      <c r="BB61" s="621"/>
      <c r="BC61" s="621"/>
      <c r="BD61" s="621"/>
      <c r="BE61" s="623"/>
      <c r="BF61" s="602" t="s">
        <v>90</v>
      </c>
      <c r="BG61" s="603"/>
      <c r="BH61" s="604">
        <f t="shared" si="33"/>
        <v>300</v>
      </c>
      <c r="BI61" s="605">
        <f t="shared" si="34"/>
        <v>300</v>
      </c>
      <c r="BJ61" s="602">
        <f t="shared" si="35"/>
        <v>300</v>
      </c>
      <c r="BK61" s="602">
        <f t="shared" si="36"/>
        <v>300</v>
      </c>
      <c r="BL61" s="602">
        <f t="shared" si="37"/>
        <v>300</v>
      </c>
      <c r="BM61" s="602">
        <f t="shared" si="38"/>
        <v>300</v>
      </c>
      <c r="BN61" s="624"/>
      <c r="BO61" s="624"/>
      <c r="BP61" s="624"/>
      <c r="BQ61" s="624"/>
      <c r="BR61" s="624"/>
      <c r="BS61" s="624"/>
      <c r="BT61" s="607">
        <f t="shared" si="39"/>
        <v>1800</v>
      </c>
      <c r="BU61" s="608">
        <f t="shared" si="40"/>
        <v>0</v>
      </c>
      <c r="BV61" s="517"/>
      <c r="BW61" s="491"/>
    </row>
    <row r="62" s="490" customFormat="1" ht="33" customHeight="1" spans="1:75">
      <c r="A62" s="577">
        <v>45586</v>
      </c>
      <c r="B62" s="581" t="s">
        <v>102</v>
      </c>
      <c r="C62" s="579" t="s">
        <v>92</v>
      </c>
      <c r="D62" s="580">
        <v>4500147806</v>
      </c>
      <c r="E62" s="616" t="s">
        <v>430</v>
      </c>
      <c r="F62" s="580" t="s">
        <v>431</v>
      </c>
      <c r="G62" s="582" t="s">
        <v>81</v>
      </c>
      <c r="H62" s="578" t="s">
        <v>95</v>
      </c>
      <c r="I62" s="583">
        <v>1800</v>
      </c>
      <c r="J62" s="583">
        <v>0</v>
      </c>
      <c r="K62" s="583">
        <v>6</v>
      </c>
      <c r="L62" s="584">
        <f t="shared" si="43"/>
        <v>300</v>
      </c>
      <c r="M62" s="585">
        <v>45698</v>
      </c>
      <c r="N62" s="585">
        <v>45694</v>
      </c>
      <c r="O62" s="586"/>
      <c r="P62" s="586" t="s">
        <v>83</v>
      </c>
      <c r="Q62" s="587" t="s">
        <v>432</v>
      </c>
      <c r="R62" s="586" t="s">
        <v>106</v>
      </c>
      <c r="S62" s="586"/>
      <c r="T62" s="586"/>
      <c r="U62" s="586" t="s">
        <v>86</v>
      </c>
      <c r="V62" s="586" t="s">
        <v>411</v>
      </c>
      <c r="W62" s="586"/>
      <c r="X62" s="588" t="s">
        <v>108</v>
      </c>
      <c r="Y62" s="618" t="s">
        <v>109</v>
      </c>
      <c r="Z62" s="590">
        <v>5.8973</v>
      </c>
      <c r="AA62" s="591">
        <f t="shared" si="41"/>
        <v>10615.14</v>
      </c>
      <c r="AB62" s="619" t="s">
        <v>433</v>
      </c>
      <c r="AC62" s="582" t="s">
        <v>81</v>
      </c>
      <c r="AD62" s="619" t="s">
        <v>89</v>
      </c>
      <c r="AE62" s="620"/>
      <c r="AF62" s="620"/>
      <c r="AG62" s="595">
        <f>I61</f>
        <v>1800</v>
      </c>
      <c r="AH62" s="620"/>
      <c r="AI62" s="620"/>
      <c r="AJ62" s="589"/>
      <c r="AK62" s="629"/>
      <c r="AL62" s="620"/>
      <c r="AM62" s="620"/>
      <c r="AN62" s="598">
        <f t="shared" si="44"/>
        <v>1800</v>
      </c>
      <c r="AO62" s="621"/>
      <c r="AP62" s="622"/>
      <c r="AQ62" s="622"/>
      <c r="AR62" s="592">
        <f t="shared" si="31"/>
        <v>1800</v>
      </c>
      <c r="AS62" s="622"/>
      <c r="AT62" s="622"/>
      <c r="AU62" s="621"/>
      <c r="AV62" s="621"/>
      <c r="AW62" s="592">
        <f t="shared" si="32"/>
        <v>1800</v>
      </c>
      <c r="AX62" s="621"/>
      <c r="AY62" s="621"/>
      <c r="AZ62" s="621"/>
      <c r="BA62" s="621"/>
      <c r="BB62" s="621"/>
      <c r="BC62" s="621"/>
      <c r="BD62" s="621"/>
      <c r="BE62" s="623"/>
      <c r="BF62" s="602" t="s">
        <v>90</v>
      </c>
      <c r="BG62" s="603"/>
      <c r="BH62" s="604">
        <f t="shared" si="33"/>
        <v>300</v>
      </c>
      <c r="BI62" s="605">
        <f t="shared" si="34"/>
        <v>300</v>
      </c>
      <c r="BJ62" s="602">
        <f t="shared" si="35"/>
        <v>300</v>
      </c>
      <c r="BK62" s="602">
        <f t="shared" si="36"/>
        <v>300</v>
      </c>
      <c r="BL62" s="602">
        <f t="shared" si="37"/>
        <v>300</v>
      </c>
      <c r="BM62" s="602">
        <f t="shared" si="38"/>
        <v>300</v>
      </c>
      <c r="BN62" s="624"/>
      <c r="BO62" s="624"/>
      <c r="BP62" s="624"/>
      <c r="BQ62" s="624"/>
      <c r="BR62" s="624"/>
      <c r="BS62" s="624"/>
      <c r="BT62" s="607">
        <f t="shared" si="39"/>
        <v>1800</v>
      </c>
      <c r="BU62" s="608">
        <f t="shared" si="40"/>
        <v>0</v>
      </c>
      <c r="BV62" s="517"/>
      <c r="BW62" s="491"/>
    </row>
    <row r="63" s="490" customFormat="1" ht="33" customHeight="1" spans="1:75">
      <c r="A63" s="577">
        <v>45642</v>
      </c>
      <c r="B63" s="581" t="s">
        <v>434</v>
      </c>
      <c r="C63" s="579" t="s">
        <v>359</v>
      </c>
      <c r="D63" s="580">
        <v>4500154089</v>
      </c>
      <c r="E63" s="588">
        <v>9646513</v>
      </c>
      <c r="F63" s="580" t="s">
        <v>435</v>
      </c>
      <c r="G63" s="582" t="s">
        <v>81</v>
      </c>
      <c r="H63" s="578" t="s">
        <v>95</v>
      </c>
      <c r="I63" s="583">
        <v>786</v>
      </c>
      <c r="J63" s="583">
        <v>0</v>
      </c>
      <c r="K63" s="583">
        <v>6</v>
      </c>
      <c r="L63" s="584">
        <f t="shared" ref="L63:L75" si="45">I63/K63</f>
        <v>131</v>
      </c>
      <c r="M63" s="585">
        <v>45702</v>
      </c>
      <c r="N63" s="585">
        <v>45698</v>
      </c>
      <c r="O63" s="586"/>
      <c r="P63" s="586" t="s">
        <v>83</v>
      </c>
      <c r="Q63" s="587" t="s">
        <v>428</v>
      </c>
      <c r="R63" s="586" t="s">
        <v>436</v>
      </c>
      <c r="S63" s="586"/>
      <c r="T63" s="586"/>
      <c r="U63" s="586" t="s">
        <v>437</v>
      </c>
      <c r="V63" s="586"/>
      <c r="W63" s="586"/>
      <c r="X63" s="588" t="s">
        <v>438</v>
      </c>
      <c r="Y63" s="618" t="s">
        <v>439</v>
      </c>
      <c r="Z63" s="590">
        <v>5.905</v>
      </c>
      <c r="AA63" s="591">
        <f t="shared" si="41"/>
        <v>4641.33</v>
      </c>
      <c r="AB63" s="619"/>
      <c r="AC63" s="582" t="s">
        <v>235</v>
      </c>
      <c r="AD63" s="619" t="s">
        <v>89</v>
      </c>
      <c r="AE63" s="620"/>
      <c r="AF63" s="620"/>
      <c r="AG63" s="595"/>
      <c r="AH63" s="620"/>
      <c r="AI63" s="620"/>
      <c r="AJ63" s="592">
        <f>I63</f>
        <v>786</v>
      </c>
      <c r="AK63" s="629"/>
      <c r="AL63" s="620"/>
      <c r="AM63" s="620"/>
      <c r="AN63" s="598">
        <f t="shared" si="44"/>
        <v>786</v>
      </c>
      <c r="AO63" s="621"/>
      <c r="AP63" s="622"/>
      <c r="AQ63" s="622"/>
      <c r="AR63" s="621"/>
      <c r="AS63" s="622"/>
      <c r="AT63" s="622"/>
      <c r="AU63" s="621">
        <f>I63</f>
        <v>786</v>
      </c>
      <c r="AV63" s="621"/>
      <c r="AW63" s="592">
        <f t="shared" si="32"/>
        <v>786</v>
      </c>
      <c r="AX63" s="621"/>
      <c r="AY63" s="621"/>
      <c r="AZ63" s="621"/>
      <c r="BA63" s="621"/>
      <c r="BB63" s="621"/>
      <c r="BC63" s="621"/>
      <c r="BD63" s="621"/>
      <c r="BE63" s="623"/>
      <c r="BF63" s="602" t="s">
        <v>90</v>
      </c>
      <c r="BG63" s="608"/>
      <c r="BH63" s="604">
        <f t="shared" si="33"/>
        <v>131</v>
      </c>
      <c r="BI63" s="605">
        <f t="shared" si="34"/>
        <v>131</v>
      </c>
      <c r="BJ63" s="602">
        <f t="shared" si="35"/>
        <v>131</v>
      </c>
      <c r="BK63" s="602">
        <f t="shared" si="36"/>
        <v>131</v>
      </c>
      <c r="BL63" s="602">
        <f t="shared" si="37"/>
        <v>131</v>
      </c>
      <c r="BM63" s="602">
        <f t="shared" si="38"/>
        <v>131</v>
      </c>
      <c r="BN63" s="624"/>
      <c r="BO63" s="624"/>
      <c r="BP63" s="624"/>
      <c r="BQ63" s="624"/>
      <c r="BR63" s="624"/>
      <c r="BS63" s="624"/>
      <c r="BT63" s="607">
        <f t="shared" si="39"/>
        <v>786</v>
      </c>
      <c r="BU63" s="608">
        <f t="shared" si="40"/>
        <v>0</v>
      </c>
      <c r="BV63" s="517"/>
      <c r="BW63" s="491"/>
    </row>
    <row r="64" s="490" customFormat="1" ht="33" customHeight="1" spans="1:75">
      <c r="A64" s="577">
        <v>45635</v>
      </c>
      <c r="B64" s="581" t="s">
        <v>440</v>
      </c>
      <c r="C64" s="579" t="s">
        <v>441</v>
      </c>
      <c r="D64" s="580">
        <v>4500153562</v>
      </c>
      <c r="E64" s="616"/>
      <c r="F64" s="580" t="s">
        <v>442</v>
      </c>
      <c r="G64" s="582" t="s">
        <v>443</v>
      </c>
      <c r="H64" s="578" t="s">
        <v>444</v>
      </c>
      <c r="I64" s="583">
        <v>10000</v>
      </c>
      <c r="J64" s="583">
        <v>0</v>
      </c>
      <c r="K64" s="583">
        <v>2</v>
      </c>
      <c r="L64" s="584">
        <f t="shared" si="45"/>
        <v>5000</v>
      </c>
      <c r="M64" s="585">
        <v>45670</v>
      </c>
      <c r="N64" s="585">
        <v>45666</v>
      </c>
      <c r="O64" s="586"/>
      <c r="P64" s="586" t="s">
        <v>83</v>
      </c>
      <c r="Q64" s="587" t="s">
        <v>428</v>
      </c>
      <c r="R64" s="586" t="s">
        <v>346</v>
      </c>
      <c r="S64" s="586"/>
      <c r="T64" s="586"/>
      <c r="U64" s="586" t="s">
        <v>445</v>
      </c>
      <c r="V64" s="586"/>
      <c r="W64" s="586"/>
      <c r="X64" s="588" t="s">
        <v>446</v>
      </c>
      <c r="Y64" s="618" t="s">
        <v>447</v>
      </c>
      <c r="Z64" s="590">
        <v>1.1739</v>
      </c>
      <c r="AA64" s="591">
        <f>L64*Z64</f>
        <v>5869.5</v>
      </c>
      <c r="AB64" s="619" t="s">
        <v>448</v>
      </c>
      <c r="AC64" s="582" t="s">
        <v>449</v>
      </c>
      <c r="AD64" s="619" t="s">
        <v>89</v>
      </c>
      <c r="AE64" s="620"/>
      <c r="AF64" s="620"/>
      <c r="AG64" s="595">
        <f>I64</f>
        <v>10000</v>
      </c>
      <c r="AH64" s="620"/>
      <c r="AI64" s="620"/>
      <c r="AJ64" s="589"/>
      <c r="AK64" s="629"/>
      <c r="AL64" s="620"/>
      <c r="AM64" s="620"/>
      <c r="AN64" s="598">
        <f t="shared" si="44"/>
        <v>10000</v>
      </c>
      <c r="AO64" s="621"/>
      <c r="AP64" s="622"/>
      <c r="AQ64" s="622"/>
      <c r="AR64" s="621">
        <f t="shared" ref="AR64:AR69" si="46">I64</f>
        <v>10000</v>
      </c>
      <c r="AS64" s="622"/>
      <c r="AT64" s="622"/>
      <c r="AU64" s="621"/>
      <c r="AV64" s="621"/>
      <c r="AW64" s="592">
        <f t="shared" si="32"/>
        <v>10000</v>
      </c>
      <c r="AX64" s="621"/>
      <c r="AY64" s="621"/>
      <c r="AZ64" s="621"/>
      <c r="BA64" s="621"/>
      <c r="BB64" s="621"/>
      <c r="BC64" s="621"/>
      <c r="BD64" s="621"/>
      <c r="BE64" s="623"/>
      <c r="BF64" s="602" t="s">
        <v>90</v>
      </c>
      <c r="BG64" s="603"/>
      <c r="BH64" s="632">
        <f t="shared" si="33"/>
        <v>1666.66666666667</v>
      </c>
      <c r="BI64" s="633">
        <f t="shared" si="34"/>
        <v>1666.66666666667</v>
      </c>
      <c r="BJ64" s="633">
        <f t="shared" si="35"/>
        <v>1666.66666666667</v>
      </c>
      <c r="BK64" s="633">
        <f t="shared" si="36"/>
        <v>1666.66666666667</v>
      </c>
      <c r="BL64" s="633">
        <f t="shared" si="37"/>
        <v>1666.66666666667</v>
      </c>
      <c r="BM64" s="633">
        <f t="shared" si="38"/>
        <v>1666.66666666667</v>
      </c>
      <c r="BN64" s="624"/>
      <c r="BO64" s="624"/>
      <c r="BP64" s="624"/>
      <c r="BQ64" s="624"/>
      <c r="BR64" s="624"/>
      <c r="BS64" s="624"/>
      <c r="BT64" s="607">
        <f t="shared" si="39"/>
        <v>10000</v>
      </c>
      <c r="BU64" s="608">
        <f t="shared" si="40"/>
        <v>0</v>
      </c>
      <c r="BV64" s="517"/>
      <c r="BW64" s="491"/>
    </row>
    <row r="65" s="490" customFormat="1" ht="33" customHeight="1" spans="1:75">
      <c r="A65" s="577">
        <v>45623</v>
      </c>
      <c r="B65" s="581" t="s">
        <v>450</v>
      </c>
      <c r="C65" s="579" t="s">
        <v>78</v>
      </c>
      <c r="D65" s="580">
        <v>4500152538</v>
      </c>
      <c r="E65" s="616" t="s">
        <v>451</v>
      </c>
      <c r="F65" s="580" t="s">
        <v>452</v>
      </c>
      <c r="G65" s="582" t="s">
        <v>81</v>
      </c>
      <c r="H65" s="578" t="s">
        <v>95</v>
      </c>
      <c r="I65" s="583">
        <v>1200</v>
      </c>
      <c r="J65" s="583">
        <v>0</v>
      </c>
      <c r="K65" s="583">
        <v>6</v>
      </c>
      <c r="L65" s="584">
        <f t="shared" si="45"/>
        <v>200</v>
      </c>
      <c r="M65" s="585">
        <v>45696</v>
      </c>
      <c r="N65" s="585">
        <v>45692</v>
      </c>
      <c r="O65" s="586"/>
      <c r="P65" s="586" t="s">
        <v>83</v>
      </c>
      <c r="Q65" s="636" t="s">
        <v>453</v>
      </c>
      <c r="R65" s="586" t="s">
        <v>177</v>
      </c>
      <c r="S65" s="586"/>
      <c r="T65" s="586"/>
      <c r="U65" s="586" t="s">
        <v>454</v>
      </c>
      <c r="V65" s="586"/>
      <c r="W65" s="586"/>
      <c r="X65" s="588" t="s">
        <v>455</v>
      </c>
      <c r="Y65" s="618" t="s">
        <v>210</v>
      </c>
      <c r="Z65" s="590">
        <v>5.8973</v>
      </c>
      <c r="AA65" s="591">
        <f>Z65*I65</f>
        <v>7076.76</v>
      </c>
      <c r="AB65" s="619"/>
      <c r="AC65" s="582" t="s">
        <v>81</v>
      </c>
      <c r="AD65" s="619" t="s">
        <v>89</v>
      </c>
      <c r="AE65" s="620"/>
      <c r="AF65" s="620"/>
      <c r="AG65" s="595">
        <f>I65</f>
        <v>1200</v>
      </c>
      <c r="AH65" s="620"/>
      <c r="AI65" s="620"/>
      <c r="AJ65" s="589"/>
      <c r="AK65" s="629"/>
      <c r="AL65" s="620"/>
      <c r="AM65" s="620"/>
      <c r="AN65" s="598">
        <f t="shared" si="44"/>
        <v>1200</v>
      </c>
      <c r="AO65" s="621"/>
      <c r="AP65" s="622"/>
      <c r="AQ65" s="622"/>
      <c r="AR65" s="592">
        <f t="shared" si="46"/>
        <v>1200</v>
      </c>
      <c r="AS65" s="622"/>
      <c r="AT65" s="622"/>
      <c r="AU65" s="621"/>
      <c r="AV65" s="592"/>
      <c r="AW65" s="592">
        <f t="shared" si="32"/>
        <v>1200</v>
      </c>
      <c r="AX65" s="621"/>
      <c r="AY65" s="621"/>
      <c r="AZ65" s="621"/>
      <c r="BA65" s="621"/>
      <c r="BB65" s="621"/>
      <c r="BC65" s="621"/>
      <c r="BD65" s="621"/>
      <c r="BE65" s="623"/>
      <c r="BF65" s="602" t="s">
        <v>90</v>
      </c>
      <c r="BG65" s="603"/>
      <c r="BH65" s="604">
        <f t="shared" si="33"/>
        <v>200</v>
      </c>
      <c r="BI65" s="605">
        <f t="shared" si="34"/>
        <v>200</v>
      </c>
      <c r="BJ65" s="602">
        <f t="shared" si="35"/>
        <v>200</v>
      </c>
      <c r="BK65" s="602">
        <f t="shared" si="36"/>
        <v>200</v>
      </c>
      <c r="BL65" s="602">
        <f t="shared" si="37"/>
        <v>200</v>
      </c>
      <c r="BM65" s="602">
        <f t="shared" si="38"/>
        <v>200</v>
      </c>
      <c r="BN65" s="624"/>
      <c r="BO65" s="624"/>
      <c r="BP65" s="624"/>
      <c r="BQ65" s="624"/>
      <c r="BR65" s="624"/>
      <c r="BS65" s="624"/>
      <c r="BT65" s="607">
        <f t="shared" si="39"/>
        <v>1200</v>
      </c>
      <c r="BU65" s="608">
        <f t="shared" si="40"/>
        <v>0</v>
      </c>
      <c r="BV65" s="517"/>
      <c r="BW65" s="491"/>
    </row>
    <row r="66" s="490" customFormat="1" ht="33" customHeight="1" spans="1:75">
      <c r="A66" s="577">
        <v>45623</v>
      </c>
      <c r="B66" s="581" t="s">
        <v>450</v>
      </c>
      <c r="C66" s="579" t="s">
        <v>78</v>
      </c>
      <c r="D66" s="580">
        <v>4500152538</v>
      </c>
      <c r="E66" s="616" t="s">
        <v>456</v>
      </c>
      <c r="F66" s="580" t="s">
        <v>457</v>
      </c>
      <c r="G66" s="582" t="s">
        <v>81</v>
      </c>
      <c r="H66" s="578" t="s">
        <v>95</v>
      </c>
      <c r="I66" s="583">
        <v>996</v>
      </c>
      <c r="J66" s="583">
        <v>0</v>
      </c>
      <c r="K66" s="583">
        <v>6</v>
      </c>
      <c r="L66" s="584">
        <f t="shared" si="45"/>
        <v>166</v>
      </c>
      <c r="M66" s="585">
        <v>45696</v>
      </c>
      <c r="N66" s="585">
        <v>45692</v>
      </c>
      <c r="O66" s="586"/>
      <c r="P66" s="586" t="s">
        <v>83</v>
      </c>
      <c r="Q66" s="636" t="s">
        <v>453</v>
      </c>
      <c r="R66" s="586" t="s">
        <v>177</v>
      </c>
      <c r="S66" s="586"/>
      <c r="T66" s="586"/>
      <c r="U66" s="586" t="s">
        <v>454</v>
      </c>
      <c r="V66" s="586"/>
      <c r="W66" s="586"/>
      <c r="X66" s="588" t="s">
        <v>455</v>
      </c>
      <c r="Y66" s="618" t="s">
        <v>210</v>
      </c>
      <c r="Z66" s="590">
        <v>5.905</v>
      </c>
      <c r="AA66" s="591">
        <f>Z66*I66</f>
        <v>5881.38</v>
      </c>
      <c r="AB66" s="619"/>
      <c r="AC66" s="582" t="s">
        <v>81</v>
      </c>
      <c r="AD66" s="619" t="s">
        <v>89</v>
      </c>
      <c r="AE66" s="620"/>
      <c r="AF66" s="620"/>
      <c r="AG66" s="595">
        <f>I66</f>
        <v>996</v>
      </c>
      <c r="AH66" s="620"/>
      <c r="AI66" s="620"/>
      <c r="AJ66" s="589"/>
      <c r="AK66" s="629"/>
      <c r="AL66" s="620"/>
      <c r="AM66" s="620"/>
      <c r="AN66" s="598">
        <f t="shared" si="44"/>
        <v>996</v>
      </c>
      <c r="AO66" s="621"/>
      <c r="AP66" s="622"/>
      <c r="AQ66" s="622"/>
      <c r="AR66" s="592">
        <f t="shared" si="46"/>
        <v>996</v>
      </c>
      <c r="AS66" s="622"/>
      <c r="AT66" s="622"/>
      <c r="AU66" s="621"/>
      <c r="AV66" s="592"/>
      <c r="AW66" s="592">
        <f t="shared" si="32"/>
        <v>996</v>
      </c>
      <c r="AX66" s="621"/>
      <c r="AY66" s="621"/>
      <c r="AZ66" s="621"/>
      <c r="BA66" s="621"/>
      <c r="BB66" s="621"/>
      <c r="BC66" s="621"/>
      <c r="BD66" s="621"/>
      <c r="BE66" s="623"/>
      <c r="BF66" s="602" t="s">
        <v>90</v>
      </c>
      <c r="BG66" s="603"/>
      <c r="BH66" s="604">
        <f t="shared" si="33"/>
        <v>166</v>
      </c>
      <c r="BI66" s="605">
        <f t="shared" si="34"/>
        <v>166</v>
      </c>
      <c r="BJ66" s="602">
        <f t="shared" si="35"/>
        <v>166</v>
      </c>
      <c r="BK66" s="602">
        <f t="shared" si="36"/>
        <v>166</v>
      </c>
      <c r="BL66" s="602">
        <f t="shared" si="37"/>
        <v>166</v>
      </c>
      <c r="BM66" s="602">
        <f t="shared" si="38"/>
        <v>166</v>
      </c>
      <c r="BN66" s="624"/>
      <c r="BO66" s="624"/>
      <c r="BP66" s="624"/>
      <c r="BQ66" s="624"/>
      <c r="BR66" s="624"/>
      <c r="BS66" s="624"/>
      <c r="BT66" s="607">
        <f t="shared" si="39"/>
        <v>996</v>
      </c>
      <c r="BU66" s="608">
        <f t="shared" si="40"/>
        <v>0</v>
      </c>
      <c r="BV66" s="517"/>
      <c r="BW66" s="491"/>
    </row>
    <row r="67" s="490" customFormat="1" ht="33" customHeight="1" spans="1:75">
      <c r="A67" s="577">
        <v>45642</v>
      </c>
      <c r="B67" s="581" t="s">
        <v>458</v>
      </c>
      <c r="C67" s="579" t="s">
        <v>255</v>
      </c>
      <c r="D67" s="580">
        <v>4500154142</v>
      </c>
      <c r="E67" s="588" t="s">
        <v>459</v>
      </c>
      <c r="F67" s="580" t="s">
        <v>460</v>
      </c>
      <c r="G67" s="582" t="s">
        <v>81</v>
      </c>
      <c r="H67" s="578" t="s">
        <v>95</v>
      </c>
      <c r="I67" s="583">
        <v>588</v>
      </c>
      <c r="J67" s="583">
        <v>0</v>
      </c>
      <c r="K67" s="583">
        <v>6</v>
      </c>
      <c r="L67" s="584">
        <f t="shared" si="45"/>
        <v>98</v>
      </c>
      <c r="M67" s="585">
        <v>45702</v>
      </c>
      <c r="N67" s="585">
        <v>45698</v>
      </c>
      <c r="O67" s="586"/>
      <c r="P67" s="586" t="s">
        <v>83</v>
      </c>
      <c r="Q67" s="587" t="s">
        <v>461</v>
      </c>
      <c r="R67" s="586" t="s">
        <v>436</v>
      </c>
      <c r="S67" s="586"/>
      <c r="T67" s="586"/>
      <c r="U67" s="586" t="s">
        <v>462</v>
      </c>
      <c r="V67" s="586"/>
      <c r="W67" s="586"/>
      <c r="X67" s="588" t="s">
        <v>463</v>
      </c>
      <c r="Y67" s="618" t="s">
        <v>464</v>
      </c>
      <c r="Z67" s="590">
        <v>5.712</v>
      </c>
      <c r="AA67" s="591">
        <f t="shared" ref="AA64:AA74" si="47">Z67*I67</f>
        <v>3358.656</v>
      </c>
      <c r="AB67" s="619" t="s">
        <v>465</v>
      </c>
      <c r="AC67" s="582" t="s">
        <v>81</v>
      </c>
      <c r="AD67" s="592" t="s">
        <v>89</v>
      </c>
      <c r="AE67" s="620"/>
      <c r="AF67" s="620"/>
      <c r="AG67" s="595">
        <f>I63</f>
        <v>786</v>
      </c>
      <c r="AH67" s="620"/>
      <c r="AI67" s="620"/>
      <c r="AJ67" s="589"/>
      <c r="AK67" s="629"/>
      <c r="AL67" s="620"/>
      <c r="AM67" s="620"/>
      <c r="AN67" s="598">
        <f t="shared" si="44"/>
        <v>588</v>
      </c>
      <c r="AO67" s="621"/>
      <c r="AP67" s="622"/>
      <c r="AQ67" s="622"/>
      <c r="AR67" s="621">
        <f t="shared" si="46"/>
        <v>588</v>
      </c>
      <c r="AS67" s="622"/>
      <c r="AT67" s="622"/>
      <c r="AU67" s="621"/>
      <c r="AV67" s="621"/>
      <c r="AW67" s="592">
        <f t="shared" si="32"/>
        <v>588</v>
      </c>
      <c r="AX67" s="621"/>
      <c r="AY67" s="621"/>
      <c r="AZ67" s="621"/>
      <c r="BA67" s="621"/>
      <c r="BB67" s="621"/>
      <c r="BC67" s="621"/>
      <c r="BD67" s="621"/>
      <c r="BE67" s="623"/>
      <c r="BF67" s="602" t="s">
        <v>90</v>
      </c>
      <c r="BG67" s="608"/>
      <c r="BH67" s="604">
        <f t="shared" si="33"/>
        <v>98</v>
      </c>
      <c r="BI67" s="605">
        <f t="shared" si="34"/>
        <v>98</v>
      </c>
      <c r="BJ67" s="602">
        <f t="shared" si="35"/>
        <v>98</v>
      </c>
      <c r="BK67" s="602">
        <f t="shared" si="36"/>
        <v>98</v>
      </c>
      <c r="BL67" s="602">
        <f t="shared" si="37"/>
        <v>98</v>
      </c>
      <c r="BM67" s="602">
        <f t="shared" si="38"/>
        <v>98</v>
      </c>
      <c r="BN67" s="624"/>
      <c r="BO67" s="624"/>
      <c r="BP67" s="624"/>
      <c r="BQ67" s="624"/>
      <c r="BR67" s="624"/>
      <c r="BS67" s="624"/>
      <c r="BT67" s="607">
        <f t="shared" si="39"/>
        <v>588</v>
      </c>
      <c r="BU67" s="608">
        <f t="shared" si="40"/>
        <v>0</v>
      </c>
      <c r="BV67" s="517"/>
      <c r="BW67" s="491"/>
    </row>
    <row r="68" s="490" customFormat="1" ht="33" customHeight="1" spans="1:75">
      <c r="A68" s="577">
        <v>45642</v>
      </c>
      <c r="B68" s="581" t="s">
        <v>458</v>
      </c>
      <c r="C68" s="579" t="s">
        <v>255</v>
      </c>
      <c r="D68" s="580">
        <v>4500154142</v>
      </c>
      <c r="E68" s="588" t="s">
        <v>466</v>
      </c>
      <c r="F68" s="580" t="s">
        <v>467</v>
      </c>
      <c r="G68" s="582" t="s">
        <v>81</v>
      </c>
      <c r="H68" s="578" t="s">
        <v>95</v>
      </c>
      <c r="I68" s="583">
        <v>396</v>
      </c>
      <c r="J68" s="583">
        <v>0</v>
      </c>
      <c r="K68" s="583">
        <v>6</v>
      </c>
      <c r="L68" s="584">
        <f t="shared" si="45"/>
        <v>66</v>
      </c>
      <c r="M68" s="585">
        <v>45702</v>
      </c>
      <c r="N68" s="585">
        <v>45698</v>
      </c>
      <c r="O68" s="586"/>
      <c r="P68" s="586" t="s">
        <v>83</v>
      </c>
      <c r="Q68" s="587" t="s">
        <v>468</v>
      </c>
      <c r="R68" s="586" t="s">
        <v>436</v>
      </c>
      <c r="S68" s="586"/>
      <c r="T68" s="586"/>
      <c r="U68" s="586" t="s">
        <v>462</v>
      </c>
      <c r="V68" s="586"/>
      <c r="W68" s="586"/>
      <c r="X68" s="588" t="s">
        <v>463</v>
      </c>
      <c r="Y68" s="618" t="s">
        <v>464</v>
      </c>
      <c r="Z68" s="590">
        <v>5.712</v>
      </c>
      <c r="AA68" s="591">
        <f t="shared" si="47"/>
        <v>2261.952</v>
      </c>
      <c r="AB68" s="619" t="s">
        <v>469</v>
      </c>
      <c r="AC68" s="582" t="s">
        <v>81</v>
      </c>
      <c r="AD68" s="592" t="s">
        <v>89</v>
      </c>
      <c r="AE68" s="620"/>
      <c r="AF68" s="620"/>
      <c r="AG68" s="595">
        <f>I67</f>
        <v>588</v>
      </c>
      <c r="AH68" s="620"/>
      <c r="AI68" s="620"/>
      <c r="AJ68" s="589"/>
      <c r="AK68" s="629"/>
      <c r="AL68" s="620"/>
      <c r="AM68" s="620"/>
      <c r="AN68" s="598">
        <f t="shared" si="44"/>
        <v>396</v>
      </c>
      <c r="AO68" s="621"/>
      <c r="AP68" s="622"/>
      <c r="AQ68" s="622"/>
      <c r="AR68" s="621">
        <f t="shared" si="46"/>
        <v>396</v>
      </c>
      <c r="AS68" s="622"/>
      <c r="AT68" s="622"/>
      <c r="AU68" s="621"/>
      <c r="AV68" s="621"/>
      <c r="AW68" s="592">
        <f t="shared" si="32"/>
        <v>396</v>
      </c>
      <c r="AX68" s="621"/>
      <c r="AY68" s="621"/>
      <c r="AZ68" s="621"/>
      <c r="BA68" s="621"/>
      <c r="BB68" s="621"/>
      <c r="BC68" s="621"/>
      <c r="BD68" s="621"/>
      <c r="BE68" s="623"/>
      <c r="BF68" s="602" t="s">
        <v>90</v>
      </c>
      <c r="BG68" s="608"/>
      <c r="BH68" s="604">
        <f t="shared" si="33"/>
        <v>66</v>
      </c>
      <c r="BI68" s="605">
        <f t="shared" si="34"/>
        <v>66</v>
      </c>
      <c r="BJ68" s="602">
        <f t="shared" si="35"/>
        <v>66</v>
      </c>
      <c r="BK68" s="602">
        <f t="shared" si="36"/>
        <v>66</v>
      </c>
      <c r="BL68" s="602">
        <f t="shared" si="37"/>
        <v>66</v>
      </c>
      <c r="BM68" s="602">
        <f t="shared" si="38"/>
        <v>66</v>
      </c>
      <c r="BN68" s="624"/>
      <c r="BO68" s="624"/>
      <c r="BP68" s="624"/>
      <c r="BQ68" s="624"/>
      <c r="BR68" s="624"/>
      <c r="BS68" s="624"/>
      <c r="BT68" s="607">
        <f t="shared" si="39"/>
        <v>396</v>
      </c>
      <c r="BU68" s="608">
        <f t="shared" si="40"/>
        <v>0</v>
      </c>
      <c r="BV68" s="517"/>
      <c r="BW68" s="491"/>
    </row>
    <row r="69" s="490" customFormat="1" ht="33" customHeight="1" spans="1:75">
      <c r="A69" s="577">
        <v>45642</v>
      </c>
      <c r="B69" s="581" t="s">
        <v>458</v>
      </c>
      <c r="C69" s="579" t="s">
        <v>255</v>
      </c>
      <c r="D69" s="580">
        <v>4500154142</v>
      </c>
      <c r="E69" s="588" t="s">
        <v>470</v>
      </c>
      <c r="F69" s="580" t="s">
        <v>471</v>
      </c>
      <c r="G69" s="582" t="s">
        <v>81</v>
      </c>
      <c r="H69" s="578" t="s">
        <v>95</v>
      </c>
      <c r="I69" s="583">
        <v>516</v>
      </c>
      <c r="J69" s="583">
        <v>0</v>
      </c>
      <c r="K69" s="583">
        <v>6</v>
      </c>
      <c r="L69" s="584">
        <f t="shared" si="45"/>
        <v>86</v>
      </c>
      <c r="M69" s="585">
        <v>45702</v>
      </c>
      <c r="N69" s="585">
        <v>45698</v>
      </c>
      <c r="O69" s="586"/>
      <c r="P69" s="586" t="s">
        <v>83</v>
      </c>
      <c r="Q69" s="587" t="s">
        <v>468</v>
      </c>
      <c r="R69" s="586" t="s">
        <v>436</v>
      </c>
      <c r="S69" s="586"/>
      <c r="T69" s="586"/>
      <c r="U69" s="586" t="s">
        <v>462</v>
      </c>
      <c r="V69" s="586"/>
      <c r="W69" s="586"/>
      <c r="X69" s="588" t="s">
        <v>463</v>
      </c>
      <c r="Y69" s="618" t="s">
        <v>464</v>
      </c>
      <c r="Z69" s="590">
        <v>5.712</v>
      </c>
      <c r="AA69" s="591">
        <f t="shared" si="47"/>
        <v>2947.392</v>
      </c>
      <c r="AB69" s="619" t="s">
        <v>472</v>
      </c>
      <c r="AC69" s="582" t="s">
        <v>81</v>
      </c>
      <c r="AD69" s="592" t="s">
        <v>89</v>
      </c>
      <c r="AE69" s="620"/>
      <c r="AF69" s="620"/>
      <c r="AG69" s="595">
        <f>I68</f>
        <v>396</v>
      </c>
      <c r="AH69" s="620"/>
      <c r="AI69" s="620"/>
      <c r="AJ69" s="589"/>
      <c r="AK69" s="629"/>
      <c r="AL69" s="620"/>
      <c r="AM69" s="620"/>
      <c r="AN69" s="598">
        <f t="shared" si="44"/>
        <v>516</v>
      </c>
      <c r="AO69" s="621"/>
      <c r="AP69" s="622"/>
      <c r="AQ69" s="622"/>
      <c r="AR69" s="621">
        <f t="shared" si="46"/>
        <v>516</v>
      </c>
      <c r="AS69" s="622"/>
      <c r="AT69" s="622"/>
      <c r="AU69" s="621"/>
      <c r="AV69" s="621"/>
      <c r="AW69" s="592">
        <f t="shared" si="32"/>
        <v>516</v>
      </c>
      <c r="AX69" s="621"/>
      <c r="AY69" s="621"/>
      <c r="AZ69" s="621"/>
      <c r="BA69" s="621"/>
      <c r="BB69" s="621"/>
      <c r="BC69" s="621"/>
      <c r="BD69" s="621"/>
      <c r="BE69" s="623"/>
      <c r="BF69" s="602" t="s">
        <v>90</v>
      </c>
      <c r="BG69" s="608"/>
      <c r="BH69" s="604">
        <f t="shared" si="33"/>
        <v>86</v>
      </c>
      <c r="BI69" s="605">
        <f t="shared" si="34"/>
        <v>86</v>
      </c>
      <c r="BJ69" s="602">
        <f t="shared" si="35"/>
        <v>86</v>
      </c>
      <c r="BK69" s="602">
        <f t="shared" si="36"/>
        <v>86</v>
      </c>
      <c r="BL69" s="602">
        <f t="shared" si="37"/>
        <v>86</v>
      </c>
      <c r="BM69" s="602">
        <f t="shared" si="38"/>
        <v>86</v>
      </c>
      <c r="BN69" s="624"/>
      <c r="BO69" s="624"/>
      <c r="BP69" s="624"/>
      <c r="BQ69" s="624"/>
      <c r="BR69" s="624"/>
      <c r="BS69" s="624"/>
      <c r="BT69" s="607">
        <f t="shared" si="39"/>
        <v>516</v>
      </c>
      <c r="BU69" s="608">
        <f t="shared" si="40"/>
        <v>0</v>
      </c>
      <c r="BV69" s="517"/>
      <c r="BW69" s="491"/>
    </row>
    <row r="70" s="490" customFormat="1" ht="33" customHeight="1" spans="1:75">
      <c r="A70" s="577">
        <v>45643</v>
      </c>
      <c r="B70" s="581" t="s">
        <v>236</v>
      </c>
      <c r="C70" s="579" t="s">
        <v>237</v>
      </c>
      <c r="D70" s="580">
        <v>4500153776</v>
      </c>
      <c r="E70" s="588"/>
      <c r="F70" s="580" t="s">
        <v>473</v>
      </c>
      <c r="G70" s="582" t="s">
        <v>81</v>
      </c>
      <c r="H70" s="578" t="s">
        <v>95</v>
      </c>
      <c r="I70" s="583">
        <v>120</v>
      </c>
      <c r="J70" s="583">
        <v>0</v>
      </c>
      <c r="K70" s="583">
        <v>6</v>
      </c>
      <c r="L70" s="584">
        <f t="shared" si="45"/>
        <v>20</v>
      </c>
      <c r="M70" s="585">
        <v>45715</v>
      </c>
      <c r="N70" s="585">
        <f>M70-3</f>
        <v>45712</v>
      </c>
      <c r="O70" s="586"/>
      <c r="P70" s="586" t="s">
        <v>83</v>
      </c>
      <c r="Q70" s="587" t="s">
        <v>96</v>
      </c>
      <c r="R70" s="586" t="s">
        <v>474</v>
      </c>
      <c r="S70" s="586"/>
      <c r="T70" s="586"/>
      <c r="U70" s="586" t="s">
        <v>475</v>
      </c>
      <c r="V70" s="586"/>
      <c r="W70" s="586"/>
      <c r="X70" s="588" t="s">
        <v>476</v>
      </c>
      <c r="Y70" s="618" t="s">
        <v>243</v>
      </c>
      <c r="Z70" s="590">
        <v>5.905</v>
      </c>
      <c r="AA70" s="591">
        <f t="shared" si="47"/>
        <v>708.6</v>
      </c>
      <c r="AB70" s="619" t="s">
        <v>477</v>
      </c>
      <c r="AC70" s="582" t="s">
        <v>235</v>
      </c>
      <c r="AD70" s="619" t="s">
        <v>89</v>
      </c>
      <c r="AE70" s="620"/>
      <c r="AF70" s="620"/>
      <c r="AG70" s="595"/>
      <c r="AH70" s="620"/>
      <c r="AI70" s="620"/>
      <c r="AJ70" s="592">
        <f>I70</f>
        <v>120</v>
      </c>
      <c r="AK70" s="629"/>
      <c r="AL70" s="620"/>
      <c r="AM70" s="620"/>
      <c r="AN70" s="598">
        <f t="shared" si="44"/>
        <v>120</v>
      </c>
      <c r="AO70" s="621"/>
      <c r="AP70" s="622"/>
      <c r="AQ70" s="622"/>
      <c r="AR70" s="621"/>
      <c r="AS70" s="622"/>
      <c r="AT70" s="622"/>
      <c r="AU70" s="621">
        <f>I70</f>
        <v>120</v>
      </c>
      <c r="AV70" s="621"/>
      <c r="AW70" s="592">
        <f t="shared" si="32"/>
        <v>120</v>
      </c>
      <c r="AX70" s="621"/>
      <c r="AY70" s="621"/>
      <c r="AZ70" s="621"/>
      <c r="BA70" s="621"/>
      <c r="BB70" s="621"/>
      <c r="BC70" s="621"/>
      <c r="BD70" s="621"/>
      <c r="BE70" s="623"/>
      <c r="BF70" s="602" t="s">
        <v>90</v>
      </c>
      <c r="BG70" s="608"/>
      <c r="BH70" s="604">
        <f t="shared" si="33"/>
        <v>20</v>
      </c>
      <c r="BI70" s="605">
        <f t="shared" si="34"/>
        <v>20</v>
      </c>
      <c r="BJ70" s="602">
        <f t="shared" si="35"/>
        <v>20</v>
      </c>
      <c r="BK70" s="602">
        <f t="shared" si="36"/>
        <v>20</v>
      </c>
      <c r="BL70" s="602">
        <f t="shared" si="37"/>
        <v>20</v>
      </c>
      <c r="BM70" s="602">
        <f t="shared" si="38"/>
        <v>20</v>
      </c>
      <c r="BN70" s="624"/>
      <c r="BO70" s="624"/>
      <c r="BP70" s="624"/>
      <c r="BQ70" s="624"/>
      <c r="BR70" s="624"/>
      <c r="BS70" s="624"/>
      <c r="BT70" s="607">
        <f t="shared" si="39"/>
        <v>120</v>
      </c>
      <c r="BU70" s="608">
        <f t="shared" si="40"/>
        <v>0</v>
      </c>
      <c r="BV70" s="517"/>
      <c r="BW70" s="491"/>
    </row>
    <row r="71" s="490" customFormat="1" ht="33" customHeight="1" spans="1:75">
      <c r="A71" s="577">
        <v>45632</v>
      </c>
      <c r="B71" s="581" t="s">
        <v>458</v>
      </c>
      <c r="C71" s="579" t="s">
        <v>255</v>
      </c>
      <c r="D71" s="580">
        <v>4500153408</v>
      </c>
      <c r="E71" s="588" t="s">
        <v>478</v>
      </c>
      <c r="F71" s="580" t="s">
        <v>479</v>
      </c>
      <c r="G71" s="582" t="s">
        <v>81</v>
      </c>
      <c r="H71" s="578" t="s">
        <v>95</v>
      </c>
      <c r="I71" s="583">
        <v>240</v>
      </c>
      <c r="J71" s="583">
        <v>0</v>
      </c>
      <c r="K71" s="583">
        <v>6</v>
      </c>
      <c r="L71" s="584">
        <f t="shared" si="45"/>
        <v>40</v>
      </c>
      <c r="M71" s="585">
        <v>45702</v>
      </c>
      <c r="N71" s="585">
        <v>45698</v>
      </c>
      <c r="O71" s="586"/>
      <c r="P71" s="586" t="s">
        <v>83</v>
      </c>
      <c r="Q71" s="587" t="s">
        <v>461</v>
      </c>
      <c r="R71" s="586" t="s">
        <v>436</v>
      </c>
      <c r="S71" s="586"/>
      <c r="T71" s="586"/>
      <c r="U71" s="586" t="s">
        <v>462</v>
      </c>
      <c r="V71" s="586"/>
      <c r="W71" s="586"/>
      <c r="X71" s="588" t="s">
        <v>480</v>
      </c>
      <c r="Y71" s="618" t="s">
        <v>464</v>
      </c>
      <c r="Z71" s="590">
        <v>6.2908</v>
      </c>
      <c r="AA71" s="591">
        <f t="shared" si="47"/>
        <v>1509.792</v>
      </c>
      <c r="AB71" s="619" t="s">
        <v>481</v>
      </c>
      <c r="AC71" s="582" t="s">
        <v>81</v>
      </c>
      <c r="AD71" s="592" t="s">
        <v>89</v>
      </c>
      <c r="AE71" s="625"/>
      <c r="AF71" s="625"/>
      <c r="AG71" s="595">
        <f t="shared" ref="AG71:AG76" si="48">I71</f>
        <v>240</v>
      </c>
      <c r="AH71" s="625"/>
      <c r="AI71" s="625"/>
      <c r="AJ71" s="589"/>
      <c r="AK71" s="629"/>
      <c r="AL71" s="625"/>
      <c r="AM71" s="625"/>
      <c r="AN71" s="598">
        <f t="shared" si="44"/>
        <v>240</v>
      </c>
      <c r="AO71" s="621"/>
      <c r="AP71" s="626"/>
      <c r="AQ71" s="626"/>
      <c r="AR71" s="621">
        <f t="shared" ref="AR71:AR76" si="49">I71</f>
        <v>240</v>
      </c>
      <c r="AS71" s="626"/>
      <c r="AT71" s="626"/>
      <c r="AU71" s="621"/>
      <c r="AV71" s="621"/>
      <c r="AW71" s="592">
        <f t="shared" si="32"/>
        <v>240</v>
      </c>
      <c r="AX71" s="621"/>
      <c r="AY71" s="621"/>
      <c r="AZ71" s="621"/>
      <c r="BA71" s="621"/>
      <c r="BB71" s="621"/>
      <c r="BC71" s="621"/>
      <c r="BD71" s="621"/>
      <c r="BE71" s="623"/>
      <c r="BF71" s="602" t="s">
        <v>90</v>
      </c>
      <c r="BG71" s="608"/>
      <c r="BH71" s="604">
        <f t="shared" si="33"/>
        <v>40</v>
      </c>
      <c r="BI71" s="605">
        <f t="shared" si="34"/>
        <v>40</v>
      </c>
      <c r="BJ71" s="602">
        <f t="shared" si="35"/>
        <v>40</v>
      </c>
      <c r="BK71" s="602">
        <f t="shared" si="36"/>
        <v>40</v>
      </c>
      <c r="BL71" s="602">
        <f t="shared" si="37"/>
        <v>40</v>
      </c>
      <c r="BM71" s="602">
        <f t="shared" si="38"/>
        <v>40</v>
      </c>
      <c r="BN71" s="635"/>
      <c r="BO71" s="635"/>
      <c r="BP71" s="635"/>
      <c r="BQ71" s="635"/>
      <c r="BR71" s="635"/>
      <c r="BS71" s="635"/>
      <c r="BT71" s="607">
        <f t="shared" si="39"/>
        <v>240</v>
      </c>
      <c r="BU71" s="608">
        <f t="shared" si="40"/>
        <v>0</v>
      </c>
      <c r="BV71" s="627"/>
      <c r="BW71" s="491"/>
    </row>
    <row r="72" s="490" customFormat="1" ht="33" customHeight="1" spans="1:75">
      <c r="A72" s="577">
        <v>45632</v>
      </c>
      <c r="B72" s="581" t="s">
        <v>458</v>
      </c>
      <c r="C72" s="579" t="s">
        <v>255</v>
      </c>
      <c r="D72" s="580">
        <v>4500153408</v>
      </c>
      <c r="E72" s="588" t="s">
        <v>482</v>
      </c>
      <c r="F72" s="580" t="s">
        <v>483</v>
      </c>
      <c r="G72" s="582" t="s">
        <v>81</v>
      </c>
      <c r="H72" s="578" t="s">
        <v>95</v>
      </c>
      <c r="I72" s="583">
        <v>534</v>
      </c>
      <c r="J72" s="583">
        <v>0</v>
      </c>
      <c r="K72" s="583">
        <v>6</v>
      </c>
      <c r="L72" s="584">
        <f t="shared" si="45"/>
        <v>89</v>
      </c>
      <c r="M72" s="585">
        <v>45702</v>
      </c>
      <c r="N72" s="585">
        <v>45698</v>
      </c>
      <c r="O72" s="586"/>
      <c r="P72" s="586" t="s">
        <v>83</v>
      </c>
      <c r="Q72" s="587" t="s">
        <v>461</v>
      </c>
      <c r="R72" s="586" t="s">
        <v>436</v>
      </c>
      <c r="S72" s="586"/>
      <c r="T72" s="586"/>
      <c r="U72" s="586" t="s">
        <v>462</v>
      </c>
      <c r="V72" s="586"/>
      <c r="W72" s="586"/>
      <c r="X72" s="588" t="s">
        <v>480</v>
      </c>
      <c r="Y72" s="618" t="s">
        <v>464</v>
      </c>
      <c r="Z72" s="590">
        <v>5.712</v>
      </c>
      <c r="AA72" s="591">
        <f t="shared" si="47"/>
        <v>3050.208</v>
      </c>
      <c r="AB72" s="619" t="s">
        <v>484</v>
      </c>
      <c r="AC72" s="582" t="s">
        <v>81</v>
      </c>
      <c r="AD72" s="592" t="s">
        <v>89</v>
      </c>
      <c r="AE72" s="625"/>
      <c r="AF72" s="625"/>
      <c r="AG72" s="595">
        <f t="shared" si="48"/>
        <v>534</v>
      </c>
      <c r="AH72" s="625"/>
      <c r="AI72" s="625"/>
      <c r="AJ72" s="589"/>
      <c r="AK72" s="629"/>
      <c r="AL72" s="625"/>
      <c r="AM72" s="625"/>
      <c r="AN72" s="598">
        <f t="shared" si="44"/>
        <v>534</v>
      </c>
      <c r="AO72" s="621"/>
      <c r="AP72" s="626"/>
      <c r="AQ72" s="626"/>
      <c r="AR72" s="621">
        <f t="shared" si="49"/>
        <v>534</v>
      </c>
      <c r="AS72" s="626"/>
      <c r="AT72" s="626"/>
      <c r="AU72" s="621"/>
      <c r="AV72" s="621"/>
      <c r="AW72" s="592">
        <f t="shared" si="32"/>
        <v>534</v>
      </c>
      <c r="AX72" s="621"/>
      <c r="AY72" s="621"/>
      <c r="AZ72" s="621"/>
      <c r="BA72" s="621"/>
      <c r="BB72" s="621"/>
      <c r="BC72" s="621"/>
      <c r="BD72" s="621"/>
      <c r="BE72" s="623"/>
      <c r="BF72" s="602" t="s">
        <v>90</v>
      </c>
      <c r="BG72" s="608"/>
      <c r="BH72" s="604">
        <f t="shared" si="33"/>
        <v>89</v>
      </c>
      <c r="BI72" s="605">
        <f t="shared" si="34"/>
        <v>89</v>
      </c>
      <c r="BJ72" s="602">
        <f t="shared" si="35"/>
        <v>89</v>
      </c>
      <c r="BK72" s="602">
        <f t="shared" si="36"/>
        <v>89</v>
      </c>
      <c r="BL72" s="602">
        <f t="shared" si="37"/>
        <v>89</v>
      </c>
      <c r="BM72" s="602">
        <f t="shared" si="38"/>
        <v>89</v>
      </c>
      <c r="BN72" s="635"/>
      <c r="BO72" s="635"/>
      <c r="BP72" s="635"/>
      <c r="BQ72" s="635"/>
      <c r="BR72" s="635"/>
      <c r="BS72" s="635"/>
      <c r="BT72" s="607">
        <f t="shared" si="39"/>
        <v>534</v>
      </c>
      <c r="BU72" s="608">
        <f t="shared" si="40"/>
        <v>0</v>
      </c>
      <c r="BV72" s="627"/>
      <c r="BW72" s="491"/>
    </row>
    <row r="73" s="490" customFormat="1" ht="33" customHeight="1" spans="1:75">
      <c r="A73" s="577">
        <v>45632</v>
      </c>
      <c r="B73" s="581" t="s">
        <v>458</v>
      </c>
      <c r="C73" s="579" t="s">
        <v>255</v>
      </c>
      <c r="D73" s="580">
        <v>4500153408</v>
      </c>
      <c r="E73" s="588" t="s">
        <v>485</v>
      </c>
      <c r="F73" s="580" t="s">
        <v>486</v>
      </c>
      <c r="G73" s="582" t="s">
        <v>81</v>
      </c>
      <c r="H73" s="578" t="s">
        <v>95</v>
      </c>
      <c r="I73" s="583">
        <v>60</v>
      </c>
      <c r="J73" s="583">
        <v>0</v>
      </c>
      <c r="K73" s="583">
        <v>6</v>
      </c>
      <c r="L73" s="584">
        <f t="shared" si="45"/>
        <v>10</v>
      </c>
      <c r="M73" s="585">
        <v>45702</v>
      </c>
      <c r="N73" s="585">
        <v>45698</v>
      </c>
      <c r="O73" s="586"/>
      <c r="P73" s="586" t="s">
        <v>83</v>
      </c>
      <c r="Q73" s="587" t="s">
        <v>468</v>
      </c>
      <c r="R73" s="586" t="s">
        <v>436</v>
      </c>
      <c r="S73" s="586"/>
      <c r="T73" s="586"/>
      <c r="U73" s="586" t="s">
        <v>462</v>
      </c>
      <c r="V73" s="586"/>
      <c r="W73" s="586"/>
      <c r="X73" s="588" t="s">
        <v>480</v>
      </c>
      <c r="Y73" s="618" t="s">
        <v>464</v>
      </c>
      <c r="Z73" s="590">
        <v>6.2908</v>
      </c>
      <c r="AA73" s="591">
        <f t="shared" si="47"/>
        <v>377.448</v>
      </c>
      <c r="AB73" s="619" t="s">
        <v>487</v>
      </c>
      <c r="AC73" s="582" t="s">
        <v>81</v>
      </c>
      <c r="AD73" s="592" t="s">
        <v>89</v>
      </c>
      <c r="AE73" s="625"/>
      <c r="AF73" s="625"/>
      <c r="AG73" s="595">
        <f t="shared" si="48"/>
        <v>60</v>
      </c>
      <c r="AH73" s="625"/>
      <c r="AI73" s="625"/>
      <c r="AJ73" s="589"/>
      <c r="AK73" s="629"/>
      <c r="AL73" s="625"/>
      <c r="AM73" s="625"/>
      <c r="AN73" s="598">
        <f t="shared" si="44"/>
        <v>60</v>
      </c>
      <c r="AO73" s="621"/>
      <c r="AP73" s="626"/>
      <c r="AQ73" s="626"/>
      <c r="AR73" s="621">
        <f t="shared" si="49"/>
        <v>60</v>
      </c>
      <c r="AS73" s="626"/>
      <c r="AT73" s="626"/>
      <c r="AU73" s="621"/>
      <c r="AV73" s="621"/>
      <c r="AW73" s="592">
        <f t="shared" si="32"/>
        <v>60</v>
      </c>
      <c r="AX73" s="621"/>
      <c r="AY73" s="621"/>
      <c r="AZ73" s="621"/>
      <c r="BA73" s="621"/>
      <c r="BB73" s="621"/>
      <c r="BC73" s="621"/>
      <c r="BD73" s="621"/>
      <c r="BE73" s="623"/>
      <c r="BF73" s="602" t="s">
        <v>90</v>
      </c>
      <c r="BG73" s="608"/>
      <c r="BH73" s="604">
        <f t="shared" si="33"/>
        <v>10</v>
      </c>
      <c r="BI73" s="605">
        <f t="shared" si="34"/>
        <v>10</v>
      </c>
      <c r="BJ73" s="602">
        <f t="shared" si="35"/>
        <v>10</v>
      </c>
      <c r="BK73" s="602">
        <f t="shared" si="36"/>
        <v>10</v>
      </c>
      <c r="BL73" s="602">
        <f t="shared" si="37"/>
        <v>10</v>
      </c>
      <c r="BM73" s="602">
        <f t="shared" si="38"/>
        <v>10</v>
      </c>
      <c r="BN73" s="635"/>
      <c r="BO73" s="635"/>
      <c r="BP73" s="635"/>
      <c r="BQ73" s="635"/>
      <c r="BR73" s="635"/>
      <c r="BS73" s="635"/>
      <c r="BT73" s="607">
        <f t="shared" si="39"/>
        <v>60</v>
      </c>
      <c r="BU73" s="608">
        <f t="shared" si="40"/>
        <v>0</v>
      </c>
      <c r="BV73" s="627"/>
      <c r="BW73" s="491"/>
    </row>
    <row r="74" s="490" customFormat="1" ht="33" customHeight="1" spans="1:75">
      <c r="A74" s="577">
        <v>45632</v>
      </c>
      <c r="B74" s="581" t="s">
        <v>458</v>
      </c>
      <c r="C74" s="579" t="s">
        <v>255</v>
      </c>
      <c r="D74" s="580">
        <v>4500153408</v>
      </c>
      <c r="E74" s="588" t="s">
        <v>488</v>
      </c>
      <c r="F74" s="580" t="s">
        <v>489</v>
      </c>
      <c r="G74" s="582" t="s">
        <v>81</v>
      </c>
      <c r="H74" s="578" t="s">
        <v>95</v>
      </c>
      <c r="I74" s="583">
        <v>672</v>
      </c>
      <c r="J74" s="583">
        <v>0</v>
      </c>
      <c r="K74" s="583">
        <v>6</v>
      </c>
      <c r="L74" s="584">
        <f t="shared" si="45"/>
        <v>112</v>
      </c>
      <c r="M74" s="585">
        <v>45702</v>
      </c>
      <c r="N74" s="585">
        <v>45698</v>
      </c>
      <c r="O74" s="586"/>
      <c r="P74" s="586" t="s">
        <v>83</v>
      </c>
      <c r="Q74" s="587" t="s">
        <v>468</v>
      </c>
      <c r="R74" s="586" t="s">
        <v>436</v>
      </c>
      <c r="S74" s="586"/>
      <c r="T74" s="586"/>
      <c r="U74" s="586" t="s">
        <v>462</v>
      </c>
      <c r="V74" s="586"/>
      <c r="W74" s="586"/>
      <c r="X74" s="588" t="s">
        <v>480</v>
      </c>
      <c r="Y74" s="618" t="s">
        <v>464</v>
      </c>
      <c r="Z74" s="590">
        <v>6.2908</v>
      </c>
      <c r="AA74" s="591">
        <f t="shared" si="47"/>
        <v>4227.4176</v>
      </c>
      <c r="AB74" s="619" t="s">
        <v>490</v>
      </c>
      <c r="AC74" s="582" t="s">
        <v>81</v>
      </c>
      <c r="AD74" s="592" t="s">
        <v>89</v>
      </c>
      <c r="AE74" s="625"/>
      <c r="AF74" s="625"/>
      <c r="AG74" s="595">
        <f t="shared" si="48"/>
        <v>672</v>
      </c>
      <c r="AH74" s="625"/>
      <c r="AI74" s="625"/>
      <c r="AJ74" s="589"/>
      <c r="AK74" s="629"/>
      <c r="AL74" s="625"/>
      <c r="AM74" s="625"/>
      <c r="AN74" s="598">
        <f t="shared" si="44"/>
        <v>672</v>
      </c>
      <c r="AO74" s="621"/>
      <c r="AP74" s="626"/>
      <c r="AQ74" s="626"/>
      <c r="AR74" s="621">
        <f t="shared" si="49"/>
        <v>672</v>
      </c>
      <c r="AS74" s="626"/>
      <c r="AT74" s="626"/>
      <c r="AU74" s="621"/>
      <c r="AV74" s="621"/>
      <c r="AW74" s="592">
        <f t="shared" si="32"/>
        <v>672</v>
      </c>
      <c r="AX74" s="621"/>
      <c r="AY74" s="621"/>
      <c r="AZ74" s="621"/>
      <c r="BA74" s="621"/>
      <c r="BB74" s="621"/>
      <c r="BC74" s="621"/>
      <c r="BD74" s="621"/>
      <c r="BE74" s="623"/>
      <c r="BF74" s="602" t="s">
        <v>90</v>
      </c>
      <c r="BG74" s="608"/>
      <c r="BH74" s="604">
        <f t="shared" si="33"/>
        <v>112</v>
      </c>
      <c r="BI74" s="605">
        <f t="shared" si="34"/>
        <v>112</v>
      </c>
      <c r="BJ74" s="602">
        <f t="shared" si="35"/>
        <v>112</v>
      </c>
      <c r="BK74" s="602">
        <f t="shared" si="36"/>
        <v>112</v>
      </c>
      <c r="BL74" s="602">
        <f t="shared" si="37"/>
        <v>112</v>
      </c>
      <c r="BM74" s="602">
        <f t="shared" si="38"/>
        <v>112</v>
      </c>
      <c r="BN74" s="635"/>
      <c r="BO74" s="635"/>
      <c r="BP74" s="635"/>
      <c r="BQ74" s="635"/>
      <c r="BR74" s="635"/>
      <c r="BS74" s="635"/>
      <c r="BT74" s="607">
        <f t="shared" si="39"/>
        <v>672</v>
      </c>
      <c r="BU74" s="608">
        <f t="shared" si="40"/>
        <v>0</v>
      </c>
      <c r="BV74" s="627"/>
      <c r="BW74" s="491"/>
    </row>
    <row r="75" s="490" customFormat="1" ht="33" customHeight="1" spans="1:75">
      <c r="A75" s="577">
        <v>45639</v>
      </c>
      <c r="B75" s="581" t="s">
        <v>203</v>
      </c>
      <c r="C75" s="579" t="s">
        <v>78</v>
      </c>
      <c r="D75" s="580">
        <v>4500151765</v>
      </c>
      <c r="E75" s="588">
        <v>2950866117</v>
      </c>
      <c r="F75" s="580" t="s">
        <v>491</v>
      </c>
      <c r="G75" s="582" t="s">
        <v>205</v>
      </c>
      <c r="H75" s="578" t="s">
        <v>206</v>
      </c>
      <c r="I75" s="583">
        <v>1040</v>
      </c>
      <c r="J75" s="583">
        <v>1</v>
      </c>
      <c r="K75" s="583">
        <v>80</v>
      </c>
      <c r="L75" s="584">
        <f t="shared" si="45"/>
        <v>13</v>
      </c>
      <c r="M75" s="585">
        <v>45705</v>
      </c>
      <c r="N75" s="585">
        <v>45701</v>
      </c>
      <c r="O75" s="586"/>
      <c r="P75" s="586" t="s">
        <v>83</v>
      </c>
      <c r="Q75" s="587" t="s">
        <v>492</v>
      </c>
      <c r="R75" s="586" t="s">
        <v>493</v>
      </c>
      <c r="S75" s="586"/>
      <c r="T75" s="586"/>
      <c r="U75" s="586" t="s">
        <v>494</v>
      </c>
      <c r="V75" s="586"/>
      <c r="W75" s="586"/>
      <c r="X75" s="588" t="s">
        <v>495</v>
      </c>
      <c r="Y75" s="618" t="s">
        <v>210</v>
      </c>
      <c r="Z75" s="590">
        <v>465.1502</v>
      </c>
      <c r="AA75" s="591">
        <f>Z75*L75</f>
        <v>6046.9526</v>
      </c>
      <c r="AB75" s="619" t="s">
        <v>496</v>
      </c>
      <c r="AC75" s="582" t="s">
        <v>205</v>
      </c>
      <c r="AD75" s="619" t="s">
        <v>89</v>
      </c>
      <c r="AE75" s="620"/>
      <c r="AF75" s="620"/>
      <c r="AG75" s="595">
        <f t="shared" si="48"/>
        <v>1040</v>
      </c>
      <c r="AH75" s="620"/>
      <c r="AI75" s="620"/>
      <c r="AJ75" s="589"/>
      <c r="AK75" s="629"/>
      <c r="AL75" s="620"/>
      <c r="AM75" s="620"/>
      <c r="AN75" s="592">
        <f t="shared" si="44"/>
        <v>1040</v>
      </c>
      <c r="AO75" s="621"/>
      <c r="AP75" s="622"/>
      <c r="AQ75" s="622"/>
      <c r="AR75" s="621">
        <f t="shared" si="49"/>
        <v>1040</v>
      </c>
      <c r="AS75" s="622"/>
      <c r="AT75" s="622"/>
      <c r="AU75" s="621"/>
      <c r="AV75" s="621"/>
      <c r="AW75" s="592">
        <f t="shared" si="32"/>
        <v>1040</v>
      </c>
      <c r="AX75" s="621"/>
      <c r="AY75" s="621"/>
      <c r="AZ75" s="621"/>
      <c r="BA75" s="621"/>
      <c r="BB75" s="621"/>
      <c r="BC75" s="621"/>
      <c r="BD75" s="621"/>
      <c r="BE75" s="623"/>
      <c r="BF75" s="602" t="s">
        <v>90</v>
      </c>
      <c r="BG75" s="608"/>
      <c r="BH75" s="632">
        <f t="shared" si="33"/>
        <v>173.333333333333</v>
      </c>
      <c r="BI75" s="633">
        <f t="shared" si="34"/>
        <v>173.333333333333</v>
      </c>
      <c r="BJ75" s="633">
        <f t="shared" si="35"/>
        <v>173.333333333333</v>
      </c>
      <c r="BK75" s="633">
        <f t="shared" si="36"/>
        <v>173.333333333333</v>
      </c>
      <c r="BL75" s="633">
        <f t="shared" si="37"/>
        <v>173.333333333333</v>
      </c>
      <c r="BM75" s="633">
        <f t="shared" si="38"/>
        <v>173.333333333333</v>
      </c>
      <c r="BN75" s="624"/>
      <c r="BO75" s="624"/>
      <c r="BP75" s="624"/>
      <c r="BQ75" s="624"/>
      <c r="BR75" s="624"/>
      <c r="BS75" s="624"/>
      <c r="BT75" s="607">
        <f t="shared" si="39"/>
        <v>1040</v>
      </c>
      <c r="BU75" s="608">
        <f t="shared" si="40"/>
        <v>0</v>
      </c>
      <c r="BV75" s="517"/>
      <c r="BW75" s="491"/>
    </row>
    <row r="76" s="490" customFormat="1" ht="33" customHeight="1" spans="1:75">
      <c r="A76" s="577">
        <v>45651</v>
      </c>
      <c r="B76" s="581" t="s">
        <v>139</v>
      </c>
      <c r="C76" s="579" t="s">
        <v>140</v>
      </c>
      <c r="D76" s="580">
        <v>4500154728</v>
      </c>
      <c r="E76" s="588">
        <v>5000001743</v>
      </c>
      <c r="F76" s="580" t="s">
        <v>497</v>
      </c>
      <c r="G76" s="582" t="s">
        <v>81</v>
      </c>
      <c r="H76" s="578" t="s">
        <v>95</v>
      </c>
      <c r="I76" s="583">
        <v>4800</v>
      </c>
      <c r="J76" s="583">
        <v>0</v>
      </c>
      <c r="K76" s="583">
        <v>6</v>
      </c>
      <c r="L76" s="584">
        <f t="shared" ref="L76:L82" si="50">I76/K76</f>
        <v>800</v>
      </c>
      <c r="M76" s="585">
        <v>45705</v>
      </c>
      <c r="N76" s="585">
        <v>45701</v>
      </c>
      <c r="O76" s="586"/>
      <c r="P76" s="586" t="s">
        <v>83</v>
      </c>
      <c r="Q76" s="636" t="s">
        <v>428</v>
      </c>
      <c r="R76" s="586" t="s">
        <v>498</v>
      </c>
      <c r="S76" s="586"/>
      <c r="T76" s="586"/>
      <c r="U76" s="586" t="s">
        <v>499</v>
      </c>
      <c r="V76" s="586" t="s">
        <v>500</v>
      </c>
      <c r="W76" s="586"/>
      <c r="X76" s="588" t="s">
        <v>501</v>
      </c>
      <c r="Y76" s="618" t="s">
        <v>147</v>
      </c>
      <c r="Z76" s="590">
        <v>5.701</v>
      </c>
      <c r="AA76" s="591">
        <f t="shared" ref="AA76:AA84" si="51">Z76*I76</f>
        <v>27364.8</v>
      </c>
      <c r="AB76" s="619"/>
      <c r="AC76" s="582" t="s">
        <v>149</v>
      </c>
      <c r="AD76" s="619" t="s">
        <v>89</v>
      </c>
      <c r="AE76" s="625"/>
      <c r="AF76" s="625"/>
      <c r="AG76" s="595">
        <f t="shared" si="48"/>
        <v>4800</v>
      </c>
      <c r="AH76" s="625"/>
      <c r="AI76" s="625"/>
      <c r="AJ76" s="589"/>
      <c r="AK76" s="629"/>
      <c r="AL76" s="625"/>
      <c r="AM76" s="625"/>
      <c r="AN76" s="598"/>
      <c r="AO76" s="621">
        <f>I76</f>
        <v>4800</v>
      </c>
      <c r="AP76" s="626"/>
      <c r="AQ76" s="626"/>
      <c r="AR76" s="621">
        <f t="shared" si="49"/>
        <v>4800</v>
      </c>
      <c r="AS76" s="626"/>
      <c r="AT76" s="626"/>
      <c r="AU76" s="621"/>
      <c r="AV76" s="621"/>
      <c r="AW76" s="592">
        <f t="shared" si="32"/>
        <v>4800</v>
      </c>
      <c r="AX76" s="621"/>
      <c r="AY76" s="621"/>
      <c r="AZ76" s="621"/>
      <c r="BA76" s="621"/>
      <c r="BB76" s="621"/>
      <c r="BC76" s="621"/>
      <c r="BD76" s="621"/>
      <c r="BE76" s="623"/>
      <c r="BF76" s="602" t="s">
        <v>90</v>
      </c>
      <c r="BG76" s="603"/>
      <c r="BH76" s="604">
        <f t="shared" si="33"/>
        <v>800</v>
      </c>
      <c r="BI76" s="605">
        <f t="shared" si="34"/>
        <v>800</v>
      </c>
      <c r="BJ76" s="602">
        <f t="shared" si="35"/>
        <v>800</v>
      </c>
      <c r="BK76" s="602">
        <f t="shared" si="36"/>
        <v>800</v>
      </c>
      <c r="BL76" s="602">
        <f t="shared" si="37"/>
        <v>800</v>
      </c>
      <c r="BM76" s="602">
        <f t="shared" si="38"/>
        <v>800</v>
      </c>
      <c r="BN76" s="635"/>
      <c r="BO76" s="635"/>
      <c r="BP76" s="635"/>
      <c r="BQ76" s="635"/>
      <c r="BR76" s="635"/>
      <c r="BS76" s="635"/>
      <c r="BT76" s="607">
        <f t="shared" si="39"/>
        <v>4800</v>
      </c>
      <c r="BU76" s="608">
        <f t="shared" si="40"/>
        <v>0</v>
      </c>
      <c r="BV76" s="627"/>
      <c r="BW76" s="491"/>
    </row>
    <row r="77" s="490" customFormat="1" ht="33" customHeight="1" spans="1:75">
      <c r="A77" s="577">
        <v>45594</v>
      </c>
      <c r="B77" s="578" t="s">
        <v>502</v>
      </c>
      <c r="C77" s="579" t="s">
        <v>334</v>
      </c>
      <c r="D77" s="580">
        <v>4500149460</v>
      </c>
      <c r="E77" s="588">
        <v>61900883</v>
      </c>
      <c r="F77" s="580" t="s">
        <v>503</v>
      </c>
      <c r="G77" s="582" t="s">
        <v>81</v>
      </c>
      <c r="H77" s="578" t="s">
        <v>95</v>
      </c>
      <c r="I77" s="583">
        <v>936</v>
      </c>
      <c r="J77" s="583">
        <v>0</v>
      </c>
      <c r="K77" s="583">
        <v>6</v>
      </c>
      <c r="L77" s="584">
        <f t="shared" si="50"/>
        <v>156</v>
      </c>
      <c r="M77" s="585">
        <v>45708</v>
      </c>
      <c r="N77" s="585">
        <v>45703</v>
      </c>
      <c r="O77" s="586"/>
      <c r="P77" s="586" t="s">
        <v>83</v>
      </c>
      <c r="Q77" s="587" t="s">
        <v>504</v>
      </c>
      <c r="R77" s="586" t="s">
        <v>505</v>
      </c>
      <c r="S77" s="586"/>
      <c r="T77" s="586"/>
      <c r="U77" s="586" t="s">
        <v>506</v>
      </c>
      <c r="V77" s="586" t="s">
        <v>507</v>
      </c>
      <c r="W77" s="586"/>
      <c r="X77" s="588" t="s">
        <v>508</v>
      </c>
      <c r="Y77" s="610" t="s">
        <v>243</v>
      </c>
      <c r="Z77" s="590">
        <v>5.905</v>
      </c>
      <c r="AA77" s="591">
        <f t="shared" si="51"/>
        <v>5527.08</v>
      </c>
      <c r="AB77" s="592" t="s">
        <v>509</v>
      </c>
      <c r="AC77" s="582" t="s">
        <v>235</v>
      </c>
      <c r="AD77" s="593" t="s">
        <v>89</v>
      </c>
      <c r="AE77" s="611"/>
      <c r="AF77" s="611"/>
      <c r="AG77" s="595"/>
      <c r="AH77" s="612"/>
      <c r="AI77" s="612"/>
      <c r="AJ77" s="592">
        <f>I77</f>
        <v>936</v>
      </c>
      <c r="AK77" s="592"/>
      <c r="AL77" s="612"/>
      <c r="AM77" s="613"/>
      <c r="AN77" s="598">
        <f t="shared" ref="AN77:AN86" si="52">I77</f>
        <v>936</v>
      </c>
      <c r="AO77" s="592"/>
      <c r="AP77" s="614"/>
      <c r="AQ77" s="612"/>
      <c r="AR77" s="592"/>
      <c r="AS77" s="612"/>
      <c r="AT77" s="612"/>
      <c r="AU77" s="592">
        <f>I77</f>
        <v>936</v>
      </c>
      <c r="AV77" s="592"/>
      <c r="AW77" s="592">
        <f t="shared" si="32"/>
        <v>936</v>
      </c>
      <c r="AX77" s="592"/>
      <c r="AY77" s="600"/>
      <c r="AZ77" s="600"/>
      <c r="BA77" s="600"/>
      <c r="BB77" s="600"/>
      <c r="BC77" s="600"/>
      <c r="BD77" s="600"/>
      <c r="BE77" s="601"/>
      <c r="BF77" s="602" t="s">
        <v>90</v>
      </c>
      <c r="BG77" s="603"/>
      <c r="BH77" s="604">
        <f t="shared" si="33"/>
        <v>156</v>
      </c>
      <c r="BI77" s="605">
        <f t="shared" si="34"/>
        <v>156</v>
      </c>
      <c r="BJ77" s="602">
        <f t="shared" si="35"/>
        <v>156</v>
      </c>
      <c r="BK77" s="602">
        <f t="shared" si="36"/>
        <v>156</v>
      </c>
      <c r="BL77" s="602">
        <f t="shared" si="37"/>
        <v>156</v>
      </c>
      <c r="BM77" s="602">
        <f t="shared" si="38"/>
        <v>156</v>
      </c>
      <c r="BN77" s="615"/>
      <c r="BO77" s="615"/>
      <c r="BP77" s="615"/>
      <c r="BQ77" s="615"/>
      <c r="BR77" s="615"/>
      <c r="BS77" s="615"/>
      <c r="BT77" s="607">
        <f t="shared" si="39"/>
        <v>936</v>
      </c>
      <c r="BU77" s="608">
        <f t="shared" si="40"/>
        <v>0</v>
      </c>
      <c r="BV77" s="517"/>
      <c r="BW77" s="491"/>
    </row>
    <row r="78" s="490" customFormat="1" ht="33" customHeight="1" spans="1:75">
      <c r="A78" s="577">
        <v>45611</v>
      </c>
      <c r="B78" s="581" t="s">
        <v>502</v>
      </c>
      <c r="C78" s="579" t="s">
        <v>334</v>
      </c>
      <c r="D78" s="580">
        <v>4500151307</v>
      </c>
      <c r="E78" s="616"/>
      <c r="F78" s="580" t="s">
        <v>510</v>
      </c>
      <c r="G78" s="582" t="s">
        <v>81</v>
      </c>
      <c r="H78" s="578" t="s">
        <v>95</v>
      </c>
      <c r="I78" s="583">
        <v>42</v>
      </c>
      <c r="J78" s="583">
        <v>0</v>
      </c>
      <c r="K78" s="583">
        <v>6</v>
      </c>
      <c r="L78" s="584">
        <f t="shared" si="50"/>
        <v>7</v>
      </c>
      <c r="M78" s="585">
        <v>45712</v>
      </c>
      <c r="N78" s="585">
        <v>45708</v>
      </c>
      <c r="O78" s="586"/>
      <c r="P78" s="586" t="s">
        <v>83</v>
      </c>
      <c r="Q78" s="636" t="s">
        <v>504</v>
      </c>
      <c r="R78" s="586" t="s">
        <v>511</v>
      </c>
      <c r="S78" s="586"/>
      <c r="T78" s="586"/>
      <c r="U78" s="586" t="s">
        <v>512</v>
      </c>
      <c r="V78" s="586" t="s">
        <v>507</v>
      </c>
      <c r="W78" s="586"/>
      <c r="X78" s="588" t="s">
        <v>513</v>
      </c>
      <c r="Y78" s="618" t="s">
        <v>243</v>
      </c>
      <c r="Z78" s="590">
        <v>5.905</v>
      </c>
      <c r="AA78" s="591">
        <f t="shared" si="51"/>
        <v>248.01</v>
      </c>
      <c r="AB78" s="619" t="s">
        <v>514</v>
      </c>
      <c r="AC78" s="582" t="s">
        <v>235</v>
      </c>
      <c r="AD78" s="592" t="s">
        <v>89</v>
      </c>
      <c r="AE78" s="620"/>
      <c r="AF78" s="620"/>
      <c r="AG78" s="595"/>
      <c r="AH78" s="620"/>
      <c r="AI78" s="620"/>
      <c r="AJ78" s="592">
        <f>I78</f>
        <v>42</v>
      </c>
      <c r="AK78" s="629"/>
      <c r="AL78" s="620"/>
      <c r="AM78" s="620"/>
      <c r="AN78" s="598">
        <f t="shared" si="52"/>
        <v>42</v>
      </c>
      <c r="AO78" s="621"/>
      <c r="AP78" s="622"/>
      <c r="AQ78" s="622"/>
      <c r="AR78" s="592"/>
      <c r="AS78" s="622"/>
      <c r="AT78" s="622"/>
      <c r="AU78" s="621">
        <f>I78</f>
        <v>42</v>
      </c>
      <c r="AV78" s="621"/>
      <c r="AW78" s="592">
        <f t="shared" si="32"/>
        <v>42</v>
      </c>
      <c r="AX78" s="621"/>
      <c r="AY78" s="621"/>
      <c r="AZ78" s="621"/>
      <c r="BA78" s="621"/>
      <c r="BB78" s="621"/>
      <c r="BC78" s="621"/>
      <c r="BD78" s="621"/>
      <c r="BE78" s="623"/>
      <c r="BF78" s="602" t="s">
        <v>90</v>
      </c>
      <c r="BG78" s="603"/>
      <c r="BH78" s="604">
        <f t="shared" si="33"/>
        <v>7</v>
      </c>
      <c r="BI78" s="605">
        <f t="shared" si="34"/>
        <v>7</v>
      </c>
      <c r="BJ78" s="602">
        <f t="shared" si="35"/>
        <v>7</v>
      </c>
      <c r="BK78" s="602">
        <f t="shared" si="36"/>
        <v>7</v>
      </c>
      <c r="BL78" s="602">
        <f t="shared" si="37"/>
        <v>7</v>
      </c>
      <c r="BM78" s="602">
        <f t="shared" si="38"/>
        <v>7</v>
      </c>
      <c r="BN78" s="624"/>
      <c r="BO78" s="624"/>
      <c r="BP78" s="624"/>
      <c r="BQ78" s="624"/>
      <c r="BR78" s="624"/>
      <c r="BS78" s="624"/>
      <c r="BT78" s="607">
        <f t="shared" si="39"/>
        <v>42</v>
      </c>
      <c r="BU78" s="608">
        <f t="shared" si="40"/>
        <v>0</v>
      </c>
      <c r="BV78" s="517"/>
      <c r="BW78" s="491"/>
    </row>
    <row r="79" s="490" customFormat="1" ht="33" customHeight="1" spans="1:75">
      <c r="A79" s="577">
        <v>45657</v>
      </c>
      <c r="B79" s="581" t="s">
        <v>515</v>
      </c>
      <c r="C79" s="579" t="s">
        <v>92</v>
      </c>
      <c r="D79" s="580">
        <v>4500155048</v>
      </c>
      <c r="E79" s="588" t="s">
        <v>516</v>
      </c>
      <c r="F79" s="580" t="s">
        <v>517</v>
      </c>
      <c r="G79" s="582" t="s">
        <v>297</v>
      </c>
      <c r="H79" s="578" t="s">
        <v>298</v>
      </c>
      <c r="I79" s="583">
        <v>272</v>
      </c>
      <c r="J79" s="583">
        <v>1</v>
      </c>
      <c r="K79" s="583">
        <v>4</v>
      </c>
      <c r="L79" s="584">
        <f t="shared" si="50"/>
        <v>68</v>
      </c>
      <c r="M79" s="585">
        <v>45715</v>
      </c>
      <c r="N79" s="585">
        <v>45712</v>
      </c>
      <c r="O79" s="586"/>
      <c r="P79" s="586" t="s">
        <v>83</v>
      </c>
      <c r="Q79" s="587" t="s">
        <v>96</v>
      </c>
      <c r="R79" s="586" t="s">
        <v>518</v>
      </c>
      <c r="S79" s="586"/>
      <c r="T79" s="586"/>
      <c r="U79" s="586" t="s">
        <v>86</v>
      </c>
      <c r="V79" s="586" t="s">
        <v>519</v>
      </c>
      <c r="W79" s="586" t="s">
        <v>520</v>
      </c>
      <c r="X79" s="588" t="s">
        <v>521</v>
      </c>
      <c r="Y79" s="618" t="s">
        <v>515</v>
      </c>
      <c r="Z79" s="590">
        <v>6.1693</v>
      </c>
      <c r="AA79" s="591">
        <f t="shared" si="51"/>
        <v>1678.0496</v>
      </c>
      <c r="AB79" s="619" t="s">
        <v>522</v>
      </c>
      <c r="AC79" s="582" t="s">
        <v>297</v>
      </c>
      <c r="AD79" s="592" t="s">
        <v>89</v>
      </c>
      <c r="AE79" s="620"/>
      <c r="AF79" s="620"/>
      <c r="AG79" s="595">
        <f>I79</f>
        <v>272</v>
      </c>
      <c r="AH79" s="620"/>
      <c r="AI79" s="620"/>
      <c r="AJ79" s="589"/>
      <c r="AK79" s="629"/>
      <c r="AL79" s="620"/>
      <c r="AM79" s="620"/>
      <c r="AN79" s="598">
        <f t="shared" si="52"/>
        <v>272</v>
      </c>
      <c r="AO79" s="621"/>
      <c r="AP79" s="622"/>
      <c r="AQ79" s="622"/>
      <c r="AR79" s="621">
        <f>I79</f>
        <v>272</v>
      </c>
      <c r="AS79" s="622"/>
      <c r="AT79" s="622"/>
      <c r="AU79" s="621"/>
      <c r="AV79" s="621"/>
      <c r="AW79" s="592">
        <f t="shared" si="32"/>
        <v>272</v>
      </c>
      <c r="AX79" s="621"/>
      <c r="AY79" s="621"/>
      <c r="AZ79" s="621"/>
      <c r="BA79" s="621"/>
      <c r="BB79" s="621"/>
      <c r="BC79" s="621"/>
      <c r="BD79" s="621"/>
      <c r="BE79" s="623"/>
      <c r="BF79" s="602" t="s">
        <v>90</v>
      </c>
      <c r="BG79" s="603"/>
      <c r="BH79" s="604">
        <f>I79</f>
        <v>272</v>
      </c>
      <c r="BI79" s="605"/>
      <c r="BJ79" s="602"/>
      <c r="BK79" s="602"/>
      <c r="BL79" s="602"/>
      <c r="BM79" s="602"/>
      <c r="BN79" s="624"/>
      <c r="BO79" s="624"/>
      <c r="BP79" s="624"/>
      <c r="BQ79" s="624"/>
      <c r="BR79" s="624"/>
      <c r="BS79" s="624"/>
      <c r="BT79" s="607">
        <f t="shared" si="39"/>
        <v>272</v>
      </c>
      <c r="BU79" s="608">
        <f t="shared" si="40"/>
        <v>0</v>
      </c>
      <c r="BV79" s="517"/>
      <c r="BW79" s="491"/>
    </row>
    <row r="80" s="490" customFormat="1" ht="33" customHeight="1" spans="1:75">
      <c r="A80" s="577">
        <v>45678</v>
      </c>
      <c r="B80" s="581" t="s">
        <v>523</v>
      </c>
      <c r="C80" s="579" t="s">
        <v>524</v>
      </c>
      <c r="D80" s="580">
        <v>4500156297</v>
      </c>
      <c r="E80" s="588"/>
      <c r="F80" s="580" t="s">
        <v>525</v>
      </c>
      <c r="G80" s="582" t="s">
        <v>81</v>
      </c>
      <c r="H80" s="578" t="s">
        <v>95</v>
      </c>
      <c r="I80" s="583">
        <v>504</v>
      </c>
      <c r="J80" s="583">
        <v>0</v>
      </c>
      <c r="K80" s="583">
        <v>6</v>
      </c>
      <c r="L80" s="584">
        <f t="shared" si="50"/>
        <v>84</v>
      </c>
      <c r="M80" s="585">
        <v>45717</v>
      </c>
      <c r="N80" s="585">
        <v>45713</v>
      </c>
      <c r="O80" s="586"/>
      <c r="P80" s="586" t="s">
        <v>83</v>
      </c>
      <c r="Q80" s="587" t="s">
        <v>526</v>
      </c>
      <c r="R80" s="586" t="s">
        <v>527</v>
      </c>
      <c r="S80" s="586"/>
      <c r="T80" s="586"/>
      <c r="U80" s="586" t="s">
        <v>528</v>
      </c>
      <c r="V80" s="586"/>
      <c r="W80" s="586"/>
      <c r="X80" s="588" t="s">
        <v>529</v>
      </c>
      <c r="Y80" s="618" t="s">
        <v>530</v>
      </c>
      <c r="Z80" s="590">
        <v>5.7196</v>
      </c>
      <c r="AA80" s="591">
        <f t="shared" si="51"/>
        <v>2882.6784</v>
      </c>
      <c r="AB80" s="619" t="s">
        <v>531</v>
      </c>
      <c r="AC80" s="582" t="s">
        <v>81</v>
      </c>
      <c r="AD80" s="592" t="s">
        <v>89</v>
      </c>
      <c r="AE80" s="620"/>
      <c r="AF80" s="620"/>
      <c r="AG80" s="595">
        <f>I80</f>
        <v>504</v>
      </c>
      <c r="AH80" s="620"/>
      <c r="AI80" s="620"/>
      <c r="AJ80" s="595"/>
      <c r="AK80" s="629"/>
      <c r="AL80" s="620"/>
      <c r="AM80" s="620"/>
      <c r="AN80" s="598">
        <f t="shared" si="52"/>
        <v>504</v>
      </c>
      <c r="AO80" s="621"/>
      <c r="AP80" s="622"/>
      <c r="AQ80" s="622"/>
      <c r="AR80" s="621">
        <f>I80</f>
        <v>504</v>
      </c>
      <c r="AS80" s="622"/>
      <c r="AT80" s="622"/>
      <c r="AU80" s="621"/>
      <c r="AV80" s="621"/>
      <c r="AW80" s="592">
        <f t="shared" si="32"/>
        <v>504</v>
      </c>
      <c r="AX80" s="621"/>
      <c r="AY80" s="621"/>
      <c r="AZ80" s="621"/>
      <c r="BA80" s="621"/>
      <c r="BB80" s="621"/>
      <c r="BC80" s="621"/>
      <c r="BD80" s="621"/>
      <c r="BE80" s="623"/>
      <c r="BF80" s="602" t="s">
        <v>90</v>
      </c>
      <c r="BG80" s="603"/>
      <c r="BH80" s="604">
        <f t="shared" ref="BH80:BH95" si="53">I80/6</f>
        <v>84</v>
      </c>
      <c r="BI80" s="605">
        <f t="shared" ref="BI80:BI95" si="54">I80/6</f>
        <v>84</v>
      </c>
      <c r="BJ80" s="602">
        <f t="shared" ref="BJ80:BJ95" si="55">I80/6</f>
        <v>84</v>
      </c>
      <c r="BK80" s="602">
        <f t="shared" ref="BK80:BK95" si="56">I80/6</f>
        <v>84</v>
      </c>
      <c r="BL80" s="602">
        <f t="shared" ref="BL80:BL95" si="57">I80/6</f>
        <v>84</v>
      </c>
      <c r="BM80" s="602">
        <f t="shared" ref="BM80:BM95" si="58">I80/6</f>
        <v>84</v>
      </c>
      <c r="BN80" s="624"/>
      <c r="BO80" s="624"/>
      <c r="BP80" s="624"/>
      <c r="BQ80" s="624"/>
      <c r="BR80" s="624"/>
      <c r="BS80" s="624"/>
      <c r="BT80" s="607">
        <f t="shared" si="39"/>
        <v>504</v>
      </c>
      <c r="BU80" s="608">
        <f t="shared" si="40"/>
        <v>0</v>
      </c>
      <c r="BV80" s="517"/>
      <c r="BW80" s="491"/>
    </row>
    <row r="81" s="490" customFormat="1" ht="33" customHeight="1" spans="1:75">
      <c r="A81" s="577">
        <v>45665</v>
      </c>
      <c r="B81" s="581" t="s">
        <v>317</v>
      </c>
      <c r="C81" s="579" t="s">
        <v>119</v>
      </c>
      <c r="D81" s="580">
        <v>4500155456</v>
      </c>
      <c r="E81" s="588" t="s">
        <v>532</v>
      </c>
      <c r="F81" s="580" t="s">
        <v>533</v>
      </c>
      <c r="G81" s="582" t="s">
        <v>81</v>
      </c>
      <c r="H81" s="578" t="s">
        <v>95</v>
      </c>
      <c r="I81" s="583">
        <v>552</v>
      </c>
      <c r="J81" s="583">
        <v>0</v>
      </c>
      <c r="K81" s="583">
        <v>6</v>
      </c>
      <c r="L81" s="584">
        <f t="shared" si="50"/>
        <v>92</v>
      </c>
      <c r="M81" s="585">
        <v>45719</v>
      </c>
      <c r="N81" s="585">
        <v>45715</v>
      </c>
      <c r="O81" s="586"/>
      <c r="P81" s="586" t="s">
        <v>83</v>
      </c>
      <c r="Q81" s="587"/>
      <c r="R81" s="586" t="s">
        <v>534</v>
      </c>
      <c r="S81" s="586"/>
      <c r="T81" s="586"/>
      <c r="U81" s="586" t="s">
        <v>535</v>
      </c>
      <c r="V81" s="586" t="s">
        <v>536</v>
      </c>
      <c r="W81" s="586"/>
      <c r="X81" s="588" t="s">
        <v>537</v>
      </c>
      <c r="Y81" s="618" t="s">
        <v>538</v>
      </c>
      <c r="Z81" s="590">
        <v>5.7196</v>
      </c>
      <c r="AA81" s="591">
        <f t="shared" si="51"/>
        <v>3157.2192</v>
      </c>
      <c r="AB81" s="619" t="s">
        <v>539</v>
      </c>
      <c r="AC81" s="582" t="s">
        <v>235</v>
      </c>
      <c r="AD81" s="592" t="s">
        <v>89</v>
      </c>
      <c r="AE81" s="628"/>
      <c r="AF81" s="628"/>
      <c r="AG81" s="595"/>
      <c r="AH81" s="628"/>
      <c r="AI81" s="628"/>
      <c r="AJ81" s="595">
        <f>I81</f>
        <v>552</v>
      </c>
      <c r="AK81" s="629"/>
      <c r="AL81" s="628"/>
      <c r="AM81" s="628"/>
      <c r="AN81" s="598">
        <f t="shared" si="52"/>
        <v>552</v>
      </c>
      <c r="AO81" s="621"/>
      <c r="AP81" s="630"/>
      <c r="AQ81" s="630"/>
      <c r="AR81" s="621"/>
      <c r="AS81" s="630"/>
      <c r="AT81" s="630"/>
      <c r="AU81" s="621">
        <f>I81</f>
        <v>552</v>
      </c>
      <c r="AV81" s="621"/>
      <c r="AW81" s="592">
        <f t="shared" si="32"/>
        <v>552</v>
      </c>
      <c r="AX81" s="621"/>
      <c r="AY81" s="621"/>
      <c r="AZ81" s="621"/>
      <c r="BA81" s="621"/>
      <c r="BB81" s="621"/>
      <c r="BC81" s="621"/>
      <c r="BD81" s="621"/>
      <c r="BE81" s="623"/>
      <c r="BF81" s="602" t="s">
        <v>90</v>
      </c>
      <c r="BG81" s="603"/>
      <c r="BH81" s="604">
        <f t="shared" si="53"/>
        <v>92</v>
      </c>
      <c r="BI81" s="605">
        <f t="shared" si="54"/>
        <v>92</v>
      </c>
      <c r="BJ81" s="602">
        <f t="shared" si="55"/>
        <v>92</v>
      </c>
      <c r="BK81" s="602">
        <f t="shared" si="56"/>
        <v>92</v>
      </c>
      <c r="BL81" s="602">
        <f t="shared" si="57"/>
        <v>92</v>
      </c>
      <c r="BM81" s="602">
        <f t="shared" si="58"/>
        <v>92</v>
      </c>
      <c r="BN81" s="631"/>
      <c r="BO81" s="631"/>
      <c r="BP81" s="631"/>
      <c r="BQ81" s="631"/>
      <c r="BR81" s="631"/>
      <c r="BS81" s="631"/>
      <c r="BT81" s="607">
        <f t="shared" si="39"/>
        <v>552</v>
      </c>
      <c r="BU81" s="608">
        <f t="shared" si="40"/>
        <v>0</v>
      </c>
      <c r="BV81" s="609"/>
      <c r="BW81" s="491"/>
    </row>
    <row r="82" s="490" customFormat="1" ht="33" customHeight="1" spans="1:75">
      <c r="A82" s="577">
        <v>45665</v>
      </c>
      <c r="B82" s="581" t="s">
        <v>310</v>
      </c>
      <c r="C82" s="579" t="s">
        <v>78</v>
      </c>
      <c r="D82" s="580">
        <v>4500155467</v>
      </c>
      <c r="E82" s="588" t="s">
        <v>540</v>
      </c>
      <c r="F82" s="580" t="s">
        <v>541</v>
      </c>
      <c r="G82" s="582" t="s">
        <v>81</v>
      </c>
      <c r="H82" s="578" t="s">
        <v>95</v>
      </c>
      <c r="I82" s="583">
        <v>528</v>
      </c>
      <c r="J82" s="583">
        <v>0</v>
      </c>
      <c r="K82" s="583">
        <v>6</v>
      </c>
      <c r="L82" s="584">
        <f t="shared" si="50"/>
        <v>88</v>
      </c>
      <c r="M82" s="585">
        <v>45719</v>
      </c>
      <c r="N82" s="585">
        <v>45715</v>
      </c>
      <c r="O82" s="586"/>
      <c r="P82" s="586" t="s">
        <v>83</v>
      </c>
      <c r="Q82" s="587" t="s">
        <v>542</v>
      </c>
      <c r="R82" s="586" t="s">
        <v>534</v>
      </c>
      <c r="S82" s="586"/>
      <c r="T82" s="586"/>
      <c r="U82" s="586" t="s">
        <v>86</v>
      </c>
      <c r="V82" s="586" t="s">
        <v>536</v>
      </c>
      <c r="W82" s="586"/>
      <c r="X82" s="588" t="s">
        <v>543</v>
      </c>
      <c r="Y82" s="618" t="s">
        <v>538</v>
      </c>
      <c r="Z82" s="590">
        <v>5.905</v>
      </c>
      <c r="AA82" s="591">
        <f t="shared" si="51"/>
        <v>3117.84</v>
      </c>
      <c r="AB82" s="619" t="s">
        <v>544</v>
      </c>
      <c r="AC82" s="582" t="s">
        <v>235</v>
      </c>
      <c r="AD82" s="592" t="s">
        <v>89</v>
      </c>
      <c r="AE82" s="628"/>
      <c r="AF82" s="628"/>
      <c r="AG82" s="595"/>
      <c r="AH82" s="628"/>
      <c r="AI82" s="628"/>
      <c r="AJ82" s="595">
        <f>I82</f>
        <v>528</v>
      </c>
      <c r="AK82" s="629"/>
      <c r="AL82" s="628"/>
      <c r="AM82" s="628"/>
      <c r="AN82" s="598">
        <f t="shared" si="52"/>
        <v>528</v>
      </c>
      <c r="AO82" s="621"/>
      <c r="AP82" s="630"/>
      <c r="AQ82" s="630"/>
      <c r="AR82" s="621"/>
      <c r="AS82" s="630"/>
      <c r="AT82" s="630"/>
      <c r="AU82" s="621">
        <f>I82</f>
        <v>528</v>
      </c>
      <c r="AV82" s="621"/>
      <c r="AW82" s="592">
        <f t="shared" si="32"/>
        <v>528</v>
      </c>
      <c r="AX82" s="621"/>
      <c r="AY82" s="621"/>
      <c r="AZ82" s="621"/>
      <c r="BA82" s="621"/>
      <c r="BB82" s="621"/>
      <c r="BC82" s="621"/>
      <c r="BD82" s="621"/>
      <c r="BE82" s="623"/>
      <c r="BF82" s="602" t="s">
        <v>90</v>
      </c>
      <c r="BG82" s="603"/>
      <c r="BH82" s="604">
        <f t="shared" si="53"/>
        <v>88</v>
      </c>
      <c r="BI82" s="605">
        <f t="shared" si="54"/>
        <v>88</v>
      </c>
      <c r="BJ82" s="602">
        <f t="shared" si="55"/>
        <v>88</v>
      </c>
      <c r="BK82" s="602">
        <f t="shared" si="56"/>
        <v>88</v>
      </c>
      <c r="BL82" s="602">
        <f t="shared" si="57"/>
        <v>88</v>
      </c>
      <c r="BM82" s="602">
        <f t="shared" si="58"/>
        <v>88</v>
      </c>
      <c r="BN82" s="631"/>
      <c r="BO82" s="631"/>
      <c r="BP82" s="631"/>
      <c r="BQ82" s="631"/>
      <c r="BR82" s="631"/>
      <c r="BS82" s="631"/>
      <c r="BT82" s="607">
        <f t="shared" si="39"/>
        <v>528</v>
      </c>
      <c r="BU82" s="608">
        <f t="shared" si="40"/>
        <v>0</v>
      </c>
      <c r="BV82" s="609"/>
      <c r="BW82" s="491"/>
    </row>
    <row r="83" s="490" customFormat="1" ht="33" customHeight="1" spans="1:75">
      <c r="A83" s="577">
        <v>45672</v>
      </c>
      <c r="B83" s="581" t="s">
        <v>263</v>
      </c>
      <c r="C83" s="579" t="s">
        <v>264</v>
      </c>
      <c r="D83" s="580">
        <v>4500155723</v>
      </c>
      <c r="E83" s="588"/>
      <c r="F83" s="580" t="s">
        <v>545</v>
      </c>
      <c r="G83" s="582" t="s">
        <v>81</v>
      </c>
      <c r="H83" s="578" t="s">
        <v>95</v>
      </c>
      <c r="I83" s="583">
        <v>1800</v>
      </c>
      <c r="J83" s="583">
        <v>0</v>
      </c>
      <c r="K83" s="583">
        <v>6</v>
      </c>
      <c r="L83" s="584">
        <f t="shared" ref="L83:L96" si="59">I83/K83</f>
        <v>300</v>
      </c>
      <c r="M83" s="585">
        <v>45720</v>
      </c>
      <c r="N83" s="585">
        <v>45716</v>
      </c>
      <c r="O83" s="586"/>
      <c r="P83" s="586" t="s">
        <v>83</v>
      </c>
      <c r="Q83" s="617" t="s">
        <v>546</v>
      </c>
      <c r="R83" s="586" t="s">
        <v>547</v>
      </c>
      <c r="S83" s="586"/>
      <c r="T83" s="586"/>
      <c r="U83" s="586" t="s">
        <v>548</v>
      </c>
      <c r="V83" s="586"/>
      <c r="W83" s="586"/>
      <c r="X83" s="588" t="s">
        <v>549</v>
      </c>
      <c r="Y83" s="618" t="s">
        <v>269</v>
      </c>
      <c r="Z83" s="590">
        <v>5.8973</v>
      </c>
      <c r="AA83" s="591">
        <f t="shared" si="51"/>
        <v>10615.14</v>
      </c>
      <c r="AB83" s="619" t="s">
        <v>550</v>
      </c>
      <c r="AC83" s="582" t="s">
        <v>235</v>
      </c>
      <c r="AD83" s="592" t="s">
        <v>89</v>
      </c>
      <c r="AE83" s="628"/>
      <c r="AF83" s="628"/>
      <c r="AG83" s="595"/>
      <c r="AH83" s="628"/>
      <c r="AI83" s="628"/>
      <c r="AJ83" s="595">
        <f>I83</f>
        <v>1800</v>
      </c>
      <c r="AK83" s="629"/>
      <c r="AL83" s="628"/>
      <c r="AM83" s="628"/>
      <c r="AN83" s="598">
        <f t="shared" si="52"/>
        <v>1800</v>
      </c>
      <c r="AO83" s="621"/>
      <c r="AP83" s="630"/>
      <c r="AQ83" s="630"/>
      <c r="AR83" s="621"/>
      <c r="AS83" s="630"/>
      <c r="AT83" s="630"/>
      <c r="AU83" s="621">
        <f>I83</f>
        <v>1800</v>
      </c>
      <c r="AV83" s="621"/>
      <c r="AW83" s="592">
        <f t="shared" si="32"/>
        <v>1800</v>
      </c>
      <c r="AX83" s="621"/>
      <c r="AY83" s="621"/>
      <c r="AZ83" s="621"/>
      <c r="BA83" s="621"/>
      <c r="BB83" s="621"/>
      <c r="BC83" s="621"/>
      <c r="BD83" s="621"/>
      <c r="BE83" s="623"/>
      <c r="BF83" s="602" t="s">
        <v>90</v>
      </c>
      <c r="BG83" s="603"/>
      <c r="BH83" s="604">
        <f t="shared" si="53"/>
        <v>300</v>
      </c>
      <c r="BI83" s="605">
        <f t="shared" si="54"/>
        <v>300</v>
      </c>
      <c r="BJ83" s="602">
        <f t="shared" si="55"/>
        <v>300</v>
      </c>
      <c r="BK83" s="602">
        <f t="shared" si="56"/>
        <v>300</v>
      </c>
      <c r="BL83" s="602">
        <f t="shared" si="57"/>
        <v>300</v>
      </c>
      <c r="BM83" s="602">
        <f t="shared" si="58"/>
        <v>300</v>
      </c>
      <c r="BN83" s="631"/>
      <c r="BO83" s="631"/>
      <c r="BP83" s="631"/>
      <c r="BQ83" s="631"/>
      <c r="BR83" s="631"/>
      <c r="BS83" s="631"/>
      <c r="BT83" s="607">
        <f t="shared" si="39"/>
        <v>1800</v>
      </c>
      <c r="BU83" s="608">
        <f t="shared" si="40"/>
        <v>0</v>
      </c>
      <c r="BV83" s="609"/>
      <c r="BW83" s="491"/>
    </row>
    <row r="84" s="490" customFormat="1" ht="33" customHeight="1" spans="1:75">
      <c r="A84" s="577">
        <v>45651</v>
      </c>
      <c r="B84" s="581" t="s">
        <v>502</v>
      </c>
      <c r="C84" s="579" t="s">
        <v>334</v>
      </c>
      <c r="D84" s="580">
        <v>4500154604</v>
      </c>
      <c r="E84" s="588">
        <v>61900884</v>
      </c>
      <c r="F84" s="580" t="s">
        <v>551</v>
      </c>
      <c r="G84" s="582" t="s">
        <v>81</v>
      </c>
      <c r="H84" s="578" t="s">
        <v>95</v>
      </c>
      <c r="I84" s="583">
        <v>936</v>
      </c>
      <c r="J84" s="583">
        <v>0</v>
      </c>
      <c r="K84" s="583">
        <v>6</v>
      </c>
      <c r="L84" s="584">
        <f t="shared" si="59"/>
        <v>156</v>
      </c>
      <c r="M84" s="585">
        <v>45721</v>
      </c>
      <c r="N84" s="585">
        <v>45717</v>
      </c>
      <c r="O84" s="586"/>
      <c r="P84" s="586" t="s">
        <v>83</v>
      </c>
      <c r="Q84" s="636" t="s">
        <v>552</v>
      </c>
      <c r="R84" s="586" t="s">
        <v>553</v>
      </c>
      <c r="S84" s="586"/>
      <c r="T84" s="586"/>
      <c r="U84" s="586" t="s">
        <v>554</v>
      </c>
      <c r="V84" s="586" t="s">
        <v>555</v>
      </c>
      <c r="W84" s="586"/>
      <c r="X84" s="588" t="s">
        <v>556</v>
      </c>
      <c r="Y84" s="618" t="s">
        <v>243</v>
      </c>
      <c r="Z84" s="590">
        <v>5.905</v>
      </c>
      <c r="AA84" s="591">
        <f t="shared" si="51"/>
        <v>5527.08</v>
      </c>
      <c r="AB84" s="619" t="s">
        <v>557</v>
      </c>
      <c r="AC84" s="582" t="s">
        <v>235</v>
      </c>
      <c r="AD84" s="619" t="s">
        <v>89</v>
      </c>
      <c r="AE84" s="625"/>
      <c r="AF84" s="625"/>
      <c r="AG84" s="595"/>
      <c r="AH84" s="625"/>
      <c r="AI84" s="625"/>
      <c r="AJ84" s="637">
        <f>I84</f>
        <v>936</v>
      </c>
      <c r="AK84" s="629"/>
      <c r="AL84" s="625"/>
      <c r="AM84" s="625"/>
      <c r="AN84" s="598">
        <f t="shared" si="52"/>
        <v>936</v>
      </c>
      <c r="AO84" s="621"/>
      <c r="AP84" s="626"/>
      <c r="AQ84" s="626"/>
      <c r="AR84" s="621"/>
      <c r="AS84" s="626"/>
      <c r="AT84" s="626"/>
      <c r="AU84" s="621">
        <f>I84</f>
        <v>936</v>
      </c>
      <c r="AV84" s="621"/>
      <c r="AW84" s="592">
        <f t="shared" si="32"/>
        <v>936</v>
      </c>
      <c r="AX84" s="621"/>
      <c r="AY84" s="621"/>
      <c r="AZ84" s="621"/>
      <c r="BA84" s="621"/>
      <c r="BB84" s="621"/>
      <c r="BC84" s="621"/>
      <c r="BD84" s="621"/>
      <c r="BE84" s="623"/>
      <c r="BF84" s="602" t="s">
        <v>90</v>
      </c>
      <c r="BG84" s="603"/>
      <c r="BH84" s="604">
        <f t="shared" si="53"/>
        <v>156</v>
      </c>
      <c r="BI84" s="605">
        <f t="shared" si="54"/>
        <v>156</v>
      </c>
      <c r="BJ84" s="602">
        <f t="shared" si="55"/>
        <v>156</v>
      </c>
      <c r="BK84" s="602">
        <f t="shared" si="56"/>
        <v>156</v>
      </c>
      <c r="BL84" s="602">
        <f t="shared" si="57"/>
        <v>156</v>
      </c>
      <c r="BM84" s="602">
        <f t="shared" si="58"/>
        <v>156</v>
      </c>
      <c r="BN84" s="635"/>
      <c r="BO84" s="635"/>
      <c r="BP84" s="635"/>
      <c r="BQ84" s="635"/>
      <c r="BR84" s="635"/>
      <c r="BS84" s="635"/>
      <c r="BT84" s="607">
        <f t="shared" si="39"/>
        <v>936</v>
      </c>
      <c r="BU84" s="608">
        <f t="shared" si="40"/>
        <v>0</v>
      </c>
      <c r="BV84" s="627"/>
      <c r="BW84" s="491"/>
    </row>
    <row r="85" s="490" customFormat="1" ht="33" customHeight="1" spans="1:75">
      <c r="A85" s="577">
        <v>45635</v>
      </c>
      <c r="B85" s="581"/>
      <c r="C85" s="579"/>
      <c r="D85" s="580" t="s">
        <v>558</v>
      </c>
      <c r="E85" s="616"/>
      <c r="F85" s="580"/>
      <c r="G85" s="582" t="s">
        <v>81</v>
      </c>
      <c r="H85" s="578" t="s">
        <v>95</v>
      </c>
      <c r="I85" s="583">
        <v>180</v>
      </c>
      <c r="J85" s="583">
        <v>0</v>
      </c>
      <c r="K85" s="583">
        <v>6</v>
      </c>
      <c r="L85" s="584">
        <f t="shared" si="59"/>
        <v>30</v>
      </c>
      <c r="M85" s="585">
        <v>45649</v>
      </c>
      <c r="N85" s="585">
        <v>45645</v>
      </c>
      <c r="O85" s="586"/>
      <c r="P85" s="586" t="s">
        <v>559</v>
      </c>
      <c r="Q85" s="587"/>
      <c r="R85" s="586" t="s">
        <v>560</v>
      </c>
      <c r="S85" s="586"/>
      <c r="T85" s="586"/>
      <c r="U85" s="586" t="s">
        <v>86</v>
      </c>
      <c r="V85" s="586"/>
      <c r="W85" s="586"/>
      <c r="X85" s="588" t="s">
        <v>561</v>
      </c>
      <c r="Y85" s="618"/>
      <c r="Z85" s="590"/>
      <c r="AA85" s="591"/>
      <c r="AB85" s="619" t="s">
        <v>562</v>
      </c>
      <c r="AC85" s="582" t="s">
        <v>81</v>
      </c>
      <c r="AD85" s="592" t="s">
        <v>89</v>
      </c>
      <c r="AE85" s="628"/>
      <c r="AF85" s="628"/>
      <c r="AG85" s="595">
        <f>I85</f>
        <v>180</v>
      </c>
      <c r="AH85" s="628"/>
      <c r="AI85" s="628"/>
      <c r="AJ85" s="589"/>
      <c r="AK85" s="629"/>
      <c r="AL85" s="628"/>
      <c r="AM85" s="628"/>
      <c r="AN85" s="598">
        <f t="shared" si="52"/>
        <v>180</v>
      </c>
      <c r="AO85" s="621"/>
      <c r="AP85" s="630"/>
      <c r="AQ85" s="630"/>
      <c r="AR85" s="621">
        <f t="shared" ref="AR85:AR91" si="60">I85</f>
        <v>180</v>
      </c>
      <c r="AS85" s="630"/>
      <c r="AT85" s="630"/>
      <c r="AU85" s="621"/>
      <c r="AV85" s="621"/>
      <c r="AW85" s="592">
        <f t="shared" si="32"/>
        <v>180</v>
      </c>
      <c r="AX85" s="621"/>
      <c r="AY85" s="621"/>
      <c r="AZ85" s="621"/>
      <c r="BA85" s="621"/>
      <c r="BB85" s="621"/>
      <c r="BC85" s="621"/>
      <c r="BD85" s="621"/>
      <c r="BE85" s="623"/>
      <c r="BF85" s="602" t="s">
        <v>90</v>
      </c>
      <c r="BG85" s="603"/>
      <c r="BH85" s="604">
        <f t="shared" si="53"/>
        <v>30</v>
      </c>
      <c r="BI85" s="605">
        <f t="shared" si="54"/>
        <v>30</v>
      </c>
      <c r="BJ85" s="602">
        <f t="shared" si="55"/>
        <v>30</v>
      </c>
      <c r="BK85" s="602">
        <f t="shared" si="56"/>
        <v>30</v>
      </c>
      <c r="BL85" s="602">
        <f t="shared" si="57"/>
        <v>30</v>
      </c>
      <c r="BM85" s="602">
        <f t="shared" si="58"/>
        <v>30</v>
      </c>
      <c r="BN85" s="631"/>
      <c r="BO85" s="631"/>
      <c r="BP85" s="631"/>
      <c r="BQ85" s="631"/>
      <c r="BR85" s="631"/>
      <c r="BS85" s="631"/>
      <c r="BT85" s="607">
        <f t="shared" si="39"/>
        <v>180</v>
      </c>
      <c r="BU85" s="608">
        <f t="shared" si="40"/>
        <v>0</v>
      </c>
      <c r="BV85" s="609"/>
      <c r="BW85" s="491"/>
    </row>
    <row r="86" s="490" customFormat="1" ht="33" customHeight="1" spans="1:75">
      <c r="A86" s="577">
        <v>45650</v>
      </c>
      <c r="B86" s="581" t="s">
        <v>563</v>
      </c>
      <c r="C86" s="579" t="s">
        <v>255</v>
      </c>
      <c r="D86" s="580">
        <v>4500154618</v>
      </c>
      <c r="E86" s="588">
        <v>2385734</v>
      </c>
      <c r="F86" s="580" t="s">
        <v>564</v>
      </c>
      <c r="G86" s="582" t="s">
        <v>81</v>
      </c>
      <c r="H86" s="578" t="s">
        <v>95</v>
      </c>
      <c r="I86" s="583">
        <v>1500</v>
      </c>
      <c r="J86" s="583">
        <v>0</v>
      </c>
      <c r="K86" s="583">
        <v>6</v>
      </c>
      <c r="L86" s="584">
        <f t="shared" si="59"/>
        <v>250</v>
      </c>
      <c r="M86" s="585">
        <v>45712</v>
      </c>
      <c r="N86" s="585">
        <v>45708</v>
      </c>
      <c r="O86" s="586"/>
      <c r="P86" s="586" t="s">
        <v>83</v>
      </c>
      <c r="Q86" s="636" t="s">
        <v>565</v>
      </c>
      <c r="R86" s="586" t="s">
        <v>566</v>
      </c>
      <c r="S86" s="586"/>
      <c r="T86" s="586"/>
      <c r="U86" s="586" t="s">
        <v>567</v>
      </c>
      <c r="V86" s="586"/>
      <c r="W86" s="586"/>
      <c r="X86" s="588" t="s">
        <v>568</v>
      </c>
      <c r="Y86" s="618" t="s">
        <v>464</v>
      </c>
      <c r="Z86" s="590">
        <v>6.2908</v>
      </c>
      <c r="AA86" s="591">
        <f t="shared" ref="AA86:AA96" si="61">Z86*I86</f>
        <v>9436.2</v>
      </c>
      <c r="AB86" s="619" t="s">
        <v>569</v>
      </c>
      <c r="AC86" s="582" t="s">
        <v>81</v>
      </c>
      <c r="AD86" s="592" t="s">
        <v>89</v>
      </c>
      <c r="AE86" s="628"/>
      <c r="AF86" s="628"/>
      <c r="AG86" s="595">
        <f>I86</f>
        <v>1500</v>
      </c>
      <c r="AH86" s="628"/>
      <c r="AI86" s="628"/>
      <c r="AJ86" s="589"/>
      <c r="AK86" s="629"/>
      <c r="AL86" s="628"/>
      <c r="AM86" s="628"/>
      <c r="AN86" s="598">
        <f t="shared" si="52"/>
        <v>1500</v>
      </c>
      <c r="AO86" s="621"/>
      <c r="AP86" s="630"/>
      <c r="AQ86" s="630"/>
      <c r="AR86" s="621">
        <f t="shared" si="60"/>
        <v>1500</v>
      </c>
      <c r="AS86" s="630"/>
      <c r="AT86" s="630"/>
      <c r="AU86" s="621"/>
      <c r="AV86" s="621"/>
      <c r="AW86" s="592">
        <f t="shared" si="32"/>
        <v>1500</v>
      </c>
      <c r="AX86" s="621"/>
      <c r="AY86" s="621"/>
      <c r="AZ86" s="621"/>
      <c r="BA86" s="621"/>
      <c r="BB86" s="621"/>
      <c r="BC86" s="621"/>
      <c r="BD86" s="621"/>
      <c r="BE86" s="623"/>
      <c r="BF86" s="602" t="s">
        <v>90</v>
      </c>
      <c r="BG86" s="603"/>
      <c r="BH86" s="604">
        <f t="shared" si="53"/>
        <v>250</v>
      </c>
      <c r="BI86" s="605">
        <f t="shared" si="54"/>
        <v>250</v>
      </c>
      <c r="BJ86" s="602">
        <f t="shared" si="55"/>
        <v>250</v>
      </c>
      <c r="BK86" s="602">
        <f t="shared" si="56"/>
        <v>250</v>
      </c>
      <c r="BL86" s="602">
        <f t="shared" si="57"/>
        <v>250</v>
      </c>
      <c r="BM86" s="602">
        <f t="shared" si="58"/>
        <v>250</v>
      </c>
      <c r="BN86" s="631"/>
      <c r="BO86" s="631"/>
      <c r="BP86" s="631"/>
      <c r="BQ86" s="631"/>
      <c r="BR86" s="631"/>
      <c r="BS86" s="631"/>
      <c r="BT86" s="607">
        <f t="shared" si="39"/>
        <v>1500</v>
      </c>
      <c r="BU86" s="608">
        <f t="shared" si="40"/>
        <v>0</v>
      </c>
      <c r="BV86" s="609"/>
      <c r="BW86" s="491"/>
    </row>
    <row r="87" s="490" customFormat="1" ht="33" customHeight="1" spans="1:75">
      <c r="A87" s="577">
        <v>45672</v>
      </c>
      <c r="B87" s="581" t="s">
        <v>139</v>
      </c>
      <c r="C87" s="579" t="s">
        <v>140</v>
      </c>
      <c r="D87" s="638">
        <v>4500155924</v>
      </c>
      <c r="E87" s="588">
        <v>5000001770</v>
      </c>
      <c r="F87" s="580" t="s">
        <v>570</v>
      </c>
      <c r="G87" s="582" t="s">
        <v>81</v>
      </c>
      <c r="H87" s="578" t="s">
        <v>95</v>
      </c>
      <c r="I87" s="583">
        <v>1500</v>
      </c>
      <c r="J87" s="583">
        <v>0</v>
      </c>
      <c r="K87" s="583">
        <v>6</v>
      </c>
      <c r="L87" s="584">
        <f t="shared" si="59"/>
        <v>250</v>
      </c>
      <c r="M87" s="585">
        <v>45722</v>
      </c>
      <c r="N87" s="585">
        <v>45717</v>
      </c>
      <c r="O87" s="586"/>
      <c r="P87" s="586" t="s">
        <v>83</v>
      </c>
      <c r="Q87" s="639" t="s">
        <v>571</v>
      </c>
      <c r="R87" s="586" t="s">
        <v>572</v>
      </c>
      <c r="S87" s="586"/>
      <c r="T87" s="586"/>
      <c r="U87" s="586" t="s">
        <v>573</v>
      </c>
      <c r="V87" s="586" t="s">
        <v>574</v>
      </c>
      <c r="W87" s="586"/>
      <c r="X87" s="588" t="s">
        <v>575</v>
      </c>
      <c r="Y87" s="618" t="s">
        <v>576</v>
      </c>
      <c r="Z87" s="590">
        <v>5.712</v>
      </c>
      <c r="AA87" s="591">
        <f t="shared" si="61"/>
        <v>8568</v>
      </c>
      <c r="AB87" s="619" t="s">
        <v>577</v>
      </c>
      <c r="AC87" s="582" t="s">
        <v>149</v>
      </c>
      <c r="AD87" s="592" t="s">
        <v>89</v>
      </c>
      <c r="AE87" s="620"/>
      <c r="AF87" s="620"/>
      <c r="AG87" s="595">
        <f>I87</f>
        <v>1500</v>
      </c>
      <c r="AH87" s="620"/>
      <c r="AI87" s="620"/>
      <c r="AJ87" s="595"/>
      <c r="AK87" s="629"/>
      <c r="AL87" s="620"/>
      <c r="AM87" s="620"/>
      <c r="AN87" s="598"/>
      <c r="AO87" s="621">
        <f>I87</f>
        <v>1500</v>
      </c>
      <c r="AP87" s="622"/>
      <c r="AQ87" s="622"/>
      <c r="AR87" s="621">
        <f t="shared" si="60"/>
        <v>1500</v>
      </c>
      <c r="AS87" s="622"/>
      <c r="AT87" s="622"/>
      <c r="AU87" s="621"/>
      <c r="AV87" s="621"/>
      <c r="AW87" s="592">
        <f t="shared" si="32"/>
        <v>1500</v>
      </c>
      <c r="AX87" s="621"/>
      <c r="AY87" s="621"/>
      <c r="AZ87" s="621"/>
      <c r="BA87" s="621"/>
      <c r="BB87" s="621"/>
      <c r="BC87" s="621"/>
      <c r="BD87" s="621"/>
      <c r="BE87" s="623"/>
      <c r="BF87" s="602" t="s">
        <v>407</v>
      </c>
      <c r="BG87" s="603"/>
      <c r="BH87" s="604">
        <f t="shared" si="53"/>
        <v>250</v>
      </c>
      <c r="BI87" s="605">
        <f t="shared" si="54"/>
        <v>250</v>
      </c>
      <c r="BJ87" s="602">
        <f t="shared" si="55"/>
        <v>250</v>
      </c>
      <c r="BK87" s="602">
        <f t="shared" si="56"/>
        <v>250</v>
      </c>
      <c r="BL87" s="602">
        <f t="shared" si="57"/>
        <v>250</v>
      </c>
      <c r="BM87" s="602">
        <f t="shared" si="58"/>
        <v>250</v>
      </c>
      <c r="BN87" s="624"/>
      <c r="BO87" s="624"/>
      <c r="BP87" s="624"/>
      <c r="BQ87" s="624"/>
      <c r="BR87" s="624"/>
      <c r="BS87" s="624"/>
      <c r="BT87" s="607">
        <f t="shared" si="39"/>
        <v>1500</v>
      </c>
      <c r="BU87" s="608">
        <f t="shared" si="40"/>
        <v>0</v>
      </c>
      <c r="BV87" s="517"/>
      <c r="BW87" s="491"/>
    </row>
    <row r="88" s="490" customFormat="1" ht="33" customHeight="1" spans="1:75">
      <c r="A88" s="577">
        <v>45672</v>
      </c>
      <c r="B88" s="581" t="s">
        <v>139</v>
      </c>
      <c r="C88" s="579" t="s">
        <v>140</v>
      </c>
      <c r="D88" s="638">
        <v>4500155924</v>
      </c>
      <c r="E88" s="588">
        <v>5000001770</v>
      </c>
      <c r="F88" s="580" t="s">
        <v>578</v>
      </c>
      <c r="G88" s="582" t="s">
        <v>81</v>
      </c>
      <c r="H88" s="578" t="s">
        <v>95</v>
      </c>
      <c r="I88" s="583">
        <v>1200</v>
      </c>
      <c r="J88" s="583">
        <v>0</v>
      </c>
      <c r="K88" s="583">
        <v>6</v>
      </c>
      <c r="L88" s="584">
        <f t="shared" si="59"/>
        <v>200</v>
      </c>
      <c r="M88" s="585">
        <v>45722</v>
      </c>
      <c r="N88" s="585">
        <v>45717</v>
      </c>
      <c r="O88" s="586"/>
      <c r="P88" s="586" t="s">
        <v>83</v>
      </c>
      <c r="Q88" s="639" t="s">
        <v>571</v>
      </c>
      <c r="R88" s="586" t="s">
        <v>572</v>
      </c>
      <c r="S88" s="586"/>
      <c r="T88" s="586"/>
      <c r="U88" s="586" t="s">
        <v>573</v>
      </c>
      <c r="V88" s="586" t="s">
        <v>574</v>
      </c>
      <c r="W88" s="586"/>
      <c r="X88" s="588" t="s">
        <v>575</v>
      </c>
      <c r="Y88" s="618" t="s">
        <v>576</v>
      </c>
      <c r="Z88" s="590">
        <v>5.712</v>
      </c>
      <c r="AA88" s="591">
        <f t="shared" si="61"/>
        <v>6854.4</v>
      </c>
      <c r="AB88" s="619" t="s">
        <v>577</v>
      </c>
      <c r="AC88" s="582" t="s">
        <v>149</v>
      </c>
      <c r="AD88" s="592" t="s">
        <v>89</v>
      </c>
      <c r="AE88" s="620"/>
      <c r="AF88" s="620"/>
      <c r="AG88" s="595">
        <f>I88</f>
        <v>1200</v>
      </c>
      <c r="AH88" s="620"/>
      <c r="AI88" s="620"/>
      <c r="AJ88" s="595"/>
      <c r="AK88" s="629"/>
      <c r="AL88" s="620"/>
      <c r="AM88" s="620"/>
      <c r="AN88" s="598"/>
      <c r="AO88" s="621">
        <f>I88</f>
        <v>1200</v>
      </c>
      <c r="AP88" s="622"/>
      <c r="AQ88" s="622"/>
      <c r="AR88" s="621">
        <f t="shared" si="60"/>
        <v>1200</v>
      </c>
      <c r="AS88" s="622"/>
      <c r="AT88" s="622"/>
      <c r="AU88" s="621"/>
      <c r="AV88" s="621"/>
      <c r="AW88" s="592">
        <f t="shared" si="32"/>
        <v>1200</v>
      </c>
      <c r="AX88" s="621"/>
      <c r="AY88" s="621"/>
      <c r="AZ88" s="621"/>
      <c r="BA88" s="621"/>
      <c r="BB88" s="621"/>
      <c r="BC88" s="621"/>
      <c r="BD88" s="621"/>
      <c r="BE88" s="623"/>
      <c r="BF88" s="602" t="s">
        <v>407</v>
      </c>
      <c r="BG88" s="603"/>
      <c r="BH88" s="604">
        <f t="shared" si="53"/>
        <v>200</v>
      </c>
      <c r="BI88" s="605">
        <f t="shared" si="54"/>
        <v>200</v>
      </c>
      <c r="BJ88" s="602">
        <f t="shared" si="55"/>
        <v>200</v>
      </c>
      <c r="BK88" s="602">
        <f t="shared" si="56"/>
        <v>200</v>
      </c>
      <c r="BL88" s="602">
        <f t="shared" si="57"/>
        <v>200</v>
      </c>
      <c r="BM88" s="602">
        <f t="shared" si="58"/>
        <v>200</v>
      </c>
      <c r="BN88" s="624"/>
      <c r="BO88" s="624"/>
      <c r="BP88" s="624"/>
      <c r="BQ88" s="624"/>
      <c r="BR88" s="624"/>
      <c r="BS88" s="624"/>
      <c r="BT88" s="607">
        <f t="shared" si="39"/>
        <v>1200</v>
      </c>
      <c r="BU88" s="608">
        <f t="shared" si="40"/>
        <v>0</v>
      </c>
      <c r="BV88" s="517"/>
      <c r="BW88" s="491"/>
    </row>
    <row r="89" s="490" customFormat="1" ht="33" customHeight="1" spans="1:75">
      <c r="A89" s="577">
        <v>45680</v>
      </c>
      <c r="B89" s="581" t="s">
        <v>139</v>
      </c>
      <c r="C89" s="579" t="s">
        <v>140</v>
      </c>
      <c r="D89" s="580">
        <v>4500155924</v>
      </c>
      <c r="E89" s="588">
        <v>5000001770</v>
      </c>
      <c r="F89" s="580" t="s">
        <v>579</v>
      </c>
      <c r="G89" s="582" t="s">
        <v>81</v>
      </c>
      <c r="H89" s="578" t="s">
        <v>95</v>
      </c>
      <c r="I89" s="583">
        <v>1200</v>
      </c>
      <c r="J89" s="583">
        <v>0</v>
      </c>
      <c r="K89" s="583">
        <v>6</v>
      </c>
      <c r="L89" s="584">
        <f t="shared" si="59"/>
        <v>200</v>
      </c>
      <c r="M89" s="585">
        <v>45722</v>
      </c>
      <c r="N89" s="585">
        <v>45717</v>
      </c>
      <c r="O89" s="586"/>
      <c r="P89" s="586" t="s">
        <v>83</v>
      </c>
      <c r="Q89" s="639" t="s">
        <v>571</v>
      </c>
      <c r="R89" s="586" t="s">
        <v>572</v>
      </c>
      <c r="S89" s="586"/>
      <c r="T89" s="586"/>
      <c r="U89" s="586" t="s">
        <v>573</v>
      </c>
      <c r="V89" s="586" t="s">
        <v>574</v>
      </c>
      <c r="W89" s="586"/>
      <c r="X89" s="588" t="s">
        <v>580</v>
      </c>
      <c r="Y89" s="618" t="s">
        <v>576</v>
      </c>
      <c r="Z89" s="590">
        <v>5.701</v>
      </c>
      <c r="AA89" s="591">
        <f t="shared" si="61"/>
        <v>6841.2</v>
      </c>
      <c r="AB89" s="619" t="s">
        <v>577</v>
      </c>
      <c r="AC89" s="582" t="s">
        <v>149</v>
      </c>
      <c r="AD89" s="592" t="s">
        <v>89</v>
      </c>
      <c r="AE89" s="620"/>
      <c r="AF89" s="620"/>
      <c r="AG89" s="595">
        <f>I89</f>
        <v>1200</v>
      </c>
      <c r="AH89" s="620"/>
      <c r="AI89" s="620"/>
      <c r="AJ89" s="595"/>
      <c r="AK89" s="629"/>
      <c r="AL89" s="620"/>
      <c r="AM89" s="620"/>
      <c r="AN89" s="598"/>
      <c r="AO89" s="621">
        <f>I89</f>
        <v>1200</v>
      </c>
      <c r="AP89" s="622"/>
      <c r="AQ89" s="622"/>
      <c r="AR89" s="621">
        <f t="shared" si="60"/>
        <v>1200</v>
      </c>
      <c r="AS89" s="622"/>
      <c r="AT89" s="622"/>
      <c r="AU89" s="621"/>
      <c r="AV89" s="621"/>
      <c r="AW89" s="592">
        <f t="shared" si="32"/>
        <v>1200</v>
      </c>
      <c r="AX89" s="621"/>
      <c r="AY89" s="621"/>
      <c r="AZ89" s="621"/>
      <c r="BA89" s="621"/>
      <c r="BB89" s="621"/>
      <c r="BC89" s="621"/>
      <c r="BD89" s="621"/>
      <c r="BE89" s="623"/>
      <c r="BF89" s="602" t="s">
        <v>407</v>
      </c>
      <c r="BG89" s="603"/>
      <c r="BH89" s="604">
        <f t="shared" si="53"/>
        <v>200</v>
      </c>
      <c r="BI89" s="605">
        <f t="shared" si="54"/>
        <v>200</v>
      </c>
      <c r="BJ89" s="602">
        <f t="shared" si="55"/>
        <v>200</v>
      </c>
      <c r="BK89" s="602">
        <f t="shared" si="56"/>
        <v>200</v>
      </c>
      <c r="BL89" s="602">
        <f t="shared" si="57"/>
        <v>200</v>
      </c>
      <c r="BM89" s="602">
        <f t="shared" si="58"/>
        <v>200</v>
      </c>
      <c r="BN89" s="624"/>
      <c r="BO89" s="624"/>
      <c r="BP89" s="624"/>
      <c r="BQ89" s="624"/>
      <c r="BR89" s="624"/>
      <c r="BS89" s="624"/>
      <c r="BT89" s="607">
        <f t="shared" si="39"/>
        <v>1200</v>
      </c>
      <c r="BU89" s="608">
        <f t="shared" si="40"/>
        <v>0</v>
      </c>
      <c r="BV89" s="517"/>
      <c r="BW89" s="491"/>
    </row>
    <row r="90" s="490" customFormat="1" ht="33" customHeight="1" spans="1:75">
      <c r="A90" s="577">
        <v>45636</v>
      </c>
      <c r="B90" s="581" t="s">
        <v>581</v>
      </c>
      <c r="C90" s="579" t="s">
        <v>246</v>
      </c>
      <c r="D90" s="580">
        <v>4500153598</v>
      </c>
      <c r="E90" s="588">
        <v>287909</v>
      </c>
      <c r="F90" s="580" t="s">
        <v>582</v>
      </c>
      <c r="G90" s="582" t="s">
        <v>81</v>
      </c>
      <c r="H90" s="578" t="s">
        <v>95</v>
      </c>
      <c r="I90" s="583">
        <v>372</v>
      </c>
      <c r="J90" s="583">
        <v>0</v>
      </c>
      <c r="K90" s="583">
        <v>6</v>
      </c>
      <c r="L90" s="584">
        <f t="shared" si="59"/>
        <v>62</v>
      </c>
      <c r="M90" s="585">
        <v>45726</v>
      </c>
      <c r="N90" s="585">
        <v>45722</v>
      </c>
      <c r="O90" s="586"/>
      <c r="P90" s="586" t="s">
        <v>83</v>
      </c>
      <c r="Q90" s="587" t="s">
        <v>583</v>
      </c>
      <c r="R90" s="586" t="s">
        <v>346</v>
      </c>
      <c r="S90" s="586"/>
      <c r="T90" s="586"/>
      <c r="U90" s="586" t="s">
        <v>86</v>
      </c>
      <c r="V90" s="586"/>
      <c r="W90" s="586"/>
      <c r="X90" s="588" t="s">
        <v>584</v>
      </c>
      <c r="Y90" s="618" t="s">
        <v>585</v>
      </c>
      <c r="Z90" s="590">
        <v>5.7196</v>
      </c>
      <c r="AA90" s="591">
        <f t="shared" si="61"/>
        <v>2127.6912</v>
      </c>
      <c r="AB90" s="619" t="s">
        <v>586</v>
      </c>
      <c r="AC90" s="582" t="s">
        <v>81</v>
      </c>
      <c r="AD90" s="592" t="s">
        <v>89</v>
      </c>
      <c r="AE90" s="620"/>
      <c r="AF90" s="620"/>
      <c r="AG90" s="595">
        <f>I62</f>
        <v>1800</v>
      </c>
      <c r="AH90" s="620"/>
      <c r="AI90" s="620"/>
      <c r="AJ90" s="595"/>
      <c r="AK90" s="629"/>
      <c r="AL90" s="620"/>
      <c r="AM90" s="620"/>
      <c r="AN90" s="598">
        <f>I90</f>
        <v>372</v>
      </c>
      <c r="AO90" s="621"/>
      <c r="AP90" s="622"/>
      <c r="AQ90" s="622"/>
      <c r="AR90" s="621">
        <f t="shared" si="60"/>
        <v>372</v>
      </c>
      <c r="AS90" s="622"/>
      <c r="AT90" s="622"/>
      <c r="AU90" s="621"/>
      <c r="AV90" s="621"/>
      <c r="AW90" s="592">
        <f t="shared" si="32"/>
        <v>372</v>
      </c>
      <c r="AX90" s="621"/>
      <c r="AY90" s="621"/>
      <c r="AZ90" s="621"/>
      <c r="BA90" s="621"/>
      <c r="BB90" s="621"/>
      <c r="BC90" s="621"/>
      <c r="BD90" s="621"/>
      <c r="BE90" s="623"/>
      <c r="BF90" s="602" t="s">
        <v>90</v>
      </c>
      <c r="BG90" s="603"/>
      <c r="BH90" s="604">
        <f t="shared" si="53"/>
        <v>62</v>
      </c>
      <c r="BI90" s="605">
        <f t="shared" si="54"/>
        <v>62</v>
      </c>
      <c r="BJ90" s="602">
        <f t="shared" si="55"/>
        <v>62</v>
      </c>
      <c r="BK90" s="602">
        <f t="shared" si="56"/>
        <v>62</v>
      </c>
      <c r="BL90" s="602">
        <f t="shared" si="57"/>
        <v>62</v>
      </c>
      <c r="BM90" s="602">
        <f t="shared" si="58"/>
        <v>62</v>
      </c>
      <c r="BN90" s="624"/>
      <c r="BO90" s="624"/>
      <c r="BP90" s="624"/>
      <c r="BQ90" s="624"/>
      <c r="BR90" s="624"/>
      <c r="BS90" s="624"/>
      <c r="BT90" s="607">
        <f t="shared" si="39"/>
        <v>372</v>
      </c>
      <c r="BU90" s="608">
        <f t="shared" si="40"/>
        <v>0</v>
      </c>
      <c r="BV90" s="517"/>
      <c r="BW90" s="491"/>
    </row>
    <row r="91" s="490" customFormat="1" ht="33" customHeight="1" spans="1:75">
      <c r="A91" s="577">
        <v>45636</v>
      </c>
      <c r="B91" s="581" t="s">
        <v>581</v>
      </c>
      <c r="C91" s="579" t="s">
        <v>246</v>
      </c>
      <c r="D91" s="638">
        <v>4500153593</v>
      </c>
      <c r="E91" s="588">
        <v>28797907</v>
      </c>
      <c r="F91" s="580" t="s">
        <v>587</v>
      </c>
      <c r="G91" s="582" t="s">
        <v>81</v>
      </c>
      <c r="H91" s="578" t="s">
        <v>95</v>
      </c>
      <c r="I91" s="583">
        <v>1128</v>
      </c>
      <c r="J91" s="583">
        <v>0</v>
      </c>
      <c r="K91" s="583">
        <v>6</v>
      </c>
      <c r="L91" s="584">
        <f t="shared" si="59"/>
        <v>188</v>
      </c>
      <c r="M91" s="585">
        <v>45726</v>
      </c>
      <c r="N91" s="585">
        <v>45722</v>
      </c>
      <c r="O91" s="586"/>
      <c r="P91" s="586" t="s">
        <v>83</v>
      </c>
      <c r="Q91" s="587" t="s">
        <v>583</v>
      </c>
      <c r="R91" s="586" t="s">
        <v>346</v>
      </c>
      <c r="S91" s="586"/>
      <c r="T91" s="586"/>
      <c r="U91" s="586" t="s">
        <v>86</v>
      </c>
      <c r="V91" s="586"/>
      <c r="W91" s="586"/>
      <c r="X91" s="588" t="s">
        <v>588</v>
      </c>
      <c r="Y91" s="618" t="s">
        <v>585</v>
      </c>
      <c r="Z91" s="590">
        <v>5.712</v>
      </c>
      <c r="AA91" s="591">
        <f t="shared" si="61"/>
        <v>6443.136</v>
      </c>
      <c r="AB91" s="619" t="s">
        <v>589</v>
      </c>
      <c r="AC91" s="582" t="s">
        <v>81</v>
      </c>
      <c r="AD91" s="592" t="s">
        <v>89</v>
      </c>
      <c r="AE91" s="620"/>
      <c r="AF91" s="620"/>
      <c r="AG91" s="595">
        <f>I90</f>
        <v>372</v>
      </c>
      <c r="AH91" s="620"/>
      <c r="AI91" s="620"/>
      <c r="AJ91" s="595"/>
      <c r="AK91" s="629"/>
      <c r="AL91" s="620"/>
      <c r="AM91" s="620"/>
      <c r="AN91" s="598">
        <f>I91</f>
        <v>1128</v>
      </c>
      <c r="AO91" s="621"/>
      <c r="AP91" s="622"/>
      <c r="AQ91" s="622"/>
      <c r="AR91" s="621">
        <f t="shared" si="60"/>
        <v>1128</v>
      </c>
      <c r="AS91" s="622"/>
      <c r="AT91" s="622"/>
      <c r="AU91" s="621"/>
      <c r="AV91" s="621"/>
      <c r="AW91" s="592">
        <f t="shared" si="32"/>
        <v>1128</v>
      </c>
      <c r="AX91" s="621"/>
      <c r="AY91" s="621"/>
      <c r="AZ91" s="621"/>
      <c r="BA91" s="621"/>
      <c r="BB91" s="621"/>
      <c r="BC91" s="621"/>
      <c r="BD91" s="621"/>
      <c r="BE91" s="623"/>
      <c r="BF91" s="602" t="s">
        <v>90</v>
      </c>
      <c r="BG91" s="603"/>
      <c r="BH91" s="604">
        <f t="shared" si="53"/>
        <v>188</v>
      </c>
      <c r="BI91" s="605">
        <f t="shared" si="54"/>
        <v>188</v>
      </c>
      <c r="BJ91" s="602">
        <f t="shared" si="55"/>
        <v>188</v>
      </c>
      <c r="BK91" s="602">
        <f t="shared" si="56"/>
        <v>188</v>
      </c>
      <c r="BL91" s="602">
        <f t="shared" si="57"/>
        <v>188</v>
      </c>
      <c r="BM91" s="602">
        <f t="shared" si="58"/>
        <v>188</v>
      </c>
      <c r="BN91" s="624"/>
      <c r="BO91" s="624"/>
      <c r="BP91" s="624"/>
      <c r="BQ91" s="624"/>
      <c r="BR91" s="624"/>
      <c r="BS91" s="624"/>
      <c r="BT91" s="607">
        <f t="shared" si="39"/>
        <v>1128</v>
      </c>
      <c r="BU91" s="608">
        <f t="shared" si="40"/>
        <v>0</v>
      </c>
      <c r="BV91" s="517"/>
      <c r="BW91" s="491"/>
    </row>
    <row r="92" s="490" customFormat="1" ht="33" customHeight="1" spans="1:75">
      <c r="A92" s="577">
        <v>45678</v>
      </c>
      <c r="B92" s="578" t="s">
        <v>590</v>
      </c>
      <c r="C92" s="579" t="s">
        <v>334</v>
      </c>
      <c r="D92" s="580">
        <v>4500156374</v>
      </c>
      <c r="E92" s="588"/>
      <c r="F92" s="580" t="s">
        <v>591</v>
      </c>
      <c r="G92" s="582" t="s">
        <v>81</v>
      </c>
      <c r="H92" s="578" t="s">
        <v>95</v>
      </c>
      <c r="I92" s="583">
        <v>720</v>
      </c>
      <c r="J92" s="583">
        <v>0</v>
      </c>
      <c r="K92" s="583">
        <v>6</v>
      </c>
      <c r="L92" s="584">
        <f t="shared" si="59"/>
        <v>120</v>
      </c>
      <c r="M92" s="585">
        <v>45726</v>
      </c>
      <c r="N92" s="585">
        <v>45722</v>
      </c>
      <c r="O92" s="586"/>
      <c r="P92" s="586" t="s">
        <v>83</v>
      </c>
      <c r="Q92" s="636" t="s">
        <v>592</v>
      </c>
      <c r="R92" s="586" t="s">
        <v>593</v>
      </c>
      <c r="S92" s="586"/>
      <c r="T92" s="586"/>
      <c r="U92" s="586" t="s">
        <v>594</v>
      </c>
      <c r="V92" s="586"/>
      <c r="W92" s="586"/>
      <c r="X92" s="588" t="s">
        <v>595</v>
      </c>
      <c r="Y92" s="618" t="s">
        <v>243</v>
      </c>
      <c r="Z92" s="590">
        <v>5.905</v>
      </c>
      <c r="AA92" s="591">
        <f t="shared" si="61"/>
        <v>4251.6</v>
      </c>
      <c r="AB92" s="619" t="s">
        <v>596</v>
      </c>
      <c r="AC92" s="582" t="s">
        <v>235</v>
      </c>
      <c r="AD92" s="592" t="s">
        <v>89</v>
      </c>
      <c r="AE92" s="620"/>
      <c r="AF92" s="620"/>
      <c r="AG92" s="595"/>
      <c r="AH92" s="620"/>
      <c r="AI92" s="620"/>
      <c r="AJ92" s="595">
        <f>I92</f>
        <v>720</v>
      </c>
      <c r="AK92" s="629"/>
      <c r="AL92" s="620"/>
      <c r="AM92" s="620"/>
      <c r="AN92" s="598">
        <f>I92</f>
        <v>720</v>
      </c>
      <c r="AO92" s="621"/>
      <c r="AP92" s="622"/>
      <c r="AQ92" s="622"/>
      <c r="AR92" s="621"/>
      <c r="AS92" s="622"/>
      <c r="AT92" s="622"/>
      <c r="AU92" s="621">
        <f>I92</f>
        <v>720</v>
      </c>
      <c r="AV92" s="621"/>
      <c r="AW92" s="592">
        <f t="shared" si="32"/>
        <v>720</v>
      </c>
      <c r="AX92" s="621"/>
      <c r="AY92" s="621"/>
      <c r="AZ92" s="621"/>
      <c r="BA92" s="621"/>
      <c r="BB92" s="621"/>
      <c r="BC92" s="621"/>
      <c r="BD92" s="621"/>
      <c r="BE92" s="623"/>
      <c r="BF92" s="602" t="s">
        <v>90</v>
      </c>
      <c r="BG92" s="603"/>
      <c r="BH92" s="604">
        <f t="shared" si="53"/>
        <v>120</v>
      </c>
      <c r="BI92" s="605">
        <f t="shared" si="54"/>
        <v>120</v>
      </c>
      <c r="BJ92" s="602">
        <f t="shared" si="55"/>
        <v>120</v>
      </c>
      <c r="BK92" s="602">
        <f t="shared" si="56"/>
        <v>120</v>
      </c>
      <c r="BL92" s="602">
        <f t="shared" si="57"/>
        <v>120</v>
      </c>
      <c r="BM92" s="602">
        <f t="shared" si="58"/>
        <v>120</v>
      </c>
      <c r="BN92" s="624"/>
      <c r="BO92" s="624"/>
      <c r="BP92" s="624"/>
      <c r="BQ92" s="624"/>
      <c r="BR92" s="624"/>
      <c r="BS92" s="624"/>
      <c r="BT92" s="607">
        <f t="shared" si="39"/>
        <v>720</v>
      </c>
      <c r="BU92" s="608">
        <f t="shared" si="40"/>
        <v>0</v>
      </c>
      <c r="BV92" s="517"/>
      <c r="BW92" s="491"/>
    </row>
    <row r="93" s="490" customFormat="1" ht="33" customHeight="1" spans="1:75">
      <c r="A93" s="577">
        <v>45700</v>
      </c>
      <c r="B93" s="581" t="s">
        <v>139</v>
      </c>
      <c r="C93" s="579" t="s">
        <v>140</v>
      </c>
      <c r="D93" s="580">
        <v>4500157394</v>
      </c>
      <c r="E93" s="588">
        <v>5000001791</v>
      </c>
      <c r="F93" s="580" t="s">
        <v>597</v>
      </c>
      <c r="G93" s="582" t="s">
        <v>81</v>
      </c>
      <c r="H93" s="578" t="s">
        <v>95</v>
      </c>
      <c r="I93" s="583">
        <v>2400</v>
      </c>
      <c r="J93" s="583">
        <v>0</v>
      </c>
      <c r="K93" s="583">
        <v>6</v>
      </c>
      <c r="L93" s="584">
        <f t="shared" si="59"/>
        <v>400</v>
      </c>
      <c r="M93" s="585">
        <v>45728</v>
      </c>
      <c r="N93" s="585">
        <v>45724</v>
      </c>
      <c r="O93" s="586"/>
      <c r="P93" s="586" t="s">
        <v>83</v>
      </c>
      <c r="Q93" s="636" t="s">
        <v>542</v>
      </c>
      <c r="R93" s="586" t="s">
        <v>572</v>
      </c>
      <c r="S93" s="586"/>
      <c r="T93" s="586"/>
      <c r="U93" s="586" t="s">
        <v>598</v>
      </c>
      <c r="V93" s="586" t="s">
        <v>599</v>
      </c>
      <c r="W93" s="586"/>
      <c r="X93" s="588" t="s">
        <v>600</v>
      </c>
      <c r="Y93" s="618" t="s">
        <v>576</v>
      </c>
      <c r="Z93" s="590">
        <v>5.6846</v>
      </c>
      <c r="AA93" s="591">
        <f t="shared" si="61"/>
        <v>13643.04</v>
      </c>
      <c r="AB93" s="619" t="s">
        <v>601</v>
      </c>
      <c r="AC93" s="582" t="s">
        <v>149</v>
      </c>
      <c r="AD93" s="592" t="s">
        <v>89</v>
      </c>
      <c r="AE93" s="620"/>
      <c r="AF93" s="620"/>
      <c r="AG93" s="595">
        <f>I93</f>
        <v>2400</v>
      </c>
      <c r="AH93" s="620"/>
      <c r="AI93" s="620"/>
      <c r="AJ93" s="595"/>
      <c r="AK93" s="629"/>
      <c r="AL93" s="620"/>
      <c r="AM93" s="620"/>
      <c r="AN93" s="598"/>
      <c r="AO93" s="621">
        <f>I93</f>
        <v>2400</v>
      </c>
      <c r="AP93" s="622"/>
      <c r="AQ93" s="622"/>
      <c r="AR93" s="621">
        <f>I93</f>
        <v>2400</v>
      </c>
      <c r="AS93" s="622"/>
      <c r="AT93" s="622"/>
      <c r="AU93" s="621"/>
      <c r="AV93" s="621"/>
      <c r="AW93" s="592">
        <f t="shared" si="32"/>
        <v>2400</v>
      </c>
      <c r="AX93" s="621"/>
      <c r="AY93" s="621"/>
      <c r="AZ93" s="621"/>
      <c r="BA93" s="621"/>
      <c r="BB93" s="621"/>
      <c r="BC93" s="621"/>
      <c r="BD93" s="621"/>
      <c r="BE93" s="623"/>
      <c r="BF93" s="602" t="s">
        <v>407</v>
      </c>
      <c r="BG93" s="603"/>
      <c r="BH93" s="604">
        <f t="shared" si="53"/>
        <v>400</v>
      </c>
      <c r="BI93" s="605">
        <f t="shared" si="54"/>
        <v>400</v>
      </c>
      <c r="BJ93" s="602">
        <f t="shared" si="55"/>
        <v>400</v>
      </c>
      <c r="BK93" s="602">
        <f t="shared" si="56"/>
        <v>400</v>
      </c>
      <c r="BL93" s="602">
        <f t="shared" si="57"/>
        <v>400</v>
      </c>
      <c r="BM93" s="602">
        <f t="shared" si="58"/>
        <v>400</v>
      </c>
      <c r="BN93" s="624"/>
      <c r="BO93" s="624"/>
      <c r="BP93" s="624"/>
      <c r="BQ93" s="624"/>
      <c r="BR93" s="624"/>
      <c r="BS93" s="624"/>
      <c r="BT93" s="607">
        <f t="shared" si="39"/>
        <v>2400</v>
      </c>
      <c r="BU93" s="608">
        <f t="shared" si="40"/>
        <v>0</v>
      </c>
      <c r="BV93" s="517"/>
      <c r="BW93" s="491"/>
    </row>
    <row r="94" s="490" customFormat="1" ht="33" customHeight="1" spans="1:75">
      <c r="A94" s="577">
        <v>45700</v>
      </c>
      <c r="B94" s="581" t="s">
        <v>139</v>
      </c>
      <c r="C94" s="579" t="s">
        <v>140</v>
      </c>
      <c r="D94" s="580">
        <v>4500157394</v>
      </c>
      <c r="E94" s="588">
        <v>5000001791</v>
      </c>
      <c r="F94" s="580" t="s">
        <v>602</v>
      </c>
      <c r="G94" s="582" t="s">
        <v>81</v>
      </c>
      <c r="H94" s="578" t="s">
        <v>95</v>
      </c>
      <c r="I94" s="583">
        <v>3600</v>
      </c>
      <c r="J94" s="583">
        <v>0</v>
      </c>
      <c r="K94" s="583">
        <v>6</v>
      </c>
      <c r="L94" s="584">
        <f t="shared" si="59"/>
        <v>600</v>
      </c>
      <c r="M94" s="585">
        <v>45728</v>
      </c>
      <c r="N94" s="585">
        <v>45724</v>
      </c>
      <c r="O94" s="586"/>
      <c r="P94" s="586" t="s">
        <v>83</v>
      </c>
      <c r="Q94" s="636" t="s">
        <v>542</v>
      </c>
      <c r="R94" s="586" t="s">
        <v>572</v>
      </c>
      <c r="S94" s="586"/>
      <c r="T94" s="586"/>
      <c r="U94" s="586" t="s">
        <v>598</v>
      </c>
      <c r="V94" s="586" t="s">
        <v>599</v>
      </c>
      <c r="W94" s="586"/>
      <c r="X94" s="588" t="s">
        <v>600</v>
      </c>
      <c r="Y94" s="618" t="s">
        <v>576</v>
      </c>
      <c r="Z94" s="590">
        <v>5.6846</v>
      </c>
      <c r="AA94" s="591">
        <f t="shared" si="61"/>
        <v>20464.56</v>
      </c>
      <c r="AB94" s="619" t="s">
        <v>601</v>
      </c>
      <c r="AC94" s="582" t="s">
        <v>149</v>
      </c>
      <c r="AD94" s="592" t="s">
        <v>89</v>
      </c>
      <c r="AE94" s="620"/>
      <c r="AF94" s="620"/>
      <c r="AG94" s="595">
        <f>I94</f>
        <v>3600</v>
      </c>
      <c r="AH94" s="620"/>
      <c r="AI94" s="620"/>
      <c r="AJ94" s="595"/>
      <c r="AK94" s="629"/>
      <c r="AL94" s="620"/>
      <c r="AM94" s="620"/>
      <c r="AN94" s="598"/>
      <c r="AO94" s="621">
        <f>I94</f>
        <v>3600</v>
      </c>
      <c r="AP94" s="622"/>
      <c r="AQ94" s="622"/>
      <c r="AR94" s="621">
        <f>I94</f>
        <v>3600</v>
      </c>
      <c r="AS94" s="622"/>
      <c r="AT94" s="622"/>
      <c r="AU94" s="621"/>
      <c r="AV94" s="621"/>
      <c r="AW94" s="592">
        <f t="shared" si="32"/>
        <v>3600</v>
      </c>
      <c r="AX94" s="621"/>
      <c r="AY94" s="621"/>
      <c r="AZ94" s="621"/>
      <c r="BA94" s="621"/>
      <c r="BB94" s="621"/>
      <c r="BC94" s="621"/>
      <c r="BD94" s="621"/>
      <c r="BE94" s="623"/>
      <c r="BF94" s="602" t="s">
        <v>407</v>
      </c>
      <c r="BG94" s="603"/>
      <c r="BH94" s="604">
        <f t="shared" si="53"/>
        <v>600</v>
      </c>
      <c r="BI94" s="605">
        <f t="shared" si="54"/>
        <v>600</v>
      </c>
      <c r="BJ94" s="602">
        <f t="shared" si="55"/>
        <v>600</v>
      </c>
      <c r="BK94" s="602">
        <f t="shared" si="56"/>
        <v>600</v>
      </c>
      <c r="BL94" s="602">
        <f t="shared" si="57"/>
        <v>600</v>
      </c>
      <c r="BM94" s="602">
        <f t="shared" si="58"/>
        <v>600</v>
      </c>
      <c r="BN94" s="624"/>
      <c r="BO94" s="624"/>
      <c r="BP94" s="624"/>
      <c r="BQ94" s="624"/>
      <c r="BR94" s="624"/>
      <c r="BS94" s="624"/>
      <c r="BT94" s="607">
        <f t="shared" si="39"/>
        <v>3600</v>
      </c>
      <c r="BU94" s="608">
        <f t="shared" si="40"/>
        <v>0</v>
      </c>
      <c r="BV94" s="517"/>
      <c r="BW94" s="491"/>
    </row>
    <row r="95" s="490" customFormat="1" ht="33" customHeight="1" spans="1:75">
      <c r="A95" s="577">
        <v>45677</v>
      </c>
      <c r="B95" s="581" t="s">
        <v>254</v>
      </c>
      <c r="C95" s="579" t="s">
        <v>255</v>
      </c>
      <c r="D95" s="580">
        <v>4500156224</v>
      </c>
      <c r="E95" s="588">
        <v>20611030</v>
      </c>
      <c r="F95" s="580" t="s">
        <v>603</v>
      </c>
      <c r="G95" s="582" t="s">
        <v>81</v>
      </c>
      <c r="H95" s="578" t="s">
        <v>95</v>
      </c>
      <c r="I95" s="583">
        <v>1500</v>
      </c>
      <c r="J95" s="583">
        <v>0</v>
      </c>
      <c r="K95" s="583">
        <v>6</v>
      </c>
      <c r="L95" s="584">
        <f t="shared" si="59"/>
        <v>250</v>
      </c>
      <c r="M95" s="585">
        <v>45730</v>
      </c>
      <c r="N95" s="585">
        <v>45726</v>
      </c>
      <c r="O95" s="586"/>
      <c r="P95" s="586" t="s">
        <v>83</v>
      </c>
      <c r="Q95" s="636" t="s">
        <v>604</v>
      </c>
      <c r="R95" s="586" t="s">
        <v>605</v>
      </c>
      <c r="S95" s="586"/>
      <c r="T95" s="586"/>
      <c r="U95" s="586" t="s">
        <v>606</v>
      </c>
      <c r="V95" s="586"/>
      <c r="W95" s="586"/>
      <c r="X95" s="588" t="s">
        <v>607</v>
      </c>
      <c r="Y95" s="618" t="s">
        <v>252</v>
      </c>
      <c r="Z95" s="590">
        <v>6.2908</v>
      </c>
      <c r="AA95" s="591">
        <f t="shared" ref="AA95:AA105" si="62">Z95*I95</f>
        <v>9436.2</v>
      </c>
      <c r="AB95" s="619" t="s">
        <v>608</v>
      </c>
      <c r="AC95" s="582" t="s">
        <v>81</v>
      </c>
      <c r="AD95" s="592" t="s">
        <v>89</v>
      </c>
      <c r="AE95" s="620"/>
      <c r="AF95" s="620"/>
      <c r="AG95" s="595">
        <f>I95</f>
        <v>1500</v>
      </c>
      <c r="AH95" s="620"/>
      <c r="AI95" s="620"/>
      <c r="AJ95" s="595"/>
      <c r="AK95" s="629"/>
      <c r="AL95" s="620"/>
      <c r="AM95" s="620"/>
      <c r="AN95" s="598">
        <f t="shared" ref="AN95:AN102" si="63">I95</f>
        <v>1500</v>
      </c>
      <c r="AO95" s="621"/>
      <c r="AP95" s="622"/>
      <c r="AQ95" s="622"/>
      <c r="AR95" s="621">
        <f>I95</f>
        <v>1500</v>
      </c>
      <c r="AS95" s="622"/>
      <c r="AT95" s="622"/>
      <c r="AU95" s="621"/>
      <c r="AV95" s="621"/>
      <c r="AW95" s="592">
        <f t="shared" si="32"/>
        <v>1500</v>
      </c>
      <c r="AX95" s="621"/>
      <c r="AY95" s="621"/>
      <c r="AZ95" s="621"/>
      <c r="BA95" s="621"/>
      <c r="BB95" s="621"/>
      <c r="BC95" s="621"/>
      <c r="BD95" s="621"/>
      <c r="BE95" s="623"/>
      <c r="BF95" s="602" t="s">
        <v>90</v>
      </c>
      <c r="BG95" s="603"/>
      <c r="BH95" s="604">
        <f t="shared" si="53"/>
        <v>250</v>
      </c>
      <c r="BI95" s="605">
        <f t="shared" si="54"/>
        <v>250</v>
      </c>
      <c r="BJ95" s="602">
        <f t="shared" si="55"/>
        <v>250</v>
      </c>
      <c r="BK95" s="602">
        <f t="shared" si="56"/>
        <v>250</v>
      </c>
      <c r="BL95" s="602">
        <f t="shared" si="57"/>
        <v>250</v>
      </c>
      <c r="BM95" s="602">
        <f t="shared" si="58"/>
        <v>250</v>
      </c>
      <c r="BN95" s="624"/>
      <c r="BO95" s="624"/>
      <c r="BP95" s="624"/>
      <c r="BQ95" s="624"/>
      <c r="BR95" s="624"/>
      <c r="BS95" s="624"/>
      <c r="BT95" s="607">
        <f t="shared" si="39"/>
        <v>1500</v>
      </c>
      <c r="BU95" s="608">
        <f t="shared" si="40"/>
        <v>0</v>
      </c>
      <c r="BV95" s="517"/>
      <c r="BW95" s="491"/>
    </row>
    <row r="96" s="490" customFormat="1" ht="33" customHeight="1" spans="1:75">
      <c r="A96" s="577">
        <v>45677</v>
      </c>
      <c r="B96" s="581" t="s">
        <v>609</v>
      </c>
      <c r="C96" s="579" t="s">
        <v>246</v>
      </c>
      <c r="D96" s="580">
        <v>4500156115</v>
      </c>
      <c r="E96" s="588">
        <v>7631985</v>
      </c>
      <c r="F96" s="580" t="s">
        <v>610</v>
      </c>
      <c r="G96" s="582" t="s">
        <v>122</v>
      </c>
      <c r="H96" s="578" t="s">
        <v>123</v>
      </c>
      <c r="I96" s="583">
        <v>252</v>
      </c>
      <c r="J96" s="583">
        <v>0</v>
      </c>
      <c r="K96" s="583">
        <v>4</v>
      </c>
      <c r="L96" s="584">
        <f t="shared" si="59"/>
        <v>63</v>
      </c>
      <c r="M96" s="585">
        <v>45730</v>
      </c>
      <c r="N96" s="585">
        <v>45726</v>
      </c>
      <c r="O96" s="586"/>
      <c r="P96" s="586" t="s">
        <v>83</v>
      </c>
      <c r="Q96" s="636" t="s">
        <v>611</v>
      </c>
      <c r="R96" s="586" t="s">
        <v>605</v>
      </c>
      <c r="S96" s="586"/>
      <c r="T96" s="586"/>
      <c r="U96" s="586" t="s">
        <v>612</v>
      </c>
      <c r="V96" s="586"/>
      <c r="W96" s="586"/>
      <c r="X96" s="588" t="s">
        <v>613</v>
      </c>
      <c r="Y96" s="618" t="s">
        <v>137</v>
      </c>
      <c r="Z96" s="590">
        <v>5.6717</v>
      </c>
      <c r="AA96" s="591">
        <f t="shared" si="62"/>
        <v>1429.2684</v>
      </c>
      <c r="AB96" s="619" t="s">
        <v>614</v>
      </c>
      <c r="AC96" s="582" t="s">
        <v>122</v>
      </c>
      <c r="AD96" s="592" t="s">
        <v>89</v>
      </c>
      <c r="AE96" s="620"/>
      <c r="AF96" s="620"/>
      <c r="AG96" s="595"/>
      <c r="AH96" s="620"/>
      <c r="AI96" s="620"/>
      <c r="AJ96" s="595">
        <f>I96</f>
        <v>252</v>
      </c>
      <c r="AK96" s="629"/>
      <c r="AL96" s="620"/>
      <c r="AM96" s="620"/>
      <c r="AN96" s="598">
        <f t="shared" si="63"/>
        <v>252</v>
      </c>
      <c r="AO96" s="621"/>
      <c r="AP96" s="622"/>
      <c r="AQ96" s="622"/>
      <c r="AR96" s="621"/>
      <c r="AS96" s="622"/>
      <c r="AT96" s="622"/>
      <c r="AU96" s="621">
        <f>I96</f>
        <v>252</v>
      </c>
      <c r="AV96" s="621"/>
      <c r="AW96" s="592">
        <f t="shared" si="32"/>
        <v>252</v>
      </c>
      <c r="AX96" s="621"/>
      <c r="AY96" s="621"/>
      <c r="AZ96" s="621"/>
      <c r="BA96" s="621"/>
      <c r="BB96" s="621"/>
      <c r="BC96" s="621"/>
      <c r="BD96" s="621"/>
      <c r="BE96" s="623"/>
      <c r="BF96" s="602" t="s">
        <v>90</v>
      </c>
      <c r="BG96" s="603"/>
      <c r="BH96" s="604"/>
      <c r="BI96" s="602">
        <f>I96</f>
        <v>252</v>
      </c>
      <c r="BJ96" s="602"/>
      <c r="BK96" s="602"/>
      <c r="BL96" s="602"/>
      <c r="BM96" s="602"/>
      <c r="BN96" s="624"/>
      <c r="BO96" s="624"/>
      <c r="BP96" s="624"/>
      <c r="BQ96" s="624"/>
      <c r="BR96" s="624"/>
      <c r="BS96" s="624"/>
      <c r="BT96" s="607">
        <f t="shared" si="39"/>
        <v>252</v>
      </c>
      <c r="BU96" s="608">
        <f t="shared" si="40"/>
        <v>0</v>
      </c>
      <c r="BV96" s="517"/>
      <c r="BW96" s="491"/>
    </row>
    <row r="97" s="490" customFormat="1" ht="33" customHeight="1" spans="1:75">
      <c r="A97" s="577">
        <v>45677</v>
      </c>
      <c r="B97" s="581" t="s">
        <v>609</v>
      </c>
      <c r="C97" s="579" t="s">
        <v>246</v>
      </c>
      <c r="D97" s="580">
        <v>4500156115</v>
      </c>
      <c r="E97" s="588">
        <v>7631985</v>
      </c>
      <c r="F97" s="580" t="s">
        <v>615</v>
      </c>
      <c r="G97" s="582" t="s">
        <v>616</v>
      </c>
      <c r="H97" s="578" t="s">
        <v>617</v>
      </c>
      <c r="I97" s="583">
        <v>252</v>
      </c>
      <c r="J97" s="583">
        <v>0</v>
      </c>
      <c r="K97" s="583">
        <v>4</v>
      </c>
      <c r="L97" s="584">
        <f t="shared" ref="L97:L110" si="64">I97/K97</f>
        <v>63</v>
      </c>
      <c r="M97" s="585">
        <v>45730</v>
      </c>
      <c r="N97" s="585">
        <v>45726</v>
      </c>
      <c r="O97" s="586"/>
      <c r="P97" s="586" t="s">
        <v>83</v>
      </c>
      <c r="Q97" s="636" t="s">
        <v>611</v>
      </c>
      <c r="R97" s="586" t="s">
        <v>605</v>
      </c>
      <c r="S97" s="586"/>
      <c r="T97" s="586"/>
      <c r="U97" s="586" t="s">
        <v>612</v>
      </c>
      <c r="V97" s="586"/>
      <c r="W97" s="586"/>
      <c r="X97" s="588" t="s">
        <v>618</v>
      </c>
      <c r="Y97" s="618" t="s">
        <v>137</v>
      </c>
      <c r="Z97" s="590">
        <v>5.6717</v>
      </c>
      <c r="AA97" s="591">
        <f t="shared" si="62"/>
        <v>1429.2684</v>
      </c>
      <c r="AB97" s="619" t="s">
        <v>614</v>
      </c>
      <c r="AC97" s="582" t="s">
        <v>616</v>
      </c>
      <c r="AD97" s="592" t="s">
        <v>89</v>
      </c>
      <c r="AE97" s="620"/>
      <c r="AF97" s="620"/>
      <c r="AG97" s="595"/>
      <c r="AH97" s="620"/>
      <c r="AI97" s="620"/>
      <c r="AJ97" s="595">
        <f>I97</f>
        <v>252</v>
      </c>
      <c r="AK97" s="629"/>
      <c r="AL97" s="620"/>
      <c r="AM97" s="620"/>
      <c r="AN97" s="598">
        <f t="shared" si="63"/>
        <v>252</v>
      </c>
      <c r="AO97" s="621"/>
      <c r="AP97" s="622"/>
      <c r="AQ97" s="622"/>
      <c r="AR97" s="621"/>
      <c r="AS97" s="622"/>
      <c r="AT97" s="622"/>
      <c r="AU97" s="621">
        <f>I97</f>
        <v>252</v>
      </c>
      <c r="AV97" s="621"/>
      <c r="AW97" s="592">
        <f t="shared" si="32"/>
        <v>252</v>
      </c>
      <c r="AX97" s="621"/>
      <c r="AY97" s="621"/>
      <c r="AZ97" s="621"/>
      <c r="BA97" s="621"/>
      <c r="BB97" s="621"/>
      <c r="BC97" s="621"/>
      <c r="BD97" s="621"/>
      <c r="BE97" s="623"/>
      <c r="BF97" s="602" t="s">
        <v>90</v>
      </c>
      <c r="BG97" s="603"/>
      <c r="BH97" s="604">
        <f>I97</f>
        <v>252</v>
      </c>
      <c r="BI97" s="605"/>
      <c r="BJ97" s="602"/>
      <c r="BK97" s="602"/>
      <c r="BL97" s="602"/>
      <c r="BM97" s="602"/>
      <c r="BN97" s="624"/>
      <c r="BO97" s="624"/>
      <c r="BP97" s="624"/>
      <c r="BQ97" s="624"/>
      <c r="BR97" s="624"/>
      <c r="BS97" s="624"/>
      <c r="BT97" s="607">
        <f t="shared" si="39"/>
        <v>252</v>
      </c>
      <c r="BU97" s="608">
        <f t="shared" si="40"/>
        <v>0</v>
      </c>
      <c r="BV97" s="517"/>
      <c r="BW97" s="491"/>
    </row>
    <row r="98" s="490" customFormat="1" ht="33" customHeight="1" spans="1:75">
      <c r="A98" s="577">
        <v>45677</v>
      </c>
      <c r="B98" s="581" t="s">
        <v>609</v>
      </c>
      <c r="C98" s="579" t="s">
        <v>246</v>
      </c>
      <c r="D98" s="580">
        <v>4500156115</v>
      </c>
      <c r="E98" s="588">
        <v>7631985</v>
      </c>
      <c r="F98" s="580" t="s">
        <v>619</v>
      </c>
      <c r="G98" s="582" t="s">
        <v>620</v>
      </c>
      <c r="H98" s="578" t="s">
        <v>621</v>
      </c>
      <c r="I98" s="583">
        <v>252</v>
      </c>
      <c r="J98" s="583">
        <v>0</v>
      </c>
      <c r="K98" s="583">
        <v>4</v>
      </c>
      <c r="L98" s="584">
        <f t="shared" si="64"/>
        <v>63</v>
      </c>
      <c r="M98" s="585">
        <v>45730</v>
      </c>
      <c r="N98" s="585">
        <v>45726</v>
      </c>
      <c r="O98" s="586"/>
      <c r="P98" s="586" t="s">
        <v>83</v>
      </c>
      <c r="Q98" s="636" t="s">
        <v>611</v>
      </c>
      <c r="R98" s="586" t="s">
        <v>605</v>
      </c>
      <c r="S98" s="586"/>
      <c r="T98" s="586"/>
      <c r="U98" s="586" t="s">
        <v>612</v>
      </c>
      <c r="V98" s="586"/>
      <c r="W98" s="586"/>
      <c r="X98" s="588" t="s">
        <v>622</v>
      </c>
      <c r="Y98" s="618" t="s">
        <v>137</v>
      </c>
      <c r="Z98" s="590">
        <v>5.6717</v>
      </c>
      <c r="AA98" s="591">
        <f t="shared" si="62"/>
        <v>1429.2684</v>
      </c>
      <c r="AB98" s="619" t="s">
        <v>614</v>
      </c>
      <c r="AC98" s="582" t="s">
        <v>620</v>
      </c>
      <c r="AD98" s="592" t="s">
        <v>89</v>
      </c>
      <c r="AE98" s="620"/>
      <c r="AF98" s="620"/>
      <c r="AG98" s="595"/>
      <c r="AH98" s="620"/>
      <c r="AI98" s="620"/>
      <c r="AJ98" s="595">
        <f>I98</f>
        <v>252</v>
      </c>
      <c r="AK98" s="629"/>
      <c r="AL98" s="620"/>
      <c r="AM98" s="620"/>
      <c r="AN98" s="598">
        <f t="shared" si="63"/>
        <v>252</v>
      </c>
      <c r="AO98" s="621"/>
      <c r="AP98" s="622"/>
      <c r="AQ98" s="622"/>
      <c r="AR98" s="621"/>
      <c r="AS98" s="622"/>
      <c r="AT98" s="622"/>
      <c r="AU98" s="621">
        <f>I98</f>
        <v>252</v>
      </c>
      <c r="AV98" s="621"/>
      <c r="AW98" s="592">
        <f t="shared" si="32"/>
        <v>252</v>
      </c>
      <c r="AX98" s="621"/>
      <c r="AY98" s="621"/>
      <c r="AZ98" s="621"/>
      <c r="BA98" s="621"/>
      <c r="BB98" s="621"/>
      <c r="BC98" s="621"/>
      <c r="BD98" s="621"/>
      <c r="BE98" s="623"/>
      <c r="BF98" s="602" t="s">
        <v>90</v>
      </c>
      <c r="BG98" s="603"/>
      <c r="BH98" s="604"/>
      <c r="BI98" s="605"/>
      <c r="BJ98" s="602"/>
      <c r="BK98" s="602">
        <f>I98</f>
        <v>252</v>
      </c>
      <c r="BL98" s="602"/>
      <c r="BM98" s="602"/>
      <c r="BN98" s="624"/>
      <c r="BO98" s="624"/>
      <c r="BP98" s="624"/>
      <c r="BQ98" s="624"/>
      <c r="BR98" s="624"/>
      <c r="BS98" s="624"/>
      <c r="BT98" s="607">
        <f t="shared" si="39"/>
        <v>252</v>
      </c>
      <c r="BU98" s="608">
        <f t="shared" si="40"/>
        <v>0</v>
      </c>
      <c r="BV98" s="517"/>
      <c r="BW98" s="491"/>
    </row>
    <row r="99" s="490" customFormat="1" ht="33" customHeight="1" spans="1:75">
      <c r="A99" s="577">
        <v>45677</v>
      </c>
      <c r="B99" s="581" t="s">
        <v>609</v>
      </c>
      <c r="C99" s="579" t="s">
        <v>246</v>
      </c>
      <c r="D99" s="580">
        <v>4500156115</v>
      </c>
      <c r="E99" s="588">
        <v>7631985</v>
      </c>
      <c r="F99" s="580" t="s">
        <v>623</v>
      </c>
      <c r="G99" s="582" t="s">
        <v>624</v>
      </c>
      <c r="H99" s="578" t="s">
        <v>625</v>
      </c>
      <c r="I99" s="583">
        <v>252</v>
      </c>
      <c r="J99" s="583">
        <v>0</v>
      </c>
      <c r="K99" s="583">
        <v>4</v>
      </c>
      <c r="L99" s="584">
        <f t="shared" si="64"/>
        <v>63</v>
      </c>
      <c r="M99" s="585">
        <v>45730</v>
      </c>
      <c r="N99" s="585">
        <v>45726</v>
      </c>
      <c r="O99" s="586"/>
      <c r="P99" s="586" t="s">
        <v>83</v>
      </c>
      <c r="Q99" s="636" t="s">
        <v>611</v>
      </c>
      <c r="R99" s="586" t="s">
        <v>605</v>
      </c>
      <c r="S99" s="586"/>
      <c r="T99" s="586"/>
      <c r="U99" s="586" t="s">
        <v>612</v>
      </c>
      <c r="V99" s="586"/>
      <c r="W99" s="586"/>
      <c r="X99" s="588" t="s">
        <v>626</v>
      </c>
      <c r="Y99" s="618" t="s">
        <v>137</v>
      </c>
      <c r="Z99" s="590">
        <v>5.6717</v>
      </c>
      <c r="AA99" s="591">
        <f t="shared" si="62"/>
        <v>1429.2684</v>
      </c>
      <c r="AB99" s="619" t="s">
        <v>614</v>
      </c>
      <c r="AC99" s="582" t="s">
        <v>624</v>
      </c>
      <c r="AD99" s="592" t="s">
        <v>89</v>
      </c>
      <c r="AE99" s="620"/>
      <c r="AF99" s="620"/>
      <c r="AG99" s="595"/>
      <c r="AH99" s="620"/>
      <c r="AI99" s="620"/>
      <c r="AJ99" s="595">
        <f>I99</f>
        <v>252</v>
      </c>
      <c r="AK99" s="629"/>
      <c r="AL99" s="620"/>
      <c r="AM99" s="620"/>
      <c r="AN99" s="598">
        <f t="shared" si="63"/>
        <v>252</v>
      </c>
      <c r="AO99" s="621"/>
      <c r="AP99" s="622"/>
      <c r="AQ99" s="622"/>
      <c r="AR99" s="621"/>
      <c r="AS99" s="622"/>
      <c r="AT99" s="622"/>
      <c r="AU99" s="621">
        <f>I99</f>
        <v>252</v>
      </c>
      <c r="AV99" s="621"/>
      <c r="AW99" s="592">
        <f t="shared" si="32"/>
        <v>252</v>
      </c>
      <c r="AX99" s="621"/>
      <c r="AY99" s="621"/>
      <c r="AZ99" s="621"/>
      <c r="BA99" s="621"/>
      <c r="BB99" s="621"/>
      <c r="BC99" s="621"/>
      <c r="BD99" s="621"/>
      <c r="BE99" s="623"/>
      <c r="BF99" s="602" t="s">
        <v>90</v>
      </c>
      <c r="BG99" s="603"/>
      <c r="BH99" s="604"/>
      <c r="BI99" s="605"/>
      <c r="BJ99" s="602">
        <f>I99</f>
        <v>252</v>
      </c>
      <c r="BK99" s="602"/>
      <c r="BL99" s="602"/>
      <c r="BM99" s="602"/>
      <c r="BN99" s="624"/>
      <c r="BO99" s="624"/>
      <c r="BP99" s="624"/>
      <c r="BQ99" s="624"/>
      <c r="BR99" s="624"/>
      <c r="BS99" s="624"/>
      <c r="BT99" s="607">
        <f t="shared" si="39"/>
        <v>252</v>
      </c>
      <c r="BU99" s="608">
        <f t="shared" si="40"/>
        <v>0</v>
      </c>
      <c r="BV99" s="517"/>
      <c r="BW99" s="491"/>
    </row>
    <row r="100" s="490" customFormat="1" ht="33" customHeight="1" spans="1:75">
      <c r="A100" s="577">
        <v>45696</v>
      </c>
      <c r="B100" s="581" t="s">
        <v>627</v>
      </c>
      <c r="C100" s="579" t="s">
        <v>628</v>
      </c>
      <c r="D100" s="580">
        <v>4500157001</v>
      </c>
      <c r="E100" s="588" t="s">
        <v>629</v>
      </c>
      <c r="F100" s="580" t="s">
        <v>630</v>
      </c>
      <c r="G100" s="582" t="s">
        <v>81</v>
      </c>
      <c r="H100" s="578" t="s">
        <v>95</v>
      </c>
      <c r="I100" s="583">
        <v>600</v>
      </c>
      <c r="J100" s="583">
        <v>0</v>
      </c>
      <c r="K100" s="583">
        <v>6</v>
      </c>
      <c r="L100" s="584">
        <f t="shared" si="64"/>
        <v>100</v>
      </c>
      <c r="M100" s="585">
        <v>45730</v>
      </c>
      <c r="N100" s="585">
        <v>45726</v>
      </c>
      <c r="O100" s="586"/>
      <c r="P100" s="586" t="s">
        <v>83</v>
      </c>
      <c r="Q100" s="587" t="s">
        <v>631</v>
      </c>
      <c r="R100" s="586" t="s">
        <v>632</v>
      </c>
      <c r="S100" s="586"/>
      <c r="T100" s="586"/>
      <c r="U100" s="586" t="s">
        <v>633</v>
      </c>
      <c r="V100" s="586"/>
      <c r="W100" s="586"/>
      <c r="X100" s="588" t="s">
        <v>634</v>
      </c>
      <c r="Y100" s="618" t="s">
        <v>116</v>
      </c>
      <c r="Z100" s="590">
        <v>5.7196</v>
      </c>
      <c r="AA100" s="591">
        <f t="shared" si="62"/>
        <v>3431.76</v>
      </c>
      <c r="AB100" s="619" t="s">
        <v>635</v>
      </c>
      <c r="AC100" s="582" t="s">
        <v>81</v>
      </c>
      <c r="AD100" s="592" t="s">
        <v>89</v>
      </c>
      <c r="AE100" s="620"/>
      <c r="AF100" s="620"/>
      <c r="AG100" s="595">
        <f>I100</f>
        <v>600</v>
      </c>
      <c r="AH100" s="620"/>
      <c r="AI100" s="620"/>
      <c r="AJ100" s="595"/>
      <c r="AK100" s="629"/>
      <c r="AL100" s="620"/>
      <c r="AM100" s="620"/>
      <c r="AN100" s="598">
        <f t="shared" si="63"/>
        <v>600</v>
      </c>
      <c r="AO100" s="621"/>
      <c r="AP100" s="622"/>
      <c r="AQ100" s="622"/>
      <c r="AR100" s="621">
        <f>I100</f>
        <v>600</v>
      </c>
      <c r="AS100" s="622"/>
      <c r="AT100" s="622"/>
      <c r="AU100" s="621"/>
      <c r="AV100" s="621"/>
      <c r="AW100" s="592">
        <f t="shared" si="32"/>
        <v>600</v>
      </c>
      <c r="AX100" s="621"/>
      <c r="AY100" s="621"/>
      <c r="AZ100" s="621"/>
      <c r="BA100" s="621"/>
      <c r="BB100" s="621"/>
      <c r="BC100" s="621"/>
      <c r="BD100" s="621"/>
      <c r="BE100" s="623"/>
      <c r="BF100" s="602" t="s">
        <v>90</v>
      </c>
      <c r="BG100" s="603"/>
      <c r="BH100" s="604">
        <f>I100/6</f>
        <v>100</v>
      </c>
      <c r="BI100" s="605">
        <f>I100/6</f>
        <v>100</v>
      </c>
      <c r="BJ100" s="602">
        <f>I100/6</f>
        <v>100</v>
      </c>
      <c r="BK100" s="602">
        <f>I100/6</f>
        <v>100</v>
      </c>
      <c r="BL100" s="602">
        <f>I100/6</f>
        <v>100</v>
      </c>
      <c r="BM100" s="602">
        <f>I100/6</f>
        <v>100</v>
      </c>
      <c r="BN100" s="624"/>
      <c r="BO100" s="624"/>
      <c r="BP100" s="624"/>
      <c r="BQ100" s="624"/>
      <c r="BR100" s="624"/>
      <c r="BS100" s="624"/>
      <c r="BT100" s="607">
        <f t="shared" si="39"/>
        <v>600</v>
      </c>
      <c r="BU100" s="608">
        <f t="shared" si="40"/>
        <v>0</v>
      </c>
      <c r="BV100" s="517"/>
      <c r="BW100" s="491"/>
    </row>
    <row r="101" s="490" customFormat="1" ht="33" customHeight="1" spans="1:75">
      <c r="A101" s="577">
        <v>45665</v>
      </c>
      <c r="B101" s="581" t="s">
        <v>342</v>
      </c>
      <c r="C101" s="579" t="s">
        <v>343</v>
      </c>
      <c r="D101" s="580">
        <v>4500155516</v>
      </c>
      <c r="E101" s="588">
        <v>56097</v>
      </c>
      <c r="F101" s="580" t="s">
        <v>636</v>
      </c>
      <c r="G101" s="582" t="s">
        <v>81</v>
      </c>
      <c r="H101" s="578" t="s">
        <v>95</v>
      </c>
      <c r="I101" s="583">
        <v>750</v>
      </c>
      <c r="J101" s="583">
        <v>0</v>
      </c>
      <c r="K101" s="583">
        <v>6</v>
      </c>
      <c r="L101" s="584">
        <f t="shared" si="64"/>
        <v>125</v>
      </c>
      <c r="M101" s="585">
        <v>45733</v>
      </c>
      <c r="N101" s="585">
        <v>45729</v>
      </c>
      <c r="O101" s="586"/>
      <c r="P101" s="586" t="s">
        <v>83</v>
      </c>
      <c r="Q101" s="587" t="s">
        <v>637</v>
      </c>
      <c r="R101" s="586" t="s">
        <v>534</v>
      </c>
      <c r="S101" s="586"/>
      <c r="T101" s="586"/>
      <c r="U101" s="586" t="s">
        <v>347</v>
      </c>
      <c r="V101" s="586"/>
      <c r="W101" s="586"/>
      <c r="X101" s="588" t="s">
        <v>638</v>
      </c>
      <c r="Y101" s="618" t="s">
        <v>181</v>
      </c>
      <c r="Z101" s="590">
        <v>5.974</v>
      </c>
      <c r="AA101" s="591">
        <f t="shared" si="62"/>
        <v>4480.5</v>
      </c>
      <c r="AB101" s="619" t="s">
        <v>639</v>
      </c>
      <c r="AC101" s="582" t="s">
        <v>81</v>
      </c>
      <c r="AD101" s="592" t="s">
        <v>89</v>
      </c>
      <c r="AE101" s="620"/>
      <c r="AF101" s="620"/>
      <c r="AG101" s="595">
        <f>I101</f>
        <v>750</v>
      </c>
      <c r="AH101" s="620"/>
      <c r="AI101" s="620"/>
      <c r="AJ101" s="595"/>
      <c r="AK101" s="629"/>
      <c r="AL101" s="620"/>
      <c r="AM101" s="620"/>
      <c r="AN101" s="598">
        <f t="shared" si="63"/>
        <v>750</v>
      </c>
      <c r="AO101" s="621"/>
      <c r="AP101" s="622"/>
      <c r="AQ101" s="622"/>
      <c r="AR101" s="621">
        <f>I101</f>
        <v>750</v>
      </c>
      <c r="AS101" s="622"/>
      <c r="AT101" s="622"/>
      <c r="AU101" s="621"/>
      <c r="AV101" s="621"/>
      <c r="AW101" s="592">
        <f t="shared" si="32"/>
        <v>750</v>
      </c>
      <c r="AX101" s="621"/>
      <c r="AY101" s="621"/>
      <c r="AZ101" s="621"/>
      <c r="BA101" s="621"/>
      <c r="BB101" s="621"/>
      <c r="BC101" s="621"/>
      <c r="BD101" s="621"/>
      <c r="BE101" s="623"/>
      <c r="BF101" s="602" t="s">
        <v>90</v>
      </c>
      <c r="BG101" s="603"/>
      <c r="BH101" s="604">
        <f>I101/6</f>
        <v>125</v>
      </c>
      <c r="BI101" s="605">
        <f>I101/6</f>
        <v>125</v>
      </c>
      <c r="BJ101" s="602">
        <f>I101/6</f>
        <v>125</v>
      </c>
      <c r="BK101" s="602">
        <f>I101/6</f>
        <v>125</v>
      </c>
      <c r="BL101" s="602">
        <f>I101/6</f>
        <v>125</v>
      </c>
      <c r="BM101" s="602">
        <f>I101/6</f>
        <v>125</v>
      </c>
      <c r="BN101" s="635"/>
      <c r="BO101" s="635"/>
      <c r="BP101" s="635"/>
      <c r="BQ101" s="635"/>
      <c r="BR101" s="635"/>
      <c r="BS101" s="635"/>
      <c r="BT101" s="607">
        <f t="shared" si="39"/>
        <v>750</v>
      </c>
      <c r="BU101" s="608">
        <f t="shared" si="40"/>
        <v>0</v>
      </c>
      <c r="BV101" s="517"/>
      <c r="BW101" s="491"/>
    </row>
    <row r="102" s="490" customFormat="1" ht="33" customHeight="1" spans="1:75">
      <c r="A102" s="577">
        <v>45670</v>
      </c>
      <c r="B102" s="581" t="s">
        <v>277</v>
      </c>
      <c r="C102" s="579" t="s">
        <v>92</v>
      </c>
      <c r="D102" s="638">
        <v>4500155806</v>
      </c>
      <c r="E102" s="588" t="s">
        <v>640</v>
      </c>
      <c r="F102" s="580" t="s">
        <v>641</v>
      </c>
      <c r="G102" s="582" t="s">
        <v>297</v>
      </c>
      <c r="H102" s="578" t="s">
        <v>298</v>
      </c>
      <c r="I102" s="583">
        <v>544</v>
      </c>
      <c r="J102" s="583">
        <v>1</v>
      </c>
      <c r="K102" s="583">
        <v>4</v>
      </c>
      <c r="L102" s="584">
        <f t="shared" si="64"/>
        <v>136</v>
      </c>
      <c r="M102" s="585">
        <v>45729</v>
      </c>
      <c r="N102" s="585">
        <v>45726</v>
      </c>
      <c r="O102" s="586"/>
      <c r="P102" s="586" t="s">
        <v>83</v>
      </c>
      <c r="Q102" s="636" t="s">
        <v>642</v>
      </c>
      <c r="R102" s="586" t="s">
        <v>643</v>
      </c>
      <c r="S102" s="586"/>
      <c r="T102" s="586"/>
      <c r="U102" s="586" t="s">
        <v>86</v>
      </c>
      <c r="V102" s="586" t="s">
        <v>644</v>
      </c>
      <c r="W102" s="586" t="s">
        <v>300</v>
      </c>
      <c r="X102" s="588" t="s">
        <v>645</v>
      </c>
      <c r="Y102" s="618" t="s">
        <v>287</v>
      </c>
      <c r="Z102" s="590">
        <v>6.1693</v>
      </c>
      <c r="AA102" s="591">
        <f t="shared" si="62"/>
        <v>3356.0992</v>
      </c>
      <c r="AB102" s="619" t="s">
        <v>646</v>
      </c>
      <c r="AC102" s="582" t="s">
        <v>297</v>
      </c>
      <c r="AD102" s="592" t="s">
        <v>89</v>
      </c>
      <c r="AE102" s="620"/>
      <c r="AF102" s="620"/>
      <c r="AG102" s="595">
        <f>I102</f>
        <v>544</v>
      </c>
      <c r="AH102" s="620"/>
      <c r="AI102" s="620"/>
      <c r="AJ102" s="595"/>
      <c r="AK102" s="629"/>
      <c r="AL102" s="620"/>
      <c r="AM102" s="620"/>
      <c r="AN102" s="598">
        <f t="shared" si="63"/>
        <v>544</v>
      </c>
      <c r="AO102" s="621"/>
      <c r="AP102" s="622"/>
      <c r="AQ102" s="622"/>
      <c r="AR102" s="621">
        <f>I102</f>
        <v>544</v>
      </c>
      <c r="AS102" s="622"/>
      <c r="AT102" s="622"/>
      <c r="AU102" s="621"/>
      <c r="AV102" s="621"/>
      <c r="AW102" s="592">
        <f t="shared" si="32"/>
        <v>544</v>
      </c>
      <c r="AX102" s="621"/>
      <c r="AY102" s="621"/>
      <c r="AZ102" s="621"/>
      <c r="BA102" s="621"/>
      <c r="BB102" s="621"/>
      <c r="BC102" s="621"/>
      <c r="BD102" s="621"/>
      <c r="BE102" s="623"/>
      <c r="BF102" s="602" t="s">
        <v>90</v>
      </c>
      <c r="BG102" s="603"/>
      <c r="BH102" s="604">
        <f>I102</f>
        <v>544</v>
      </c>
      <c r="BI102" s="605"/>
      <c r="BJ102" s="602"/>
      <c r="BK102" s="602"/>
      <c r="BL102" s="602"/>
      <c r="BM102" s="602"/>
      <c r="BN102" s="624"/>
      <c r="BO102" s="624"/>
      <c r="BP102" s="624"/>
      <c r="BQ102" s="624"/>
      <c r="BR102" s="624"/>
      <c r="BS102" s="624"/>
      <c r="BT102" s="607">
        <f t="shared" si="39"/>
        <v>544</v>
      </c>
      <c r="BU102" s="608">
        <f t="shared" si="40"/>
        <v>0</v>
      </c>
      <c r="BV102" s="517"/>
      <c r="BW102" s="491"/>
    </row>
    <row r="103" s="490" customFormat="1" ht="33" customHeight="1" spans="1:75">
      <c r="A103" s="577">
        <v>45681</v>
      </c>
      <c r="B103" s="581" t="s">
        <v>647</v>
      </c>
      <c r="C103" s="579" t="s">
        <v>648</v>
      </c>
      <c r="D103" s="580">
        <v>4500156429</v>
      </c>
      <c r="E103" s="588" t="s">
        <v>649</v>
      </c>
      <c r="F103" s="580" t="s">
        <v>650</v>
      </c>
      <c r="G103" s="582" t="s">
        <v>81</v>
      </c>
      <c r="H103" s="578" t="s">
        <v>95</v>
      </c>
      <c r="I103" s="583">
        <v>2004</v>
      </c>
      <c r="J103" s="583">
        <v>0</v>
      </c>
      <c r="K103" s="583">
        <v>6</v>
      </c>
      <c r="L103" s="584">
        <f t="shared" si="64"/>
        <v>334</v>
      </c>
      <c r="M103" s="585">
        <v>45729</v>
      </c>
      <c r="N103" s="585">
        <v>45726</v>
      </c>
      <c r="O103" s="586"/>
      <c r="P103" s="586" t="s">
        <v>83</v>
      </c>
      <c r="Q103" s="587"/>
      <c r="R103" s="586" t="s">
        <v>651</v>
      </c>
      <c r="S103" s="586"/>
      <c r="T103" s="586"/>
      <c r="U103" s="586" t="s">
        <v>652</v>
      </c>
      <c r="V103" s="586"/>
      <c r="W103" s="586" t="s">
        <v>653</v>
      </c>
      <c r="X103" s="588" t="s">
        <v>654</v>
      </c>
      <c r="Y103" s="618" t="s">
        <v>356</v>
      </c>
      <c r="Z103" s="590">
        <v>5.8973</v>
      </c>
      <c r="AA103" s="591">
        <f t="shared" si="62"/>
        <v>11818.1892</v>
      </c>
      <c r="AB103" s="619" t="s">
        <v>655</v>
      </c>
      <c r="AC103" s="582" t="s">
        <v>656</v>
      </c>
      <c r="AD103" s="592" t="s">
        <v>89</v>
      </c>
      <c r="AE103" s="620"/>
      <c r="AF103" s="620"/>
      <c r="AG103" s="595">
        <f>I103</f>
        <v>2004</v>
      </c>
      <c r="AH103" s="620"/>
      <c r="AI103" s="620"/>
      <c r="AJ103" s="595"/>
      <c r="AK103" s="629"/>
      <c r="AL103" s="620"/>
      <c r="AM103" s="620"/>
      <c r="AN103" s="598"/>
      <c r="AO103" s="621">
        <f>I103</f>
        <v>2004</v>
      </c>
      <c r="AP103" s="622"/>
      <c r="AQ103" s="622"/>
      <c r="AR103" s="621"/>
      <c r="AS103" s="622"/>
      <c r="AT103" s="622"/>
      <c r="AU103" s="621"/>
      <c r="AV103" s="621">
        <f>I103</f>
        <v>2004</v>
      </c>
      <c r="AW103" s="592">
        <f t="shared" si="32"/>
        <v>2004</v>
      </c>
      <c r="AX103" s="621"/>
      <c r="AY103" s="621"/>
      <c r="AZ103" s="621"/>
      <c r="BA103" s="621"/>
      <c r="BB103" s="621"/>
      <c r="BC103" s="621"/>
      <c r="BD103" s="621"/>
      <c r="BE103" s="623"/>
      <c r="BF103" s="602" t="s">
        <v>90</v>
      </c>
      <c r="BG103" s="603"/>
      <c r="BH103" s="604">
        <f t="shared" ref="BH103:BH108" si="65">I103/6</f>
        <v>334</v>
      </c>
      <c r="BI103" s="605">
        <f t="shared" ref="BI103:BI108" si="66">I103/6</f>
        <v>334</v>
      </c>
      <c r="BJ103" s="602">
        <f t="shared" ref="BJ103:BJ108" si="67">I103/6</f>
        <v>334</v>
      </c>
      <c r="BK103" s="602">
        <f t="shared" ref="BK103:BK108" si="68">I103/6</f>
        <v>334</v>
      </c>
      <c r="BL103" s="602">
        <f t="shared" ref="BL103:BL108" si="69">I103/6</f>
        <v>334</v>
      </c>
      <c r="BM103" s="602">
        <f t="shared" ref="BM103:BM108" si="70">I103/6</f>
        <v>334</v>
      </c>
      <c r="BN103" s="624"/>
      <c r="BO103" s="624"/>
      <c r="BP103" s="624"/>
      <c r="BQ103" s="624"/>
      <c r="BR103" s="624"/>
      <c r="BS103" s="624"/>
      <c r="BT103" s="607">
        <f t="shared" si="39"/>
        <v>2004</v>
      </c>
      <c r="BU103" s="608">
        <f t="shared" si="40"/>
        <v>0</v>
      </c>
      <c r="BV103" s="517"/>
      <c r="BW103" s="491"/>
    </row>
    <row r="104" s="490" customFormat="1" ht="33" customHeight="1" spans="1:75">
      <c r="A104" s="577">
        <v>45651</v>
      </c>
      <c r="B104" s="581" t="s">
        <v>502</v>
      </c>
      <c r="C104" s="579" t="s">
        <v>334</v>
      </c>
      <c r="D104" s="580">
        <v>4500154624</v>
      </c>
      <c r="E104" s="588">
        <v>61900885</v>
      </c>
      <c r="F104" s="580" t="s">
        <v>657</v>
      </c>
      <c r="G104" s="582" t="s">
        <v>81</v>
      </c>
      <c r="H104" s="578" t="s">
        <v>95</v>
      </c>
      <c r="I104" s="583">
        <v>930</v>
      </c>
      <c r="J104" s="583">
        <v>0</v>
      </c>
      <c r="K104" s="583">
        <v>6</v>
      </c>
      <c r="L104" s="584">
        <f t="shared" si="64"/>
        <v>155</v>
      </c>
      <c r="M104" s="585">
        <v>45730</v>
      </c>
      <c r="N104" s="585">
        <v>45726</v>
      </c>
      <c r="O104" s="586"/>
      <c r="P104" s="586" t="s">
        <v>83</v>
      </c>
      <c r="Q104" s="587"/>
      <c r="R104" s="586" t="s">
        <v>658</v>
      </c>
      <c r="S104" s="586"/>
      <c r="T104" s="586"/>
      <c r="U104" s="586" t="s">
        <v>554</v>
      </c>
      <c r="V104" s="586" t="s">
        <v>555</v>
      </c>
      <c r="W104" s="586"/>
      <c r="X104" s="588" t="s">
        <v>659</v>
      </c>
      <c r="Y104" s="618" t="s">
        <v>243</v>
      </c>
      <c r="Z104" s="590">
        <v>5.905</v>
      </c>
      <c r="AA104" s="591">
        <f t="shared" si="62"/>
        <v>5491.65</v>
      </c>
      <c r="AB104" s="619" t="s">
        <v>660</v>
      </c>
      <c r="AC104" s="582" t="s">
        <v>235</v>
      </c>
      <c r="AD104" s="593" t="s">
        <v>89</v>
      </c>
      <c r="AE104" s="628"/>
      <c r="AF104" s="628"/>
      <c r="AG104" s="595"/>
      <c r="AH104" s="628"/>
      <c r="AI104" s="628"/>
      <c r="AJ104" s="595">
        <f>I104</f>
        <v>930</v>
      </c>
      <c r="AK104" s="629"/>
      <c r="AL104" s="628"/>
      <c r="AM104" s="628"/>
      <c r="AN104" s="598">
        <f>I104</f>
        <v>930</v>
      </c>
      <c r="AO104" s="621"/>
      <c r="AP104" s="630"/>
      <c r="AQ104" s="630"/>
      <c r="AR104" s="621"/>
      <c r="AS104" s="630"/>
      <c r="AT104" s="630"/>
      <c r="AU104" s="621">
        <f>I104</f>
        <v>930</v>
      </c>
      <c r="AV104" s="621"/>
      <c r="AW104" s="592">
        <f t="shared" si="32"/>
        <v>930</v>
      </c>
      <c r="AX104" s="621"/>
      <c r="AY104" s="621"/>
      <c r="AZ104" s="621"/>
      <c r="BA104" s="621"/>
      <c r="BB104" s="621"/>
      <c r="BC104" s="621"/>
      <c r="BD104" s="621"/>
      <c r="BE104" s="623"/>
      <c r="BF104" s="602" t="s">
        <v>90</v>
      </c>
      <c r="BG104" s="603"/>
      <c r="BH104" s="604">
        <f t="shared" si="65"/>
        <v>155</v>
      </c>
      <c r="BI104" s="605">
        <f t="shared" si="66"/>
        <v>155</v>
      </c>
      <c r="BJ104" s="602">
        <f t="shared" si="67"/>
        <v>155</v>
      </c>
      <c r="BK104" s="602">
        <f t="shared" si="68"/>
        <v>155</v>
      </c>
      <c r="BL104" s="602">
        <f t="shared" si="69"/>
        <v>155</v>
      </c>
      <c r="BM104" s="602">
        <f t="shared" si="70"/>
        <v>155</v>
      </c>
      <c r="BN104" s="631"/>
      <c r="BO104" s="631"/>
      <c r="BP104" s="631"/>
      <c r="BQ104" s="631"/>
      <c r="BR104" s="631"/>
      <c r="BS104" s="631"/>
      <c r="BT104" s="607">
        <f t="shared" si="39"/>
        <v>930</v>
      </c>
      <c r="BU104" s="608">
        <f t="shared" si="40"/>
        <v>0</v>
      </c>
      <c r="BV104" s="609"/>
      <c r="BW104" s="491"/>
    </row>
    <row r="105" s="490" customFormat="1" ht="33" customHeight="1" spans="1:75">
      <c r="A105" s="577">
        <v>45700</v>
      </c>
      <c r="B105" s="581" t="s">
        <v>153</v>
      </c>
      <c r="C105" s="579" t="s">
        <v>92</v>
      </c>
      <c r="D105" s="580">
        <v>4500157522</v>
      </c>
      <c r="E105" s="588">
        <v>897254654</v>
      </c>
      <c r="F105" s="580" t="s">
        <v>661</v>
      </c>
      <c r="G105" s="582" t="s">
        <v>155</v>
      </c>
      <c r="H105" s="578" t="s">
        <v>156</v>
      </c>
      <c r="I105" s="583">
        <v>540</v>
      </c>
      <c r="J105" s="583">
        <v>1</v>
      </c>
      <c r="K105" s="583">
        <v>108</v>
      </c>
      <c r="L105" s="584">
        <f t="shared" si="64"/>
        <v>5</v>
      </c>
      <c r="M105" s="585">
        <v>45734</v>
      </c>
      <c r="N105" s="585">
        <v>45730</v>
      </c>
      <c r="O105" s="586" t="s">
        <v>662</v>
      </c>
      <c r="P105" s="586" t="s">
        <v>83</v>
      </c>
      <c r="Q105" s="587" t="s">
        <v>663</v>
      </c>
      <c r="R105" s="586" t="s">
        <v>664</v>
      </c>
      <c r="S105" s="586"/>
      <c r="T105" s="586"/>
      <c r="U105" s="586" t="s">
        <v>665</v>
      </c>
      <c r="V105" s="586" t="s">
        <v>161</v>
      </c>
      <c r="W105" s="586"/>
      <c r="X105" s="588" t="s">
        <v>666</v>
      </c>
      <c r="Y105" s="618" t="s">
        <v>163</v>
      </c>
      <c r="Z105" s="590">
        <v>658.8989</v>
      </c>
      <c r="AA105" s="591">
        <f>Z105*L105</f>
        <v>3294.4945</v>
      </c>
      <c r="AB105" s="619" t="s">
        <v>667</v>
      </c>
      <c r="AC105" s="582" t="s">
        <v>155</v>
      </c>
      <c r="AD105" s="592" t="s">
        <v>89</v>
      </c>
      <c r="AE105" s="620"/>
      <c r="AF105" s="620"/>
      <c r="AG105" s="595">
        <f>I105</f>
        <v>540</v>
      </c>
      <c r="AH105" s="620"/>
      <c r="AI105" s="620"/>
      <c r="AJ105" s="595"/>
      <c r="AK105" s="629"/>
      <c r="AL105" s="620"/>
      <c r="AM105" s="620"/>
      <c r="AN105" s="598">
        <f>I105</f>
        <v>540</v>
      </c>
      <c r="AO105" s="621"/>
      <c r="AP105" s="622"/>
      <c r="AQ105" s="622"/>
      <c r="AR105" s="621">
        <f>I105</f>
        <v>540</v>
      </c>
      <c r="AS105" s="622"/>
      <c r="AT105" s="622"/>
      <c r="AU105" s="621"/>
      <c r="AV105" s="621"/>
      <c r="AW105" s="592">
        <f t="shared" si="32"/>
        <v>540</v>
      </c>
      <c r="AX105" s="621"/>
      <c r="AY105" s="621"/>
      <c r="AZ105" s="621"/>
      <c r="BA105" s="621"/>
      <c r="BB105" s="621"/>
      <c r="BC105" s="621"/>
      <c r="BD105" s="621"/>
      <c r="BE105" s="623"/>
      <c r="BF105" s="602" t="s">
        <v>165</v>
      </c>
      <c r="BG105" s="603"/>
      <c r="BH105" s="604">
        <f t="shared" si="65"/>
        <v>90</v>
      </c>
      <c r="BI105" s="602">
        <f t="shared" si="66"/>
        <v>90</v>
      </c>
      <c r="BJ105" s="602">
        <f t="shared" si="67"/>
        <v>90</v>
      </c>
      <c r="BK105" s="602">
        <f t="shared" si="68"/>
        <v>90</v>
      </c>
      <c r="BL105" s="602">
        <f t="shared" si="69"/>
        <v>90</v>
      </c>
      <c r="BM105" s="602">
        <f t="shared" si="70"/>
        <v>90</v>
      </c>
      <c r="BN105" s="631"/>
      <c r="BO105" s="631"/>
      <c r="BP105" s="631"/>
      <c r="BQ105" s="631"/>
      <c r="BR105" s="631"/>
      <c r="BS105" s="631"/>
      <c r="BT105" s="607">
        <f t="shared" si="39"/>
        <v>540</v>
      </c>
      <c r="BU105" s="608">
        <f t="shared" si="40"/>
        <v>0</v>
      </c>
      <c r="BV105" s="517"/>
      <c r="BW105" s="491"/>
    </row>
    <row r="106" s="490" customFormat="1" ht="33" customHeight="1" spans="1:75">
      <c r="A106" s="577">
        <v>45683</v>
      </c>
      <c r="B106" s="581" t="s">
        <v>668</v>
      </c>
      <c r="C106" s="579" t="s">
        <v>669</v>
      </c>
      <c r="D106" s="580">
        <v>4500156659</v>
      </c>
      <c r="E106" s="588"/>
      <c r="F106" s="580" t="s">
        <v>670</v>
      </c>
      <c r="G106" s="582" t="s">
        <v>81</v>
      </c>
      <c r="H106" s="578" t="s">
        <v>95</v>
      </c>
      <c r="I106" s="583">
        <v>480</v>
      </c>
      <c r="J106" s="583">
        <v>0</v>
      </c>
      <c r="K106" s="583">
        <v>6</v>
      </c>
      <c r="L106" s="584">
        <f t="shared" si="64"/>
        <v>80</v>
      </c>
      <c r="M106" s="585">
        <v>45736</v>
      </c>
      <c r="N106" s="585">
        <v>45733</v>
      </c>
      <c r="O106" s="586"/>
      <c r="P106" s="586" t="s">
        <v>83</v>
      </c>
      <c r="Q106" s="587" t="s">
        <v>671</v>
      </c>
      <c r="R106" s="586" t="s">
        <v>672</v>
      </c>
      <c r="S106" s="586"/>
      <c r="T106" s="586"/>
      <c r="U106" s="586" t="s">
        <v>673</v>
      </c>
      <c r="V106" s="586"/>
      <c r="W106" s="586"/>
      <c r="X106" s="588" t="s">
        <v>674</v>
      </c>
      <c r="Y106" s="618" t="s">
        <v>675</v>
      </c>
      <c r="Z106" s="590">
        <v>5.905</v>
      </c>
      <c r="AA106" s="591">
        <f>Z106*I106</f>
        <v>2834.4</v>
      </c>
      <c r="AB106" s="619" t="s">
        <v>676</v>
      </c>
      <c r="AC106" s="582" t="s">
        <v>81</v>
      </c>
      <c r="AD106" s="592" t="s">
        <v>89</v>
      </c>
      <c r="AE106" s="620"/>
      <c r="AF106" s="620"/>
      <c r="AG106" s="595">
        <f>I106</f>
        <v>480</v>
      </c>
      <c r="AH106" s="620"/>
      <c r="AI106" s="620"/>
      <c r="AJ106" s="595"/>
      <c r="AK106" s="629"/>
      <c r="AL106" s="620"/>
      <c r="AM106" s="620"/>
      <c r="AN106" s="598">
        <f>I106</f>
        <v>480</v>
      </c>
      <c r="AO106" s="621"/>
      <c r="AP106" s="622"/>
      <c r="AQ106" s="622"/>
      <c r="AR106" s="621">
        <f>I106</f>
        <v>480</v>
      </c>
      <c r="AS106" s="622"/>
      <c r="AT106" s="622"/>
      <c r="AU106" s="621"/>
      <c r="AV106" s="621"/>
      <c r="AW106" s="592">
        <f t="shared" si="32"/>
        <v>480</v>
      </c>
      <c r="AX106" s="621"/>
      <c r="AY106" s="621"/>
      <c r="AZ106" s="621"/>
      <c r="BA106" s="621"/>
      <c r="BB106" s="621"/>
      <c r="BC106" s="621"/>
      <c r="BD106" s="621"/>
      <c r="BE106" s="623"/>
      <c r="BF106" s="602" t="s">
        <v>90</v>
      </c>
      <c r="BG106" s="603"/>
      <c r="BH106" s="604">
        <f t="shared" si="65"/>
        <v>80</v>
      </c>
      <c r="BI106" s="605">
        <f t="shared" si="66"/>
        <v>80</v>
      </c>
      <c r="BJ106" s="602">
        <f t="shared" si="67"/>
        <v>80</v>
      </c>
      <c r="BK106" s="602">
        <f t="shared" si="68"/>
        <v>80</v>
      </c>
      <c r="BL106" s="602">
        <f t="shared" si="69"/>
        <v>80</v>
      </c>
      <c r="BM106" s="602">
        <f t="shared" si="70"/>
        <v>80</v>
      </c>
      <c r="BN106" s="624"/>
      <c r="BO106" s="624"/>
      <c r="BP106" s="624"/>
      <c r="BQ106" s="624"/>
      <c r="BR106" s="624"/>
      <c r="BS106" s="624"/>
      <c r="BT106" s="607">
        <f t="shared" si="39"/>
        <v>480</v>
      </c>
      <c r="BU106" s="608">
        <f t="shared" si="40"/>
        <v>0</v>
      </c>
      <c r="BV106" s="517"/>
      <c r="BW106" s="491"/>
    </row>
    <row r="107" s="490" customFormat="1" ht="33" customHeight="1" spans="1:75">
      <c r="A107" s="577">
        <v>45714</v>
      </c>
      <c r="B107" s="581" t="s">
        <v>677</v>
      </c>
      <c r="C107" s="579" t="s">
        <v>678</v>
      </c>
      <c r="D107" s="580">
        <v>4500158665</v>
      </c>
      <c r="E107" s="588" t="s">
        <v>679</v>
      </c>
      <c r="F107" s="580" t="s">
        <v>680</v>
      </c>
      <c r="G107" s="582" t="s">
        <v>81</v>
      </c>
      <c r="H107" s="578" t="s">
        <v>95</v>
      </c>
      <c r="I107" s="583">
        <v>540</v>
      </c>
      <c r="J107" s="583">
        <v>0</v>
      </c>
      <c r="K107" s="583">
        <v>6</v>
      </c>
      <c r="L107" s="584">
        <f t="shared" si="64"/>
        <v>90</v>
      </c>
      <c r="M107" s="585">
        <v>45737</v>
      </c>
      <c r="N107" s="585">
        <f>M107-4</f>
        <v>45733</v>
      </c>
      <c r="O107" s="586"/>
      <c r="P107" s="586" t="s">
        <v>83</v>
      </c>
      <c r="Q107" s="636" t="s">
        <v>681</v>
      </c>
      <c r="R107" s="586" t="s">
        <v>682</v>
      </c>
      <c r="S107" s="586"/>
      <c r="T107" s="586"/>
      <c r="U107" s="586" t="s">
        <v>86</v>
      </c>
      <c r="V107" s="586"/>
      <c r="W107" s="586"/>
      <c r="X107" s="588" t="s">
        <v>683</v>
      </c>
      <c r="Y107" s="618" t="s">
        <v>116</v>
      </c>
      <c r="Z107" s="590">
        <v>5.905</v>
      </c>
      <c r="AA107" s="591">
        <f>Z107*I107</f>
        <v>3188.7</v>
      </c>
      <c r="AB107" s="619" t="s">
        <v>684</v>
      </c>
      <c r="AC107" s="582" t="s">
        <v>81</v>
      </c>
      <c r="AD107" s="592" t="s">
        <v>89</v>
      </c>
      <c r="AE107" s="620"/>
      <c r="AF107" s="620"/>
      <c r="AG107" s="595">
        <f>I107</f>
        <v>540</v>
      </c>
      <c r="AH107" s="620"/>
      <c r="AI107" s="620"/>
      <c r="AJ107" s="595"/>
      <c r="AK107" s="629"/>
      <c r="AL107" s="620"/>
      <c r="AM107" s="620"/>
      <c r="AN107" s="598">
        <f>I107</f>
        <v>540</v>
      </c>
      <c r="AO107" s="621"/>
      <c r="AP107" s="622"/>
      <c r="AQ107" s="622"/>
      <c r="AR107" s="621">
        <f>I107</f>
        <v>540</v>
      </c>
      <c r="AS107" s="622"/>
      <c r="AT107" s="622"/>
      <c r="AU107" s="621"/>
      <c r="AV107" s="621"/>
      <c r="AW107" s="592">
        <f t="shared" si="32"/>
        <v>540</v>
      </c>
      <c r="AX107" s="621"/>
      <c r="AY107" s="621"/>
      <c r="AZ107" s="621"/>
      <c r="BA107" s="621"/>
      <c r="BB107" s="621"/>
      <c r="BC107" s="621"/>
      <c r="BD107" s="621"/>
      <c r="BE107" s="623"/>
      <c r="BF107" s="602" t="s">
        <v>90</v>
      </c>
      <c r="BG107" s="603"/>
      <c r="BH107" s="604">
        <f t="shared" si="65"/>
        <v>90</v>
      </c>
      <c r="BI107" s="605">
        <f t="shared" si="66"/>
        <v>90</v>
      </c>
      <c r="BJ107" s="602">
        <f t="shared" si="67"/>
        <v>90</v>
      </c>
      <c r="BK107" s="602">
        <f t="shared" si="68"/>
        <v>90</v>
      </c>
      <c r="BL107" s="602">
        <f t="shared" si="69"/>
        <v>90</v>
      </c>
      <c r="BM107" s="602">
        <f t="shared" si="70"/>
        <v>90</v>
      </c>
      <c r="BN107" s="624"/>
      <c r="BO107" s="624"/>
      <c r="BP107" s="624"/>
      <c r="BQ107" s="624"/>
      <c r="BR107" s="624"/>
      <c r="BS107" s="624"/>
      <c r="BT107" s="607">
        <f t="shared" si="39"/>
        <v>540</v>
      </c>
      <c r="BU107" s="608">
        <f t="shared" si="40"/>
        <v>0</v>
      </c>
      <c r="BV107" s="517"/>
      <c r="BW107" s="491"/>
    </row>
    <row r="108" s="490" customFormat="1" ht="33" customHeight="1" spans="1:75">
      <c r="A108" s="577">
        <v>45712</v>
      </c>
      <c r="B108" s="581" t="s">
        <v>685</v>
      </c>
      <c r="C108" s="579" t="s">
        <v>686</v>
      </c>
      <c r="D108" s="580">
        <v>4500158315</v>
      </c>
      <c r="E108" s="588" t="s">
        <v>687</v>
      </c>
      <c r="F108" s="580" t="s">
        <v>688</v>
      </c>
      <c r="G108" s="582" t="s">
        <v>81</v>
      </c>
      <c r="H108" s="578" t="s">
        <v>95</v>
      </c>
      <c r="I108" s="583">
        <v>1200</v>
      </c>
      <c r="J108" s="583">
        <v>0</v>
      </c>
      <c r="K108" s="583">
        <v>6</v>
      </c>
      <c r="L108" s="584">
        <f t="shared" si="64"/>
        <v>200</v>
      </c>
      <c r="M108" s="585">
        <v>45737</v>
      </c>
      <c r="N108" s="585">
        <f>M108-4</f>
        <v>45733</v>
      </c>
      <c r="O108" s="586"/>
      <c r="P108" s="586" t="s">
        <v>83</v>
      </c>
      <c r="Q108" s="587" t="s">
        <v>637</v>
      </c>
      <c r="R108" s="586" t="s">
        <v>689</v>
      </c>
      <c r="S108" s="586"/>
      <c r="T108" s="586"/>
      <c r="U108" s="586" t="s">
        <v>690</v>
      </c>
      <c r="V108" s="586"/>
      <c r="W108" s="586"/>
      <c r="X108" s="588" t="s">
        <v>691</v>
      </c>
      <c r="Y108" s="618" t="s">
        <v>116</v>
      </c>
      <c r="Z108" s="590">
        <v>5.8973</v>
      </c>
      <c r="AA108" s="591">
        <f>Z108*I108</f>
        <v>7076.76</v>
      </c>
      <c r="AB108" s="619" t="s">
        <v>692</v>
      </c>
      <c r="AC108" s="582" t="s">
        <v>81</v>
      </c>
      <c r="AD108" s="592" t="s">
        <v>89</v>
      </c>
      <c r="AE108" s="628"/>
      <c r="AF108" s="628"/>
      <c r="AG108" s="595">
        <f>I108</f>
        <v>1200</v>
      </c>
      <c r="AH108" s="628"/>
      <c r="AI108" s="628"/>
      <c r="AJ108" s="595"/>
      <c r="AK108" s="629"/>
      <c r="AL108" s="628"/>
      <c r="AM108" s="628"/>
      <c r="AN108" s="598">
        <f>I108</f>
        <v>1200</v>
      </c>
      <c r="AO108" s="621"/>
      <c r="AP108" s="630"/>
      <c r="AQ108" s="630"/>
      <c r="AR108" s="621">
        <f>I108</f>
        <v>1200</v>
      </c>
      <c r="AS108" s="630"/>
      <c r="AT108" s="630"/>
      <c r="AU108" s="621"/>
      <c r="AV108" s="621"/>
      <c r="AW108" s="592">
        <f t="shared" si="32"/>
        <v>1200</v>
      </c>
      <c r="AX108" s="621"/>
      <c r="AY108" s="621"/>
      <c r="AZ108" s="621"/>
      <c r="BA108" s="621"/>
      <c r="BB108" s="621"/>
      <c r="BC108" s="621"/>
      <c r="BD108" s="621"/>
      <c r="BE108" s="623"/>
      <c r="BF108" s="602" t="s">
        <v>90</v>
      </c>
      <c r="BG108" s="603"/>
      <c r="BH108" s="604">
        <f t="shared" si="65"/>
        <v>200</v>
      </c>
      <c r="BI108" s="605">
        <f t="shared" si="66"/>
        <v>200</v>
      </c>
      <c r="BJ108" s="602">
        <f t="shared" si="67"/>
        <v>200</v>
      </c>
      <c r="BK108" s="602">
        <f t="shared" si="68"/>
        <v>200</v>
      </c>
      <c r="BL108" s="602">
        <f t="shared" si="69"/>
        <v>200</v>
      </c>
      <c r="BM108" s="602">
        <f t="shared" si="70"/>
        <v>200</v>
      </c>
      <c r="BN108" s="631"/>
      <c r="BO108" s="631"/>
      <c r="BP108" s="631"/>
      <c r="BQ108" s="631"/>
      <c r="BR108" s="631"/>
      <c r="BS108" s="631"/>
      <c r="BT108" s="607">
        <f t="shared" si="39"/>
        <v>1200</v>
      </c>
      <c r="BU108" s="608">
        <f t="shared" si="40"/>
        <v>0</v>
      </c>
      <c r="BV108" s="609"/>
      <c r="BW108" s="491"/>
    </row>
    <row r="109" s="490" customFormat="1" ht="33" customHeight="1" spans="1:75">
      <c r="A109" s="577">
        <v>45701</v>
      </c>
      <c r="B109" s="581" t="s">
        <v>310</v>
      </c>
      <c r="C109" s="579" t="s">
        <v>78</v>
      </c>
      <c r="D109" s="580">
        <v>4500157606</v>
      </c>
      <c r="E109" s="588" t="s">
        <v>693</v>
      </c>
      <c r="F109" s="580" t="s">
        <v>694</v>
      </c>
      <c r="G109" s="582" t="s">
        <v>81</v>
      </c>
      <c r="H109" s="578" t="s">
        <v>95</v>
      </c>
      <c r="I109" s="583">
        <v>600</v>
      </c>
      <c r="J109" s="583">
        <v>0</v>
      </c>
      <c r="K109" s="583">
        <v>6</v>
      </c>
      <c r="L109" s="584">
        <f t="shared" si="64"/>
        <v>100</v>
      </c>
      <c r="M109" s="585">
        <v>45747</v>
      </c>
      <c r="N109" s="585">
        <v>45743</v>
      </c>
      <c r="O109" s="586"/>
      <c r="P109" s="586" t="s">
        <v>83</v>
      </c>
      <c r="Q109" s="587" t="s">
        <v>695</v>
      </c>
      <c r="R109" s="586" t="s">
        <v>696</v>
      </c>
      <c r="S109" s="586"/>
      <c r="T109" s="586"/>
      <c r="U109" s="586" t="s">
        <v>86</v>
      </c>
      <c r="V109" s="586" t="s">
        <v>697</v>
      </c>
      <c r="W109" s="586"/>
      <c r="X109" s="588" t="s">
        <v>698</v>
      </c>
      <c r="Y109" s="618" t="s">
        <v>538</v>
      </c>
      <c r="Z109" s="590">
        <v>5.7196</v>
      </c>
      <c r="AA109" s="591">
        <v>3431.76</v>
      </c>
      <c r="AB109" s="619" t="s">
        <v>699</v>
      </c>
      <c r="AC109" s="582" t="s">
        <v>235</v>
      </c>
      <c r="AD109" s="592" t="s">
        <v>89</v>
      </c>
      <c r="AE109" s="628"/>
      <c r="AF109" s="628"/>
      <c r="AG109" s="595"/>
      <c r="AH109" s="628"/>
      <c r="AI109" s="628"/>
      <c r="AJ109" s="595">
        <v>600</v>
      </c>
      <c r="AK109" s="629"/>
      <c r="AL109" s="628"/>
      <c r="AM109" s="628"/>
      <c r="AN109" s="598">
        <v>600</v>
      </c>
      <c r="AO109" s="621"/>
      <c r="AP109" s="630"/>
      <c r="AQ109" s="630"/>
      <c r="AR109" s="621"/>
      <c r="AS109" s="630"/>
      <c r="AT109" s="630"/>
      <c r="AU109" s="621">
        <v>600</v>
      </c>
      <c r="AV109" s="621"/>
      <c r="AW109" s="592">
        <v>600</v>
      </c>
      <c r="AX109" s="621"/>
      <c r="AY109" s="621"/>
      <c r="AZ109" s="621"/>
      <c r="BA109" s="621"/>
      <c r="BB109" s="621"/>
      <c r="BC109" s="621"/>
      <c r="BD109" s="621"/>
      <c r="BE109" s="623"/>
      <c r="BF109" s="602" t="s">
        <v>90</v>
      </c>
      <c r="BG109" s="603"/>
      <c r="BH109" s="604">
        <v>100</v>
      </c>
      <c r="BI109" s="605">
        <v>100</v>
      </c>
      <c r="BJ109" s="602">
        <v>100</v>
      </c>
      <c r="BK109" s="602">
        <v>100</v>
      </c>
      <c r="BL109" s="602">
        <v>100</v>
      </c>
      <c r="BM109" s="602">
        <v>100</v>
      </c>
      <c r="BN109" s="631"/>
      <c r="BO109" s="631"/>
      <c r="BP109" s="631"/>
      <c r="BQ109" s="631"/>
      <c r="BR109" s="631"/>
      <c r="BS109" s="631"/>
      <c r="BT109" s="607">
        <v>600</v>
      </c>
      <c r="BU109" s="608">
        <v>0</v>
      </c>
      <c r="BV109" s="609"/>
      <c r="BW109" s="491"/>
    </row>
    <row r="110" s="490" customFormat="1" ht="33" customHeight="1" spans="1:75">
      <c r="A110" s="577">
        <v>45701</v>
      </c>
      <c r="B110" s="581" t="s">
        <v>317</v>
      </c>
      <c r="C110" s="579" t="s">
        <v>119</v>
      </c>
      <c r="D110" s="580">
        <v>4500157593</v>
      </c>
      <c r="E110" s="588" t="s">
        <v>700</v>
      </c>
      <c r="F110" s="580" t="s">
        <v>701</v>
      </c>
      <c r="G110" s="582" t="s">
        <v>81</v>
      </c>
      <c r="H110" s="578" t="s">
        <v>95</v>
      </c>
      <c r="I110" s="583">
        <v>504</v>
      </c>
      <c r="J110" s="583">
        <v>0</v>
      </c>
      <c r="K110" s="583">
        <v>6</v>
      </c>
      <c r="L110" s="584">
        <f t="shared" si="64"/>
        <v>84</v>
      </c>
      <c r="M110" s="585">
        <v>45747</v>
      </c>
      <c r="N110" s="585">
        <v>45743</v>
      </c>
      <c r="O110" s="586"/>
      <c r="P110" s="586" t="s">
        <v>83</v>
      </c>
      <c r="Q110" s="587" t="s">
        <v>695</v>
      </c>
      <c r="R110" s="586" t="s">
        <v>696</v>
      </c>
      <c r="S110" s="586"/>
      <c r="T110" s="586"/>
      <c r="U110" s="586" t="s">
        <v>702</v>
      </c>
      <c r="V110" s="586" t="s">
        <v>697</v>
      </c>
      <c r="W110" s="586"/>
      <c r="X110" s="588" t="s">
        <v>703</v>
      </c>
      <c r="Y110" s="618" t="s">
        <v>538</v>
      </c>
      <c r="Z110" s="590">
        <v>5.905</v>
      </c>
      <c r="AA110" s="591">
        <f>Z110*I110</f>
        <v>2976.12</v>
      </c>
      <c r="AB110" s="619" t="s">
        <v>704</v>
      </c>
      <c r="AC110" s="582" t="s">
        <v>235</v>
      </c>
      <c r="AD110" s="592" t="s">
        <v>89</v>
      </c>
      <c r="AE110" s="628"/>
      <c r="AF110" s="628"/>
      <c r="AG110" s="595"/>
      <c r="AH110" s="628"/>
      <c r="AI110" s="628"/>
      <c r="AJ110" s="595">
        <f>I110</f>
        <v>504</v>
      </c>
      <c r="AK110" s="629"/>
      <c r="AL110" s="628"/>
      <c r="AM110" s="628"/>
      <c r="AN110" s="598">
        <f t="shared" ref="AN110:AN121" si="71">I110</f>
        <v>504</v>
      </c>
      <c r="AO110" s="621"/>
      <c r="AP110" s="630"/>
      <c r="AQ110" s="630"/>
      <c r="AR110" s="621"/>
      <c r="AS110" s="630"/>
      <c r="AT110" s="630"/>
      <c r="AU110" s="621">
        <f>I110</f>
        <v>504</v>
      </c>
      <c r="AV110" s="621"/>
      <c r="AW110" s="592">
        <f t="shared" ref="AW110:AW173" si="72">I110</f>
        <v>504</v>
      </c>
      <c r="AX110" s="621"/>
      <c r="AY110" s="621"/>
      <c r="AZ110" s="621"/>
      <c r="BA110" s="621"/>
      <c r="BB110" s="621"/>
      <c r="BC110" s="621"/>
      <c r="BD110" s="621"/>
      <c r="BE110" s="623"/>
      <c r="BF110" s="602" t="s">
        <v>90</v>
      </c>
      <c r="BG110" s="603"/>
      <c r="BH110" s="604">
        <f t="shared" ref="BH110:BH129" si="73">I110/6</f>
        <v>84</v>
      </c>
      <c r="BI110" s="605">
        <f t="shared" ref="BI110:BI129" si="74">I110/6</f>
        <v>84</v>
      </c>
      <c r="BJ110" s="602">
        <f t="shared" ref="BJ110:BJ129" si="75">I110/6</f>
        <v>84</v>
      </c>
      <c r="BK110" s="602">
        <f t="shared" ref="BK110:BK129" si="76">I110/6</f>
        <v>84</v>
      </c>
      <c r="BL110" s="602">
        <f t="shared" ref="BL110:BL129" si="77">I110/6</f>
        <v>84</v>
      </c>
      <c r="BM110" s="602">
        <f t="shared" ref="BM110:BM129" si="78">I110/6</f>
        <v>84</v>
      </c>
      <c r="BN110" s="631"/>
      <c r="BO110" s="631"/>
      <c r="BP110" s="631"/>
      <c r="BQ110" s="631"/>
      <c r="BR110" s="631"/>
      <c r="BS110" s="631"/>
      <c r="BT110" s="607">
        <f t="shared" ref="BT110:BT173" si="79">SUM(BH110:BS110)</f>
        <v>504</v>
      </c>
      <c r="BU110" s="608">
        <f t="shared" ref="BU110:BU173" si="80">I110-BT110</f>
        <v>0</v>
      </c>
      <c r="BV110" s="609"/>
      <c r="BW110" s="491"/>
    </row>
    <row r="111" s="490" customFormat="1" ht="33" customHeight="1" spans="1:75">
      <c r="A111" s="577">
        <v>45707</v>
      </c>
      <c r="B111" s="616" t="s">
        <v>450</v>
      </c>
      <c r="C111" s="581" t="s">
        <v>78</v>
      </c>
      <c r="D111" s="580">
        <v>4500157986</v>
      </c>
      <c r="E111" s="581" t="s">
        <v>705</v>
      </c>
      <c r="F111" s="580" t="s">
        <v>706</v>
      </c>
      <c r="G111" s="582" t="s">
        <v>707</v>
      </c>
      <c r="H111" s="581" t="s">
        <v>708</v>
      </c>
      <c r="I111" s="583">
        <v>1040</v>
      </c>
      <c r="J111" s="583">
        <v>0</v>
      </c>
      <c r="K111" s="583">
        <v>8</v>
      </c>
      <c r="L111" s="584">
        <f t="shared" ref="L111:L126" si="81">I111/K111</f>
        <v>130</v>
      </c>
      <c r="M111" s="585">
        <v>45748</v>
      </c>
      <c r="N111" s="585">
        <v>45744</v>
      </c>
      <c r="O111" s="586" t="s">
        <v>709</v>
      </c>
      <c r="P111" s="586" t="s">
        <v>83</v>
      </c>
      <c r="Q111" s="587" t="s">
        <v>710</v>
      </c>
      <c r="R111" s="586" t="s">
        <v>711</v>
      </c>
      <c r="S111" s="586"/>
      <c r="T111" s="586"/>
      <c r="U111" s="586" t="s">
        <v>712</v>
      </c>
      <c r="V111" s="586"/>
      <c r="W111" s="640" t="s">
        <v>713</v>
      </c>
      <c r="X111" s="588" t="s">
        <v>714</v>
      </c>
      <c r="Y111" s="641" t="s">
        <v>538</v>
      </c>
      <c r="Z111" s="590">
        <v>119.2306</v>
      </c>
      <c r="AA111" s="591">
        <f>Z111*L111</f>
        <v>15499.978</v>
      </c>
      <c r="AB111" s="619" t="s">
        <v>715</v>
      </c>
      <c r="AC111" s="582" t="s">
        <v>81</v>
      </c>
      <c r="AD111" s="592" t="s">
        <v>89</v>
      </c>
      <c r="AE111" s="628"/>
      <c r="AF111" s="628"/>
      <c r="AG111" s="595">
        <f t="shared" ref="AG111:AG122" si="82">I111</f>
        <v>1040</v>
      </c>
      <c r="AH111" s="628"/>
      <c r="AI111" s="628"/>
      <c r="AJ111" s="595"/>
      <c r="AK111" s="629"/>
      <c r="AL111" s="628"/>
      <c r="AM111" s="628"/>
      <c r="AN111" s="598">
        <f t="shared" si="71"/>
        <v>1040</v>
      </c>
      <c r="AO111" s="621"/>
      <c r="AP111" s="630"/>
      <c r="AQ111" s="630"/>
      <c r="AR111" s="621">
        <f t="shared" ref="AR111:AR122" si="83">I111</f>
        <v>1040</v>
      </c>
      <c r="AS111" s="630"/>
      <c r="AT111" s="630"/>
      <c r="AU111" s="621"/>
      <c r="AV111" s="621"/>
      <c r="AW111" s="592">
        <f t="shared" si="72"/>
        <v>1040</v>
      </c>
      <c r="AX111" s="621"/>
      <c r="AY111" s="621"/>
      <c r="AZ111" s="621"/>
      <c r="BA111" s="621"/>
      <c r="BB111" s="621"/>
      <c r="BC111" s="621"/>
      <c r="BD111" s="621"/>
      <c r="BE111" s="623"/>
      <c r="BF111" s="602" t="s">
        <v>90</v>
      </c>
      <c r="BG111" s="603"/>
      <c r="BH111" s="632">
        <f t="shared" si="73"/>
        <v>173.333333333333</v>
      </c>
      <c r="BI111" s="633">
        <f t="shared" si="74"/>
        <v>173.333333333333</v>
      </c>
      <c r="BJ111" s="633">
        <f t="shared" si="75"/>
        <v>173.333333333333</v>
      </c>
      <c r="BK111" s="633">
        <f t="shared" si="76"/>
        <v>173.333333333333</v>
      </c>
      <c r="BL111" s="633">
        <f t="shared" si="77"/>
        <v>173.333333333333</v>
      </c>
      <c r="BM111" s="633">
        <f t="shared" si="78"/>
        <v>173.333333333333</v>
      </c>
      <c r="BN111" s="631"/>
      <c r="BO111" s="631"/>
      <c r="BP111" s="631"/>
      <c r="BQ111" s="631"/>
      <c r="BR111" s="631"/>
      <c r="BS111" s="631"/>
      <c r="BT111" s="607">
        <f t="shared" si="79"/>
        <v>1040</v>
      </c>
      <c r="BU111" s="608">
        <f t="shared" si="80"/>
        <v>0</v>
      </c>
      <c r="BV111" s="609"/>
      <c r="BW111" s="491"/>
    </row>
    <row r="112" s="490" customFormat="1" ht="33" customHeight="1" spans="1:75">
      <c r="A112" s="577">
        <v>45707</v>
      </c>
      <c r="B112" s="616" t="s">
        <v>450</v>
      </c>
      <c r="C112" s="581" t="s">
        <v>78</v>
      </c>
      <c r="D112" s="580">
        <v>4500157986</v>
      </c>
      <c r="E112" s="581" t="s">
        <v>716</v>
      </c>
      <c r="F112" s="580" t="s">
        <v>717</v>
      </c>
      <c r="G112" s="582" t="s">
        <v>707</v>
      </c>
      <c r="H112" s="581" t="s">
        <v>708</v>
      </c>
      <c r="I112" s="583">
        <v>1040</v>
      </c>
      <c r="J112" s="583">
        <v>0</v>
      </c>
      <c r="K112" s="583">
        <v>8</v>
      </c>
      <c r="L112" s="584">
        <f t="shared" si="81"/>
        <v>130</v>
      </c>
      <c r="M112" s="585">
        <v>45748</v>
      </c>
      <c r="N112" s="585">
        <v>45744</v>
      </c>
      <c r="O112" s="586" t="s">
        <v>709</v>
      </c>
      <c r="P112" s="586" t="s">
        <v>83</v>
      </c>
      <c r="Q112" s="587" t="s">
        <v>710</v>
      </c>
      <c r="R112" s="586" t="s">
        <v>711</v>
      </c>
      <c r="S112" s="586"/>
      <c r="T112" s="586"/>
      <c r="U112" s="586" t="s">
        <v>712</v>
      </c>
      <c r="V112" s="586"/>
      <c r="W112" s="640" t="s">
        <v>713</v>
      </c>
      <c r="X112" s="588" t="s">
        <v>714</v>
      </c>
      <c r="Y112" s="641" t="s">
        <v>538</v>
      </c>
      <c r="Z112" s="590">
        <v>119.2306</v>
      </c>
      <c r="AA112" s="591">
        <f>Z112*L112</f>
        <v>15499.978</v>
      </c>
      <c r="AB112" s="619" t="s">
        <v>715</v>
      </c>
      <c r="AC112" s="582" t="s">
        <v>81</v>
      </c>
      <c r="AD112" s="592" t="s">
        <v>89</v>
      </c>
      <c r="AE112" s="628"/>
      <c r="AF112" s="628"/>
      <c r="AG112" s="595">
        <f t="shared" si="82"/>
        <v>1040</v>
      </c>
      <c r="AH112" s="628"/>
      <c r="AI112" s="628"/>
      <c r="AJ112" s="595"/>
      <c r="AK112" s="629"/>
      <c r="AL112" s="628"/>
      <c r="AM112" s="628"/>
      <c r="AN112" s="598">
        <f t="shared" si="71"/>
        <v>1040</v>
      </c>
      <c r="AO112" s="621"/>
      <c r="AP112" s="630"/>
      <c r="AQ112" s="630"/>
      <c r="AR112" s="621">
        <f t="shared" si="83"/>
        <v>1040</v>
      </c>
      <c r="AS112" s="630"/>
      <c r="AT112" s="630"/>
      <c r="AU112" s="621"/>
      <c r="AV112" s="621"/>
      <c r="AW112" s="592">
        <f t="shared" si="72"/>
        <v>1040</v>
      </c>
      <c r="AX112" s="621"/>
      <c r="AY112" s="621"/>
      <c r="AZ112" s="621"/>
      <c r="BA112" s="621"/>
      <c r="BB112" s="621"/>
      <c r="BC112" s="621"/>
      <c r="BD112" s="621"/>
      <c r="BE112" s="623"/>
      <c r="BF112" s="602" t="s">
        <v>90</v>
      </c>
      <c r="BG112" s="603"/>
      <c r="BH112" s="632">
        <f t="shared" si="73"/>
        <v>173.333333333333</v>
      </c>
      <c r="BI112" s="633">
        <f t="shared" si="74"/>
        <v>173.333333333333</v>
      </c>
      <c r="BJ112" s="633">
        <f t="shared" si="75"/>
        <v>173.333333333333</v>
      </c>
      <c r="BK112" s="633">
        <f t="shared" si="76"/>
        <v>173.333333333333</v>
      </c>
      <c r="BL112" s="633">
        <f t="shared" si="77"/>
        <v>173.333333333333</v>
      </c>
      <c r="BM112" s="633">
        <f t="shared" si="78"/>
        <v>173.333333333333</v>
      </c>
      <c r="BN112" s="631"/>
      <c r="BO112" s="631"/>
      <c r="BP112" s="631"/>
      <c r="BQ112" s="631"/>
      <c r="BR112" s="631"/>
      <c r="BS112" s="631"/>
      <c r="BT112" s="607">
        <f t="shared" si="79"/>
        <v>1040</v>
      </c>
      <c r="BU112" s="608">
        <f t="shared" si="80"/>
        <v>0</v>
      </c>
      <c r="BV112" s="609"/>
      <c r="BW112" s="491"/>
    </row>
    <row r="113" s="490" customFormat="1" ht="33" customHeight="1" spans="1:75">
      <c r="A113" s="577">
        <v>45719</v>
      </c>
      <c r="B113" s="581" t="s">
        <v>153</v>
      </c>
      <c r="C113" s="579" t="s">
        <v>92</v>
      </c>
      <c r="D113" s="580">
        <v>4500159032</v>
      </c>
      <c r="E113" s="588">
        <v>901328744</v>
      </c>
      <c r="F113" s="580" t="s">
        <v>718</v>
      </c>
      <c r="G113" s="582" t="s">
        <v>155</v>
      </c>
      <c r="H113" s="578" t="s">
        <v>156</v>
      </c>
      <c r="I113" s="583">
        <v>540</v>
      </c>
      <c r="J113" s="583">
        <v>1</v>
      </c>
      <c r="K113" s="583">
        <v>108</v>
      </c>
      <c r="L113" s="584">
        <f t="shared" si="81"/>
        <v>5</v>
      </c>
      <c r="M113" s="585">
        <v>45750</v>
      </c>
      <c r="N113" s="585">
        <v>45747</v>
      </c>
      <c r="O113" s="586" t="s">
        <v>719</v>
      </c>
      <c r="P113" s="586" t="s">
        <v>83</v>
      </c>
      <c r="Q113" s="587" t="s">
        <v>720</v>
      </c>
      <c r="R113" s="586" t="s">
        <v>664</v>
      </c>
      <c r="S113" s="586"/>
      <c r="T113" s="586"/>
      <c r="U113" s="586" t="s">
        <v>665</v>
      </c>
      <c r="V113" s="586" t="s">
        <v>161</v>
      </c>
      <c r="W113" s="640"/>
      <c r="X113" s="588" t="s">
        <v>721</v>
      </c>
      <c r="Y113" s="618" t="s">
        <v>163</v>
      </c>
      <c r="Z113" s="590">
        <v>627.1822</v>
      </c>
      <c r="AA113" s="591">
        <f>Z113*L113</f>
        <v>3135.911</v>
      </c>
      <c r="AB113" s="619" t="s">
        <v>722</v>
      </c>
      <c r="AC113" s="582" t="s">
        <v>155</v>
      </c>
      <c r="AD113" s="592" t="s">
        <v>89</v>
      </c>
      <c r="AE113" s="628"/>
      <c r="AF113" s="628"/>
      <c r="AG113" s="595">
        <f t="shared" si="82"/>
        <v>540</v>
      </c>
      <c r="AH113" s="628"/>
      <c r="AI113" s="628"/>
      <c r="AJ113" s="595"/>
      <c r="AK113" s="629"/>
      <c r="AL113" s="628"/>
      <c r="AM113" s="628"/>
      <c r="AN113" s="598">
        <f t="shared" si="71"/>
        <v>540</v>
      </c>
      <c r="AO113" s="621"/>
      <c r="AP113" s="630"/>
      <c r="AQ113" s="630"/>
      <c r="AR113" s="621">
        <f t="shared" si="83"/>
        <v>540</v>
      </c>
      <c r="AS113" s="630"/>
      <c r="AT113" s="630"/>
      <c r="AU113" s="621"/>
      <c r="AV113" s="621"/>
      <c r="AW113" s="592">
        <f t="shared" si="72"/>
        <v>540</v>
      </c>
      <c r="AX113" s="621"/>
      <c r="AY113" s="621"/>
      <c r="AZ113" s="621"/>
      <c r="BA113" s="621"/>
      <c r="BB113" s="621"/>
      <c r="BC113" s="621"/>
      <c r="BD113" s="621"/>
      <c r="BE113" s="623"/>
      <c r="BF113" s="602" t="s">
        <v>165</v>
      </c>
      <c r="BG113" s="603"/>
      <c r="BH113" s="604">
        <f t="shared" si="73"/>
        <v>90</v>
      </c>
      <c r="BI113" s="605">
        <f t="shared" si="74"/>
        <v>90</v>
      </c>
      <c r="BJ113" s="602">
        <f t="shared" si="75"/>
        <v>90</v>
      </c>
      <c r="BK113" s="602">
        <f t="shared" si="76"/>
        <v>90</v>
      </c>
      <c r="BL113" s="602">
        <f t="shared" si="77"/>
        <v>90</v>
      </c>
      <c r="BM113" s="602">
        <f t="shared" si="78"/>
        <v>90</v>
      </c>
      <c r="BN113" s="631"/>
      <c r="BO113" s="631"/>
      <c r="BP113" s="631"/>
      <c r="BQ113" s="631"/>
      <c r="BR113" s="631"/>
      <c r="BS113" s="631"/>
      <c r="BT113" s="607">
        <f t="shared" si="79"/>
        <v>540</v>
      </c>
      <c r="BU113" s="608">
        <f t="shared" si="80"/>
        <v>0</v>
      </c>
      <c r="BV113" s="609"/>
      <c r="BW113" s="491"/>
    </row>
    <row r="114" s="490" customFormat="1" ht="33" customHeight="1" spans="1:75">
      <c r="A114" s="577">
        <v>45719</v>
      </c>
      <c r="B114" s="581" t="s">
        <v>153</v>
      </c>
      <c r="C114" s="579" t="s">
        <v>92</v>
      </c>
      <c r="D114" s="580">
        <v>4500159032</v>
      </c>
      <c r="E114" s="588">
        <v>901328749</v>
      </c>
      <c r="F114" s="580" t="s">
        <v>723</v>
      </c>
      <c r="G114" s="582" t="s">
        <v>155</v>
      </c>
      <c r="H114" s="578" t="s">
        <v>156</v>
      </c>
      <c r="I114" s="583">
        <v>540</v>
      </c>
      <c r="J114" s="583">
        <v>1</v>
      </c>
      <c r="K114" s="583">
        <v>108</v>
      </c>
      <c r="L114" s="584">
        <f t="shared" si="81"/>
        <v>5</v>
      </c>
      <c r="M114" s="585">
        <v>45750</v>
      </c>
      <c r="N114" s="585">
        <v>45747</v>
      </c>
      <c r="O114" s="586" t="s">
        <v>719</v>
      </c>
      <c r="P114" s="586" t="s">
        <v>83</v>
      </c>
      <c r="Q114" s="587" t="s">
        <v>720</v>
      </c>
      <c r="R114" s="586" t="s">
        <v>664</v>
      </c>
      <c r="S114" s="586"/>
      <c r="T114" s="586"/>
      <c r="U114" s="586" t="s">
        <v>665</v>
      </c>
      <c r="V114" s="586" t="s">
        <v>161</v>
      </c>
      <c r="W114" s="640"/>
      <c r="X114" s="588" t="s">
        <v>721</v>
      </c>
      <c r="Y114" s="618" t="s">
        <v>163</v>
      </c>
      <c r="Z114" s="590">
        <v>627.1822</v>
      </c>
      <c r="AA114" s="591">
        <f>Z114*L114</f>
        <v>3135.911</v>
      </c>
      <c r="AB114" s="619" t="s">
        <v>722</v>
      </c>
      <c r="AC114" s="582" t="s">
        <v>155</v>
      </c>
      <c r="AD114" s="592" t="s">
        <v>89</v>
      </c>
      <c r="AE114" s="628"/>
      <c r="AF114" s="628"/>
      <c r="AG114" s="595">
        <f t="shared" si="82"/>
        <v>540</v>
      </c>
      <c r="AH114" s="628"/>
      <c r="AI114" s="628"/>
      <c r="AJ114" s="595"/>
      <c r="AK114" s="629"/>
      <c r="AL114" s="628"/>
      <c r="AM114" s="628"/>
      <c r="AN114" s="598">
        <f t="shared" si="71"/>
        <v>540</v>
      </c>
      <c r="AO114" s="621"/>
      <c r="AP114" s="630"/>
      <c r="AQ114" s="630"/>
      <c r="AR114" s="621">
        <f t="shared" si="83"/>
        <v>540</v>
      </c>
      <c r="AS114" s="630"/>
      <c r="AT114" s="630"/>
      <c r="AU114" s="621"/>
      <c r="AV114" s="621"/>
      <c r="AW114" s="592">
        <f t="shared" si="72"/>
        <v>540</v>
      </c>
      <c r="AX114" s="621"/>
      <c r="AY114" s="621"/>
      <c r="AZ114" s="621"/>
      <c r="BA114" s="621"/>
      <c r="BB114" s="621"/>
      <c r="BC114" s="621"/>
      <c r="BD114" s="621"/>
      <c r="BE114" s="623"/>
      <c r="BF114" s="602" t="s">
        <v>165</v>
      </c>
      <c r="BG114" s="603"/>
      <c r="BH114" s="604">
        <f t="shared" si="73"/>
        <v>90</v>
      </c>
      <c r="BI114" s="605">
        <f t="shared" si="74"/>
        <v>90</v>
      </c>
      <c r="BJ114" s="602">
        <f t="shared" si="75"/>
        <v>90</v>
      </c>
      <c r="BK114" s="602">
        <f t="shared" si="76"/>
        <v>90</v>
      </c>
      <c r="BL114" s="602">
        <f t="shared" si="77"/>
        <v>90</v>
      </c>
      <c r="BM114" s="602">
        <f t="shared" si="78"/>
        <v>90</v>
      </c>
      <c r="BN114" s="631"/>
      <c r="BO114" s="631"/>
      <c r="BP114" s="631"/>
      <c r="BQ114" s="631"/>
      <c r="BR114" s="631"/>
      <c r="BS114" s="631"/>
      <c r="BT114" s="607">
        <f t="shared" si="79"/>
        <v>540</v>
      </c>
      <c r="BU114" s="608">
        <f t="shared" si="80"/>
        <v>0</v>
      </c>
      <c r="BV114" s="609"/>
      <c r="BW114" s="491"/>
    </row>
    <row r="115" s="490" customFormat="1" ht="33" customHeight="1" spans="1:75">
      <c r="A115" s="577">
        <v>45611</v>
      </c>
      <c r="B115" s="581" t="s">
        <v>724</v>
      </c>
      <c r="C115" s="579" t="s">
        <v>725</v>
      </c>
      <c r="D115" s="580">
        <v>4500151398</v>
      </c>
      <c r="E115" s="616" t="s">
        <v>726</v>
      </c>
      <c r="F115" s="580" t="s">
        <v>727</v>
      </c>
      <c r="G115" s="582" t="s">
        <v>81</v>
      </c>
      <c r="H115" s="578" t="s">
        <v>95</v>
      </c>
      <c r="I115" s="583">
        <v>4716</v>
      </c>
      <c r="J115" s="583">
        <v>0</v>
      </c>
      <c r="K115" s="583">
        <v>6</v>
      </c>
      <c r="L115" s="584">
        <f t="shared" si="81"/>
        <v>786</v>
      </c>
      <c r="M115" s="585">
        <v>45750</v>
      </c>
      <c r="N115" s="585">
        <f>M115-5</f>
        <v>45745</v>
      </c>
      <c r="O115" s="586"/>
      <c r="P115" s="586" t="s">
        <v>83</v>
      </c>
      <c r="Q115" s="587" t="s">
        <v>720</v>
      </c>
      <c r="R115" s="586" t="s">
        <v>728</v>
      </c>
      <c r="S115" s="586"/>
      <c r="T115" s="586"/>
      <c r="U115" s="586" t="s">
        <v>729</v>
      </c>
      <c r="V115" s="586"/>
      <c r="W115" s="586"/>
      <c r="X115" s="588" t="s">
        <v>730</v>
      </c>
      <c r="Y115" s="618" t="s">
        <v>675</v>
      </c>
      <c r="Z115" s="590">
        <v>5.6846</v>
      </c>
      <c r="AA115" s="591">
        <f>Z115*I115</f>
        <v>26808.5736</v>
      </c>
      <c r="AB115" s="619" t="s">
        <v>731</v>
      </c>
      <c r="AC115" s="582" t="s">
        <v>81</v>
      </c>
      <c r="AD115" s="593" t="s">
        <v>89</v>
      </c>
      <c r="AE115" s="628"/>
      <c r="AF115" s="628"/>
      <c r="AG115" s="595">
        <f t="shared" si="82"/>
        <v>4716</v>
      </c>
      <c r="AH115" s="628"/>
      <c r="AI115" s="628"/>
      <c r="AJ115" s="589"/>
      <c r="AK115" s="629"/>
      <c r="AL115" s="628"/>
      <c r="AM115" s="628"/>
      <c r="AN115" s="598">
        <f t="shared" si="71"/>
        <v>4716</v>
      </c>
      <c r="AO115" s="621"/>
      <c r="AP115" s="630"/>
      <c r="AQ115" s="630"/>
      <c r="AR115" s="621">
        <f t="shared" si="83"/>
        <v>4716</v>
      </c>
      <c r="AS115" s="630"/>
      <c r="AT115" s="630"/>
      <c r="AU115" s="621"/>
      <c r="AV115" s="621"/>
      <c r="AW115" s="592">
        <f t="shared" si="72"/>
        <v>4716</v>
      </c>
      <c r="AX115" s="621"/>
      <c r="AY115" s="621"/>
      <c r="AZ115" s="621"/>
      <c r="BA115" s="621"/>
      <c r="BB115" s="621"/>
      <c r="BC115" s="621"/>
      <c r="BD115" s="621"/>
      <c r="BE115" s="623"/>
      <c r="BF115" s="602" t="s">
        <v>90</v>
      </c>
      <c r="BG115" s="603"/>
      <c r="BH115" s="604">
        <f t="shared" si="73"/>
        <v>786</v>
      </c>
      <c r="BI115" s="605">
        <f t="shared" si="74"/>
        <v>786</v>
      </c>
      <c r="BJ115" s="602">
        <f t="shared" si="75"/>
        <v>786</v>
      </c>
      <c r="BK115" s="602">
        <f t="shared" si="76"/>
        <v>786</v>
      </c>
      <c r="BL115" s="602">
        <f t="shared" si="77"/>
        <v>786</v>
      </c>
      <c r="BM115" s="602">
        <f t="shared" si="78"/>
        <v>786</v>
      </c>
      <c r="BN115" s="631"/>
      <c r="BO115" s="631"/>
      <c r="BP115" s="631"/>
      <c r="BQ115" s="631"/>
      <c r="BR115" s="631"/>
      <c r="BS115" s="631"/>
      <c r="BT115" s="607">
        <f t="shared" si="79"/>
        <v>4716</v>
      </c>
      <c r="BU115" s="608">
        <f t="shared" si="80"/>
        <v>0</v>
      </c>
      <c r="BV115" s="609"/>
      <c r="BW115" s="491"/>
    </row>
    <row r="116" s="490" customFormat="1" ht="33" customHeight="1" spans="1:75">
      <c r="A116" s="577">
        <v>45611</v>
      </c>
      <c r="B116" s="581" t="s">
        <v>724</v>
      </c>
      <c r="C116" s="579" t="s">
        <v>725</v>
      </c>
      <c r="D116" s="580">
        <v>4500151398</v>
      </c>
      <c r="E116" s="616" t="s">
        <v>732</v>
      </c>
      <c r="F116" s="580" t="s">
        <v>733</v>
      </c>
      <c r="G116" s="582" t="s">
        <v>81</v>
      </c>
      <c r="H116" s="578" t="s">
        <v>95</v>
      </c>
      <c r="I116" s="583">
        <v>1770</v>
      </c>
      <c r="J116" s="583">
        <v>0</v>
      </c>
      <c r="K116" s="583">
        <v>6</v>
      </c>
      <c r="L116" s="584">
        <f t="shared" si="81"/>
        <v>295</v>
      </c>
      <c r="M116" s="585">
        <v>45750</v>
      </c>
      <c r="N116" s="585">
        <f>M116-5</f>
        <v>45745</v>
      </c>
      <c r="O116" s="586"/>
      <c r="P116" s="586" t="s">
        <v>83</v>
      </c>
      <c r="Q116" s="587" t="s">
        <v>734</v>
      </c>
      <c r="R116" s="586" t="s">
        <v>728</v>
      </c>
      <c r="S116" s="586"/>
      <c r="T116" s="586"/>
      <c r="U116" s="586" t="s">
        <v>729</v>
      </c>
      <c r="V116" s="586"/>
      <c r="W116" s="586"/>
      <c r="X116" s="588" t="s">
        <v>730</v>
      </c>
      <c r="Y116" s="618" t="s">
        <v>675</v>
      </c>
      <c r="Z116" s="590">
        <v>5.6846</v>
      </c>
      <c r="AA116" s="591">
        <f>Z116*I116</f>
        <v>10061.742</v>
      </c>
      <c r="AB116" s="619" t="s">
        <v>731</v>
      </c>
      <c r="AC116" s="582" t="s">
        <v>81</v>
      </c>
      <c r="AD116" s="593" t="s">
        <v>89</v>
      </c>
      <c r="AE116" s="628"/>
      <c r="AF116" s="628"/>
      <c r="AG116" s="595">
        <f t="shared" si="82"/>
        <v>1770</v>
      </c>
      <c r="AH116" s="628"/>
      <c r="AI116" s="628"/>
      <c r="AJ116" s="589"/>
      <c r="AK116" s="629"/>
      <c r="AL116" s="628"/>
      <c r="AM116" s="628"/>
      <c r="AN116" s="598">
        <f t="shared" si="71"/>
        <v>1770</v>
      </c>
      <c r="AO116" s="621"/>
      <c r="AP116" s="630"/>
      <c r="AQ116" s="630"/>
      <c r="AR116" s="621">
        <f t="shared" si="83"/>
        <v>1770</v>
      </c>
      <c r="AS116" s="630"/>
      <c r="AT116" s="630"/>
      <c r="AU116" s="621"/>
      <c r="AV116" s="621"/>
      <c r="AW116" s="592">
        <f t="shared" si="72"/>
        <v>1770</v>
      </c>
      <c r="AX116" s="621"/>
      <c r="AY116" s="621"/>
      <c r="AZ116" s="621"/>
      <c r="BA116" s="621"/>
      <c r="BB116" s="621"/>
      <c r="BC116" s="621"/>
      <c r="BD116" s="621"/>
      <c r="BE116" s="623"/>
      <c r="BF116" s="602" t="s">
        <v>90</v>
      </c>
      <c r="BG116" s="603"/>
      <c r="BH116" s="604">
        <f t="shared" si="73"/>
        <v>295</v>
      </c>
      <c r="BI116" s="605">
        <f t="shared" si="74"/>
        <v>295</v>
      </c>
      <c r="BJ116" s="602">
        <f t="shared" si="75"/>
        <v>295</v>
      </c>
      <c r="BK116" s="602">
        <f t="shared" si="76"/>
        <v>295</v>
      </c>
      <c r="BL116" s="602">
        <f t="shared" si="77"/>
        <v>295</v>
      </c>
      <c r="BM116" s="602">
        <f t="shared" si="78"/>
        <v>295</v>
      </c>
      <c r="BN116" s="631"/>
      <c r="BO116" s="631"/>
      <c r="BP116" s="631"/>
      <c r="BQ116" s="631"/>
      <c r="BR116" s="631"/>
      <c r="BS116" s="631"/>
      <c r="BT116" s="607">
        <f t="shared" si="79"/>
        <v>1770</v>
      </c>
      <c r="BU116" s="608">
        <f t="shared" si="80"/>
        <v>0</v>
      </c>
      <c r="BV116" s="609"/>
      <c r="BW116" s="491"/>
    </row>
    <row r="117" s="490" customFormat="1" ht="33" customHeight="1" spans="1:75">
      <c r="A117" s="577">
        <v>45721</v>
      </c>
      <c r="B117" s="581" t="s">
        <v>735</v>
      </c>
      <c r="C117" s="579" t="s">
        <v>736</v>
      </c>
      <c r="D117" s="580">
        <v>4500159239</v>
      </c>
      <c r="E117" s="616"/>
      <c r="F117" s="580" t="s">
        <v>737</v>
      </c>
      <c r="G117" s="582" t="s">
        <v>81</v>
      </c>
      <c r="H117" s="578" t="s">
        <v>95</v>
      </c>
      <c r="I117" s="583">
        <v>150</v>
      </c>
      <c r="J117" s="583">
        <v>0</v>
      </c>
      <c r="K117" s="583">
        <v>6</v>
      </c>
      <c r="L117" s="584">
        <f t="shared" si="81"/>
        <v>25</v>
      </c>
      <c r="M117" s="585">
        <v>45758</v>
      </c>
      <c r="N117" s="585">
        <v>45754</v>
      </c>
      <c r="O117" s="586"/>
      <c r="P117" s="586" t="s">
        <v>83</v>
      </c>
      <c r="Q117" s="587" t="s">
        <v>738</v>
      </c>
      <c r="R117" s="586" t="s">
        <v>739</v>
      </c>
      <c r="S117" s="586"/>
      <c r="T117" s="586"/>
      <c r="U117" s="586" t="s">
        <v>86</v>
      </c>
      <c r="V117" s="586"/>
      <c r="W117" s="586"/>
      <c r="X117" s="588" t="s">
        <v>740</v>
      </c>
      <c r="Y117" s="618" t="s">
        <v>356</v>
      </c>
      <c r="Z117" s="590">
        <v>5.7196</v>
      </c>
      <c r="AA117" s="591">
        <f>Z117*I117</f>
        <v>857.94</v>
      </c>
      <c r="AB117" s="619" t="s">
        <v>741</v>
      </c>
      <c r="AC117" s="582" t="s">
        <v>81</v>
      </c>
      <c r="AD117" s="592" t="s">
        <v>89</v>
      </c>
      <c r="AE117" s="628"/>
      <c r="AF117" s="628"/>
      <c r="AG117" s="595">
        <f t="shared" si="82"/>
        <v>150</v>
      </c>
      <c r="AH117" s="628"/>
      <c r="AI117" s="628"/>
      <c r="AJ117" s="595"/>
      <c r="AK117" s="629"/>
      <c r="AL117" s="628"/>
      <c r="AM117" s="628"/>
      <c r="AN117" s="598">
        <f t="shared" si="71"/>
        <v>150</v>
      </c>
      <c r="AO117" s="621"/>
      <c r="AP117" s="630"/>
      <c r="AQ117" s="630"/>
      <c r="AR117" s="621">
        <f t="shared" si="83"/>
        <v>150</v>
      </c>
      <c r="AS117" s="630"/>
      <c r="AT117" s="630"/>
      <c r="AU117" s="621"/>
      <c r="AV117" s="621"/>
      <c r="AW117" s="592">
        <f t="shared" si="72"/>
        <v>150</v>
      </c>
      <c r="AX117" s="621"/>
      <c r="AY117" s="621"/>
      <c r="AZ117" s="621"/>
      <c r="BA117" s="621"/>
      <c r="BB117" s="621"/>
      <c r="BC117" s="621"/>
      <c r="BD117" s="621"/>
      <c r="BE117" s="623"/>
      <c r="BF117" s="602" t="s">
        <v>165</v>
      </c>
      <c r="BG117" s="603"/>
      <c r="BH117" s="604">
        <f t="shared" si="73"/>
        <v>25</v>
      </c>
      <c r="BI117" s="605">
        <f t="shared" si="74"/>
        <v>25</v>
      </c>
      <c r="BJ117" s="602">
        <f t="shared" si="75"/>
        <v>25</v>
      </c>
      <c r="BK117" s="602">
        <f t="shared" si="76"/>
        <v>25</v>
      </c>
      <c r="BL117" s="602">
        <f t="shared" si="77"/>
        <v>25</v>
      </c>
      <c r="BM117" s="602">
        <f t="shared" si="78"/>
        <v>25</v>
      </c>
      <c r="BN117" s="631"/>
      <c r="BO117" s="631"/>
      <c r="BP117" s="631"/>
      <c r="BQ117" s="631"/>
      <c r="BR117" s="631"/>
      <c r="BS117" s="631"/>
      <c r="BT117" s="607">
        <f t="shared" si="79"/>
        <v>150</v>
      </c>
      <c r="BU117" s="608">
        <f t="shared" si="80"/>
        <v>0</v>
      </c>
      <c r="BV117" s="609"/>
      <c r="BW117" s="491"/>
    </row>
    <row r="118" s="490" customFormat="1" ht="33" customHeight="1" spans="1:75">
      <c r="A118" s="577">
        <v>45728</v>
      </c>
      <c r="B118" s="581" t="s">
        <v>153</v>
      </c>
      <c r="C118" s="579" t="s">
        <v>92</v>
      </c>
      <c r="D118" s="580">
        <v>4500159922</v>
      </c>
      <c r="E118" s="588">
        <v>903761965</v>
      </c>
      <c r="F118" s="580" t="s">
        <v>742</v>
      </c>
      <c r="G118" s="582" t="s">
        <v>155</v>
      </c>
      <c r="H118" s="578" t="s">
        <v>156</v>
      </c>
      <c r="I118" s="583">
        <v>540</v>
      </c>
      <c r="J118" s="583">
        <v>1</v>
      </c>
      <c r="K118" s="583">
        <v>108</v>
      </c>
      <c r="L118" s="584">
        <f t="shared" si="81"/>
        <v>5</v>
      </c>
      <c r="M118" s="585">
        <v>45761</v>
      </c>
      <c r="N118" s="585">
        <v>45757</v>
      </c>
      <c r="O118" s="586" t="s">
        <v>743</v>
      </c>
      <c r="P118" s="586" t="s">
        <v>83</v>
      </c>
      <c r="Q118" s="587" t="s">
        <v>738</v>
      </c>
      <c r="R118" s="586" t="s">
        <v>664</v>
      </c>
      <c r="S118" s="586"/>
      <c r="T118" s="586"/>
      <c r="U118" s="586" t="s">
        <v>665</v>
      </c>
      <c r="V118" s="586" t="s">
        <v>161</v>
      </c>
      <c r="W118" s="586"/>
      <c r="X118" s="588" t="s">
        <v>744</v>
      </c>
      <c r="Y118" s="618" t="s">
        <v>163</v>
      </c>
      <c r="Z118" s="590">
        <v>627.1822</v>
      </c>
      <c r="AA118" s="591">
        <f>Z118*L118</f>
        <v>3135.911</v>
      </c>
      <c r="AB118" s="619" t="s">
        <v>745</v>
      </c>
      <c r="AC118" s="582" t="s">
        <v>155</v>
      </c>
      <c r="AD118" s="592" t="s">
        <v>89</v>
      </c>
      <c r="AE118" s="628"/>
      <c r="AF118" s="628"/>
      <c r="AG118" s="595">
        <f t="shared" si="82"/>
        <v>540</v>
      </c>
      <c r="AH118" s="628"/>
      <c r="AI118" s="628"/>
      <c r="AJ118" s="595"/>
      <c r="AK118" s="629"/>
      <c r="AL118" s="628"/>
      <c r="AM118" s="628"/>
      <c r="AN118" s="598">
        <f t="shared" si="71"/>
        <v>540</v>
      </c>
      <c r="AO118" s="621"/>
      <c r="AP118" s="630"/>
      <c r="AQ118" s="630"/>
      <c r="AR118" s="621">
        <f t="shared" si="83"/>
        <v>540</v>
      </c>
      <c r="AS118" s="630"/>
      <c r="AT118" s="630"/>
      <c r="AU118" s="621"/>
      <c r="AV118" s="621"/>
      <c r="AW118" s="592">
        <f t="shared" si="72"/>
        <v>540</v>
      </c>
      <c r="AX118" s="621"/>
      <c r="AY118" s="621"/>
      <c r="AZ118" s="621"/>
      <c r="BA118" s="621"/>
      <c r="BB118" s="621"/>
      <c r="BC118" s="621"/>
      <c r="BD118" s="621"/>
      <c r="BE118" s="623"/>
      <c r="BF118" s="642" t="s">
        <v>165</v>
      </c>
      <c r="BG118" s="603"/>
      <c r="BH118" s="604">
        <f t="shared" si="73"/>
        <v>90</v>
      </c>
      <c r="BI118" s="605">
        <f t="shared" si="74"/>
        <v>90</v>
      </c>
      <c r="BJ118" s="602">
        <f t="shared" si="75"/>
        <v>90</v>
      </c>
      <c r="BK118" s="602">
        <f t="shared" si="76"/>
        <v>90</v>
      </c>
      <c r="BL118" s="602">
        <f t="shared" si="77"/>
        <v>90</v>
      </c>
      <c r="BM118" s="602">
        <f t="shared" si="78"/>
        <v>90</v>
      </c>
      <c r="BN118" s="631"/>
      <c r="BO118" s="631"/>
      <c r="BP118" s="631"/>
      <c r="BQ118" s="631"/>
      <c r="BR118" s="631"/>
      <c r="BS118" s="631"/>
      <c r="BT118" s="607">
        <f t="shared" si="79"/>
        <v>540</v>
      </c>
      <c r="BU118" s="608">
        <f t="shared" si="80"/>
        <v>0</v>
      </c>
      <c r="BV118" s="609"/>
      <c r="BW118" s="491"/>
    </row>
    <row r="119" s="490" customFormat="1" ht="33" customHeight="1" spans="1:75">
      <c r="A119" s="577">
        <v>45728</v>
      </c>
      <c r="B119" s="581" t="s">
        <v>153</v>
      </c>
      <c r="C119" s="579" t="s">
        <v>92</v>
      </c>
      <c r="D119" s="580">
        <v>4500159922</v>
      </c>
      <c r="E119" s="588">
        <v>903761966</v>
      </c>
      <c r="F119" s="580" t="s">
        <v>746</v>
      </c>
      <c r="G119" s="582" t="s">
        <v>155</v>
      </c>
      <c r="H119" s="578" t="s">
        <v>156</v>
      </c>
      <c r="I119" s="583">
        <v>864</v>
      </c>
      <c r="J119" s="583">
        <v>1</v>
      </c>
      <c r="K119" s="583">
        <v>108</v>
      </c>
      <c r="L119" s="584">
        <f t="shared" si="81"/>
        <v>8</v>
      </c>
      <c r="M119" s="585">
        <v>45761</v>
      </c>
      <c r="N119" s="585">
        <v>45757</v>
      </c>
      <c r="O119" s="586" t="s">
        <v>743</v>
      </c>
      <c r="P119" s="586" t="s">
        <v>83</v>
      </c>
      <c r="Q119" s="587" t="s">
        <v>747</v>
      </c>
      <c r="R119" s="586" t="s">
        <v>664</v>
      </c>
      <c r="S119" s="586"/>
      <c r="T119" s="586"/>
      <c r="U119" s="586" t="s">
        <v>665</v>
      </c>
      <c r="V119" s="586" t="s">
        <v>161</v>
      </c>
      <c r="W119" s="586"/>
      <c r="X119" s="588" t="s">
        <v>744</v>
      </c>
      <c r="Y119" s="618" t="s">
        <v>163</v>
      </c>
      <c r="Z119" s="590">
        <v>627.1822</v>
      </c>
      <c r="AA119" s="591">
        <f>Z119*L119</f>
        <v>5017.4576</v>
      </c>
      <c r="AB119" s="643" t="s">
        <v>748</v>
      </c>
      <c r="AC119" s="582" t="s">
        <v>155</v>
      </c>
      <c r="AD119" s="592" t="s">
        <v>89</v>
      </c>
      <c r="AE119" s="628"/>
      <c r="AF119" s="628"/>
      <c r="AG119" s="595">
        <f t="shared" si="82"/>
        <v>864</v>
      </c>
      <c r="AH119" s="628"/>
      <c r="AI119" s="628"/>
      <c r="AJ119" s="595"/>
      <c r="AK119" s="629"/>
      <c r="AL119" s="628"/>
      <c r="AM119" s="628"/>
      <c r="AN119" s="598">
        <f t="shared" si="71"/>
        <v>864</v>
      </c>
      <c r="AO119" s="621"/>
      <c r="AP119" s="630"/>
      <c r="AQ119" s="630"/>
      <c r="AR119" s="621">
        <f t="shared" si="83"/>
        <v>864</v>
      </c>
      <c r="AS119" s="630"/>
      <c r="AT119" s="630"/>
      <c r="AU119" s="621"/>
      <c r="AV119" s="621"/>
      <c r="AW119" s="592">
        <f t="shared" si="72"/>
        <v>864</v>
      </c>
      <c r="AX119" s="621"/>
      <c r="AY119" s="621"/>
      <c r="AZ119" s="621"/>
      <c r="BA119" s="621"/>
      <c r="BB119" s="621"/>
      <c r="BC119" s="621"/>
      <c r="BD119" s="621"/>
      <c r="BE119" s="623"/>
      <c r="BF119" s="642" t="s">
        <v>165</v>
      </c>
      <c r="BG119" s="603"/>
      <c r="BH119" s="604">
        <f t="shared" si="73"/>
        <v>144</v>
      </c>
      <c r="BI119" s="605">
        <f t="shared" si="74"/>
        <v>144</v>
      </c>
      <c r="BJ119" s="602">
        <f t="shared" si="75"/>
        <v>144</v>
      </c>
      <c r="BK119" s="602">
        <f t="shared" si="76"/>
        <v>144</v>
      </c>
      <c r="BL119" s="602">
        <f t="shared" si="77"/>
        <v>144</v>
      </c>
      <c r="BM119" s="602">
        <f t="shared" si="78"/>
        <v>144</v>
      </c>
      <c r="BN119" s="631"/>
      <c r="BO119" s="631"/>
      <c r="BP119" s="631"/>
      <c r="BQ119" s="631"/>
      <c r="BR119" s="631"/>
      <c r="BS119" s="631"/>
      <c r="BT119" s="607">
        <f t="shared" si="79"/>
        <v>864</v>
      </c>
      <c r="BU119" s="608">
        <f t="shared" si="80"/>
        <v>0</v>
      </c>
      <c r="BV119" s="609"/>
      <c r="BW119" s="491"/>
    </row>
    <row r="120" s="490" customFormat="1" ht="33" customHeight="1" spans="1:75">
      <c r="A120" s="577">
        <v>45728</v>
      </c>
      <c r="B120" s="581" t="s">
        <v>153</v>
      </c>
      <c r="C120" s="579" t="s">
        <v>92</v>
      </c>
      <c r="D120" s="580">
        <v>4500159922</v>
      </c>
      <c r="E120" s="588">
        <v>903761974</v>
      </c>
      <c r="F120" s="580" t="s">
        <v>749</v>
      </c>
      <c r="G120" s="582" t="s">
        <v>155</v>
      </c>
      <c r="H120" s="578" t="s">
        <v>156</v>
      </c>
      <c r="I120" s="583">
        <v>540</v>
      </c>
      <c r="J120" s="583">
        <v>1</v>
      </c>
      <c r="K120" s="583">
        <v>108</v>
      </c>
      <c r="L120" s="584">
        <f t="shared" si="81"/>
        <v>5</v>
      </c>
      <c r="M120" s="585">
        <v>45761</v>
      </c>
      <c r="N120" s="585">
        <v>45757</v>
      </c>
      <c r="O120" s="586" t="s">
        <v>743</v>
      </c>
      <c r="P120" s="586" t="s">
        <v>83</v>
      </c>
      <c r="Q120" s="587" t="s">
        <v>750</v>
      </c>
      <c r="R120" s="586" t="s">
        <v>664</v>
      </c>
      <c r="S120" s="586"/>
      <c r="T120" s="586"/>
      <c r="U120" s="586" t="s">
        <v>665</v>
      </c>
      <c r="V120" s="586" t="s">
        <v>161</v>
      </c>
      <c r="W120" s="586"/>
      <c r="X120" s="588" t="s">
        <v>744</v>
      </c>
      <c r="Y120" s="618" t="s">
        <v>163</v>
      </c>
      <c r="Z120" s="590">
        <v>652.1889</v>
      </c>
      <c r="AA120" s="591">
        <f>Z120*L120</f>
        <v>3260.9445</v>
      </c>
      <c r="AB120" s="619" t="s">
        <v>751</v>
      </c>
      <c r="AC120" s="582" t="s">
        <v>155</v>
      </c>
      <c r="AD120" s="592" t="s">
        <v>89</v>
      </c>
      <c r="AE120" s="628"/>
      <c r="AF120" s="628"/>
      <c r="AG120" s="595">
        <f t="shared" si="82"/>
        <v>540</v>
      </c>
      <c r="AH120" s="628"/>
      <c r="AI120" s="628"/>
      <c r="AJ120" s="595"/>
      <c r="AK120" s="629"/>
      <c r="AL120" s="628"/>
      <c r="AM120" s="628"/>
      <c r="AN120" s="598">
        <f t="shared" si="71"/>
        <v>540</v>
      </c>
      <c r="AO120" s="621"/>
      <c r="AP120" s="630"/>
      <c r="AQ120" s="630"/>
      <c r="AR120" s="621">
        <f t="shared" si="83"/>
        <v>540</v>
      </c>
      <c r="AS120" s="630"/>
      <c r="AT120" s="630"/>
      <c r="AU120" s="621"/>
      <c r="AV120" s="621"/>
      <c r="AW120" s="592">
        <f t="shared" si="72"/>
        <v>540</v>
      </c>
      <c r="AX120" s="621"/>
      <c r="AY120" s="621"/>
      <c r="AZ120" s="621"/>
      <c r="BA120" s="621"/>
      <c r="BB120" s="621"/>
      <c r="BC120" s="621"/>
      <c r="BD120" s="621"/>
      <c r="BE120" s="623"/>
      <c r="BF120" s="642" t="s">
        <v>165</v>
      </c>
      <c r="BG120" s="603"/>
      <c r="BH120" s="604">
        <f t="shared" si="73"/>
        <v>90</v>
      </c>
      <c r="BI120" s="605">
        <f t="shared" si="74"/>
        <v>90</v>
      </c>
      <c r="BJ120" s="602">
        <f t="shared" si="75"/>
        <v>90</v>
      </c>
      <c r="BK120" s="602">
        <f t="shared" si="76"/>
        <v>90</v>
      </c>
      <c r="BL120" s="602">
        <f t="shared" si="77"/>
        <v>90</v>
      </c>
      <c r="BM120" s="602">
        <f t="shared" si="78"/>
        <v>90</v>
      </c>
      <c r="BN120" s="631"/>
      <c r="BO120" s="631"/>
      <c r="BP120" s="631"/>
      <c r="BQ120" s="631"/>
      <c r="BR120" s="631"/>
      <c r="BS120" s="631"/>
      <c r="BT120" s="607">
        <f t="shared" si="79"/>
        <v>540</v>
      </c>
      <c r="BU120" s="608">
        <f t="shared" si="80"/>
        <v>0</v>
      </c>
      <c r="BV120" s="609"/>
      <c r="BW120" s="491"/>
    </row>
    <row r="121" s="490" customFormat="1" ht="33" customHeight="1" spans="1:75">
      <c r="A121" s="577">
        <v>45721</v>
      </c>
      <c r="B121" s="581" t="s">
        <v>139</v>
      </c>
      <c r="C121" s="579" t="s">
        <v>140</v>
      </c>
      <c r="D121" s="580">
        <v>4500159192</v>
      </c>
      <c r="E121" s="588">
        <v>5000001804</v>
      </c>
      <c r="F121" s="580" t="s">
        <v>752</v>
      </c>
      <c r="G121" s="582" t="s">
        <v>81</v>
      </c>
      <c r="H121" s="578" t="s">
        <v>95</v>
      </c>
      <c r="I121" s="583">
        <v>6000</v>
      </c>
      <c r="J121" s="583">
        <v>0</v>
      </c>
      <c r="K121" s="583">
        <v>6</v>
      </c>
      <c r="L121" s="584">
        <f t="shared" si="81"/>
        <v>1000</v>
      </c>
      <c r="M121" s="585">
        <v>45755</v>
      </c>
      <c r="N121" s="585">
        <v>45751</v>
      </c>
      <c r="O121" s="586"/>
      <c r="P121" s="586" t="s">
        <v>83</v>
      </c>
      <c r="Q121" s="587" t="s">
        <v>734</v>
      </c>
      <c r="R121" s="586" t="s">
        <v>753</v>
      </c>
      <c r="S121" s="586"/>
      <c r="T121" s="586"/>
      <c r="U121" s="586" t="s">
        <v>754</v>
      </c>
      <c r="V121" s="586" t="s">
        <v>755</v>
      </c>
      <c r="W121" s="640"/>
      <c r="X121" s="588" t="s">
        <v>756</v>
      </c>
      <c r="Y121" s="618" t="s">
        <v>757</v>
      </c>
      <c r="Z121" s="590">
        <v>5.6846</v>
      </c>
      <c r="AA121" s="591">
        <f>Z121*I121</f>
        <v>34107.6</v>
      </c>
      <c r="AB121" s="619" t="s">
        <v>758</v>
      </c>
      <c r="AC121" s="582" t="s">
        <v>149</v>
      </c>
      <c r="AD121" s="592" t="s">
        <v>89</v>
      </c>
      <c r="AE121" s="628"/>
      <c r="AF121" s="628"/>
      <c r="AG121" s="595">
        <f t="shared" si="82"/>
        <v>6000</v>
      </c>
      <c r="AH121" s="628"/>
      <c r="AI121" s="628"/>
      <c r="AJ121" s="595"/>
      <c r="AK121" s="629"/>
      <c r="AL121" s="628"/>
      <c r="AM121" s="628"/>
      <c r="AN121" s="598"/>
      <c r="AO121" s="621">
        <f>I121</f>
        <v>6000</v>
      </c>
      <c r="AP121" s="630"/>
      <c r="AQ121" s="630"/>
      <c r="AR121" s="621">
        <f t="shared" si="83"/>
        <v>6000</v>
      </c>
      <c r="AS121" s="630"/>
      <c r="AT121" s="630"/>
      <c r="AU121" s="621"/>
      <c r="AV121" s="621"/>
      <c r="AW121" s="592">
        <f t="shared" si="72"/>
        <v>6000</v>
      </c>
      <c r="AX121" s="621"/>
      <c r="AY121" s="621"/>
      <c r="AZ121" s="621"/>
      <c r="BA121" s="621"/>
      <c r="BB121" s="621"/>
      <c r="BC121" s="621"/>
      <c r="BD121" s="621"/>
      <c r="BE121" s="623"/>
      <c r="BF121" s="602" t="s">
        <v>165</v>
      </c>
      <c r="BG121" s="603"/>
      <c r="BH121" s="604">
        <f t="shared" si="73"/>
        <v>1000</v>
      </c>
      <c r="BI121" s="605">
        <f t="shared" si="74"/>
        <v>1000</v>
      </c>
      <c r="BJ121" s="602">
        <f t="shared" si="75"/>
        <v>1000</v>
      </c>
      <c r="BK121" s="602">
        <f t="shared" si="76"/>
        <v>1000</v>
      </c>
      <c r="BL121" s="602">
        <f t="shared" si="77"/>
        <v>1000</v>
      </c>
      <c r="BM121" s="602">
        <f t="shared" si="78"/>
        <v>1000</v>
      </c>
      <c r="BN121" s="631"/>
      <c r="BO121" s="631"/>
      <c r="BP121" s="631"/>
      <c r="BQ121" s="631"/>
      <c r="BR121" s="631"/>
      <c r="BS121" s="631"/>
      <c r="BT121" s="607">
        <f t="shared" si="79"/>
        <v>6000</v>
      </c>
      <c r="BU121" s="608">
        <f t="shared" si="80"/>
        <v>0</v>
      </c>
      <c r="BV121" s="609"/>
      <c r="BW121" s="491"/>
    </row>
    <row r="122" s="490" customFormat="1" ht="33" customHeight="1" spans="1:75">
      <c r="A122" s="577">
        <v>45723</v>
      </c>
      <c r="B122" s="581" t="s">
        <v>759</v>
      </c>
      <c r="C122" s="579" t="s">
        <v>760</v>
      </c>
      <c r="D122" s="580">
        <v>4500159436</v>
      </c>
      <c r="E122" s="588"/>
      <c r="F122" s="580" t="s">
        <v>761</v>
      </c>
      <c r="G122" s="582" t="s">
        <v>81</v>
      </c>
      <c r="H122" s="578" t="s">
        <v>95</v>
      </c>
      <c r="I122" s="583">
        <v>3000</v>
      </c>
      <c r="J122" s="583">
        <v>0</v>
      </c>
      <c r="K122" s="583">
        <v>6</v>
      </c>
      <c r="L122" s="584">
        <f t="shared" si="81"/>
        <v>500</v>
      </c>
      <c r="M122" s="585">
        <v>45756</v>
      </c>
      <c r="N122" s="585">
        <v>45752</v>
      </c>
      <c r="O122" s="586"/>
      <c r="P122" s="586" t="s">
        <v>83</v>
      </c>
      <c r="Q122" s="587"/>
      <c r="R122" s="586" t="s">
        <v>762</v>
      </c>
      <c r="S122" s="586"/>
      <c r="T122" s="586"/>
      <c r="U122" s="586" t="s">
        <v>763</v>
      </c>
      <c r="V122" s="586"/>
      <c r="W122" s="640"/>
      <c r="X122" s="588" t="s">
        <v>764</v>
      </c>
      <c r="Y122" s="618" t="s">
        <v>765</v>
      </c>
      <c r="Z122" s="590">
        <v>5.8864</v>
      </c>
      <c r="AA122" s="591">
        <f>Z122*I122</f>
        <v>17659.2</v>
      </c>
      <c r="AB122" s="619" t="s">
        <v>766</v>
      </c>
      <c r="AC122" s="582" t="s">
        <v>235</v>
      </c>
      <c r="AD122" s="592" t="s">
        <v>89</v>
      </c>
      <c r="AE122" s="594"/>
      <c r="AF122" s="594"/>
      <c r="AG122" s="629"/>
      <c r="AH122" s="597"/>
      <c r="AI122" s="630"/>
      <c r="AJ122" s="621">
        <f t="shared" ref="AJ122:AJ132" si="84">I122</f>
        <v>3000</v>
      </c>
      <c r="AK122" s="621"/>
      <c r="AL122" s="630"/>
      <c r="AM122" s="596"/>
      <c r="AN122" s="621">
        <f>I122</f>
        <v>3000</v>
      </c>
      <c r="AO122" s="621"/>
      <c r="AP122" s="630"/>
      <c r="AQ122" s="630"/>
      <c r="AR122" s="621"/>
      <c r="AS122" s="630"/>
      <c r="AT122" s="630"/>
      <c r="AU122" s="621">
        <f>I122</f>
        <v>3000</v>
      </c>
      <c r="AV122" s="618"/>
      <c r="AW122" s="618">
        <f t="shared" si="72"/>
        <v>3000</v>
      </c>
      <c r="AX122" s="618"/>
      <c r="AY122" s="618"/>
      <c r="AZ122" s="618"/>
      <c r="BA122" s="618"/>
      <c r="BB122" s="618"/>
      <c r="BC122" s="621"/>
      <c r="BD122" s="621"/>
      <c r="BE122" s="623"/>
      <c r="BF122" s="602" t="s">
        <v>165</v>
      </c>
      <c r="BG122" s="644"/>
      <c r="BH122" s="604">
        <f t="shared" si="73"/>
        <v>500</v>
      </c>
      <c r="BI122" s="605">
        <f t="shared" si="74"/>
        <v>500</v>
      </c>
      <c r="BJ122" s="602">
        <f t="shared" si="75"/>
        <v>500</v>
      </c>
      <c r="BK122" s="602">
        <f t="shared" si="76"/>
        <v>500</v>
      </c>
      <c r="BL122" s="602">
        <f t="shared" si="77"/>
        <v>500</v>
      </c>
      <c r="BM122" s="602">
        <f t="shared" si="78"/>
        <v>500</v>
      </c>
      <c r="BN122" s="645"/>
      <c r="BO122" s="645"/>
      <c r="BP122" s="645"/>
      <c r="BQ122" s="645"/>
      <c r="BR122" s="645"/>
      <c r="BS122" s="645"/>
      <c r="BT122" s="607">
        <f t="shared" si="79"/>
        <v>3000</v>
      </c>
      <c r="BU122" s="608">
        <f t="shared" si="80"/>
        <v>0</v>
      </c>
      <c r="BV122" s="609"/>
      <c r="BW122" s="491"/>
    </row>
    <row r="123" s="490" customFormat="1" ht="33" customHeight="1" spans="1:75">
      <c r="A123" s="577">
        <v>45679</v>
      </c>
      <c r="B123" s="616" t="s">
        <v>767</v>
      </c>
      <c r="C123" s="581" t="s">
        <v>92</v>
      </c>
      <c r="D123" s="580">
        <v>4500156451</v>
      </c>
      <c r="E123" s="581">
        <v>15475568</v>
      </c>
      <c r="F123" s="580" t="s">
        <v>768</v>
      </c>
      <c r="G123" s="582" t="s">
        <v>769</v>
      </c>
      <c r="H123" s="581" t="s">
        <v>770</v>
      </c>
      <c r="I123" s="583">
        <v>4400</v>
      </c>
      <c r="J123" s="583">
        <v>0</v>
      </c>
      <c r="K123" s="583">
        <v>100</v>
      </c>
      <c r="L123" s="584">
        <f t="shared" si="81"/>
        <v>44</v>
      </c>
      <c r="M123" s="585">
        <v>45757</v>
      </c>
      <c r="N123" s="585">
        <v>45754</v>
      </c>
      <c r="O123" s="586" t="s">
        <v>771</v>
      </c>
      <c r="P123" s="586" t="s">
        <v>83</v>
      </c>
      <c r="Q123" s="587" t="s">
        <v>772</v>
      </c>
      <c r="R123" s="586" t="s">
        <v>773</v>
      </c>
      <c r="S123" s="586"/>
      <c r="T123" s="586"/>
      <c r="U123" s="586" t="s">
        <v>774</v>
      </c>
      <c r="V123" s="586"/>
      <c r="W123" s="640" t="s">
        <v>775</v>
      </c>
      <c r="X123" s="588" t="s">
        <v>776</v>
      </c>
      <c r="Y123" s="641" t="s">
        <v>243</v>
      </c>
      <c r="Z123" s="590">
        <v>601.6048</v>
      </c>
      <c r="AA123" s="591">
        <f>Z123*L123</f>
        <v>26470.6112</v>
      </c>
      <c r="AB123" s="619" t="s">
        <v>777</v>
      </c>
      <c r="AC123" s="638" t="s">
        <v>769</v>
      </c>
      <c r="AD123" s="592" t="s">
        <v>89</v>
      </c>
      <c r="AE123" s="625"/>
      <c r="AF123" s="625"/>
      <c r="AG123" s="595"/>
      <c r="AH123" s="625"/>
      <c r="AI123" s="625"/>
      <c r="AJ123" s="595">
        <f t="shared" si="84"/>
        <v>4400</v>
      </c>
      <c r="AK123" s="629"/>
      <c r="AL123" s="625"/>
      <c r="AM123" s="625"/>
      <c r="AN123" s="598">
        <f>I123</f>
        <v>4400</v>
      </c>
      <c r="AO123" s="621"/>
      <c r="AP123" s="626"/>
      <c r="AQ123" s="626"/>
      <c r="AR123" s="621"/>
      <c r="AS123" s="626"/>
      <c r="AT123" s="626"/>
      <c r="AU123" s="621">
        <f>I123</f>
        <v>4400</v>
      </c>
      <c r="AV123" s="621"/>
      <c r="AW123" s="592">
        <f t="shared" si="72"/>
        <v>4400</v>
      </c>
      <c r="AX123" s="621"/>
      <c r="AY123" s="621"/>
      <c r="AZ123" s="621"/>
      <c r="BA123" s="621">
        <f>L123*4</f>
        <v>176</v>
      </c>
      <c r="BB123" s="621"/>
      <c r="BC123" s="621"/>
      <c r="BD123" s="621"/>
      <c r="BE123" s="623"/>
      <c r="BF123" s="602" t="s">
        <v>90</v>
      </c>
      <c r="BG123" s="603"/>
      <c r="BH123" s="632">
        <f t="shared" si="73"/>
        <v>733.333333333333</v>
      </c>
      <c r="BI123" s="633">
        <f t="shared" si="74"/>
        <v>733.333333333333</v>
      </c>
      <c r="BJ123" s="633">
        <f t="shared" si="75"/>
        <v>733.333333333333</v>
      </c>
      <c r="BK123" s="633">
        <f t="shared" si="76"/>
        <v>733.333333333333</v>
      </c>
      <c r="BL123" s="633">
        <f t="shared" si="77"/>
        <v>733.333333333333</v>
      </c>
      <c r="BM123" s="633">
        <f t="shared" si="78"/>
        <v>733.333333333333</v>
      </c>
      <c r="BN123" s="635"/>
      <c r="BO123" s="635"/>
      <c r="BP123" s="635"/>
      <c r="BQ123" s="635"/>
      <c r="BR123" s="635"/>
      <c r="BS123" s="635"/>
      <c r="BT123" s="607">
        <f t="shared" si="79"/>
        <v>4400</v>
      </c>
      <c r="BU123" s="608">
        <f t="shared" si="80"/>
        <v>0</v>
      </c>
      <c r="BV123" s="627"/>
      <c r="BW123" s="491"/>
    </row>
    <row r="124" s="490" customFormat="1" ht="33" customHeight="1" spans="1:75">
      <c r="A124" s="577">
        <v>45712</v>
      </c>
      <c r="B124" s="581" t="s">
        <v>778</v>
      </c>
      <c r="C124" s="579" t="s">
        <v>779</v>
      </c>
      <c r="D124" s="580">
        <v>4500158415</v>
      </c>
      <c r="E124" s="616"/>
      <c r="F124" s="580" t="s">
        <v>780</v>
      </c>
      <c r="G124" s="582" t="s">
        <v>81</v>
      </c>
      <c r="H124" s="578" t="s">
        <v>95</v>
      </c>
      <c r="I124" s="583">
        <v>42</v>
      </c>
      <c r="J124" s="583">
        <v>0</v>
      </c>
      <c r="K124" s="583">
        <v>6</v>
      </c>
      <c r="L124" s="584">
        <f t="shared" si="81"/>
        <v>7</v>
      </c>
      <c r="M124" s="585">
        <v>45763</v>
      </c>
      <c r="N124" s="585">
        <v>45759</v>
      </c>
      <c r="O124" s="586"/>
      <c r="P124" s="586" t="s">
        <v>83</v>
      </c>
      <c r="Q124" s="587" t="s">
        <v>781</v>
      </c>
      <c r="R124" s="586" t="s">
        <v>782</v>
      </c>
      <c r="S124" s="586"/>
      <c r="T124" s="586"/>
      <c r="U124" s="586" t="s">
        <v>783</v>
      </c>
      <c r="V124" s="586"/>
      <c r="W124" s="586"/>
      <c r="X124" s="588" t="s">
        <v>784</v>
      </c>
      <c r="Y124" s="618" t="s">
        <v>340</v>
      </c>
      <c r="Z124" s="590">
        <v>5.905</v>
      </c>
      <c r="AA124" s="591">
        <f t="shared" ref="AA124:AA148" si="85">Z124*I124</f>
        <v>248.01</v>
      </c>
      <c r="AB124" s="619" t="s">
        <v>785</v>
      </c>
      <c r="AC124" s="582" t="s">
        <v>235</v>
      </c>
      <c r="AD124" s="592" t="s">
        <v>89</v>
      </c>
      <c r="AE124" s="620"/>
      <c r="AF124" s="620"/>
      <c r="AG124" s="595"/>
      <c r="AH124" s="620"/>
      <c r="AI124" s="620"/>
      <c r="AJ124" s="595">
        <f t="shared" si="84"/>
        <v>42</v>
      </c>
      <c r="AK124" s="629"/>
      <c r="AL124" s="620"/>
      <c r="AM124" s="620"/>
      <c r="AN124" s="598">
        <f t="shared" ref="AN121:AN132" si="86">I124</f>
        <v>42</v>
      </c>
      <c r="AO124" s="621"/>
      <c r="AP124" s="622"/>
      <c r="AQ124" s="622"/>
      <c r="AR124" s="621"/>
      <c r="AS124" s="622"/>
      <c r="AT124" s="622"/>
      <c r="AU124" s="621">
        <f t="shared" ref="AU124:AU132" si="87">I124</f>
        <v>42</v>
      </c>
      <c r="AV124" s="621"/>
      <c r="AW124" s="592">
        <f t="shared" si="72"/>
        <v>42</v>
      </c>
      <c r="AX124" s="621"/>
      <c r="AY124" s="621"/>
      <c r="AZ124" s="621"/>
      <c r="BA124" s="621"/>
      <c r="BB124" s="621"/>
      <c r="BC124" s="621"/>
      <c r="BD124" s="621"/>
      <c r="BE124" s="623"/>
      <c r="BF124" s="602" t="s">
        <v>90</v>
      </c>
      <c r="BG124" s="603"/>
      <c r="BH124" s="604">
        <f t="shared" si="73"/>
        <v>7</v>
      </c>
      <c r="BI124" s="605">
        <f t="shared" si="74"/>
        <v>7</v>
      </c>
      <c r="BJ124" s="602">
        <f t="shared" si="75"/>
        <v>7</v>
      </c>
      <c r="BK124" s="602">
        <f t="shared" si="76"/>
        <v>7</v>
      </c>
      <c r="BL124" s="602">
        <f t="shared" si="77"/>
        <v>7</v>
      </c>
      <c r="BM124" s="602">
        <f t="shared" si="78"/>
        <v>7</v>
      </c>
      <c r="BN124" s="624"/>
      <c r="BO124" s="624"/>
      <c r="BP124" s="624"/>
      <c r="BQ124" s="624"/>
      <c r="BR124" s="624"/>
      <c r="BS124" s="624"/>
      <c r="BT124" s="607">
        <f t="shared" si="79"/>
        <v>42</v>
      </c>
      <c r="BU124" s="608">
        <f t="shared" si="80"/>
        <v>0</v>
      </c>
      <c r="BV124" s="517"/>
      <c r="BW124" s="491"/>
    </row>
    <row r="125" s="490" customFormat="1" ht="33" customHeight="1" spans="1:75">
      <c r="A125" s="577">
        <v>45712</v>
      </c>
      <c r="B125" s="581" t="s">
        <v>778</v>
      </c>
      <c r="C125" s="579" t="s">
        <v>786</v>
      </c>
      <c r="D125" s="580">
        <v>4500158302</v>
      </c>
      <c r="E125" s="616"/>
      <c r="F125" s="580" t="s">
        <v>787</v>
      </c>
      <c r="G125" s="582" t="s">
        <v>81</v>
      </c>
      <c r="H125" s="578" t="s">
        <v>95</v>
      </c>
      <c r="I125" s="583">
        <v>78</v>
      </c>
      <c r="J125" s="583">
        <v>0</v>
      </c>
      <c r="K125" s="583">
        <v>6</v>
      </c>
      <c r="L125" s="584">
        <f t="shared" si="81"/>
        <v>13</v>
      </c>
      <c r="M125" s="585">
        <v>45763</v>
      </c>
      <c r="N125" s="585">
        <v>45759</v>
      </c>
      <c r="O125" s="640"/>
      <c r="P125" s="586" t="s">
        <v>83</v>
      </c>
      <c r="Q125" s="587" t="s">
        <v>788</v>
      </c>
      <c r="R125" s="586" t="s">
        <v>782</v>
      </c>
      <c r="S125" s="586"/>
      <c r="T125" s="586"/>
      <c r="U125" s="586" t="s">
        <v>789</v>
      </c>
      <c r="V125" s="586"/>
      <c r="W125" s="586"/>
      <c r="X125" s="588" t="s">
        <v>790</v>
      </c>
      <c r="Y125" s="618" t="s">
        <v>340</v>
      </c>
      <c r="Z125" s="590">
        <v>5.905</v>
      </c>
      <c r="AA125" s="591">
        <f t="shared" si="85"/>
        <v>460.59</v>
      </c>
      <c r="AB125" s="619" t="s">
        <v>791</v>
      </c>
      <c r="AC125" s="582" t="s">
        <v>235</v>
      </c>
      <c r="AD125" s="592" t="s">
        <v>89</v>
      </c>
      <c r="AE125" s="620"/>
      <c r="AF125" s="620"/>
      <c r="AG125" s="595"/>
      <c r="AH125" s="620"/>
      <c r="AI125" s="620"/>
      <c r="AJ125" s="595">
        <f t="shared" si="84"/>
        <v>78</v>
      </c>
      <c r="AK125" s="629"/>
      <c r="AL125" s="620"/>
      <c r="AM125" s="620"/>
      <c r="AN125" s="598">
        <f t="shared" si="86"/>
        <v>78</v>
      </c>
      <c r="AO125" s="621"/>
      <c r="AP125" s="622"/>
      <c r="AQ125" s="622"/>
      <c r="AR125" s="621"/>
      <c r="AS125" s="622"/>
      <c r="AT125" s="622"/>
      <c r="AU125" s="621">
        <f t="shared" si="87"/>
        <v>78</v>
      </c>
      <c r="AV125" s="621"/>
      <c r="AW125" s="592">
        <f t="shared" si="72"/>
        <v>78</v>
      </c>
      <c r="AX125" s="621"/>
      <c r="AY125" s="621"/>
      <c r="AZ125" s="621"/>
      <c r="BA125" s="621"/>
      <c r="BB125" s="621"/>
      <c r="BC125" s="621"/>
      <c r="BD125" s="621"/>
      <c r="BE125" s="623"/>
      <c r="BF125" s="602" t="s">
        <v>90</v>
      </c>
      <c r="BG125" s="603"/>
      <c r="BH125" s="604">
        <f t="shared" si="73"/>
        <v>13</v>
      </c>
      <c r="BI125" s="605">
        <f t="shared" si="74"/>
        <v>13</v>
      </c>
      <c r="BJ125" s="602">
        <f t="shared" si="75"/>
        <v>13</v>
      </c>
      <c r="BK125" s="602">
        <f t="shared" si="76"/>
        <v>13</v>
      </c>
      <c r="BL125" s="602">
        <f t="shared" si="77"/>
        <v>13</v>
      </c>
      <c r="BM125" s="602">
        <f t="shared" si="78"/>
        <v>13</v>
      </c>
      <c r="BN125" s="624"/>
      <c r="BO125" s="624"/>
      <c r="BP125" s="624"/>
      <c r="BQ125" s="624"/>
      <c r="BR125" s="624"/>
      <c r="BS125" s="624"/>
      <c r="BT125" s="607">
        <f t="shared" si="79"/>
        <v>78</v>
      </c>
      <c r="BU125" s="608">
        <f t="shared" si="80"/>
        <v>0</v>
      </c>
      <c r="BV125" s="517"/>
      <c r="BW125" s="491"/>
    </row>
    <row r="126" s="490" customFormat="1" ht="33" customHeight="1" spans="1:75">
      <c r="A126" s="577">
        <v>45714</v>
      </c>
      <c r="B126" s="581" t="s">
        <v>792</v>
      </c>
      <c r="C126" s="579" t="s">
        <v>793</v>
      </c>
      <c r="D126" s="580">
        <v>4500158447</v>
      </c>
      <c r="E126" s="616"/>
      <c r="F126" s="580" t="s">
        <v>794</v>
      </c>
      <c r="G126" s="582" t="s">
        <v>81</v>
      </c>
      <c r="H126" s="578" t="s">
        <v>95</v>
      </c>
      <c r="I126" s="583">
        <v>162</v>
      </c>
      <c r="J126" s="583">
        <v>0</v>
      </c>
      <c r="K126" s="583">
        <v>6</v>
      </c>
      <c r="L126" s="584">
        <f t="shared" si="81"/>
        <v>27</v>
      </c>
      <c r="M126" s="585">
        <v>45763</v>
      </c>
      <c r="N126" s="585">
        <v>45759</v>
      </c>
      <c r="O126" s="586"/>
      <c r="P126" s="586" t="s">
        <v>83</v>
      </c>
      <c r="Q126" s="587" t="s">
        <v>788</v>
      </c>
      <c r="R126" s="586" t="s">
        <v>782</v>
      </c>
      <c r="S126" s="586"/>
      <c r="T126" s="586"/>
      <c r="U126" s="586" t="s">
        <v>783</v>
      </c>
      <c r="V126" s="586"/>
      <c r="W126" s="586"/>
      <c r="X126" s="588" t="s">
        <v>795</v>
      </c>
      <c r="Y126" s="618" t="s">
        <v>340</v>
      </c>
      <c r="Z126" s="590">
        <v>5.905</v>
      </c>
      <c r="AA126" s="591">
        <f t="shared" si="85"/>
        <v>956.61</v>
      </c>
      <c r="AB126" s="619" t="s">
        <v>796</v>
      </c>
      <c r="AC126" s="582" t="s">
        <v>235</v>
      </c>
      <c r="AD126" s="592" t="s">
        <v>89</v>
      </c>
      <c r="AE126" s="620"/>
      <c r="AF126" s="620"/>
      <c r="AG126" s="595"/>
      <c r="AH126" s="620"/>
      <c r="AI126" s="620"/>
      <c r="AJ126" s="595">
        <f t="shared" si="84"/>
        <v>162</v>
      </c>
      <c r="AK126" s="629"/>
      <c r="AL126" s="620"/>
      <c r="AM126" s="620"/>
      <c r="AN126" s="598">
        <f t="shared" si="86"/>
        <v>162</v>
      </c>
      <c r="AO126" s="621"/>
      <c r="AP126" s="622"/>
      <c r="AQ126" s="622"/>
      <c r="AR126" s="621"/>
      <c r="AS126" s="622"/>
      <c r="AT126" s="622"/>
      <c r="AU126" s="621">
        <f t="shared" si="87"/>
        <v>162</v>
      </c>
      <c r="AV126" s="621"/>
      <c r="AW126" s="592">
        <f t="shared" si="72"/>
        <v>162</v>
      </c>
      <c r="AX126" s="621"/>
      <c r="AY126" s="621"/>
      <c r="AZ126" s="621"/>
      <c r="BA126" s="621"/>
      <c r="BB126" s="621"/>
      <c r="BC126" s="621"/>
      <c r="BD126" s="621"/>
      <c r="BE126" s="623"/>
      <c r="BF126" s="602" t="s">
        <v>90</v>
      </c>
      <c r="BG126" s="603"/>
      <c r="BH126" s="604">
        <f t="shared" si="73"/>
        <v>27</v>
      </c>
      <c r="BI126" s="605">
        <f t="shared" si="74"/>
        <v>27</v>
      </c>
      <c r="BJ126" s="602">
        <f t="shared" si="75"/>
        <v>27</v>
      </c>
      <c r="BK126" s="602">
        <f t="shared" si="76"/>
        <v>27</v>
      </c>
      <c r="BL126" s="602">
        <f t="shared" si="77"/>
        <v>27</v>
      </c>
      <c r="BM126" s="602">
        <f t="shared" si="78"/>
        <v>27</v>
      </c>
      <c r="BN126" s="624"/>
      <c r="BO126" s="624"/>
      <c r="BP126" s="624"/>
      <c r="BQ126" s="624"/>
      <c r="BR126" s="624"/>
      <c r="BS126" s="624"/>
      <c r="BT126" s="607">
        <f t="shared" si="79"/>
        <v>162</v>
      </c>
      <c r="BU126" s="608">
        <f t="shared" si="80"/>
        <v>0</v>
      </c>
      <c r="BV126" s="517"/>
      <c r="BW126" s="491"/>
    </row>
    <row r="127" s="490" customFormat="1" ht="33" customHeight="1" spans="1:75">
      <c r="A127" s="577">
        <v>45714</v>
      </c>
      <c r="B127" s="581" t="s">
        <v>797</v>
      </c>
      <c r="C127" s="579" t="s">
        <v>304</v>
      </c>
      <c r="D127" s="580">
        <v>4500158535</v>
      </c>
      <c r="E127" s="616"/>
      <c r="F127" s="580" t="s">
        <v>798</v>
      </c>
      <c r="G127" s="582" t="s">
        <v>81</v>
      </c>
      <c r="H127" s="578" t="s">
        <v>95</v>
      </c>
      <c r="I127" s="583">
        <v>174</v>
      </c>
      <c r="J127" s="583">
        <v>0</v>
      </c>
      <c r="K127" s="583">
        <v>6</v>
      </c>
      <c r="L127" s="584">
        <f t="shared" ref="L127:L133" si="88">I127/K127</f>
        <v>29</v>
      </c>
      <c r="M127" s="585">
        <v>45763</v>
      </c>
      <c r="N127" s="585">
        <v>45759</v>
      </c>
      <c r="O127" s="586"/>
      <c r="P127" s="586" t="s">
        <v>83</v>
      </c>
      <c r="Q127" s="587" t="s">
        <v>781</v>
      </c>
      <c r="R127" s="586" t="s">
        <v>782</v>
      </c>
      <c r="S127" s="586"/>
      <c r="T127" s="586"/>
      <c r="U127" s="586" t="s">
        <v>783</v>
      </c>
      <c r="V127" s="586"/>
      <c r="W127" s="586"/>
      <c r="X127" s="588" t="s">
        <v>799</v>
      </c>
      <c r="Y127" s="618" t="s">
        <v>340</v>
      </c>
      <c r="Z127" s="590">
        <v>5.905</v>
      </c>
      <c r="AA127" s="591">
        <f t="shared" si="85"/>
        <v>1027.47</v>
      </c>
      <c r="AB127" s="619" t="s">
        <v>800</v>
      </c>
      <c r="AC127" s="582" t="s">
        <v>235</v>
      </c>
      <c r="AD127" s="592" t="s">
        <v>89</v>
      </c>
      <c r="AE127" s="620"/>
      <c r="AF127" s="620"/>
      <c r="AG127" s="595"/>
      <c r="AH127" s="620"/>
      <c r="AI127" s="620"/>
      <c r="AJ127" s="595">
        <f t="shared" si="84"/>
        <v>174</v>
      </c>
      <c r="AK127" s="629"/>
      <c r="AL127" s="620"/>
      <c r="AM127" s="620"/>
      <c r="AN127" s="598">
        <f t="shared" si="86"/>
        <v>174</v>
      </c>
      <c r="AO127" s="621"/>
      <c r="AP127" s="622"/>
      <c r="AQ127" s="622"/>
      <c r="AR127" s="621"/>
      <c r="AS127" s="622"/>
      <c r="AT127" s="622"/>
      <c r="AU127" s="621">
        <f t="shared" si="87"/>
        <v>174</v>
      </c>
      <c r="AV127" s="621"/>
      <c r="AW127" s="592">
        <f t="shared" si="72"/>
        <v>174</v>
      </c>
      <c r="AX127" s="621"/>
      <c r="AY127" s="621"/>
      <c r="AZ127" s="621"/>
      <c r="BA127" s="621"/>
      <c r="BB127" s="621"/>
      <c r="BC127" s="621"/>
      <c r="BD127" s="621"/>
      <c r="BE127" s="623"/>
      <c r="BF127" s="602" t="s">
        <v>90</v>
      </c>
      <c r="BG127" s="603"/>
      <c r="BH127" s="604">
        <f t="shared" si="73"/>
        <v>29</v>
      </c>
      <c r="BI127" s="605">
        <f t="shared" si="74"/>
        <v>29</v>
      </c>
      <c r="BJ127" s="602">
        <f t="shared" si="75"/>
        <v>29</v>
      </c>
      <c r="BK127" s="602">
        <f t="shared" si="76"/>
        <v>29</v>
      </c>
      <c r="BL127" s="602">
        <f t="shared" si="77"/>
        <v>29</v>
      </c>
      <c r="BM127" s="602">
        <f t="shared" si="78"/>
        <v>29</v>
      </c>
      <c r="BN127" s="624"/>
      <c r="BO127" s="624"/>
      <c r="BP127" s="624"/>
      <c r="BQ127" s="624"/>
      <c r="BR127" s="624"/>
      <c r="BS127" s="624"/>
      <c r="BT127" s="607">
        <f t="shared" si="79"/>
        <v>174</v>
      </c>
      <c r="BU127" s="608">
        <f t="shared" si="80"/>
        <v>0</v>
      </c>
      <c r="BV127" s="517"/>
      <c r="BW127" s="491"/>
    </row>
    <row r="128" s="490" customFormat="1" ht="33" customHeight="1" spans="1:75">
      <c r="A128" s="577">
        <v>45712</v>
      </c>
      <c r="B128" s="581" t="s">
        <v>801</v>
      </c>
      <c r="C128" s="579" t="s">
        <v>802</v>
      </c>
      <c r="D128" s="580">
        <v>4500158358</v>
      </c>
      <c r="E128" s="616"/>
      <c r="F128" s="580" t="s">
        <v>803</v>
      </c>
      <c r="G128" s="582" t="s">
        <v>81</v>
      </c>
      <c r="H128" s="578" t="s">
        <v>95</v>
      </c>
      <c r="I128" s="583">
        <v>36</v>
      </c>
      <c r="J128" s="583">
        <v>0</v>
      </c>
      <c r="K128" s="583">
        <v>6</v>
      </c>
      <c r="L128" s="584">
        <f t="shared" si="88"/>
        <v>6</v>
      </c>
      <c r="M128" s="585">
        <v>45763</v>
      </c>
      <c r="N128" s="585">
        <v>45759</v>
      </c>
      <c r="O128" s="586"/>
      <c r="P128" s="586" t="s">
        <v>83</v>
      </c>
      <c r="Q128" s="587" t="s">
        <v>788</v>
      </c>
      <c r="R128" s="586" t="s">
        <v>782</v>
      </c>
      <c r="S128" s="586"/>
      <c r="T128" s="586"/>
      <c r="U128" s="586" t="s">
        <v>783</v>
      </c>
      <c r="V128" s="586"/>
      <c r="W128" s="586"/>
      <c r="X128" s="588" t="s">
        <v>804</v>
      </c>
      <c r="Y128" s="618" t="s">
        <v>340</v>
      </c>
      <c r="Z128" s="590">
        <v>5.905</v>
      </c>
      <c r="AA128" s="591">
        <f t="shared" si="85"/>
        <v>212.58</v>
      </c>
      <c r="AB128" s="619" t="s">
        <v>805</v>
      </c>
      <c r="AC128" s="582" t="s">
        <v>235</v>
      </c>
      <c r="AD128" s="592" t="s">
        <v>89</v>
      </c>
      <c r="AE128" s="620"/>
      <c r="AF128" s="620"/>
      <c r="AG128" s="595"/>
      <c r="AH128" s="620"/>
      <c r="AI128" s="620"/>
      <c r="AJ128" s="595">
        <f t="shared" si="84"/>
        <v>36</v>
      </c>
      <c r="AK128" s="629"/>
      <c r="AL128" s="620"/>
      <c r="AM128" s="620"/>
      <c r="AN128" s="598">
        <f t="shared" si="86"/>
        <v>36</v>
      </c>
      <c r="AO128" s="621"/>
      <c r="AP128" s="622"/>
      <c r="AQ128" s="622"/>
      <c r="AR128" s="621"/>
      <c r="AS128" s="622"/>
      <c r="AT128" s="622"/>
      <c r="AU128" s="621">
        <f t="shared" si="87"/>
        <v>36</v>
      </c>
      <c r="AV128" s="621"/>
      <c r="AW128" s="592">
        <f t="shared" si="72"/>
        <v>36</v>
      </c>
      <c r="AX128" s="621"/>
      <c r="AY128" s="621"/>
      <c r="AZ128" s="621"/>
      <c r="BA128" s="621"/>
      <c r="BB128" s="621"/>
      <c r="BC128" s="621"/>
      <c r="BD128" s="621"/>
      <c r="BE128" s="623"/>
      <c r="BF128" s="602" t="s">
        <v>90</v>
      </c>
      <c r="BG128" s="603"/>
      <c r="BH128" s="604">
        <f t="shared" si="73"/>
        <v>6</v>
      </c>
      <c r="BI128" s="605">
        <f t="shared" si="74"/>
        <v>6</v>
      </c>
      <c r="BJ128" s="602">
        <f t="shared" si="75"/>
        <v>6</v>
      </c>
      <c r="BK128" s="602">
        <f t="shared" si="76"/>
        <v>6</v>
      </c>
      <c r="BL128" s="602">
        <f t="shared" si="77"/>
        <v>6</v>
      </c>
      <c r="BM128" s="602">
        <f t="shared" si="78"/>
        <v>6</v>
      </c>
      <c r="BN128" s="624"/>
      <c r="BO128" s="624"/>
      <c r="BP128" s="624"/>
      <c r="BQ128" s="624"/>
      <c r="BR128" s="624"/>
      <c r="BS128" s="624"/>
      <c r="BT128" s="607">
        <f t="shared" si="79"/>
        <v>36</v>
      </c>
      <c r="BU128" s="608">
        <f t="shared" si="80"/>
        <v>0</v>
      </c>
      <c r="BV128" s="517"/>
      <c r="BW128" s="491"/>
    </row>
    <row r="129" s="490" customFormat="1" ht="33" customHeight="1" spans="1:75">
      <c r="A129" s="577">
        <v>45719</v>
      </c>
      <c r="B129" s="581" t="s">
        <v>358</v>
      </c>
      <c r="C129" s="579" t="s">
        <v>359</v>
      </c>
      <c r="D129" s="580">
        <v>4500158946</v>
      </c>
      <c r="E129" s="616" t="s">
        <v>806</v>
      </c>
      <c r="F129" s="580" t="s">
        <v>807</v>
      </c>
      <c r="G129" s="582" t="s">
        <v>297</v>
      </c>
      <c r="H129" s="578" t="s">
        <v>298</v>
      </c>
      <c r="I129" s="583">
        <v>4</v>
      </c>
      <c r="J129" s="583">
        <v>1</v>
      </c>
      <c r="K129" s="583">
        <v>4</v>
      </c>
      <c r="L129" s="584">
        <f t="shared" si="88"/>
        <v>1</v>
      </c>
      <c r="M129" s="585">
        <v>45763</v>
      </c>
      <c r="N129" s="585">
        <v>45759</v>
      </c>
      <c r="O129" s="586"/>
      <c r="P129" s="586" t="s">
        <v>83</v>
      </c>
      <c r="Q129" s="636" t="s">
        <v>808</v>
      </c>
      <c r="R129" s="586" t="s">
        <v>809</v>
      </c>
      <c r="S129" s="586"/>
      <c r="T129" s="586"/>
      <c r="U129" s="586" t="s">
        <v>86</v>
      </c>
      <c r="V129" s="586" t="s">
        <v>810</v>
      </c>
      <c r="W129" s="586" t="s">
        <v>300</v>
      </c>
      <c r="X129" s="588" t="s">
        <v>811</v>
      </c>
      <c r="Y129" s="618" t="s">
        <v>812</v>
      </c>
      <c r="Z129" s="590">
        <v>5.9383</v>
      </c>
      <c r="AA129" s="591">
        <f t="shared" si="85"/>
        <v>23.7532</v>
      </c>
      <c r="AB129" s="619" t="s">
        <v>813</v>
      </c>
      <c r="AC129" s="582" t="s">
        <v>366</v>
      </c>
      <c r="AD129" s="593" t="s">
        <v>89</v>
      </c>
      <c r="AE129" s="620"/>
      <c r="AF129" s="620"/>
      <c r="AG129" s="595"/>
      <c r="AH129" s="620"/>
      <c r="AI129" s="620"/>
      <c r="AJ129" s="595">
        <f t="shared" si="84"/>
        <v>4</v>
      </c>
      <c r="AK129" s="629"/>
      <c r="AL129" s="620"/>
      <c r="AM129" s="620"/>
      <c r="AN129" s="598">
        <f t="shared" si="86"/>
        <v>4</v>
      </c>
      <c r="AO129" s="621"/>
      <c r="AP129" s="622"/>
      <c r="AQ129" s="622"/>
      <c r="AR129" s="621"/>
      <c r="AS129" s="622"/>
      <c r="AT129" s="622"/>
      <c r="AU129" s="621">
        <f t="shared" si="87"/>
        <v>4</v>
      </c>
      <c r="AV129" s="621"/>
      <c r="AW129" s="592">
        <f t="shared" si="72"/>
        <v>4</v>
      </c>
      <c r="AX129" s="621"/>
      <c r="AY129" s="621"/>
      <c r="AZ129" s="621"/>
      <c r="BA129" s="621"/>
      <c r="BB129" s="621"/>
      <c r="BC129" s="621"/>
      <c r="BD129" s="621"/>
      <c r="BE129" s="623"/>
      <c r="BF129" s="602" t="s">
        <v>165</v>
      </c>
      <c r="BG129" s="603"/>
      <c r="BH129" s="604">
        <f>I129</f>
        <v>4</v>
      </c>
      <c r="BI129" s="605"/>
      <c r="BJ129" s="602"/>
      <c r="BK129" s="602"/>
      <c r="BL129" s="602"/>
      <c r="BM129" s="602"/>
      <c r="BN129" s="624"/>
      <c r="BO129" s="624"/>
      <c r="BP129" s="624"/>
      <c r="BQ129" s="624"/>
      <c r="BR129" s="624"/>
      <c r="BS129" s="624"/>
      <c r="BT129" s="607">
        <f t="shared" si="79"/>
        <v>4</v>
      </c>
      <c r="BU129" s="608">
        <f t="shared" si="80"/>
        <v>0</v>
      </c>
      <c r="BV129" s="517"/>
      <c r="BW129" s="491"/>
    </row>
    <row r="130" s="490" customFormat="1" ht="33" customHeight="1" spans="1:75">
      <c r="A130" s="577">
        <v>45719</v>
      </c>
      <c r="B130" s="581" t="s">
        <v>358</v>
      </c>
      <c r="C130" s="579" t="s">
        <v>359</v>
      </c>
      <c r="D130" s="580">
        <v>4500158946</v>
      </c>
      <c r="E130" s="616" t="s">
        <v>814</v>
      </c>
      <c r="F130" s="580" t="s">
        <v>815</v>
      </c>
      <c r="G130" s="582" t="s">
        <v>297</v>
      </c>
      <c r="H130" s="578" t="s">
        <v>298</v>
      </c>
      <c r="I130" s="583">
        <v>4</v>
      </c>
      <c r="J130" s="583">
        <v>1</v>
      </c>
      <c r="K130" s="583">
        <v>4</v>
      </c>
      <c r="L130" s="584">
        <f t="shared" si="88"/>
        <v>1</v>
      </c>
      <c r="M130" s="585">
        <v>45763</v>
      </c>
      <c r="N130" s="585">
        <v>45759</v>
      </c>
      <c r="O130" s="586"/>
      <c r="P130" s="586" t="s">
        <v>83</v>
      </c>
      <c r="Q130" s="636" t="s">
        <v>808</v>
      </c>
      <c r="R130" s="586" t="s">
        <v>809</v>
      </c>
      <c r="S130" s="586"/>
      <c r="T130" s="586"/>
      <c r="U130" s="586" t="s">
        <v>86</v>
      </c>
      <c r="V130" s="586" t="s">
        <v>810</v>
      </c>
      <c r="W130" s="586" t="s">
        <v>300</v>
      </c>
      <c r="X130" s="588" t="s">
        <v>811</v>
      </c>
      <c r="Y130" s="618" t="s">
        <v>812</v>
      </c>
      <c r="Z130" s="590">
        <v>5.9383</v>
      </c>
      <c r="AA130" s="591">
        <f t="shared" si="85"/>
        <v>23.7532</v>
      </c>
      <c r="AB130" s="619" t="s">
        <v>813</v>
      </c>
      <c r="AC130" s="582" t="s">
        <v>366</v>
      </c>
      <c r="AD130" s="593" t="s">
        <v>89</v>
      </c>
      <c r="AE130" s="620"/>
      <c r="AF130" s="620"/>
      <c r="AG130" s="595"/>
      <c r="AH130" s="620"/>
      <c r="AI130" s="620"/>
      <c r="AJ130" s="595">
        <f t="shared" si="84"/>
        <v>4</v>
      </c>
      <c r="AK130" s="629"/>
      <c r="AL130" s="620"/>
      <c r="AM130" s="620"/>
      <c r="AN130" s="598">
        <f t="shared" si="86"/>
        <v>4</v>
      </c>
      <c r="AO130" s="621"/>
      <c r="AP130" s="622"/>
      <c r="AQ130" s="622"/>
      <c r="AR130" s="621"/>
      <c r="AS130" s="622"/>
      <c r="AT130" s="622"/>
      <c r="AU130" s="621">
        <f t="shared" si="87"/>
        <v>4</v>
      </c>
      <c r="AV130" s="621"/>
      <c r="AW130" s="592">
        <f t="shared" si="72"/>
        <v>4</v>
      </c>
      <c r="AX130" s="621"/>
      <c r="AY130" s="621"/>
      <c r="AZ130" s="621"/>
      <c r="BA130" s="621"/>
      <c r="BB130" s="621"/>
      <c r="BC130" s="621"/>
      <c r="BD130" s="621"/>
      <c r="BE130" s="623"/>
      <c r="BF130" s="602" t="s">
        <v>165</v>
      </c>
      <c r="BG130" s="603"/>
      <c r="BH130" s="604">
        <f>I130</f>
        <v>4</v>
      </c>
      <c r="BI130" s="605"/>
      <c r="BJ130" s="602"/>
      <c r="BK130" s="602"/>
      <c r="BL130" s="602"/>
      <c r="BM130" s="602"/>
      <c r="BN130" s="624"/>
      <c r="BO130" s="624"/>
      <c r="BP130" s="624"/>
      <c r="BQ130" s="624"/>
      <c r="BR130" s="624"/>
      <c r="BS130" s="624"/>
      <c r="BT130" s="607">
        <f t="shared" si="79"/>
        <v>4</v>
      </c>
      <c r="BU130" s="608">
        <f t="shared" si="80"/>
        <v>0</v>
      </c>
      <c r="BV130" s="517"/>
      <c r="BW130" s="491"/>
    </row>
    <row r="131" s="490" customFormat="1" ht="33" customHeight="1" spans="1:75">
      <c r="A131" s="577">
        <v>45719</v>
      </c>
      <c r="B131" s="581" t="s">
        <v>358</v>
      </c>
      <c r="C131" s="579" t="s">
        <v>359</v>
      </c>
      <c r="D131" s="580">
        <v>4500158946</v>
      </c>
      <c r="E131" s="616" t="s">
        <v>816</v>
      </c>
      <c r="F131" s="580" t="s">
        <v>817</v>
      </c>
      <c r="G131" s="582" t="s">
        <v>297</v>
      </c>
      <c r="H131" s="578" t="s">
        <v>298</v>
      </c>
      <c r="I131" s="583">
        <v>20</v>
      </c>
      <c r="J131" s="583">
        <v>1</v>
      </c>
      <c r="K131" s="583">
        <v>4</v>
      </c>
      <c r="L131" s="584">
        <f t="shared" si="88"/>
        <v>5</v>
      </c>
      <c r="M131" s="585">
        <v>45763</v>
      </c>
      <c r="N131" s="585">
        <v>45759</v>
      </c>
      <c r="O131" s="586"/>
      <c r="P131" s="586" t="s">
        <v>83</v>
      </c>
      <c r="Q131" s="636" t="s">
        <v>808</v>
      </c>
      <c r="R131" s="586" t="s">
        <v>809</v>
      </c>
      <c r="S131" s="586"/>
      <c r="T131" s="586"/>
      <c r="U131" s="586" t="s">
        <v>86</v>
      </c>
      <c r="V131" s="586" t="s">
        <v>810</v>
      </c>
      <c r="W131" s="586" t="s">
        <v>300</v>
      </c>
      <c r="X131" s="588" t="s">
        <v>811</v>
      </c>
      <c r="Y131" s="618" t="s">
        <v>812</v>
      </c>
      <c r="Z131" s="590">
        <v>5.9383</v>
      </c>
      <c r="AA131" s="591">
        <f t="shared" si="85"/>
        <v>118.766</v>
      </c>
      <c r="AB131" s="619" t="s">
        <v>813</v>
      </c>
      <c r="AC131" s="582" t="s">
        <v>366</v>
      </c>
      <c r="AD131" s="593" t="s">
        <v>89</v>
      </c>
      <c r="AE131" s="620"/>
      <c r="AF131" s="620"/>
      <c r="AG131" s="595"/>
      <c r="AH131" s="620"/>
      <c r="AI131" s="620"/>
      <c r="AJ131" s="595">
        <f t="shared" si="84"/>
        <v>20</v>
      </c>
      <c r="AK131" s="629"/>
      <c r="AL131" s="620"/>
      <c r="AM131" s="620"/>
      <c r="AN131" s="598">
        <f t="shared" si="86"/>
        <v>20</v>
      </c>
      <c r="AO131" s="621"/>
      <c r="AP131" s="622"/>
      <c r="AQ131" s="622"/>
      <c r="AR131" s="621"/>
      <c r="AS131" s="622"/>
      <c r="AT131" s="622"/>
      <c r="AU131" s="621">
        <f t="shared" si="87"/>
        <v>20</v>
      </c>
      <c r="AV131" s="621"/>
      <c r="AW131" s="592">
        <f t="shared" si="72"/>
        <v>20</v>
      </c>
      <c r="AX131" s="621"/>
      <c r="AY131" s="621"/>
      <c r="AZ131" s="621"/>
      <c r="BA131" s="621"/>
      <c r="BB131" s="621"/>
      <c r="BC131" s="621"/>
      <c r="BD131" s="621"/>
      <c r="BE131" s="623"/>
      <c r="BF131" s="602" t="s">
        <v>165</v>
      </c>
      <c r="BG131" s="603"/>
      <c r="BH131" s="604">
        <f>I131</f>
        <v>20</v>
      </c>
      <c r="BI131" s="605"/>
      <c r="BJ131" s="602"/>
      <c r="BK131" s="602"/>
      <c r="BL131" s="602"/>
      <c r="BM131" s="602"/>
      <c r="BN131" s="624"/>
      <c r="BO131" s="624"/>
      <c r="BP131" s="624"/>
      <c r="BQ131" s="624"/>
      <c r="BR131" s="624"/>
      <c r="BS131" s="624"/>
      <c r="BT131" s="607">
        <f t="shared" si="79"/>
        <v>20</v>
      </c>
      <c r="BU131" s="608">
        <f t="shared" si="80"/>
        <v>0</v>
      </c>
      <c r="BV131" s="517"/>
      <c r="BW131" s="491"/>
    </row>
    <row r="132" s="490" customFormat="1" ht="33" customHeight="1" spans="1:75">
      <c r="A132" s="577">
        <v>45719</v>
      </c>
      <c r="B132" s="581" t="s">
        <v>358</v>
      </c>
      <c r="C132" s="579" t="s">
        <v>359</v>
      </c>
      <c r="D132" s="580">
        <v>4500158946</v>
      </c>
      <c r="E132" s="616" t="s">
        <v>818</v>
      </c>
      <c r="F132" s="580" t="s">
        <v>819</v>
      </c>
      <c r="G132" s="582" t="s">
        <v>297</v>
      </c>
      <c r="H132" s="578" t="s">
        <v>298</v>
      </c>
      <c r="I132" s="583">
        <v>16</v>
      </c>
      <c r="J132" s="583">
        <v>1</v>
      </c>
      <c r="K132" s="583">
        <v>4</v>
      </c>
      <c r="L132" s="584">
        <f t="shared" si="88"/>
        <v>4</v>
      </c>
      <c r="M132" s="585">
        <v>45763</v>
      </c>
      <c r="N132" s="585">
        <v>45759</v>
      </c>
      <c r="O132" s="586"/>
      <c r="P132" s="586" t="s">
        <v>83</v>
      </c>
      <c r="Q132" s="636" t="s">
        <v>808</v>
      </c>
      <c r="R132" s="586" t="s">
        <v>809</v>
      </c>
      <c r="S132" s="586"/>
      <c r="T132" s="586"/>
      <c r="U132" s="586" t="s">
        <v>86</v>
      </c>
      <c r="V132" s="586" t="s">
        <v>810</v>
      </c>
      <c r="W132" s="586" t="s">
        <v>300</v>
      </c>
      <c r="X132" s="588" t="s">
        <v>811</v>
      </c>
      <c r="Y132" s="618" t="s">
        <v>812</v>
      </c>
      <c r="Z132" s="590">
        <v>5.9383</v>
      </c>
      <c r="AA132" s="591">
        <f t="shared" si="85"/>
        <v>95.0128</v>
      </c>
      <c r="AB132" s="619" t="s">
        <v>813</v>
      </c>
      <c r="AC132" s="582" t="s">
        <v>366</v>
      </c>
      <c r="AD132" s="593" t="s">
        <v>89</v>
      </c>
      <c r="AE132" s="620"/>
      <c r="AF132" s="620"/>
      <c r="AG132" s="595"/>
      <c r="AH132" s="620"/>
      <c r="AI132" s="620"/>
      <c r="AJ132" s="595">
        <f t="shared" si="84"/>
        <v>16</v>
      </c>
      <c r="AK132" s="629"/>
      <c r="AL132" s="620"/>
      <c r="AM132" s="620"/>
      <c r="AN132" s="598">
        <f t="shared" si="86"/>
        <v>16</v>
      </c>
      <c r="AO132" s="621"/>
      <c r="AP132" s="622"/>
      <c r="AQ132" s="622"/>
      <c r="AR132" s="621"/>
      <c r="AS132" s="622"/>
      <c r="AT132" s="622"/>
      <c r="AU132" s="621">
        <f t="shared" si="87"/>
        <v>16</v>
      </c>
      <c r="AV132" s="621"/>
      <c r="AW132" s="592">
        <f t="shared" si="72"/>
        <v>16</v>
      </c>
      <c r="AX132" s="621"/>
      <c r="AY132" s="621"/>
      <c r="AZ132" s="621"/>
      <c r="BA132" s="621"/>
      <c r="BB132" s="621"/>
      <c r="BC132" s="621"/>
      <c r="BD132" s="621"/>
      <c r="BE132" s="623"/>
      <c r="BF132" s="602" t="s">
        <v>165</v>
      </c>
      <c r="BG132" s="603"/>
      <c r="BH132" s="604">
        <f>I132</f>
        <v>16</v>
      </c>
      <c r="BI132" s="605"/>
      <c r="BJ132" s="602"/>
      <c r="BK132" s="602"/>
      <c r="BL132" s="602"/>
      <c r="BM132" s="602"/>
      <c r="BN132" s="624"/>
      <c r="BO132" s="624"/>
      <c r="BP132" s="624"/>
      <c r="BQ132" s="624"/>
      <c r="BR132" s="624"/>
      <c r="BS132" s="624"/>
      <c r="BT132" s="607">
        <f t="shared" si="79"/>
        <v>16</v>
      </c>
      <c r="BU132" s="608">
        <f t="shared" si="80"/>
        <v>0</v>
      </c>
      <c r="BV132" s="517"/>
      <c r="BW132" s="491"/>
    </row>
    <row r="133" s="490" customFormat="1" ht="33" customHeight="1" spans="1:75">
      <c r="A133" s="577">
        <v>45729</v>
      </c>
      <c r="B133" s="581" t="s">
        <v>139</v>
      </c>
      <c r="C133" s="579" t="s">
        <v>140</v>
      </c>
      <c r="D133" s="580">
        <v>4500160123</v>
      </c>
      <c r="E133" s="588">
        <v>5000001815</v>
      </c>
      <c r="F133" s="580" t="s">
        <v>820</v>
      </c>
      <c r="G133" s="582" t="s">
        <v>81</v>
      </c>
      <c r="H133" s="578" t="s">
        <v>95</v>
      </c>
      <c r="I133" s="583">
        <v>9000</v>
      </c>
      <c r="J133" s="583">
        <v>0</v>
      </c>
      <c r="K133" s="583">
        <v>6</v>
      </c>
      <c r="L133" s="584">
        <f t="shared" si="88"/>
        <v>1500</v>
      </c>
      <c r="M133" s="585">
        <v>45765</v>
      </c>
      <c r="N133" s="585">
        <v>45761</v>
      </c>
      <c r="O133" s="586"/>
      <c r="P133" s="586" t="s">
        <v>83</v>
      </c>
      <c r="Q133" s="587" t="s">
        <v>738</v>
      </c>
      <c r="R133" s="586" t="s">
        <v>821</v>
      </c>
      <c r="S133" s="586"/>
      <c r="T133" s="586"/>
      <c r="U133" s="586" t="s">
        <v>754</v>
      </c>
      <c r="V133" s="586"/>
      <c r="W133" s="586"/>
      <c r="X133" s="588" t="s">
        <v>822</v>
      </c>
      <c r="Y133" s="618" t="s">
        <v>757</v>
      </c>
      <c r="Z133" s="590">
        <v>5.6846</v>
      </c>
      <c r="AA133" s="591">
        <f t="shared" si="85"/>
        <v>51161.4</v>
      </c>
      <c r="AB133" s="619" t="s">
        <v>823</v>
      </c>
      <c r="AC133" s="582" t="s">
        <v>149</v>
      </c>
      <c r="AD133" s="593" t="s">
        <v>89</v>
      </c>
      <c r="AE133" s="620"/>
      <c r="AF133" s="620"/>
      <c r="AG133" s="595">
        <f>I133</f>
        <v>9000</v>
      </c>
      <c r="AH133" s="620"/>
      <c r="AI133" s="620"/>
      <c r="AJ133" s="595"/>
      <c r="AK133" s="629"/>
      <c r="AL133" s="620"/>
      <c r="AM133" s="620"/>
      <c r="AN133" s="598"/>
      <c r="AO133" s="621">
        <f>I133</f>
        <v>9000</v>
      </c>
      <c r="AP133" s="622"/>
      <c r="AQ133" s="622"/>
      <c r="AR133" s="621">
        <f>I133</f>
        <v>9000</v>
      </c>
      <c r="AS133" s="622"/>
      <c r="AT133" s="622"/>
      <c r="AU133" s="621"/>
      <c r="AV133" s="621"/>
      <c r="AW133" s="592">
        <f t="shared" si="72"/>
        <v>9000</v>
      </c>
      <c r="AX133" s="621"/>
      <c r="AY133" s="621"/>
      <c r="AZ133" s="621"/>
      <c r="BA133" s="621"/>
      <c r="BB133" s="621"/>
      <c r="BC133" s="621"/>
      <c r="BD133" s="621"/>
      <c r="BE133" s="623"/>
      <c r="BF133" s="602" t="s">
        <v>165</v>
      </c>
      <c r="BG133" s="603"/>
      <c r="BH133" s="604">
        <f>I133/6</f>
        <v>1500</v>
      </c>
      <c r="BI133" s="605">
        <f>I133/6</f>
        <v>1500</v>
      </c>
      <c r="BJ133" s="602">
        <f>I133/6</f>
        <v>1500</v>
      </c>
      <c r="BK133" s="602">
        <f>I133/6</f>
        <v>1500</v>
      </c>
      <c r="BL133" s="602">
        <f>I133/6</f>
        <v>1500</v>
      </c>
      <c r="BM133" s="602">
        <f>I133/6</f>
        <v>1500</v>
      </c>
      <c r="BN133" s="624"/>
      <c r="BO133" s="624"/>
      <c r="BP133" s="624"/>
      <c r="BQ133" s="624"/>
      <c r="BR133" s="624"/>
      <c r="BS133" s="624"/>
      <c r="BT133" s="607">
        <f t="shared" si="79"/>
        <v>9000</v>
      </c>
      <c r="BU133" s="608">
        <f t="shared" si="80"/>
        <v>0</v>
      </c>
      <c r="BV133" s="517"/>
      <c r="BW133" s="491"/>
    </row>
    <row r="134" s="490" customFormat="1" ht="33" customHeight="1" spans="1:75">
      <c r="A134" s="577">
        <v>45719</v>
      </c>
      <c r="B134" s="581" t="s">
        <v>358</v>
      </c>
      <c r="C134" s="579" t="s">
        <v>359</v>
      </c>
      <c r="D134" s="580">
        <v>4500158946</v>
      </c>
      <c r="E134" s="616" t="s">
        <v>824</v>
      </c>
      <c r="F134" s="580" t="s">
        <v>825</v>
      </c>
      <c r="G134" s="582" t="s">
        <v>826</v>
      </c>
      <c r="H134" s="578" t="s">
        <v>827</v>
      </c>
      <c r="I134" s="583">
        <v>4</v>
      </c>
      <c r="J134" s="583">
        <v>1</v>
      </c>
      <c r="K134" s="583">
        <v>4</v>
      </c>
      <c r="L134" s="584">
        <f t="shared" ref="L134:L143" si="89">I134/K134</f>
        <v>1</v>
      </c>
      <c r="M134" s="585">
        <v>45763</v>
      </c>
      <c r="N134" s="585">
        <v>45759</v>
      </c>
      <c r="O134" s="586"/>
      <c r="P134" s="586" t="s">
        <v>83</v>
      </c>
      <c r="Q134" s="636" t="s">
        <v>808</v>
      </c>
      <c r="R134" s="586" t="s">
        <v>809</v>
      </c>
      <c r="S134" s="586"/>
      <c r="T134" s="586"/>
      <c r="U134" s="586" t="s">
        <v>86</v>
      </c>
      <c r="V134" s="586" t="s">
        <v>810</v>
      </c>
      <c r="W134" s="586" t="s">
        <v>828</v>
      </c>
      <c r="X134" s="588" t="s">
        <v>811</v>
      </c>
      <c r="Y134" s="618" t="s">
        <v>812</v>
      </c>
      <c r="Z134" s="590">
        <v>5.9383</v>
      </c>
      <c r="AA134" s="591">
        <f t="shared" si="85"/>
        <v>23.7532</v>
      </c>
      <c r="AB134" s="619" t="s">
        <v>813</v>
      </c>
      <c r="AC134" s="582" t="s">
        <v>829</v>
      </c>
      <c r="AD134" s="593" t="s">
        <v>89</v>
      </c>
      <c r="AE134" s="620"/>
      <c r="AF134" s="620"/>
      <c r="AG134" s="595"/>
      <c r="AH134" s="620"/>
      <c r="AI134" s="620"/>
      <c r="AJ134" s="595">
        <f>I134</f>
        <v>4</v>
      </c>
      <c r="AK134" s="629"/>
      <c r="AL134" s="620"/>
      <c r="AM134" s="620"/>
      <c r="AN134" s="598">
        <f t="shared" ref="AN134:AN150" si="90">I134</f>
        <v>4</v>
      </c>
      <c r="AO134" s="621"/>
      <c r="AP134" s="622"/>
      <c r="AQ134" s="622"/>
      <c r="AR134" s="621"/>
      <c r="AS134" s="622"/>
      <c r="AT134" s="622"/>
      <c r="AU134" s="621">
        <f>I134</f>
        <v>4</v>
      </c>
      <c r="AV134" s="621"/>
      <c r="AW134" s="592">
        <f t="shared" si="72"/>
        <v>4</v>
      </c>
      <c r="AX134" s="621"/>
      <c r="AY134" s="621"/>
      <c r="AZ134" s="621"/>
      <c r="BA134" s="621"/>
      <c r="BB134" s="621"/>
      <c r="BC134" s="621"/>
      <c r="BD134" s="621"/>
      <c r="BE134" s="623"/>
      <c r="BF134" s="602" t="s">
        <v>165</v>
      </c>
      <c r="BG134" s="603"/>
      <c r="BH134" s="604"/>
      <c r="BI134" s="605"/>
      <c r="BJ134" s="602"/>
      <c r="BK134" s="602"/>
      <c r="BL134" s="602"/>
      <c r="BM134" s="602">
        <f>I134</f>
        <v>4</v>
      </c>
      <c r="BN134" s="624"/>
      <c r="BO134" s="624"/>
      <c r="BP134" s="624"/>
      <c r="BQ134" s="624"/>
      <c r="BR134" s="624"/>
      <c r="BS134" s="624"/>
      <c r="BT134" s="607">
        <f t="shared" si="79"/>
        <v>4</v>
      </c>
      <c r="BU134" s="608">
        <f t="shared" si="80"/>
        <v>0</v>
      </c>
      <c r="BV134" s="517"/>
      <c r="BW134" s="491"/>
    </row>
    <row r="135" s="490" customFormat="1" ht="33" customHeight="1" spans="1:75">
      <c r="A135" s="577">
        <v>45719</v>
      </c>
      <c r="B135" s="581" t="s">
        <v>358</v>
      </c>
      <c r="C135" s="579" t="s">
        <v>359</v>
      </c>
      <c r="D135" s="580">
        <v>4500158946</v>
      </c>
      <c r="E135" s="616" t="s">
        <v>830</v>
      </c>
      <c r="F135" s="580" t="s">
        <v>831</v>
      </c>
      <c r="G135" s="582" t="s">
        <v>826</v>
      </c>
      <c r="H135" s="578" t="s">
        <v>827</v>
      </c>
      <c r="I135" s="583">
        <v>4</v>
      </c>
      <c r="J135" s="583">
        <v>1</v>
      </c>
      <c r="K135" s="583">
        <v>4</v>
      </c>
      <c r="L135" s="584">
        <f t="shared" si="89"/>
        <v>1</v>
      </c>
      <c r="M135" s="585">
        <v>45763</v>
      </c>
      <c r="N135" s="585">
        <v>45759</v>
      </c>
      <c r="O135" s="586"/>
      <c r="P135" s="586" t="s">
        <v>83</v>
      </c>
      <c r="Q135" s="636" t="s">
        <v>808</v>
      </c>
      <c r="R135" s="586" t="s">
        <v>809</v>
      </c>
      <c r="S135" s="586"/>
      <c r="T135" s="586"/>
      <c r="U135" s="586" t="s">
        <v>86</v>
      </c>
      <c r="V135" s="586" t="s">
        <v>810</v>
      </c>
      <c r="W135" s="586" t="s">
        <v>828</v>
      </c>
      <c r="X135" s="588" t="s">
        <v>811</v>
      </c>
      <c r="Y135" s="618" t="s">
        <v>812</v>
      </c>
      <c r="Z135" s="590">
        <v>5.9383</v>
      </c>
      <c r="AA135" s="591">
        <f t="shared" si="85"/>
        <v>23.7532</v>
      </c>
      <c r="AB135" s="619" t="s">
        <v>813</v>
      </c>
      <c r="AC135" s="582" t="s">
        <v>829</v>
      </c>
      <c r="AD135" s="593" t="s">
        <v>89</v>
      </c>
      <c r="AE135" s="620"/>
      <c r="AF135" s="620"/>
      <c r="AG135" s="595"/>
      <c r="AH135" s="620"/>
      <c r="AI135" s="620"/>
      <c r="AJ135" s="595">
        <f>I135</f>
        <v>4</v>
      </c>
      <c r="AK135" s="629"/>
      <c r="AL135" s="620"/>
      <c r="AM135" s="620"/>
      <c r="AN135" s="598">
        <f t="shared" si="90"/>
        <v>4</v>
      </c>
      <c r="AO135" s="621"/>
      <c r="AP135" s="622"/>
      <c r="AQ135" s="622"/>
      <c r="AR135" s="621"/>
      <c r="AS135" s="622"/>
      <c r="AT135" s="622"/>
      <c r="AU135" s="621">
        <f>I135</f>
        <v>4</v>
      </c>
      <c r="AV135" s="621"/>
      <c r="AW135" s="592">
        <f t="shared" si="72"/>
        <v>4</v>
      </c>
      <c r="AX135" s="621"/>
      <c r="AY135" s="621"/>
      <c r="AZ135" s="621"/>
      <c r="BA135" s="621"/>
      <c r="BB135" s="621"/>
      <c r="BC135" s="621"/>
      <c r="BD135" s="621"/>
      <c r="BE135" s="623"/>
      <c r="BF135" s="602" t="s">
        <v>165</v>
      </c>
      <c r="BG135" s="603"/>
      <c r="BH135" s="604"/>
      <c r="BI135" s="605"/>
      <c r="BJ135" s="602"/>
      <c r="BK135" s="602"/>
      <c r="BL135" s="602"/>
      <c r="BM135" s="602">
        <f>I135</f>
        <v>4</v>
      </c>
      <c r="BN135" s="624"/>
      <c r="BO135" s="624"/>
      <c r="BP135" s="624"/>
      <c r="BQ135" s="624"/>
      <c r="BR135" s="624"/>
      <c r="BS135" s="624"/>
      <c r="BT135" s="607">
        <f t="shared" si="79"/>
        <v>4</v>
      </c>
      <c r="BU135" s="608">
        <f t="shared" si="80"/>
        <v>0</v>
      </c>
      <c r="BV135" s="517"/>
      <c r="BW135" s="491"/>
    </row>
    <row r="136" s="490" customFormat="1" ht="33" customHeight="1" spans="1:75">
      <c r="A136" s="577">
        <v>45719</v>
      </c>
      <c r="B136" s="581" t="s">
        <v>358</v>
      </c>
      <c r="C136" s="579" t="s">
        <v>359</v>
      </c>
      <c r="D136" s="580">
        <v>4500158946</v>
      </c>
      <c r="E136" s="616" t="s">
        <v>832</v>
      </c>
      <c r="F136" s="580" t="s">
        <v>833</v>
      </c>
      <c r="G136" s="582" t="s">
        <v>826</v>
      </c>
      <c r="H136" s="578" t="s">
        <v>827</v>
      </c>
      <c r="I136" s="583">
        <v>4</v>
      </c>
      <c r="J136" s="583">
        <v>1</v>
      </c>
      <c r="K136" s="583">
        <v>4</v>
      </c>
      <c r="L136" s="584">
        <f t="shared" si="89"/>
        <v>1</v>
      </c>
      <c r="M136" s="585">
        <v>45763</v>
      </c>
      <c r="N136" s="585">
        <v>45759</v>
      </c>
      <c r="O136" s="586"/>
      <c r="P136" s="586" t="s">
        <v>83</v>
      </c>
      <c r="Q136" s="636" t="s">
        <v>808</v>
      </c>
      <c r="R136" s="586" t="s">
        <v>809</v>
      </c>
      <c r="S136" s="586"/>
      <c r="T136" s="586"/>
      <c r="U136" s="586" t="s">
        <v>86</v>
      </c>
      <c r="V136" s="586" t="s">
        <v>810</v>
      </c>
      <c r="W136" s="586" t="s">
        <v>828</v>
      </c>
      <c r="X136" s="588" t="s">
        <v>811</v>
      </c>
      <c r="Y136" s="618" t="s">
        <v>812</v>
      </c>
      <c r="Z136" s="590">
        <v>5.9383</v>
      </c>
      <c r="AA136" s="591">
        <f t="shared" si="85"/>
        <v>23.7532</v>
      </c>
      <c r="AB136" s="619" t="s">
        <v>813</v>
      </c>
      <c r="AC136" s="582" t="s">
        <v>829</v>
      </c>
      <c r="AD136" s="593" t="s">
        <v>89</v>
      </c>
      <c r="AE136" s="620"/>
      <c r="AF136" s="620"/>
      <c r="AG136" s="595"/>
      <c r="AH136" s="620"/>
      <c r="AI136" s="620"/>
      <c r="AJ136" s="595">
        <f>I136</f>
        <v>4</v>
      </c>
      <c r="AK136" s="629"/>
      <c r="AL136" s="620"/>
      <c r="AM136" s="620"/>
      <c r="AN136" s="598">
        <f t="shared" si="90"/>
        <v>4</v>
      </c>
      <c r="AO136" s="621"/>
      <c r="AP136" s="622"/>
      <c r="AQ136" s="622"/>
      <c r="AR136" s="621"/>
      <c r="AS136" s="622"/>
      <c r="AT136" s="622"/>
      <c r="AU136" s="621">
        <f>I136</f>
        <v>4</v>
      </c>
      <c r="AV136" s="621"/>
      <c r="AW136" s="592">
        <f t="shared" si="72"/>
        <v>4</v>
      </c>
      <c r="AX136" s="621"/>
      <c r="AY136" s="621"/>
      <c r="AZ136" s="621"/>
      <c r="BA136" s="621"/>
      <c r="BB136" s="621"/>
      <c r="BC136" s="621"/>
      <c r="BD136" s="621"/>
      <c r="BE136" s="623"/>
      <c r="BF136" s="602" t="s">
        <v>165</v>
      </c>
      <c r="BG136" s="603"/>
      <c r="BH136" s="604"/>
      <c r="BI136" s="605"/>
      <c r="BJ136" s="602"/>
      <c r="BK136" s="602"/>
      <c r="BL136" s="602"/>
      <c r="BM136" s="602">
        <f>I136</f>
        <v>4</v>
      </c>
      <c r="BN136" s="624"/>
      <c r="BO136" s="624"/>
      <c r="BP136" s="624"/>
      <c r="BQ136" s="624"/>
      <c r="BR136" s="624"/>
      <c r="BS136" s="624"/>
      <c r="BT136" s="607">
        <f t="shared" si="79"/>
        <v>4</v>
      </c>
      <c r="BU136" s="608">
        <f t="shared" si="80"/>
        <v>0</v>
      </c>
      <c r="BV136" s="517"/>
      <c r="BW136" s="491"/>
    </row>
    <row r="137" s="490" customFormat="1" ht="33" customHeight="1" spans="1:75">
      <c r="A137" s="577">
        <v>45733</v>
      </c>
      <c r="B137" s="581" t="s">
        <v>834</v>
      </c>
      <c r="C137" s="579" t="s">
        <v>779</v>
      </c>
      <c r="D137" s="580">
        <v>4500160421</v>
      </c>
      <c r="E137" s="616"/>
      <c r="F137" s="580" t="s">
        <v>835</v>
      </c>
      <c r="G137" s="582" t="s">
        <v>81</v>
      </c>
      <c r="H137" s="578" t="s">
        <v>95</v>
      </c>
      <c r="I137" s="583">
        <v>300</v>
      </c>
      <c r="J137" s="583">
        <v>0</v>
      </c>
      <c r="K137" s="583">
        <v>6</v>
      </c>
      <c r="L137" s="584">
        <f t="shared" si="89"/>
        <v>50</v>
      </c>
      <c r="M137" s="585">
        <v>45768</v>
      </c>
      <c r="N137" s="585">
        <v>45764</v>
      </c>
      <c r="O137" s="586"/>
      <c r="P137" s="586" t="s">
        <v>83</v>
      </c>
      <c r="Q137" s="636" t="s">
        <v>836</v>
      </c>
      <c r="R137" s="586" t="s">
        <v>837</v>
      </c>
      <c r="S137" s="586"/>
      <c r="T137" s="586"/>
      <c r="U137" s="586" t="s">
        <v>838</v>
      </c>
      <c r="V137" s="586"/>
      <c r="W137" s="586"/>
      <c r="X137" s="588" t="s">
        <v>839</v>
      </c>
      <c r="Y137" s="618" t="s">
        <v>243</v>
      </c>
      <c r="Z137" s="590">
        <v>5.905</v>
      </c>
      <c r="AA137" s="591">
        <f t="shared" si="85"/>
        <v>1771.5</v>
      </c>
      <c r="AB137" s="619" t="s">
        <v>840</v>
      </c>
      <c r="AC137" s="582" t="s">
        <v>235</v>
      </c>
      <c r="AD137" s="593" t="s">
        <v>89</v>
      </c>
      <c r="AE137" s="628"/>
      <c r="AF137" s="628"/>
      <c r="AG137" s="595"/>
      <c r="AH137" s="628"/>
      <c r="AI137" s="628"/>
      <c r="AJ137" s="595">
        <f>I137</f>
        <v>300</v>
      </c>
      <c r="AK137" s="629"/>
      <c r="AL137" s="628"/>
      <c r="AM137" s="628"/>
      <c r="AN137" s="598">
        <f t="shared" si="90"/>
        <v>300</v>
      </c>
      <c r="AO137" s="621"/>
      <c r="AP137" s="630"/>
      <c r="AQ137" s="630"/>
      <c r="AR137" s="621"/>
      <c r="AS137" s="630"/>
      <c r="AT137" s="630"/>
      <c r="AU137" s="621">
        <f>I137</f>
        <v>300</v>
      </c>
      <c r="AV137" s="621"/>
      <c r="AW137" s="592">
        <f t="shared" si="72"/>
        <v>300</v>
      </c>
      <c r="AX137" s="621"/>
      <c r="AY137" s="621"/>
      <c r="AZ137" s="621"/>
      <c r="BA137" s="621"/>
      <c r="BB137" s="621"/>
      <c r="BC137" s="621"/>
      <c r="BD137" s="621"/>
      <c r="BE137" s="623"/>
      <c r="BF137" s="602" t="s">
        <v>90</v>
      </c>
      <c r="BG137" s="603"/>
      <c r="BH137" s="604">
        <f t="shared" ref="BH137:BH164" si="91">I137/6</f>
        <v>50</v>
      </c>
      <c r="BI137" s="605">
        <f t="shared" ref="BI137:BI164" si="92">I137/6</f>
        <v>50</v>
      </c>
      <c r="BJ137" s="602">
        <f t="shared" ref="BJ137:BJ164" si="93">I137/6</f>
        <v>50</v>
      </c>
      <c r="BK137" s="602">
        <f t="shared" ref="BK137:BK164" si="94">I137/6</f>
        <v>50</v>
      </c>
      <c r="BL137" s="602">
        <f t="shared" ref="BL137:BL164" si="95">I137/6</f>
        <v>50</v>
      </c>
      <c r="BM137" s="602">
        <f t="shared" ref="BM137:BM164" si="96">I137/6</f>
        <v>50</v>
      </c>
      <c r="BN137" s="631"/>
      <c r="BO137" s="631"/>
      <c r="BP137" s="631"/>
      <c r="BQ137" s="631"/>
      <c r="BR137" s="631"/>
      <c r="BS137" s="631"/>
      <c r="BT137" s="607">
        <f t="shared" si="79"/>
        <v>300</v>
      </c>
      <c r="BU137" s="608">
        <f t="shared" si="80"/>
        <v>0</v>
      </c>
      <c r="BV137" s="609"/>
      <c r="BW137" s="491"/>
    </row>
    <row r="138" s="490" customFormat="1" ht="33" customHeight="1" spans="1:75">
      <c r="A138" s="577">
        <v>45735</v>
      </c>
      <c r="B138" s="581" t="s">
        <v>841</v>
      </c>
      <c r="C138" s="579" t="s">
        <v>842</v>
      </c>
      <c r="D138" s="580">
        <v>4500160722</v>
      </c>
      <c r="E138" s="616" t="s">
        <v>843</v>
      </c>
      <c r="F138" s="580" t="s">
        <v>844</v>
      </c>
      <c r="G138" s="582" t="s">
        <v>81</v>
      </c>
      <c r="H138" s="578" t="s">
        <v>95</v>
      </c>
      <c r="I138" s="583">
        <v>5004</v>
      </c>
      <c r="J138" s="583">
        <v>0</v>
      </c>
      <c r="K138" s="583">
        <v>6</v>
      </c>
      <c r="L138" s="584">
        <f t="shared" si="89"/>
        <v>834</v>
      </c>
      <c r="M138" s="585">
        <v>45768</v>
      </c>
      <c r="N138" s="585">
        <v>45764</v>
      </c>
      <c r="O138" s="586"/>
      <c r="P138" s="586" t="s">
        <v>83</v>
      </c>
      <c r="Q138" s="587" t="s">
        <v>788</v>
      </c>
      <c r="R138" s="586" t="s">
        <v>845</v>
      </c>
      <c r="S138" s="586"/>
      <c r="T138" s="586"/>
      <c r="U138" s="586" t="s">
        <v>846</v>
      </c>
      <c r="V138" s="586"/>
      <c r="W138" s="586"/>
      <c r="X138" s="588" t="s">
        <v>847</v>
      </c>
      <c r="Y138" s="618" t="s">
        <v>243</v>
      </c>
      <c r="Z138" s="590">
        <v>5.6846</v>
      </c>
      <c r="AA138" s="591">
        <f t="shared" si="85"/>
        <v>28445.7384</v>
      </c>
      <c r="AB138" s="619" t="s">
        <v>848</v>
      </c>
      <c r="AC138" s="582" t="s">
        <v>81</v>
      </c>
      <c r="AD138" s="593" t="s">
        <v>89</v>
      </c>
      <c r="AE138" s="628"/>
      <c r="AF138" s="628"/>
      <c r="AG138" s="595">
        <f>I138</f>
        <v>5004</v>
      </c>
      <c r="AH138" s="628"/>
      <c r="AI138" s="628"/>
      <c r="AJ138" s="595"/>
      <c r="AK138" s="629"/>
      <c r="AL138" s="628"/>
      <c r="AM138" s="628"/>
      <c r="AN138" s="598">
        <f t="shared" si="90"/>
        <v>5004</v>
      </c>
      <c r="AO138" s="621"/>
      <c r="AP138" s="630"/>
      <c r="AQ138" s="630"/>
      <c r="AR138" s="621">
        <f>I138</f>
        <v>5004</v>
      </c>
      <c r="AS138" s="630"/>
      <c r="AT138" s="630"/>
      <c r="AU138" s="621"/>
      <c r="AV138" s="621"/>
      <c r="AW138" s="592">
        <f t="shared" si="72"/>
        <v>5004</v>
      </c>
      <c r="AX138" s="621"/>
      <c r="AY138" s="621"/>
      <c r="AZ138" s="621"/>
      <c r="BA138" s="621"/>
      <c r="BB138" s="621"/>
      <c r="BC138" s="621"/>
      <c r="BD138" s="621"/>
      <c r="BE138" s="623"/>
      <c r="BF138" s="602" t="s">
        <v>90</v>
      </c>
      <c r="BG138" s="603"/>
      <c r="BH138" s="604">
        <f t="shared" si="91"/>
        <v>834</v>
      </c>
      <c r="BI138" s="605">
        <f t="shared" si="92"/>
        <v>834</v>
      </c>
      <c r="BJ138" s="602">
        <f t="shared" si="93"/>
        <v>834</v>
      </c>
      <c r="BK138" s="602">
        <f t="shared" si="94"/>
        <v>834</v>
      </c>
      <c r="BL138" s="602">
        <f t="shared" si="95"/>
        <v>834</v>
      </c>
      <c r="BM138" s="602">
        <f t="shared" si="96"/>
        <v>834</v>
      </c>
      <c r="BN138" s="631"/>
      <c r="BO138" s="631"/>
      <c r="BP138" s="631"/>
      <c r="BQ138" s="631"/>
      <c r="BR138" s="631"/>
      <c r="BS138" s="631"/>
      <c r="BT138" s="607">
        <f t="shared" si="79"/>
        <v>5004</v>
      </c>
      <c r="BU138" s="608">
        <f t="shared" si="80"/>
        <v>0</v>
      </c>
      <c r="BV138" s="609"/>
      <c r="BW138" s="491"/>
    </row>
    <row r="139" s="490" customFormat="1" ht="33" customHeight="1" spans="1:75">
      <c r="A139" s="577">
        <v>45722</v>
      </c>
      <c r="B139" s="581" t="s">
        <v>849</v>
      </c>
      <c r="C139" s="579" t="s">
        <v>334</v>
      </c>
      <c r="D139" s="580">
        <v>4500159248</v>
      </c>
      <c r="E139" s="616" t="s">
        <v>850</v>
      </c>
      <c r="F139" s="580" t="s">
        <v>851</v>
      </c>
      <c r="G139" s="582" t="s">
        <v>81</v>
      </c>
      <c r="H139" s="578" t="s">
        <v>95</v>
      </c>
      <c r="I139" s="583">
        <v>192</v>
      </c>
      <c r="J139" s="583">
        <v>0</v>
      </c>
      <c r="K139" s="583">
        <v>6</v>
      </c>
      <c r="L139" s="584">
        <f t="shared" si="89"/>
        <v>32</v>
      </c>
      <c r="M139" s="585">
        <v>45771</v>
      </c>
      <c r="N139" s="585">
        <v>45768</v>
      </c>
      <c r="O139" s="586"/>
      <c r="P139" s="586" t="s">
        <v>83</v>
      </c>
      <c r="Q139" s="587" t="s">
        <v>781</v>
      </c>
      <c r="R139" s="586" t="s">
        <v>852</v>
      </c>
      <c r="S139" s="586"/>
      <c r="T139" s="586"/>
      <c r="U139" s="586" t="s">
        <v>838</v>
      </c>
      <c r="V139" s="586"/>
      <c r="W139" s="586"/>
      <c r="X139" s="588" t="s">
        <v>853</v>
      </c>
      <c r="Y139" s="618" t="s">
        <v>340</v>
      </c>
      <c r="Z139" s="590">
        <v>5.905</v>
      </c>
      <c r="AA139" s="591">
        <f t="shared" si="85"/>
        <v>1133.76</v>
      </c>
      <c r="AB139" s="619" t="s">
        <v>854</v>
      </c>
      <c r="AC139" s="582" t="s">
        <v>235</v>
      </c>
      <c r="AD139" s="593" t="s">
        <v>89</v>
      </c>
      <c r="AE139" s="620"/>
      <c r="AF139" s="620"/>
      <c r="AG139" s="595"/>
      <c r="AH139" s="620"/>
      <c r="AI139" s="620"/>
      <c r="AJ139" s="595">
        <f>I139</f>
        <v>192</v>
      </c>
      <c r="AK139" s="629"/>
      <c r="AL139" s="620"/>
      <c r="AM139" s="620"/>
      <c r="AN139" s="598">
        <f t="shared" si="90"/>
        <v>192</v>
      </c>
      <c r="AO139" s="621"/>
      <c r="AP139" s="622"/>
      <c r="AQ139" s="622"/>
      <c r="AR139" s="621"/>
      <c r="AS139" s="622"/>
      <c r="AT139" s="622"/>
      <c r="AU139" s="621">
        <f>I139</f>
        <v>192</v>
      </c>
      <c r="AV139" s="621"/>
      <c r="AW139" s="592">
        <f t="shared" si="72"/>
        <v>192</v>
      </c>
      <c r="AX139" s="621"/>
      <c r="AY139" s="621"/>
      <c r="AZ139" s="621"/>
      <c r="BA139" s="621"/>
      <c r="BB139" s="621"/>
      <c r="BC139" s="621"/>
      <c r="BD139" s="621"/>
      <c r="BE139" s="623"/>
      <c r="BF139" s="602" t="s">
        <v>165</v>
      </c>
      <c r="BG139" s="603"/>
      <c r="BH139" s="604">
        <f t="shared" si="91"/>
        <v>32</v>
      </c>
      <c r="BI139" s="605">
        <f t="shared" si="92"/>
        <v>32</v>
      </c>
      <c r="BJ139" s="602">
        <f t="shared" si="93"/>
        <v>32</v>
      </c>
      <c r="BK139" s="602">
        <f t="shared" si="94"/>
        <v>32</v>
      </c>
      <c r="BL139" s="602">
        <f t="shared" si="95"/>
        <v>32</v>
      </c>
      <c r="BM139" s="602">
        <f t="shared" si="96"/>
        <v>32</v>
      </c>
      <c r="BN139" s="624"/>
      <c r="BO139" s="624"/>
      <c r="BP139" s="624"/>
      <c r="BQ139" s="624"/>
      <c r="BR139" s="624"/>
      <c r="BS139" s="624"/>
      <c r="BT139" s="607">
        <f t="shared" si="79"/>
        <v>192</v>
      </c>
      <c r="BU139" s="608">
        <f t="shared" si="80"/>
        <v>0</v>
      </c>
      <c r="BV139" s="517"/>
      <c r="BW139" s="491"/>
    </row>
    <row r="140" s="490" customFormat="1" ht="33" customHeight="1" spans="1:75">
      <c r="A140" s="577">
        <v>45722</v>
      </c>
      <c r="B140" s="581" t="s">
        <v>849</v>
      </c>
      <c r="C140" s="579" t="s">
        <v>334</v>
      </c>
      <c r="D140" s="580">
        <v>4500159234</v>
      </c>
      <c r="E140" s="616" t="s">
        <v>855</v>
      </c>
      <c r="F140" s="580" t="s">
        <v>856</v>
      </c>
      <c r="G140" s="582" t="s">
        <v>81</v>
      </c>
      <c r="H140" s="578" t="s">
        <v>95</v>
      </c>
      <c r="I140" s="583">
        <v>258</v>
      </c>
      <c r="J140" s="583">
        <v>0</v>
      </c>
      <c r="K140" s="583">
        <v>6</v>
      </c>
      <c r="L140" s="584">
        <f t="shared" si="89"/>
        <v>43</v>
      </c>
      <c r="M140" s="585">
        <v>45771</v>
      </c>
      <c r="N140" s="585">
        <v>45768</v>
      </c>
      <c r="O140" s="586"/>
      <c r="P140" s="586" t="s">
        <v>83</v>
      </c>
      <c r="Q140" s="587" t="s">
        <v>788</v>
      </c>
      <c r="R140" s="586" t="s">
        <v>852</v>
      </c>
      <c r="S140" s="586"/>
      <c r="T140" s="586"/>
      <c r="U140" s="586" t="s">
        <v>838</v>
      </c>
      <c r="V140" s="586"/>
      <c r="W140" s="586"/>
      <c r="X140" s="588" t="s">
        <v>853</v>
      </c>
      <c r="Y140" s="618" t="s">
        <v>340</v>
      </c>
      <c r="Z140" s="590">
        <v>5.905</v>
      </c>
      <c r="AA140" s="591">
        <f t="shared" si="85"/>
        <v>1523.49</v>
      </c>
      <c r="AB140" s="619" t="s">
        <v>857</v>
      </c>
      <c r="AC140" s="582" t="s">
        <v>235</v>
      </c>
      <c r="AD140" s="593" t="s">
        <v>89</v>
      </c>
      <c r="AE140" s="620"/>
      <c r="AF140" s="620"/>
      <c r="AG140" s="595"/>
      <c r="AH140" s="620"/>
      <c r="AI140" s="620"/>
      <c r="AJ140" s="595">
        <f>I140</f>
        <v>258</v>
      </c>
      <c r="AK140" s="629"/>
      <c r="AL140" s="620"/>
      <c r="AM140" s="620"/>
      <c r="AN140" s="598">
        <f t="shared" si="90"/>
        <v>258</v>
      </c>
      <c r="AO140" s="621"/>
      <c r="AP140" s="622"/>
      <c r="AQ140" s="622"/>
      <c r="AR140" s="621"/>
      <c r="AS140" s="622"/>
      <c r="AT140" s="622"/>
      <c r="AU140" s="621">
        <f>I140</f>
        <v>258</v>
      </c>
      <c r="AV140" s="621"/>
      <c r="AW140" s="592">
        <f t="shared" si="72"/>
        <v>258</v>
      </c>
      <c r="AX140" s="621"/>
      <c r="AY140" s="621"/>
      <c r="AZ140" s="621"/>
      <c r="BA140" s="621"/>
      <c r="BB140" s="621"/>
      <c r="BC140" s="621"/>
      <c r="BD140" s="621"/>
      <c r="BE140" s="623"/>
      <c r="BF140" s="602" t="s">
        <v>165</v>
      </c>
      <c r="BG140" s="603"/>
      <c r="BH140" s="604">
        <f t="shared" si="91"/>
        <v>43</v>
      </c>
      <c r="BI140" s="605">
        <f t="shared" si="92"/>
        <v>43</v>
      </c>
      <c r="BJ140" s="602">
        <f t="shared" si="93"/>
        <v>43</v>
      </c>
      <c r="BK140" s="602">
        <f t="shared" si="94"/>
        <v>43</v>
      </c>
      <c r="BL140" s="602">
        <f t="shared" si="95"/>
        <v>43</v>
      </c>
      <c r="BM140" s="602">
        <f t="shared" si="96"/>
        <v>43</v>
      </c>
      <c r="BN140" s="624"/>
      <c r="BO140" s="624"/>
      <c r="BP140" s="624"/>
      <c r="BQ140" s="624"/>
      <c r="BR140" s="624"/>
      <c r="BS140" s="624"/>
      <c r="BT140" s="607">
        <f t="shared" si="79"/>
        <v>258</v>
      </c>
      <c r="BU140" s="608">
        <f t="shared" si="80"/>
        <v>0</v>
      </c>
      <c r="BV140" s="517"/>
      <c r="BW140" s="491"/>
    </row>
    <row r="141" s="490" customFormat="1" ht="33" customHeight="1" spans="1:75">
      <c r="A141" s="577">
        <v>45722</v>
      </c>
      <c r="B141" s="581" t="s">
        <v>849</v>
      </c>
      <c r="C141" s="579" t="s">
        <v>334</v>
      </c>
      <c r="D141" s="580">
        <v>4500159263</v>
      </c>
      <c r="E141" s="616" t="s">
        <v>858</v>
      </c>
      <c r="F141" s="580" t="s">
        <v>859</v>
      </c>
      <c r="G141" s="582" t="s">
        <v>81</v>
      </c>
      <c r="H141" s="578" t="s">
        <v>95</v>
      </c>
      <c r="I141" s="583">
        <v>294</v>
      </c>
      <c r="J141" s="583">
        <v>0</v>
      </c>
      <c r="K141" s="583">
        <v>6</v>
      </c>
      <c r="L141" s="584">
        <f t="shared" si="89"/>
        <v>49</v>
      </c>
      <c r="M141" s="585">
        <v>45771</v>
      </c>
      <c r="N141" s="585">
        <v>45768</v>
      </c>
      <c r="O141" s="586"/>
      <c r="P141" s="586" t="s">
        <v>83</v>
      </c>
      <c r="Q141" s="587" t="s">
        <v>860</v>
      </c>
      <c r="R141" s="586" t="s">
        <v>852</v>
      </c>
      <c r="S141" s="586"/>
      <c r="T141" s="586"/>
      <c r="U141" s="586" t="s">
        <v>838</v>
      </c>
      <c r="V141" s="586"/>
      <c r="W141" s="586"/>
      <c r="X141" s="588" t="s">
        <v>853</v>
      </c>
      <c r="Y141" s="618" t="s">
        <v>340</v>
      </c>
      <c r="Z141" s="590">
        <v>5.7196</v>
      </c>
      <c r="AA141" s="591">
        <f t="shared" si="85"/>
        <v>1681.5624</v>
      </c>
      <c r="AB141" s="619" t="s">
        <v>861</v>
      </c>
      <c r="AC141" s="582" t="s">
        <v>235</v>
      </c>
      <c r="AD141" s="593" t="s">
        <v>89</v>
      </c>
      <c r="AE141" s="620"/>
      <c r="AF141" s="620"/>
      <c r="AG141" s="595"/>
      <c r="AH141" s="620"/>
      <c r="AI141" s="620"/>
      <c r="AJ141" s="595">
        <f>I141</f>
        <v>294</v>
      </c>
      <c r="AK141" s="629"/>
      <c r="AL141" s="620"/>
      <c r="AM141" s="620"/>
      <c r="AN141" s="598">
        <f t="shared" si="90"/>
        <v>294</v>
      </c>
      <c r="AO141" s="621"/>
      <c r="AP141" s="622"/>
      <c r="AQ141" s="622"/>
      <c r="AR141" s="621"/>
      <c r="AS141" s="622"/>
      <c r="AT141" s="622"/>
      <c r="AU141" s="621">
        <f>I141</f>
        <v>294</v>
      </c>
      <c r="AV141" s="621"/>
      <c r="AW141" s="592">
        <f t="shared" si="72"/>
        <v>294</v>
      </c>
      <c r="AX141" s="621"/>
      <c r="AY141" s="621"/>
      <c r="AZ141" s="621"/>
      <c r="BA141" s="621"/>
      <c r="BB141" s="621"/>
      <c r="BC141" s="621"/>
      <c r="BD141" s="621"/>
      <c r="BE141" s="623"/>
      <c r="BF141" s="602" t="s">
        <v>165</v>
      </c>
      <c r="BG141" s="603"/>
      <c r="BH141" s="604">
        <f t="shared" si="91"/>
        <v>49</v>
      </c>
      <c r="BI141" s="605">
        <f t="shared" si="92"/>
        <v>49</v>
      </c>
      <c r="BJ141" s="602">
        <f t="shared" si="93"/>
        <v>49</v>
      </c>
      <c r="BK141" s="602">
        <f t="shared" si="94"/>
        <v>49</v>
      </c>
      <c r="BL141" s="602">
        <f t="shared" si="95"/>
        <v>49</v>
      </c>
      <c r="BM141" s="602">
        <f t="shared" si="96"/>
        <v>49</v>
      </c>
      <c r="BN141" s="624"/>
      <c r="BO141" s="624"/>
      <c r="BP141" s="624"/>
      <c r="BQ141" s="624"/>
      <c r="BR141" s="624"/>
      <c r="BS141" s="624"/>
      <c r="BT141" s="607">
        <f t="shared" si="79"/>
        <v>294</v>
      </c>
      <c r="BU141" s="608">
        <f t="shared" si="80"/>
        <v>0</v>
      </c>
      <c r="BV141" s="517"/>
      <c r="BW141" s="491"/>
    </row>
    <row r="142" s="490" customFormat="1" ht="33" customHeight="1" spans="1:75">
      <c r="A142" s="577">
        <v>45722</v>
      </c>
      <c r="B142" s="581" t="s">
        <v>849</v>
      </c>
      <c r="C142" s="579" t="s">
        <v>334</v>
      </c>
      <c r="D142" s="580">
        <v>4500159262</v>
      </c>
      <c r="E142" s="616" t="s">
        <v>862</v>
      </c>
      <c r="F142" s="580" t="s">
        <v>863</v>
      </c>
      <c r="G142" s="582" t="s">
        <v>81</v>
      </c>
      <c r="H142" s="578" t="s">
        <v>95</v>
      </c>
      <c r="I142" s="583">
        <v>234</v>
      </c>
      <c r="J142" s="583">
        <v>0</v>
      </c>
      <c r="K142" s="583">
        <v>6</v>
      </c>
      <c r="L142" s="584">
        <f t="shared" si="89"/>
        <v>39</v>
      </c>
      <c r="M142" s="585">
        <v>45771</v>
      </c>
      <c r="N142" s="585">
        <v>45768</v>
      </c>
      <c r="O142" s="586"/>
      <c r="P142" s="586" t="s">
        <v>83</v>
      </c>
      <c r="Q142" s="587" t="s">
        <v>788</v>
      </c>
      <c r="R142" s="586" t="s">
        <v>852</v>
      </c>
      <c r="S142" s="586"/>
      <c r="T142" s="586"/>
      <c r="U142" s="586" t="s">
        <v>838</v>
      </c>
      <c r="V142" s="586"/>
      <c r="W142" s="586"/>
      <c r="X142" s="588" t="s">
        <v>853</v>
      </c>
      <c r="Y142" s="618" t="s">
        <v>340</v>
      </c>
      <c r="Z142" s="590">
        <v>5.905</v>
      </c>
      <c r="AA142" s="591">
        <f t="shared" si="85"/>
        <v>1381.77</v>
      </c>
      <c r="AB142" s="619" t="s">
        <v>864</v>
      </c>
      <c r="AC142" s="582" t="s">
        <v>235</v>
      </c>
      <c r="AD142" s="593" t="s">
        <v>89</v>
      </c>
      <c r="AE142" s="620"/>
      <c r="AF142" s="620"/>
      <c r="AG142" s="595"/>
      <c r="AH142" s="620"/>
      <c r="AI142" s="620"/>
      <c r="AJ142" s="595">
        <f>I142</f>
        <v>234</v>
      </c>
      <c r="AK142" s="629"/>
      <c r="AL142" s="620"/>
      <c r="AM142" s="620"/>
      <c r="AN142" s="598">
        <f t="shared" si="90"/>
        <v>234</v>
      </c>
      <c r="AO142" s="621"/>
      <c r="AP142" s="622"/>
      <c r="AQ142" s="622"/>
      <c r="AR142" s="621"/>
      <c r="AS142" s="622"/>
      <c r="AT142" s="622"/>
      <c r="AU142" s="621">
        <f>I142</f>
        <v>234</v>
      </c>
      <c r="AV142" s="621"/>
      <c r="AW142" s="592">
        <f t="shared" si="72"/>
        <v>234</v>
      </c>
      <c r="AX142" s="621"/>
      <c r="AY142" s="621"/>
      <c r="AZ142" s="621"/>
      <c r="BA142" s="621"/>
      <c r="BB142" s="621"/>
      <c r="BC142" s="621"/>
      <c r="BD142" s="621"/>
      <c r="BE142" s="623"/>
      <c r="BF142" s="602" t="s">
        <v>165</v>
      </c>
      <c r="BG142" s="603"/>
      <c r="BH142" s="604">
        <f t="shared" si="91"/>
        <v>39</v>
      </c>
      <c r="BI142" s="605">
        <f t="shared" si="92"/>
        <v>39</v>
      </c>
      <c r="BJ142" s="602">
        <f t="shared" si="93"/>
        <v>39</v>
      </c>
      <c r="BK142" s="602">
        <f t="shared" si="94"/>
        <v>39</v>
      </c>
      <c r="BL142" s="602">
        <f t="shared" si="95"/>
        <v>39</v>
      </c>
      <c r="BM142" s="602">
        <f t="shared" si="96"/>
        <v>39</v>
      </c>
      <c r="BN142" s="624"/>
      <c r="BO142" s="624"/>
      <c r="BP142" s="624"/>
      <c r="BQ142" s="624"/>
      <c r="BR142" s="624"/>
      <c r="BS142" s="624"/>
      <c r="BT142" s="607">
        <f t="shared" si="79"/>
        <v>234</v>
      </c>
      <c r="BU142" s="608">
        <f t="shared" si="80"/>
        <v>0</v>
      </c>
      <c r="BV142" s="517"/>
      <c r="BW142" s="491"/>
    </row>
    <row r="143" s="490" customFormat="1" ht="33" customHeight="1" spans="1:75">
      <c r="A143" s="577">
        <v>45722</v>
      </c>
      <c r="B143" s="581" t="s">
        <v>849</v>
      </c>
      <c r="C143" s="579" t="s">
        <v>334</v>
      </c>
      <c r="D143" s="580">
        <v>4500159256</v>
      </c>
      <c r="E143" s="616" t="s">
        <v>865</v>
      </c>
      <c r="F143" s="580" t="s">
        <v>866</v>
      </c>
      <c r="G143" s="582" t="s">
        <v>81</v>
      </c>
      <c r="H143" s="578" t="s">
        <v>95</v>
      </c>
      <c r="I143" s="583">
        <v>474</v>
      </c>
      <c r="J143" s="583">
        <v>0</v>
      </c>
      <c r="K143" s="583">
        <v>6</v>
      </c>
      <c r="L143" s="584">
        <f t="shared" si="89"/>
        <v>79</v>
      </c>
      <c r="M143" s="585">
        <v>45771</v>
      </c>
      <c r="N143" s="585">
        <v>45768</v>
      </c>
      <c r="O143" s="586"/>
      <c r="P143" s="586" t="s">
        <v>83</v>
      </c>
      <c r="Q143" s="587" t="s">
        <v>781</v>
      </c>
      <c r="R143" s="586" t="s">
        <v>852</v>
      </c>
      <c r="S143" s="586"/>
      <c r="T143" s="586"/>
      <c r="U143" s="586" t="s">
        <v>838</v>
      </c>
      <c r="V143" s="586"/>
      <c r="W143" s="586"/>
      <c r="X143" s="588" t="s">
        <v>853</v>
      </c>
      <c r="Y143" s="618" t="s">
        <v>340</v>
      </c>
      <c r="Z143" s="590">
        <v>5.905</v>
      </c>
      <c r="AA143" s="591">
        <f t="shared" si="85"/>
        <v>2798.97</v>
      </c>
      <c r="AB143" s="619" t="s">
        <v>867</v>
      </c>
      <c r="AC143" s="582" t="s">
        <v>235</v>
      </c>
      <c r="AD143" s="593" t="s">
        <v>89</v>
      </c>
      <c r="AE143" s="620"/>
      <c r="AF143" s="620"/>
      <c r="AG143" s="595"/>
      <c r="AH143" s="620"/>
      <c r="AI143" s="620"/>
      <c r="AJ143" s="595">
        <f>I143</f>
        <v>474</v>
      </c>
      <c r="AK143" s="629"/>
      <c r="AL143" s="620"/>
      <c r="AM143" s="620"/>
      <c r="AN143" s="598">
        <f t="shared" si="90"/>
        <v>474</v>
      </c>
      <c r="AO143" s="621"/>
      <c r="AP143" s="622"/>
      <c r="AQ143" s="622"/>
      <c r="AR143" s="621"/>
      <c r="AS143" s="622"/>
      <c r="AT143" s="622"/>
      <c r="AU143" s="621">
        <f>I143</f>
        <v>474</v>
      </c>
      <c r="AV143" s="621"/>
      <c r="AW143" s="592">
        <f t="shared" si="72"/>
        <v>474</v>
      </c>
      <c r="AX143" s="621"/>
      <c r="AY143" s="621"/>
      <c r="AZ143" s="621"/>
      <c r="BA143" s="621"/>
      <c r="BB143" s="621"/>
      <c r="BC143" s="621"/>
      <c r="BD143" s="621"/>
      <c r="BE143" s="623"/>
      <c r="BF143" s="602" t="s">
        <v>165</v>
      </c>
      <c r="BG143" s="603"/>
      <c r="BH143" s="604">
        <f t="shared" si="91"/>
        <v>79</v>
      </c>
      <c r="BI143" s="605">
        <f t="shared" si="92"/>
        <v>79</v>
      </c>
      <c r="BJ143" s="602">
        <f t="shared" si="93"/>
        <v>79</v>
      </c>
      <c r="BK143" s="602">
        <f t="shared" si="94"/>
        <v>79</v>
      </c>
      <c r="BL143" s="602">
        <f t="shared" si="95"/>
        <v>79</v>
      </c>
      <c r="BM143" s="602">
        <f t="shared" si="96"/>
        <v>79</v>
      </c>
      <c r="BN143" s="624"/>
      <c r="BO143" s="624"/>
      <c r="BP143" s="624"/>
      <c r="BQ143" s="624"/>
      <c r="BR143" s="624"/>
      <c r="BS143" s="624"/>
      <c r="BT143" s="607">
        <f t="shared" si="79"/>
        <v>474</v>
      </c>
      <c r="BU143" s="608">
        <f t="shared" si="80"/>
        <v>0</v>
      </c>
      <c r="BV143" s="517"/>
      <c r="BW143" s="491"/>
    </row>
    <row r="144" s="490" customFormat="1" ht="33" customHeight="1" spans="1:75">
      <c r="A144" s="577">
        <v>45730</v>
      </c>
      <c r="B144" s="581" t="s">
        <v>245</v>
      </c>
      <c r="C144" s="579" t="s">
        <v>246</v>
      </c>
      <c r="D144" s="580">
        <v>4500160289</v>
      </c>
      <c r="E144" s="588">
        <v>20709475</v>
      </c>
      <c r="F144" s="580" t="s">
        <v>868</v>
      </c>
      <c r="G144" s="582" t="s">
        <v>81</v>
      </c>
      <c r="H144" s="578" t="s">
        <v>95</v>
      </c>
      <c r="I144" s="583">
        <v>222</v>
      </c>
      <c r="J144" s="583">
        <v>0</v>
      </c>
      <c r="K144" s="583">
        <v>6</v>
      </c>
      <c r="L144" s="584">
        <f t="shared" ref="L144:L153" si="97">I144/K144</f>
        <v>37</v>
      </c>
      <c r="M144" s="585">
        <v>45771</v>
      </c>
      <c r="N144" s="585">
        <v>45768</v>
      </c>
      <c r="O144" s="586"/>
      <c r="P144" s="586" t="s">
        <v>83</v>
      </c>
      <c r="Q144" s="587" t="s">
        <v>869</v>
      </c>
      <c r="R144" s="586" t="s">
        <v>870</v>
      </c>
      <c r="S144" s="586"/>
      <c r="T144" s="586"/>
      <c r="U144" s="586" t="s">
        <v>871</v>
      </c>
      <c r="V144" s="586"/>
      <c r="W144" s="586"/>
      <c r="X144" s="588" t="s">
        <v>872</v>
      </c>
      <c r="Y144" s="618" t="s">
        <v>252</v>
      </c>
      <c r="Z144" s="590">
        <v>6.2984</v>
      </c>
      <c r="AA144" s="591">
        <f t="shared" si="85"/>
        <v>1398.2448</v>
      </c>
      <c r="AB144" s="619" t="s">
        <v>873</v>
      </c>
      <c r="AC144" s="582" t="s">
        <v>81</v>
      </c>
      <c r="AD144" s="593" t="s">
        <v>89</v>
      </c>
      <c r="AE144" s="620"/>
      <c r="AF144" s="620"/>
      <c r="AG144" s="595">
        <f>I144</f>
        <v>222</v>
      </c>
      <c r="AH144" s="620"/>
      <c r="AI144" s="620"/>
      <c r="AJ144" s="595"/>
      <c r="AK144" s="629"/>
      <c r="AL144" s="620"/>
      <c r="AM144" s="620"/>
      <c r="AN144" s="598">
        <f t="shared" si="90"/>
        <v>222</v>
      </c>
      <c r="AO144" s="621"/>
      <c r="AP144" s="622"/>
      <c r="AQ144" s="622"/>
      <c r="AR144" s="621">
        <f>I144</f>
        <v>222</v>
      </c>
      <c r="AS144" s="622"/>
      <c r="AT144" s="622"/>
      <c r="AU144" s="621"/>
      <c r="AV144" s="621"/>
      <c r="AW144" s="592">
        <f t="shared" si="72"/>
        <v>222</v>
      </c>
      <c r="AX144" s="621"/>
      <c r="AY144" s="621"/>
      <c r="AZ144" s="621"/>
      <c r="BA144" s="621"/>
      <c r="BB144" s="621"/>
      <c r="BC144" s="621"/>
      <c r="BD144" s="621"/>
      <c r="BE144" s="623"/>
      <c r="BF144" s="602" t="s">
        <v>90</v>
      </c>
      <c r="BG144" s="603"/>
      <c r="BH144" s="604">
        <f t="shared" si="91"/>
        <v>37</v>
      </c>
      <c r="BI144" s="605">
        <f t="shared" si="92"/>
        <v>37</v>
      </c>
      <c r="BJ144" s="602">
        <f t="shared" si="93"/>
        <v>37</v>
      </c>
      <c r="BK144" s="602">
        <f t="shared" si="94"/>
        <v>37</v>
      </c>
      <c r="BL144" s="602">
        <f t="shared" si="95"/>
        <v>37</v>
      </c>
      <c r="BM144" s="602">
        <f t="shared" si="96"/>
        <v>37</v>
      </c>
      <c r="BN144" s="624"/>
      <c r="BO144" s="624"/>
      <c r="BP144" s="624"/>
      <c r="BQ144" s="624"/>
      <c r="BR144" s="624"/>
      <c r="BS144" s="624"/>
      <c r="BT144" s="607">
        <f t="shared" si="79"/>
        <v>222</v>
      </c>
      <c r="BU144" s="608">
        <f t="shared" si="80"/>
        <v>0</v>
      </c>
      <c r="BV144" s="517"/>
      <c r="BW144" s="491"/>
    </row>
    <row r="145" s="490" customFormat="1" ht="33" customHeight="1" spans="1:75">
      <c r="A145" s="577">
        <v>45730</v>
      </c>
      <c r="B145" s="581" t="s">
        <v>254</v>
      </c>
      <c r="C145" s="579" t="s">
        <v>255</v>
      </c>
      <c r="D145" s="580">
        <v>4500160284</v>
      </c>
      <c r="E145" s="588">
        <v>20709474</v>
      </c>
      <c r="F145" s="580" t="s">
        <v>874</v>
      </c>
      <c r="G145" s="582" t="s">
        <v>81</v>
      </c>
      <c r="H145" s="578" t="s">
        <v>95</v>
      </c>
      <c r="I145" s="583">
        <v>1278</v>
      </c>
      <c r="J145" s="583">
        <v>0</v>
      </c>
      <c r="K145" s="583">
        <v>6</v>
      </c>
      <c r="L145" s="584">
        <f t="shared" si="97"/>
        <v>213</v>
      </c>
      <c r="M145" s="585">
        <v>45771</v>
      </c>
      <c r="N145" s="585">
        <v>45768</v>
      </c>
      <c r="O145" s="586"/>
      <c r="P145" s="586" t="s">
        <v>83</v>
      </c>
      <c r="Q145" s="587" t="s">
        <v>869</v>
      </c>
      <c r="R145" s="586" t="s">
        <v>870</v>
      </c>
      <c r="S145" s="586"/>
      <c r="T145" s="586"/>
      <c r="U145" s="586" t="s">
        <v>871</v>
      </c>
      <c r="V145" s="586"/>
      <c r="W145" s="586"/>
      <c r="X145" s="588" t="s">
        <v>875</v>
      </c>
      <c r="Y145" s="618" t="s">
        <v>252</v>
      </c>
      <c r="Z145" s="590">
        <v>6.2908</v>
      </c>
      <c r="AA145" s="591">
        <f t="shared" si="85"/>
        <v>8039.6424</v>
      </c>
      <c r="AB145" s="619" t="s">
        <v>876</v>
      </c>
      <c r="AC145" s="582" t="s">
        <v>81</v>
      </c>
      <c r="AD145" s="593" t="s">
        <v>89</v>
      </c>
      <c r="AE145" s="620"/>
      <c r="AF145" s="620"/>
      <c r="AG145" s="595">
        <f>I145</f>
        <v>1278</v>
      </c>
      <c r="AH145" s="620"/>
      <c r="AI145" s="620"/>
      <c r="AJ145" s="595"/>
      <c r="AK145" s="629"/>
      <c r="AL145" s="620"/>
      <c r="AM145" s="620"/>
      <c r="AN145" s="598">
        <f t="shared" si="90"/>
        <v>1278</v>
      </c>
      <c r="AO145" s="621"/>
      <c r="AP145" s="622"/>
      <c r="AQ145" s="622"/>
      <c r="AR145" s="621">
        <f>I145</f>
        <v>1278</v>
      </c>
      <c r="AS145" s="622"/>
      <c r="AT145" s="622"/>
      <c r="AU145" s="621"/>
      <c r="AV145" s="621"/>
      <c r="AW145" s="592">
        <f t="shared" si="72"/>
        <v>1278</v>
      </c>
      <c r="AX145" s="621"/>
      <c r="AY145" s="621"/>
      <c r="AZ145" s="621"/>
      <c r="BA145" s="621"/>
      <c r="BB145" s="621"/>
      <c r="BC145" s="621"/>
      <c r="BD145" s="621"/>
      <c r="BE145" s="623"/>
      <c r="BF145" s="602" t="s">
        <v>90</v>
      </c>
      <c r="BG145" s="603"/>
      <c r="BH145" s="604">
        <f t="shared" si="91"/>
        <v>213</v>
      </c>
      <c r="BI145" s="605">
        <f t="shared" si="92"/>
        <v>213</v>
      </c>
      <c r="BJ145" s="602">
        <f t="shared" si="93"/>
        <v>213</v>
      </c>
      <c r="BK145" s="602">
        <f t="shared" si="94"/>
        <v>213</v>
      </c>
      <c r="BL145" s="602">
        <f t="shared" si="95"/>
        <v>213</v>
      </c>
      <c r="BM145" s="602">
        <f t="shared" si="96"/>
        <v>213</v>
      </c>
      <c r="BN145" s="624"/>
      <c r="BO145" s="624"/>
      <c r="BP145" s="624"/>
      <c r="BQ145" s="624"/>
      <c r="BR145" s="624"/>
      <c r="BS145" s="624"/>
      <c r="BT145" s="607">
        <f t="shared" si="79"/>
        <v>1278</v>
      </c>
      <c r="BU145" s="608">
        <f t="shared" si="80"/>
        <v>0</v>
      </c>
      <c r="BV145" s="517"/>
      <c r="BW145" s="491"/>
    </row>
    <row r="146" s="490" customFormat="1" ht="33" customHeight="1" spans="1:75">
      <c r="A146" s="577">
        <v>45729</v>
      </c>
      <c r="B146" s="581" t="s">
        <v>877</v>
      </c>
      <c r="C146" s="579" t="s">
        <v>878</v>
      </c>
      <c r="D146" s="580">
        <v>4500159866</v>
      </c>
      <c r="E146" s="616"/>
      <c r="F146" s="580" t="s">
        <v>879</v>
      </c>
      <c r="G146" s="582" t="s">
        <v>81</v>
      </c>
      <c r="H146" s="578" t="s">
        <v>95</v>
      </c>
      <c r="I146" s="583">
        <v>120</v>
      </c>
      <c r="J146" s="583">
        <v>0</v>
      </c>
      <c r="K146" s="583">
        <v>6</v>
      </c>
      <c r="L146" s="584">
        <f t="shared" si="97"/>
        <v>20</v>
      </c>
      <c r="M146" s="585">
        <v>45769</v>
      </c>
      <c r="N146" s="585">
        <v>45765</v>
      </c>
      <c r="O146" s="586"/>
      <c r="P146" s="586" t="s">
        <v>83</v>
      </c>
      <c r="Q146" s="587" t="s">
        <v>880</v>
      </c>
      <c r="R146" s="586" t="s">
        <v>881</v>
      </c>
      <c r="S146" s="586"/>
      <c r="T146" s="586"/>
      <c r="U146" s="586" t="s">
        <v>882</v>
      </c>
      <c r="V146" s="586"/>
      <c r="W146" s="586"/>
      <c r="X146" s="588" t="s">
        <v>883</v>
      </c>
      <c r="Y146" s="618" t="s">
        <v>675</v>
      </c>
      <c r="Z146" s="590">
        <v>5.905</v>
      </c>
      <c r="AA146" s="591">
        <f t="shared" si="85"/>
        <v>708.6</v>
      </c>
      <c r="AB146" s="619" t="s">
        <v>884</v>
      </c>
      <c r="AC146" s="582" t="s">
        <v>81</v>
      </c>
      <c r="AD146" s="593" t="s">
        <v>89</v>
      </c>
      <c r="AE146" s="628"/>
      <c r="AF146" s="628"/>
      <c r="AG146" s="595">
        <f>I146</f>
        <v>120</v>
      </c>
      <c r="AH146" s="628"/>
      <c r="AI146" s="628"/>
      <c r="AJ146" s="595"/>
      <c r="AK146" s="629"/>
      <c r="AL146" s="628"/>
      <c r="AM146" s="628"/>
      <c r="AN146" s="598">
        <f t="shared" si="90"/>
        <v>120</v>
      </c>
      <c r="AO146" s="621"/>
      <c r="AP146" s="630"/>
      <c r="AQ146" s="630"/>
      <c r="AR146" s="621">
        <f>I146</f>
        <v>120</v>
      </c>
      <c r="AS146" s="630"/>
      <c r="AT146" s="630"/>
      <c r="AU146" s="621"/>
      <c r="AV146" s="621"/>
      <c r="AW146" s="592">
        <f t="shared" si="72"/>
        <v>120</v>
      </c>
      <c r="AX146" s="621"/>
      <c r="AY146" s="621"/>
      <c r="AZ146" s="621"/>
      <c r="BA146" s="621"/>
      <c r="BB146" s="621"/>
      <c r="BC146" s="621"/>
      <c r="BD146" s="621"/>
      <c r="BE146" s="623"/>
      <c r="BF146" s="602" t="s">
        <v>165</v>
      </c>
      <c r="BG146" s="603"/>
      <c r="BH146" s="604">
        <f t="shared" si="91"/>
        <v>20</v>
      </c>
      <c r="BI146" s="605">
        <f t="shared" si="92"/>
        <v>20</v>
      </c>
      <c r="BJ146" s="602">
        <f t="shared" si="93"/>
        <v>20</v>
      </c>
      <c r="BK146" s="602">
        <f t="shared" si="94"/>
        <v>20</v>
      </c>
      <c r="BL146" s="602">
        <f t="shared" si="95"/>
        <v>20</v>
      </c>
      <c r="BM146" s="602">
        <f t="shared" si="96"/>
        <v>20</v>
      </c>
      <c r="BN146" s="631"/>
      <c r="BO146" s="631"/>
      <c r="BP146" s="631"/>
      <c r="BQ146" s="631"/>
      <c r="BR146" s="631"/>
      <c r="BS146" s="631"/>
      <c r="BT146" s="607">
        <f t="shared" si="79"/>
        <v>120</v>
      </c>
      <c r="BU146" s="608">
        <f t="shared" si="80"/>
        <v>0</v>
      </c>
      <c r="BV146" s="609"/>
      <c r="BW146" s="491"/>
    </row>
    <row r="147" s="490" customFormat="1" ht="33" customHeight="1" spans="1:75">
      <c r="A147" s="577">
        <v>45741</v>
      </c>
      <c r="B147" s="581" t="s">
        <v>885</v>
      </c>
      <c r="C147" s="579" t="s">
        <v>92</v>
      </c>
      <c r="D147" s="580">
        <v>4500161384</v>
      </c>
      <c r="E147" s="588">
        <v>906735658</v>
      </c>
      <c r="F147" s="580" t="s">
        <v>886</v>
      </c>
      <c r="G147" s="582" t="s">
        <v>155</v>
      </c>
      <c r="H147" s="578" t="s">
        <v>156</v>
      </c>
      <c r="I147" s="583">
        <v>216</v>
      </c>
      <c r="J147" s="583">
        <v>1</v>
      </c>
      <c r="K147" s="583">
        <v>108</v>
      </c>
      <c r="L147" s="584">
        <f t="shared" si="97"/>
        <v>2</v>
      </c>
      <c r="M147" s="585">
        <v>45772</v>
      </c>
      <c r="N147" s="585">
        <v>45768</v>
      </c>
      <c r="O147" s="586" t="s">
        <v>887</v>
      </c>
      <c r="P147" s="586" t="s">
        <v>83</v>
      </c>
      <c r="Q147" s="587" t="s">
        <v>788</v>
      </c>
      <c r="R147" s="586" t="s">
        <v>888</v>
      </c>
      <c r="S147" s="586"/>
      <c r="T147" s="586"/>
      <c r="U147" s="586" t="s">
        <v>665</v>
      </c>
      <c r="V147" s="586" t="s">
        <v>161</v>
      </c>
      <c r="W147" s="586"/>
      <c r="X147" s="588" t="s">
        <v>889</v>
      </c>
      <c r="Y147" s="618" t="s">
        <v>163</v>
      </c>
      <c r="Z147" s="590">
        <v>651.0009</v>
      </c>
      <c r="AA147" s="591">
        <f>Z147*L147</f>
        <v>1302.0018</v>
      </c>
      <c r="AB147" s="619" t="s">
        <v>890</v>
      </c>
      <c r="AC147" s="582" t="s">
        <v>155</v>
      </c>
      <c r="AD147" s="593" t="s">
        <v>89</v>
      </c>
      <c r="AE147" s="620"/>
      <c r="AF147" s="620"/>
      <c r="AG147" s="595">
        <f>I147</f>
        <v>216</v>
      </c>
      <c r="AH147" s="620"/>
      <c r="AI147" s="620"/>
      <c r="AJ147" s="595"/>
      <c r="AK147" s="629"/>
      <c r="AL147" s="620"/>
      <c r="AM147" s="620"/>
      <c r="AN147" s="598">
        <f t="shared" si="90"/>
        <v>216</v>
      </c>
      <c r="AO147" s="621"/>
      <c r="AP147" s="622"/>
      <c r="AQ147" s="622"/>
      <c r="AR147" s="621">
        <f>I147</f>
        <v>216</v>
      </c>
      <c r="AS147" s="622"/>
      <c r="AT147" s="622"/>
      <c r="AU147" s="621"/>
      <c r="AV147" s="621"/>
      <c r="AW147" s="592">
        <f t="shared" si="72"/>
        <v>216</v>
      </c>
      <c r="AX147" s="621"/>
      <c r="AY147" s="621"/>
      <c r="AZ147" s="621"/>
      <c r="BA147" s="621"/>
      <c r="BB147" s="621"/>
      <c r="BC147" s="621"/>
      <c r="BD147" s="621"/>
      <c r="BE147" s="623"/>
      <c r="BF147" s="602" t="s">
        <v>165</v>
      </c>
      <c r="BG147" s="603"/>
      <c r="BH147" s="604">
        <f t="shared" si="91"/>
        <v>36</v>
      </c>
      <c r="BI147" s="605">
        <f t="shared" si="92"/>
        <v>36</v>
      </c>
      <c r="BJ147" s="602">
        <f t="shared" si="93"/>
        <v>36</v>
      </c>
      <c r="BK147" s="602">
        <f t="shared" si="94"/>
        <v>36</v>
      </c>
      <c r="BL147" s="602">
        <f t="shared" si="95"/>
        <v>36</v>
      </c>
      <c r="BM147" s="602">
        <f t="shared" si="96"/>
        <v>36</v>
      </c>
      <c r="BN147" s="624"/>
      <c r="BO147" s="624"/>
      <c r="BP147" s="624"/>
      <c r="BQ147" s="624"/>
      <c r="BR147" s="624"/>
      <c r="BS147" s="624"/>
      <c r="BT147" s="607">
        <f t="shared" si="79"/>
        <v>216</v>
      </c>
      <c r="BU147" s="608">
        <f t="shared" si="80"/>
        <v>0</v>
      </c>
      <c r="BV147" s="517"/>
      <c r="BW147" s="491"/>
    </row>
    <row r="148" s="490" customFormat="1" ht="33" customHeight="1" spans="1:75">
      <c r="A148" s="577">
        <v>45730</v>
      </c>
      <c r="B148" s="581" t="s">
        <v>891</v>
      </c>
      <c r="C148" s="579" t="s">
        <v>892</v>
      </c>
      <c r="D148" s="580">
        <v>4500160092</v>
      </c>
      <c r="E148" s="616" t="s">
        <v>893</v>
      </c>
      <c r="F148" s="580" t="s">
        <v>894</v>
      </c>
      <c r="G148" s="582" t="s">
        <v>81</v>
      </c>
      <c r="H148" s="578" t="s">
        <v>95</v>
      </c>
      <c r="I148" s="583">
        <v>960</v>
      </c>
      <c r="J148" s="583">
        <v>0</v>
      </c>
      <c r="K148" s="583">
        <v>6</v>
      </c>
      <c r="L148" s="584">
        <f t="shared" si="97"/>
        <v>160</v>
      </c>
      <c r="M148" s="585">
        <v>45775</v>
      </c>
      <c r="N148" s="585">
        <v>45771</v>
      </c>
      <c r="O148" s="586"/>
      <c r="P148" s="586" t="s">
        <v>83</v>
      </c>
      <c r="Q148" s="587" t="s">
        <v>895</v>
      </c>
      <c r="R148" s="586" t="s">
        <v>896</v>
      </c>
      <c r="S148" s="586"/>
      <c r="T148" s="586"/>
      <c r="U148" s="586" t="s">
        <v>897</v>
      </c>
      <c r="V148" s="586"/>
      <c r="W148" s="586" t="s">
        <v>898</v>
      </c>
      <c r="X148" s="588" t="s">
        <v>899</v>
      </c>
      <c r="Y148" s="618" t="s">
        <v>243</v>
      </c>
      <c r="Z148" s="590">
        <v>5.905</v>
      </c>
      <c r="AA148" s="591">
        <f>Z148*I148</f>
        <v>5668.8</v>
      </c>
      <c r="AB148" s="619"/>
      <c r="AC148" s="582" t="s">
        <v>235</v>
      </c>
      <c r="AD148" s="593" t="s">
        <v>89</v>
      </c>
      <c r="AE148" s="628"/>
      <c r="AF148" s="628"/>
      <c r="AG148" s="595"/>
      <c r="AH148" s="628"/>
      <c r="AI148" s="628"/>
      <c r="AJ148" s="595">
        <f>I148</f>
        <v>960</v>
      </c>
      <c r="AK148" s="629"/>
      <c r="AL148" s="628"/>
      <c r="AM148" s="628"/>
      <c r="AN148" s="598">
        <f t="shared" si="90"/>
        <v>960</v>
      </c>
      <c r="AO148" s="621"/>
      <c r="AP148" s="630"/>
      <c r="AQ148" s="630"/>
      <c r="AR148" s="621"/>
      <c r="AS148" s="630"/>
      <c r="AT148" s="630"/>
      <c r="AU148" s="621">
        <f>I148</f>
        <v>960</v>
      </c>
      <c r="AV148" s="621"/>
      <c r="AW148" s="592">
        <f t="shared" si="72"/>
        <v>960</v>
      </c>
      <c r="AX148" s="621"/>
      <c r="AY148" s="621"/>
      <c r="AZ148" s="621"/>
      <c r="BA148" s="621"/>
      <c r="BB148" s="621"/>
      <c r="BC148" s="621"/>
      <c r="BD148" s="621"/>
      <c r="BE148" s="623"/>
      <c r="BF148" s="602" t="s">
        <v>165</v>
      </c>
      <c r="BG148" s="603"/>
      <c r="BH148" s="604">
        <f t="shared" si="91"/>
        <v>160</v>
      </c>
      <c r="BI148" s="605">
        <f t="shared" si="92"/>
        <v>160</v>
      </c>
      <c r="BJ148" s="602">
        <f t="shared" si="93"/>
        <v>160</v>
      </c>
      <c r="BK148" s="602">
        <f t="shared" si="94"/>
        <v>160</v>
      </c>
      <c r="BL148" s="602">
        <f t="shared" si="95"/>
        <v>160</v>
      </c>
      <c r="BM148" s="602">
        <f t="shared" si="96"/>
        <v>160</v>
      </c>
      <c r="BN148" s="631"/>
      <c r="BO148" s="631"/>
      <c r="BP148" s="631"/>
      <c r="BQ148" s="631"/>
      <c r="BR148" s="631"/>
      <c r="BS148" s="631"/>
      <c r="BT148" s="607">
        <f t="shared" si="79"/>
        <v>960</v>
      </c>
      <c r="BU148" s="608">
        <f t="shared" si="80"/>
        <v>0</v>
      </c>
      <c r="BV148" s="609"/>
      <c r="BW148" s="491"/>
    </row>
    <row r="149" s="490" customFormat="1" ht="33" customHeight="1" spans="1:75">
      <c r="A149" s="577">
        <v>45741</v>
      </c>
      <c r="B149" s="581" t="s">
        <v>900</v>
      </c>
      <c r="C149" s="579" t="s">
        <v>119</v>
      </c>
      <c r="D149" s="580">
        <v>4500160738</v>
      </c>
      <c r="E149" s="616" t="s">
        <v>901</v>
      </c>
      <c r="F149" s="580" t="s">
        <v>902</v>
      </c>
      <c r="G149" s="582" t="s">
        <v>81</v>
      </c>
      <c r="H149" s="578" t="s">
        <v>95</v>
      </c>
      <c r="I149" s="583">
        <v>600</v>
      </c>
      <c r="J149" s="583">
        <v>0</v>
      </c>
      <c r="K149" s="583">
        <v>6</v>
      </c>
      <c r="L149" s="584">
        <f t="shared" si="97"/>
        <v>100</v>
      </c>
      <c r="M149" s="585">
        <v>45777</v>
      </c>
      <c r="N149" s="585">
        <v>45773</v>
      </c>
      <c r="O149" s="586"/>
      <c r="P149" s="586" t="s">
        <v>83</v>
      </c>
      <c r="Q149" s="587" t="s">
        <v>903</v>
      </c>
      <c r="R149" s="586" t="s">
        <v>904</v>
      </c>
      <c r="S149" s="586"/>
      <c r="T149" s="586"/>
      <c r="U149" s="586" t="s">
        <v>905</v>
      </c>
      <c r="V149" s="586"/>
      <c r="W149" s="586"/>
      <c r="X149" s="588" t="s">
        <v>906</v>
      </c>
      <c r="Y149" s="618" t="s">
        <v>907</v>
      </c>
      <c r="Z149" s="590">
        <v>5.905</v>
      </c>
      <c r="AA149" s="591">
        <f>Z149*I149</f>
        <v>3543</v>
      </c>
      <c r="AB149" s="619" t="s">
        <v>908</v>
      </c>
      <c r="AC149" s="582" t="s">
        <v>235</v>
      </c>
      <c r="AD149" s="593" t="s">
        <v>89</v>
      </c>
      <c r="AE149" s="628"/>
      <c r="AF149" s="628"/>
      <c r="AG149" s="595"/>
      <c r="AH149" s="628"/>
      <c r="AI149" s="628"/>
      <c r="AJ149" s="595">
        <f>I149</f>
        <v>600</v>
      </c>
      <c r="AK149" s="629"/>
      <c r="AL149" s="628"/>
      <c r="AM149" s="628"/>
      <c r="AN149" s="598">
        <f t="shared" si="90"/>
        <v>600</v>
      </c>
      <c r="AO149" s="621"/>
      <c r="AP149" s="630"/>
      <c r="AQ149" s="630"/>
      <c r="AR149" s="592"/>
      <c r="AS149" s="630"/>
      <c r="AT149" s="630"/>
      <c r="AU149" s="621">
        <f>I149</f>
        <v>600</v>
      </c>
      <c r="AV149" s="621"/>
      <c r="AW149" s="592">
        <f t="shared" si="72"/>
        <v>600</v>
      </c>
      <c r="AX149" s="621"/>
      <c r="AY149" s="621"/>
      <c r="AZ149" s="621"/>
      <c r="BA149" s="621"/>
      <c r="BB149" s="621"/>
      <c r="BC149" s="621"/>
      <c r="BD149" s="621"/>
      <c r="BE149" s="623"/>
      <c r="BF149" s="602" t="s">
        <v>165</v>
      </c>
      <c r="BG149" s="603"/>
      <c r="BH149" s="604">
        <f t="shared" si="91"/>
        <v>100</v>
      </c>
      <c r="BI149" s="605">
        <f t="shared" si="92"/>
        <v>100</v>
      </c>
      <c r="BJ149" s="602">
        <f t="shared" si="93"/>
        <v>100</v>
      </c>
      <c r="BK149" s="602">
        <f t="shared" si="94"/>
        <v>100</v>
      </c>
      <c r="BL149" s="602">
        <f t="shared" si="95"/>
        <v>100</v>
      </c>
      <c r="BM149" s="602">
        <f t="shared" si="96"/>
        <v>100</v>
      </c>
      <c r="BN149" s="631"/>
      <c r="BO149" s="631"/>
      <c r="BP149" s="631"/>
      <c r="BQ149" s="631"/>
      <c r="BR149" s="631"/>
      <c r="BS149" s="631"/>
      <c r="BT149" s="607">
        <f t="shared" si="79"/>
        <v>600</v>
      </c>
      <c r="BU149" s="608">
        <f t="shared" si="80"/>
        <v>0</v>
      </c>
      <c r="BV149" s="609"/>
      <c r="BW149" s="491"/>
    </row>
    <row r="150" s="490" customFormat="1" ht="33" customHeight="1" spans="1:75">
      <c r="A150" s="577">
        <v>45737</v>
      </c>
      <c r="B150" s="581" t="s">
        <v>139</v>
      </c>
      <c r="C150" s="579" t="s">
        <v>140</v>
      </c>
      <c r="D150" s="580">
        <v>4500161002</v>
      </c>
      <c r="E150" s="588">
        <v>5000001824</v>
      </c>
      <c r="F150" s="580" t="s">
        <v>909</v>
      </c>
      <c r="G150" s="582" t="s">
        <v>81</v>
      </c>
      <c r="H150" s="578" t="s">
        <v>95</v>
      </c>
      <c r="I150" s="583">
        <v>2400</v>
      </c>
      <c r="J150" s="583">
        <v>0</v>
      </c>
      <c r="K150" s="583">
        <v>6</v>
      </c>
      <c r="L150" s="584">
        <f t="shared" si="97"/>
        <v>400</v>
      </c>
      <c r="M150" s="585">
        <v>45772</v>
      </c>
      <c r="N150" s="585">
        <v>45768</v>
      </c>
      <c r="O150" s="586"/>
      <c r="P150" s="586" t="s">
        <v>83</v>
      </c>
      <c r="Q150" s="587" t="s">
        <v>910</v>
      </c>
      <c r="R150" s="586" t="s">
        <v>911</v>
      </c>
      <c r="S150" s="586"/>
      <c r="T150" s="586"/>
      <c r="U150" s="586" t="s">
        <v>912</v>
      </c>
      <c r="V150" s="586"/>
      <c r="W150" s="586"/>
      <c r="X150" s="588" t="s">
        <v>913</v>
      </c>
      <c r="Y150" s="618" t="s">
        <v>757</v>
      </c>
      <c r="Z150" s="590">
        <v>5.712</v>
      </c>
      <c r="AA150" s="591">
        <f>Z150*I150</f>
        <v>13708.8</v>
      </c>
      <c r="AB150" s="619" t="s">
        <v>914</v>
      </c>
      <c r="AC150" s="582" t="s">
        <v>149</v>
      </c>
      <c r="AD150" s="593" t="s">
        <v>89</v>
      </c>
      <c r="AE150" s="628"/>
      <c r="AF150" s="628"/>
      <c r="AG150" s="595">
        <f>I150</f>
        <v>2400</v>
      </c>
      <c r="AH150" s="628"/>
      <c r="AI150" s="628"/>
      <c r="AJ150" s="595"/>
      <c r="AK150" s="629"/>
      <c r="AL150" s="628"/>
      <c r="AM150" s="628"/>
      <c r="AN150" s="598"/>
      <c r="AO150" s="621">
        <f>I150</f>
        <v>2400</v>
      </c>
      <c r="AP150" s="630"/>
      <c r="AQ150" s="630"/>
      <c r="AR150" s="621">
        <f>I150</f>
        <v>2400</v>
      </c>
      <c r="AS150" s="630"/>
      <c r="AT150" s="630"/>
      <c r="AU150" s="621"/>
      <c r="AV150" s="621"/>
      <c r="AW150" s="592">
        <f t="shared" si="72"/>
        <v>2400</v>
      </c>
      <c r="AX150" s="621"/>
      <c r="AY150" s="621"/>
      <c r="AZ150" s="621"/>
      <c r="BA150" s="621"/>
      <c r="BB150" s="621"/>
      <c r="BC150" s="621"/>
      <c r="BD150" s="621"/>
      <c r="BE150" s="623"/>
      <c r="BF150" s="602" t="s">
        <v>407</v>
      </c>
      <c r="BG150" s="603"/>
      <c r="BH150" s="604">
        <f t="shared" si="91"/>
        <v>400</v>
      </c>
      <c r="BI150" s="605">
        <f t="shared" si="92"/>
        <v>400</v>
      </c>
      <c r="BJ150" s="602">
        <f t="shared" si="93"/>
        <v>400</v>
      </c>
      <c r="BK150" s="602">
        <f t="shared" si="94"/>
        <v>400</v>
      </c>
      <c r="BL150" s="602">
        <f t="shared" si="95"/>
        <v>400</v>
      </c>
      <c r="BM150" s="602">
        <f t="shared" si="96"/>
        <v>400</v>
      </c>
      <c r="BN150" s="631"/>
      <c r="BO150" s="631"/>
      <c r="BP150" s="631"/>
      <c r="BQ150" s="631"/>
      <c r="BR150" s="631"/>
      <c r="BS150" s="631"/>
      <c r="BT150" s="607">
        <f t="shared" si="79"/>
        <v>2400</v>
      </c>
      <c r="BU150" s="608">
        <f t="shared" si="80"/>
        <v>0</v>
      </c>
      <c r="BV150" s="609"/>
      <c r="BW150" s="491"/>
    </row>
    <row r="151" s="490" customFormat="1" ht="33" customHeight="1" spans="1:75">
      <c r="A151" s="577">
        <v>45741</v>
      </c>
      <c r="B151" s="581" t="s">
        <v>885</v>
      </c>
      <c r="C151" s="579" t="s">
        <v>92</v>
      </c>
      <c r="D151" s="580">
        <v>4500161384</v>
      </c>
      <c r="E151" s="588">
        <v>906735631</v>
      </c>
      <c r="F151" s="580" t="s">
        <v>915</v>
      </c>
      <c r="G151" s="582" t="s">
        <v>155</v>
      </c>
      <c r="H151" s="578" t="s">
        <v>156</v>
      </c>
      <c r="I151" s="583">
        <v>324</v>
      </c>
      <c r="J151" s="583">
        <v>1</v>
      </c>
      <c r="K151" s="583">
        <v>108</v>
      </c>
      <c r="L151" s="584">
        <f t="shared" si="97"/>
        <v>3</v>
      </c>
      <c r="M151" s="585">
        <v>45772</v>
      </c>
      <c r="N151" s="585">
        <v>45768</v>
      </c>
      <c r="O151" s="586" t="s">
        <v>887</v>
      </c>
      <c r="P151" s="586" t="s">
        <v>83</v>
      </c>
      <c r="Q151" s="587" t="s">
        <v>916</v>
      </c>
      <c r="R151" s="586" t="s">
        <v>888</v>
      </c>
      <c r="S151" s="586"/>
      <c r="T151" s="586"/>
      <c r="U151" s="586" t="s">
        <v>665</v>
      </c>
      <c r="V151" s="586" t="s">
        <v>161</v>
      </c>
      <c r="W151" s="586"/>
      <c r="X151" s="588" t="s">
        <v>889</v>
      </c>
      <c r="Y151" s="618" t="s">
        <v>163</v>
      </c>
      <c r="Z151" s="590">
        <v>625.9942</v>
      </c>
      <c r="AA151" s="591">
        <f>Z151*L151</f>
        <v>1877.9826</v>
      </c>
      <c r="AB151" s="619" t="s">
        <v>917</v>
      </c>
      <c r="AC151" s="582" t="s">
        <v>155</v>
      </c>
      <c r="AD151" s="593" t="s">
        <v>89</v>
      </c>
      <c r="AE151" s="620"/>
      <c r="AF151" s="620"/>
      <c r="AG151" s="595">
        <f>I151</f>
        <v>324</v>
      </c>
      <c r="AH151" s="620"/>
      <c r="AI151" s="620"/>
      <c r="AJ151" s="595"/>
      <c r="AK151" s="629"/>
      <c r="AL151" s="620"/>
      <c r="AM151" s="620"/>
      <c r="AN151" s="598">
        <f t="shared" ref="AN151:AN156" si="98">I151</f>
        <v>324</v>
      </c>
      <c r="AO151" s="621"/>
      <c r="AP151" s="622"/>
      <c r="AQ151" s="622"/>
      <c r="AR151" s="621">
        <f>I151</f>
        <v>324</v>
      </c>
      <c r="AS151" s="622"/>
      <c r="AT151" s="622"/>
      <c r="AU151" s="621"/>
      <c r="AV151" s="621"/>
      <c r="AW151" s="592">
        <f t="shared" si="72"/>
        <v>324</v>
      </c>
      <c r="AX151" s="621"/>
      <c r="AY151" s="621"/>
      <c r="AZ151" s="621"/>
      <c r="BA151" s="621"/>
      <c r="BB151" s="621"/>
      <c r="BC151" s="621"/>
      <c r="BD151" s="621"/>
      <c r="BE151" s="623"/>
      <c r="BF151" s="602" t="s">
        <v>165</v>
      </c>
      <c r="BG151" s="603"/>
      <c r="BH151" s="604">
        <f t="shared" si="91"/>
        <v>54</v>
      </c>
      <c r="BI151" s="605">
        <f t="shared" si="92"/>
        <v>54</v>
      </c>
      <c r="BJ151" s="602">
        <f t="shared" si="93"/>
        <v>54</v>
      </c>
      <c r="BK151" s="602">
        <f t="shared" si="94"/>
        <v>54</v>
      </c>
      <c r="BL151" s="602">
        <f t="shared" si="95"/>
        <v>54</v>
      </c>
      <c r="BM151" s="602">
        <f t="shared" si="96"/>
        <v>54</v>
      </c>
      <c r="BN151" s="624"/>
      <c r="BO151" s="624"/>
      <c r="BP151" s="624"/>
      <c r="BQ151" s="624"/>
      <c r="BR151" s="624"/>
      <c r="BS151" s="624"/>
      <c r="BT151" s="607">
        <f t="shared" si="79"/>
        <v>324</v>
      </c>
      <c r="BU151" s="608">
        <f t="shared" si="80"/>
        <v>0</v>
      </c>
      <c r="BV151" s="517"/>
      <c r="BW151" s="491"/>
    </row>
    <row r="152" s="490" customFormat="1" ht="33" customHeight="1" spans="1:75">
      <c r="A152" s="577">
        <v>45741</v>
      </c>
      <c r="B152" s="581" t="s">
        <v>885</v>
      </c>
      <c r="C152" s="579" t="s">
        <v>92</v>
      </c>
      <c r="D152" s="580">
        <v>4500161384</v>
      </c>
      <c r="E152" s="588">
        <v>906735644</v>
      </c>
      <c r="F152" s="580" t="s">
        <v>918</v>
      </c>
      <c r="G152" s="582" t="s">
        <v>155</v>
      </c>
      <c r="H152" s="578" t="s">
        <v>156</v>
      </c>
      <c r="I152" s="583">
        <v>432</v>
      </c>
      <c r="J152" s="583">
        <v>1</v>
      </c>
      <c r="K152" s="583">
        <v>108</v>
      </c>
      <c r="L152" s="584">
        <f t="shared" si="97"/>
        <v>4</v>
      </c>
      <c r="M152" s="585">
        <v>45772</v>
      </c>
      <c r="N152" s="585">
        <v>45768</v>
      </c>
      <c r="O152" s="586" t="s">
        <v>887</v>
      </c>
      <c r="P152" s="586" t="s">
        <v>83</v>
      </c>
      <c r="Q152" s="587" t="s">
        <v>919</v>
      </c>
      <c r="R152" s="586" t="s">
        <v>888</v>
      </c>
      <c r="S152" s="586"/>
      <c r="T152" s="586"/>
      <c r="U152" s="586" t="s">
        <v>665</v>
      </c>
      <c r="V152" s="586" t="s">
        <v>161</v>
      </c>
      <c r="W152" s="586"/>
      <c r="X152" s="588" t="s">
        <v>889</v>
      </c>
      <c r="Y152" s="618" t="s">
        <v>163</v>
      </c>
      <c r="Z152" s="590">
        <v>625.9942</v>
      </c>
      <c r="AA152" s="591">
        <f>Z152*L152</f>
        <v>2503.9768</v>
      </c>
      <c r="AB152" s="619" t="s">
        <v>920</v>
      </c>
      <c r="AC152" s="582" t="s">
        <v>155</v>
      </c>
      <c r="AD152" s="593" t="s">
        <v>89</v>
      </c>
      <c r="AE152" s="620"/>
      <c r="AF152" s="620"/>
      <c r="AG152" s="595">
        <f>I152</f>
        <v>432</v>
      </c>
      <c r="AH152" s="620"/>
      <c r="AI152" s="620"/>
      <c r="AJ152" s="595"/>
      <c r="AK152" s="629"/>
      <c r="AL152" s="620"/>
      <c r="AM152" s="620"/>
      <c r="AN152" s="598">
        <f t="shared" si="98"/>
        <v>432</v>
      </c>
      <c r="AO152" s="621"/>
      <c r="AP152" s="622"/>
      <c r="AQ152" s="622"/>
      <c r="AR152" s="621">
        <f>I152</f>
        <v>432</v>
      </c>
      <c r="AS152" s="622"/>
      <c r="AT152" s="622"/>
      <c r="AU152" s="621"/>
      <c r="AV152" s="621"/>
      <c r="AW152" s="592">
        <f t="shared" si="72"/>
        <v>432</v>
      </c>
      <c r="AX152" s="621"/>
      <c r="AY152" s="621"/>
      <c r="AZ152" s="621"/>
      <c r="BA152" s="621"/>
      <c r="BB152" s="621"/>
      <c r="BC152" s="621"/>
      <c r="BD152" s="621"/>
      <c r="BE152" s="623"/>
      <c r="BF152" s="602" t="s">
        <v>165</v>
      </c>
      <c r="BG152" s="603"/>
      <c r="BH152" s="604">
        <f t="shared" si="91"/>
        <v>72</v>
      </c>
      <c r="BI152" s="605">
        <f t="shared" si="92"/>
        <v>72</v>
      </c>
      <c r="BJ152" s="602">
        <f t="shared" si="93"/>
        <v>72</v>
      </c>
      <c r="BK152" s="602">
        <f t="shared" si="94"/>
        <v>72</v>
      </c>
      <c r="BL152" s="602">
        <f t="shared" si="95"/>
        <v>72</v>
      </c>
      <c r="BM152" s="602">
        <f t="shared" si="96"/>
        <v>72</v>
      </c>
      <c r="BN152" s="624"/>
      <c r="BO152" s="624"/>
      <c r="BP152" s="624"/>
      <c r="BQ152" s="624"/>
      <c r="BR152" s="624"/>
      <c r="BS152" s="624"/>
      <c r="BT152" s="607">
        <f t="shared" si="79"/>
        <v>432</v>
      </c>
      <c r="BU152" s="608">
        <f t="shared" si="80"/>
        <v>0</v>
      </c>
      <c r="BV152" s="517"/>
      <c r="BW152" s="491"/>
    </row>
    <row r="153" s="490" customFormat="1" ht="33" customHeight="1" spans="1:75">
      <c r="A153" s="577">
        <v>45741</v>
      </c>
      <c r="B153" s="581" t="s">
        <v>885</v>
      </c>
      <c r="C153" s="579" t="s">
        <v>92</v>
      </c>
      <c r="D153" s="580">
        <v>4500161384</v>
      </c>
      <c r="E153" s="588">
        <v>906735646</v>
      </c>
      <c r="F153" s="580" t="s">
        <v>921</v>
      </c>
      <c r="G153" s="582" t="s">
        <v>155</v>
      </c>
      <c r="H153" s="578" t="s">
        <v>156</v>
      </c>
      <c r="I153" s="583">
        <v>1080</v>
      </c>
      <c r="J153" s="583">
        <v>1</v>
      </c>
      <c r="K153" s="583">
        <v>108</v>
      </c>
      <c r="L153" s="584">
        <f t="shared" si="97"/>
        <v>10</v>
      </c>
      <c r="M153" s="585">
        <v>45772</v>
      </c>
      <c r="N153" s="585">
        <v>45768</v>
      </c>
      <c r="O153" s="586" t="s">
        <v>887</v>
      </c>
      <c r="P153" s="586" t="s">
        <v>83</v>
      </c>
      <c r="Q153" s="587" t="s">
        <v>919</v>
      </c>
      <c r="R153" s="586" t="s">
        <v>888</v>
      </c>
      <c r="S153" s="586"/>
      <c r="T153" s="586"/>
      <c r="U153" s="586" t="s">
        <v>665</v>
      </c>
      <c r="V153" s="586" t="s">
        <v>161</v>
      </c>
      <c r="W153" s="586"/>
      <c r="X153" s="588" t="s">
        <v>889</v>
      </c>
      <c r="Y153" s="618" t="s">
        <v>163</v>
      </c>
      <c r="Z153" s="590">
        <v>651.0009</v>
      </c>
      <c r="AA153" s="591">
        <f>Z153*L153</f>
        <v>6510.009</v>
      </c>
      <c r="AB153" s="619" t="s">
        <v>922</v>
      </c>
      <c r="AC153" s="582" t="s">
        <v>155</v>
      </c>
      <c r="AD153" s="593" t="s">
        <v>89</v>
      </c>
      <c r="AE153" s="620"/>
      <c r="AF153" s="620"/>
      <c r="AG153" s="595">
        <f>I153</f>
        <v>1080</v>
      </c>
      <c r="AH153" s="620"/>
      <c r="AI153" s="620"/>
      <c r="AJ153" s="595"/>
      <c r="AK153" s="629"/>
      <c r="AL153" s="620"/>
      <c r="AM153" s="620"/>
      <c r="AN153" s="598">
        <f t="shared" si="98"/>
        <v>1080</v>
      </c>
      <c r="AO153" s="621"/>
      <c r="AP153" s="622"/>
      <c r="AQ153" s="622"/>
      <c r="AR153" s="621">
        <f>I153</f>
        <v>1080</v>
      </c>
      <c r="AS153" s="622"/>
      <c r="AT153" s="622"/>
      <c r="AU153" s="621"/>
      <c r="AV153" s="621"/>
      <c r="AW153" s="592">
        <f t="shared" si="72"/>
        <v>1080</v>
      </c>
      <c r="AX153" s="621"/>
      <c r="AY153" s="621"/>
      <c r="AZ153" s="621"/>
      <c r="BA153" s="621"/>
      <c r="BB153" s="621"/>
      <c r="BC153" s="621"/>
      <c r="BD153" s="621"/>
      <c r="BE153" s="623"/>
      <c r="BF153" s="602" t="s">
        <v>165</v>
      </c>
      <c r="BG153" s="603"/>
      <c r="BH153" s="604">
        <f t="shared" si="91"/>
        <v>180</v>
      </c>
      <c r="BI153" s="605">
        <f t="shared" si="92"/>
        <v>180</v>
      </c>
      <c r="BJ153" s="602">
        <f t="shared" si="93"/>
        <v>180</v>
      </c>
      <c r="BK153" s="602">
        <f t="shared" si="94"/>
        <v>180</v>
      </c>
      <c r="BL153" s="602">
        <f t="shared" si="95"/>
        <v>180</v>
      </c>
      <c r="BM153" s="602">
        <f t="shared" si="96"/>
        <v>180</v>
      </c>
      <c r="BN153" s="624"/>
      <c r="BO153" s="624"/>
      <c r="BP153" s="624"/>
      <c r="BQ153" s="624"/>
      <c r="BR153" s="624"/>
      <c r="BS153" s="624"/>
      <c r="BT153" s="607">
        <f t="shared" si="79"/>
        <v>1080</v>
      </c>
      <c r="BU153" s="608">
        <f t="shared" si="80"/>
        <v>0</v>
      </c>
      <c r="BV153" s="517"/>
      <c r="BW153" s="491"/>
    </row>
    <row r="154" s="490" customFormat="1" ht="33" customHeight="1" spans="1:75">
      <c r="A154" s="577">
        <v>45741</v>
      </c>
      <c r="B154" s="581" t="s">
        <v>885</v>
      </c>
      <c r="C154" s="579" t="s">
        <v>92</v>
      </c>
      <c r="D154" s="580">
        <v>4500161384</v>
      </c>
      <c r="E154" s="588">
        <v>906735652</v>
      </c>
      <c r="F154" s="580" t="s">
        <v>923</v>
      </c>
      <c r="G154" s="582" t="s">
        <v>155</v>
      </c>
      <c r="H154" s="578" t="s">
        <v>156</v>
      </c>
      <c r="I154" s="583">
        <v>1728</v>
      </c>
      <c r="J154" s="583">
        <v>1</v>
      </c>
      <c r="K154" s="583">
        <v>108</v>
      </c>
      <c r="L154" s="584">
        <f t="shared" ref="L154:L195" si="99">I154/K154</f>
        <v>16</v>
      </c>
      <c r="M154" s="585">
        <v>45772</v>
      </c>
      <c r="N154" s="585">
        <v>45768</v>
      </c>
      <c r="O154" s="586" t="s">
        <v>887</v>
      </c>
      <c r="P154" s="586" t="s">
        <v>83</v>
      </c>
      <c r="Q154" s="587" t="s">
        <v>919</v>
      </c>
      <c r="R154" s="586" t="s">
        <v>888</v>
      </c>
      <c r="S154" s="586"/>
      <c r="T154" s="586"/>
      <c r="U154" s="586" t="s">
        <v>665</v>
      </c>
      <c r="V154" s="586" t="s">
        <v>161</v>
      </c>
      <c r="W154" s="586"/>
      <c r="X154" s="588" t="s">
        <v>889</v>
      </c>
      <c r="Y154" s="618" t="s">
        <v>163</v>
      </c>
      <c r="Z154" s="590">
        <v>651.0009</v>
      </c>
      <c r="AA154" s="591">
        <f>Z154*L154</f>
        <v>10416.0144</v>
      </c>
      <c r="AB154" s="619" t="s">
        <v>924</v>
      </c>
      <c r="AC154" s="582" t="s">
        <v>155</v>
      </c>
      <c r="AD154" s="593" t="s">
        <v>89</v>
      </c>
      <c r="AE154" s="620"/>
      <c r="AF154" s="620"/>
      <c r="AG154" s="595">
        <f>I154</f>
        <v>1728</v>
      </c>
      <c r="AH154" s="620"/>
      <c r="AI154" s="620"/>
      <c r="AJ154" s="595"/>
      <c r="AK154" s="629"/>
      <c r="AL154" s="620"/>
      <c r="AM154" s="620"/>
      <c r="AN154" s="598">
        <f t="shared" si="98"/>
        <v>1728</v>
      </c>
      <c r="AO154" s="621"/>
      <c r="AP154" s="622"/>
      <c r="AQ154" s="622"/>
      <c r="AR154" s="621">
        <f>I154</f>
        <v>1728</v>
      </c>
      <c r="AS154" s="622"/>
      <c r="AT154" s="622"/>
      <c r="AU154" s="621"/>
      <c r="AV154" s="621"/>
      <c r="AW154" s="592">
        <f t="shared" si="72"/>
        <v>1728</v>
      </c>
      <c r="AX154" s="621"/>
      <c r="AY154" s="621"/>
      <c r="AZ154" s="621"/>
      <c r="BA154" s="621"/>
      <c r="BB154" s="621"/>
      <c r="BC154" s="621"/>
      <c r="BD154" s="621"/>
      <c r="BE154" s="623"/>
      <c r="BF154" s="602" t="s">
        <v>165</v>
      </c>
      <c r="BG154" s="603"/>
      <c r="BH154" s="604">
        <f t="shared" si="91"/>
        <v>288</v>
      </c>
      <c r="BI154" s="605">
        <f t="shared" si="92"/>
        <v>288</v>
      </c>
      <c r="BJ154" s="602">
        <f t="shared" si="93"/>
        <v>288</v>
      </c>
      <c r="BK154" s="602">
        <f t="shared" si="94"/>
        <v>288</v>
      </c>
      <c r="BL154" s="602">
        <f t="shared" si="95"/>
        <v>288</v>
      </c>
      <c r="BM154" s="602">
        <f t="shared" si="96"/>
        <v>288</v>
      </c>
      <c r="BN154" s="624"/>
      <c r="BO154" s="624"/>
      <c r="BP154" s="624"/>
      <c r="BQ154" s="624"/>
      <c r="BR154" s="624"/>
      <c r="BS154" s="624"/>
      <c r="BT154" s="607">
        <f t="shared" si="79"/>
        <v>1728</v>
      </c>
      <c r="BU154" s="608">
        <f t="shared" si="80"/>
        <v>0</v>
      </c>
      <c r="BV154" s="517"/>
      <c r="BW154" s="491"/>
    </row>
    <row r="155" s="490" customFormat="1" ht="33" customHeight="1" spans="1:75">
      <c r="A155" s="577">
        <v>45730</v>
      </c>
      <c r="B155" s="581" t="s">
        <v>925</v>
      </c>
      <c r="C155" s="579" t="s">
        <v>926</v>
      </c>
      <c r="D155" s="580">
        <v>4500160345</v>
      </c>
      <c r="E155" s="616"/>
      <c r="F155" s="580" t="s">
        <v>927</v>
      </c>
      <c r="G155" s="582" t="s">
        <v>81</v>
      </c>
      <c r="H155" s="578" t="s">
        <v>95</v>
      </c>
      <c r="I155" s="583">
        <v>60</v>
      </c>
      <c r="J155" s="583">
        <v>0</v>
      </c>
      <c r="K155" s="583">
        <v>6</v>
      </c>
      <c r="L155" s="584">
        <f t="shared" si="99"/>
        <v>10</v>
      </c>
      <c r="M155" s="585">
        <v>45776</v>
      </c>
      <c r="N155" s="585">
        <v>45772</v>
      </c>
      <c r="O155" s="586"/>
      <c r="P155" s="586" t="s">
        <v>83</v>
      </c>
      <c r="Q155" s="587" t="s">
        <v>781</v>
      </c>
      <c r="R155" s="586" t="s">
        <v>904</v>
      </c>
      <c r="S155" s="586"/>
      <c r="T155" s="586"/>
      <c r="U155" s="586" t="s">
        <v>928</v>
      </c>
      <c r="V155" s="586"/>
      <c r="W155" s="586"/>
      <c r="X155" s="588" t="s">
        <v>929</v>
      </c>
      <c r="Y155" s="618" t="s">
        <v>243</v>
      </c>
      <c r="Z155" s="590">
        <v>5.905</v>
      </c>
      <c r="AA155" s="591">
        <f>Z155*I155</f>
        <v>354.3</v>
      </c>
      <c r="AB155" s="619" t="s">
        <v>930</v>
      </c>
      <c r="AC155" s="582" t="s">
        <v>235</v>
      </c>
      <c r="AD155" s="593" t="s">
        <v>89</v>
      </c>
      <c r="AE155" s="620"/>
      <c r="AF155" s="620"/>
      <c r="AG155" s="595"/>
      <c r="AH155" s="620"/>
      <c r="AI155" s="620"/>
      <c r="AJ155" s="595">
        <f>I155</f>
        <v>60</v>
      </c>
      <c r="AK155" s="629"/>
      <c r="AL155" s="620"/>
      <c r="AM155" s="620"/>
      <c r="AN155" s="598">
        <f t="shared" si="98"/>
        <v>60</v>
      </c>
      <c r="AO155" s="621"/>
      <c r="AP155" s="622"/>
      <c r="AQ155" s="622"/>
      <c r="AR155" s="592"/>
      <c r="AS155" s="622"/>
      <c r="AT155" s="622"/>
      <c r="AU155" s="621">
        <f>I155</f>
        <v>60</v>
      </c>
      <c r="AV155" s="621"/>
      <c r="AW155" s="592">
        <f t="shared" si="72"/>
        <v>60</v>
      </c>
      <c r="AX155" s="621"/>
      <c r="AY155" s="621"/>
      <c r="AZ155" s="621"/>
      <c r="BA155" s="621"/>
      <c r="BB155" s="621"/>
      <c r="BC155" s="621"/>
      <c r="BD155" s="621"/>
      <c r="BE155" s="623"/>
      <c r="BF155" s="602" t="s">
        <v>90</v>
      </c>
      <c r="BG155" s="603"/>
      <c r="BH155" s="604">
        <f t="shared" si="91"/>
        <v>10</v>
      </c>
      <c r="BI155" s="605">
        <f t="shared" si="92"/>
        <v>10</v>
      </c>
      <c r="BJ155" s="602">
        <f t="shared" si="93"/>
        <v>10</v>
      </c>
      <c r="BK155" s="602">
        <f t="shared" si="94"/>
        <v>10</v>
      </c>
      <c r="BL155" s="602">
        <f t="shared" si="95"/>
        <v>10</v>
      </c>
      <c r="BM155" s="602">
        <f t="shared" si="96"/>
        <v>10</v>
      </c>
      <c r="BN155" s="624"/>
      <c r="BO155" s="624"/>
      <c r="BP155" s="624"/>
      <c r="BQ155" s="624"/>
      <c r="BR155" s="624"/>
      <c r="BS155" s="624"/>
      <c r="BT155" s="607">
        <f t="shared" si="79"/>
        <v>60</v>
      </c>
      <c r="BU155" s="608">
        <f t="shared" si="80"/>
        <v>0</v>
      </c>
      <c r="BV155" s="517"/>
      <c r="BW155" s="491"/>
    </row>
    <row r="156" s="490" customFormat="1" ht="33" customHeight="1" spans="1:75">
      <c r="A156" s="577">
        <v>45750</v>
      </c>
      <c r="B156" s="581" t="s">
        <v>931</v>
      </c>
      <c r="C156" s="579" t="s">
        <v>246</v>
      </c>
      <c r="D156" s="580">
        <v>4500162561</v>
      </c>
      <c r="E156" s="588">
        <v>3004</v>
      </c>
      <c r="F156" s="580" t="s">
        <v>932</v>
      </c>
      <c r="G156" s="582" t="s">
        <v>81</v>
      </c>
      <c r="H156" s="578" t="s">
        <v>95</v>
      </c>
      <c r="I156" s="583">
        <v>240</v>
      </c>
      <c r="J156" s="583">
        <v>0</v>
      </c>
      <c r="K156" s="583">
        <v>6</v>
      </c>
      <c r="L156" s="584">
        <f t="shared" si="99"/>
        <v>40</v>
      </c>
      <c r="M156" s="585">
        <v>45786</v>
      </c>
      <c r="N156" s="585">
        <v>45782</v>
      </c>
      <c r="O156" s="586"/>
      <c r="P156" s="586" t="s">
        <v>83</v>
      </c>
      <c r="Q156" s="587" t="s">
        <v>916</v>
      </c>
      <c r="R156" s="586" t="s">
        <v>933</v>
      </c>
      <c r="S156" s="586"/>
      <c r="T156" s="586"/>
      <c r="U156" s="586" t="s">
        <v>86</v>
      </c>
      <c r="V156" s="586"/>
      <c r="W156" s="586"/>
      <c r="X156" s="588" t="s">
        <v>934</v>
      </c>
      <c r="Y156" s="618" t="s">
        <v>585</v>
      </c>
      <c r="Z156" s="590">
        <v>5.905</v>
      </c>
      <c r="AA156" s="591">
        <f>Z156*I156</f>
        <v>1417.2</v>
      </c>
      <c r="AB156" s="619"/>
      <c r="AC156" s="582" t="s">
        <v>81</v>
      </c>
      <c r="AD156" s="593" t="s">
        <v>89</v>
      </c>
      <c r="AE156" s="628"/>
      <c r="AF156" s="628"/>
      <c r="AG156" s="595">
        <f t="shared" ref="AG156:AG164" si="100">I156</f>
        <v>240</v>
      </c>
      <c r="AH156" s="628"/>
      <c r="AI156" s="628"/>
      <c r="AJ156" s="595"/>
      <c r="AK156" s="629"/>
      <c r="AL156" s="628"/>
      <c r="AM156" s="628"/>
      <c r="AN156" s="598">
        <f t="shared" si="98"/>
        <v>240</v>
      </c>
      <c r="AO156" s="621"/>
      <c r="AP156" s="630"/>
      <c r="AQ156" s="630"/>
      <c r="AR156" s="592">
        <f t="shared" ref="AR156:AR164" si="101">I156</f>
        <v>240</v>
      </c>
      <c r="AS156" s="630"/>
      <c r="AT156" s="630"/>
      <c r="AU156" s="621"/>
      <c r="AV156" s="621"/>
      <c r="AW156" s="592">
        <f t="shared" si="72"/>
        <v>240</v>
      </c>
      <c r="AX156" s="621"/>
      <c r="AY156" s="621"/>
      <c r="AZ156" s="621"/>
      <c r="BA156" s="621"/>
      <c r="BB156" s="621"/>
      <c r="BC156" s="621"/>
      <c r="BD156" s="621"/>
      <c r="BE156" s="623"/>
      <c r="BF156" s="602" t="s">
        <v>90</v>
      </c>
      <c r="BG156" s="603"/>
      <c r="BH156" s="604">
        <f t="shared" si="91"/>
        <v>40</v>
      </c>
      <c r="BI156" s="605">
        <f t="shared" si="92"/>
        <v>40</v>
      </c>
      <c r="BJ156" s="602">
        <f t="shared" si="93"/>
        <v>40</v>
      </c>
      <c r="BK156" s="602">
        <f t="shared" si="94"/>
        <v>40</v>
      </c>
      <c r="BL156" s="602">
        <f t="shared" si="95"/>
        <v>40</v>
      </c>
      <c r="BM156" s="602">
        <f t="shared" si="96"/>
        <v>40</v>
      </c>
      <c r="BN156" s="631"/>
      <c r="BO156" s="631"/>
      <c r="BP156" s="631"/>
      <c r="BQ156" s="631"/>
      <c r="BR156" s="631"/>
      <c r="BS156" s="631"/>
      <c r="BT156" s="607">
        <f t="shared" si="79"/>
        <v>240</v>
      </c>
      <c r="BU156" s="608">
        <f t="shared" si="80"/>
        <v>0</v>
      </c>
      <c r="BV156" s="609"/>
      <c r="BW156" s="491"/>
    </row>
    <row r="157" s="490" customFormat="1" ht="33" customHeight="1" spans="1:75">
      <c r="A157" s="577">
        <v>45750</v>
      </c>
      <c r="B157" s="581" t="s">
        <v>139</v>
      </c>
      <c r="C157" s="579" t="s">
        <v>140</v>
      </c>
      <c r="D157" s="580">
        <v>4500162541</v>
      </c>
      <c r="E157" s="588">
        <v>5000001836</v>
      </c>
      <c r="F157" s="580" t="s">
        <v>935</v>
      </c>
      <c r="G157" s="582" t="s">
        <v>81</v>
      </c>
      <c r="H157" s="578" t="s">
        <v>95</v>
      </c>
      <c r="I157" s="583">
        <v>1002</v>
      </c>
      <c r="J157" s="583">
        <v>0</v>
      </c>
      <c r="K157" s="583">
        <v>6</v>
      </c>
      <c r="L157" s="584">
        <f t="shared" si="99"/>
        <v>167</v>
      </c>
      <c r="M157" s="585">
        <v>45786</v>
      </c>
      <c r="N157" s="585">
        <v>45782</v>
      </c>
      <c r="O157" s="586" t="s">
        <v>936</v>
      </c>
      <c r="P157" s="586" t="s">
        <v>83</v>
      </c>
      <c r="Q157" s="587" t="s">
        <v>895</v>
      </c>
      <c r="R157" s="586" t="s">
        <v>937</v>
      </c>
      <c r="S157" s="586"/>
      <c r="T157" s="586"/>
      <c r="U157" s="586" t="s">
        <v>938</v>
      </c>
      <c r="V157" s="586"/>
      <c r="W157" s="586"/>
      <c r="X157" s="588" t="s">
        <v>939</v>
      </c>
      <c r="Y157" s="618" t="s">
        <v>757</v>
      </c>
      <c r="Z157" s="590">
        <v>5.712</v>
      </c>
      <c r="AA157" s="591">
        <f>Z157*I157</f>
        <v>5723.424</v>
      </c>
      <c r="AB157" s="619"/>
      <c r="AC157" s="582" t="s">
        <v>149</v>
      </c>
      <c r="AD157" s="593" t="s">
        <v>89</v>
      </c>
      <c r="AE157" s="620"/>
      <c r="AF157" s="620"/>
      <c r="AG157" s="595">
        <f t="shared" si="100"/>
        <v>1002</v>
      </c>
      <c r="AH157" s="620"/>
      <c r="AI157" s="620"/>
      <c r="AJ157" s="595"/>
      <c r="AK157" s="629"/>
      <c r="AL157" s="620"/>
      <c r="AM157" s="620"/>
      <c r="AN157" s="598"/>
      <c r="AO157" s="621">
        <f>I157</f>
        <v>1002</v>
      </c>
      <c r="AP157" s="622"/>
      <c r="AQ157" s="622"/>
      <c r="AR157" s="592">
        <f t="shared" si="101"/>
        <v>1002</v>
      </c>
      <c r="AS157" s="622"/>
      <c r="AT157" s="622"/>
      <c r="AU157" s="621"/>
      <c r="AV157" s="621"/>
      <c r="AW157" s="592">
        <f t="shared" si="72"/>
        <v>1002</v>
      </c>
      <c r="AX157" s="621"/>
      <c r="AY157" s="621"/>
      <c r="AZ157" s="621"/>
      <c r="BA157" s="621"/>
      <c r="BB157" s="621"/>
      <c r="BC157" s="621"/>
      <c r="BD157" s="621"/>
      <c r="BE157" s="623"/>
      <c r="BF157" s="602" t="s">
        <v>407</v>
      </c>
      <c r="BG157" s="603"/>
      <c r="BH157" s="604">
        <f t="shared" si="91"/>
        <v>167</v>
      </c>
      <c r="BI157" s="605">
        <f t="shared" si="92"/>
        <v>167</v>
      </c>
      <c r="BJ157" s="602">
        <f t="shared" si="93"/>
        <v>167</v>
      </c>
      <c r="BK157" s="602">
        <f t="shared" si="94"/>
        <v>167</v>
      </c>
      <c r="BL157" s="602">
        <f t="shared" si="95"/>
        <v>167</v>
      </c>
      <c r="BM157" s="602">
        <f t="shared" si="96"/>
        <v>167</v>
      </c>
      <c r="BN157" s="624"/>
      <c r="BO157" s="624"/>
      <c r="BP157" s="624"/>
      <c r="BQ157" s="624"/>
      <c r="BR157" s="624"/>
      <c r="BS157" s="624"/>
      <c r="BT157" s="607">
        <f t="shared" si="79"/>
        <v>1002</v>
      </c>
      <c r="BU157" s="608">
        <f t="shared" si="80"/>
        <v>0</v>
      </c>
      <c r="BV157" s="517"/>
      <c r="BW157" s="491"/>
    </row>
    <row r="158" s="490" customFormat="1" ht="33" customHeight="1" spans="1:75">
      <c r="A158" s="577">
        <v>45758</v>
      </c>
      <c r="B158" s="581" t="s">
        <v>885</v>
      </c>
      <c r="C158" s="579" t="s">
        <v>92</v>
      </c>
      <c r="D158" s="580">
        <v>4500163341</v>
      </c>
      <c r="E158" s="588">
        <v>910613405</v>
      </c>
      <c r="F158" s="580" t="s">
        <v>940</v>
      </c>
      <c r="G158" s="582" t="s">
        <v>155</v>
      </c>
      <c r="H158" s="578" t="s">
        <v>156</v>
      </c>
      <c r="I158" s="583">
        <v>540</v>
      </c>
      <c r="J158" s="583">
        <v>1</v>
      </c>
      <c r="K158" s="583">
        <v>108</v>
      </c>
      <c r="L158" s="584">
        <f t="shared" si="99"/>
        <v>5</v>
      </c>
      <c r="M158" s="585">
        <v>45789</v>
      </c>
      <c r="N158" s="585">
        <v>45785</v>
      </c>
      <c r="O158" s="586" t="s">
        <v>941</v>
      </c>
      <c r="P158" s="586" t="s">
        <v>83</v>
      </c>
      <c r="Q158" s="587" t="s">
        <v>942</v>
      </c>
      <c r="R158" s="586" t="s">
        <v>888</v>
      </c>
      <c r="S158" s="586"/>
      <c r="T158" s="586"/>
      <c r="U158" s="586" t="s">
        <v>665</v>
      </c>
      <c r="V158" s="586" t="s">
        <v>161</v>
      </c>
      <c r="W158" s="586"/>
      <c r="X158" s="588" t="s">
        <v>943</v>
      </c>
      <c r="Y158" s="618" t="s">
        <v>163</v>
      </c>
      <c r="Z158" s="590">
        <v>651.0683</v>
      </c>
      <c r="AA158" s="591">
        <f>Z158*L158</f>
        <v>3255.3415</v>
      </c>
      <c r="AB158" s="619" t="s">
        <v>944</v>
      </c>
      <c r="AC158" s="582" t="s">
        <v>155</v>
      </c>
      <c r="AD158" s="593" t="s">
        <v>89</v>
      </c>
      <c r="AE158" s="620"/>
      <c r="AF158" s="620"/>
      <c r="AG158" s="595">
        <f t="shared" si="100"/>
        <v>540</v>
      </c>
      <c r="AH158" s="620"/>
      <c r="AI158" s="620"/>
      <c r="AJ158" s="595"/>
      <c r="AK158" s="629"/>
      <c r="AL158" s="620"/>
      <c r="AM158" s="620"/>
      <c r="AN158" s="598">
        <f t="shared" ref="AN158:AN167" si="102">I158</f>
        <v>540</v>
      </c>
      <c r="AO158" s="621"/>
      <c r="AP158" s="622"/>
      <c r="AQ158" s="622"/>
      <c r="AR158" s="592">
        <f t="shared" si="101"/>
        <v>540</v>
      </c>
      <c r="AS158" s="622"/>
      <c r="AT158" s="622"/>
      <c r="AU158" s="621"/>
      <c r="AV158" s="621"/>
      <c r="AW158" s="592">
        <f t="shared" si="72"/>
        <v>540</v>
      </c>
      <c r="AX158" s="621"/>
      <c r="AY158" s="621"/>
      <c r="AZ158" s="621"/>
      <c r="BA158" s="621"/>
      <c r="BB158" s="621"/>
      <c r="BC158" s="621"/>
      <c r="BD158" s="621"/>
      <c r="BE158" s="623"/>
      <c r="BF158" s="602" t="s">
        <v>165</v>
      </c>
      <c r="BG158" s="603"/>
      <c r="BH158" s="604">
        <f t="shared" si="91"/>
        <v>90</v>
      </c>
      <c r="BI158" s="605">
        <f t="shared" si="92"/>
        <v>90</v>
      </c>
      <c r="BJ158" s="602">
        <f t="shared" si="93"/>
        <v>90</v>
      </c>
      <c r="BK158" s="602">
        <f t="shared" si="94"/>
        <v>90</v>
      </c>
      <c r="BL158" s="602">
        <f t="shared" si="95"/>
        <v>90</v>
      </c>
      <c r="BM158" s="602">
        <f t="shared" si="96"/>
        <v>90</v>
      </c>
      <c r="BN158" s="624"/>
      <c r="BO158" s="624"/>
      <c r="BP158" s="624"/>
      <c r="BQ158" s="624"/>
      <c r="BR158" s="624"/>
      <c r="BS158" s="624"/>
      <c r="BT158" s="607">
        <f t="shared" si="79"/>
        <v>540</v>
      </c>
      <c r="BU158" s="608">
        <f t="shared" si="80"/>
        <v>0</v>
      </c>
      <c r="BV158" s="517"/>
      <c r="BW158" s="491"/>
    </row>
    <row r="159" s="490" customFormat="1" ht="33" customHeight="1" spans="1:75">
      <c r="A159" s="577">
        <v>45758</v>
      </c>
      <c r="B159" s="581" t="s">
        <v>885</v>
      </c>
      <c r="C159" s="579" t="s">
        <v>92</v>
      </c>
      <c r="D159" s="580">
        <v>4500163341</v>
      </c>
      <c r="E159" s="588">
        <v>910613406</v>
      </c>
      <c r="F159" s="580" t="s">
        <v>945</v>
      </c>
      <c r="G159" s="582" t="s">
        <v>155</v>
      </c>
      <c r="H159" s="578" t="s">
        <v>156</v>
      </c>
      <c r="I159" s="583">
        <v>540</v>
      </c>
      <c r="J159" s="583">
        <v>1</v>
      </c>
      <c r="K159" s="583">
        <v>108</v>
      </c>
      <c r="L159" s="584">
        <f t="shared" si="99"/>
        <v>5</v>
      </c>
      <c r="M159" s="585">
        <v>45789</v>
      </c>
      <c r="N159" s="585">
        <v>45785</v>
      </c>
      <c r="O159" s="586" t="s">
        <v>941</v>
      </c>
      <c r="P159" s="586" t="s">
        <v>83</v>
      </c>
      <c r="Q159" s="587" t="s">
        <v>916</v>
      </c>
      <c r="R159" s="586" t="s">
        <v>888</v>
      </c>
      <c r="S159" s="586"/>
      <c r="T159" s="586"/>
      <c r="U159" s="586" t="s">
        <v>665</v>
      </c>
      <c r="V159" s="586" t="s">
        <v>161</v>
      </c>
      <c r="W159" s="586"/>
      <c r="X159" s="588" t="s">
        <v>943</v>
      </c>
      <c r="Y159" s="618" t="s">
        <v>163</v>
      </c>
      <c r="Z159" s="590">
        <v>651.0683</v>
      </c>
      <c r="AA159" s="591">
        <f>Z159*L159</f>
        <v>3255.3415</v>
      </c>
      <c r="AB159" s="619" t="s">
        <v>946</v>
      </c>
      <c r="AC159" s="582" t="s">
        <v>155</v>
      </c>
      <c r="AD159" s="593" t="s">
        <v>89</v>
      </c>
      <c r="AE159" s="620"/>
      <c r="AF159" s="620"/>
      <c r="AG159" s="595">
        <f t="shared" si="100"/>
        <v>540</v>
      </c>
      <c r="AH159" s="620"/>
      <c r="AI159" s="620"/>
      <c r="AJ159" s="595"/>
      <c r="AK159" s="629"/>
      <c r="AL159" s="620"/>
      <c r="AM159" s="620"/>
      <c r="AN159" s="598">
        <f t="shared" si="102"/>
        <v>540</v>
      </c>
      <c r="AO159" s="621"/>
      <c r="AP159" s="622"/>
      <c r="AQ159" s="622"/>
      <c r="AR159" s="592">
        <f t="shared" si="101"/>
        <v>540</v>
      </c>
      <c r="AS159" s="622"/>
      <c r="AT159" s="622"/>
      <c r="AU159" s="621"/>
      <c r="AV159" s="621"/>
      <c r="AW159" s="592">
        <f t="shared" si="72"/>
        <v>540</v>
      </c>
      <c r="AX159" s="621"/>
      <c r="AY159" s="621"/>
      <c r="AZ159" s="621"/>
      <c r="BA159" s="621"/>
      <c r="BB159" s="621"/>
      <c r="BC159" s="621"/>
      <c r="BD159" s="621"/>
      <c r="BE159" s="623"/>
      <c r="BF159" s="602" t="s">
        <v>165</v>
      </c>
      <c r="BG159" s="603"/>
      <c r="BH159" s="604">
        <f t="shared" si="91"/>
        <v>90</v>
      </c>
      <c r="BI159" s="605">
        <f t="shared" si="92"/>
        <v>90</v>
      </c>
      <c r="BJ159" s="602">
        <f t="shared" si="93"/>
        <v>90</v>
      </c>
      <c r="BK159" s="602">
        <f t="shared" si="94"/>
        <v>90</v>
      </c>
      <c r="BL159" s="602">
        <f t="shared" si="95"/>
        <v>90</v>
      </c>
      <c r="BM159" s="602">
        <f t="shared" si="96"/>
        <v>90</v>
      </c>
      <c r="BN159" s="624"/>
      <c r="BO159" s="624"/>
      <c r="BP159" s="624"/>
      <c r="BQ159" s="624"/>
      <c r="BR159" s="624"/>
      <c r="BS159" s="624"/>
      <c r="BT159" s="607">
        <f t="shared" si="79"/>
        <v>540</v>
      </c>
      <c r="BU159" s="608">
        <f t="shared" si="80"/>
        <v>0</v>
      </c>
      <c r="BV159" s="517"/>
      <c r="BW159" s="491"/>
    </row>
    <row r="160" s="490" customFormat="1" ht="33" customHeight="1" spans="1:75">
      <c r="A160" s="577">
        <v>45758</v>
      </c>
      <c r="B160" s="581" t="s">
        <v>885</v>
      </c>
      <c r="C160" s="579" t="s">
        <v>92</v>
      </c>
      <c r="D160" s="580">
        <v>4500163341</v>
      </c>
      <c r="E160" s="588">
        <v>910613411</v>
      </c>
      <c r="F160" s="580" t="s">
        <v>947</v>
      </c>
      <c r="G160" s="582" t="s">
        <v>155</v>
      </c>
      <c r="H160" s="578" t="s">
        <v>156</v>
      </c>
      <c r="I160" s="583">
        <v>540</v>
      </c>
      <c r="J160" s="583">
        <v>1</v>
      </c>
      <c r="K160" s="583">
        <v>108</v>
      </c>
      <c r="L160" s="584">
        <f t="shared" si="99"/>
        <v>5</v>
      </c>
      <c r="M160" s="585">
        <v>45789</v>
      </c>
      <c r="N160" s="585">
        <v>45785</v>
      </c>
      <c r="O160" s="586" t="s">
        <v>941</v>
      </c>
      <c r="P160" s="586" t="s">
        <v>83</v>
      </c>
      <c r="Q160" s="587" t="s">
        <v>948</v>
      </c>
      <c r="R160" s="586" t="s">
        <v>888</v>
      </c>
      <c r="S160" s="586"/>
      <c r="T160" s="586"/>
      <c r="U160" s="586" t="s">
        <v>665</v>
      </c>
      <c r="V160" s="586" t="s">
        <v>161</v>
      </c>
      <c r="W160" s="586"/>
      <c r="X160" s="588" t="s">
        <v>943</v>
      </c>
      <c r="Y160" s="618" t="s">
        <v>163</v>
      </c>
      <c r="Z160" s="590">
        <v>651.0683</v>
      </c>
      <c r="AA160" s="591">
        <f>Z160*L160</f>
        <v>3255.3415</v>
      </c>
      <c r="AB160" s="619"/>
      <c r="AC160" s="582" t="s">
        <v>155</v>
      </c>
      <c r="AD160" s="593" t="s">
        <v>89</v>
      </c>
      <c r="AE160" s="620"/>
      <c r="AF160" s="620"/>
      <c r="AG160" s="595">
        <f t="shared" si="100"/>
        <v>540</v>
      </c>
      <c r="AH160" s="620"/>
      <c r="AI160" s="620"/>
      <c r="AJ160" s="595"/>
      <c r="AK160" s="629"/>
      <c r="AL160" s="620"/>
      <c r="AM160" s="620"/>
      <c r="AN160" s="598">
        <f t="shared" si="102"/>
        <v>540</v>
      </c>
      <c r="AO160" s="621"/>
      <c r="AP160" s="622"/>
      <c r="AQ160" s="622"/>
      <c r="AR160" s="592">
        <f t="shared" si="101"/>
        <v>540</v>
      </c>
      <c r="AS160" s="622"/>
      <c r="AT160" s="622"/>
      <c r="AU160" s="621"/>
      <c r="AV160" s="621"/>
      <c r="AW160" s="592">
        <f t="shared" si="72"/>
        <v>540</v>
      </c>
      <c r="AX160" s="621"/>
      <c r="AY160" s="621"/>
      <c r="AZ160" s="621"/>
      <c r="BA160" s="621"/>
      <c r="BB160" s="621"/>
      <c r="BC160" s="621"/>
      <c r="BD160" s="621"/>
      <c r="BE160" s="623"/>
      <c r="BF160" s="602" t="s">
        <v>165</v>
      </c>
      <c r="BG160" s="603"/>
      <c r="BH160" s="604">
        <f t="shared" si="91"/>
        <v>90</v>
      </c>
      <c r="BI160" s="605">
        <f t="shared" si="92"/>
        <v>90</v>
      </c>
      <c r="BJ160" s="602">
        <f t="shared" si="93"/>
        <v>90</v>
      </c>
      <c r="BK160" s="602">
        <f t="shared" si="94"/>
        <v>90</v>
      </c>
      <c r="BL160" s="602">
        <f t="shared" si="95"/>
        <v>90</v>
      </c>
      <c r="BM160" s="602">
        <f t="shared" si="96"/>
        <v>90</v>
      </c>
      <c r="BN160" s="624"/>
      <c r="BO160" s="624"/>
      <c r="BP160" s="624"/>
      <c r="BQ160" s="624"/>
      <c r="BR160" s="624"/>
      <c r="BS160" s="624"/>
      <c r="BT160" s="607">
        <f t="shared" si="79"/>
        <v>540</v>
      </c>
      <c r="BU160" s="608">
        <f t="shared" si="80"/>
        <v>0</v>
      </c>
      <c r="BV160" s="517"/>
      <c r="BW160" s="491"/>
    </row>
    <row r="161" s="490" customFormat="1" ht="33" customHeight="1" spans="1:75">
      <c r="A161" s="577">
        <v>45758</v>
      </c>
      <c r="B161" s="581" t="s">
        <v>885</v>
      </c>
      <c r="C161" s="579" t="s">
        <v>92</v>
      </c>
      <c r="D161" s="580">
        <v>4500163341</v>
      </c>
      <c r="E161" s="588">
        <v>910613416</v>
      </c>
      <c r="F161" s="580" t="s">
        <v>949</v>
      </c>
      <c r="G161" s="582" t="s">
        <v>155</v>
      </c>
      <c r="H161" s="578" t="s">
        <v>156</v>
      </c>
      <c r="I161" s="583">
        <v>540</v>
      </c>
      <c r="J161" s="583">
        <v>1</v>
      </c>
      <c r="K161" s="583">
        <v>108</v>
      </c>
      <c r="L161" s="584">
        <f t="shared" si="99"/>
        <v>5</v>
      </c>
      <c r="M161" s="585">
        <v>45789</v>
      </c>
      <c r="N161" s="585">
        <v>45785</v>
      </c>
      <c r="O161" s="586" t="s">
        <v>941</v>
      </c>
      <c r="P161" s="586" t="s">
        <v>83</v>
      </c>
      <c r="Q161" s="587" t="s">
        <v>916</v>
      </c>
      <c r="R161" s="586" t="s">
        <v>888</v>
      </c>
      <c r="S161" s="586"/>
      <c r="T161" s="586"/>
      <c r="U161" s="586" t="s">
        <v>665</v>
      </c>
      <c r="V161" s="586" t="s">
        <v>161</v>
      </c>
      <c r="W161" s="586"/>
      <c r="X161" s="588" t="s">
        <v>943</v>
      </c>
      <c r="Y161" s="618" t="s">
        <v>163</v>
      </c>
      <c r="Z161" s="590">
        <v>651.0683</v>
      </c>
      <c r="AA161" s="591">
        <f>Z161*L161</f>
        <v>3255.3415</v>
      </c>
      <c r="AB161" s="619"/>
      <c r="AC161" s="582" t="s">
        <v>155</v>
      </c>
      <c r="AD161" s="593" t="s">
        <v>89</v>
      </c>
      <c r="AE161" s="620"/>
      <c r="AF161" s="620"/>
      <c r="AG161" s="595">
        <f t="shared" si="100"/>
        <v>540</v>
      </c>
      <c r="AH161" s="620"/>
      <c r="AI161" s="620"/>
      <c r="AJ161" s="595"/>
      <c r="AK161" s="629"/>
      <c r="AL161" s="620"/>
      <c r="AM161" s="620"/>
      <c r="AN161" s="598">
        <f t="shared" si="102"/>
        <v>540</v>
      </c>
      <c r="AO161" s="621"/>
      <c r="AP161" s="622"/>
      <c r="AQ161" s="622"/>
      <c r="AR161" s="592">
        <f t="shared" si="101"/>
        <v>540</v>
      </c>
      <c r="AS161" s="622"/>
      <c r="AT161" s="622"/>
      <c r="AU161" s="621"/>
      <c r="AV161" s="621"/>
      <c r="AW161" s="592">
        <f t="shared" si="72"/>
        <v>540</v>
      </c>
      <c r="AX161" s="621"/>
      <c r="AY161" s="621"/>
      <c r="AZ161" s="621"/>
      <c r="BA161" s="621"/>
      <c r="BB161" s="621"/>
      <c r="BC161" s="621"/>
      <c r="BD161" s="621"/>
      <c r="BE161" s="623"/>
      <c r="BF161" s="602" t="s">
        <v>165</v>
      </c>
      <c r="BG161" s="603"/>
      <c r="BH161" s="604">
        <f t="shared" si="91"/>
        <v>90</v>
      </c>
      <c r="BI161" s="605">
        <f t="shared" si="92"/>
        <v>90</v>
      </c>
      <c r="BJ161" s="602">
        <f t="shared" si="93"/>
        <v>90</v>
      </c>
      <c r="BK161" s="602">
        <f t="shared" si="94"/>
        <v>90</v>
      </c>
      <c r="BL161" s="602">
        <f t="shared" si="95"/>
        <v>90</v>
      </c>
      <c r="BM161" s="602">
        <f t="shared" si="96"/>
        <v>90</v>
      </c>
      <c r="BN161" s="624"/>
      <c r="BO161" s="624"/>
      <c r="BP161" s="624"/>
      <c r="BQ161" s="624"/>
      <c r="BR161" s="624"/>
      <c r="BS161" s="624"/>
      <c r="BT161" s="607">
        <f t="shared" si="79"/>
        <v>540</v>
      </c>
      <c r="BU161" s="608">
        <f t="shared" si="80"/>
        <v>0</v>
      </c>
      <c r="BV161" s="517"/>
      <c r="BW161" s="491"/>
    </row>
    <row r="162" s="490" customFormat="1" ht="33" customHeight="1" spans="1:75">
      <c r="A162" s="577">
        <v>45758</v>
      </c>
      <c r="B162" s="581" t="s">
        <v>885</v>
      </c>
      <c r="C162" s="579" t="s">
        <v>92</v>
      </c>
      <c r="D162" s="580">
        <v>4500163341</v>
      </c>
      <c r="E162" s="588">
        <v>910613418</v>
      </c>
      <c r="F162" s="580" t="s">
        <v>950</v>
      </c>
      <c r="G162" s="582" t="s">
        <v>155</v>
      </c>
      <c r="H162" s="578" t="s">
        <v>156</v>
      </c>
      <c r="I162" s="583">
        <v>540</v>
      </c>
      <c r="J162" s="583">
        <v>1</v>
      </c>
      <c r="K162" s="583">
        <v>108</v>
      </c>
      <c r="L162" s="584">
        <f t="shared" si="99"/>
        <v>5</v>
      </c>
      <c r="M162" s="585">
        <v>45789</v>
      </c>
      <c r="N162" s="585">
        <v>45785</v>
      </c>
      <c r="O162" s="586" t="s">
        <v>941</v>
      </c>
      <c r="P162" s="586" t="s">
        <v>83</v>
      </c>
      <c r="Q162" s="587" t="s">
        <v>951</v>
      </c>
      <c r="R162" s="586" t="s">
        <v>888</v>
      </c>
      <c r="S162" s="586"/>
      <c r="T162" s="586"/>
      <c r="U162" s="586" t="s">
        <v>665</v>
      </c>
      <c r="V162" s="586" t="s">
        <v>161</v>
      </c>
      <c r="W162" s="586"/>
      <c r="X162" s="588" t="s">
        <v>943</v>
      </c>
      <c r="Y162" s="618" t="s">
        <v>163</v>
      </c>
      <c r="Z162" s="590">
        <v>651.0683</v>
      </c>
      <c r="AA162" s="591">
        <f>Z162*L162</f>
        <v>3255.3415</v>
      </c>
      <c r="AB162" s="619"/>
      <c r="AC162" s="582" t="s">
        <v>155</v>
      </c>
      <c r="AD162" s="593" t="s">
        <v>89</v>
      </c>
      <c r="AE162" s="620"/>
      <c r="AF162" s="620"/>
      <c r="AG162" s="595">
        <f t="shared" si="100"/>
        <v>540</v>
      </c>
      <c r="AH162" s="620"/>
      <c r="AI162" s="620"/>
      <c r="AJ162" s="595"/>
      <c r="AK162" s="629"/>
      <c r="AL162" s="620"/>
      <c r="AM162" s="620"/>
      <c r="AN162" s="598">
        <f t="shared" si="102"/>
        <v>540</v>
      </c>
      <c r="AO162" s="621"/>
      <c r="AP162" s="622"/>
      <c r="AQ162" s="622"/>
      <c r="AR162" s="592">
        <f t="shared" si="101"/>
        <v>540</v>
      </c>
      <c r="AS162" s="622"/>
      <c r="AT162" s="622"/>
      <c r="AU162" s="621"/>
      <c r="AV162" s="621"/>
      <c r="AW162" s="592">
        <f t="shared" si="72"/>
        <v>540</v>
      </c>
      <c r="AX162" s="621"/>
      <c r="AY162" s="621"/>
      <c r="AZ162" s="621"/>
      <c r="BA162" s="621"/>
      <c r="BB162" s="621"/>
      <c r="BC162" s="621"/>
      <c r="BD162" s="621"/>
      <c r="BE162" s="623"/>
      <c r="BF162" s="602" t="s">
        <v>165</v>
      </c>
      <c r="BG162" s="603"/>
      <c r="BH162" s="604">
        <f t="shared" si="91"/>
        <v>90</v>
      </c>
      <c r="BI162" s="605">
        <f t="shared" si="92"/>
        <v>90</v>
      </c>
      <c r="BJ162" s="602">
        <f t="shared" si="93"/>
        <v>90</v>
      </c>
      <c r="BK162" s="602">
        <f t="shared" si="94"/>
        <v>90</v>
      </c>
      <c r="BL162" s="602">
        <f t="shared" si="95"/>
        <v>90</v>
      </c>
      <c r="BM162" s="602">
        <f t="shared" si="96"/>
        <v>90</v>
      </c>
      <c r="BN162" s="624"/>
      <c r="BO162" s="624"/>
      <c r="BP162" s="624"/>
      <c r="BQ162" s="624"/>
      <c r="BR162" s="624"/>
      <c r="BS162" s="624"/>
      <c r="BT162" s="607">
        <f t="shared" si="79"/>
        <v>540</v>
      </c>
      <c r="BU162" s="608">
        <f t="shared" si="80"/>
        <v>0</v>
      </c>
      <c r="BV162" s="517"/>
      <c r="BW162" s="491"/>
    </row>
    <row r="163" s="490" customFormat="1" ht="33" customHeight="1" spans="1:75">
      <c r="A163" s="577">
        <v>45754</v>
      </c>
      <c r="B163" s="581" t="s">
        <v>245</v>
      </c>
      <c r="C163" s="579" t="s">
        <v>246</v>
      </c>
      <c r="D163" s="580">
        <v>4500162692</v>
      </c>
      <c r="E163" s="588">
        <v>20756002</v>
      </c>
      <c r="F163" s="580" t="s">
        <v>952</v>
      </c>
      <c r="G163" s="582" t="s">
        <v>81</v>
      </c>
      <c r="H163" s="578" t="s">
        <v>95</v>
      </c>
      <c r="I163" s="583">
        <v>144</v>
      </c>
      <c r="J163" s="583">
        <v>0</v>
      </c>
      <c r="K163" s="583">
        <v>6</v>
      </c>
      <c r="L163" s="584">
        <f t="shared" si="99"/>
        <v>24</v>
      </c>
      <c r="M163" s="585">
        <v>45796</v>
      </c>
      <c r="N163" s="585">
        <v>45792</v>
      </c>
      <c r="O163" s="586"/>
      <c r="P163" s="586" t="s">
        <v>83</v>
      </c>
      <c r="Q163" s="587" t="s">
        <v>953</v>
      </c>
      <c r="R163" s="586" t="s">
        <v>954</v>
      </c>
      <c r="S163" s="586"/>
      <c r="T163" s="586"/>
      <c r="U163" s="586" t="s">
        <v>955</v>
      </c>
      <c r="V163" s="586"/>
      <c r="W163" s="586"/>
      <c r="X163" s="588" t="s">
        <v>956</v>
      </c>
      <c r="Y163" s="618" t="s">
        <v>252</v>
      </c>
      <c r="Z163" s="590">
        <v>6.2984</v>
      </c>
      <c r="AA163" s="591">
        <f t="shared" ref="AA163:AA171" si="103">Z163*I163</f>
        <v>906.9696</v>
      </c>
      <c r="AB163" s="619"/>
      <c r="AC163" s="582" t="s">
        <v>81</v>
      </c>
      <c r="AD163" s="593" t="s">
        <v>89</v>
      </c>
      <c r="AE163" s="620"/>
      <c r="AF163" s="620"/>
      <c r="AG163" s="595">
        <f t="shared" si="100"/>
        <v>144</v>
      </c>
      <c r="AH163" s="620"/>
      <c r="AI163" s="620"/>
      <c r="AJ163" s="595"/>
      <c r="AK163" s="629"/>
      <c r="AL163" s="620"/>
      <c r="AM163" s="620"/>
      <c r="AN163" s="598">
        <f t="shared" si="102"/>
        <v>144</v>
      </c>
      <c r="AO163" s="621"/>
      <c r="AP163" s="622"/>
      <c r="AQ163" s="622"/>
      <c r="AR163" s="592">
        <f t="shared" si="101"/>
        <v>144</v>
      </c>
      <c r="AS163" s="622"/>
      <c r="AT163" s="622"/>
      <c r="AU163" s="621"/>
      <c r="AV163" s="621"/>
      <c r="AW163" s="592">
        <f t="shared" si="72"/>
        <v>144</v>
      </c>
      <c r="AX163" s="621"/>
      <c r="AY163" s="621"/>
      <c r="AZ163" s="621"/>
      <c r="BA163" s="621"/>
      <c r="BB163" s="621"/>
      <c r="BC163" s="621"/>
      <c r="BD163" s="621"/>
      <c r="BE163" s="623"/>
      <c r="BF163" s="602" t="s">
        <v>165</v>
      </c>
      <c r="BG163" s="603"/>
      <c r="BH163" s="604">
        <f t="shared" si="91"/>
        <v>24</v>
      </c>
      <c r="BI163" s="605">
        <f t="shared" si="92"/>
        <v>24</v>
      </c>
      <c r="BJ163" s="602">
        <f t="shared" si="93"/>
        <v>24</v>
      </c>
      <c r="BK163" s="602">
        <f t="shared" si="94"/>
        <v>24</v>
      </c>
      <c r="BL163" s="602">
        <f t="shared" si="95"/>
        <v>24</v>
      </c>
      <c r="BM163" s="602">
        <f t="shared" si="96"/>
        <v>24</v>
      </c>
      <c r="BN163" s="624"/>
      <c r="BO163" s="624"/>
      <c r="BP163" s="624"/>
      <c r="BQ163" s="624"/>
      <c r="BR163" s="624"/>
      <c r="BS163" s="624"/>
      <c r="BT163" s="607">
        <f t="shared" si="79"/>
        <v>144</v>
      </c>
      <c r="BU163" s="608">
        <f t="shared" si="80"/>
        <v>0</v>
      </c>
      <c r="BV163" s="517"/>
      <c r="BW163" s="491"/>
    </row>
    <row r="164" s="490" customFormat="1" ht="33" customHeight="1" spans="1:75">
      <c r="A164" s="577">
        <v>45754</v>
      </c>
      <c r="B164" s="581" t="s">
        <v>254</v>
      </c>
      <c r="C164" s="579" t="s">
        <v>255</v>
      </c>
      <c r="D164" s="580">
        <v>4500162690</v>
      </c>
      <c r="E164" s="588">
        <v>20756001</v>
      </c>
      <c r="F164" s="580" t="s">
        <v>957</v>
      </c>
      <c r="G164" s="582" t="s">
        <v>81</v>
      </c>
      <c r="H164" s="578" t="s">
        <v>95</v>
      </c>
      <c r="I164" s="583">
        <v>1356</v>
      </c>
      <c r="J164" s="583">
        <v>0</v>
      </c>
      <c r="K164" s="583">
        <v>6</v>
      </c>
      <c r="L164" s="584">
        <f t="shared" si="99"/>
        <v>226</v>
      </c>
      <c r="M164" s="585">
        <v>45796</v>
      </c>
      <c r="N164" s="585">
        <v>45792</v>
      </c>
      <c r="O164" s="586"/>
      <c r="P164" s="586" t="s">
        <v>83</v>
      </c>
      <c r="Q164" s="587" t="s">
        <v>953</v>
      </c>
      <c r="R164" s="586" t="s">
        <v>954</v>
      </c>
      <c r="S164" s="586"/>
      <c r="T164" s="586"/>
      <c r="U164" s="586" t="s">
        <v>955</v>
      </c>
      <c r="V164" s="586"/>
      <c r="W164" s="586"/>
      <c r="X164" s="588" t="s">
        <v>958</v>
      </c>
      <c r="Y164" s="618" t="s">
        <v>252</v>
      </c>
      <c r="Z164" s="590">
        <v>6.2908</v>
      </c>
      <c r="AA164" s="591">
        <f t="shared" si="103"/>
        <v>8530.3248</v>
      </c>
      <c r="AB164" s="619"/>
      <c r="AC164" s="582" t="s">
        <v>81</v>
      </c>
      <c r="AD164" s="593" t="s">
        <v>89</v>
      </c>
      <c r="AE164" s="620"/>
      <c r="AF164" s="620"/>
      <c r="AG164" s="595">
        <f t="shared" si="100"/>
        <v>1356</v>
      </c>
      <c r="AH164" s="620"/>
      <c r="AI164" s="620"/>
      <c r="AJ164" s="595"/>
      <c r="AK164" s="629"/>
      <c r="AL164" s="620"/>
      <c r="AM164" s="620"/>
      <c r="AN164" s="598">
        <f t="shared" si="102"/>
        <v>1356</v>
      </c>
      <c r="AO164" s="621"/>
      <c r="AP164" s="622"/>
      <c r="AQ164" s="622"/>
      <c r="AR164" s="592">
        <f t="shared" si="101"/>
        <v>1356</v>
      </c>
      <c r="AS164" s="622"/>
      <c r="AT164" s="622"/>
      <c r="AU164" s="621"/>
      <c r="AV164" s="621"/>
      <c r="AW164" s="592">
        <f t="shared" si="72"/>
        <v>1356</v>
      </c>
      <c r="AX164" s="621"/>
      <c r="AY164" s="621"/>
      <c r="AZ164" s="621"/>
      <c r="BA164" s="621"/>
      <c r="BB164" s="621"/>
      <c r="BC164" s="621"/>
      <c r="BD164" s="621"/>
      <c r="BE164" s="623"/>
      <c r="BF164" s="602" t="s">
        <v>165</v>
      </c>
      <c r="BG164" s="603"/>
      <c r="BH164" s="604">
        <f t="shared" si="91"/>
        <v>226</v>
      </c>
      <c r="BI164" s="605">
        <f t="shared" si="92"/>
        <v>226</v>
      </c>
      <c r="BJ164" s="602">
        <f t="shared" si="93"/>
        <v>226</v>
      </c>
      <c r="BK164" s="602">
        <f t="shared" si="94"/>
        <v>226</v>
      </c>
      <c r="BL164" s="602">
        <f t="shared" si="95"/>
        <v>226</v>
      </c>
      <c r="BM164" s="602">
        <f t="shared" si="96"/>
        <v>226</v>
      </c>
      <c r="BN164" s="624"/>
      <c r="BO164" s="624"/>
      <c r="BP164" s="624"/>
      <c r="BQ164" s="624"/>
      <c r="BR164" s="624"/>
      <c r="BS164" s="624"/>
      <c r="BT164" s="607">
        <f t="shared" si="79"/>
        <v>1356</v>
      </c>
      <c r="BU164" s="608">
        <f t="shared" si="80"/>
        <v>0</v>
      </c>
      <c r="BV164" s="517"/>
      <c r="BW164" s="491"/>
    </row>
    <row r="165" s="490" customFormat="1" ht="33" customHeight="1" spans="1:75">
      <c r="A165" s="577">
        <v>45750</v>
      </c>
      <c r="B165" s="581" t="s">
        <v>131</v>
      </c>
      <c r="C165" s="579" t="s">
        <v>78</v>
      </c>
      <c r="D165" s="580">
        <v>4500162456</v>
      </c>
      <c r="E165" s="616" t="s">
        <v>959</v>
      </c>
      <c r="F165" s="580" t="s">
        <v>960</v>
      </c>
      <c r="G165" s="582" t="s">
        <v>624</v>
      </c>
      <c r="H165" s="578" t="s">
        <v>625</v>
      </c>
      <c r="I165" s="583">
        <v>500</v>
      </c>
      <c r="J165" s="583">
        <v>0</v>
      </c>
      <c r="K165" s="583">
        <v>4</v>
      </c>
      <c r="L165" s="584">
        <f t="shared" si="99"/>
        <v>125</v>
      </c>
      <c r="M165" s="585">
        <v>45792</v>
      </c>
      <c r="N165" s="585">
        <v>45789</v>
      </c>
      <c r="O165" s="586"/>
      <c r="P165" s="586" t="s">
        <v>83</v>
      </c>
      <c r="Q165" s="587" t="s">
        <v>961</v>
      </c>
      <c r="R165" s="586" t="s">
        <v>962</v>
      </c>
      <c r="S165" s="586"/>
      <c r="T165" s="586"/>
      <c r="U165" s="586" t="s">
        <v>963</v>
      </c>
      <c r="V165" s="586" t="s">
        <v>964</v>
      </c>
      <c r="W165" s="586"/>
      <c r="X165" s="588" t="s">
        <v>965</v>
      </c>
      <c r="Y165" s="618" t="s">
        <v>137</v>
      </c>
      <c r="Z165" s="590">
        <v>5.8612</v>
      </c>
      <c r="AA165" s="591">
        <f t="shared" si="103"/>
        <v>2930.6</v>
      </c>
      <c r="AB165" s="619"/>
      <c r="AC165" s="582" t="s">
        <v>624</v>
      </c>
      <c r="AD165" s="593" t="s">
        <v>89</v>
      </c>
      <c r="AE165" s="628"/>
      <c r="AF165" s="628"/>
      <c r="AG165" s="595"/>
      <c r="AH165" s="628"/>
      <c r="AI165" s="628"/>
      <c r="AJ165" s="595">
        <f>I165</f>
        <v>500</v>
      </c>
      <c r="AK165" s="629"/>
      <c r="AL165" s="628"/>
      <c r="AM165" s="628"/>
      <c r="AN165" s="598">
        <f t="shared" si="102"/>
        <v>500</v>
      </c>
      <c r="AO165" s="621"/>
      <c r="AP165" s="630"/>
      <c r="AQ165" s="630"/>
      <c r="AR165" s="592"/>
      <c r="AS165" s="630"/>
      <c r="AT165" s="630"/>
      <c r="AU165" s="621">
        <f>I165</f>
        <v>500</v>
      </c>
      <c r="AV165" s="621"/>
      <c r="AW165" s="592">
        <f t="shared" si="72"/>
        <v>500</v>
      </c>
      <c r="AX165" s="621"/>
      <c r="AY165" s="621"/>
      <c r="AZ165" s="621"/>
      <c r="BA165" s="621"/>
      <c r="BB165" s="621"/>
      <c r="BC165" s="621"/>
      <c r="BD165" s="621"/>
      <c r="BE165" s="623"/>
      <c r="BF165" s="602" t="s">
        <v>90</v>
      </c>
      <c r="BG165" s="603"/>
      <c r="BH165" s="604"/>
      <c r="BI165" s="605"/>
      <c r="BJ165" s="602">
        <f>I165</f>
        <v>500</v>
      </c>
      <c r="BK165" s="602"/>
      <c r="BL165" s="602"/>
      <c r="BM165" s="602"/>
      <c r="BN165" s="631"/>
      <c r="BO165" s="631"/>
      <c r="BP165" s="631"/>
      <c r="BQ165" s="631"/>
      <c r="BR165" s="631"/>
      <c r="BS165" s="631"/>
      <c r="BT165" s="607">
        <f t="shared" si="79"/>
        <v>500</v>
      </c>
      <c r="BU165" s="608">
        <f t="shared" si="80"/>
        <v>0</v>
      </c>
      <c r="BV165" s="609"/>
      <c r="BW165" s="491"/>
    </row>
    <row r="166" s="490" customFormat="1" ht="33" customHeight="1" spans="1:75">
      <c r="A166" s="577">
        <v>45742</v>
      </c>
      <c r="B166" s="581" t="s">
        <v>966</v>
      </c>
      <c r="C166" s="579" t="s">
        <v>967</v>
      </c>
      <c r="D166" s="580">
        <v>4500161075</v>
      </c>
      <c r="E166" s="588">
        <v>11098</v>
      </c>
      <c r="F166" s="580" t="s">
        <v>968</v>
      </c>
      <c r="G166" s="582" t="s">
        <v>969</v>
      </c>
      <c r="H166" s="578" t="s">
        <v>970</v>
      </c>
      <c r="I166" s="583">
        <v>360</v>
      </c>
      <c r="J166" s="583">
        <v>0</v>
      </c>
      <c r="K166" s="583">
        <v>4</v>
      </c>
      <c r="L166" s="584">
        <f t="shared" si="99"/>
        <v>90</v>
      </c>
      <c r="M166" s="585">
        <v>45793</v>
      </c>
      <c r="N166" s="585">
        <v>45789</v>
      </c>
      <c r="O166" s="586"/>
      <c r="P166" s="586" t="s">
        <v>83</v>
      </c>
      <c r="Q166" s="587" t="s">
        <v>971</v>
      </c>
      <c r="R166" s="586" t="s">
        <v>972</v>
      </c>
      <c r="S166" s="586"/>
      <c r="T166" s="586"/>
      <c r="U166" s="586" t="s">
        <v>973</v>
      </c>
      <c r="V166" s="586"/>
      <c r="W166" s="586"/>
      <c r="X166" s="588" t="s">
        <v>974</v>
      </c>
      <c r="Y166" s="618" t="s">
        <v>975</v>
      </c>
      <c r="Z166" s="590">
        <v>5.8612</v>
      </c>
      <c r="AA166" s="591">
        <f t="shared" si="103"/>
        <v>2110.032</v>
      </c>
      <c r="AB166" s="619"/>
      <c r="AC166" s="582" t="s">
        <v>976</v>
      </c>
      <c r="AD166" s="593" t="s">
        <v>89</v>
      </c>
      <c r="AE166" s="628"/>
      <c r="AF166" s="628"/>
      <c r="AG166" s="595"/>
      <c r="AH166" s="628"/>
      <c r="AI166" s="628"/>
      <c r="AJ166" s="595">
        <f>I166</f>
        <v>360</v>
      </c>
      <c r="AK166" s="629"/>
      <c r="AL166" s="628"/>
      <c r="AM166" s="628"/>
      <c r="AN166" s="598">
        <f t="shared" si="102"/>
        <v>360</v>
      </c>
      <c r="AO166" s="621"/>
      <c r="AP166" s="630"/>
      <c r="AQ166" s="630"/>
      <c r="AR166" s="592"/>
      <c r="AS166" s="630"/>
      <c r="AT166" s="630"/>
      <c r="AU166" s="621">
        <f>I166</f>
        <v>360</v>
      </c>
      <c r="AV166" s="621"/>
      <c r="AW166" s="592">
        <f t="shared" si="72"/>
        <v>360</v>
      </c>
      <c r="AX166" s="621"/>
      <c r="AY166" s="621"/>
      <c r="AZ166" s="621"/>
      <c r="BA166" s="621"/>
      <c r="BB166" s="621"/>
      <c r="BC166" s="621"/>
      <c r="BD166" s="621"/>
      <c r="BE166" s="623"/>
      <c r="BF166" s="602" t="s">
        <v>165</v>
      </c>
      <c r="BG166" s="603"/>
      <c r="BH166" s="604">
        <f t="shared" ref="BH166:BH172" si="104">I166/6</f>
        <v>60</v>
      </c>
      <c r="BI166" s="605">
        <f t="shared" ref="BI166:BI172" si="105">I166/6</f>
        <v>60</v>
      </c>
      <c r="BJ166" s="602">
        <f t="shared" ref="BJ166:BJ172" si="106">I166/6</f>
        <v>60</v>
      </c>
      <c r="BK166" s="602">
        <f t="shared" ref="BK166:BK172" si="107">I166/6</f>
        <v>60</v>
      </c>
      <c r="BL166" s="602">
        <f t="shared" ref="BL166:BL172" si="108">I166/6</f>
        <v>60</v>
      </c>
      <c r="BM166" s="602">
        <f t="shared" ref="BM166:BM172" si="109">I166/6</f>
        <v>60</v>
      </c>
      <c r="BN166" s="631"/>
      <c r="BO166" s="631"/>
      <c r="BP166" s="631"/>
      <c r="BQ166" s="631"/>
      <c r="BR166" s="631"/>
      <c r="BS166" s="631"/>
      <c r="BT166" s="607">
        <f t="shared" si="79"/>
        <v>360</v>
      </c>
      <c r="BU166" s="608">
        <f t="shared" si="80"/>
        <v>0</v>
      </c>
      <c r="BV166" s="609"/>
      <c r="BW166" s="491"/>
    </row>
    <row r="167" s="490" customFormat="1" ht="33" customHeight="1" spans="1:75">
      <c r="A167" s="577">
        <v>45756</v>
      </c>
      <c r="B167" s="581" t="s">
        <v>139</v>
      </c>
      <c r="C167" s="579" t="s">
        <v>140</v>
      </c>
      <c r="D167" s="580">
        <v>4500162541</v>
      </c>
      <c r="E167" s="588">
        <v>5000001836</v>
      </c>
      <c r="F167" s="580" t="s">
        <v>977</v>
      </c>
      <c r="G167" s="582" t="s">
        <v>81</v>
      </c>
      <c r="H167" s="578" t="s">
        <v>95</v>
      </c>
      <c r="I167" s="583">
        <v>2400</v>
      </c>
      <c r="J167" s="583">
        <v>0</v>
      </c>
      <c r="K167" s="583">
        <v>6</v>
      </c>
      <c r="L167" s="584">
        <f t="shared" si="99"/>
        <v>400</v>
      </c>
      <c r="M167" s="585">
        <v>45793</v>
      </c>
      <c r="N167" s="585">
        <v>45789</v>
      </c>
      <c r="O167" s="586" t="s">
        <v>978</v>
      </c>
      <c r="P167" s="586" t="s">
        <v>83</v>
      </c>
      <c r="Q167" s="587" t="s">
        <v>979</v>
      </c>
      <c r="R167" s="586" t="s">
        <v>937</v>
      </c>
      <c r="S167" s="586"/>
      <c r="T167" s="586"/>
      <c r="U167" s="586" t="s">
        <v>938</v>
      </c>
      <c r="V167" s="586"/>
      <c r="W167" s="586"/>
      <c r="X167" s="588" t="s">
        <v>939</v>
      </c>
      <c r="Y167" s="618" t="s">
        <v>757</v>
      </c>
      <c r="Z167" s="590">
        <v>5.5831</v>
      </c>
      <c r="AA167" s="591">
        <f t="shared" si="103"/>
        <v>13399.44</v>
      </c>
      <c r="AB167" s="619"/>
      <c r="AC167" s="582" t="s">
        <v>149</v>
      </c>
      <c r="AD167" s="593" t="s">
        <v>89</v>
      </c>
      <c r="AE167" s="628"/>
      <c r="AF167" s="628"/>
      <c r="AG167" s="595">
        <f>I167</f>
        <v>2400</v>
      </c>
      <c r="AH167" s="628"/>
      <c r="AI167" s="628"/>
      <c r="AJ167" s="595"/>
      <c r="AK167" s="629"/>
      <c r="AL167" s="628"/>
      <c r="AM167" s="628"/>
      <c r="AN167" s="598"/>
      <c r="AO167" s="621">
        <f>I167</f>
        <v>2400</v>
      </c>
      <c r="AP167" s="630"/>
      <c r="AQ167" s="630"/>
      <c r="AR167" s="592">
        <f>I167</f>
        <v>2400</v>
      </c>
      <c r="AS167" s="630"/>
      <c r="AT167" s="630"/>
      <c r="AU167" s="621"/>
      <c r="AV167" s="621"/>
      <c r="AW167" s="592">
        <f t="shared" si="72"/>
        <v>2400</v>
      </c>
      <c r="AX167" s="621"/>
      <c r="AY167" s="621"/>
      <c r="AZ167" s="621"/>
      <c r="BA167" s="621"/>
      <c r="BB167" s="621"/>
      <c r="BC167" s="621"/>
      <c r="BD167" s="621"/>
      <c r="BE167" s="623"/>
      <c r="BF167" s="602" t="s">
        <v>165</v>
      </c>
      <c r="BG167" s="603"/>
      <c r="BH167" s="604">
        <f t="shared" si="104"/>
        <v>400</v>
      </c>
      <c r="BI167" s="605">
        <f t="shared" si="105"/>
        <v>400</v>
      </c>
      <c r="BJ167" s="602">
        <f t="shared" si="106"/>
        <v>400</v>
      </c>
      <c r="BK167" s="602">
        <f t="shared" si="107"/>
        <v>400</v>
      </c>
      <c r="BL167" s="602">
        <f t="shared" si="108"/>
        <v>400</v>
      </c>
      <c r="BM167" s="602">
        <f t="shared" si="109"/>
        <v>400</v>
      </c>
      <c r="BN167" s="631"/>
      <c r="BO167" s="631"/>
      <c r="BP167" s="631"/>
      <c r="BQ167" s="631"/>
      <c r="BR167" s="631"/>
      <c r="BS167" s="631"/>
      <c r="BT167" s="607">
        <f t="shared" si="79"/>
        <v>2400</v>
      </c>
      <c r="BU167" s="608">
        <f t="shared" si="80"/>
        <v>0</v>
      </c>
      <c r="BV167" s="609"/>
      <c r="BW167" s="491"/>
    </row>
    <row r="168" s="490" customFormat="1" ht="33" customHeight="1" spans="1:75">
      <c r="A168" s="577">
        <v>45755</v>
      </c>
      <c r="B168" s="581" t="s">
        <v>980</v>
      </c>
      <c r="C168" s="579" t="s">
        <v>793</v>
      </c>
      <c r="D168" s="580">
        <v>4500162922</v>
      </c>
      <c r="E168" s="588">
        <v>4504192366</v>
      </c>
      <c r="F168" s="580" t="s">
        <v>981</v>
      </c>
      <c r="G168" s="582" t="s">
        <v>81</v>
      </c>
      <c r="H168" s="578" t="s">
        <v>95</v>
      </c>
      <c r="I168" s="583">
        <v>504</v>
      </c>
      <c r="J168" s="583">
        <v>0</v>
      </c>
      <c r="K168" s="583">
        <v>6</v>
      </c>
      <c r="L168" s="584">
        <f t="shared" si="99"/>
        <v>84</v>
      </c>
      <c r="M168" s="585">
        <v>45792</v>
      </c>
      <c r="N168" s="585">
        <v>45789</v>
      </c>
      <c r="O168" s="586" t="s">
        <v>982</v>
      </c>
      <c r="P168" s="586" t="s">
        <v>83</v>
      </c>
      <c r="Q168" s="587" t="s">
        <v>983</v>
      </c>
      <c r="R168" s="586" t="s">
        <v>984</v>
      </c>
      <c r="S168" s="586"/>
      <c r="T168" s="586"/>
      <c r="U168" s="586" t="s">
        <v>985</v>
      </c>
      <c r="V168" s="586"/>
      <c r="W168" s="586"/>
      <c r="X168" s="588" t="s">
        <v>986</v>
      </c>
      <c r="Y168" s="618" t="s">
        <v>243</v>
      </c>
      <c r="Z168" s="590">
        <v>5.7196</v>
      </c>
      <c r="AA168" s="591">
        <f t="shared" si="103"/>
        <v>2882.6784</v>
      </c>
      <c r="AB168" s="619"/>
      <c r="AC168" s="582" t="s">
        <v>235</v>
      </c>
      <c r="AD168" s="593" t="s">
        <v>89</v>
      </c>
      <c r="AE168" s="589"/>
      <c r="AF168" s="589"/>
      <c r="AG168" s="595"/>
      <c r="AH168" s="589"/>
      <c r="AI168" s="589"/>
      <c r="AJ168" s="595">
        <f>I168</f>
        <v>504</v>
      </c>
      <c r="AK168" s="629"/>
      <c r="AL168" s="589"/>
      <c r="AM168" s="589"/>
      <c r="AN168" s="598">
        <f t="shared" ref="AN168:AN188" si="110">I168</f>
        <v>504</v>
      </c>
      <c r="AO168" s="621"/>
      <c r="AP168" s="621"/>
      <c r="AQ168" s="621"/>
      <c r="AR168" s="592"/>
      <c r="AS168" s="621"/>
      <c r="AT168" s="621"/>
      <c r="AU168" s="621">
        <f>I168</f>
        <v>504</v>
      </c>
      <c r="AV168" s="621"/>
      <c r="AW168" s="592">
        <f t="shared" si="72"/>
        <v>504</v>
      </c>
      <c r="AX168" s="621"/>
      <c r="AY168" s="621"/>
      <c r="AZ168" s="621"/>
      <c r="BA168" s="621"/>
      <c r="BB168" s="621"/>
      <c r="BC168" s="621"/>
      <c r="BD168" s="621"/>
      <c r="BE168" s="623"/>
      <c r="BF168" s="602" t="s">
        <v>165</v>
      </c>
      <c r="BG168" s="603"/>
      <c r="BH168" s="604">
        <f t="shared" si="104"/>
        <v>84</v>
      </c>
      <c r="BI168" s="605">
        <f t="shared" si="105"/>
        <v>84</v>
      </c>
      <c r="BJ168" s="602">
        <f t="shared" si="106"/>
        <v>84</v>
      </c>
      <c r="BK168" s="602">
        <f t="shared" si="107"/>
        <v>84</v>
      </c>
      <c r="BL168" s="602">
        <f t="shared" si="108"/>
        <v>84</v>
      </c>
      <c r="BM168" s="602">
        <f t="shared" si="109"/>
        <v>84</v>
      </c>
      <c r="BN168" s="605"/>
      <c r="BO168" s="605"/>
      <c r="BP168" s="605"/>
      <c r="BQ168" s="605"/>
      <c r="BR168" s="605"/>
      <c r="BS168" s="605"/>
      <c r="BT168" s="607">
        <f t="shared" si="79"/>
        <v>504</v>
      </c>
      <c r="BU168" s="608">
        <f t="shared" si="80"/>
        <v>0</v>
      </c>
      <c r="BV168" s="491"/>
      <c r="BW168" s="491"/>
    </row>
    <row r="169" s="490" customFormat="1" ht="33" customHeight="1" spans="1:75">
      <c r="A169" s="577">
        <v>45734</v>
      </c>
      <c r="B169" s="581" t="s">
        <v>987</v>
      </c>
      <c r="C169" s="579" t="s">
        <v>334</v>
      </c>
      <c r="D169" s="580">
        <v>4500160573</v>
      </c>
      <c r="E169" s="616">
        <v>5251215530</v>
      </c>
      <c r="F169" s="580" t="s">
        <v>988</v>
      </c>
      <c r="G169" s="582" t="s">
        <v>81</v>
      </c>
      <c r="H169" s="578" t="s">
        <v>989</v>
      </c>
      <c r="I169" s="583">
        <v>3204</v>
      </c>
      <c r="J169" s="583">
        <v>0</v>
      </c>
      <c r="K169" s="583">
        <v>6</v>
      </c>
      <c r="L169" s="584">
        <f t="shared" si="99"/>
        <v>534</v>
      </c>
      <c r="M169" s="585">
        <v>45798</v>
      </c>
      <c r="N169" s="585">
        <v>45794</v>
      </c>
      <c r="O169" s="586"/>
      <c r="P169" s="586" t="s">
        <v>83</v>
      </c>
      <c r="Q169" s="587" t="s">
        <v>990</v>
      </c>
      <c r="R169" s="586" t="s">
        <v>964</v>
      </c>
      <c r="S169" s="586"/>
      <c r="T169" s="586"/>
      <c r="U169" s="586" t="s">
        <v>991</v>
      </c>
      <c r="V169" s="586"/>
      <c r="W169" s="586" t="s">
        <v>992</v>
      </c>
      <c r="X169" s="588" t="s">
        <v>993</v>
      </c>
      <c r="Y169" s="618" t="s">
        <v>340</v>
      </c>
      <c r="Z169" s="590">
        <v>5.8864</v>
      </c>
      <c r="AA169" s="591">
        <f t="shared" si="103"/>
        <v>18860.0256</v>
      </c>
      <c r="AB169" s="619"/>
      <c r="AC169" s="582" t="s">
        <v>235</v>
      </c>
      <c r="AD169" s="593" t="s">
        <v>89</v>
      </c>
      <c r="AE169" s="589"/>
      <c r="AF169" s="589">
        <v>3204</v>
      </c>
      <c r="AG169" s="595"/>
      <c r="AH169" s="589">
        <v>3204</v>
      </c>
      <c r="AI169" s="589"/>
      <c r="AJ169" s="595">
        <f>I169</f>
        <v>3204</v>
      </c>
      <c r="AK169" s="629"/>
      <c r="AL169" s="589"/>
      <c r="AM169" s="589"/>
      <c r="AN169" s="598">
        <f t="shared" si="110"/>
        <v>3204</v>
      </c>
      <c r="AO169" s="621"/>
      <c r="AP169" s="621"/>
      <c r="AQ169" s="621"/>
      <c r="AR169" s="592"/>
      <c r="AS169" s="621"/>
      <c r="AT169" s="621"/>
      <c r="AU169" s="621">
        <f>I169</f>
        <v>3204</v>
      </c>
      <c r="AV169" s="621"/>
      <c r="AW169" s="592">
        <f t="shared" si="72"/>
        <v>3204</v>
      </c>
      <c r="AX169" s="621"/>
      <c r="AY169" s="621"/>
      <c r="AZ169" s="621"/>
      <c r="BA169" s="621"/>
      <c r="BB169" s="621"/>
      <c r="BC169" s="621"/>
      <c r="BD169" s="621"/>
      <c r="BE169" s="623"/>
      <c r="BF169" s="602" t="s">
        <v>90</v>
      </c>
      <c r="BG169" s="603"/>
      <c r="BH169" s="604">
        <f t="shared" si="104"/>
        <v>534</v>
      </c>
      <c r="BI169" s="605">
        <f t="shared" si="105"/>
        <v>534</v>
      </c>
      <c r="BJ169" s="602">
        <f t="shared" si="106"/>
        <v>534</v>
      </c>
      <c r="BK169" s="602">
        <f t="shared" si="107"/>
        <v>534</v>
      </c>
      <c r="BL169" s="602">
        <f t="shared" si="108"/>
        <v>534</v>
      </c>
      <c r="BM169" s="602">
        <f t="shared" si="109"/>
        <v>534</v>
      </c>
      <c r="BN169" s="605"/>
      <c r="BO169" s="605"/>
      <c r="BP169" s="605"/>
      <c r="BQ169" s="605"/>
      <c r="BR169" s="605"/>
      <c r="BS169" s="605"/>
      <c r="BT169" s="607">
        <f t="shared" si="79"/>
        <v>3204</v>
      </c>
      <c r="BU169" s="608">
        <f t="shared" si="80"/>
        <v>0</v>
      </c>
      <c r="BV169" s="491"/>
      <c r="BW169" s="491"/>
    </row>
    <row r="170" s="490" customFormat="1" ht="33" customHeight="1" spans="1:75">
      <c r="A170" s="577">
        <v>45762</v>
      </c>
      <c r="B170" s="581" t="s">
        <v>994</v>
      </c>
      <c r="C170" s="579" t="s">
        <v>892</v>
      </c>
      <c r="D170" s="580">
        <v>4500163838</v>
      </c>
      <c r="E170" s="616" t="s">
        <v>995</v>
      </c>
      <c r="F170" s="580" t="s">
        <v>996</v>
      </c>
      <c r="G170" s="582" t="s">
        <v>81</v>
      </c>
      <c r="H170" s="578" t="s">
        <v>95</v>
      </c>
      <c r="I170" s="583">
        <v>360</v>
      </c>
      <c r="J170" s="583">
        <v>0</v>
      </c>
      <c r="K170" s="583">
        <v>6</v>
      </c>
      <c r="L170" s="584">
        <f t="shared" si="99"/>
        <v>60</v>
      </c>
      <c r="M170" s="585">
        <v>45800</v>
      </c>
      <c r="N170" s="585">
        <v>45800</v>
      </c>
      <c r="O170" s="586"/>
      <c r="P170" s="586" t="s">
        <v>83</v>
      </c>
      <c r="Q170" s="587"/>
      <c r="R170" s="586" t="s">
        <v>954</v>
      </c>
      <c r="S170" s="586"/>
      <c r="T170" s="586"/>
      <c r="U170" s="586" t="s">
        <v>997</v>
      </c>
      <c r="V170" s="586"/>
      <c r="W170" s="586"/>
      <c r="X170" s="588" t="s">
        <v>998</v>
      </c>
      <c r="Y170" s="618" t="s">
        <v>243</v>
      </c>
      <c r="Z170" s="590">
        <v>5.905</v>
      </c>
      <c r="AA170" s="591">
        <f t="shared" si="103"/>
        <v>2125.8</v>
      </c>
      <c r="AB170" s="619"/>
      <c r="AC170" s="582" t="s">
        <v>235</v>
      </c>
      <c r="AD170" s="593" t="s">
        <v>89</v>
      </c>
      <c r="AE170" s="589"/>
      <c r="AF170" s="589"/>
      <c r="AG170" s="595"/>
      <c r="AH170" s="589"/>
      <c r="AI170" s="589"/>
      <c r="AJ170" s="595">
        <f>I170</f>
        <v>360</v>
      </c>
      <c r="AK170" s="629"/>
      <c r="AL170" s="589"/>
      <c r="AM170" s="589"/>
      <c r="AN170" s="598">
        <f t="shared" si="110"/>
        <v>360</v>
      </c>
      <c r="AO170" s="621"/>
      <c r="AP170" s="621"/>
      <c r="AQ170" s="621"/>
      <c r="AR170" s="592"/>
      <c r="AS170" s="621"/>
      <c r="AT170" s="621"/>
      <c r="AU170" s="621">
        <f>I170</f>
        <v>360</v>
      </c>
      <c r="AV170" s="621"/>
      <c r="AW170" s="592">
        <f t="shared" si="72"/>
        <v>360</v>
      </c>
      <c r="AX170" s="621"/>
      <c r="AY170" s="621"/>
      <c r="AZ170" s="621"/>
      <c r="BA170" s="621"/>
      <c r="BB170" s="621"/>
      <c r="BC170" s="621"/>
      <c r="BD170" s="621"/>
      <c r="BE170" s="623"/>
      <c r="BF170" s="602" t="s">
        <v>90</v>
      </c>
      <c r="BG170" s="603"/>
      <c r="BH170" s="604">
        <f t="shared" si="104"/>
        <v>60</v>
      </c>
      <c r="BI170" s="605">
        <f t="shared" si="105"/>
        <v>60</v>
      </c>
      <c r="BJ170" s="602">
        <f t="shared" si="106"/>
        <v>60</v>
      </c>
      <c r="BK170" s="602">
        <f t="shared" si="107"/>
        <v>60</v>
      </c>
      <c r="BL170" s="602">
        <f t="shared" si="108"/>
        <v>60</v>
      </c>
      <c r="BM170" s="602">
        <f t="shared" si="109"/>
        <v>60</v>
      </c>
      <c r="BN170" s="605"/>
      <c r="BO170" s="605"/>
      <c r="BP170" s="605"/>
      <c r="BQ170" s="605"/>
      <c r="BR170" s="605"/>
      <c r="BS170" s="605"/>
      <c r="BT170" s="607">
        <f t="shared" si="79"/>
        <v>360</v>
      </c>
      <c r="BU170" s="608">
        <f t="shared" si="80"/>
        <v>0</v>
      </c>
      <c r="BV170" s="491"/>
      <c r="BW170" s="491"/>
    </row>
    <row r="171" s="490" customFormat="1" ht="33" customHeight="1" spans="1:75">
      <c r="A171" s="577">
        <v>45749</v>
      </c>
      <c r="B171" s="581" t="s">
        <v>999</v>
      </c>
      <c r="C171" s="579" t="s">
        <v>725</v>
      </c>
      <c r="D171" s="580">
        <v>4500162283</v>
      </c>
      <c r="E171" s="616"/>
      <c r="F171" s="580" t="s">
        <v>1000</v>
      </c>
      <c r="G171" s="582" t="s">
        <v>81</v>
      </c>
      <c r="H171" s="578" t="s">
        <v>95</v>
      </c>
      <c r="I171" s="583">
        <v>252</v>
      </c>
      <c r="J171" s="583">
        <v>0</v>
      </c>
      <c r="K171" s="583">
        <v>6</v>
      </c>
      <c r="L171" s="584">
        <f t="shared" si="99"/>
        <v>42</v>
      </c>
      <c r="M171" s="585">
        <v>45803</v>
      </c>
      <c r="N171" s="585">
        <v>45799</v>
      </c>
      <c r="O171" s="586"/>
      <c r="P171" s="586" t="s">
        <v>83</v>
      </c>
      <c r="Q171" s="587" t="s">
        <v>990</v>
      </c>
      <c r="R171" s="586" t="s">
        <v>1001</v>
      </c>
      <c r="S171" s="586"/>
      <c r="T171" s="586"/>
      <c r="U171" s="586" t="s">
        <v>1002</v>
      </c>
      <c r="V171" s="586"/>
      <c r="W171" s="586"/>
      <c r="X171" s="588" t="s">
        <v>1003</v>
      </c>
      <c r="Y171" s="618" t="s">
        <v>1004</v>
      </c>
      <c r="Z171" s="590">
        <v>5.7196</v>
      </c>
      <c r="AA171" s="591">
        <f t="shared" si="103"/>
        <v>1441.3392</v>
      </c>
      <c r="AB171" s="619"/>
      <c r="AC171" s="582" t="s">
        <v>81</v>
      </c>
      <c r="AD171" s="593" t="s">
        <v>89</v>
      </c>
      <c r="AE171" s="589"/>
      <c r="AF171" s="589"/>
      <c r="AG171" s="595">
        <f>I171</f>
        <v>252</v>
      </c>
      <c r="AH171" s="589"/>
      <c r="AI171" s="589"/>
      <c r="AJ171" s="589"/>
      <c r="AK171" s="629"/>
      <c r="AL171" s="589"/>
      <c r="AM171" s="589"/>
      <c r="AN171" s="598">
        <f t="shared" si="110"/>
        <v>252</v>
      </c>
      <c r="AO171" s="621"/>
      <c r="AP171" s="621"/>
      <c r="AQ171" s="621"/>
      <c r="AR171" s="592">
        <f>I171</f>
        <v>252</v>
      </c>
      <c r="AS171" s="621"/>
      <c r="AT171" s="621"/>
      <c r="AU171" s="621"/>
      <c r="AV171" s="621"/>
      <c r="AW171" s="592">
        <f t="shared" si="72"/>
        <v>252</v>
      </c>
      <c r="AX171" s="621"/>
      <c r="AY171" s="621"/>
      <c r="AZ171" s="621"/>
      <c r="BA171" s="621"/>
      <c r="BB171" s="621"/>
      <c r="BC171" s="621"/>
      <c r="BD171" s="621"/>
      <c r="BE171" s="623"/>
      <c r="BF171" s="602" t="s">
        <v>90</v>
      </c>
      <c r="BG171" s="603"/>
      <c r="BH171" s="604">
        <f t="shared" si="104"/>
        <v>42</v>
      </c>
      <c r="BI171" s="605">
        <f t="shared" si="105"/>
        <v>42</v>
      </c>
      <c r="BJ171" s="602">
        <f t="shared" si="106"/>
        <v>42</v>
      </c>
      <c r="BK171" s="602">
        <f t="shared" si="107"/>
        <v>42</v>
      </c>
      <c r="BL171" s="602">
        <f t="shared" si="108"/>
        <v>42</v>
      </c>
      <c r="BM171" s="602">
        <f t="shared" si="109"/>
        <v>42</v>
      </c>
      <c r="BN171" s="605"/>
      <c r="BO171" s="605"/>
      <c r="BP171" s="605"/>
      <c r="BQ171" s="605"/>
      <c r="BR171" s="605"/>
      <c r="BS171" s="605"/>
      <c r="BT171" s="607">
        <f t="shared" si="79"/>
        <v>252</v>
      </c>
      <c r="BU171" s="608">
        <f t="shared" si="80"/>
        <v>0</v>
      </c>
      <c r="BV171" s="491"/>
      <c r="BW171" s="491"/>
    </row>
    <row r="172" s="490" customFormat="1" ht="33" customHeight="1" spans="1:75">
      <c r="A172" s="577">
        <v>45763</v>
      </c>
      <c r="B172" s="581" t="s">
        <v>1005</v>
      </c>
      <c r="C172" s="579" t="s">
        <v>359</v>
      </c>
      <c r="D172" s="580">
        <v>4500163912</v>
      </c>
      <c r="E172" s="616" t="s">
        <v>1006</v>
      </c>
      <c r="F172" s="580" t="s">
        <v>1007</v>
      </c>
      <c r="G172" s="582" t="s">
        <v>81</v>
      </c>
      <c r="H172" s="578" t="s">
        <v>95</v>
      </c>
      <c r="I172" s="583">
        <v>1680</v>
      </c>
      <c r="J172" s="583">
        <v>0</v>
      </c>
      <c r="K172" s="583">
        <v>6</v>
      </c>
      <c r="L172" s="584">
        <f t="shared" si="99"/>
        <v>280</v>
      </c>
      <c r="M172" s="585">
        <v>45807</v>
      </c>
      <c r="N172" s="585">
        <v>45803</v>
      </c>
      <c r="O172" s="586"/>
      <c r="P172" s="586" t="s">
        <v>83</v>
      </c>
      <c r="Q172" s="587" t="s">
        <v>1008</v>
      </c>
      <c r="R172" s="586" t="s">
        <v>1009</v>
      </c>
      <c r="S172" s="586"/>
      <c r="T172" s="586"/>
      <c r="U172" s="586" t="s">
        <v>1010</v>
      </c>
      <c r="V172" s="586"/>
      <c r="W172" s="586"/>
      <c r="X172" s="588" t="s">
        <v>1011</v>
      </c>
      <c r="Y172" s="618" t="s">
        <v>439</v>
      </c>
      <c r="Z172" s="590">
        <v>5.7753</v>
      </c>
      <c r="AA172" s="591">
        <f t="shared" ref="AA172:AA182" si="111">Z172*I172</f>
        <v>9702.504</v>
      </c>
      <c r="AB172" s="619"/>
      <c r="AC172" s="582" t="s">
        <v>235</v>
      </c>
      <c r="AD172" s="593" t="s">
        <v>89</v>
      </c>
      <c r="AE172" s="628"/>
      <c r="AF172" s="628"/>
      <c r="AG172" s="595"/>
      <c r="AH172" s="628"/>
      <c r="AI172" s="628"/>
      <c r="AJ172" s="595">
        <f>I172</f>
        <v>1680</v>
      </c>
      <c r="AK172" s="629"/>
      <c r="AL172" s="628"/>
      <c r="AM172" s="628"/>
      <c r="AN172" s="598">
        <f t="shared" si="110"/>
        <v>1680</v>
      </c>
      <c r="AO172" s="621"/>
      <c r="AP172" s="630"/>
      <c r="AQ172" s="630"/>
      <c r="AR172" s="592"/>
      <c r="AS172" s="630"/>
      <c r="AT172" s="630"/>
      <c r="AU172" s="621">
        <f>I172</f>
        <v>1680</v>
      </c>
      <c r="AV172" s="621"/>
      <c r="AW172" s="592">
        <f t="shared" si="72"/>
        <v>1680</v>
      </c>
      <c r="AX172" s="621"/>
      <c r="AY172" s="621"/>
      <c r="AZ172" s="621"/>
      <c r="BA172" s="621"/>
      <c r="BB172" s="621"/>
      <c r="BC172" s="621"/>
      <c r="BD172" s="621"/>
      <c r="BE172" s="623"/>
      <c r="BF172" s="602" t="s">
        <v>90</v>
      </c>
      <c r="BG172" s="603"/>
      <c r="BH172" s="604">
        <f t="shared" ref="BH172:BH180" si="112">I172/6</f>
        <v>280</v>
      </c>
      <c r="BI172" s="605">
        <f t="shared" ref="BI172:BI180" si="113">I172/6</f>
        <v>280</v>
      </c>
      <c r="BJ172" s="602">
        <f t="shared" ref="BJ172:BJ180" si="114">I172/6</f>
        <v>280</v>
      </c>
      <c r="BK172" s="602">
        <f t="shared" ref="BK172:BK180" si="115">I172/6</f>
        <v>280</v>
      </c>
      <c r="BL172" s="602">
        <f t="shared" ref="BL172:BL180" si="116">I172/6</f>
        <v>280</v>
      </c>
      <c r="BM172" s="602">
        <f t="shared" ref="BM172:BM180" si="117">I172/6</f>
        <v>280</v>
      </c>
      <c r="BN172" s="631"/>
      <c r="BO172" s="631"/>
      <c r="BP172" s="631"/>
      <c r="BQ172" s="631"/>
      <c r="BR172" s="631"/>
      <c r="BS172" s="631"/>
      <c r="BT172" s="607">
        <f t="shared" si="79"/>
        <v>1680</v>
      </c>
      <c r="BU172" s="608">
        <f t="shared" si="80"/>
        <v>0</v>
      </c>
      <c r="BV172" s="609"/>
      <c r="BW172" s="491"/>
    </row>
    <row r="173" s="490" customFormat="1" ht="33" customHeight="1" spans="1:75">
      <c r="A173" s="577">
        <v>45755</v>
      </c>
      <c r="B173" s="581" t="s">
        <v>1012</v>
      </c>
      <c r="C173" s="579" t="s">
        <v>1013</v>
      </c>
      <c r="D173" s="580">
        <v>4500162935</v>
      </c>
      <c r="E173" s="616" t="s">
        <v>1014</v>
      </c>
      <c r="F173" s="580" t="s">
        <v>1015</v>
      </c>
      <c r="G173" s="582" t="s">
        <v>1016</v>
      </c>
      <c r="H173" s="578" t="s">
        <v>95</v>
      </c>
      <c r="I173" s="583">
        <v>3600</v>
      </c>
      <c r="J173" s="583">
        <v>0</v>
      </c>
      <c r="K173" s="583">
        <v>1</v>
      </c>
      <c r="L173" s="584">
        <f t="shared" si="99"/>
        <v>3600</v>
      </c>
      <c r="M173" s="585">
        <v>45810</v>
      </c>
      <c r="N173" s="585">
        <f t="shared" ref="N173:N182" si="118">M173-4</f>
        <v>45806</v>
      </c>
      <c r="O173" s="586"/>
      <c r="P173" s="586" t="s">
        <v>83</v>
      </c>
      <c r="Q173" s="587" t="s">
        <v>1017</v>
      </c>
      <c r="R173" s="586" t="s">
        <v>1018</v>
      </c>
      <c r="S173" s="586"/>
      <c r="T173" s="586"/>
      <c r="U173" s="586" t="s">
        <v>1019</v>
      </c>
      <c r="V173" s="586"/>
      <c r="W173" s="586"/>
      <c r="X173" s="588" t="s">
        <v>1020</v>
      </c>
      <c r="Y173" s="618" t="s">
        <v>447</v>
      </c>
      <c r="Z173" s="590">
        <v>5.6385</v>
      </c>
      <c r="AA173" s="591">
        <f t="shared" si="111"/>
        <v>20298.6</v>
      </c>
      <c r="AB173" s="619"/>
      <c r="AC173" s="638" t="s">
        <v>1016</v>
      </c>
      <c r="AD173" s="593" t="s">
        <v>89</v>
      </c>
      <c r="AE173" s="628"/>
      <c r="AF173" s="628"/>
      <c r="AG173" s="595">
        <f>I173</f>
        <v>3600</v>
      </c>
      <c r="AH173" s="628"/>
      <c r="AI173" s="628"/>
      <c r="AJ173" s="589"/>
      <c r="AK173" s="629"/>
      <c r="AL173" s="628"/>
      <c r="AM173" s="628"/>
      <c r="AN173" s="598">
        <f t="shared" si="110"/>
        <v>3600</v>
      </c>
      <c r="AO173" s="621"/>
      <c r="AP173" s="630"/>
      <c r="AQ173" s="630"/>
      <c r="AR173" s="592">
        <f>I173</f>
        <v>3600</v>
      </c>
      <c r="AS173" s="630"/>
      <c r="AT173" s="630"/>
      <c r="AU173" s="621"/>
      <c r="AV173" s="621"/>
      <c r="AW173" s="592">
        <f t="shared" si="72"/>
        <v>3600</v>
      </c>
      <c r="AX173" s="621"/>
      <c r="AY173" s="621"/>
      <c r="AZ173" s="621"/>
      <c r="BA173" s="621"/>
      <c r="BB173" s="621"/>
      <c r="BC173" s="621"/>
      <c r="BD173" s="621"/>
      <c r="BE173" s="623"/>
      <c r="BF173" s="602" t="s">
        <v>165</v>
      </c>
      <c r="BG173" s="603"/>
      <c r="BH173" s="604">
        <f t="shared" si="112"/>
        <v>600</v>
      </c>
      <c r="BI173" s="605">
        <f t="shared" si="113"/>
        <v>600</v>
      </c>
      <c r="BJ173" s="602">
        <f t="shared" si="114"/>
        <v>600</v>
      </c>
      <c r="BK173" s="602">
        <f t="shared" si="115"/>
        <v>600</v>
      </c>
      <c r="BL173" s="602">
        <f t="shared" si="116"/>
        <v>600</v>
      </c>
      <c r="BM173" s="602">
        <f t="shared" si="117"/>
        <v>600</v>
      </c>
      <c r="BN173" s="631"/>
      <c r="BO173" s="631"/>
      <c r="BP173" s="631"/>
      <c r="BQ173" s="631"/>
      <c r="BR173" s="631"/>
      <c r="BS173" s="631"/>
      <c r="BT173" s="607">
        <f t="shared" si="79"/>
        <v>3600</v>
      </c>
      <c r="BU173" s="608">
        <f t="shared" si="80"/>
        <v>0</v>
      </c>
      <c r="BV173" s="609"/>
      <c r="BW173" s="491"/>
    </row>
    <row r="174" s="490" customFormat="1" ht="33" customHeight="1" spans="1:75">
      <c r="A174" s="577">
        <v>45763</v>
      </c>
      <c r="B174" s="581" t="s">
        <v>254</v>
      </c>
      <c r="C174" s="579" t="s">
        <v>255</v>
      </c>
      <c r="D174" s="580">
        <v>4500163864</v>
      </c>
      <c r="E174" s="588">
        <v>20784125</v>
      </c>
      <c r="F174" s="580" t="s">
        <v>1021</v>
      </c>
      <c r="G174" s="582" t="s">
        <v>81</v>
      </c>
      <c r="H174" s="578" t="s">
        <v>95</v>
      </c>
      <c r="I174" s="583">
        <v>1326</v>
      </c>
      <c r="J174" s="583">
        <v>0</v>
      </c>
      <c r="K174" s="583">
        <v>6</v>
      </c>
      <c r="L174" s="584">
        <f t="shared" si="99"/>
        <v>221</v>
      </c>
      <c r="M174" s="585">
        <v>45810</v>
      </c>
      <c r="N174" s="585">
        <f t="shared" si="118"/>
        <v>45806</v>
      </c>
      <c r="O174" s="586"/>
      <c r="P174" s="586" t="s">
        <v>83</v>
      </c>
      <c r="Q174" s="587" t="s">
        <v>1022</v>
      </c>
      <c r="R174" s="586" t="s">
        <v>1023</v>
      </c>
      <c r="S174" s="586"/>
      <c r="T174" s="586"/>
      <c r="U174" s="586" t="s">
        <v>1024</v>
      </c>
      <c r="V174" s="586"/>
      <c r="W174" s="586"/>
      <c r="X174" s="588" t="s">
        <v>1025</v>
      </c>
      <c r="Y174" s="618" t="s">
        <v>252</v>
      </c>
      <c r="Z174" s="590">
        <v>6.1607</v>
      </c>
      <c r="AA174" s="591">
        <f t="shared" si="111"/>
        <v>8169.0882</v>
      </c>
      <c r="AB174" s="619"/>
      <c r="AC174" s="582" t="s">
        <v>81</v>
      </c>
      <c r="AD174" s="593" t="s">
        <v>89</v>
      </c>
      <c r="AE174" s="628"/>
      <c r="AF174" s="628"/>
      <c r="AG174" s="595">
        <f>I174</f>
        <v>1326</v>
      </c>
      <c r="AH174" s="628"/>
      <c r="AI174" s="628"/>
      <c r="AJ174" s="595"/>
      <c r="AK174" s="629"/>
      <c r="AL174" s="628"/>
      <c r="AM174" s="628"/>
      <c r="AN174" s="598">
        <f t="shared" si="110"/>
        <v>1326</v>
      </c>
      <c r="AO174" s="621"/>
      <c r="AP174" s="630"/>
      <c r="AQ174" s="630"/>
      <c r="AR174" s="592">
        <f>I174</f>
        <v>1326</v>
      </c>
      <c r="AS174" s="630"/>
      <c r="AT174" s="630"/>
      <c r="AU174" s="621"/>
      <c r="AV174" s="621"/>
      <c r="AW174" s="592">
        <f t="shared" ref="AW174:AW221" si="119">I174</f>
        <v>1326</v>
      </c>
      <c r="AX174" s="621"/>
      <c r="AY174" s="621"/>
      <c r="AZ174" s="621"/>
      <c r="BA174" s="621"/>
      <c r="BB174" s="621"/>
      <c r="BC174" s="621"/>
      <c r="BD174" s="621"/>
      <c r="BE174" s="623"/>
      <c r="BF174" s="602" t="s">
        <v>90</v>
      </c>
      <c r="BG174" s="603"/>
      <c r="BH174" s="604">
        <f t="shared" si="112"/>
        <v>221</v>
      </c>
      <c r="BI174" s="605">
        <f t="shared" si="113"/>
        <v>221</v>
      </c>
      <c r="BJ174" s="602">
        <f t="shared" si="114"/>
        <v>221</v>
      </c>
      <c r="BK174" s="602">
        <f t="shared" si="115"/>
        <v>221</v>
      </c>
      <c r="BL174" s="602">
        <f t="shared" si="116"/>
        <v>221</v>
      </c>
      <c r="BM174" s="602">
        <f t="shared" si="117"/>
        <v>221</v>
      </c>
      <c r="BN174" s="631"/>
      <c r="BO174" s="631"/>
      <c r="BP174" s="631"/>
      <c r="BQ174" s="631"/>
      <c r="BR174" s="631"/>
      <c r="BS174" s="631"/>
      <c r="BT174" s="607">
        <f t="shared" ref="BT174:BT188" si="120">SUM(BH174:BS174)</f>
        <v>1326</v>
      </c>
      <c r="BU174" s="608">
        <f t="shared" ref="BU174:BU188" si="121">I174-BT174</f>
        <v>0</v>
      </c>
      <c r="BV174" s="609"/>
      <c r="BW174" s="491"/>
    </row>
    <row r="175" s="490" customFormat="1" ht="33" customHeight="1" spans="1:75">
      <c r="A175" s="577">
        <v>45763</v>
      </c>
      <c r="B175" s="581" t="s">
        <v>245</v>
      </c>
      <c r="C175" s="579" t="s">
        <v>246</v>
      </c>
      <c r="D175" s="580">
        <v>4500163861</v>
      </c>
      <c r="E175" s="588">
        <v>20784126</v>
      </c>
      <c r="F175" s="580" t="s">
        <v>1026</v>
      </c>
      <c r="G175" s="582" t="s">
        <v>81</v>
      </c>
      <c r="H175" s="578" t="s">
        <v>95</v>
      </c>
      <c r="I175" s="583">
        <v>174</v>
      </c>
      <c r="J175" s="583">
        <v>0</v>
      </c>
      <c r="K175" s="583">
        <v>6</v>
      </c>
      <c r="L175" s="584">
        <f t="shared" si="99"/>
        <v>29</v>
      </c>
      <c r="M175" s="585">
        <v>45810</v>
      </c>
      <c r="N175" s="585">
        <f t="shared" si="118"/>
        <v>45806</v>
      </c>
      <c r="O175" s="586"/>
      <c r="P175" s="586" t="s">
        <v>83</v>
      </c>
      <c r="Q175" s="587" t="s">
        <v>1022</v>
      </c>
      <c r="R175" s="586" t="s">
        <v>1023</v>
      </c>
      <c r="S175" s="586"/>
      <c r="T175" s="586"/>
      <c r="U175" s="586" t="s">
        <v>1024</v>
      </c>
      <c r="V175" s="586"/>
      <c r="W175" s="586"/>
      <c r="X175" s="588" t="s">
        <v>1027</v>
      </c>
      <c r="Y175" s="618" t="s">
        <v>252</v>
      </c>
      <c r="Z175" s="590">
        <v>6.1607</v>
      </c>
      <c r="AA175" s="591">
        <f t="shared" si="111"/>
        <v>1071.9618</v>
      </c>
      <c r="AB175" s="619"/>
      <c r="AC175" s="582" t="s">
        <v>81</v>
      </c>
      <c r="AD175" s="593" t="s">
        <v>89</v>
      </c>
      <c r="AE175" s="628"/>
      <c r="AF175" s="628"/>
      <c r="AG175" s="595">
        <f>I175</f>
        <v>174</v>
      </c>
      <c r="AH175" s="628"/>
      <c r="AI175" s="628"/>
      <c r="AJ175" s="595"/>
      <c r="AK175" s="629"/>
      <c r="AL175" s="628"/>
      <c r="AM175" s="628"/>
      <c r="AN175" s="598">
        <f t="shared" si="110"/>
        <v>174</v>
      </c>
      <c r="AO175" s="621"/>
      <c r="AP175" s="630"/>
      <c r="AQ175" s="630"/>
      <c r="AR175" s="592">
        <f>I175</f>
        <v>174</v>
      </c>
      <c r="AS175" s="630"/>
      <c r="AT175" s="630"/>
      <c r="AU175" s="621"/>
      <c r="AV175" s="621"/>
      <c r="AW175" s="592">
        <f t="shared" si="119"/>
        <v>174</v>
      </c>
      <c r="AX175" s="621"/>
      <c r="AY175" s="621"/>
      <c r="AZ175" s="621"/>
      <c r="BA175" s="621"/>
      <c r="BB175" s="621"/>
      <c r="BC175" s="621"/>
      <c r="BD175" s="621"/>
      <c r="BE175" s="623"/>
      <c r="BF175" s="602" t="s">
        <v>90</v>
      </c>
      <c r="BG175" s="603"/>
      <c r="BH175" s="604">
        <f t="shared" si="112"/>
        <v>29</v>
      </c>
      <c r="BI175" s="605">
        <f t="shared" si="113"/>
        <v>29</v>
      </c>
      <c r="BJ175" s="602">
        <f t="shared" si="114"/>
        <v>29</v>
      </c>
      <c r="BK175" s="602">
        <f t="shared" si="115"/>
        <v>29</v>
      </c>
      <c r="BL175" s="602">
        <f t="shared" si="116"/>
        <v>29</v>
      </c>
      <c r="BM175" s="602">
        <f t="shared" si="117"/>
        <v>29</v>
      </c>
      <c r="BN175" s="631"/>
      <c r="BO175" s="631"/>
      <c r="BP175" s="631"/>
      <c r="BQ175" s="631"/>
      <c r="BR175" s="631"/>
      <c r="BS175" s="631"/>
      <c r="BT175" s="607">
        <f t="shared" si="120"/>
        <v>174</v>
      </c>
      <c r="BU175" s="608">
        <f t="shared" si="121"/>
        <v>0</v>
      </c>
      <c r="BV175" s="609"/>
      <c r="BW175" s="491"/>
    </row>
    <row r="176" s="490" customFormat="1" ht="33" customHeight="1" spans="1:75">
      <c r="A176" s="577">
        <v>45772</v>
      </c>
      <c r="B176" s="581" t="s">
        <v>994</v>
      </c>
      <c r="C176" s="579" t="s">
        <v>892</v>
      </c>
      <c r="D176" s="580">
        <v>4500164898</v>
      </c>
      <c r="E176" s="616" t="s">
        <v>1028</v>
      </c>
      <c r="F176" s="580" t="s">
        <v>1029</v>
      </c>
      <c r="G176" s="582" t="s">
        <v>81</v>
      </c>
      <c r="H176" s="578" t="s">
        <v>95</v>
      </c>
      <c r="I176" s="583">
        <v>504</v>
      </c>
      <c r="J176" s="583">
        <v>0</v>
      </c>
      <c r="K176" s="583">
        <v>6</v>
      </c>
      <c r="L176" s="584">
        <f t="shared" si="99"/>
        <v>84</v>
      </c>
      <c r="M176" s="585">
        <v>45810</v>
      </c>
      <c r="N176" s="585">
        <f t="shared" si="118"/>
        <v>45806</v>
      </c>
      <c r="O176" s="586"/>
      <c r="P176" s="586" t="s">
        <v>83</v>
      </c>
      <c r="Q176" s="587" t="s">
        <v>1030</v>
      </c>
      <c r="R176" s="586" t="s">
        <v>1031</v>
      </c>
      <c r="S176" s="586"/>
      <c r="T176" s="586"/>
      <c r="U176" s="586" t="s">
        <v>1032</v>
      </c>
      <c r="V176" s="586"/>
      <c r="W176" s="586"/>
      <c r="X176" s="588" t="s">
        <v>1033</v>
      </c>
      <c r="Y176" s="618" t="s">
        <v>243</v>
      </c>
      <c r="Z176" s="590">
        <v>5.7828</v>
      </c>
      <c r="AA176" s="591">
        <f t="shared" si="111"/>
        <v>2914.5312</v>
      </c>
      <c r="AB176" s="619"/>
      <c r="AC176" s="582" t="s">
        <v>235</v>
      </c>
      <c r="AD176" s="593" t="s">
        <v>89</v>
      </c>
      <c r="AE176" s="628"/>
      <c r="AF176" s="628"/>
      <c r="AG176" s="595"/>
      <c r="AH176" s="628"/>
      <c r="AI176" s="628"/>
      <c r="AJ176" s="595">
        <f>I176</f>
        <v>504</v>
      </c>
      <c r="AK176" s="629"/>
      <c r="AL176" s="628"/>
      <c r="AM176" s="628"/>
      <c r="AN176" s="598">
        <f t="shared" si="110"/>
        <v>504</v>
      </c>
      <c r="AO176" s="621"/>
      <c r="AP176" s="630"/>
      <c r="AQ176" s="630"/>
      <c r="AR176" s="592"/>
      <c r="AS176" s="630"/>
      <c r="AT176" s="630"/>
      <c r="AU176" s="621">
        <f>I176</f>
        <v>504</v>
      </c>
      <c r="AV176" s="621"/>
      <c r="AW176" s="592">
        <f t="shared" si="119"/>
        <v>504</v>
      </c>
      <c r="AX176" s="621"/>
      <c r="AY176" s="621"/>
      <c r="AZ176" s="621"/>
      <c r="BA176" s="621"/>
      <c r="BB176" s="621"/>
      <c r="BC176" s="621"/>
      <c r="BD176" s="621"/>
      <c r="BE176" s="623"/>
      <c r="BF176" s="602" t="s">
        <v>90</v>
      </c>
      <c r="BG176" s="603"/>
      <c r="BH176" s="604">
        <f t="shared" si="112"/>
        <v>84</v>
      </c>
      <c r="BI176" s="605">
        <f t="shared" si="113"/>
        <v>84</v>
      </c>
      <c r="BJ176" s="602">
        <f t="shared" si="114"/>
        <v>84</v>
      </c>
      <c r="BK176" s="602">
        <f t="shared" si="115"/>
        <v>84</v>
      </c>
      <c r="BL176" s="602">
        <f t="shared" si="116"/>
        <v>84</v>
      </c>
      <c r="BM176" s="602">
        <f t="shared" si="117"/>
        <v>84</v>
      </c>
      <c r="BN176" s="631"/>
      <c r="BO176" s="631"/>
      <c r="BP176" s="631"/>
      <c r="BQ176" s="631"/>
      <c r="BR176" s="631"/>
      <c r="BS176" s="631"/>
      <c r="BT176" s="607">
        <f t="shared" si="120"/>
        <v>504</v>
      </c>
      <c r="BU176" s="608">
        <f t="shared" si="121"/>
        <v>0</v>
      </c>
      <c r="BV176" s="609"/>
      <c r="BW176" s="491"/>
    </row>
    <row r="177" s="490" customFormat="1" ht="33" customHeight="1" spans="1:75">
      <c r="A177" s="577">
        <v>45772</v>
      </c>
      <c r="B177" s="581" t="s">
        <v>1034</v>
      </c>
      <c r="C177" s="579" t="s">
        <v>92</v>
      </c>
      <c r="D177" s="580">
        <v>4500164950</v>
      </c>
      <c r="E177" s="588">
        <v>217111499</v>
      </c>
      <c r="F177" s="580" t="s">
        <v>1035</v>
      </c>
      <c r="G177" s="582" t="s">
        <v>1016</v>
      </c>
      <c r="H177" s="578" t="s">
        <v>95</v>
      </c>
      <c r="I177" s="583">
        <v>520</v>
      </c>
      <c r="J177" s="583">
        <v>0</v>
      </c>
      <c r="K177" s="583">
        <v>1</v>
      </c>
      <c r="L177" s="584">
        <f t="shared" si="99"/>
        <v>520</v>
      </c>
      <c r="M177" s="585">
        <v>45810</v>
      </c>
      <c r="N177" s="585">
        <f t="shared" si="118"/>
        <v>45806</v>
      </c>
      <c r="O177" s="586"/>
      <c r="P177" s="586" t="s">
        <v>83</v>
      </c>
      <c r="Q177" s="587" t="s">
        <v>1036</v>
      </c>
      <c r="R177" s="586" t="s">
        <v>1037</v>
      </c>
      <c r="S177" s="586"/>
      <c r="T177" s="586"/>
      <c r="U177" s="586" t="s">
        <v>86</v>
      </c>
      <c r="V177" s="586"/>
      <c r="W177" s="586"/>
      <c r="X177" s="588" t="s">
        <v>1038</v>
      </c>
      <c r="Y177" s="618" t="s">
        <v>1039</v>
      </c>
      <c r="Z177" s="590">
        <v>3.7708</v>
      </c>
      <c r="AA177" s="591">
        <f t="shared" si="111"/>
        <v>1960.816</v>
      </c>
      <c r="AB177" s="619" t="s">
        <v>1040</v>
      </c>
      <c r="AC177" s="638" t="s">
        <v>1016</v>
      </c>
      <c r="AD177" s="593" t="s">
        <v>89</v>
      </c>
      <c r="AE177" s="628"/>
      <c r="AF177" s="628"/>
      <c r="AG177" s="595">
        <f>I177</f>
        <v>520</v>
      </c>
      <c r="AH177" s="628"/>
      <c r="AI177" s="628"/>
      <c r="AJ177" s="595"/>
      <c r="AK177" s="629"/>
      <c r="AL177" s="628"/>
      <c r="AM177" s="628"/>
      <c r="AN177" s="598">
        <f t="shared" si="110"/>
        <v>520</v>
      </c>
      <c r="AO177" s="621"/>
      <c r="AP177" s="630"/>
      <c r="AQ177" s="630"/>
      <c r="AR177" s="592">
        <f>I177</f>
        <v>520</v>
      </c>
      <c r="AS177" s="630"/>
      <c r="AT177" s="630"/>
      <c r="AU177" s="621"/>
      <c r="AV177" s="621"/>
      <c r="AW177" s="592">
        <f t="shared" si="119"/>
        <v>520</v>
      </c>
      <c r="AX177" s="621"/>
      <c r="AY177" s="621"/>
      <c r="AZ177" s="621"/>
      <c r="BA177" s="621"/>
      <c r="BB177" s="621"/>
      <c r="BC177" s="621"/>
      <c r="BD177" s="621"/>
      <c r="BE177" s="623"/>
      <c r="BF177" s="602" t="s">
        <v>90</v>
      </c>
      <c r="BG177" s="603"/>
      <c r="BH177" s="632">
        <f t="shared" si="112"/>
        <v>86.6666666666667</v>
      </c>
      <c r="BI177" s="633">
        <f t="shared" si="113"/>
        <v>86.6666666666667</v>
      </c>
      <c r="BJ177" s="633">
        <f t="shared" si="114"/>
        <v>86.6666666666667</v>
      </c>
      <c r="BK177" s="633">
        <f t="shared" si="115"/>
        <v>86.6666666666667</v>
      </c>
      <c r="BL177" s="633">
        <f t="shared" si="116"/>
        <v>86.6666666666667</v>
      </c>
      <c r="BM177" s="633">
        <f t="shared" si="117"/>
        <v>86.6666666666667</v>
      </c>
      <c r="BN177" s="646"/>
      <c r="BO177" s="646"/>
      <c r="BP177" s="646"/>
      <c r="BQ177" s="646"/>
      <c r="BR177" s="646"/>
      <c r="BS177" s="646"/>
      <c r="BT177" s="607">
        <f t="shared" si="120"/>
        <v>520</v>
      </c>
      <c r="BU177" s="647">
        <f t="shared" si="121"/>
        <v>0</v>
      </c>
      <c r="BV177" s="609"/>
      <c r="BW177" s="491"/>
    </row>
    <row r="178" s="490" customFormat="1" ht="33" customHeight="1" spans="1:75">
      <c r="A178" s="577">
        <v>45772</v>
      </c>
      <c r="B178" s="581" t="s">
        <v>1034</v>
      </c>
      <c r="C178" s="579" t="s">
        <v>92</v>
      </c>
      <c r="D178" s="580">
        <v>4500164979</v>
      </c>
      <c r="E178" s="588">
        <v>217111546</v>
      </c>
      <c r="F178" s="580" t="s">
        <v>1041</v>
      </c>
      <c r="G178" s="582" t="s">
        <v>1016</v>
      </c>
      <c r="H178" s="578" t="s">
        <v>95</v>
      </c>
      <c r="I178" s="583">
        <v>280</v>
      </c>
      <c r="J178" s="583">
        <v>0</v>
      </c>
      <c r="K178" s="583">
        <v>1</v>
      </c>
      <c r="L178" s="584">
        <f t="shared" si="99"/>
        <v>280</v>
      </c>
      <c r="M178" s="585">
        <v>45810</v>
      </c>
      <c r="N178" s="585">
        <f t="shared" si="118"/>
        <v>45806</v>
      </c>
      <c r="O178" s="586"/>
      <c r="P178" s="586" t="s">
        <v>83</v>
      </c>
      <c r="Q178" s="587" t="s">
        <v>1036</v>
      </c>
      <c r="R178" s="586" t="s">
        <v>1037</v>
      </c>
      <c r="S178" s="586"/>
      <c r="T178" s="586"/>
      <c r="U178" s="586" t="s">
        <v>86</v>
      </c>
      <c r="V178" s="586"/>
      <c r="W178" s="586"/>
      <c r="X178" s="588" t="s">
        <v>1038</v>
      </c>
      <c r="Y178" s="618" t="s">
        <v>1039</v>
      </c>
      <c r="Z178" s="590">
        <v>3.394</v>
      </c>
      <c r="AA178" s="591">
        <f t="shared" si="111"/>
        <v>950.32</v>
      </c>
      <c r="AB178" s="619" t="s">
        <v>1042</v>
      </c>
      <c r="AC178" s="638" t="s">
        <v>1016</v>
      </c>
      <c r="AD178" s="593" t="s">
        <v>89</v>
      </c>
      <c r="AE178" s="628"/>
      <c r="AF178" s="628"/>
      <c r="AG178" s="595">
        <f>I178</f>
        <v>280</v>
      </c>
      <c r="AH178" s="628"/>
      <c r="AI178" s="628"/>
      <c r="AJ178" s="595"/>
      <c r="AK178" s="629"/>
      <c r="AL178" s="628"/>
      <c r="AM178" s="628"/>
      <c r="AN178" s="598">
        <f t="shared" si="110"/>
        <v>280</v>
      </c>
      <c r="AO178" s="621"/>
      <c r="AP178" s="630"/>
      <c r="AQ178" s="630"/>
      <c r="AR178" s="592">
        <f>I178</f>
        <v>280</v>
      </c>
      <c r="AS178" s="630"/>
      <c r="AT178" s="630"/>
      <c r="AU178" s="621"/>
      <c r="AV178" s="621"/>
      <c r="AW178" s="592">
        <f t="shared" si="119"/>
        <v>280</v>
      </c>
      <c r="AX178" s="621"/>
      <c r="AY178" s="621"/>
      <c r="AZ178" s="621"/>
      <c r="BA178" s="621"/>
      <c r="BB178" s="621"/>
      <c r="BC178" s="621"/>
      <c r="BD178" s="621"/>
      <c r="BE178" s="623"/>
      <c r="BF178" s="602" t="s">
        <v>90</v>
      </c>
      <c r="BG178" s="603"/>
      <c r="BH178" s="632">
        <f t="shared" si="112"/>
        <v>46.6666666666667</v>
      </c>
      <c r="BI178" s="633">
        <f t="shared" si="113"/>
        <v>46.6666666666667</v>
      </c>
      <c r="BJ178" s="633">
        <f t="shared" si="114"/>
        <v>46.6666666666667</v>
      </c>
      <c r="BK178" s="633">
        <f t="shared" si="115"/>
        <v>46.6666666666667</v>
      </c>
      <c r="BL178" s="633">
        <f t="shared" si="116"/>
        <v>46.6666666666667</v>
      </c>
      <c r="BM178" s="633">
        <f t="shared" si="117"/>
        <v>46.6666666666667</v>
      </c>
      <c r="BN178" s="646"/>
      <c r="BO178" s="646"/>
      <c r="BP178" s="646"/>
      <c r="BQ178" s="646"/>
      <c r="BR178" s="646"/>
      <c r="BS178" s="646"/>
      <c r="BT178" s="607">
        <f t="shared" si="120"/>
        <v>280</v>
      </c>
      <c r="BU178" s="647">
        <f t="shared" si="121"/>
        <v>0</v>
      </c>
      <c r="BV178" s="609"/>
      <c r="BW178" s="491"/>
    </row>
    <row r="179" s="490" customFormat="1" ht="33" customHeight="1" spans="1:75">
      <c r="A179" s="577">
        <v>45765</v>
      </c>
      <c r="B179" s="581" t="s">
        <v>1043</v>
      </c>
      <c r="C179" s="579" t="s">
        <v>1044</v>
      </c>
      <c r="D179" s="580">
        <v>4500164226</v>
      </c>
      <c r="E179" s="616" t="s">
        <v>1045</v>
      </c>
      <c r="F179" s="580" t="s">
        <v>1046</v>
      </c>
      <c r="G179" s="582" t="s">
        <v>81</v>
      </c>
      <c r="H179" s="578" t="s">
        <v>95</v>
      </c>
      <c r="I179" s="583">
        <v>960</v>
      </c>
      <c r="J179" s="583">
        <v>0</v>
      </c>
      <c r="K179" s="583">
        <v>6</v>
      </c>
      <c r="L179" s="584">
        <f t="shared" si="99"/>
        <v>160</v>
      </c>
      <c r="M179" s="585">
        <v>45811</v>
      </c>
      <c r="N179" s="585">
        <f t="shared" si="118"/>
        <v>45807</v>
      </c>
      <c r="O179" s="586"/>
      <c r="P179" s="586" t="s">
        <v>83</v>
      </c>
      <c r="Q179" s="587" t="s">
        <v>1047</v>
      </c>
      <c r="R179" s="586" t="s">
        <v>964</v>
      </c>
      <c r="S179" s="586"/>
      <c r="T179" s="586"/>
      <c r="U179" s="586" t="s">
        <v>1048</v>
      </c>
      <c r="V179" s="586"/>
      <c r="W179" s="586"/>
      <c r="X179" s="588" t="s">
        <v>1049</v>
      </c>
      <c r="Y179" s="618" t="s">
        <v>1050</v>
      </c>
      <c r="Z179" s="590">
        <v>5.6013</v>
      </c>
      <c r="AA179" s="591">
        <f t="shared" si="111"/>
        <v>5377.248</v>
      </c>
      <c r="AB179" s="619"/>
      <c r="AC179" s="582" t="s">
        <v>235</v>
      </c>
      <c r="AD179" s="593" t="s">
        <v>89</v>
      </c>
      <c r="AE179" s="628"/>
      <c r="AF179" s="628"/>
      <c r="AG179" s="595"/>
      <c r="AH179" s="628"/>
      <c r="AI179" s="628"/>
      <c r="AJ179" s="595">
        <f>I179</f>
        <v>960</v>
      </c>
      <c r="AK179" s="629"/>
      <c r="AL179" s="628"/>
      <c r="AM179" s="628"/>
      <c r="AN179" s="598">
        <f t="shared" si="110"/>
        <v>960</v>
      </c>
      <c r="AO179" s="621"/>
      <c r="AP179" s="630"/>
      <c r="AQ179" s="630"/>
      <c r="AR179" s="592"/>
      <c r="AS179" s="630"/>
      <c r="AT179" s="630"/>
      <c r="AU179" s="621">
        <f>I179</f>
        <v>960</v>
      </c>
      <c r="AV179" s="621"/>
      <c r="AW179" s="592">
        <f t="shared" si="119"/>
        <v>960</v>
      </c>
      <c r="AX179" s="621"/>
      <c r="AY179" s="621"/>
      <c r="AZ179" s="621"/>
      <c r="BA179" s="621"/>
      <c r="BB179" s="621"/>
      <c r="BC179" s="621"/>
      <c r="BD179" s="621"/>
      <c r="BE179" s="623"/>
      <c r="BF179" s="602" t="s">
        <v>90</v>
      </c>
      <c r="BG179" s="603"/>
      <c r="BH179" s="604">
        <f t="shared" si="112"/>
        <v>160</v>
      </c>
      <c r="BI179" s="605">
        <f t="shared" si="113"/>
        <v>160</v>
      </c>
      <c r="BJ179" s="602">
        <f t="shared" si="114"/>
        <v>160</v>
      </c>
      <c r="BK179" s="602">
        <f t="shared" si="115"/>
        <v>160</v>
      </c>
      <c r="BL179" s="602">
        <f t="shared" si="116"/>
        <v>160</v>
      </c>
      <c r="BM179" s="602">
        <f t="shared" si="117"/>
        <v>160</v>
      </c>
      <c r="BN179" s="631"/>
      <c r="BO179" s="631"/>
      <c r="BP179" s="631"/>
      <c r="BQ179" s="631"/>
      <c r="BR179" s="631"/>
      <c r="BS179" s="631"/>
      <c r="BT179" s="607">
        <f t="shared" si="120"/>
        <v>960</v>
      </c>
      <c r="BU179" s="608">
        <f t="shared" si="121"/>
        <v>0</v>
      </c>
      <c r="BV179" s="609"/>
      <c r="BW179" s="491"/>
    </row>
    <row r="180" s="490" customFormat="1" ht="33" customHeight="1" spans="1:75">
      <c r="A180" s="577">
        <v>45789</v>
      </c>
      <c r="B180" s="581" t="s">
        <v>885</v>
      </c>
      <c r="C180" s="579" t="s">
        <v>92</v>
      </c>
      <c r="D180" s="580">
        <v>4500166073</v>
      </c>
      <c r="E180" s="588">
        <v>917251807</v>
      </c>
      <c r="F180" s="580" t="s">
        <v>1051</v>
      </c>
      <c r="G180" s="582" t="s">
        <v>155</v>
      </c>
      <c r="H180" s="578" t="s">
        <v>156</v>
      </c>
      <c r="I180" s="583">
        <v>540</v>
      </c>
      <c r="J180" s="583">
        <v>1</v>
      </c>
      <c r="K180" s="583">
        <v>108</v>
      </c>
      <c r="L180" s="584">
        <f t="shared" si="99"/>
        <v>5</v>
      </c>
      <c r="M180" s="585">
        <v>45810</v>
      </c>
      <c r="N180" s="585">
        <f t="shared" si="118"/>
        <v>45806</v>
      </c>
      <c r="O180" s="586" t="s">
        <v>1052</v>
      </c>
      <c r="P180" s="586" t="s">
        <v>83</v>
      </c>
      <c r="Q180" s="587" t="s">
        <v>1053</v>
      </c>
      <c r="R180" s="586" t="s">
        <v>888</v>
      </c>
      <c r="S180" s="586"/>
      <c r="T180" s="586"/>
      <c r="U180" s="586" t="s">
        <v>665</v>
      </c>
      <c r="V180" s="586" t="s">
        <v>161</v>
      </c>
      <c r="W180" s="586"/>
      <c r="X180" s="588" t="s">
        <v>1054</v>
      </c>
      <c r="Y180" s="618" t="s">
        <v>1055</v>
      </c>
      <c r="Z180" s="590">
        <v>383.702</v>
      </c>
      <c r="AA180" s="591">
        <f>Z180*L180</f>
        <v>1918.51</v>
      </c>
      <c r="AB180" s="619"/>
      <c r="AC180" s="582" t="s">
        <v>155</v>
      </c>
      <c r="AD180" s="593" t="s">
        <v>89</v>
      </c>
      <c r="AE180" s="628"/>
      <c r="AF180" s="628"/>
      <c r="AG180" s="595">
        <f>I180</f>
        <v>540</v>
      </c>
      <c r="AH180" s="628"/>
      <c r="AI180" s="628"/>
      <c r="AJ180" s="637"/>
      <c r="AK180" s="629"/>
      <c r="AL180" s="628"/>
      <c r="AM180" s="628"/>
      <c r="AN180" s="598">
        <f t="shared" si="110"/>
        <v>540</v>
      </c>
      <c r="AO180" s="621"/>
      <c r="AP180" s="630"/>
      <c r="AQ180" s="630"/>
      <c r="AR180" s="592">
        <f>I180</f>
        <v>540</v>
      </c>
      <c r="AS180" s="630"/>
      <c r="AT180" s="630"/>
      <c r="AU180" s="621"/>
      <c r="AV180" s="621"/>
      <c r="AW180" s="592">
        <f t="shared" si="119"/>
        <v>540</v>
      </c>
      <c r="AX180" s="621"/>
      <c r="AY180" s="621"/>
      <c r="AZ180" s="621"/>
      <c r="BA180" s="621"/>
      <c r="BB180" s="621"/>
      <c r="BC180" s="621"/>
      <c r="BD180" s="621"/>
      <c r="BE180" s="623"/>
      <c r="BF180" s="602" t="s">
        <v>165</v>
      </c>
      <c r="BG180" s="603"/>
      <c r="BH180" s="604">
        <f t="shared" si="112"/>
        <v>90</v>
      </c>
      <c r="BI180" s="605">
        <f t="shared" si="113"/>
        <v>90</v>
      </c>
      <c r="BJ180" s="602">
        <f t="shared" si="114"/>
        <v>90</v>
      </c>
      <c r="BK180" s="602">
        <f t="shared" si="115"/>
        <v>90</v>
      </c>
      <c r="BL180" s="602">
        <f t="shared" si="116"/>
        <v>90</v>
      </c>
      <c r="BM180" s="602">
        <f t="shared" si="117"/>
        <v>90</v>
      </c>
      <c r="BN180" s="631"/>
      <c r="BO180" s="631"/>
      <c r="BP180" s="631"/>
      <c r="BQ180" s="631"/>
      <c r="BR180" s="631"/>
      <c r="BS180" s="631"/>
      <c r="BT180" s="607">
        <f t="shared" si="120"/>
        <v>540</v>
      </c>
      <c r="BU180" s="608">
        <f t="shared" si="121"/>
        <v>0</v>
      </c>
      <c r="BV180" s="609"/>
      <c r="BW180" s="491"/>
    </row>
    <row r="181" s="490" customFormat="1" ht="33" customHeight="1" spans="1:75">
      <c r="A181" s="577">
        <v>45756</v>
      </c>
      <c r="B181" s="581" t="s">
        <v>1056</v>
      </c>
      <c r="C181" s="579" t="s">
        <v>334</v>
      </c>
      <c r="D181" s="580">
        <v>4500163057</v>
      </c>
      <c r="E181" s="616" t="s">
        <v>1057</v>
      </c>
      <c r="F181" s="580" t="s">
        <v>1058</v>
      </c>
      <c r="G181" s="582" t="s">
        <v>1059</v>
      </c>
      <c r="H181" s="578" t="s">
        <v>123</v>
      </c>
      <c r="I181" s="583">
        <v>136</v>
      </c>
      <c r="J181" s="583">
        <v>0</v>
      </c>
      <c r="K181" s="583">
        <v>4</v>
      </c>
      <c r="L181" s="584">
        <f t="shared" si="99"/>
        <v>34</v>
      </c>
      <c r="M181" s="585">
        <v>45812</v>
      </c>
      <c r="N181" s="585">
        <f t="shared" si="118"/>
        <v>45808</v>
      </c>
      <c r="O181" s="586" t="s">
        <v>1060</v>
      </c>
      <c r="P181" s="586" t="s">
        <v>83</v>
      </c>
      <c r="Q181" s="587" t="s">
        <v>1061</v>
      </c>
      <c r="R181" s="586" t="s">
        <v>1062</v>
      </c>
      <c r="S181" s="586"/>
      <c r="T181" s="586"/>
      <c r="U181" s="586" t="s">
        <v>1063</v>
      </c>
      <c r="V181" s="586" t="s">
        <v>1064</v>
      </c>
      <c r="W181" s="586" t="s">
        <v>1065</v>
      </c>
      <c r="X181" s="588" t="s">
        <v>1066</v>
      </c>
      <c r="Y181" s="618" t="s">
        <v>340</v>
      </c>
      <c r="Z181" s="590">
        <v>6.1338</v>
      </c>
      <c r="AA181" s="591">
        <f>Z181*I181</f>
        <v>834.1968</v>
      </c>
      <c r="AB181" s="619"/>
      <c r="AC181" s="638" t="s">
        <v>1067</v>
      </c>
      <c r="AD181" s="593" t="s">
        <v>89</v>
      </c>
      <c r="AE181" s="628"/>
      <c r="AF181" s="628"/>
      <c r="AG181" s="595"/>
      <c r="AH181" s="628"/>
      <c r="AI181" s="628"/>
      <c r="AJ181" s="595">
        <f>I181</f>
        <v>136</v>
      </c>
      <c r="AK181" s="629"/>
      <c r="AL181" s="628"/>
      <c r="AM181" s="628"/>
      <c r="AN181" s="598">
        <f t="shared" si="110"/>
        <v>136</v>
      </c>
      <c r="AO181" s="621"/>
      <c r="AP181" s="630"/>
      <c r="AQ181" s="630"/>
      <c r="AR181" s="592"/>
      <c r="AS181" s="630"/>
      <c r="AT181" s="630"/>
      <c r="AU181" s="621">
        <f>I181</f>
        <v>136</v>
      </c>
      <c r="AV181" s="621"/>
      <c r="AW181" s="592">
        <f t="shared" si="119"/>
        <v>136</v>
      </c>
      <c r="AX181" s="621"/>
      <c r="AY181" s="621"/>
      <c r="AZ181" s="621"/>
      <c r="BA181" s="621"/>
      <c r="BB181" s="621"/>
      <c r="BC181" s="621"/>
      <c r="BD181" s="621"/>
      <c r="BE181" s="623"/>
      <c r="BF181" s="602" t="s">
        <v>165</v>
      </c>
      <c r="BG181" s="603"/>
      <c r="BH181" s="604"/>
      <c r="BI181" s="605">
        <f>I181</f>
        <v>136</v>
      </c>
      <c r="BJ181" s="602"/>
      <c r="BK181" s="602"/>
      <c r="BL181" s="602"/>
      <c r="BM181" s="602"/>
      <c r="BN181" s="631"/>
      <c r="BO181" s="631"/>
      <c r="BP181" s="631"/>
      <c r="BQ181" s="631"/>
      <c r="BR181" s="631"/>
      <c r="BS181" s="631"/>
      <c r="BT181" s="607">
        <f t="shared" si="120"/>
        <v>136</v>
      </c>
      <c r="BU181" s="608">
        <f t="shared" si="121"/>
        <v>0</v>
      </c>
      <c r="BV181" s="609"/>
      <c r="BW181" s="491"/>
    </row>
    <row r="182" s="490" customFormat="1" ht="33" customHeight="1" spans="1:75">
      <c r="A182" s="577">
        <v>45756</v>
      </c>
      <c r="B182" s="581" t="s">
        <v>1056</v>
      </c>
      <c r="C182" s="579" t="s">
        <v>334</v>
      </c>
      <c r="D182" s="580">
        <v>4500163057</v>
      </c>
      <c r="E182" s="616" t="s">
        <v>1068</v>
      </c>
      <c r="F182" s="580" t="s">
        <v>1069</v>
      </c>
      <c r="G182" s="582" t="s">
        <v>1059</v>
      </c>
      <c r="H182" s="578" t="s">
        <v>123</v>
      </c>
      <c r="I182" s="583">
        <v>12</v>
      </c>
      <c r="J182" s="583">
        <v>0</v>
      </c>
      <c r="K182" s="583">
        <v>4</v>
      </c>
      <c r="L182" s="584">
        <f t="shared" si="99"/>
        <v>3</v>
      </c>
      <c r="M182" s="585">
        <v>45812</v>
      </c>
      <c r="N182" s="585">
        <f t="shared" si="118"/>
        <v>45808</v>
      </c>
      <c r="O182" s="586" t="s">
        <v>1060</v>
      </c>
      <c r="P182" s="586" t="s">
        <v>83</v>
      </c>
      <c r="Q182" s="587" t="s">
        <v>1061</v>
      </c>
      <c r="R182" s="586" t="s">
        <v>1062</v>
      </c>
      <c r="S182" s="586"/>
      <c r="T182" s="586"/>
      <c r="U182" s="586" t="s">
        <v>1063</v>
      </c>
      <c r="V182" s="586" t="s">
        <v>1064</v>
      </c>
      <c r="W182" s="586" t="s">
        <v>1065</v>
      </c>
      <c r="X182" s="588" t="s">
        <v>1066</v>
      </c>
      <c r="Y182" s="618" t="s">
        <v>340</v>
      </c>
      <c r="Z182" s="590">
        <v>6.1338</v>
      </c>
      <c r="AA182" s="591">
        <f>Z182*I182</f>
        <v>73.6056</v>
      </c>
      <c r="AB182" s="619"/>
      <c r="AC182" s="638" t="s">
        <v>1067</v>
      </c>
      <c r="AD182" s="593" t="s">
        <v>89</v>
      </c>
      <c r="AE182" s="628"/>
      <c r="AF182" s="628"/>
      <c r="AG182" s="595"/>
      <c r="AH182" s="628"/>
      <c r="AI182" s="628"/>
      <c r="AJ182" s="595">
        <f>I182</f>
        <v>12</v>
      </c>
      <c r="AK182" s="629"/>
      <c r="AL182" s="628"/>
      <c r="AM182" s="628"/>
      <c r="AN182" s="598">
        <f t="shared" si="110"/>
        <v>12</v>
      </c>
      <c r="AO182" s="621"/>
      <c r="AP182" s="630"/>
      <c r="AQ182" s="630"/>
      <c r="AR182" s="592"/>
      <c r="AS182" s="630"/>
      <c r="AT182" s="630"/>
      <c r="AU182" s="621">
        <f>I182</f>
        <v>12</v>
      </c>
      <c r="AV182" s="621"/>
      <c r="AW182" s="592">
        <f t="shared" si="119"/>
        <v>12</v>
      </c>
      <c r="AX182" s="621"/>
      <c r="AY182" s="621"/>
      <c r="AZ182" s="621"/>
      <c r="BA182" s="621"/>
      <c r="BB182" s="621"/>
      <c r="BC182" s="621"/>
      <c r="BD182" s="621"/>
      <c r="BE182" s="623"/>
      <c r="BF182" s="602" t="s">
        <v>165</v>
      </c>
      <c r="BG182" s="603"/>
      <c r="BH182" s="604"/>
      <c r="BI182" s="605">
        <f>I182</f>
        <v>12</v>
      </c>
      <c r="BJ182" s="602"/>
      <c r="BK182" s="602"/>
      <c r="BL182" s="602"/>
      <c r="BM182" s="602"/>
      <c r="BN182" s="631"/>
      <c r="BO182" s="631"/>
      <c r="BP182" s="631"/>
      <c r="BQ182" s="631"/>
      <c r="BR182" s="631"/>
      <c r="BS182" s="631"/>
      <c r="BT182" s="607">
        <f t="shared" si="120"/>
        <v>12</v>
      </c>
      <c r="BU182" s="608">
        <f t="shared" si="121"/>
        <v>0</v>
      </c>
      <c r="BV182" s="609"/>
      <c r="BW182" s="491"/>
    </row>
    <row r="183" s="490" customFormat="1" ht="33" customHeight="1" spans="1:75">
      <c r="A183" s="577">
        <v>45771</v>
      </c>
      <c r="B183" s="581" t="s">
        <v>590</v>
      </c>
      <c r="C183" s="579" t="s">
        <v>334</v>
      </c>
      <c r="D183" s="580">
        <v>4500164861</v>
      </c>
      <c r="E183" s="588">
        <v>50212500921</v>
      </c>
      <c r="F183" s="580" t="s">
        <v>1070</v>
      </c>
      <c r="G183" s="582" t="s">
        <v>81</v>
      </c>
      <c r="H183" s="578" t="s">
        <v>95</v>
      </c>
      <c r="I183" s="583">
        <v>1068</v>
      </c>
      <c r="J183" s="583">
        <v>0</v>
      </c>
      <c r="K183" s="583">
        <v>6</v>
      </c>
      <c r="L183" s="584">
        <f t="shared" si="99"/>
        <v>178</v>
      </c>
      <c r="M183" s="585">
        <v>45813</v>
      </c>
      <c r="N183" s="585">
        <v>45810</v>
      </c>
      <c r="O183" s="586"/>
      <c r="P183" s="586" t="s">
        <v>83</v>
      </c>
      <c r="Q183" s="587" t="s">
        <v>1071</v>
      </c>
      <c r="R183" s="586" t="s">
        <v>1072</v>
      </c>
      <c r="S183" s="586"/>
      <c r="T183" s="586"/>
      <c r="U183" s="586" t="s">
        <v>1073</v>
      </c>
      <c r="V183" s="586" t="s">
        <v>1074</v>
      </c>
      <c r="W183" s="586"/>
      <c r="X183" s="588" t="s">
        <v>1075</v>
      </c>
      <c r="Y183" s="618" t="s">
        <v>243</v>
      </c>
      <c r="Z183" s="590">
        <v>5.7753</v>
      </c>
      <c r="AA183" s="591">
        <f>Z183*I183</f>
        <v>6168.0204</v>
      </c>
      <c r="AB183" s="619"/>
      <c r="AC183" s="582" t="s">
        <v>235</v>
      </c>
      <c r="AD183" s="593" t="s">
        <v>89</v>
      </c>
      <c r="AE183" s="628"/>
      <c r="AF183" s="628"/>
      <c r="AG183" s="595"/>
      <c r="AH183" s="628"/>
      <c r="AI183" s="628"/>
      <c r="AJ183" s="595">
        <f>I183</f>
        <v>1068</v>
      </c>
      <c r="AK183" s="629"/>
      <c r="AL183" s="628"/>
      <c r="AM183" s="628"/>
      <c r="AN183" s="598">
        <f t="shared" si="110"/>
        <v>1068</v>
      </c>
      <c r="AO183" s="621"/>
      <c r="AP183" s="630"/>
      <c r="AQ183" s="630"/>
      <c r="AR183" s="592"/>
      <c r="AS183" s="630"/>
      <c r="AT183" s="630"/>
      <c r="AU183" s="621">
        <f>I183</f>
        <v>1068</v>
      </c>
      <c r="AV183" s="621"/>
      <c r="AW183" s="592">
        <f t="shared" si="119"/>
        <v>1068</v>
      </c>
      <c r="AX183" s="621"/>
      <c r="AY183" s="621"/>
      <c r="AZ183" s="621"/>
      <c r="BA183" s="621"/>
      <c r="BB183" s="621"/>
      <c r="BC183" s="621"/>
      <c r="BD183" s="621"/>
      <c r="BE183" s="623"/>
      <c r="BF183" s="602" t="s">
        <v>90</v>
      </c>
      <c r="BG183" s="603"/>
      <c r="BH183" s="604">
        <f t="shared" ref="BH183:BH188" si="122">I183/6</f>
        <v>178</v>
      </c>
      <c r="BI183" s="605">
        <f t="shared" ref="BI183:BI188" si="123">I183/6</f>
        <v>178</v>
      </c>
      <c r="BJ183" s="602">
        <f t="shared" ref="BJ183:BJ188" si="124">I183/6</f>
        <v>178</v>
      </c>
      <c r="BK183" s="602">
        <f t="shared" ref="BK183:BK188" si="125">I183/6</f>
        <v>178</v>
      </c>
      <c r="BL183" s="602">
        <f t="shared" ref="BL183:BL188" si="126">I183/6</f>
        <v>178</v>
      </c>
      <c r="BM183" s="602">
        <f t="shared" ref="BM183:BM188" si="127">I183/6</f>
        <v>178</v>
      </c>
      <c r="BN183" s="631"/>
      <c r="BO183" s="631"/>
      <c r="BP183" s="631"/>
      <c r="BQ183" s="631"/>
      <c r="BR183" s="631"/>
      <c r="BS183" s="631"/>
      <c r="BT183" s="607">
        <f t="shared" si="120"/>
        <v>1068</v>
      </c>
      <c r="BU183" s="608">
        <f t="shared" si="121"/>
        <v>0</v>
      </c>
      <c r="BV183" s="609"/>
      <c r="BW183" s="491"/>
    </row>
    <row r="184" s="490" customFormat="1" ht="33" customHeight="1" spans="1:75">
      <c r="A184" s="577">
        <v>45789</v>
      </c>
      <c r="B184" s="581" t="s">
        <v>885</v>
      </c>
      <c r="C184" s="579" t="s">
        <v>92</v>
      </c>
      <c r="D184" s="580">
        <v>4500166073</v>
      </c>
      <c r="E184" s="588">
        <v>917251806</v>
      </c>
      <c r="F184" s="580" t="s">
        <v>1076</v>
      </c>
      <c r="G184" s="582" t="s">
        <v>155</v>
      </c>
      <c r="H184" s="578" t="s">
        <v>156</v>
      </c>
      <c r="I184" s="583">
        <v>540</v>
      </c>
      <c r="J184" s="583">
        <v>1</v>
      </c>
      <c r="K184" s="583">
        <v>108</v>
      </c>
      <c r="L184" s="584">
        <f t="shared" si="99"/>
        <v>5</v>
      </c>
      <c r="M184" s="585">
        <v>45818</v>
      </c>
      <c r="N184" s="585">
        <v>45814</v>
      </c>
      <c r="O184" s="586" t="s">
        <v>1052</v>
      </c>
      <c r="P184" s="586" t="s">
        <v>83</v>
      </c>
      <c r="Q184" s="587" t="s">
        <v>1053</v>
      </c>
      <c r="R184" s="586" t="s">
        <v>888</v>
      </c>
      <c r="S184" s="586"/>
      <c r="T184" s="586"/>
      <c r="U184" s="586" t="s">
        <v>665</v>
      </c>
      <c r="V184" s="586" t="s">
        <v>161</v>
      </c>
      <c r="W184" s="586"/>
      <c r="X184" s="588" t="s">
        <v>1054</v>
      </c>
      <c r="Y184" s="618" t="s">
        <v>1055</v>
      </c>
      <c r="Z184" s="590">
        <v>383.702</v>
      </c>
      <c r="AA184" s="591">
        <f>Z184*L184</f>
        <v>1918.51</v>
      </c>
      <c r="AB184" s="619" t="s">
        <v>1077</v>
      </c>
      <c r="AC184" s="582" t="s">
        <v>155</v>
      </c>
      <c r="AD184" s="593" t="s">
        <v>89</v>
      </c>
      <c r="AE184" s="620"/>
      <c r="AF184" s="620"/>
      <c r="AG184" s="595">
        <f>I184</f>
        <v>540</v>
      </c>
      <c r="AH184" s="620"/>
      <c r="AI184" s="620"/>
      <c r="AJ184" s="637"/>
      <c r="AK184" s="629"/>
      <c r="AL184" s="620"/>
      <c r="AM184" s="620"/>
      <c r="AN184" s="598">
        <f t="shared" si="110"/>
        <v>540</v>
      </c>
      <c r="AO184" s="621"/>
      <c r="AP184" s="622"/>
      <c r="AQ184" s="622"/>
      <c r="AR184" s="592">
        <f>I184</f>
        <v>540</v>
      </c>
      <c r="AS184" s="622"/>
      <c r="AT184" s="622"/>
      <c r="AU184" s="621"/>
      <c r="AV184" s="621"/>
      <c r="AW184" s="592">
        <f t="shared" si="119"/>
        <v>540</v>
      </c>
      <c r="AX184" s="621"/>
      <c r="AY184" s="621"/>
      <c r="AZ184" s="621"/>
      <c r="BA184" s="621"/>
      <c r="BB184" s="621"/>
      <c r="BC184" s="621"/>
      <c r="BD184" s="621"/>
      <c r="BE184" s="623"/>
      <c r="BF184" s="602" t="s">
        <v>165</v>
      </c>
      <c r="BG184" s="603"/>
      <c r="BH184" s="604">
        <f t="shared" si="122"/>
        <v>90</v>
      </c>
      <c r="BI184" s="605">
        <f t="shared" si="123"/>
        <v>90</v>
      </c>
      <c r="BJ184" s="602">
        <f t="shared" si="124"/>
        <v>90</v>
      </c>
      <c r="BK184" s="602">
        <f t="shared" si="125"/>
        <v>90</v>
      </c>
      <c r="BL184" s="602">
        <f t="shared" si="126"/>
        <v>90</v>
      </c>
      <c r="BM184" s="602">
        <f t="shared" si="127"/>
        <v>90</v>
      </c>
      <c r="BN184" s="624"/>
      <c r="BO184" s="624"/>
      <c r="BP184" s="624"/>
      <c r="BQ184" s="624"/>
      <c r="BR184" s="624"/>
      <c r="BS184" s="624"/>
      <c r="BT184" s="607">
        <f t="shared" si="120"/>
        <v>540</v>
      </c>
      <c r="BU184" s="608">
        <f t="shared" si="121"/>
        <v>0</v>
      </c>
      <c r="BV184" s="517"/>
      <c r="BW184" s="491"/>
    </row>
    <row r="185" s="490" customFormat="1" ht="33" customHeight="1" spans="1:75">
      <c r="A185" s="577">
        <v>45735</v>
      </c>
      <c r="B185" s="581" t="s">
        <v>1078</v>
      </c>
      <c r="C185" s="579" t="s">
        <v>92</v>
      </c>
      <c r="D185" s="580">
        <v>4500160726</v>
      </c>
      <c r="E185" s="616" t="s">
        <v>1079</v>
      </c>
      <c r="F185" s="580" t="s">
        <v>1080</v>
      </c>
      <c r="G185" s="582" t="s">
        <v>81</v>
      </c>
      <c r="H185" s="578" t="s">
        <v>95</v>
      </c>
      <c r="I185" s="583">
        <v>684</v>
      </c>
      <c r="J185" s="583">
        <v>0</v>
      </c>
      <c r="K185" s="583">
        <v>6</v>
      </c>
      <c r="L185" s="584">
        <f t="shared" si="99"/>
        <v>114</v>
      </c>
      <c r="M185" s="585">
        <v>45818</v>
      </c>
      <c r="N185" s="585">
        <v>45814</v>
      </c>
      <c r="O185" s="586"/>
      <c r="P185" s="586" t="s">
        <v>83</v>
      </c>
      <c r="Q185" s="587" t="s">
        <v>1081</v>
      </c>
      <c r="R185" s="586" t="s">
        <v>1082</v>
      </c>
      <c r="S185" s="586"/>
      <c r="T185" s="586"/>
      <c r="U185" s="586" t="s">
        <v>1083</v>
      </c>
      <c r="V185" s="586"/>
      <c r="W185" s="586"/>
      <c r="X185" s="588" t="s">
        <v>1084</v>
      </c>
      <c r="Y185" s="618" t="s">
        <v>1085</v>
      </c>
      <c r="Z185" s="590">
        <v>5.905</v>
      </c>
      <c r="AA185" s="591">
        <f>Z185*I185</f>
        <v>4039.02</v>
      </c>
      <c r="AB185" s="619" t="s">
        <v>1086</v>
      </c>
      <c r="AC185" s="582" t="s">
        <v>81</v>
      </c>
      <c r="AD185" s="593" t="s">
        <v>89</v>
      </c>
      <c r="AE185" s="620"/>
      <c r="AF185" s="620"/>
      <c r="AG185" s="595">
        <f>I185</f>
        <v>684</v>
      </c>
      <c r="AH185" s="620"/>
      <c r="AI185" s="620"/>
      <c r="AJ185" s="589"/>
      <c r="AK185" s="629"/>
      <c r="AL185" s="620"/>
      <c r="AM185" s="620"/>
      <c r="AN185" s="598">
        <f t="shared" si="110"/>
        <v>684</v>
      </c>
      <c r="AO185" s="621"/>
      <c r="AP185" s="622"/>
      <c r="AQ185" s="622"/>
      <c r="AR185" s="592">
        <f>I185</f>
        <v>684</v>
      </c>
      <c r="AS185" s="622"/>
      <c r="AT185" s="622"/>
      <c r="AU185" s="621"/>
      <c r="AV185" s="621"/>
      <c r="AW185" s="592">
        <f t="shared" si="119"/>
        <v>684</v>
      </c>
      <c r="AX185" s="621"/>
      <c r="AY185" s="621"/>
      <c r="AZ185" s="621"/>
      <c r="BA185" s="621"/>
      <c r="BB185" s="621"/>
      <c r="BC185" s="621"/>
      <c r="BD185" s="621"/>
      <c r="BE185" s="623"/>
      <c r="BF185" s="602" t="s">
        <v>90</v>
      </c>
      <c r="BG185" s="603"/>
      <c r="BH185" s="604">
        <f t="shared" si="122"/>
        <v>114</v>
      </c>
      <c r="BI185" s="605">
        <f t="shared" si="123"/>
        <v>114</v>
      </c>
      <c r="BJ185" s="602">
        <f t="shared" si="124"/>
        <v>114</v>
      </c>
      <c r="BK185" s="602">
        <f t="shared" si="125"/>
        <v>114</v>
      </c>
      <c r="BL185" s="602">
        <f t="shared" si="126"/>
        <v>114</v>
      </c>
      <c r="BM185" s="602">
        <f t="shared" si="127"/>
        <v>114</v>
      </c>
      <c r="BN185" s="624"/>
      <c r="BO185" s="624"/>
      <c r="BP185" s="624"/>
      <c r="BQ185" s="624"/>
      <c r="BR185" s="624"/>
      <c r="BS185" s="624"/>
      <c r="BT185" s="607">
        <f t="shared" si="120"/>
        <v>684</v>
      </c>
      <c r="BU185" s="608">
        <f t="shared" si="121"/>
        <v>0</v>
      </c>
      <c r="BV185" s="517"/>
      <c r="BW185" s="491"/>
    </row>
    <row r="186" s="490" customFormat="1" ht="33" customHeight="1" spans="1:75">
      <c r="A186" s="577">
        <v>45775</v>
      </c>
      <c r="B186" s="581" t="s">
        <v>1087</v>
      </c>
      <c r="C186" s="579" t="s">
        <v>1044</v>
      </c>
      <c r="D186" s="580">
        <v>4500160445</v>
      </c>
      <c r="E186" s="588">
        <v>300565966</v>
      </c>
      <c r="F186" s="580" t="s">
        <v>1088</v>
      </c>
      <c r="G186" s="582" t="s">
        <v>969</v>
      </c>
      <c r="H186" s="578" t="s">
        <v>970</v>
      </c>
      <c r="I186" s="583">
        <v>480</v>
      </c>
      <c r="J186" s="583">
        <v>0</v>
      </c>
      <c r="K186" s="583">
        <v>4</v>
      </c>
      <c r="L186" s="584">
        <f t="shared" si="99"/>
        <v>120</v>
      </c>
      <c r="M186" s="585">
        <v>45817</v>
      </c>
      <c r="N186" s="585">
        <v>45813</v>
      </c>
      <c r="O186" s="586"/>
      <c r="P186" s="586" t="s">
        <v>83</v>
      </c>
      <c r="Q186" s="587" t="s">
        <v>1030</v>
      </c>
      <c r="R186" s="586" t="s">
        <v>1037</v>
      </c>
      <c r="S186" s="586"/>
      <c r="T186" s="586"/>
      <c r="U186" s="586" t="s">
        <v>1089</v>
      </c>
      <c r="V186" s="586"/>
      <c r="W186" s="586"/>
      <c r="X186" s="588" t="s">
        <v>1090</v>
      </c>
      <c r="Y186" s="618" t="s">
        <v>1050</v>
      </c>
      <c r="Z186" s="590">
        <v>5.3016</v>
      </c>
      <c r="AA186" s="591">
        <f>Z186*I186</f>
        <v>2544.768</v>
      </c>
      <c r="AB186" s="619"/>
      <c r="AC186" s="582" t="s">
        <v>976</v>
      </c>
      <c r="AD186" s="593" t="s">
        <v>89</v>
      </c>
      <c r="AE186" s="620"/>
      <c r="AF186" s="620"/>
      <c r="AG186" s="595"/>
      <c r="AH186" s="620"/>
      <c r="AI186" s="620"/>
      <c r="AJ186" s="595">
        <f>I186</f>
        <v>480</v>
      </c>
      <c r="AK186" s="629"/>
      <c r="AL186" s="620"/>
      <c r="AM186" s="620"/>
      <c r="AN186" s="598">
        <f t="shared" si="110"/>
        <v>480</v>
      </c>
      <c r="AO186" s="621"/>
      <c r="AP186" s="622"/>
      <c r="AQ186" s="622"/>
      <c r="AR186" s="592"/>
      <c r="AS186" s="622"/>
      <c r="AT186" s="622"/>
      <c r="AU186" s="621">
        <f>I186</f>
        <v>480</v>
      </c>
      <c r="AV186" s="621"/>
      <c r="AW186" s="592">
        <f t="shared" si="119"/>
        <v>480</v>
      </c>
      <c r="AX186" s="621"/>
      <c r="AY186" s="621"/>
      <c r="AZ186" s="621"/>
      <c r="BA186" s="621"/>
      <c r="BB186" s="621"/>
      <c r="BC186" s="621"/>
      <c r="BD186" s="621"/>
      <c r="BE186" s="623"/>
      <c r="BF186" s="602" t="s">
        <v>90</v>
      </c>
      <c r="BG186" s="603"/>
      <c r="BH186" s="604">
        <f t="shared" si="122"/>
        <v>80</v>
      </c>
      <c r="BI186" s="605">
        <f t="shared" si="123"/>
        <v>80</v>
      </c>
      <c r="BJ186" s="602">
        <f t="shared" si="124"/>
        <v>80</v>
      </c>
      <c r="BK186" s="602">
        <f t="shared" si="125"/>
        <v>80</v>
      </c>
      <c r="BL186" s="602">
        <f t="shared" si="126"/>
        <v>80</v>
      </c>
      <c r="BM186" s="602">
        <f t="shared" si="127"/>
        <v>80</v>
      </c>
      <c r="BN186" s="624"/>
      <c r="BO186" s="624"/>
      <c r="BP186" s="624"/>
      <c r="BQ186" s="624"/>
      <c r="BR186" s="624"/>
      <c r="BS186" s="624"/>
      <c r="BT186" s="607">
        <f t="shared" si="120"/>
        <v>480</v>
      </c>
      <c r="BU186" s="608">
        <f t="shared" si="121"/>
        <v>0</v>
      </c>
      <c r="BV186" s="517"/>
      <c r="BW186" s="491"/>
    </row>
    <row r="187" s="490" customFormat="1" ht="33" customHeight="1" spans="1:75">
      <c r="A187" s="577">
        <v>45776</v>
      </c>
      <c r="B187" s="581" t="s">
        <v>174</v>
      </c>
      <c r="C187" s="579" t="s">
        <v>175</v>
      </c>
      <c r="D187" s="580">
        <v>4500165404</v>
      </c>
      <c r="E187" s="616"/>
      <c r="F187" s="580" t="s">
        <v>1091</v>
      </c>
      <c r="G187" s="582" t="s">
        <v>81</v>
      </c>
      <c r="H187" s="578" t="s">
        <v>95</v>
      </c>
      <c r="I187" s="583">
        <v>2100</v>
      </c>
      <c r="J187" s="583">
        <v>0</v>
      </c>
      <c r="K187" s="583">
        <v>6</v>
      </c>
      <c r="L187" s="584">
        <f t="shared" si="99"/>
        <v>350</v>
      </c>
      <c r="M187" s="585">
        <v>45813</v>
      </c>
      <c r="N187" s="585">
        <v>45810</v>
      </c>
      <c r="O187" s="586" t="s">
        <v>1092</v>
      </c>
      <c r="P187" s="586" t="s">
        <v>83</v>
      </c>
      <c r="Q187" s="587" t="s">
        <v>1093</v>
      </c>
      <c r="R187" s="586" t="s">
        <v>1094</v>
      </c>
      <c r="S187" s="586"/>
      <c r="T187" s="586"/>
      <c r="U187" s="586" t="s">
        <v>1095</v>
      </c>
      <c r="V187" s="586"/>
      <c r="W187" s="586" t="s">
        <v>1096</v>
      </c>
      <c r="X187" s="588" t="s">
        <v>1097</v>
      </c>
      <c r="Y187" s="618" t="s">
        <v>181</v>
      </c>
      <c r="Z187" s="590">
        <v>5.7753</v>
      </c>
      <c r="AA187" s="591">
        <f>Z187*I187</f>
        <v>12128.13</v>
      </c>
      <c r="AB187" s="619"/>
      <c r="AC187" s="582" t="s">
        <v>81</v>
      </c>
      <c r="AD187" s="593" t="s">
        <v>89</v>
      </c>
      <c r="AE187" s="628"/>
      <c r="AF187" s="628"/>
      <c r="AG187" s="595">
        <f>I187</f>
        <v>2100</v>
      </c>
      <c r="AH187" s="628"/>
      <c r="AI187" s="628"/>
      <c r="AJ187" s="589"/>
      <c r="AK187" s="629"/>
      <c r="AL187" s="628"/>
      <c r="AM187" s="628"/>
      <c r="AN187" s="598">
        <f t="shared" si="110"/>
        <v>2100</v>
      </c>
      <c r="AO187" s="621"/>
      <c r="AP187" s="630"/>
      <c r="AQ187" s="630"/>
      <c r="AR187" s="592">
        <f t="shared" ref="AR187:AR197" si="128">I187</f>
        <v>2100</v>
      </c>
      <c r="AS187" s="630"/>
      <c r="AT187" s="630"/>
      <c r="AU187" s="621"/>
      <c r="AV187" s="621"/>
      <c r="AW187" s="592">
        <f t="shared" si="119"/>
        <v>2100</v>
      </c>
      <c r="AX187" s="621"/>
      <c r="AY187" s="621"/>
      <c r="AZ187" s="621"/>
      <c r="BA187" s="621"/>
      <c r="BB187" s="621"/>
      <c r="BC187" s="621"/>
      <c r="BD187" s="621"/>
      <c r="BE187" s="623"/>
      <c r="BF187" s="602" t="s">
        <v>90</v>
      </c>
      <c r="BG187" s="603"/>
      <c r="BH187" s="604">
        <f t="shared" si="122"/>
        <v>350</v>
      </c>
      <c r="BI187" s="605">
        <f t="shared" si="123"/>
        <v>350</v>
      </c>
      <c r="BJ187" s="602">
        <f t="shared" si="124"/>
        <v>350</v>
      </c>
      <c r="BK187" s="602">
        <f t="shared" si="125"/>
        <v>350</v>
      </c>
      <c r="BL187" s="602">
        <f t="shared" si="126"/>
        <v>350</v>
      </c>
      <c r="BM187" s="602">
        <f t="shared" si="127"/>
        <v>350</v>
      </c>
      <c r="BN187" s="631"/>
      <c r="BO187" s="631"/>
      <c r="BP187" s="631"/>
      <c r="BQ187" s="631"/>
      <c r="BR187" s="631"/>
      <c r="BS187" s="631"/>
      <c r="BT187" s="607">
        <f t="shared" si="120"/>
        <v>2100</v>
      </c>
      <c r="BU187" s="608">
        <f t="shared" si="121"/>
        <v>0</v>
      </c>
      <c r="BV187" s="609"/>
      <c r="BW187" s="491"/>
    </row>
    <row r="188" s="490" customFormat="1" ht="33" customHeight="1" spans="1:75">
      <c r="A188" s="577">
        <v>45774</v>
      </c>
      <c r="B188" s="581" t="s">
        <v>1098</v>
      </c>
      <c r="C188" s="579" t="s">
        <v>669</v>
      </c>
      <c r="D188" s="580">
        <v>4500164596</v>
      </c>
      <c r="E188" s="616"/>
      <c r="F188" s="580" t="s">
        <v>1099</v>
      </c>
      <c r="G188" s="582" t="s">
        <v>81</v>
      </c>
      <c r="H188" s="578" t="s">
        <v>95</v>
      </c>
      <c r="I188" s="583">
        <v>150</v>
      </c>
      <c r="J188" s="583">
        <v>0</v>
      </c>
      <c r="K188" s="583">
        <v>6</v>
      </c>
      <c r="L188" s="584">
        <f t="shared" si="99"/>
        <v>25</v>
      </c>
      <c r="M188" s="585">
        <v>45817</v>
      </c>
      <c r="N188" s="585">
        <v>45813</v>
      </c>
      <c r="O188" s="586"/>
      <c r="P188" s="586" t="s">
        <v>83</v>
      </c>
      <c r="Q188" s="587"/>
      <c r="R188" s="586" t="s">
        <v>1100</v>
      </c>
      <c r="S188" s="586"/>
      <c r="T188" s="586"/>
      <c r="U188" s="586" t="s">
        <v>1101</v>
      </c>
      <c r="V188" s="586"/>
      <c r="W188" s="586"/>
      <c r="X188" s="588" t="s">
        <v>1102</v>
      </c>
      <c r="Y188" s="618" t="s">
        <v>1004</v>
      </c>
      <c r="Z188" s="590">
        <v>5.7828</v>
      </c>
      <c r="AA188" s="591">
        <f>Z188*I188</f>
        <v>867.42</v>
      </c>
      <c r="AB188" s="619"/>
      <c r="AC188" s="582" t="s">
        <v>81</v>
      </c>
      <c r="AD188" s="593" t="s">
        <v>89</v>
      </c>
      <c r="AE188" s="628"/>
      <c r="AF188" s="628"/>
      <c r="AG188" s="595">
        <f>I188</f>
        <v>150</v>
      </c>
      <c r="AH188" s="628"/>
      <c r="AI188" s="628"/>
      <c r="AJ188" s="589"/>
      <c r="AK188" s="629"/>
      <c r="AL188" s="628"/>
      <c r="AM188" s="628"/>
      <c r="AN188" s="598">
        <f t="shared" si="110"/>
        <v>150</v>
      </c>
      <c r="AO188" s="621"/>
      <c r="AP188" s="630"/>
      <c r="AQ188" s="630"/>
      <c r="AR188" s="592">
        <f t="shared" si="128"/>
        <v>150</v>
      </c>
      <c r="AS188" s="630"/>
      <c r="AT188" s="630"/>
      <c r="AU188" s="621"/>
      <c r="AV188" s="621"/>
      <c r="AW188" s="592">
        <f t="shared" si="119"/>
        <v>150</v>
      </c>
      <c r="AX188" s="621"/>
      <c r="AY188" s="621"/>
      <c r="AZ188" s="621"/>
      <c r="BA188" s="621"/>
      <c r="BB188" s="621"/>
      <c r="BC188" s="621"/>
      <c r="BD188" s="621"/>
      <c r="BE188" s="623"/>
      <c r="BF188" s="602" t="s">
        <v>90</v>
      </c>
      <c r="BG188" s="603"/>
      <c r="BH188" s="604">
        <f t="shared" si="122"/>
        <v>25</v>
      </c>
      <c r="BI188" s="605">
        <f t="shared" si="123"/>
        <v>25</v>
      </c>
      <c r="BJ188" s="602">
        <f t="shared" si="124"/>
        <v>25</v>
      </c>
      <c r="BK188" s="602">
        <f t="shared" si="125"/>
        <v>25</v>
      </c>
      <c r="BL188" s="602">
        <f t="shared" si="126"/>
        <v>25</v>
      </c>
      <c r="BM188" s="602">
        <f t="shared" si="127"/>
        <v>25</v>
      </c>
      <c r="BN188" s="631"/>
      <c r="BO188" s="631"/>
      <c r="BP188" s="631"/>
      <c r="BQ188" s="631"/>
      <c r="BR188" s="631"/>
      <c r="BS188" s="631"/>
      <c r="BT188" s="607">
        <f t="shared" si="120"/>
        <v>150</v>
      </c>
      <c r="BU188" s="608">
        <f t="shared" si="121"/>
        <v>0</v>
      </c>
      <c r="BV188" s="609"/>
      <c r="BW188" s="491"/>
    </row>
    <row r="189" s="490" customFormat="1" ht="33" customHeight="1" spans="1:75">
      <c r="A189" s="577">
        <v>45799</v>
      </c>
      <c r="B189" s="581" t="s">
        <v>885</v>
      </c>
      <c r="C189" s="579" t="s">
        <v>92</v>
      </c>
      <c r="D189" s="580">
        <v>4500167493</v>
      </c>
      <c r="E189" s="588">
        <v>919543638</v>
      </c>
      <c r="F189" s="580" t="s">
        <v>1103</v>
      </c>
      <c r="G189" s="582" t="s">
        <v>155</v>
      </c>
      <c r="H189" s="578" t="s">
        <v>156</v>
      </c>
      <c r="I189" s="583">
        <v>540</v>
      </c>
      <c r="J189" s="583">
        <v>1</v>
      </c>
      <c r="K189" s="583">
        <v>108</v>
      </c>
      <c r="L189" s="584">
        <f t="shared" si="99"/>
        <v>5</v>
      </c>
      <c r="M189" s="585">
        <v>45821</v>
      </c>
      <c r="N189" s="585">
        <v>45821</v>
      </c>
      <c r="O189" s="586" t="s">
        <v>1104</v>
      </c>
      <c r="P189" s="586" t="s">
        <v>83</v>
      </c>
      <c r="Q189" s="587" t="s">
        <v>1105</v>
      </c>
      <c r="R189" s="586" t="s">
        <v>888</v>
      </c>
      <c r="S189" s="586"/>
      <c r="T189" s="586"/>
      <c r="U189" s="586" t="s">
        <v>665</v>
      </c>
      <c r="V189" s="586" t="s">
        <v>161</v>
      </c>
      <c r="W189" s="586"/>
      <c r="X189" s="588" t="s">
        <v>943</v>
      </c>
      <c r="Y189" s="618" t="s">
        <v>163</v>
      </c>
      <c r="Z189" s="590">
        <v>383.702</v>
      </c>
      <c r="AA189" s="591">
        <f t="shared" ref="AA189:AA194" si="129">Z189*L189</f>
        <v>1918.51</v>
      </c>
      <c r="AB189" s="619" t="s">
        <v>1106</v>
      </c>
      <c r="AC189" s="638" t="s">
        <v>155</v>
      </c>
      <c r="AD189" s="593" t="s">
        <v>89</v>
      </c>
      <c r="AE189" s="628"/>
      <c r="AF189" s="628"/>
      <c r="AG189" s="595">
        <f t="shared" ref="AG189:AG196" si="130">I189</f>
        <v>540</v>
      </c>
      <c r="AH189" s="628"/>
      <c r="AI189" s="628"/>
      <c r="AJ189" s="589"/>
      <c r="AK189" s="629"/>
      <c r="AL189" s="628"/>
      <c r="AM189" s="628"/>
      <c r="AN189" s="598">
        <f t="shared" ref="AN189:AN196" si="131">I189</f>
        <v>540</v>
      </c>
      <c r="AO189" s="621"/>
      <c r="AP189" s="630"/>
      <c r="AQ189" s="630"/>
      <c r="AR189" s="592">
        <f t="shared" si="128"/>
        <v>540</v>
      </c>
      <c r="AS189" s="630"/>
      <c r="AT189" s="630"/>
      <c r="AU189" s="621"/>
      <c r="AV189" s="621"/>
      <c r="AW189" s="592">
        <f t="shared" si="119"/>
        <v>540</v>
      </c>
      <c r="AX189" s="621"/>
      <c r="AY189" s="621"/>
      <c r="AZ189" s="621"/>
      <c r="BA189" s="621"/>
      <c r="BB189" s="621"/>
      <c r="BC189" s="621"/>
      <c r="BD189" s="621"/>
      <c r="BE189" s="623"/>
      <c r="BF189" s="602" t="s">
        <v>165</v>
      </c>
      <c r="BG189" s="603"/>
      <c r="BH189" s="604">
        <f t="shared" ref="BH189:BH196" si="132">I189/6</f>
        <v>90</v>
      </c>
      <c r="BI189" s="605">
        <f t="shared" ref="BI189:BI196" si="133">I189/6</f>
        <v>90</v>
      </c>
      <c r="BJ189" s="602">
        <f t="shared" ref="BJ189:BJ196" si="134">I189/6</f>
        <v>90</v>
      </c>
      <c r="BK189" s="602">
        <f t="shared" ref="BK189:BK196" si="135">I189/6</f>
        <v>90</v>
      </c>
      <c r="BL189" s="602">
        <f t="shared" ref="BL189:BL196" si="136">I189/6</f>
        <v>90</v>
      </c>
      <c r="BM189" s="602">
        <f t="shared" ref="BM189:BM196" si="137">I189/6</f>
        <v>90</v>
      </c>
      <c r="BN189" s="631"/>
      <c r="BO189" s="631"/>
      <c r="BP189" s="631"/>
      <c r="BQ189" s="631"/>
      <c r="BR189" s="631"/>
      <c r="BS189" s="631"/>
      <c r="BT189" s="607">
        <f t="shared" ref="BT189:BT196" si="138">SUM(BH189:BS189)</f>
        <v>540</v>
      </c>
      <c r="BU189" s="608">
        <f t="shared" ref="BU189:BU196" si="139">I189-BT189</f>
        <v>0</v>
      </c>
      <c r="BV189" s="609"/>
      <c r="BW189" s="491"/>
    </row>
    <row r="190" s="490" customFormat="1" ht="33" customHeight="1" spans="1:75">
      <c r="A190" s="577">
        <v>45799</v>
      </c>
      <c r="B190" s="581" t="s">
        <v>885</v>
      </c>
      <c r="C190" s="579" t="s">
        <v>92</v>
      </c>
      <c r="D190" s="580">
        <v>4500167493</v>
      </c>
      <c r="E190" s="588">
        <v>919543641</v>
      </c>
      <c r="F190" s="580" t="s">
        <v>1107</v>
      </c>
      <c r="G190" s="582" t="s">
        <v>155</v>
      </c>
      <c r="H190" s="578" t="s">
        <v>156</v>
      </c>
      <c r="I190" s="583">
        <v>540</v>
      </c>
      <c r="J190" s="583">
        <v>1</v>
      </c>
      <c r="K190" s="583">
        <v>108</v>
      </c>
      <c r="L190" s="584">
        <f t="shared" si="99"/>
        <v>5</v>
      </c>
      <c r="M190" s="585">
        <v>45821</v>
      </c>
      <c r="N190" s="585">
        <v>45821</v>
      </c>
      <c r="O190" s="586" t="s">
        <v>1104</v>
      </c>
      <c r="P190" s="586" t="s">
        <v>83</v>
      </c>
      <c r="Q190" s="587" t="s">
        <v>1108</v>
      </c>
      <c r="R190" s="586" t="s">
        <v>888</v>
      </c>
      <c r="S190" s="586"/>
      <c r="T190" s="586"/>
      <c r="U190" s="586" t="s">
        <v>665</v>
      </c>
      <c r="V190" s="586" t="s">
        <v>161</v>
      </c>
      <c r="W190" s="586"/>
      <c r="X190" s="588" t="s">
        <v>943</v>
      </c>
      <c r="Y190" s="618" t="s">
        <v>163</v>
      </c>
      <c r="Z190" s="590">
        <v>383.702</v>
      </c>
      <c r="AA190" s="591">
        <f t="shared" si="129"/>
        <v>1918.51</v>
      </c>
      <c r="AB190" s="619" t="s">
        <v>1109</v>
      </c>
      <c r="AC190" s="638" t="s">
        <v>155</v>
      </c>
      <c r="AD190" s="593" t="s">
        <v>89</v>
      </c>
      <c r="AE190" s="628"/>
      <c r="AF190" s="628"/>
      <c r="AG190" s="595">
        <f t="shared" si="130"/>
        <v>540</v>
      </c>
      <c r="AH190" s="628"/>
      <c r="AI190" s="628"/>
      <c r="AJ190" s="589"/>
      <c r="AK190" s="629"/>
      <c r="AL190" s="628"/>
      <c r="AM190" s="628"/>
      <c r="AN190" s="598">
        <f t="shared" si="131"/>
        <v>540</v>
      </c>
      <c r="AO190" s="621"/>
      <c r="AP190" s="630"/>
      <c r="AQ190" s="630"/>
      <c r="AR190" s="592">
        <f t="shared" si="128"/>
        <v>540</v>
      </c>
      <c r="AS190" s="630"/>
      <c r="AT190" s="630"/>
      <c r="AU190" s="621"/>
      <c r="AV190" s="621"/>
      <c r="AW190" s="592">
        <f t="shared" si="119"/>
        <v>540</v>
      </c>
      <c r="AX190" s="621"/>
      <c r="AY190" s="621"/>
      <c r="AZ190" s="621"/>
      <c r="BA190" s="621"/>
      <c r="BB190" s="621"/>
      <c r="BC190" s="621"/>
      <c r="BD190" s="621"/>
      <c r="BE190" s="623"/>
      <c r="BF190" s="602" t="s">
        <v>165</v>
      </c>
      <c r="BG190" s="603"/>
      <c r="BH190" s="604">
        <f t="shared" si="132"/>
        <v>90</v>
      </c>
      <c r="BI190" s="605">
        <f t="shared" si="133"/>
        <v>90</v>
      </c>
      <c r="BJ190" s="602">
        <f t="shared" si="134"/>
        <v>90</v>
      </c>
      <c r="BK190" s="602">
        <f t="shared" si="135"/>
        <v>90</v>
      </c>
      <c r="BL190" s="602">
        <f t="shared" si="136"/>
        <v>90</v>
      </c>
      <c r="BM190" s="602">
        <f t="shared" si="137"/>
        <v>90</v>
      </c>
      <c r="BN190" s="631"/>
      <c r="BO190" s="631"/>
      <c r="BP190" s="631"/>
      <c r="BQ190" s="631"/>
      <c r="BR190" s="631"/>
      <c r="BS190" s="631"/>
      <c r="BT190" s="607">
        <f t="shared" si="138"/>
        <v>540</v>
      </c>
      <c r="BU190" s="608">
        <f t="shared" si="139"/>
        <v>0</v>
      </c>
      <c r="BV190" s="609"/>
      <c r="BW190" s="491"/>
    </row>
    <row r="191" s="490" customFormat="1" ht="33" customHeight="1" spans="1:75">
      <c r="A191" s="577">
        <v>45799</v>
      </c>
      <c r="B191" s="581" t="s">
        <v>885</v>
      </c>
      <c r="C191" s="579" t="s">
        <v>92</v>
      </c>
      <c r="D191" s="580">
        <v>4500167493</v>
      </c>
      <c r="E191" s="588">
        <v>919543643</v>
      </c>
      <c r="F191" s="580" t="s">
        <v>1110</v>
      </c>
      <c r="G191" s="582" t="s">
        <v>155</v>
      </c>
      <c r="H191" s="578" t="s">
        <v>156</v>
      </c>
      <c r="I191" s="583">
        <v>540</v>
      </c>
      <c r="J191" s="583">
        <v>1</v>
      </c>
      <c r="K191" s="583">
        <v>108</v>
      </c>
      <c r="L191" s="584">
        <f t="shared" si="99"/>
        <v>5</v>
      </c>
      <c r="M191" s="585">
        <v>45821</v>
      </c>
      <c r="N191" s="585">
        <v>45821</v>
      </c>
      <c r="O191" s="586" t="s">
        <v>1104</v>
      </c>
      <c r="P191" s="586" t="s">
        <v>83</v>
      </c>
      <c r="Q191" s="587" t="s">
        <v>1111</v>
      </c>
      <c r="R191" s="586" t="s">
        <v>888</v>
      </c>
      <c r="S191" s="586"/>
      <c r="T191" s="586"/>
      <c r="U191" s="586" t="s">
        <v>665</v>
      </c>
      <c r="V191" s="586" t="s">
        <v>161</v>
      </c>
      <c r="W191" s="586"/>
      <c r="X191" s="588" t="s">
        <v>943</v>
      </c>
      <c r="Y191" s="618" t="s">
        <v>163</v>
      </c>
      <c r="Z191" s="590">
        <v>383.702</v>
      </c>
      <c r="AA191" s="591">
        <f t="shared" si="129"/>
        <v>1918.51</v>
      </c>
      <c r="AB191" s="619"/>
      <c r="AC191" s="638" t="s">
        <v>155</v>
      </c>
      <c r="AD191" s="593" t="s">
        <v>89</v>
      </c>
      <c r="AE191" s="628"/>
      <c r="AF191" s="628"/>
      <c r="AG191" s="595">
        <f t="shared" si="130"/>
        <v>540</v>
      </c>
      <c r="AH191" s="628"/>
      <c r="AI191" s="628"/>
      <c r="AJ191" s="589"/>
      <c r="AK191" s="629"/>
      <c r="AL191" s="628"/>
      <c r="AM191" s="628"/>
      <c r="AN191" s="598">
        <f t="shared" si="131"/>
        <v>540</v>
      </c>
      <c r="AO191" s="621"/>
      <c r="AP191" s="630"/>
      <c r="AQ191" s="630"/>
      <c r="AR191" s="592">
        <f t="shared" si="128"/>
        <v>540</v>
      </c>
      <c r="AS191" s="630"/>
      <c r="AT191" s="630"/>
      <c r="AU191" s="621"/>
      <c r="AV191" s="621"/>
      <c r="AW191" s="592">
        <f t="shared" si="119"/>
        <v>540</v>
      </c>
      <c r="AX191" s="621"/>
      <c r="AY191" s="621"/>
      <c r="AZ191" s="621"/>
      <c r="BA191" s="621"/>
      <c r="BB191" s="621"/>
      <c r="BC191" s="621"/>
      <c r="BD191" s="621"/>
      <c r="BE191" s="623"/>
      <c r="BF191" s="602" t="s">
        <v>165</v>
      </c>
      <c r="BG191" s="603"/>
      <c r="BH191" s="604">
        <f t="shared" si="132"/>
        <v>90</v>
      </c>
      <c r="BI191" s="605">
        <f t="shared" si="133"/>
        <v>90</v>
      </c>
      <c r="BJ191" s="602">
        <f t="shared" si="134"/>
        <v>90</v>
      </c>
      <c r="BK191" s="602">
        <f t="shared" si="135"/>
        <v>90</v>
      </c>
      <c r="BL191" s="602">
        <f t="shared" si="136"/>
        <v>90</v>
      </c>
      <c r="BM191" s="602">
        <f t="shared" si="137"/>
        <v>90</v>
      </c>
      <c r="BN191" s="631"/>
      <c r="BO191" s="631"/>
      <c r="BP191" s="631"/>
      <c r="BQ191" s="631"/>
      <c r="BR191" s="631"/>
      <c r="BS191" s="631"/>
      <c r="BT191" s="607">
        <f t="shared" si="138"/>
        <v>540</v>
      </c>
      <c r="BU191" s="608">
        <f t="shared" si="139"/>
        <v>0</v>
      </c>
      <c r="BV191" s="609"/>
      <c r="BW191" s="491"/>
    </row>
    <row r="192" s="490" customFormat="1" ht="33" customHeight="1" spans="1:75">
      <c r="A192" s="577">
        <v>45799</v>
      </c>
      <c r="B192" s="581" t="s">
        <v>885</v>
      </c>
      <c r="C192" s="579" t="s">
        <v>92</v>
      </c>
      <c r="D192" s="580">
        <v>4500167493</v>
      </c>
      <c r="E192" s="588">
        <v>919543646</v>
      </c>
      <c r="F192" s="580" t="s">
        <v>1112</v>
      </c>
      <c r="G192" s="582" t="s">
        <v>155</v>
      </c>
      <c r="H192" s="578" t="s">
        <v>156</v>
      </c>
      <c r="I192" s="583">
        <v>540</v>
      </c>
      <c r="J192" s="583">
        <v>1</v>
      </c>
      <c r="K192" s="583">
        <v>108</v>
      </c>
      <c r="L192" s="584">
        <f t="shared" si="99"/>
        <v>5</v>
      </c>
      <c r="M192" s="585">
        <v>45821</v>
      </c>
      <c r="N192" s="585">
        <v>45821</v>
      </c>
      <c r="O192" s="586" t="s">
        <v>1104</v>
      </c>
      <c r="P192" s="586" t="s">
        <v>83</v>
      </c>
      <c r="Q192" s="587" t="s">
        <v>1113</v>
      </c>
      <c r="R192" s="586" t="s">
        <v>888</v>
      </c>
      <c r="S192" s="586"/>
      <c r="T192" s="586"/>
      <c r="U192" s="586" t="s">
        <v>665</v>
      </c>
      <c r="V192" s="586" t="s">
        <v>161</v>
      </c>
      <c r="W192" s="586"/>
      <c r="X192" s="588" t="s">
        <v>943</v>
      </c>
      <c r="Y192" s="618" t="s">
        <v>163</v>
      </c>
      <c r="Z192" s="590">
        <v>383.702</v>
      </c>
      <c r="AA192" s="591">
        <f t="shared" si="129"/>
        <v>1918.51</v>
      </c>
      <c r="AB192" s="619" t="s">
        <v>1114</v>
      </c>
      <c r="AC192" s="638" t="s">
        <v>155</v>
      </c>
      <c r="AD192" s="593" t="s">
        <v>89</v>
      </c>
      <c r="AE192" s="628"/>
      <c r="AF192" s="628"/>
      <c r="AG192" s="595">
        <f t="shared" si="130"/>
        <v>540</v>
      </c>
      <c r="AH192" s="628"/>
      <c r="AI192" s="628"/>
      <c r="AJ192" s="589"/>
      <c r="AK192" s="629"/>
      <c r="AL192" s="628"/>
      <c r="AM192" s="628"/>
      <c r="AN192" s="598">
        <f t="shared" si="131"/>
        <v>540</v>
      </c>
      <c r="AO192" s="621"/>
      <c r="AP192" s="630"/>
      <c r="AQ192" s="630"/>
      <c r="AR192" s="592">
        <f t="shared" si="128"/>
        <v>540</v>
      </c>
      <c r="AS192" s="630"/>
      <c r="AT192" s="630"/>
      <c r="AU192" s="621"/>
      <c r="AV192" s="621"/>
      <c r="AW192" s="592">
        <f t="shared" si="119"/>
        <v>540</v>
      </c>
      <c r="AX192" s="621"/>
      <c r="AY192" s="621"/>
      <c r="AZ192" s="621"/>
      <c r="BA192" s="621"/>
      <c r="BB192" s="621"/>
      <c r="BC192" s="621"/>
      <c r="BD192" s="621"/>
      <c r="BE192" s="623"/>
      <c r="BF192" s="602" t="s">
        <v>165</v>
      </c>
      <c r="BG192" s="603"/>
      <c r="BH192" s="604">
        <f t="shared" si="132"/>
        <v>90</v>
      </c>
      <c r="BI192" s="605">
        <f t="shared" si="133"/>
        <v>90</v>
      </c>
      <c r="BJ192" s="602">
        <f t="shared" si="134"/>
        <v>90</v>
      </c>
      <c r="BK192" s="602">
        <f t="shared" si="135"/>
        <v>90</v>
      </c>
      <c r="BL192" s="602">
        <f t="shared" si="136"/>
        <v>90</v>
      </c>
      <c r="BM192" s="602">
        <f t="shared" si="137"/>
        <v>90</v>
      </c>
      <c r="BN192" s="631"/>
      <c r="BO192" s="631"/>
      <c r="BP192" s="631"/>
      <c r="BQ192" s="631"/>
      <c r="BR192" s="631"/>
      <c r="BS192" s="631"/>
      <c r="BT192" s="607">
        <f t="shared" si="138"/>
        <v>540</v>
      </c>
      <c r="BU192" s="608">
        <f t="shared" si="139"/>
        <v>0</v>
      </c>
      <c r="BV192" s="609"/>
      <c r="BW192" s="491"/>
    </row>
    <row r="193" s="490" customFormat="1" ht="33" customHeight="1" spans="1:75">
      <c r="A193" s="577">
        <v>45799</v>
      </c>
      <c r="B193" s="581" t="s">
        <v>885</v>
      </c>
      <c r="C193" s="579" t="s">
        <v>92</v>
      </c>
      <c r="D193" s="580">
        <v>4500167493</v>
      </c>
      <c r="E193" s="588">
        <v>919543648</v>
      </c>
      <c r="F193" s="580" t="s">
        <v>1115</v>
      </c>
      <c r="G193" s="582" t="s">
        <v>155</v>
      </c>
      <c r="H193" s="578" t="s">
        <v>156</v>
      </c>
      <c r="I193" s="583">
        <v>540</v>
      </c>
      <c r="J193" s="583">
        <v>1</v>
      </c>
      <c r="K193" s="583">
        <v>108</v>
      </c>
      <c r="L193" s="584">
        <f t="shared" si="99"/>
        <v>5</v>
      </c>
      <c r="M193" s="585">
        <v>45821</v>
      </c>
      <c r="N193" s="585">
        <v>45821</v>
      </c>
      <c r="O193" s="586" t="s">
        <v>1104</v>
      </c>
      <c r="P193" s="586" t="s">
        <v>83</v>
      </c>
      <c r="Q193" s="587" t="s">
        <v>1116</v>
      </c>
      <c r="R193" s="586" t="s">
        <v>888</v>
      </c>
      <c r="S193" s="586"/>
      <c r="T193" s="586"/>
      <c r="U193" s="586" t="s">
        <v>665</v>
      </c>
      <c r="V193" s="586" t="s">
        <v>161</v>
      </c>
      <c r="W193" s="586"/>
      <c r="X193" s="588" t="s">
        <v>943</v>
      </c>
      <c r="Y193" s="618" t="s">
        <v>163</v>
      </c>
      <c r="Z193" s="590">
        <v>383.702</v>
      </c>
      <c r="AA193" s="591">
        <f t="shared" si="129"/>
        <v>1918.51</v>
      </c>
      <c r="AB193" s="619"/>
      <c r="AC193" s="638" t="s">
        <v>155</v>
      </c>
      <c r="AD193" s="593" t="s">
        <v>89</v>
      </c>
      <c r="AE193" s="628"/>
      <c r="AF193" s="628"/>
      <c r="AG193" s="595">
        <f t="shared" si="130"/>
        <v>540</v>
      </c>
      <c r="AH193" s="628"/>
      <c r="AI193" s="628"/>
      <c r="AJ193" s="589"/>
      <c r="AK193" s="629"/>
      <c r="AL193" s="628"/>
      <c r="AM193" s="628"/>
      <c r="AN193" s="598">
        <f t="shared" si="131"/>
        <v>540</v>
      </c>
      <c r="AO193" s="621"/>
      <c r="AP193" s="630"/>
      <c r="AQ193" s="630"/>
      <c r="AR193" s="592">
        <f t="shared" si="128"/>
        <v>540</v>
      </c>
      <c r="AS193" s="630"/>
      <c r="AT193" s="630"/>
      <c r="AU193" s="621"/>
      <c r="AV193" s="621"/>
      <c r="AW193" s="592">
        <f t="shared" si="119"/>
        <v>540</v>
      </c>
      <c r="AX193" s="621"/>
      <c r="AY193" s="621"/>
      <c r="AZ193" s="621"/>
      <c r="BA193" s="621"/>
      <c r="BB193" s="621"/>
      <c r="BC193" s="621"/>
      <c r="BD193" s="621"/>
      <c r="BE193" s="623"/>
      <c r="BF193" s="602" t="s">
        <v>165</v>
      </c>
      <c r="BG193" s="603"/>
      <c r="BH193" s="604">
        <f t="shared" si="132"/>
        <v>90</v>
      </c>
      <c r="BI193" s="605">
        <f t="shared" si="133"/>
        <v>90</v>
      </c>
      <c r="BJ193" s="602">
        <f t="shared" si="134"/>
        <v>90</v>
      </c>
      <c r="BK193" s="602">
        <f t="shared" si="135"/>
        <v>90</v>
      </c>
      <c r="BL193" s="602">
        <f t="shared" si="136"/>
        <v>90</v>
      </c>
      <c r="BM193" s="602">
        <f t="shared" si="137"/>
        <v>90</v>
      </c>
      <c r="BN193" s="631"/>
      <c r="BO193" s="631"/>
      <c r="BP193" s="631"/>
      <c r="BQ193" s="631"/>
      <c r="BR193" s="631"/>
      <c r="BS193" s="631"/>
      <c r="BT193" s="607">
        <f t="shared" si="138"/>
        <v>540</v>
      </c>
      <c r="BU193" s="608">
        <f t="shared" si="139"/>
        <v>0</v>
      </c>
      <c r="BV193" s="609"/>
      <c r="BW193" s="491"/>
    </row>
    <row r="194" s="490" customFormat="1" ht="33" customHeight="1" spans="1:75">
      <c r="A194" s="577">
        <v>45799</v>
      </c>
      <c r="B194" s="581" t="s">
        <v>885</v>
      </c>
      <c r="C194" s="579" t="s">
        <v>92</v>
      </c>
      <c r="D194" s="580">
        <v>4500167493</v>
      </c>
      <c r="E194" s="588">
        <v>919543658</v>
      </c>
      <c r="F194" s="580" t="s">
        <v>1117</v>
      </c>
      <c r="G194" s="582" t="s">
        <v>155</v>
      </c>
      <c r="H194" s="578" t="s">
        <v>156</v>
      </c>
      <c r="I194" s="583">
        <v>540</v>
      </c>
      <c r="J194" s="583">
        <v>1</v>
      </c>
      <c r="K194" s="583">
        <v>108</v>
      </c>
      <c r="L194" s="584">
        <f t="shared" si="99"/>
        <v>5</v>
      </c>
      <c r="M194" s="585">
        <v>45821</v>
      </c>
      <c r="N194" s="585">
        <v>45821</v>
      </c>
      <c r="O194" s="586" t="s">
        <v>1104</v>
      </c>
      <c r="P194" s="586" t="s">
        <v>83</v>
      </c>
      <c r="Q194" s="587" t="s">
        <v>1116</v>
      </c>
      <c r="R194" s="586" t="s">
        <v>888</v>
      </c>
      <c r="S194" s="586"/>
      <c r="T194" s="586"/>
      <c r="U194" s="586" t="s">
        <v>665</v>
      </c>
      <c r="V194" s="586" t="s">
        <v>161</v>
      </c>
      <c r="W194" s="586"/>
      <c r="X194" s="588" t="s">
        <v>943</v>
      </c>
      <c r="Y194" s="618" t="s">
        <v>163</v>
      </c>
      <c r="Z194" s="590">
        <v>383.702</v>
      </c>
      <c r="AA194" s="591">
        <f t="shared" si="129"/>
        <v>1918.51</v>
      </c>
      <c r="AB194" s="619"/>
      <c r="AC194" s="638" t="s">
        <v>155</v>
      </c>
      <c r="AD194" s="593" t="s">
        <v>89</v>
      </c>
      <c r="AE194" s="628"/>
      <c r="AF194" s="628"/>
      <c r="AG194" s="595">
        <f t="shared" si="130"/>
        <v>540</v>
      </c>
      <c r="AH194" s="628"/>
      <c r="AI194" s="628"/>
      <c r="AJ194" s="589"/>
      <c r="AK194" s="629"/>
      <c r="AL194" s="628"/>
      <c r="AM194" s="628"/>
      <c r="AN194" s="598">
        <f t="shared" si="131"/>
        <v>540</v>
      </c>
      <c r="AO194" s="621"/>
      <c r="AP194" s="630"/>
      <c r="AQ194" s="630"/>
      <c r="AR194" s="592">
        <f t="shared" si="128"/>
        <v>540</v>
      </c>
      <c r="AS194" s="630"/>
      <c r="AT194" s="630"/>
      <c r="AU194" s="621"/>
      <c r="AV194" s="621"/>
      <c r="AW194" s="592">
        <f t="shared" si="119"/>
        <v>540</v>
      </c>
      <c r="AX194" s="621"/>
      <c r="AY194" s="621"/>
      <c r="AZ194" s="621"/>
      <c r="BA194" s="621"/>
      <c r="BB194" s="621"/>
      <c r="BC194" s="621"/>
      <c r="BD194" s="621"/>
      <c r="BE194" s="623"/>
      <c r="BF194" s="602" t="s">
        <v>165</v>
      </c>
      <c r="BG194" s="603"/>
      <c r="BH194" s="604">
        <f t="shared" si="132"/>
        <v>90</v>
      </c>
      <c r="BI194" s="605">
        <f t="shared" si="133"/>
        <v>90</v>
      </c>
      <c r="BJ194" s="602">
        <f t="shared" si="134"/>
        <v>90</v>
      </c>
      <c r="BK194" s="602">
        <f t="shared" si="135"/>
        <v>90</v>
      </c>
      <c r="BL194" s="602">
        <f t="shared" si="136"/>
        <v>90</v>
      </c>
      <c r="BM194" s="602">
        <f t="shared" si="137"/>
        <v>90</v>
      </c>
      <c r="BN194" s="631"/>
      <c r="BO194" s="631"/>
      <c r="BP194" s="631"/>
      <c r="BQ194" s="631"/>
      <c r="BR194" s="631"/>
      <c r="BS194" s="631"/>
      <c r="BT194" s="607">
        <f t="shared" si="138"/>
        <v>540</v>
      </c>
      <c r="BU194" s="608">
        <f t="shared" si="139"/>
        <v>0</v>
      </c>
      <c r="BV194" s="609"/>
      <c r="BW194" s="491"/>
    </row>
    <row r="195" s="490" customFormat="1" ht="33" customHeight="1" spans="1:75">
      <c r="A195" s="577">
        <v>45783</v>
      </c>
      <c r="B195" s="581" t="s">
        <v>245</v>
      </c>
      <c r="C195" s="579" t="s">
        <v>246</v>
      </c>
      <c r="D195" s="580">
        <v>4500165567</v>
      </c>
      <c r="E195" s="616">
        <v>20811641</v>
      </c>
      <c r="F195" s="580" t="s">
        <v>1118</v>
      </c>
      <c r="G195" s="582" t="s">
        <v>81</v>
      </c>
      <c r="H195" s="578" t="s">
        <v>95</v>
      </c>
      <c r="I195" s="583">
        <v>60</v>
      </c>
      <c r="J195" s="583">
        <v>0</v>
      </c>
      <c r="K195" s="583">
        <v>6</v>
      </c>
      <c r="L195" s="584">
        <f t="shared" si="99"/>
        <v>10</v>
      </c>
      <c r="M195" s="585">
        <v>45824</v>
      </c>
      <c r="N195" s="585">
        <v>45820</v>
      </c>
      <c r="O195" s="586"/>
      <c r="P195" s="586" t="s">
        <v>83</v>
      </c>
      <c r="Q195" s="587" t="s">
        <v>1119</v>
      </c>
      <c r="R195" s="586" t="s">
        <v>1120</v>
      </c>
      <c r="S195" s="586"/>
      <c r="T195" s="586"/>
      <c r="U195" s="586" t="s">
        <v>1121</v>
      </c>
      <c r="V195" s="586"/>
      <c r="W195" s="586"/>
      <c r="X195" s="588" t="s">
        <v>1122</v>
      </c>
      <c r="Y195" s="618" t="s">
        <v>1123</v>
      </c>
      <c r="Z195" s="590">
        <v>6.1681</v>
      </c>
      <c r="AA195" s="591">
        <f>Z195*I195</f>
        <v>370.086</v>
      </c>
      <c r="AB195" s="619"/>
      <c r="AC195" s="582" t="s">
        <v>81</v>
      </c>
      <c r="AD195" s="593" t="s">
        <v>89</v>
      </c>
      <c r="AE195" s="628"/>
      <c r="AF195" s="628"/>
      <c r="AG195" s="595">
        <f t="shared" si="130"/>
        <v>60</v>
      </c>
      <c r="AH195" s="628"/>
      <c r="AI195" s="628"/>
      <c r="AJ195" s="589"/>
      <c r="AK195" s="629"/>
      <c r="AL195" s="628"/>
      <c r="AM195" s="628"/>
      <c r="AN195" s="598">
        <f t="shared" si="131"/>
        <v>60</v>
      </c>
      <c r="AO195" s="621"/>
      <c r="AP195" s="630"/>
      <c r="AQ195" s="630"/>
      <c r="AR195" s="592">
        <f t="shared" si="128"/>
        <v>60</v>
      </c>
      <c r="AS195" s="630"/>
      <c r="AT195" s="630"/>
      <c r="AU195" s="621"/>
      <c r="AV195" s="621"/>
      <c r="AW195" s="592">
        <f t="shared" si="119"/>
        <v>60</v>
      </c>
      <c r="AX195" s="621"/>
      <c r="AY195" s="621"/>
      <c r="AZ195" s="621"/>
      <c r="BA195" s="621"/>
      <c r="BB195" s="621"/>
      <c r="BC195" s="621"/>
      <c r="BD195" s="621"/>
      <c r="BE195" s="623"/>
      <c r="BF195" s="602" t="s">
        <v>90</v>
      </c>
      <c r="BG195" s="603"/>
      <c r="BH195" s="604">
        <f t="shared" si="132"/>
        <v>10</v>
      </c>
      <c r="BI195" s="605">
        <f t="shared" si="133"/>
        <v>10</v>
      </c>
      <c r="BJ195" s="602">
        <f t="shared" si="134"/>
        <v>10</v>
      </c>
      <c r="BK195" s="602">
        <f t="shared" si="135"/>
        <v>10</v>
      </c>
      <c r="BL195" s="602">
        <f t="shared" si="136"/>
        <v>10</v>
      </c>
      <c r="BM195" s="602">
        <f t="shared" si="137"/>
        <v>10</v>
      </c>
      <c r="BN195" s="631"/>
      <c r="BO195" s="631"/>
      <c r="BP195" s="631"/>
      <c r="BQ195" s="631"/>
      <c r="BR195" s="631"/>
      <c r="BS195" s="631"/>
      <c r="BT195" s="607">
        <f t="shared" si="138"/>
        <v>60</v>
      </c>
      <c r="BU195" s="608">
        <f t="shared" si="139"/>
        <v>0</v>
      </c>
      <c r="BV195" s="609"/>
      <c r="BW195" s="491"/>
    </row>
    <row r="196" s="490" customFormat="1" ht="33" customHeight="1" spans="1:75">
      <c r="A196" s="577">
        <v>45783</v>
      </c>
      <c r="B196" s="581" t="s">
        <v>254</v>
      </c>
      <c r="C196" s="579" t="s">
        <v>255</v>
      </c>
      <c r="D196" s="580">
        <v>4500165566</v>
      </c>
      <c r="E196" s="588">
        <v>20811640</v>
      </c>
      <c r="F196" s="580" t="s">
        <v>1124</v>
      </c>
      <c r="G196" s="582" t="s">
        <v>81</v>
      </c>
      <c r="H196" s="578" t="s">
        <v>95</v>
      </c>
      <c r="I196" s="583">
        <v>1440</v>
      </c>
      <c r="J196" s="583">
        <v>0</v>
      </c>
      <c r="K196" s="583">
        <v>6</v>
      </c>
      <c r="L196" s="584">
        <f t="shared" ref="L196:L211" si="140">I196/K196</f>
        <v>240</v>
      </c>
      <c r="M196" s="585">
        <v>45824</v>
      </c>
      <c r="N196" s="585">
        <v>45820</v>
      </c>
      <c r="O196" s="586"/>
      <c r="P196" s="586" t="s">
        <v>83</v>
      </c>
      <c r="Q196" s="587" t="s">
        <v>1119</v>
      </c>
      <c r="R196" s="586" t="s">
        <v>1120</v>
      </c>
      <c r="S196" s="586"/>
      <c r="T196" s="586"/>
      <c r="U196" s="586" t="s">
        <v>1121</v>
      </c>
      <c r="V196" s="586"/>
      <c r="W196" s="586"/>
      <c r="X196" s="588" t="s">
        <v>1125</v>
      </c>
      <c r="Y196" s="618" t="s">
        <v>1123</v>
      </c>
      <c r="Z196" s="590">
        <v>6.1607</v>
      </c>
      <c r="AA196" s="591">
        <f>Z196*I196</f>
        <v>8871.408</v>
      </c>
      <c r="AB196" s="619"/>
      <c r="AC196" s="582" t="s">
        <v>81</v>
      </c>
      <c r="AD196" s="593" t="s">
        <v>89</v>
      </c>
      <c r="AE196" s="628"/>
      <c r="AF196" s="628"/>
      <c r="AG196" s="595">
        <f t="shared" si="130"/>
        <v>1440</v>
      </c>
      <c r="AH196" s="628"/>
      <c r="AI196" s="628"/>
      <c r="AJ196" s="589"/>
      <c r="AK196" s="629"/>
      <c r="AL196" s="628"/>
      <c r="AM196" s="628"/>
      <c r="AN196" s="598">
        <f t="shared" si="131"/>
        <v>1440</v>
      </c>
      <c r="AO196" s="621"/>
      <c r="AP196" s="630"/>
      <c r="AQ196" s="630"/>
      <c r="AR196" s="592">
        <f t="shared" si="128"/>
        <v>1440</v>
      </c>
      <c r="AS196" s="630"/>
      <c r="AT196" s="630"/>
      <c r="AU196" s="621"/>
      <c r="AV196" s="621"/>
      <c r="AW196" s="592">
        <f t="shared" si="119"/>
        <v>1440</v>
      </c>
      <c r="AX196" s="621"/>
      <c r="AY196" s="621"/>
      <c r="AZ196" s="621"/>
      <c r="BA196" s="621"/>
      <c r="BB196" s="621"/>
      <c r="BC196" s="621"/>
      <c r="BD196" s="621"/>
      <c r="BE196" s="623"/>
      <c r="BF196" s="602" t="s">
        <v>90</v>
      </c>
      <c r="BG196" s="603"/>
      <c r="BH196" s="604">
        <f t="shared" si="132"/>
        <v>240</v>
      </c>
      <c r="BI196" s="605">
        <f t="shared" si="133"/>
        <v>240</v>
      </c>
      <c r="BJ196" s="602">
        <f t="shared" si="134"/>
        <v>240</v>
      </c>
      <c r="BK196" s="602">
        <f t="shared" si="135"/>
        <v>240</v>
      </c>
      <c r="BL196" s="602">
        <f t="shared" si="136"/>
        <v>240</v>
      </c>
      <c r="BM196" s="602">
        <f t="shared" si="137"/>
        <v>240</v>
      </c>
      <c r="BN196" s="631"/>
      <c r="BO196" s="631"/>
      <c r="BP196" s="631"/>
      <c r="BQ196" s="631"/>
      <c r="BR196" s="631"/>
      <c r="BS196" s="631"/>
      <c r="BT196" s="607">
        <f t="shared" si="138"/>
        <v>1440</v>
      </c>
      <c r="BU196" s="608">
        <f t="shared" si="139"/>
        <v>0</v>
      </c>
      <c r="BV196" s="609"/>
      <c r="BW196" s="491"/>
    </row>
    <row r="197" s="490" customFormat="1" ht="33" customHeight="1" spans="1:75">
      <c r="A197" s="577">
        <v>45777</v>
      </c>
      <c r="B197" s="581" t="s">
        <v>563</v>
      </c>
      <c r="C197" s="579" t="s">
        <v>255</v>
      </c>
      <c r="D197" s="580">
        <v>4500165328</v>
      </c>
      <c r="E197" s="588">
        <v>2465889</v>
      </c>
      <c r="F197" s="580" t="s">
        <v>1126</v>
      </c>
      <c r="G197" s="582" t="s">
        <v>81</v>
      </c>
      <c r="H197" s="578" t="s">
        <v>95</v>
      </c>
      <c r="I197" s="583">
        <v>1500</v>
      </c>
      <c r="J197" s="583">
        <v>0</v>
      </c>
      <c r="K197" s="583">
        <v>6</v>
      </c>
      <c r="L197" s="584">
        <f t="shared" si="140"/>
        <v>250</v>
      </c>
      <c r="M197" s="585">
        <v>45824</v>
      </c>
      <c r="N197" s="585">
        <v>45820</v>
      </c>
      <c r="O197" s="586"/>
      <c r="P197" s="586" t="s">
        <v>83</v>
      </c>
      <c r="Q197" s="587" t="s">
        <v>1119</v>
      </c>
      <c r="R197" s="586" t="s">
        <v>1127</v>
      </c>
      <c r="S197" s="586"/>
      <c r="T197" s="586"/>
      <c r="U197" s="586" t="s">
        <v>1128</v>
      </c>
      <c r="V197" s="586"/>
      <c r="W197" s="586"/>
      <c r="X197" s="588" t="s">
        <v>1129</v>
      </c>
      <c r="Y197" s="618" t="s">
        <v>1130</v>
      </c>
      <c r="Z197" s="590">
        <v>6.1607</v>
      </c>
      <c r="AA197" s="591">
        <v>9241.05</v>
      </c>
      <c r="AB197" s="619"/>
      <c r="AC197" s="582" t="s">
        <v>81</v>
      </c>
      <c r="AD197" s="593" t="s">
        <v>89</v>
      </c>
      <c r="AE197" s="628"/>
      <c r="AF197" s="628"/>
      <c r="AG197" s="595">
        <v>1500</v>
      </c>
      <c r="AH197" s="628"/>
      <c r="AI197" s="628"/>
      <c r="AJ197" s="589"/>
      <c r="AK197" s="629"/>
      <c r="AL197" s="628"/>
      <c r="AM197" s="628"/>
      <c r="AN197" s="598">
        <v>1500</v>
      </c>
      <c r="AO197" s="621"/>
      <c r="AP197" s="630"/>
      <c r="AQ197" s="630"/>
      <c r="AR197" s="592">
        <f t="shared" si="128"/>
        <v>1500</v>
      </c>
      <c r="AS197" s="630"/>
      <c r="AT197" s="630"/>
      <c r="AU197" s="621"/>
      <c r="AV197" s="621"/>
      <c r="AW197" s="592">
        <f t="shared" si="119"/>
        <v>1500</v>
      </c>
      <c r="AX197" s="621"/>
      <c r="AY197" s="621"/>
      <c r="AZ197" s="621"/>
      <c r="BA197" s="621"/>
      <c r="BB197" s="621"/>
      <c r="BC197" s="621"/>
      <c r="BD197" s="621"/>
      <c r="BE197" s="623"/>
      <c r="BF197" s="602" t="s">
        <v>90</v>
      </c>
      <c r="BG197" s="603"/>
      <c r="BH197" s="604">
        <v>250</v>
      </c>
      <c r="BI197" s="605">
        <v>250</v>
      </c>
      <c r="BJ197" s="602">
        <v>250</v>
      </c>
      <c r="BK197" s="602">
        <v>250</v>
      </c>
      <c r="BL197" s="602">
        <v>250</v>
      </c>
      <c r="BM197" s="602">
        <v>250</v>
      </c>
      <c r="BN197" s="631"/>
      <c r="BO197" s="631"/>
      <c r="BP197" s="631"/>
      <c r="BQ197" s="631"/>
      <c r="BR197" s="631"/>
      <c r="BS197" s="631"/>
      <c r="BT197" s="607">
        <v>1500</v>
      </c>
      <c r="BU197" s="608">
        <v>0</v>
      </c>
      <c r="BV197" s="609"/>
      <c r="BW197" s="491"/>
    </row>
    <row r="198" s="490" customFormat="1" ht="33" customHeight="1" spans="1:75">
      <c r="A198" s="577">
        <v>45786</v>
      </c>
      <c r="B198" s="581" t="s">
        <v>1131</v>
      </c>
      <c r="C198" s="579" t="s">
        <v>334</v>
      </c>
      <c r="D198" s="580">
        <v>4500165792</v>
      </c>
      <c r="E198" s="616"/>
      <c r="F198" s="580" t="s">
        <v>1132</v>
      </c>
      <c r="G198" s="582" t="s">
        <v>81</v>
      </c>
      <c r="H198" s="578" t="s">
        <v>95</v>
      </c>
      <c r="I198" s="583">
        <v>702</v>
      </c>
      <c r="J198" s="583">
        <v>0</v>
      </c>
      <c r="K198" s="583">
        <v>6</v>
      </c>
      <c r="L198" s="584">
        <f t="shared" si="140"/>
        <v>117</v>
      </c>
      <c r="M198" s="585">
        <v>45818</v>
      </c>
      <c r="N198" s="585">
        <v>45828</v>
      </c>
      <c r="O198" s="648"/>
      <c r="P198" s="586" t="s">
        <v>83</v>
      </c>
      <c r="Q198" s="587" t="s">
        <v>1133</v>
      </c>
      <c r="R198" s="586" t="s">
        <v>1134</v>
      </c>
      <c r="S198" s="586"/>
      <c r="T198" s="586"/>
      <c r="U198" s="586" t="s">
        <v>1135</v>
      </c>
      <c r="V198" s="586"/>
      <c r="W198" s="586"/>
      <c r="X198" s="588" t="s">
        <v>1136</v>
      </c>
      <c r="Y198" s="618" t="s">
        <v>1137</v>
      </c>
      <c r="Z198" s="590">
        <v>5.7828</v>
      </c>
      <c r="AA198" s="591">
        <f t="shared" ref="AA198:AA210" si="141">Z198*I198</f>
        <v>4059.5256</v>
      </c>
      <c r="AB198" s="619"/>
      <c r="AC198" s="582" t="s">
        <v>235</v>
      </c>
      <c r="AD198" s="593" t="s">
        <v>89</v>
      </c>
      <c r="AE198" s="628"/>
      <c r="AF198" s="628"/>
      <c r="AG198" s="595"/>
      <c r="AH198" s="628"/>
      <c r="AI198" s="628"/>
      <c r="AJ198" s="637">
        <f>I198</f>
        <v>702</v>
      </c>
      <c r="AK198" s="629"/>
      <c r="AL198" s="628"/>
      <c r="AM198" s="628"/>
      <c r="AN198" s="598">
        <f t="shared" ref="AN198:AN210" si="142">I198</f>
        <v>702</v>
      </c>
      <c r="AO198" s="621"/>
      <c r="AP198" s="630"/>
      <c r="AQ198" s="630"/>
      <c r="AR198" s="592"/>
      <c r="AS198" s="630"/>
      <c r="AT198" s="630"/>
      <c r="AU198" s="621">
        <f>I198</f>
        <v>702</v>
      </c>
      <c r="AV198" s="621"/>
      <c r="AW198" s="592">
        <f t="shared" si="119"/>
        <v>702</v>
      </c>
      <c r="AX198" s="621"/>
      <c r="AY198" s="621"/>
      <c r="AZ198" s="621"/>
      <c r="BA198" s="621"/>
      <c r="BB198" s="621"/>
      <c r="BC198" s="621"/>
      <c r="BD198" s="621"/>
      <c r="BE198" s="623"/>
      <c r="BF198" s="602" t="s">
        <v>90</v>
      </c>
      <c r="BG198" s="603"/>
      <c r="BH198" s="604">
        <f t="shared" ref="BH198:BH206" si="143">I198/6</f>
        <v>117</v>
      </c>
      <c r="BI198" s="605">
        <f t="shared" ref="BI198:BI206" si="144">I198/6</f>
        <v>117</v>
      </c>
      <c r="BJ198" s="602">
        <f t="shared" ref="BJ198:BJ206" si="145">I198/6</f>
        <v>117</v>
      </c>
      <c r="BK198" s="602">
        <f t="shared" ref="BK198:BK206" si="146">I198/6</f>
        <v>117</v>
      </c>
      <c r="BL198" s="602">
        <f t="shared" ref="BL198:BL206" si="147">I198/6</f>
        <v>117</v>
      </c>
      <c r="BM198" s="602">
        <f t="shared" ref="BM198:BM206" si="148">I198/6</f>
        <v>117</v>
      </c>
      <c r="BN198" s="631"/>
      <c r="BO198" s="631"/>
      <c r="BP198" s="631"/>
      <c r="BQ198" s="631"/>
      <c r="BR198" s="631"/>
      <c r="BS198" s="631"/>
      <c r="BT198" s="607">
        <f t="shared" ref="BT198:BT229" si="149">SUM(BH198:BS198)</f>
        <v>702</v>
      </c>
      <c r="BU198" s="608">
        <f t="shared" ref="BU198:BU229" si="150">I198-BT198</f>
        <v>0</v>
      </c>
      <c r="BV198" s="609"/>
      <c r="BW198" s="491"/>
    </row>
    <row r="199" s="490" customFormat="1" ht="33" customHeight="1" spans="1:75">
      <c r="A199" s="577">
        <v>45763</v>
      </c>
      <c r="B199" s="616" t="s">
        <v>1138</v>
      </c>
      <c r="C199" s="579" t="s">
        <v>1139</v>
      </c>
      <c r="D199" s="580">
        <v>4500163691</v>
      </c>
      <c r="E199" s="649" t="s">
        <v>1140</v>
      </c>
      <c r="F199" s="580" t="s">
        <v>1141</v>
      </c>
      <c r="G199" s="582" t="s">
        <v>81</v>
      </c>
      <c r="H199" s="578" t="s">
        <v>95</v>
      </c>
      <c r="I199" s="583">
        <v>1500</v>
      </c>
      <c r="J199" s="583">
        <v>0</v>
      </c>
      <c r="K199" s="583">
        <v>6</v>
      </c>
      <c r="L199" s="584">
        <f t="shared" si="140"/>
        <v>250</v>
      </c>
      <c r="M199" s="585">
        <v>45818</v>
      </c>
      <c r="N199" s="585">
        <v>45834</v>
      </c>
      <c r="O199" s="586"/>
      <c r="P199" s="586" t="s">
        <v>83</v>
      </c>
      <c r="Q199" s="587" t="s">
        <v>1142</v>
      </c>
      <c r="R199" s="586" t="s">
        <v>1143</v>
      </c>
      <c r="S199" s="586"/>
      <c r="T199" s="586"/>
      <c r="U199" s="586" t="s">
        <v>1144</v>
      </c>
      <c r="V199" s="586"/>
      <c r="W199" s="586" t="s">
        <v>1145</v>
      </c>
      <c r="X199" s="588" t="s">
        <v>1146</v>
      </c>
      <c r="Y199" s="618" t="s">
        <v>243</v>
      </c>
      <c r="Z199" s="590">
        <v>5.7753</v>
      </c>
      <c r="AA199" s="591">
        <f t="shared" si="141"/>
        <v>8662.95</v>
      </c>
      <c r="AB199" s="619" t="s">
        <v>1147</v>
      </c>
      <c r="AC199" s="582" t="s">
        <v>235</v>
      </c>
      <c r="AD199" s="593" t="s">
        <v>89</v>
      </c>
      <c r="AE199" s="628"/>
      <c r="AF199" s="628"/>
      <c r="AG199" s="595"/>
      <c r="AH199" s="628"/>
      <c r="AI199" s="628"/>
      <c r="AJ199" s="595">
        <f>I199</f>
        <v>1500</v>
      </c>
      <c r="AK199" s="629"/>
      <c r="AL199" s="628"/>
      <c r="AM199" s="628"/>
      <c r="AN199" s="598">
        <f t="shared" si="142"/>
        <v>1500</v>
      </c>
      <c r="AO199" s="621"/>
      <c r="AP199" s="630"/>
      <c r="AQ199" s="630"/>
      <c r="AR199" s="592"/>
      <c r="AS199" s="630"/>
      <c r="AT199" s="630"/>
      <c r="AU199" s="621">
        <f>I199</f>
        <v>1500</v>
      </c>
      <c r="AV199" s="621"/>
      <c r="AW199" s="592">
        <f t="shared" si="119"/>
        <v>1500</v>
      </c>
      <c r="AX199" s="621"/>
      <c r="AY199" s="621"/>
      <c r="AZ199" s="621"/>
      <c r="BA199" s="621"/>
      <c r="BB199" s="621"/>
      <c r="BC199" s="621"/>
      <c r="BD199" s="621"/>
      <c r="BE199" s="623"/>
      <c r="BF199" s="602" t="s">
        <v>90</v>
      </c>
      <c r="BG199" s="603"/>
      <c r="BH199" s="604">
        <f t="shared" si="143"/>
        <v>250</v>
      </c>
      <c r="BI199" s="605">
        <f t="shared" si="144"/>
        <v>250</v>
      </c>
      <c r="BJ199" s="602">
        <f t="shared" si="145"/>
        <v>250</v>
      </c>
      <c r="BK199" s="602">
        <f t="shared" si="146"/>
        <v>250</v>
      </c>
      <c r="BL199" s="602">
        <f t="shared" si="147"/>
        <v>250</v>
      </c>
      <c r="BM199" s="602">
        <f t="shared" si="148"/>
        <v>250</v>
      </c>
      <c r="BN199" s="631"/>
      <c r="BO199" s="631"/>
      <c r="BP199" s="631"/>
      <c r="BQ199" s="631"/>
      <c r="BR199" s="631"/>
      <c r="BS199" s="631"/>
      <c r="BT199" s="607">
        <f t="shared" si="149"/>
        <v>1500</v>
      </c>
      <c r="BU199" s="608">
        <f t="shared" si="150"/>
        <v>0</v>
      </c>
      <c r="BV199" s="609"/>
      <c r="BW199" s="491"/>
    </row>
    <row r="200" s="490" customFormat="1" ht="33" customHeight="1" spans="1:75">
      <c r="A200" s="577">
        <v>45796</v>
      </c>
      <c r="B200" s="581" t="s">
        <v>900</v>
      </c>
      <c r="C200" s="579" t="s">
        <v>119</v>
      </c>
      <c r="D200" s="580">
        <v>4500166868</v>
      </c>
      <c r="E200" s="616" t="s">
        <v>1148</v>
      </c>
      <c r="F200" s="580" t="s">
        <v>1149</v>
      </c>
      <c r="G200" s="582" t="s">
        <v>81</v>
      </c>
      <c r="H200" s="578" t="s">
        <v>95</v>
      </c>
      <c r="I200" s="583">
        <v>600</v>
      </c>
      <c r="J200" s="583">
        <v>0</v>
      </c>
      <c r="K200" s="583">
        <v>6</v>
      </c>
      <c r="L200" s="584">
        <f t="shared" si="140"/>
        <v>100</v>
      </c>
      <c r="M200" s="585">
        <v>45834</v>
      </c>
      <c r="N200" s="585">
        <v>45831</v>
      </c>
      <c r="O200" s="586"/>
      <c r="P200" s="586" t="s">
        <v>83</v>
      </c>
      <c r="Q200" s="587" t="s">
        <v>1150</v>
      </c>
      <c r="R200" s="586" t="s">
        <v>1151</v>
      </c>
      <c r="S200" s="586"/>
      <c r="T200" s="586"/>
      <c r="U200" s="586" t="s">
        <v>86</v>
      </c>
      <c r="V200" s="586" t="s">
        <v>1152</v>
      </c>
      <c r="W200" s="586"/>
      <c r="X200" s="588" t="s">
        <v>1153</v>
      </c>
      <c r="Y200" s="618" t="s">
        <v>907</v>
      </c>
      <c r="Z200" s="590">
        <v>5.7828</v>
      </c>
      <c r="AA200" s="591">
        <f t="shared" si="141"/>
        <v>3469.68</v>
      </c>
      <c r="AB200" s="619" t="s">
        <v>1154</v>
      </c>
      <c r="AC200" s="582" t="s">
        <v>235</v>
      </c>
      <c r="AD200" s="593" t="s">
        <v>89</v>
      </c>
      <c r="AE200" s="628"/>
      <c r="AF200" s="628"/>
      <c r="AG200" s="595"/>
      <c r="AH200" s="628"/>
      <c r="AI200" s="628"/>
      <c r="AJ200" s="595">
        <f>I200</f>
        <v>600</v>
      </c>
      <c r="AK200" s="629"/>
      <c r="AL200" s="628"/>
      <c r="AM200" s="628"/>
      <c r="AN200" s="598">
        <f t="shared" si="142"/>
        <v>600</v>
      </c>
      <c r="AO200" s="621"/>
      <c r="AP200" s="630"/>
      <c r="AQ200" s="630"/>
      <c r="AR200" s="592"/>
      <c r="AS200" s="630"/>
      <c r="AT200" s="630"/>
      <c r="AU200" s="621">
        <f>I200</f>
        <v>600</v>
      </c>
      <c r="AV200" s="621"/>
      <c r="AW200" s="592">
        <f t="shared" si="119"/>
        <v>600</v>
      </c>
      <c r="AX200" s="621"/>
      <c r="AY200" s="621"/>
      <c r="AZ200" s="621"/>
      <c r="BA200" s="621"/>
      <c r="BB200" s="621"/>
      <c r="BC200" s="621"/>
      <c r="BD200" s="621"/>
      <c r="BE200" s="623"/>
      <c r="BF200" s="602" t="s">
        <v>90</v>
      </c>
      <c r="BG200" s="603"/>
      <c r="BH200" s="604">
        <f t="shared" si="143"/>
        <v>100</v>
      </c>
      <c r="BI200" s="605">
        <f t="shared" si="144"/>
        <v>100</v>
      </c>
      <c r="BJ200" s="602">
        <f t="shared" si="145"/>
        <v>100</v>
      </c>
      <c r="BK200" s="602">
        <f t="shared" si="146"/>
        <v>100</v>
      </c>
      <c r="BL200" s="602">
        <f t="shared" si="147"/>
        <v>100</v>
      </c>
      <c r="BM200" s="602">
        <f t="shared" si="148"/>
        <v>100</v>
      </c>
      <c r="BN200" s="631"/>
      <c r="BO200" s="631"/>
      <c r="BP200" s="631"/>
      <c r="BQ200" s="631"/>
      <c r="BR200" s="631"/>
      <c r="BS200" s="631"/>
      <c r="BT200" s="607">
        <f t="shared" si="149"/>
        <v>600</v>
      </c>
      <c r="BU200" s="608">
        <f t="shared" si="150"/>
        <v>0</v>
      </c>
      <c r="BV200" s="609"/>
      <c r="BW200" s="491"/>
    </row>
    <row r="201" s="490" customFormat="1" ht="33" customHeight="1" spans="1:75">
      <c r="A201" s="577">
        <v>45791</v>
      </c>
      <c r="B201" s="581" t="s">
        <v>450</v>
      </c>
      <c r="C201" s="579" t="s">
        <v>78</v>
      </c>
      <c r="D201" s="580">
        <v>4500166370</v>
      </c>
      <c r="E201" s="616" t="s">
        <v>1155</v>
      </c>
      <c r="F201" s="580" t="s">
        <v>1156</v>
      </c>
      <c r="G201" s="582" t="s">
        <v>81</v>
      </c>
      <c r="H201" s="578" t="s">
        <v>95</v>
      </c>
      <c r="I201" s="583">
        <v>5730</v>
      </c>
      <c r="J201" s="583">
        <v>0</v>
      </c>
      <c r="K201" s="583">
        <v>6</v>
      </c>
      <c r="L201" s="584">
        <f t="shared" si="140"/>
        <v>955</v>
      </c>
      <c r="M201" s="585">
        <v>45832</v>
      </c>
      <c r="N201" s="585">
        <v>45836</v>
      </c>
      <c r="O201" s="586"/>
      <c r="P201" s="586" t="s">
        <v>83</v>
      </c>
      <c r="Q201" s="587" t="s">
        <v>1157</v>
      </c>
      <c r="R201" s="586" t="s">
        <v>1158</v>
      </c>
      <c r="S201" s="586"/>
      <c r="T201" s="586"/>
      <c r="U201" s="586" t="s">
        <v>1159</v>
      </c>
      <c r="V201" s="586"/>
      <c r="W201" s="586"/>
      <c r="X201" s="588" t="s">
        <v>1160</v>
      </c>
      <c r="Y201" s="618" t="s">
        <v>1161</v>
      </c>
      <c r="Z201" s="590">
        <v>5.567</v>
      </c>
      <c r="AA201" s="591">
        <f t="shared" si="141"/>
        <v>31898.91</v>
      </c>
      <c r="AB201" s="619"/>
      <c r="AC201" s="582" t="s">
        <v>235</v>
      </c>
      <c r="AD201" s="593" t="s">
        <v>89</v>
      </c>
      <c r="AE201" s="628"/>
      <c r="AF201" s="628"/>
      <c r="AG201" s="595"/>
      <c r="AH201" s="628"/>
      <c r="AI201" s="628"/>
      <c r="AJ201" s="595">
        <f>I201</f>
        <v>5730</v>
      </c>
      <c r="AK201" s="629"/>
      <c r="AL201" s="628"/>
      <c r="AM201" s="628"/>
      <c r="AN201" s="598">
        <f t="shared" si="142"/>
        <v>5730</v>
      </c>
      <c r="AO201" s="621"/>
      <c r="AP201" s="630"/>
      <c r="AQ201" s="630"/>
      <c r="AR201" s="592"/>
      <c r="AS201" s="630"/>
      <c r="AT201" s="630"/>
      <c r="AU201" s="621">
        <f>I201</f>
        <v>5730</v>
      </c>
      <c r="AV201" s="621"/>
      <c r="AW201" s="592">
        <f t="shared" si="119"/>
        <v>5730</v>
      </c>
      <c r="AX201" s="621"/>
      <c r="AY201" s="621"/>
      <c r="AZ201" s="621"/>
      <c r="BA201" s="621"/>
      <c r="BB201" s="621"/>
      <c r="BC201" s="621"/>
      <c r="BD201" s="621"/>
      <c r="BE201" s="623"/>
      <c r="BF201" s="602" t="s">
        <v>90</v>
      </c>
      <c r="BG201" s="603"/>
      <c r="BH201" s="604">
        <f t="shared" si="143"/>
        <v>955</v>
      </c>
      <c r="BI201" s="605">
        <f t="shared" si="144"/>
        <v>955</v>
      </c>
      <c r="BJ201" s="602">
        <f t="shared" si="145"/>
        <v>955</v>
      </c>
      <c r="BK201" s="602">
        <f t="shared" si="146"/>
        <v>955</v>
      </c>
      <c r="BL201" s="602">
        <f t="shared" si="147"/>
        <v>955</v>
      </c>
      <c r="BM201" s="602">
        <f t="shared" si="148"/>
        <v>955</v>
      </c>
      <c r="BN201" s="631"/>
      <c r="BO201" s="631"/>
      <c r="BP201" s="631"/>
      <c r="BQ201" s="631"/>
      <c r="BR201" s="631"/>
      <c r="BS201" s="631"/>
      <c r="BT201" s="607">
        <f t="shared" si="149"/>
        <v>5730</v>
      </c>
      <c r="BU201" s="608">
        <f t="shared" si="150"/>
        <v>0</v>
      </c>
      <c r="BV201" s="609"/>
      <c r="BW201" s="491"/>
    </row>
    <row r="202" s="490" customFormat="1" ht="33" customHeight="1" spans="1:75">
      <c r="A202" s="577">
        <v>45791</v>
      </c>
      <c r="B202" s="581" t="s">
        <v>450</v>
      </c>
      <c r="C202" s="579" t="s">
        <v>78</v>
      </c>
      <c r="D202" s="580">
        <v>4500166370</v>
      </c>
      <c r="E202" s="616" t="s">
        <v>1162</v>
      </c>
      <c r="F202" s="580" t="s">
        <v>1163</v>
      </c>
      <c r="G202" s="582" t="s">
        <v>81</v>
      </c>
      <c r="H202" s="578" t="s">
        <v>95</v>
      </c>
      <c r="I202" s="583">
        <v>5730</v>
      </c>
      <c r="J202" s="583">
        <v>0</v>
      </c>
      <c r="K202" s="583">
        <v>6</v>
      </c>
      <c r="L202" s="584">
        <f t="shared" si="140"/>
        <v>955</v>
      </c>
      <c r="M202" s="585">
        <v>45832</v>
      </c>
      <c r="N202" s="585">
        <v>45836</v>
      </c>
      <c r="O202" s="586"/>
      <c r="P202" s="586" t="s">
        <v>83</v>
      </c>
      <c r="Q202" s="587" t="s">
        <v>1157</v>
      </c>
      <c r="R202" s="586" t="s">
        <v>1158</v>
      </c>
      <c r="S202" s="586"/>
      <c r="T202" s="586"/>
      <c r="U202" s="586" t="s">
        <v>1159</v>
      </c>
      <c r="V202" s="586"/>
      <c r="W202" s="586"/>
      <c r="X202" s="588" t="s">
        <v>1160</v>
      </c>
      <c r="Y202" s="618" t="s">
        <v>1161</v>
      </c>
      <c r="Z202" s="590">
        <v>5.7485</v>
      </c>
      <c r="AA202" s="591">
        <f t="shared" si="141"/>
        <v>32938.905</v>
      </c>
      <c r="AB202" s="619"/>
      <c r="AC202" s="582" t="s">
        <v>235</v>
      </c>
      <c r="AD202" s="593" t="s">
        <v>89</v>
      </c>
      <c r="AE202" s="628"/>
      <c r="AF202" s="628"/>
      <c r="AG202" s="595"/>
      <c r="AH202" s="628"/>
      <c r="AI202" s="628"/>
      <c r="AJ202" s="595">
        <f>I202</f>
        <v>5730</v>
      </c>
      <c r="AK202" s="629"/>
      <c r="AL202" s="628"/>
      <c r="AM202" s="628"/>
      <c r="AN202" s="598">
        <f t="shared" si="142"/>
        <v>5730</v>
      </c>
      <c r="AO202" s="621"/>
      <c r="AP202" s="630"/>
      <c r="AQ202" s="630"/>
      <c r="AR202" s="592"/>
      <c r="AS202" s="630"/>
      <c r="AT202" s="630"/>
      <c r="AU202" s="621">
        <f>I202</f>
        <v>5730</v>
      </c>
      <c r="AV202" s="621"/>
      <c r="AW202" s="592">
        <f t="shared" si="119"/>
        <v>5730</v>
      </c>
      <c r="AX202" s="621"/>
      <c r="AY202" s="621"/>
      <c r="AZ202" s="621"/>
      <c r="BA202" s="621"/>
      <c r="BB202" s="621"/>
      <c r="BC202" s="621"/>
      <c r="BD202" s="621"/>
      <c r="BE202" s="623"/>
      <c r="BF202" s="602" t="s">
        <v>90</v>
      </c>
      <c r="BG202" s="603"/>
      <c r="BH202" s="604">
        <f t="shared" si="143"/>
        <v>955</v>
      </c>
      <c r="BI202" s="605">
        <f t="shared" si="144"/>
        <v>955</v>
      </c>
      <c r="BJ202" s="602">
        <f t="shared" si="145"/>
        <v>955</v>
      </c>
      <c r="BK202" s="602">
        <f t="shared" si="146"/>
        <v>955</v>
      </c>
      <c r="BL202" s="602">
        <f t="shared" si="147"/>
        <v>955</v>
      </c>
      <c r="BM202" s="602">
        <f t="shared" si="148"/>
        <v>955</v>
      </c>
      <c r="BN202" s="631"/>
      <c r="BO202" s="631"/>
      <c r="BP202" s="631"/>
      <c r="BQ202" s="631"/>
      <c r="BR202" s="631"/>
      <c r="BS202" s="631"/>
      <c r="BT202" s="607">
        <f t="shared" si="149"/>
        <v>5730</v>
      </c>
      <c r="BU202" s="608">
        <f t="shared" si="150"/>
        <v>0</v>
      </c>
      <c r="BV202" s="609"/>
      <c r="BW202" s="491"/>
    </row>
    <row r="203" s="490" customFormat="1" ht="33" customHeight="1" spans="1:75">
      <c r="A203" s="577">
        <v>45803</v>
      </c>
      <c r="B203" s="581" t="s">
        <v>139</v>
      </c>
      <c r="C203" s="579" t="s">
        <v>140</v>
      </c>
      <c r="D203" s="580">
        <v>4500167954</v>
      </c>
      <c r="E203" s="588">
        <v>5000001898</v>
      </c>
      <c r="F203" s="580" t="s">
        <v>1164</v>
      </c>
      <c r="G203" s="582" t="s">
        <v>81</v>
      </c>
      <c r="H203" s="578" t="s">
        <v>95</v>
      </c>
      <c r="I203" s="583">
        <v>1002</v>
      </c>
      <c r="J203" s="583">
        <v>0</v>
      </c>
      <c r="K203" s="583">
        <v>6</v>
      </c>
      <c r="L203" s="584">
        <f t="shared" si="140"/>
        <v>167</v>
      </c>
      <c r="M203" s="585">
        <v>45833</v>
      </c>
      <c r="N203" s="585">
        <v>45829</v>
      </c>
      <c r="O203" s="586"/>
      <c r="P203" s="586" t="s">
        <v>83</v>
      </c>
      <c r="Q203" s="587" t="s">
        <v>1157</v>
      </c>
      <c r="R203" s="586" t="s">
        <v>1165</v>
      </c>
      <c r="S203" s="586"/>
      <c r="T203" s="586"/>
      <c r="U203" s="586" t="s">
        <v>1166</v>
      </c>
      <c r="V203" s="586"/>
      <c r="W203" s="586"/>
      <c r="X203" s="588" t="s">
        <v>1167</v>
      </c>
      <c r="Y203" s="618" t="s">
        <v>757</v>
      </c>
      <c r="Z203" s="590">
        <v>5.5938</v>
      </c>
      <c r="AA203" s="591">
        <f t="shared" si="141"/>
        <v>5604.9876</v>
      </c>
      <c r="AB203" s="619" t="s">
        <v>1168</v>
      </c>
      <c r="AC203" s="582" t="s">
        <v>81</v>
      </c>
      <c r="AD203" s="593" t="s">
        <v>89</v>
      </c>
      <c r="AE203" s="620"/>
      <c r="AF203" s="620"/>
      <c r="AG203" s="595">
        <f>I203</f>
        <v>1002</v>
      </c>
      <c r="AH203" s="620"/>
      <c r="AI203" s="620"/>
      <c r="AJ203" s="595"/>
      <c r="AK203" s="629"/>
      <c r="AL203" s="620"/>
      <c r="AM203" s="620"/>
      <c r="AN203" s="598">
        <f t="shared" si="142"/>
        <v>1002</v>
      </c>
      <c r="AO203" s="621"/>
      <c r="AP203" s="622"/>
      <c r="AQ203" s="622"/>
      <c r="AR203" s="592">
        <f>I203</f>
        <v>1002</v>
      </c>
      <c r="AS203" s="622"/>
      <c r="AT203" s="622"/>
      <c r="AU203" s="621"/>
      <c r="AV203" s="621"/>
      <c r="AW203" s="592">
        <f t="shared" si="119"/>
        <v>1002</v>
      </c>
      <c r="AX203" s="621"/>
      <c r="AY203" s="621"/>
      <c r="AZ203" s="621"/>
      <c r="BA203" s="621"/>
      <c r="BB203" s="621"/>
      <c r="BC203" s="621"/>
      <c r="BD203" s="621"/>
      <c r="BE203" s="623"/>
      <c r="BF203" s="602" t="s">
        <v>165</v>
      </c>
      <c r="BG203" s="603"/>
      <c r="BH203" s="604">
        <f t="shared" si="143"/>
        <v>167</v>
      </c>
      <c r="BI203" s="605">
        <f t="shared" si="144"/>
        <v>167</v>
      </c>
      <c r="BJ203" s="602">
        <f t="shared" si="145"/>
        <v>167</v>
      </c>
      <c r="BK203" s="602">
        <f t="shared" si="146"/>
        <v>167</v>
      </c>
      <c r="BL203" s="602">
        <f t="shared" si="147"/>
        <v>167</v>
      </c>
      <c r="BM203" s="602">
        <f t="shared" si="148"/>
        <v>167</v>
      </c>
      <c r="BN203" s="624"/>
      <c r="BO203" s="624"/>
      <c r="BP203" s="624"/>
      <c r="BQ203" s="624"/>
      <c r="BR203" s="624"/>
      <c r="BS203" s="624"/>
      <c r="BT203" s="607">
        <f t="shared" si="149"/>
        <v>1002</v>
      </c>
      <c r="BU203" s="608">
        <f t="shared" si="150"/>
        <v>0</v>
      </c>
      <c r="BV203" s="517"/>
      <c r="BW203" s="491"/>
    </row>
    <row r="204" s="490" customFormat="1" ht="33" customHeight="1" spans="1:75">
      <c r="A204" s="577">
        <v>45803</v>
      </c>
      <c r="B204" s="581" t="s">
        <v>987</v>
      </c>
      <c r="C204" s="579" t="s">
        <v>334</v>
      </c>
      <c r="D204" s="580">
        <v>4500167897</v>
      </c>
      <c r="E204" s="588">
        <v>5251211709</v>
      </c>
      <c r="F204" s="580" t="s">
        <v>1169</v>
      </c>
      <c r="G204" s="582" t="s">
        <v>81</v>
      </c>
      <c r="H204" s="578" t="s">
        <v>1170</v>
      </c>
      <c r="I204" s="583">
        <v>60</v>
      </c>
      <c r="J204" s="583">
        <v>0</v>
      </c>
      <c r="K204" s="583">
        <v>6</v>
      </c>
      <c r="L204" s="584">
        <f t="shared" si="140"/>
        <v>10</v>
      </c>
      <c r="M204" s="585">
        <v>45836</v>
      </c>
      <c r="N204" s="585">
        <v>45832</v>
      </c>
      <c r="O204" s="586"/>
      <c r="P204" s="586" t="s">
        <v>83</v>
      </c>
      <c r="Q204" s="587" t="s">
        <v>1171</v>
      </c>
      <c r="R204" s="586" t="s">
        <v>1172</v>
      </c>
      <c r="S204" s="586"/>
      <c r="T204" s="586"/>
      <c r="U204" s="586" t="s">
        <v>1173</v>
      </c>
      <c r="V204" s="586"/>
      <c r="W204" s="586" t="s">
        <v>992</v>
      </c>
      <c r="X204" s="588" t="s">
        <v>1174</v>
      </c>
      <c r="Y204" s="618" t="s">
        <v>340</v>
      </c>
      <c r="Z204" s="590">
        <v>5.7753</v>
      </c>
      <c r="AA204" s="591">
        <f t="shared" si="141"/>
        <v>346.518</v>
      </c>
      <c r="AB204" s="619" t="s">
        <v>1175</v>
      </c>
      <c r="AC204" s="582" t="s">
        <v>235</v>
      </c>
      <c r="AD204" s="593" t="s">
        <v>89</v>
      </c>
      <c r="AE204" s="620"/>
      <c r="AF204" s="620"/>
      <c r="AG204" s="595"/>
      <c r="AH204" s="620"/>
      <c r="AI204" s="620"/>
      <c r="AJ204" s="595">
        <f>I204</f>
        <v>60</v>
      </c>
      <c r="AK204" s="629"/>
      <c r="AL204" s="620"/>
      <c r="AM204" s="620"/>
      <c r="AN204" s="598">
        <f t="shared" si="142"/>
        <v>60</v>
      </c>
      <c r="AO204" s="621"/>
      <c r="AP204" s="622"/>
      <c r="AQ204" s="622"/>
      <c r="AR204" s="592"/>
      <c r="AS204" s="622"/>
      <c r="AT204" s="622"/>
      <c r="AU204" s="621">
        <f>I204</f>
        <v>60</v>
      </c>
      <c r="AV204" s="621"/>
      <c r="AW204" s="592">
        <f t="shared" si="119"/>
        <v>60</v>
      </c>
      <c r="AX204" s="621"/>
      <c r="AY204" s="621"/>
      <c r="AZ204" s="621"/>
      <c r="BA204" s="621"/>
      <c r="BB204" s="621"/>
      <c r="BC204" s="621"/>
      <c r="BD204" s="621"/>
      <c r="BE204" s="623"/>
      <c r="BF204" s="602" t="s">
        <v>165</v>
      </c>
      <c r="BG204" s="603"/>
      <c r="BH204" s="604">
        <f t="shared" si="143"/>
        <v>10</v>
      </c>
      <c r="BI204" s="605">
        <f t="shared" si="144"/>
        <v>10</v>
      </c>
      <c r="BJ204" s="602">
        <f t="shared" si="145"/>
        <v>10</v>
      </c>
      <c r="BK204" s="602">
        <f t="shared" si="146"/>
        <v>10</v>
      </c>
      <c r="BL204" s="602">
        <f t="shared" si="147"/>
        <v>10</v>
      </c>
      <c r="BM204" s="602">
        <f t="shared" si="148"/>
        <v>10</v>
      </c>
      <c r="BN204" s="624"/>
      <c r="BO204" s="624"/>
      <c r="BP204" s="624"/>
      <c r="BQ204" s="624"/>
      <c r="BR204" s="624"/>
      <c r="BS204" s="624"/>
      <c r="BT204" s="607">
        <f t="shared" si="149"/>
        <v>60</v>
      </c>
      <c r="BU204" s="608">
        <f t="shared" si="150"/>
        <v>0</v>
      </c>
      <c r="BV204" s="517"/>
      <c r="BW204" s="491"/>
    </row>
    <row r="205" s="490" customFormat="1" ht="33" customHeight="1" spans="1:75">
      <c r="A205" s="577">
        <v>45804</v>
      </c>
      <c r="B205" s="581" t="s">
        <v>1056</v>
      </c>
      <c r="C205" s="579" t="s">
        <v>334</v>
      </c>
      <c r="D205" s="580">
        <v>4500168127</v>
      </c>
      <c r="E205" s="616" t="s">
        <v>1176</v>
      </c>
      <c r="F205" s="580" t="s">
        <v>1177</v>
      </c>
      <c r="G205" s="582" t="s">
        <v>297</v>
      </c>
      <c r="H205" s="578" t="s">
        <v>298</v>
      </c>
      <c r="I205" s="583">
        <v>216</v>
      </c>
      <c r="J205" s="583">
        <v>1</v>
      </c>
      <c r="K205" s="583">
        <v>4</v>
      </c>
      <c r="L205" s="584">
        <f t="shared" si="140"/>
        <v>54</v>
      </c>
      <c r="M205" s="585">
        <v>45834</v>
      </c>
      <c r="N205" s="585">
        <v>45841</v>
      </c>
      <c r="O205" s="586"/>
      <c r="P205" s="586"/>
      <c r="Q205" s="587"/>
      <c r="R205" s="586" t="s">
        <v>1178</v>
      </c>
      <c r="S205" s="586"/>
      <c r="T205" s="586"/>
      <c r="U205" s="586" t="s">
        <v>1179</v>
      </c>
      <c r="V205" s="586" t="s">
        <v>1180</v>
      </c>
      <c r="W205" s="586" t="s">
        <v>1181</v>
      </c>
      <c r="X205" s="588" t="s">
        <v>1182</v>
      </c>
      <c r="Y205" s="618" t="s">
        <v>340</v>
      </c>
      <c r="Z205" s="590">
        <v>6.0417</v>
      </c>
      <c r="AA205" s="591">
        <f t="shared" si="141"/>
        <v>1305.0072</v>
      </c>
      <c r="AB205" s="619" t="s">
        <v>1183</v>
      </c>
      <c r="AC205" s="582" t="s">
        <v>366</v>
      </c>
      <c r="AD205" s="593" t="s">
        <v>89</v>
      </c>
      <c r="AE205" s="628"/>
      <c r="AF205" s="628"/>
      <c r="AG205" s="595"/>
      <c r="AH205" s="628"/>
      <c r="AI205" s="628"/>
      <c r="AJ205" s="595">
        <f>I205</f>
        <v>216</v>
      </c>
      <c r="AK205" s="629"/>
      <c r="AL205" s="628"/>
      <c r="AM205" s="628"/>
      <c r="AN205" s="598">
        <f t="shared" si="142"/>
        <v>216</v>
      </c>
      <c r="AO205" s="621"/>
      <c r="AP205" s="630"/>
      <c r="AQ205" s="630"/>
      <c r="AR205" s="592"/>
      <c r="AS205" s="630"/>
      <c r="AT205" s="630"/>
      <c r="AU205" s="621">
        <f>I205</f>
        <v>216</v>
      </c>
      <c r="AV205" s="621"/>
      <c r="AW205" s="592">
        <f t="shared" si="119"/>
        <v>216</v>
      </c>
      <c r="AX205" s="621"/>
      <c r="AY205" s="621"/>
      <c r="AZ205" s="621"/>
      <c r="BA205" s="621"/>
      <c r="BB205" s="621"/>
      <c r="BC205" s="621"/>
      <c r="BD205" s="621"/>
      <c r="BE205" s="623"/>
      <c r="BF205" s="602" t="s">
        <v>165</v>
      </c>
      <c r="BG205" s="603"/>
      <c r="BH205" s="604">
        <f>I205</f>
        <v>216</v>
      </c>
      <c r="BI205" s="605"/>
      <c r="BJ205" s="602"/>
      <c r="BK205" s="602"/>
      <c r="BL205" s="602"/>
      <c r="BM205" s="602"/>
      <c r="BN205" s="631"/>
      <c r="BO205" s="631"/>
      <c r="BP205" s="631"/>
      <c r="BQ205" s="631"/>
      <c r="BR205" s="631"/>
      <c r="BS205" s="631"/>
      <c r="BT205" s="607">
        <f t="shared" si="149"/>
        <v>216</v>
      </c>
      <c r="BU205" s="608">
        <f t="shared" si="150"/>
        <v>0</v>
      </c>
      <c r="BV205" s="609"/>
      <c r="BW205" s="491"/>
    </row>
    <row r="206" s="490" customFormat="1" ht="33" customHeight="1" spans="1:75">
      <c r="A206" s="577">
        <v>45804</v>
      </c>
      <c r="B206" s="581" t="s">
        <v>1184</v>
      </c>
      <c r="C206" s="579" t="s">
        <v>1185</v>
      </c>
      <c r="D206" s="580">
        <v>4500168055</v>
      </c>
      <c r="E206" s="616"/>
      <c r="F206" s="580" t="s">
        <v>1186</v>
      </c>
      <c r="G206" s="582" t="s">
        <v>81</v>
      </c>
      <c r="H206" s="578" t="s">
        <v>95</v>
      </c>
      <c r="I206" s="583">
        <v>504</v>
      </c>
      <c r="J206" s="583">
        <v>0</v>
      </c>
      <c r="K206" s="583">
        <v>6</v>
      </c>
      <c r="L206" s="584">
        <f t="shared" si="140"/>
        <v>84</v>
      </c>
      <c r="M206" s="585">
        <v>45838</v>
      </c>
      <c r="N206" s="585">
        <v>45842</v>
      </c>
      <c r="O206" s="586"/>
      <c r="P206" s="586"/>
      <c r="Q206" s="587" t="s">
        <v>1187</v>
      </c>
      <c r="R206" s="586" t="s">
        <v>1188</v>
      </c>
      <c r="S206" s="586"/>
      <c r="T206" s="586"/>
      <c r="U206" s="586" t="s">
        <v>1189</v>
      </c>
      <c r="V206" s="586"/>
      <c r="W206" s="586"/>
      <c r="X206" s="588" t="s">
        <v>1190</v>
      </c>
      <c r="Y206" s="618" t="s">
        <v>243</v>
      </c>
      <c r="Z206" s="590">
        <v>5.7828</v>
      </c>
      <c r="AA206" s="591">
        <f t="shared" si="141"/>
        <v>2914.5312</v>
      </c>
      <c r="AB206" s="619" t="s">
        <v>1191</v>
      </c>
      <c r="AC206" s="582" t="s">
        <v>235</v>
      </c>
      <c r="AD206" s="593" t="s">
        <v>89</v>
      </c>
      <c r="AE206" s="628"/>
      <c r="AF206" s="628"/>
      <c r="AG206" s="595"/>
      <c r="AH206" s="628"/>
      <c r="AI206" s="628"/>
      <c r="AJ206" s="595">
        <f>I206</f>
        <v>504</v>
      </c>
      <c r="AK206" s="629"/>
      <c r="AL206" s="628"/>
      <c r="AM206" s="628"/>
      <c r="AN206" s="598">
        <f t="shared" si="142"/>
        <v>504</v>
      </c>
      <c r="AO206" s="621"/>
      <c r="AP206" s="630"/>
      <c r="AQ206" s="630"/>
      <c r="AR206" s="592"/>
      <c r="AS206" s="630"/>
      <c r="AT206" s="630"/>
      <c r="AU206" s="621">
        <f>I206</f>
        <v>504</v>
      </c>
      <c r="AV206" s="621"/>
      <c r="AW206" s="592">
        <f t="shared" si="119"/>
        <v>504</v>
      </c>
      <c r="AX206" s="621"/>
      <c r="AY206" s="621"/>
      <c r="AZ206" s="621"/>
      <c r="BA206" s="621"/>
      <c r="BB206" s="621"/>
      <c r="BC206" s="621"/>
      <c r="BD206" s="621"/>
      <c r="BE206" s="623"/>
      <c r="BF206" s="602" t="s">
        <v>165</v>
      </c>
      <c r="BG206" s="603"/>
      <c r="BH206" s="604">
        <f>I206/6</f>
        <v>84</v>
      </c>
      <c r="BI206" s="605">
        <f>I206/6</f>
        <v>84</v>
      </c>
      <c r="BJ206" s="602">
        <f>I206/6</f>
        <v>84</v>
      </c>
      <c r="BK206" s="602">
        <f>I206/6</f>
        <v>84</v>
      </c>
      <c r="BL206" s="602">
        <f>I206/6</f>
        <v>84</v>
      </c>
      <c r="BM206" s="602">
        <f>I206/6</f>
        <v>84</v>
      </c>
      <c r="BN206" s="631"/>
      <c r="BO206" s="631"/>
      <c r="BP206" s="631"/>
      <c r="BQ206" s="631"/>
      <c r="BR206" s="631"/>
      <c r="BS206" s="631"/>
      <c r="BT206" s="607">
        <f t="shared" si="149"/>
        <v>504</v>
      </c>
      <c r="BU206" s="608">
        <f t="shared" si="150"/>
        <v>0</v>
      </c>
      <c r="BV206" s="609"/>
      <c r="BW206" s="491"/>
    </row>
    <row r="207" s="490" customFormat="1" ht="33" customHeight="1" spans="1:75">
      <c r="A207" s="577">
        <v>45803</v>
      </c>
      <c r="B207" s="581" t="s">
        <v>254</v>
      </c>
      <c r="C207" s="579" t="s">
        <v>255</v>
      </c>
      <c r="D207" s="580">
        <v>4500166289</v>
      </c>
      <c r="E207" s="588">
        <v>20858535</v>
      </c>
      <c r="F207" s="580" t="s">
        <v>1192</v>
      </c>
      <c r="G207" s="582" t="s">
        <v>81</v>
      </c>
      <c r="H207" s="578" t="s">
        <v>95</v>
      </c>
      <c r="I207" s="583">
        <v>1404</v>
      </c>
      <c r="J207" s="583">
        <v>0</v>
      </c>
      <c r="K207" s="583">
        <v>6</v>
      </c>
      <c r="L207" s="584">
        <f t="shared" si="140"/>
        <v>234</v>
      </c>
      <c r="M207" s="585">
        <v>45845</v>
      </c>
      <c r="N207" s="585">
        <v>45841</v>
      </c>
      <c r="O207" s="586"/>
      <c r="P207" s="586"/>
      <c r="Q207" s="587" t="s">
        <v>1193</v>
      </c>
      <c r="R207" s="586" t="s">
        <v>1194</v>
      </c>
      <c r="S207" s="586"/>
      <c r="T207" s="586"/>
      <c r="U207" s="586" t="s">
        <v>1195</v>
      </c>
      <c r="V207" s="586"/>
      <c r="W207" s="586"/>
      <c r="X207" s="588" t="s">
        <v>958</v>
      </c>
      <c r="Y207" s="618" t="s">
        <v>252</v>
      </c>
      <c r="Z207" s="590">
        <v>6.1607</v>
      </c>
      <c r="AA207" s="591">
        <f t="shared" si="141"/>
        <v>8649.6228</v>
      </c>
      <c r="AB207" s="619" t="s">
        <v>1196</v>
      </c>
      <c r="AC207" s="582" t="s">
        <v>81</v>
      </c>
      <c r="AD207" s="593" t="s">
        <v>89</v>
      </c>
      <c r="AE207" s="628"/>
      <c r="AF207" s="628"/>
      <c r="AG207" s="595">
        <f>I61</f>
        <v>1800</v>
      </c>
      <c r="AH207" s="628"/>
      <c r="AI207" s="628"/>
      <c r="AJ207" s="595"/>
      <c r="AK207" s="629"/>
      <c r="AL207" s="628"/>
      <c r="AM207" s="628"/>
      <c r="AN207" s="598">
        <f t="shared" si="142"/>
        <v>1404</v>
      </c>
      <c r="AO207" s="621"/>
      <c r="AP207" s="630"/>
      <c r="AQ207" s="630"/>
      <c r="AR207" s="592">
        <f>I207</f>
        <v>1404</v>
      </c>
      <c r="AS207" s="630"/>
      <c r="AT207" s="630"/>
      <c r="AU207" s="621"/>
      <c r="AV207" s="621"/>
      <c r="AW207" s="592">
        <f t="shared" si="119"/>
        <v>1404</v>
      </c>
      <c r="AX207" s="621"/>
      <c r="AY207" s="621"/>
      <c r="AZ207" s="621"/>
      <c r="BA207" s="621"/>
      <c r="BB207" s="621"/>
      <c r="BC207" s="621"/>
      <c r="BD207" s="621"/>
      <c r="BE207" s="623"/>
      <c r="BF207" s="602" t="s">
        <v>165</v>
      </c>
      <c r="BG207" s="603"/>
      <c r="BH207" s="604">
        <f>I207/6</f>
        <v>234</v>
      </c>
      <c r="BI207" s="605">
        <f>I207/6</f>
        <v>234</v>
      </c>
      <c r="BJ207" s="602">
        <f>I207/6</f>
        <v>234</v>
      </c>
      <c r="BK207" s="602">
        <f>I207/6</f>
        <v>234</v>
      </c>
      <c r="BL207" s="602">
        <f>I207/6</f>
        <v>234</v>
      </c>
      <c r="BM207" s="602">
        <f>I207/6</f>
        <v>234</v>
      </c>
      <c r="BN207" s="631"/>
      <c r="BO207" s="631"/>
      <c r="BP207" s="631"/>
      <c r="BQ207" s="631"/>
      <c r="BR207" s="631"/>
      <c r="BS207" s="631"/>
      <c r="BT207" s="607">
        <f t="shared" si="149"/>
        <v>1404</v>
      </c>
      <c r="BU207" s="608">
        <f t="shared" si="150"/>
        <v>0</v>
      </c>
      <c r="BV207" s="609"/>
      <c r="BW207" s="491"/>
    </row>
    <row r="208" s="490" customFormat="1" ht="33" customHeight="1" spans="1:75">
      <c r="A208" s="577">
        <v>45803</v>
      </c>
      <c r="B208" s="581" t="s">
        <v>245</v>
      </c>
      <c r="C208" s="579" t="s">
        <v>246</v>
      </c>
      <c r="D208" s="580">
        <v>4500166290</v>
      </c>
      <c r="E208" s="588">
        <v>20858536</v>
      </c>
      <c r="F208" s="580" t="s">
        <v>1197</v>
      </c>
      <c r="G208" s="582" t="s">
        <v>81</v>
      </c>
      <c r="H208" s="578" t="s">
        <v>95</v>
      </c>
      <c r="I208" s="583">
        <v>96</v>
      </c>
      <c r="J208" s="583">
        <v>0</v>
      </c>
      <c r="K208" s="583">
        <v>6</v>
      </c>
      <c r="L208" s="584">
        <f t="shared" si="140"/>
        <v>16</v>
      </c>
      <c r="M208" s="585">
        <v>45845</v>
      </c>
      <c r="N208" s="585">
        <v>45841</v>
      </c>
      <c r="O208" s="586"/>
      <c r="P208" s="586"/>
      <c r="Q208" s="587" t="s">
        <v>1193</v>
      </c>
      <c r="R208" s="586" t="s">
        <v>1194</v>
      </c>
      <c r="S208" s="586"/>
      <c r="T208" s="586"/>
      <c r="U208" s="586" t="s">
        <v>1195</v>
      </c>
      <c r="V208" s="586"/>
      <c r="W208" s="586"/>
      <c r="X208" s="588" t="s">
        <v>956</v>
      </c>
      <c r="Y208" s="618" t="s">
        <v>252</v>
      </c>
      <c r="Z208" s="590">
        <v>6.1607</v>
      </c>
      <c r="AA208" s="591">
        <f t="shared" si="141"/>
        <v>591.4272</v>
      </c>
      <c r="AB208" s="596" t="s">
        <v>1198</v>
      </c>
      <c r="AC208" s="582" t="s">
        <v>81</v>
      </c>
      <c r="AD208" s="593" t="s">
        <v>89</v>
      </c>
      <c r="AE208" s="628"/>
      <c r="AF208" s="628"/>
      <c r="AG208" s="595">
        <f>I62</f>
        <v>1800</v>
      </c>
      <c r="AH208" s="628"/>
      <c r="AI208" s="628"/>
      <c r="AJ208" s="595"/>
      <c r="AK208" s="629"/>
      <c r="AL208" s="628"/>
      <c r="AM208" s="628"/>
      <c r="AN208" s="598">
        <f t="shared" si="142"/>
        <v>96</v>
      </c>
      <c r="AO208" s="621"/>
      <c r="AP208" s="630"/>
      <c r="AQ208" s="630"/>
      <c r="AR208" s="592">
        <f>I208</f>
        <v>96</v>
      </c>
      <c r="AS208" s="630"/>
      <c r="AT208" s="630"/>
      <c r="AU208" s="621"/>
      <c r="AV208" s="621"/>
      <c r="AW208" s="592">
        <f t="shared" si="119"/>
        <v>96</v>
      </c>
      <c r="AX208" s="621"/>
      <c r="AY208" s="621"/>
      <c r="AZ208" s="621"/>
      <c r="BA208" s="621"/>
      <c r="BB208" s="621"/>
      <c r="BC208" s="621"/>
      <c r="BD208" s="621"/>
      <c r="BE208" s="623"/>
      <c r="BF208" s="602" t="s">
        <v>165</v>
      </c>
      <c r="BG208" s="603"/>
      <c r="BH208" s="604">
        <f>I208/6</f>
        <v>16</v>
      </c>
      <c r="BI208" s="605">
        <f>I208/6</f>
        <v>16</v>
      </c>
      <c r="BJ208" s="602">
        <f>I208/6</f>
        <v>16</v>
      </c>
      <c r="BK208" s="602">
        <f>I208/6</f>
        <v>16</v>
      </c>
      <c r="BL208" s="602">
        <f>I208/6</f>
        <v>16</v>
      </c>
      <c r="BM208" s="602">
        <f>I208/6</f>
        <v>16</v>
      </c>
      <c r="BN208" s="631"/>
      <c r="BO208" s="631"/>
      <c r="BP208" s="631"/>
      <c r="BQ208" s="631"/>
      <c r="BR208" s="631"/>
      <c r="BS208" s="631"/>
      <c r="BT208" s="607">
        <f t="shared" si="149"/>
        <v>96</v>
      </c>
      <c r="BU208" s="608">
        <f t="shared" si="150"/>
        <v>0</v>
      </c>
      <c r="BV208" s="609"/>
      <c r="BW208" s="491"/>
    </row>
    <row r="209" s="490" customFormat="1" ht="33" customHeight="1" spans="1:75 16369:16384">
      <c r="A209" s="577">
        <v>45818</v>
      </c>
      <c r="B209" s="581" t="s">
        <v>1199</v>
      </c>
      <c r="C209" s="579" t="s">
        <v>92</v>
      </c>
      <c r="D209" s="580">
        <v>4500169465</v>
      </c>
      <c r="E209" s="616" t="s">
        <v>1200</v>
      </c>
      <c r="F209" s="580" t="s">
        <v>1201</v>
      </c>
      <c r="G209" s="582" t="s">
        <v>1202</v>
      </c>
      <c r="H209" s="578" t="s">
        <v>298</v>
      </c>
      <c r="I209" s="583">
        <v>1956</v>
      </c>
      <c r="J209" s="583">
        <v>0</v>
      </c>
      <c r="K209" s="583">
        <v>4</v>
      </c>
      <c r="L209" s="584">
        <f t="shared" si="140"/>
        <v>489</v>
      </c>
      <c r="M209" s="585">
        <v>45849</v>
      </c>
      <c r="N209" s="585">
        <v>45845</v>
      </c>
      <c r="O209" s="586"/>
      <c r="P209" s="586" t="s">
        <v>83</v>
      </c>
      <c r="Q209" s="587" t="s">
        <v>1203</v>
      </c>
      <c r="R209" s="586" t="s">
        <v>1204</v>
      </c>
      <c r="S209" s="586"/>
      <c r="T209" s="586"/>
      <c r="U209" s="586" t="s">
        <v>86</v>
      </c>
      <c r="V209" s="586"/>
      <c r="W209" s="586" t="s">
        <v>1205</v>
      </c>
      <c r="X209" s="588" t="s">
        <v>1206</v>
      </c>
      <c r="Y209" s="641" t="s">
        <v>812</v>
      </c>
      <c r="Z209" s="590">
        <v>3.6205</v>
      </c>
      <c r="AA209" s="591">
        <f t="shared" si="141"/>
        <v>7081.698</v>
      </c>
      <c r="AB209" s="619" t="s">
        <v>1207</v>
      </c>
      <c r="AC209" s="582" t="s">
        <v>297</v>
      </c>
      <c r="AD209" s="593" t="s">
        <v>89</v>
      </c>
      <c r="AE209" s="611"/>
      <c r="AF209" s="611"/>
      <c r="AG209" s="595">
        <f>I209</f>
        <v>1956</v>
      </c>
      <c r="AH209" s="613"/>
      <c r="AI209" s="622"/>
      <c r="AJ209" s="592"/>
      <c r="AK209" s="621"/>
      <c r="AL209" s="622"/>
      <c r="AM209" s="612"/>
      <c r="AN209" s="598">
        <f t="shared" si="142"/>
        <v>1956</v>
      </c>
      <c r="AO209" s="621"/>
      <c r="AP209" s="622"/>
      <c r="AQ209" s="622"/>
      <c r="AR209" s="592">
        <f>I209</f>
        <v>1956</v>
      </c>
      <c r="AS209" s="622"/>
      <c r="AT209" s="622"/>
      <c r="AU209" s="621"/>
      <c r="AV209" s="618"/>
      <c r="AW209" s="592">
        <f t="shared" si="119"/>
        <v>1956</v>
      </c>
      <c r="AX209" s="621"/>
      <c r="AY209" s="637"/>
      <c r="AZ209" s="618"/>
      <c r="BA209" s="618"/>
      <c r="BB209" s="618"/>
      <c r="BC209" s="621"/>
      <c r="BD209" s="621"/>
      <c r="BE209" s="623"/>
      <c r="BF209" s="602" t="s">
        <v>90</v>
      </c>
      <c r="BG209" s="603"/>
      <c r="BH209" s="604">
        <f>I209</f>
        <v>1956</v>
      </c>
      <c r="BI209" s="605"/>
      <c r="BJ209" s="602"/>
      <c r="BK209" s="602"/>
      <c r="BL209" s="602"/>
      <c r="BM209" s="602"/>
      <c r="BN209" s="650"/>
      <c r="BO209" s="650"/>
      <c r="BP209" s="650"/>
      <c r="BQ209" s="650"/>
      <c r="BR209" s="650"/>
      <c r="BS209" s="650"/>
      <c r="BT209" s="607">
        <f t="shared" si="149"/>
        <v>1956</v>
      </c>
      <c r="BU209" s="608">
        <f t="shared" si="150"/>
        <v>0</v>
      </c>
      <c r="BV209" s="517"/>
      <c r="BW209" s="491"/>
      <c r="XEO209" s="651"/>
      <c r="XEP209" s="652"/>
      <c r="XEQ209" s="653"/>
      <c r="XER209" s="654"/>
      <c r="XES209" s="655"/>
      <c r="XET209" s="654"/>
      <c r="XEU209" s="656"/>
      <c r="XEV209" s="656"/>
      <c r="XEW209" s="657"/>
      <c r="XEX209" s="658"/>
      <c r="XEY209" s="658"/>
      <c r="XEZ209" s="658"/>
      <c r="XFA209" s="658"/>
      <c r="XFB209" s="659"/>
      <c r="XFC209" s="659"/>
      <c r="XFD209" s="660"/>
    </row>
    <row r="210" s="490" customFormat="1" ht="33" customHeight="1" spans="1:75 16369:16384">
      <c r="A210" s="577">
        <v>45818</v>
      </c>
      <c r="B210" s="581" t="s">
        <v>1199</v>
      </c>
      <c r="C210" s="579" t="s">
        <v>92</v>
      </c>
      <c r="D210" s="580">
        <v>4500169465</v>
      </c>
      <c r="E210" s="616" t="s">
        <v>1208</v>
      </c>
      <c r="F210" s="580" t="s">
        <v>1209</v>
      </c>
      <c r="G210" s="582" t="s">
        <v>1210</v>
      </c>
      <c r="H210" s="578" t="s">
        <v>281</v>
      </c>
      <c r="I210" s="583">
        <v>372</v>
      </c>
      <c r="J210" s="583">
        <v>0</v>
      </c>
      <c r="K210" s="583">
        <v>4</v>
      </c>
      <c r="L210" s="584">
        <f t="shared" si="140"/>
        <v>93</v>
      </c>
      <c r="M210" s="585">
        <v>45849</v>
      </c>
      <c r="N210" s="585">
        <v>45845</v>
      </c>
      <c r="O210" s="586"/>
      <c r="P210" s="586" t="s">
        <v>83</v>
      </c>
      <c r="Q210" s="587" t="s">
        <v>1203</v>
      </c>
      <c r="R210" s="586" t="s">
        <v>1204</v>
      </c>
      <c r="S210" s="586"/>
      <c r="T210" s="586"/>
      <c r="U210" s="586" t="s">
        <v>86</v>
      </c>
      <c r="V210" s="586"/>
      <c r="W210" s="586" t="s">
        <v>1211</v>
      </c>
      <c r="X210" s="588" t="s">
        <v>1212</v>
      </c>
      <c r="Y210" s="641" t="s">
        <v>812</v>
      </c>
      <c r="Z210" s="590">
        <v>3.625</v>
      </c>
      <c r="AA210" s="591">
        <f t="shared" si="141"/>
        <v>1348.5</v>
      </c>
      <c r="AB210" s="619" t="s">
        <v>1207</v>
      </c>
      <c r="AC210" s="582" t="s">
        <v>280</v>
      </c>
      <c r="AD210" s="593" t="s">
        <v>89</v>
      </c>
      <c r="AE210" s="611"/>
      <c r="AF210" s="611"/>
      <c r="AG210" s="595">
        <f>I210</f>
        <v>372</v>
      </c>
      <c r="AH210" s="613"/>
      <c r="AI210" s="622"/>
      <c r="AJ210" s="592"/>
      <c r="AK210" s="621"/>
      <c r="AL210" s="622"/>
      <c r="AM210" s="612"/>
      <c r="AN210" s="598">
        <f t="shared" si="142"/>
        <v>372</v>
      </c>
      <c r="AO210" s="621"/>
      <c r="AP210" s="622"/>
      <c r="AQ210" s="622"/>
      <c r="AR210" s="592">
        <f>I210</f>
        <v>372</v>
      </c>
      <c r="AS210" s="622"/>
      <c r="AT210" s="622"/>
      <c r="AU210" s="621"/>
      <c r="AV210" s="618"/>
      <c r="AW210" s="592">
        <f t="shared" si="119"/>
        <v>372</v>
      </c>
      <c r="AX210" s="621"/>
      <c r="AY210" s="637"/>
      <c r="AZ210" s="618"/>
      <c r="BA210" s="618"/>
      <c r="BB210" s="618"/>
      <c r="BC210" s="621"/>
      <c r="BD210" s="621"/>
      <c r="BE210" s="623"/>
      <c r="BF210" s="602" t="s">
        <v>90</v>
      </c>
      <c r="BG210" s="603"/>
      <c r="BH210" s="604"/>
      <c r="BI210" s="605"/>
      <c r="BJ210" s="602">
        <f>I210</f>
        <v>372</v>
      </c>
      <c r="BK210" s="602"/>
      <c r="BL210" s="602"/>
      <c r="BM210" s="602"/>
      <c r="BN210" s="650"/>
      <c r="BO210" s="650"/>
      <c r="BP210" s="650"/>
      <c r="BQ210" s="650"/>
      <c r="BR210" s="650"/>
      <c r="BS210" s="650"/>
      <c r="BT210" s="607">
        <f t="shared" si="149"/>
        <v>372</v>
      </c>
      <c r="BU210" s="608">
        <f t="shared" si="150"/>
        <v>0</v>
      </c>
      <c r="BV210" s="517"/>
      <c r="BW210" s="491"/>
      <c r="XEO210" s="651"/>
      <c r="XEP210" s="652"/>
      <c r="XEQ210" s="653"/>
      <c r="XER210" s="654"/>
      <c r="XES210" s="655"/>
      <c r="XET210" s="654"/>
      <c r="XEU210" s="656"/>
      <c r="XEV210" s="656"/>
      <c r="XEW210" s="657"/>
      <c r="XEX210" s="658"/>
      <c r="XEY210" s="658"/>
      <c r="XEZ210" s="658"/>
      <c r="XFA210" s="658"/>
      <c r="XFB210" s="659"/>
      <c r="XFC210" s="659"/>
      <c r="XFD210" s="660"/>
    </row>
    <row r="211" s="490" customFormat="1" ht="33" customHeight="1" spans="1:75 16369:16384">
      <c r="A211" s="577">
        <v>45817</v>
      </c>
      <c r="B211" s="581" t="s">
        <v>885</v>
      </c>
      <c r="C211" s="579" t="s">
        <v>92</v>
      </c>
      <c r="D211" s="580">
        <v>4500169369</v>
      </c>
      <c r="E211" s="588">
        <v>923046286</v>
      </c>
      <c r="F211" s="580" t="s">
        <v>1213</v>
      </c>
      <c r="G211" s="582" t="s">
        <v>155</v>
      </c>
      <c r="H211" s="578" t="s">
        <v>156</v>
      </c>
      <c r="I211" s="583">
        <v>540</v>
      </c>
      <c r="J211" s="583">
        <v>1</v>
      </c>
      <c r="K211" s="583">
        <v>108</v>
      </c>
      <c r="L211" s="584">
        <f t="shared" si="140"/>
        <v>5</v>
      </c>
      <c r="M211" s="585">
        <v>45845</v>
      </c>
      <c r="N211" s="585">
        <v>45841</v>
      </c>
      <c r="O211" s="586"/>
      <c r="P211" s="586" t="s">
        <v>83</v>
      </c>
      <c r="Q211" s="587" t="s">
        <v>1214</v>
      </c>
      <c r="R211" s="586" t="s">
        <v>888</v>
      </c>
      <c r="S211" s="586"/>
      <c r="T211" s="586"/>
      <c r="U211" s="586" t="s">
        <v>665</v>
      </c>
      <c r="V211" s="586" t="s">
        <v>161</v>
      </c>
      <c r="W211" s="586"/>
      <c r="X211" s="588" t="s">
        <v>1215</v>
      </c>
      <c r="Y211" s="618" t="s">
        <v>163</v>
      </c>
      <c r="Z211" s="590">
        <v>369.008</v>
      </c>
      <c r="AA211" s="591">
        <f t="shared" ref="AA211:AA216" si="151">Z211*L211</f>
        <v>1845.04</v>
      </c>
      <c r="AB211" s="619" t="s">
        <v>1216</v>
      </c>
      <c r="AC211" s="638" t="s">
        <v>155</v>
      </c>
      <c r="AD211" s="593" t="s">
        <v>89</v>
      </c>
      <c r="AE211" s="620"/>
      <c r="AF211" s="620"/>
      <c r="AG211" s="595">
        <f t="shared" ref="AG211:AG218" si="152">I211</f>
        <v>540</v>
      </c>
      <c r="AH211" s="620"/>
      <c r="AI211" s="620"/>
      <c r="AJ211" s="595"/>
      <c r="AK211" s="629"/>
      <c r="AL211" s="620"/>
      <c r="AM211" s="620"/>
      <c r="AN211" s="598">
        <f t="shared" ref="AN211:AN224" si="153">I211</f>
        <v>540</v>
      </c>
      <c r="AO211" s="621"/>
      <c r="AP211" s="622"/>
      <c r="AQ211" s="622"/>
      <c r="AR211" s="592">
        <f t="shared" ref="AR211:AR220" si="154">I211</f>
        <v>540</v>
      </c>
      <c r="AS211" s="622"/>
      <c r="AT211" s="622"/>
      <c r="AU211" s="621"/>
      <c r="AV211" s="621"/>
      <c r="AW211" s="592">
        <f t="shared" si="119"/>
        <v>540</v>
      </c>
      <c r="AX211" s="621"/>
      <c r="AY211" s="621"/>
      <c r="AZ211" s="621"/>
      <c r="BA211" s="621"/>
      <c r="BB211" s="621"/>
      <c r="BC211" s="621"/>
      <c r="BD211" s="621"/>
      <c r="BE211" s="623"/>
      <c r="BF211" s="602" t="s">
        <v>165</v>
      </c>
      <c r="BG211" s="603"/>
      <c r="BH211" s="604">
        <f t="shared" ref="BH211:BH224" si="155">I211/6</f>
        <v>90</v>
      </c>
      <c r="BI211" s="605">
        <f t="shared" ref="BI211:BI224" si="156">I211/6</f>
        <v>90</v>
      </c>
      <c r="BJ211" s="602">
        <f t="shared" ref="BJ211:BJ224" si="157">I211/6</f>
        <v>90</v>
      </c>
      <c r="BK211" s="602">
        <f t="shared" ref="BK211:BK224" si="158">I211/6</f>
        <v>90</v>
      </c>
      <c r="BL211" s="602">
        <f t="shared" ref="BL211:BL224" si="159">I211/6</f>
        <v>90</v>
      </c>
      <c r="BM211" s="602">
        <f t="shared" ref="BM211:BM224" si="160">I211/6</f>
        <v>90</v>
      </c>
      <c r="BN211" s="624"/>
      <c r="BO211" s="624"/>
      <c r="BP211" s="624"/>
      <c r="BQ211" s="624"/>
      <c r="BR211" s="624"/>
      <c r="BS211" s="624"/>
      <c r="BT211" s="607">
        <f t="shared" si="149"/>
        <v>540</v>
      </c>
      <c r="BU211" s="608">
        <f t="shared" si="150"/>
        <v>0</v>
      </c>
      <c r="BV211" s="517"/>
      <c r="BW211" s="491"/>
    </row>
    <row r="212" s="490" customFormat="1" ht="33" customHeight="1" spans="1:75 16369:16384">
      <c r="A212" s="577">
        <v>45817</v>
      </c>
      <c r="B212" s="581" t="s">
        <v>885</v>
      </c>
      <c r="C212" s="579" t="s">
        <v>92</v>
      </c>
      <c r="D212" s="580">
        <v>4500169369</v>
      </c>
      <c r="E212" s="588">
        <v>923046291</v>
      </c>
      <c r="F212" s="580" t="s">
        <v>1217</v>
      </c>
      <c r="G212" s="582" t="s">
        <v>155</v>
      </c>
      <c r="H212" s="578" t="s">
        <v>156</v>
      </c>
      <c r="I212" s="583">
        <v>648</v>
      </c>
      <c r="J212" s="583">
        <v>1</v>
      </c>
      <c r="K212" s="583">
        <v>108</v>
      </c>
      <c r="L212" s="584">
        <f t="shared" ref="L212:L224" si="161">I212/K212</f>
        <v>6</v>
      </c>
      <c r="M212" s="585">
        <v>45845</v>
      </c>
      <c r="N212" s="585">
        <v>45841</v>
      </c>
      <c r="O212" s="586"/>
      <c r="P212" s="586" t="s">
        <v>83</v>
      </c>
      <c r="Q212" s="587" t="s">
        <v>1218</v>
      </c>
      <c r="R212" s="586" t="s">
        <v>888</v>
      </c>
      <c r="S212" s="586"/>
      <c r="T212" s="586"/>
      <c r="U212" s="586" t="s">
        <v>665</v>
      </c>
      <c r="V212" s="586" t="s">
        <v>161</v>
      </c>
      <c r="W212" s="586"/>
      <c r="X212" s="588" t="s">
        <v>1215</v>
      </c>
      <c r="Y212" s="618" t="s">
        <v>163</v>
      </c>
      <c r="Z212" s="590">
        <v>369.0067</v>
      </c>
      <c r="AA212" s="591">
        <f t="shared" si="151"/>
        <v>2214.0402</v>
      </c>
      <c r="AB212" s="619" t="s">
        <v>1219</v>
      </c>
      <c r="AC212" s="638" t="s">
        <v>155</v>
      </c>
      <c r="AD212" s="593" t="s">
        <v>89</v>
      </c>
      <c r="AE212" s="620"/>
      <c r="AF212" s="620"/>
      <c r="AG212" s="595">
        <f t="shared" si="152"/>
        <v>648</v>
      </c>
      <c r="AH212" s="620"/>
      <c r="AI212" s="620"/>
      <c r="AJ212" s="595"/>
      <c r="AK212" s="629"/>
      <c r="AL212" s="620"/>
      <c r="AM212" s="620"/>
      <c r="AN212" s="598">
        <f t="shared" si="153"/>
        <v>648</v>
      </c>
      <c r="AO212" s="621"/>
      <c r="AP212" s="622"/>
      <c r="AQ212" s="622"/>
      <c r="AR212" s="592">
        <f t="shared" si="154"/>
        <v>648</v>
      </c>
      <c r="AS212" s="622"/>
      <c r="AT212" s="622"/>
      <c r="AU212" s="621"/>
      <c r="AV212" s="621"/>
      <c r="AW212" s="592">
        <f t="shared" si="119"/>
        <v>648</v>
      </c>
      <c r="AX212" s="621"/>
      <c r="AY212" s="621"/>
      <c r="AZ212" s="621"/>
      <c r="BA212" s="621"/>
      <c r="BB212" s="621"/>
      <c r="BC212" s="621"/>
      <c r="BD212" s="621"/>
      <c r="BE212" s="623"/>
      <c r="BF212" s="602" t="s">
        <v>165</v>
      </c>
      <c r="BG212" s="603"/>
      <c r="BH212" s="604">
        <f t="shared" si="155"/>
        <v>108</v>
      </c>
      <c r="BI212" s="605">
        <f t="shared" si="156"/>
        <v>108</v>
      </c>
      <c r="BJ212" s="602">
        <f t="shared" si="157"/>
        <v>108</v>
      </c>
      <c r="BK212" s="602">
        <f t="shared" si="158"/>
        <v>108</v>
      </c>
      <c r="BL212" s="602">
        <f t="shared" si="159"/>
        <v>108</v>
      </c>
      <c r="BM212" s="602">
        <f t="shared" si="160"/>
        <v>108</v>
      </c>
      <c r="BN212" s="624"/>
      <c r="BO212" s="624"/>
      <c r="BP212" s="624"/>
      <c r="BQ212" s="624"/>
      <c r="BR212" s="624"/>
      <c r="BS212" s="624"/>
      <c r="BT212" s="607">
        <f t="shared" si="149"/>
        <v>648</v>
      </c>
      <c r="BU212" s="608">
        <f t="shared" si="150"/>
        <v>0</v>
      </c>
      <c r="BV212" s="517"/>
      <c r="BW212" s="491"/>
    </row>
    <row r="213" s="490" customFormat="1" ht="33" customHeight="1" spans="1:75 16369:16384">
      <c r="A213" s="577">
        <v>45817</v>
      </c>
      <c r="B213" s="581" t="s">
        <v>885</v>
      </c>
      <c r="C213" s="579" t="s">
        <v>92</v>
      </c>
      <c r="D213" s="580">
        <v>4500169369</v>
      </c>
      <c r="E213" s="588">
        <v>923046302</v>
      </c>
      <c r="F213" s="580" t="s">
        <v>1220</v>
      </c>
      <c r="G213" s="582" t="s">
        <v>155</v>
      </c>
      <c r="H213" s="578" t="s">
        <v>156</v>
      </c>
      <c r="I213" s="583">
        <v>540</v>
      </c>
      <c r="J213" s="583">
        <v>1</v>
      </c>
      <c r="K213" s="583">
        <v>108</v>
      </c>
      <c r="L213" s="584">
        <f t="shared" si="161"/>
        <v>5</v>
      </c>
      <c r="M213" s="585">
        <v>45845</v>
      </c>
      <c r="N213" s="585">
        <v>45841</v>
      </c>
      <c r="O213" s="586"/>
      <c r="P213" s="586" t="s">
        <v>83</v>
      </c>
      <c r="Q213" s="587" t="s">
        <v>1214</v>
      </c>
      <c r="R213" s="586" t="s">
        <v>888</v>
      </c>
      <c r="S213" s="586"/>
      <c r="T213" s="586"/>
      <c r="U213" s="586" t="s">
        <v>665</v>
      </c>
      <c r="V213" s="586" t="s">
        <v>161</v>
      </c>
      <c r="W213" s="586"/>
      <c r="X213" s="588" t="s">
        <v>1215</v>
      </c>
      <c r="Y213" s="618" t="s">
        <v>163</v>
      </c>
      <c r="Z213" s="590">
        <v>369.008</v>
      </c>
      <c r="AA213" s="591">
        <f t="shared" si="151"/>
        <v>1845.04</v>
      </c>
      <c r="AB213" s="619" t="s">
        <v>1221</v>
      </c>
      <c r="AC213" s="638" t="s">
        <v>155</v>
      </c>
      <c r="AD213" s="593" t="s">
        <v>89</v>
      </c>
      <c r="AE213" s="620"/>
      <c r="AF213" s="620"/>
      <c r="AG213" s="595">
        <f t="shared" si="152"/>
        <v>540</v>
      </c>
      <c r="AH213" s="620"/>
      <c r="AI213" s="620"/>
      <c r="AJ213" s="595"/>
      <c r="AK213" s="629"/>
      <c r="AL213" s="620"/>
      <c r="AM213" s="620"/>
      <c r="AN213" s="598">
        <f t="shared" si="153"/>
        <v>540</v>
      </c>
      <c r="AO213" s="621"/>
      <c r="AP213" s="622"/>
      <c r="AQ213" s="622"/>
      <c r="AR213" s="592">
        <f t="shared" si="154"/>
        <v>540</v>
      </c>
      <c r="AS213" s="622"/>
      <c r="AT213" s="622"/>
      <c r="AU213" s="621"/>
      <c r="AV213" s="621"/>
      <c r="AW213" s="592">
        <f t="shared" si="119"/>
        <v>540</v>
      </c>
      <c r="AX213" s="621"/>
      <c r="AY213" s="621"/>
      <c r="AZ213" s="621"/>
      <c r="BA213" s="621"/>
      <c r="BB213" s="621"/>
      <c r="BC213" s="621"/>
      <c r="BD213" s="621"/>
      <c r="BE213" s="623"/>
      <c r="BF213" s="602" t="s">
        <v>165</v>
      </c>
      <c r="BG213" s="603"/>
      <c r="BH213" s="604">
        <f t="shared" si="155"/>
        <v>90</v>
      </c>
      <c r="BI213" s="605">
        <f t="shared" si="156"/>
        <v>90</v>
      </c>
      <c r="BJ213" s="602">
        <f t="shared" si="157"/>
        <v>90</v>
      </c>
      <c r="BK213" s="602">
        <f t="shared" si="158"/>
        <v>90</v>
      </c>
      <c r="BL213" s="602">
        <f t="shared" si="159"/>
        <v>90</v>
      </c>
      <c r="BM213" s="602">
        <f t="shared" si="160"/>
        <v>90</v>
      </c>
      <c r="BN213" s="624"/>
      <c r="BO213" s="624"/>
      <c r="BP213" s="624"/>
      <c r="BQ213" s="624"/>
      <c r="BR213" s="624"/>
      <c r="BS213" s="624"/>
      <c r="BT213" s="607">
        <f t="shared" si="149"/>
        <v>540</v>
      </c>
      <c r="BU213" s="608">
        <f t="shared" si="150"/>
        <v>0</v>
      </c>
      <c r="BV213" s="517"/>
      <c r="BW213" s="491"/>
    </row>
    <row r="214" s="490" customFormat="1" ht="33" customHeight="1" spans="1:75 16369:16384">
      <c r="A214" s="577">
        <v>45817</v>
      </c>
      <c r="B214" s="581" t="s">
        <v>885</v>
      </c>
      <c r="C214" s="579" t="s">
        <v>92</v>
      </c>
      <c r="D214" s="580">
        <v>4500169369</v>
      </c>
      <c r="E214" s="588">
        <v>923046304</v>
      </c>
      <c r="F214" s="580" t="s">
        <v>1222</v>
      </c>
      <c r="G214" s="582" t="s">
        <v>155</v>
      </c>
      <c r="H214" s="578" t="s">
        <v>156</v>
      </c>
      <c r="I214" s="583">
        <v>540</v>
      </c>
      <c r="J214" s="583">
        <v>1</v>
      </c>
      <c r="K214" s="583">
        <v>108</v>
      </c>
      <c r="L214" s="584">
        <f t="shared" si="161"/>
        <v>5</v>
      </c>
      <c r="M214" s="585">
        <v>45845</v>
      </c>
      <c r="N214" s="585">
        <v>45841</v>
      </c>
      <c r="O214" s="586"/>
      <c r="P214" s="586" t="s">
        <v>83</v>
      </c>
      <c r="Q214" s="587" t="s">
        <v>1223</v>
      </c>
      <c r="R214" s="586" t="s">
        <v>888</v>
      </c>
      <c r="S214" s="586"/>
      <c r="T214" s="586"/>
      <c r="U214" s="586" t="s">
        <v>665</v>
      </c>
      <c r="V214" s="586" t="s">
        <v>161</v>
      </c>
      <c r="W214" s="586"/>
      <c r="X214" s="588" t="s">
        <v>1215</v>
      </c>
      <c r="Y214" s="618" t="s">
        <v>163</v>
      </c>
      <c r="Z214" s="590">
        <v>383.702</v>
      </c>
      <c r="AA214" s="591">
        <f t="shared" si="151"/>
        <v>1918.51</v>
      </c>
      <c r="AB214" s="619" t="s">
        <v>1224</v>
      </c>
      <c r="AC214" s="638" t="s">
        <v>155</v>
      </c>
      <c r="AD214" s="593" t="s">
        <v>89</v>
      </c>
      <c r="AE214" s="620"/>
      <c r="AF214" s="620"/>
      <c r="AG214" s="595">
        <f t="shared" si="152"/>
        <v>540</v>
      </c>
      <c r="AH214" s="620"/>
      <c r="AI214" s="620"/>
      <c r="AJ214" s="595"/>
      <c r="AK214" s="629"/>
      <c r="AL214" s="620"/>
      <c r="AM214" s="620"/>
      <c r="AN214" s="598">
        <f t="shared" si="153"/>
        <v>540</v>
      </c>
      <c r="AO214" s="621"/>
      <c r="AP214" s="622"/>
      <c r="AQ214" s="622"/>
      <c r="AR214" s="592">
        <f t="shared" si="154"/>
        <v>540</v>
      </c>
      <c r="AS214" s="622"/>
      <c r="AT214" s="622"/>
      <c r="AU214" s="621"/>
      <c r="AV214" s="621"/>
      <c r="AW214" s="592">
        <f t="shared" si="119"/>
        <v>540</v>
      </c>
      <c r="AX214" s="621"/>
      <c r="AY214" s="621"/>
      <c r="AZ214" s="621"/>
      <c r="BA214" s="621"/>
      <c r="BB214" s="621"/>
      <c r="BC214" s="621"/>
      <c r="BD214" s="621"/>
      <c r="BE214" s="623"/>
      <c r="BF214" s="602" t="s">
        <v>165</v>
      </c>
      <c r="BG214" s="603"/>
      <c r="BH214" s="604">
        <f t="shared" si="155"/>
        <v>90</v>
      </c>
      <c r="BI214" s="605">
        <f t="shared" si="156"/>
        <v>90</v>
      </c>
      <c r="BJ214" s="602">
        <f t="shared" si="157"/>
        <v>90</v>
      </c>
      <c r="BK214" s="602">
        <f t="shared" si="158"/>
        <v>90</v>
      </c>
      <c r="BL214" s="602">
        <f t="shared" si="159"/>
        <v>90</v>
      </c>
      <c r="BM214" s="602">
        <f t="shared" si="160"/>
        <v>90</v>
      </c>
      <c r="BN214" s="624"/>
      <c r="BO214" s="624"/>
      <c r="BP214" s="624"/>
      <c r="BQ214" s="624"/>
      <c r="BR214" s="624"/>
      <c r="BS214" s="624"/>
      <c r="BT214" s="607">
        <f t="shared" si="149"/>
        <v>540</v>
      </c>
      <c r="BU214" s="608">
        <f t="shared" si="150"/>
        <v>0</v>
      </c>
      <c r="BV214" s="517"/>
      <c r="BW214" s="491"/>
    </row>
    <row r="215" s="490" customFormat="1" ht="33" customHeight="1" spans="1:75 16369:16384">
      <c r="A215" s="577">
        <v>45817</v>
      </c>
      <c r="B215" s="581" t="s">
        <v>885</v>
      </c>
      <c r="C215" s="579" t="s">
        <v>92</v>
      </c>
      <c r="D215" s="580">
        <v>4500169369</v>
      </c>
      <c r="E215" s="588">
        <v>923046306</v>
      </c>
      <c r="F215" s="580" t="s">
        <v>1225</v>
      </c>
      <c r="G215" s="582" t="s">
        <v>155</v>
      </c>
      <c r="H215" s="578" t="s">
        <v>156</v>
      </c>
      <c r="I215" s="583">
        <v>648</v>
      </c>
      <c r="J215" s="583">
        <v>1</v>
      </c>
      <c r="K215" s="583">
        <v>108</v>
      </c>
      <c r="L215" s="584">
        <f t="shared" si="161"/>
        <v>6</v>
      </c>
      <c r="M215" s="585">
        <v>45845</v>
      </c>
      <c r="N215" s="585">
        <v>45841</v>
      </c>
      <c r="O215" s="586"/>
      <c r="P215" s="586" t="s">
        <v>83</v>
      </c>
      <c r="Q215" s="587"/>
      <c r="R215" s="586" t="s">
        <v>888</v>
      </c>
      <c r="S215" s="586"/>
      <c r="T215" s="586"/>
      <c r="U215" s="586" t="s">
        <v>665</v>
      </c>
      <c r="V215" s="586" t="s">
        <v>161</v>
      </c>
      <c r="W215" s="586"/>
      <c r="X215" s="588" t="s">
        <v>1215</v>
      </c>
      <c r="Y215" s="618" t="s">
        <v>163</v>
      </c>
      <c r="Z215" s="590">
        <v>383.7017</v>
      </c>
      <c r="AA215" s="591">
        <f t="shared" si="151"/>
        <v>2302.2102</v>
      </c>
      <c r="AB215" s="619" t="s">
        <v>1226</v>
      </c>
      <c r="AC215" s="638" t="s">
        <v>155</v>
      </c>
      <c r="AD215" s="593" t="s">
        <v>89</v>
      </c>
      <c r="AE215" s="620"/>
      <c r="AF215" s="620"/>
      <c r="AG215" s="595">
        <f t="shared" si="152"/>
        <v>648</v>
      </c>
      <c r="AH215" s="620"/>
      <c r="AI215" s="620"/>
      <c r="AJ215" s="595"/>
      <c r="AK215" s="629"/>
      <c r="AL215" s="620"/>
      <c r="AM215" s="620"/>
      <c r="AN215" s="598">
        <f t="shared" si="153"/>
        <v>648</v>
      </c>
      <c r="AO215" s="621"/>
      <c r="AP215" s="622"/>
      <c r="AQ215" s="622"/>
      <c r="AR215" s="592">
        <f t="shared" si="154"/>
        <v>648</v>
      </c>
      <c r="AS215" s="622"/>
      <c r="AT215" s="622"/>
      <c r="AU215" s="621"/>
      <c r="AV215" s="621"/>
      <c r="AW215" s="592">
        <f t="shared" si="119"/>
        <v>648</v>
      </c>
      <c r="AX215" s="621"/>
      <c r="AY215" s="621"/>
      <c r="AZ215" s="621"/>
      <c r="BA215" s="621"/>
      <c r="BB215" s="621"/>
      <c r="BC215" s="621"/>
      <c r="BD215" s="621"/>
      <c r="BE215" s="623"/>
      <c r="BF215" s="602" t="s">
        <v>165</v>
      </c>
      <c r="BG215" s="603"/>
      <c r="BH215" s="604">
        <f t="shared" si="155"/>
        <v>108</v>
      </c>
      <c r="BI215" s="605">
        <f t="shared" si="156"/>
        <v>108</v>
      </c>
      <c r="BJ215" s="602">
        <f t="shared" si="157"/>
        <v>108</v>
      </c>
      <c r="BK215" s="602">
        <f t="shared" si="158"/>
        <v>108</v>
      </c>
      <c r="BL215" s="602">
        <f t="shared" si="159"/>
        <v>108</v>
      </c>
      <c r="BM215" s="602">
        <f t="shared" si="160"/>
        <v>108</v>
      </c>
      <c r="BN215" s="624"/>
      <c r="BO215" s="624"/>
      <c r="BP215" s="624"/>
      <c r="BQ215" s="624"/>
      <c r="BR215" s="624"/>
      <c r="BS215" s="624"/>
      <c r="BT215" s="607">
        <f t="shared" si="149"/>
        <v>648</v>
      </c>
      <c r="BU215" s="608">
        <f t="shared" si="150"/>
        <v>0</v>
      </c>
      <c r="BV215" s="517"/>
      <c r="BW215" s="491"/>
    </row>
    <row r="216" s="490" customFormat="1" ht="33" customHeight="1" spans="1:75 16369:16384">
      <c r="A216" s="577">
        <v>45817</v>
      </c>
      <c r="B216" s="581" t="s">
        <v>885</v>
      </c>
      <c r="C216" s="579" t="s">
        <v>92</v>
      </c>
      <c r="D216" s="580">
        <v>4500169369</v>
      </c>
      <c r="E216" s="588">
        <v>923046307</v>
      </c>
      <c r="F216" s="580" t="s">
        <v>1227</v>
      </c>
      <c r="G216" s="582" t="s">
        <v>155</v>
      </c>
      <c r="H216" s="578" t="s">
        <v>156</v>
      </c>
      <c r="I216" s="583">
        <v>540</v>
      </c>
      <c r="J216" s="583">
        <v>1</v>
      </c>
      <c r="K216" s="583">
        <v>108</v>
      </c>
      <c r="L216" s="584">
        <f t="shared" si="161"/>
        <v>5</v>
      </c>
      <c r="M216" s="585">
        <v>45845</v>
      </c>
      <c r="N216" s="585">
        <v>45841</v>
      </c>
      <c r="O216" s="586"/>
      <c r="P216" s="586" t="s">
        <v>83</v>
      </c>
      <c r="Q216" s="587" t="s">
        <v>1228</v>
      </c>
      <c r="R216" s="586" t="s">
        <v>888</v>
      </c>
      <c r="S216" s="586"/>
      <c r="T216" s="586"/>
      <c r="U216" s="586" t="s">
        <v>665</v>
      </c>
      <c r="V216" s="586" t="s">
        <v>161</v>
      </c>
      <c r="W216" s="586"/>
      <c r="X216" s="588" t="s">
        <v>1215</v>
      </c>
      <c r="Y216" s="618" t="s">
        <v>163</v>
      </c>
      <c r="Z216" s="590">
        <v>383.702</v>
      </c>
      <c r="AA216" s="591">
        <f t="shared" si="151"/>
        <v>1918.51</v>
      </c>
      <c r="AB216" s="619"/>
      <c r="AC216" s="638" t="s">
        <v>155</v>
      </c>
      <c r="AD216" s="593" t="s">
        <v>89</v>
      </c>
      <c r="AE216" s="620"/>
      <c r="AF216" s="620"/>
      <c r="AG216" s="595">
        <f t="shared" si="152"/>
        <v>540</v>
      </c>
      <c r="AH216" s="620"/>
      <c r="AI216" s="620"/>
      <c r="AJ216" s="595"/>
      <c r="AK216" s="629"/>
      <c r="AL216" s="620"/>
      <c r="AM216" s="620"/>
      <c r="AN216" s="598">
        <f t="shared" si="153"/>
        <v>540</v>
      </c>
      <c r="AO216" s="621"/>
      <c r="AP216" s="622"/>
      <c r="AQ216" s="622"/>
      <c r="AR216" s="592">
        <f t="shared" si="154"/>
        <v>540</v>
      </c>
      <c r="AS216" s="622"/>
      <c r="AT216" s="622"/>
      <c r="AU216" s="621"/>
      <c r="AV216" s="621"/>
      <c r="AW216" s="592">
        <f t="shared" si="119"/>
        <v>540</v>
      </c>
      <c r="AX216" s="621"/>
      <c r="AY216" s="621"/>
      <c r="AZ216" s="621"/>
      <c r="BA216" s="621"/>
      <c r="BB216" s="621"/>
      <c r="BC216" s="621"/>
      <c r="BD216" s="621"/>
      <c r="BE216" s="623"/>
      <c r="BF216" s="602" t="s">
        <v>165</v>
      </c>
      <c r="BG216" s="603"/>
      <c r="BH216" s="604">
        <f t="shared" si="155"/>
        <v>90</v>
      </c>
      <c r="BI216" s="605">
        <f t="shared" si="156"/>
        <v>90</v>
      </c>
      <c r="BJ216" s="602">
        <f t="shared" si="157"/>
        <v>90</v>
      </c>
      <c r="BK216" s="602">
        <f t="shared" si="158"/>
        <v>90</v>
      </c>
      <c r="BL216" s="602">
        <f t="shared" si="159"/>
        <v>90</v>
      </c>
      <c r="BM216" s="602">
        <f t="shared" si="160"/>
        <v>90</v>
      </c>
      <c r="BN216" s="624"/>
      <c r="BO216" s="624"/>
      <c r="BP216" s="624"/>
      <c r="BQ216" s="624"/>
      <c r="BR216" s="624"/>
      <c r="BS216" s="624"/>
      <c r="BT216" s="607">
        <f t="shared" si="149"/>
        <v>540</v>
      </c>
      <c r="BU216" s="608">
        <f t="shared" si="150"/>
        <v>0</v>
      </c>
      <c r="BV216" s="517"/>
      <c r="BW216" s="491"/>
    </row>
    <row r="217" s="490" customFormat="1" ht="33" customHeight="1" spans="1:75 16369:16384">
      <c r="A217" s="577">
        <v>45812</v>
      </c>
      <c r="B217" s="581" t="s">
        <v>668</v>
      </c>
      <c r="C217" s="579" t="s">
        <v>669</v>
      </c>
      <c r="D217" s="580">
        <v>4500168727</v>
      </c>
      <c r="E217" s="616"/>
      <c r="F217" s="580" t="s">
        <v>1229</v>
      </c>
      <c r="G217" s="582" t="s">
        <v>81</v>
      </c>
      <c r="H217" s="578" t="s">
        <v>95</v>
      </c>
      <c r="I217" s="583">
        <v>1800</v>
      </c>
      <c r="J217" s="583">
        <v>0</v>
      </c>
      <c r="K217" s="583">
        <v>6</v>
      </c>
      <c r="L217" s="584">
        <f t="shared" si="161"/>
        <v>300</v>
      </c>
      <c r="M217" s="585">
        <v>45848</v>
      </c>
      <c r="N217" s="585">
        <v>45845</v>
      </c>
      <c r="O217" s="586"/>
      <c r="P217" s="586" t="s">
        <v>83</v>
      </c>
      <c r="Q217" s="587" t="s">
        <v>1214</v>
      </c>
      <c r="R217" s="586" t="s">
        <v>1188</v>
      </c>
      <c r="S217" s="586"/>
      <c r="T217" s="586"/>
      <c r="U217" s="586" t="s">
        <v>1230</v>
      </c>
      <c r="V217" s="586"/>
      <c r="W217" s="586"/>
      <c r="X217" s="588" t="s">
        <v>1231</v>
      </c>
      <c r="Y217" s="618" t="s">
        <v>1232</v>
      </c>
      <c r="Z217" s="590">
        <v>5.7753</v>
      </c>
      <c r="AA217" s="591">
        <f>Z217*I217</f>
        <v>10395.54</v>
      </c>
      <c r="AB217" s="643" t="s">
        <v>1233</v>
      </c>
      <c r="AC217" s="582" t="s">
        <v>81</v>
      </c>
      <c r="AD217" s="593" t="s">
        <v>89</v>
      </c>
      <c r="AE217" s="628"/>
      <c r="AF217" s="628"/>
      <c r="AG217" s="595">
        <f t="shared" si="152"/>
        <v>1800</v>
      </c>
      <c r="AH217" s="628"/>
      <c r="AI217" s="628"/>
      <c r="AJ217" s="589"/>
      <c r="AK217" s="629"/>
      <c r="AL217" s="628"/>
      <c r="AM217" s="628"/>
      <c r="AN217" s="598">
        <f t="shared" si="153"/>
        <v>1800</v>
      </c>
      <c r="AO217" s="621"/>
      <c r="AP217" s="630"/>
      <c r="AQ217" s="630"/>
      <c r="AR217" s="592">
        <f t="shared" si="154"/>
        <v>1800</v>
      </c>
      <c r="AS217" s="630"/>
      <c r="AT217" s="630"/>
      <c r="AU217" s="621"/>
      <c r="AV217" s="621"/>
      <c r="AW217" s="592">
        <f t="shared" si="119"/>
        <v>1800</v>
      </c>
      <c r="AX217" s="621"/>
      <c r="AY217" s="621"/>
      <c r="AZ217" s="621"/>
      <c r="BA217" s="621"/>
      <c r="BB217" s="621"/>
      <c r="BC217" s="621"/>
      <c r="BD217" s="621"/>
      <c r="BE217" s="623"/>
      <c r="BF217" s="602" t="s">
        <v>90</v>
      </c>
      <c r="BG217" s="603"/>
      <c r="BH217" s="604">
        <f t="shared" si="155"/>
        <v>300</v>
      </c>
      <c r="BI217" s="605">
        <f t="shared" si="156"/>
        <v>300</v>
      </c>
      <c r="BJ217" s="602">
        <f t="shared" si="157"/>
        <v>300</v>
      </c>
      <c r="BK217" s="602">
        <f t="shared" si="158"/>
        <v>300</v>
      </c>
      <c r="BL217" s="602">
        <f t="shared" si="159"/>
        <v>300</v>
      </c>
      <c r="BM217" s="602">
        <f t="shared" si="160"/>
        <v>300</v>
      </c>
      <c r="BN217" s="631"/>
      <c r="BO217" s="631"/>
      <c r="BP217" s="631"/>
      <c r="BQ217" s="631"/>
      <c r="BR217" s="631"/>
      <c r="BS217" s="631"/>
      <c r="BT217" s="607">
        <f t="shared" si="149"/>
        <v>1800</v>
      </c>
      <c r="BU217" s="608">
        <f t="shared" si="150"/>
        <v>0</v>
      </c>
      <c r="BV217" s="609"/>
      <c r="BW217" s="491"/>
    </row>
    <row r="218" s="490" customFormat="1" ht="33" customHeight="1" spans="1:75 16369:16384">
      <c r="A218" s="577">
        <v>45796</v>
      </c>
      <c r="B218" s="581" t="s">
        <v>685</v>
      </c>
      <c r="C218" s="579" t="s">
        <v>686</v>
      </c>
      <c r="D218" s="580">
        <v>4500166838</v>
      </c>
      <c r="E218" s="616" t="s">
        <v>1234</v>
      </c>
      <c r="F218" s="580" t="s">
        <v>1235</v>
      </c>
      <c r="G218" s="582" t="s">
        <v>81</v>
      </c>
      <c r="H218" s="578" t="s">
        <v>95</v>
      </c>
      <c r="I218" s="583">
        <v>600</v>
      </c>
      <c r="J218" s="583">
        <v>0</v>
      </c>
      <c r="K218" s="583">
        <v>6</v>
      </c>
      <c r="L218" s="584">
        <f t="shared" si="161"/>
        <v>100</v>
      </c>
      <c r="M218" s="585">
        <v>45850</v>
      </c>
      <c r="N218" s="585">
        <v>45846</v>
      </c>
      <c r="O218" s="586"/>
      <c r="P218" s="586" t="s">
        <v>83</v>
      </c>
      <c r="Q218" s="587" t="s">
        <v>1236</v>
      </c>
      <c r="R218" s="586" t="s">
        <v>1237</v>
      </c>
      <c r="S218" s="586"/>
      <c r="T218" s="586"/>
      <c r="U218" s="586" t="s">
        <v>1238</v>
      </c>
      <c r="V218" s="586"/>
      <c r="W218" s="586"/>
      <c r="X218" s="588" t="s">
        <v>1239</v>
      </c>
      <c r="Y218" s="618" t="s">
        <v>116</v>
      </c>
      <c r="Z218" s="590">
        <v>5.6013</v>
      </c>
      <c r="AA218" s="591">
        <f>Z218*I218</f>
        <v>3360.78</v>
      </c>
      <c r="AB218" s="619" t="s">
        <v>1240</v>
      </c>
      <c r="AC218" s="582" t="s">
        <v>81</v>
      </c>
      <c r="AD218" s="593" t="s">
        <v>89</v>
      </c>
      <c r="AE218" s="594"/>
      <c r="AF218" s="594"/>
      <c r="AG218" s="629">
        <f t="shared" si="152"/>
        <v>600</v>
      </c>
      <c r="AH218" s="597"/>
      <c r="AI218" s="630"/>
      <c r="AJ218" s="592"/>
      <c r="AK218" s="621"/>
      <c r="AL218" s="630"/>
      <c r="AM218" s="596"/>
      <c r="AN218" s="598">
        <f t="shared" si="153"/>
        <v>600</v>
      </c>
      <c r="AO218" s="621"/>
      <c r="AP218" s="630"/>
      <c r="AQ218" s="630"/>
      <c r="AR218" s="621">
        <f t="shared" si="154"/>
        <v>600</v>
      </c>
      <c r="AS218" s="630"/>
      <c r="AT218" s="630"/>
      <c r="AU218" s="621"/>
      <c r="AV218" s="618"/>
      <c r="AW218" s="592">
        <f t="shared" si="119"/>
        <v>600</v>
      </c>
      <c r="AX218" s="621"/>
      <c r="AY218" s="637"/>
      <c r="AZ218" s="618"/>
      <c r="BA218" s="618"/>
      <c r="BB218" s="618"/>
      <c r="BC218" s="621"/>
      <c r="BD218" s="621"/>
      <c r="BE218" s="623"/>
      <c r="BF218" s="602" t="s">
        <v>90</v>
      </c>
      <c r="BG218" s="603"/>
      <c r="BH218" s="604">
        <f t="shared" si="155"/>
        <v>100</v>
      </c>
      <c r="BI218" s="605">
        <f t="shared" si="156"/>
        <v>100</v>
      </c>
      <c r="BJ218" s="602">
        <f t="shared" si="157"/>
        <v>100</v>
      </c>
      <c r="BK218" s="602">
        <f t="shared" si="158"/>
        <v>100</v>
      </c>
      <c r="BL218" s="602">
        <f t="shared" si="159"/>
        <v>100</v>
      </c>
      <c r="BM218" s="602">
        <f t="shared" si="160"/>
        <v>100</v>
      </c>
      <c r="BN218" s="645"/>
      <c r="BO218" s="645"/>
      <c r="BP218" s="645"/>
      <c r="BQ218" s="645"/>
      <c r="BR218" s="645"/>
      <c r="BS218" s="645"/>
      <c r="BT218" s="607">
        <f t="shared" si="149"/>
        <v>600</v>
      </c>
      <c r="BU218" s="608">
        <f t="shared" si="150"/>
        <v>0</v>
      </c>
      <c r="BV218" s="609"/>
      <c r="BW218" s="491"/>
      <c r="XEO218" s="651"/>
      <c r="XEP218" s="652"/>
      <c r="XEQ218" s="653"/>
      <c r="XER218" s="654"/>
      <c r="XES218" s="655"/>
      <c r="XET218" s="654"/>
      <c r="XEU218" s="656"/>
      <c r="XEV218" s="656"/>
      <c r="XEW218" s="657"/>
      <c r="XEX218" s="658"/>
      <c r="XEY218" s="658"/>
      <c r="XEZ218" s="658"/>
      <c r="XFA218" s="658"/>
      <c r="XFB218" s="659"/>
      <c r="XFC218" s="659"/>
      <c r="XFD218" s="660"/>
    </row>
    <row r="219" s="490" customFormat="1" ht="33" customHeight="1" spans="1:75 16369:16384">
      <c r="A219" s="577">
        <v>45847</v>
      </c>
      <c r="B219" s="581" t="s">
        <v>1241</v>
      </c>
      <c r="C219" s="579" t="s">
        <v>1185</v>
      </c>
      <c r="D219" s="580">
        <v>4500173135</v>
      </c>
      <c r="E219" s="616"/>
      <c r="F219" s="580" t="s">
        <v>1242</v>
      </c>
      <c r="G219" s="582" t="s">
        <v>81</v>
      </c>
      <c r="H219" s="578" t="s">
        <v>95</v>
      </c>
      <c r="I219" s="583">
        <v>24</v>
      </c>
      <c r="J219" s="583">
        <v>0</v>
      </c>
      <c r="K219" s="583">
        <v>6</v>
      </c>
      <c r="L219" s="584">
        <f t="shared" si="161"/>
        <v>4</v>
      </c>
      <c r="M219" s="585">
        <v>45840</v>
      </c>
      <c r="N219" s="585">
        <f>M219-4</f>
        <v>45836</v>
      </c>
      <c r="O219" s="586" t="s">
        <v>1243</v>
      </c>
      <c r="P219" s="586" t="s">
        <v>83</v>
      </c>
      <c r="Q219" s="587"/>
      <c r="R219" s="586"/>
      <c r="S219" s="586"/>
      <c r="T219" s="586"/>
      <c r="U219" s="586"/>
      <c r="V219" s="586"/>
      <c r="W219" s="586"/>
      <c r="X219" s="588" t="s">
        <v>1244</v>
      </c>
      <c r="Y219" s="618" t="s">
        <v>1245</v>
      </c>
      <c r="Z219" s="590">
        <v>5.7828</v>
      </c>
      <c r="AA219" s="591">
        <f>Z219*I219</f>
        <v>138.7872</v>
      </c>
      <c r="AB219" s="619" t="s">
        <v>1246</v>
      </c>
      <c r="AC219" s="582" t="s">
        <v>235</v>
      </c>
      <c r="AD219" s="593" t="s">
        <v>89</v>
      </c>
      <c r="AE219" s="628"/>
      <c r="AF219" s="628"/>
      <c r="AG219" s="595"/>
      <c r="AH219" s="628"/>
      <c r="AI219" s="628"/>
      <c r="AJ219" s="637">
        <f>I219</f>
        <v>24</v>
      </c>
      <c r="AK219" s="629"/>
      <c r="AL219" s="628"/>
      <c r="AM219" s="628"/>
      <c r="AN219" s="598">
        <f t="shared" si="153"/>
        <v>24</v>
      </c>
      <c r="AO219" s="621"/>
      <c r="AP219" s="630"/>
      <c r="AQ219" s="630"/>
      <c r="AR219" s="592"/>
      <c r="AS219" s="630"/>
      <c r="AT219" s="630"/>
      <c r="AU219" s="621">
        <f>I219</f>
        <v>24</v>
      </c>
      <c r="AV219" s="621"/>
      <c r="AW219" s="592">
        <f t="shared" si="119"/>
        <v>24</v>
      </c>
      <c r="AX219" s="621"/>
      <c r="AY219" s="621"/>
      <c r="AZ219" s="621"/>
      <c r="BA219" s="621"/>
      <c r="BB219" s="621"/>
      <c r="BC219" s="621"/>
      <c r="BD219" s="621"/>
      <c r="BE219" s="623"/>
      <c r="BF219" s="602" t="s">
        <v>90</v>
      </c>
      <c r="BG219" s="603"/>
      <c r="BH219" s="604">
        <f t="shared" si="155"/>
        <v>4</v>
      </c>
      <c r="BI219" s="605">
        <f t="shared" si="156"/>
        <v>4</v>
      </c>
      <c r="BJ219" s="602">
        <f t="shared" si="157"/>
        <v>4</v>
      </c>
      <c r="BK219" s="602">
        <f t="shared" si="158"/>
        <v>4</v>
      </c>
      <c r="BL219" s="602">
        <f t="shared" si="159"/>
        <v>4</v>
      </c>
      <c r="BM219" s="602">
        <f t="shared" si="160"/>
        <v>4</v>
      </c>
      <c r="BN219" s="631"/>
      <c r="BO219" s="631"/>
      <c r="BP219" s="631"/>
      <c r="BQ219" s="631"/>
      <c r="BR219" s="631"/>
      <c r="BS219" s="631"/>
      <c r="BT219" s="607">
        <f t="shared" si="149"/>
        <v>24</v>
      </c>
      <c r="BU219" s="608">
        <f t="shared" si="150"/>
        <v>0</v>
      </c>
      <c r="BV219" s="609"/>
      <c r="BW219" s="491"/>
    </row>
    <row r="220" s="490" customFormat="1" ht="33" customHeight="1" spans="1:75 16369:16384">
      <c r="A220" s="577">
        <v>45797</v>
      </c>
      <c r="B220" s="581" t="s">
        <v>1247</v>
      </c>
      <c r="C220" s="579" t="s">
        <v>229</v>
      </c>
      <c r="D220" s="580">
        <v>4500166992</v>
      </c>
      <c r="E220" s="588">
        <v>250400000359</v>
      </c>
      <c r="F220" s="580" t="s">
        <v>1248</v>
      </c>
      <c r="G220" s="582" t="s">
        <v>81</v>
      </c>
      <c r="H220" s="578" t="s">
        <v>95</v>
      </c>
      <c r="I220" s="583">
        <v>1020</v>
      </c>
      <c r="J220" s="583">
        <v>0</v>
      </c>
      <c r="K220" s="583">
        <v>6</v>
      </c>
      <c r="L220" s="584">
        <f t="shared" si="161"/>
        <v>170</v>
      </c>
      <c r="M220" s="585">
        <v>45842</v>
      </c>
      <c r="N220" s="585">
        <f>M220-4</f>
        <v>45838</v>
      </c>
      <c r="O220" s="586"/>
      <c r="P220" s="586" t="s">
        <v>83</v>
      </c>
      <c r="Q220" s="587" t="s">
        <v>1223</v>
      </c>
      <c r="R220" s="586" t="s">
        <v>1249</v>
      </c>
      <c r="S220" s="586"/>
      <c r="T220" s="586"/>
      <c r="U220" s="586" t="s">
        <v>86</v>
      </c>
      <c r="V220" s="586"/>
      <c r="W220" s="586"/>
      <c r="X220" s="588" t="s">
        <v>1250</v>
      </c>
      <c r="Y220" s="618" t="s">
        <v>1251</v>
      </c>
      <c r="Z220" s="590">
        <v>5.7753</v>
      </c>
      <c r="AA220" s="591">
        <f>Z220*I220</f>
        <v>5890.806</v>
      </c>
      <c r="AB220" s="619" t="s">
        <v>1252</v>
      </c>
      <c r="AC220" s="582" t="s">
        <v>235</v>
      </c>
      <c r="AD220" s="593" t="s">
        <v>89</v>
      </c>
      <c r="AE220" s="628"/>
      <c r="AF220" s="628"/>
      <c r="AG220" s="595"/>
      <c r="AH220" s="628"/>
      <c r="AI220" s="628"/>
      <c r="AJ220" s="595">
        <f>I220</f>
        <v>1020</v>
      </c>
      <c r="AK220" s="629"/>
      <c r="AL220" s="628"/>
      <c r="AM220" s="628"/>
      <c r="AN220" s="598">
        <f t="shared" si="153"/>
        <v>1020</v>
      </c>
      <c r="AO220" s="621"/>
      <c r="AP220" s="630"/>
      <c r="AQ220" s="630"/>
      <c r="AR220" s="592"/>
      <c r="AS220" s="630"/>
      <c r="AT220" s="630"/>
      <c r="AU220" s="621">
        <f>I220</f>
        <v>1020</v>
      </c>
      <c r="AV220" s="621"/>
      <c r="AW220" s="592">
        <f t="shared" si="119"/>
        <v>1020</v>
      </c>
      <c r="AX220" s="621"/>
      <c r="AY220" s="621"/>
      <c r="AZ220" s="621"/>
      <c r="BA220" s="621"/>
      <c r="BB220" s="621"/>
      <c r="BC220" s="621"/>
      <c r="BD220" s="621"/>
      <c r="BE220" s="623"/>
      <c r="BF220" s="602" t="s">
        <v>90</v>
      </c>
      <c r="BG220" s="603"/>
      <c r="BH220" s="604">
        <f t="shared" si="155"/>
        <v>170</v>
      </c>
      <c r="BI220" s="605">
        <f t="shared" si="156"/>
        <v>170</v>
      </c>
      <c r="BJ220" s="602">
        <f t="shared" si="157"/>
        <v>170</v>
      </c>
      <c r="BK220" s="602">
        <f t="shared" si="158"/>
        <v>170</v>
      </c>
      <c r="BL220" s="602">
        <f t="shared" si="159"/>
        <v>170</v>
      </c>
      <c r="BM220" s="602">
        <f t="shared" si="160"/>
        <v>170</v>
      </c>
      <c r="BN220" s="631"/>
      <c r="BO220" s="631"/>
      <c r="BP220" s="631"/>
      <c r="BQ220" s="631"/>
      <c r="BR220" s="631"/>
      <c r="BS220" s="631"/>
      <c r="BT220" s="607">
        <f t="shared" si="149"/>
        <v>1020</v>
      </c>
      <c r="BU220" s="608">
        <f t="shared" si="150"/>
        <v>0</v>
      </c>
      <c r="BV220" s="609"/>
      <c r="BW220" s="491"/>
    </row>
    <row r="221" s="490" customFormat="1" ht="33" customHeight="1" spans="1:75 16369:16384">
      <c r="A221" s="577">
        <v>45814</v>
      </c>
      <c r="B221" s="581" t="s">
        <v>228</v>
      </c>
      <c r="C221" s="579" t="s">
        <v>229</v>
      </c>
      <c r="D221" s="580">
        <v>4500169123</v>
      </c>
      <c r="E221" s="616">
        <v>4500061201</v>
      </c>
      <c r="F221" s="580" t="s">
        <v>1253</v>
      </c>
      <c r="G221" s="582" t="s">
        <v>81</v>
      </c>
      <c r="H221" s="578" t="s">
        <v>95</v>
      </c>
      <c r="I221" s="583">
        <v>1200</v>
      </c>
      <c r="J221" s="583">
        <v>0</v>
      </c>
      <c r="K221" s="583">
        <v>6</v>
      </c>
      <c r="L221" s="584">
        <f t="shared" si="161"/>
        <v>200</v>
      </c>
      <c r="M221" s="585">
        <v>45849</v>
      </c>
      <c r="N221" s="585">
        <v>45845</v>
      </c>
      <c r="O221" s="586"/>
      <c r="P221" s="586" t="s">
        <v>83</v>
      </c>
      <c r="Q221" s="587"/>
      <c r="R221" s="586" t="s">
        <v>1188</v>
      </c>
      <c r="S221" s="586"/>
      <c r="T221" s="586"/>
      <c r="U221" s="586" t="s">
        <v>86</v>
      </c>
      <c r="V221" s="586"/>
      <c r="W221" s="586"/>
      <c r="X221" s="588" t="s">
        <v>1254</v>
      </c>
      <c r="Y221" s="618" t="s">
        <v>1251</v>
      </c>
      <c r="Z221" s="590">
        <v>5.7753</v>
      </c>
      <c r="AA221" s="591">
        <f>Z221*I221</f>
        <v>6930.36</v>
      </c>
      <c r="AB221" s="619"/>
      <c r="AC221" s="582" t="s">
        <v>235</v>
      </c>
      <c r="AD221" s="593" t="s">
        <v>89</v>
      </c>
      <c r="AE221" s="594"/>
      <c r="AF221" s="594"/>
      <c r="AG221" s="629"/>
      <c r="AH221" s="597"/>
      <c r="AI221" s="630"/>
      <c r="AJ221" s="592">
        <f>I221</f>
        <v>1200</v>
      </c>
      <c r="AK221" s="621"/>
      <c r="AL221" s="630"/>
      <c r="AM221" s="596"/>
      <c r="AN221" s="598">
        <f t="shared" si="153"/>
        <v>1200</v>
      </c>
      <c r="AO221" s="621"/>
      <c r="AP221" s="630"/>
      <c r="AQ221" s="630"/>
      <c r="AR221" s="621"/>
      <c r="AS221" s="630"/>
      <c r="AT221" s="630"/>
      <c r="AU221" s="621">
        <f>I221</f>
        <v>1200</v>
      </c>
      <c r="AV221" s="618"/>
      <c r="AW221" s="592">
        <f t="shared" si="119"/>
        <v>1200</v>
      </c>
      <c r="AX221" s="621"/>
      <c r="AY221" s="637"/>
      <c r="AZ221" s="618"/>
      <c r="BA221" s="618"/>
      <c r="BB221" s="618"/>
      <c r="BC221" s="621"/>
      <c r="BD221" s="621"/>
      <c r="BE221" s="623"/>
      <c r="BF221" s="602" t="s">
        <v>90</v>
      </c>
      <c r="BG221" s="603"/>
      <c r="BH221" s="604">
        <f t="shared" si="155"/>
        <v>200</v>
      </c>
      <c r="BI221" s="605">
        <f t="shared" si="156"/>
        <v>200</v>
      </c>
      <c r="BJ221" s="602">
        <f t="shared" si="157"/>
        <v>200</v>
      </c>
      <c r="BK221" s="602">
        <f t="shared" si="158"/>
        <v>200</v>
      </c>
      <c r="BL221" s="602">
        <f t="shared" si="159"/>
        <v>200</v>
      </c>
      <c r="BM221" s="602">
        <f t="shared" si="160"/>
        <v>200</v>
      </c>
      <c r="BN221" s="645"/>
      <c r="BO221" s="645"/>
      <c r="BP221" s="645"/>
      <c r="BQ221" s="645"/>
      <c r="BR221" s="645"/>
      <c r="BS221" s="645"/>
      <c r="BT221" s="607">
        <f t="shared" si="149"/>
        <v>1200</v>
      </c>
      <c r="BU221" s="608">
        <f t="shared" si="150"/>
        <v>0</v>
      </c>
      <c r="BV221" s="609"/>
      <c r="BW221" s="491"/>
      <c r="XEO221" s="651"/>
      <c r="XEP221" s="652"/>
      <c r="XEQ221" s="653"/>
      <c r="XER221" s="654"/>
      <c r="XES221" s="655"/>
      <c r="XET221" s="654"/>
      <c r="XEU221" s="656"/>
      <c r="XEV221" s="656"/>
      <c r="XEW221" s="657"/>
      <c r="XEX221" s="658"/>
      <c r="XEY221" s="658"/>
      <c r="XEZ221" s="658"/>
      <c r="XFA221" s="658"/>
      <c r="XFB221" s="659"/>
      <c r="XFC221" s="659"/>
      <c r="XFD221" s="660"/>
    </row>
    <row r="222" s="490" customFormat="1" ht="33" customHeight="1" spans="1:75 16369:16384">
      <c r="A222" s="577">
        <v>45819</v>
      </c>
      <c r="B222" s="581" t="s">
        <v>358</v>
      </c>
      <c r="C222" s="579" t="s">
        <v>359</v>
      </c>
      <c r="D222" s="580">
        <v>4500169697</v>
      </c>
      <c r="E222" s="616" t="s">
        <v>1255</v>
      </c>
      <c r="F222" s="580" t="s">
        <v>1256</v>
      </c>
      <c r="G222" s="582" t="s">
        <v>280</v>
      </c>
      <c r="H222" s="578" t="s">
        <v>281</v>
      </c>
      <c r="I222" s="583">
        <v>24</v>
      </c>
      <c r="J222" s="583">
        <v>0</v>
      </c>
      <c r="K222" s="583">
        <v>4</v>
      </c>
      <c r="L222" s="584">
        <f t="shared" si="161"/>
        <v>6</v>
      </c>
      <c r="M222" s="585">
        <v>45855</v>
      </c>
      <c r="N222" s="585">
        <v>45852</v>
      </c>
      <c r="O222" s="586" t="s">
        <v>1257</v>
      </c>
      <c r="P222" s="586" t="s">
        <v>83</v>
      </c>
      <c r="Q222" s="587" t="s">
        <v>1223</v>
      </c>
      <c r="R222" s="586" t="s">
        <v>1258</v>
      </c>
      <c r="S222" s="586"/>
      <c r="T222" s="586"/>
      <c r="U222" s="586" t="s">
        <v>86</v>
      </c>
      <c r="V222" s="586" t="s">
        <v>1259</v>
      </c>
      <c r="W222" s="586"/>
      <c r="X222" s="588" t="s">
        <v>1260</v>
      </c>
      <c r="Y222" s="641" t="s">
        <v>287</v>
      </c>
      <c r="Z222" s="590">
        <v>6.1693</v>
      </c>
      <c r="AA222" s="591">
        <f t="shared" ref="AA222:AA228" si="162">Z222*I222</f>
        <v>148.0632</v>
      </c>
      <c r="AB222" s="619"/>
      <c r="AC222" s="582" t="s">
        <v>1261</v>
      </c>
      <c r="AD222" s="593" t="s">
        <v>89</v>
      </c>
      <c r="AE222" s="611"/>
      <c r="AF222" s="611"/>
      <c r="AG222" s="595"/>
      <c r="AH222" s="613"/>
      <c r="AI222" s="622"/>
      <c r="AJ222" s="592">
        <f t="shared" ref="AJ222:AJ229" si="163">I222</f>
        <v>24</v>
      </c>
      <c r="AK222" s="621"/>
      <c r="AL222" s="622"/>
      <c r="AM222" s="612"/>
      <c r="AN222" s="598">
        <f t="shared" ref="AN222:AN229" si="164">I222</f>
        <v>24</v>
      </c>
      <c r="AO222" s="621"/>
      <c r="AP222" s="622"/>
      <c r="AQ222" s="622"/>
      <c r="AR222" s="592"/>
      <c r="AS222" s="622"/>
      <c r="AT222" s="622"/>
      <c r="AU222" s="621">
        <f t="shared" ref="AU222:AU229" si="165">I222</f>
        <v>24</v>
      </c>
      <c r="AV222" s="618"/>
      <c r="AW222" s="592">
        <f t="shared" ref="AW222:AW229" si="166">I222</f>
        <v>24</v>
      </c>
      <c r="AX222" s="621"/>
      <c r="AY222" s="637"/>
      <c r="AZ222" s="618"/>
      <c r="BA222" s="618"/>
      <c r="BB222" s="618"/>
      <c r="BC222" s="621"/>
      <c r="BD222" s="621"/>
      <c r="BE222" s="623"/>
      <c r="BF222" s="602" t="s">
        <v>90</v>
      </c>
      <c r="BG222" s="603"/>
      <c r="BH222" s="604"/>
      <c r="BI222" s="633"/>
      <c r="BJ222" s="602">
        <f>I222</f>
        <v>24</v>
      </c>
      <c r="BK222" s="633"/>
      <c r="BL222" s="633"/>
      <c r="BM222" s="633"/>
      <c r="BN222" s="650"/>
      <c r="BO222" s="650"/>
      <c r="BP222" s="650"/>
      <c r="BQ222" s="650"/>
      <c r="BR222" s="650"/>
      <c r="BS222" s="650"/>
      <c r="BT222" s="607">
        <f t="shared" si="149"/>
        <v>24</v>
      </c>
      <c r="BU222" s="608">
        <f t="shared" si="150"/>
        <v>0</v>
      </c>
      <c r="BV222" s="517"/>
      <c r="BW222" s="491"/>
      <c r="XEO222" s="651"/>
      <c r="XEP222" s="652"/>
      <c r="XEQ222" s="653"/>
      <c r="XER222" s="654"/>
      <c r="XES222" s="655"/>
      <c r="XET222" s="654"/>
      <c r="XEU222" s="656"/>
      <c r="XEV222" s="656"/>
      <c r="XEW222" s="657"/>
      <c r="XEX222" s="658"/>
      <c r="XEY222" s="658"/>
      <c r="XEZ222" s="658"/>
      <c r="XFA222" s="658"/>
      <c r="XFB222" s="659"/>
      <c r="XFC222" s="659"/>
      <c r="XFD222" s="660"/>
    </row>
    <row r="223" s="490" customFormat="1" ht="33" customHeight="1" spans="1:75 16369:16384">
      <c r="A223" s="577">
        <v>45819</v>
      </c>
      <c r="B223" s="581" t="s">
        <v>358</v>
      </c>
      <c r="C223" s="579" t="s">
        <v>359</v>
      </c>
      <c r="D223" s="580">
        <v>4500169697</v>
      </c>
      <c r="E223" s="616" t="s">
        <v>1262</v>
      </c>
      <c r="F223" s="580" t="s">
        <v>1263</v>
      </c>
      <c r="G223" s="582" t="s">
        <v>280</v>
      </c>
      <c r="H223" s="578" t="s">
        <v>281</v>
      </c>
      <c r="I223" s="583">
        <v>20</v>
      </c>
      <c r="J223" s="583">
        <v>0</v>
      </c>
      <c r="K223" s="583">
        <v>4</v>
      </c>
      <c r="L223" s="584">
        <f t="shared" si="161"/>
        <v>5</v>
      </c>
      <c r="M223" s="585">
        <v>45855</v>
      </c>
      <c r="N223" s="585">
        <v>45852</v>
      </c>
      <c r="O223" s="586" t="s">
        <v>1257</v>
      </c>
      <c r="P223" s="586" t="s">
        <v>83</v>
      </c>
      <c r="Q223" s="587" t="s">
        <v>1223</v>
      </c>
      <c r="R223" s="586" t="s">
        <v>1258</v>
      </c>
      <c r="S223" s="586"/>
      <c r="T223" s="586"/>
      <c r="U223" s="586" t="s">
        <v>86</v>
      </c>
      <c r="V223" s="586" t="s">
        <v>1259</v>
      </c>
      <c r="W223" s="586"/>
      <c r="X223" s="588" t="s">
        <v>1260</v>
      </c>
      <c r="Y223" s="641" t="s">
        <v>287</v>
      </c>
      <c r="Z223" s="590">
        <v>6.1693</v>
      </c>
      <c r="AA223" s="591">
        <f t="shared" si="162"/>
        <v>123.386</v>
      </c>
      <c r="AB223" s="619"/>
      <c r="AC223" s="582" t="s">
        <v>1261</v>
      </c>
      <c r="AD223" s="593" t="s">
        <v>89</v>
      </c>
      <c r="AE223" s="611"/>
      <c r="AF223" s="611"/>
      <c r="AG223" s="595"/>
      <c r="AH223" s="613"/>
      <c r="AI223" s="622"/>
      <c r="AJ223" s="592">
        <f t="shared" si="163"/>
        <v>20</v>
      </c>
      <c r="AK223" s="621"/>
      <c r="AL223" s="622"/>
      <c r="AM223" s="612"/>
      <c r="AN223" s="598">
        <f t="shared" si="164"/>
        <v>20</v>
      </c>
      <c r="AO223" s="621"/>
      <c r="AP223" s="622"/>
      <c r="AQ223" s="622"/>
      <c r="AR223" s="592"/>
      <c r="AS223" s="622"/>
      <c r="AT223" s="622"/>
      <c r="AU223" s="621">
        <f t="shared" si="165"/>
        <v>20</v>
      </c>
      <c r="AV223" s="618"/>
      <c r="AW223" s="592">
        <f t="shared" si="166"/>
        <v>20</v>
      </c>
      <c r="AX223" s="621"/>
      <c r="AY223" s="637"/>
      <c r="AZ223" s="618"/>
      <c r="BA223" s="618"/>
      <c r="BB223" s="618"/>
      <c r="BC223" s="621"/>
      <c r="BD223" s="621"/>
      <c r="BE223" s="623"/>
      <c r="BF223" s="602" t="s">
        <v>90</v>
      </c>
      <c r="BG223" s="603"/>
      <c r="BH223" s="604"/>
      <c r="BI223" s="633"/>
      <c r="BJ223" s="602">
        <f>I223</f>
        <v>20</v>
      </c>
      <c r="BK223" s="633"/>
      <c r="BL223" s="633"/>
      <c r="BM223" s="633"/>
      <c r="BN223" s="650"/>
      <c r="BO223" s="650"/>
      <c r="BP223" s="650"/>
      <c r="BQ223" s="650"/>
      <c r="BR223" s="650"/>
      <c r="BS223" s="650"/>
      <c r="BT223" s="607">
        <f t="shared" si="149"/>
        <v>20</v>
      </c>
      <c r="BU223" s="608">
        <f t="shared" si="150"/>
        <v>0</v>
      </c>
      <c r="BV223" s="517"/>
      <c r="BW223" s="491"/>
      <c r="XEO223" s="651"/>
      <c r="XEP223" s="652"/>
      <c r="XEQ223" s="653"/>
      <c r="XER223" s="654"/>
      <c r="XES223" s="655"/>
      <c r="XET223" s="654"/>
      <c r="XEU223" s="656"/>
      <c r="XEV223" s="656"/>
      <c r="XEW223" s="657"/>
      <c r="XEX223" s="658"/>
      <c r="XEY223" s="658"/>
      <c r="XEZ223" s="658"/>
      <c r="XFA223" s="658"/>
      <c r="XFB223" s="659"/>
      <c r="XFC223" s="659"/>
      <c r="XFD223" s="660"/>
    </row>
    <row r="224" s="490" customFormat="1" ht="33" customHeight="1" spans="1:75 16369:16384">
      <c r="A224" s="577">
        <v>45819</v>
      </c>
      <c r="B224" s="581" t="s">
        <v>358</v>
      </c>
      <c r="C224" s="579" t="s">
        <v>359</v>
      </c>
      <c r="D224" s="580">
        <v>4500169697</v>
      </c>
      <c r="E224" s="616" t="s">
        <v>1264</v>
      </c>
      <c r="F224" s="580" t="s">
        <v>1265</v>
      </c>
      <c r="G224" s="582" t="s">
        <v>280</v>
      </c>
      <c r="H224" s="578" t="s">
        <v>281</v>
      </c>
      <c r="I224" s="583">
        <v>12</v>
      </c>
      <c r="J224" s="583">
        <v>0</v>
      </c>
      <c r="K224" s="583">
        <v>4</v>
      </c>
      <c r="L224" s="584">
        <f t="shared" si="161"/>
        <v>3</v>
      </c>
      <c r="M224" s="585">
        <v>45855</v>
      </c>
      <c r="N224" s="585">
        <v>45852</v>
      </c>
      <c r="O224" s="586" t="s">
        <v>1257</v>
      </c>
      <c r="P224" s="586" t="s">
        <v>83</v>
      </c>
      <c r="Q224" s="587" t="s">
        <v>1223</v>
      </c>
      <c r="R224" s="586" t="s">
        <v>1258</v>
      </c>
      <c r="S224" s="586"/>
      <c r="T224" s="586"/>
      <c r="U224" s="586" t="s">
        <v>86</v>
      </c>
      <c r="V224" s="586" t="s">
        <v>1259</v>
      </c>
      <c r="W224" s="586"/>
      <c r="X224" s="588" t="s">
        <v>1260</v>
      </c>
      <c r="Y224" s="641" t="s">
        <v>287</v>
      </c>
      <c r="Z224" s="590">
        <v>6.1693</v>
      </c>
      <c r="AA224" s="591">
        <f t="shared" si="162"/>
        <v>74.0316</v>
      </c>
      <c r="AB224" s="619"/>
      <c r="AC224" s="582" t="s">
        <v>1261</v>
      </c>
      <c r="AD224" s="593" t="s">
        <v>89</v>
      </c>
      <c r="AE224" s="611"/>
      <c r="AF224" s="611"/>
      <c r="AG224" s="595"/>
      <c r="AH224" s="613"/>
      <c r="AI224" s="622"/>
      <c r="AJ224" s="592">
        <f t="shared" si="163"/>
        <v>12</v>
      </c>
      <c r="AK224" s="621"/>
      <c r="AL224" s="622"/>
      <c r="AM224" s="612"/>
      <c r="AN224" s="598">
        <f t="shared" si="164"/>
        <v>12</v>
      </c>
      <c r="AO224" s="621"/>
      <c r="AP224" s="622"/>
      <c r="AQ224" s="622"/>
      <c r="AR224" s="592"/>
      <c r="AS224" s="622"/>
      <c r="AT224" s="622"/>
      <c r="AU224" s="621">
        <f t="shared" si="165"/>
        <v>12</v>
      </c>
      <c r="AV224" s="618"/>
      <c r="AW224" s="592">
        <f t="shared" si="166"/>
        <v>12</v>
      </c>
      <c r="AX224" s="621"/>
      <c r="AY224" s="637"/>
      <c r="AZ224" s="618"/>
      <c r="BA224" s="618"/>
      <c r="BB224" s="618"/>
      <c r="BC224" s="621"/>
      <c r="BD224" s="621"/>
      <c r="BE224" s="623"/>
      <c r="BF224" s="602" t="s">
        <v>90</v>
      </c>
      <c r="BG224" s="603"/>
      <c r="BH224" s="604"/>
      <c r="BI224" s="633"/>
      <c r="BJ224" s="602">
        <f>I224</f>
        <v>12</v>
      </c>
      <c r="BK224" s="633"/>
      <c r="BL224" s="633"/>
      <c r="BM224" s="633"/>
      <c r="BN224" s="650"/>
      <c r="BO224" s="650"/>
      <c r="BP224" s="650"/>
      <c r="BQ224" s="650"/>
      <c r="BR224" s="650"/>
      <c r="BS224" s="650"/>
      <c r="BT224" s="607">
        <f t="shared" si="149"/>
        <v>12</v>
      </c>
      <c r="BU224" s="608">
        <f t="shared" si="150"/>
        <v>0</v>
      </c>
      <c r="BV224" s="517"/>
      <c r="BW224" s="491"/>
      <c r="XEO224" s="651"/>
      <c r="XEP224" s="652"/>
      <c r="XEQ224" s="653"/>
      <c r="XER224" s="654"/>
      <c r="XES224" s="655"/>
      <c r="XET224" s="654"/>
      <c r="XEU224" s="656"/>
      <c r="XEV224" s="656"/>
      <c r="XEW224" s="657"/>
      <c r="XEX224" s="658"/>
      <c r="XEY224" s="658"/>
      <c r="XEZ224" s="658"/>
      <c r="XFA224" s="658"/>
      <c r="XFB224" s="659"/>
      <c r="XFC224" s="659"/>
      <c r="XFD224" s="660"/>
    </row>
    <row r="225" s="490" customFormat="1" ht="33" customHeight="1" spans="1:75 16369:16384">
      <c r="A225" s="577">
        <v>45819</v>
      </c>
      <c r="B225" s="581" t="s">
        <v>358</v>
      </c>
      <c r="C225" s="579" t="s">
        <v>359</v>
      </c>
      <c r="D225" s="580">
        <v>4500169697</v>
      </c>
      <c r="E225" s="616" t="s">
        <v>1266</v>
      </c>
      <c r="F225" s="580" t="s">
        <v>1267</v>
      </c>
      <c r="G225" s="582" t="s">
        <v>280</v>
      </c>
      <c r="H225" s="578" t="s">
        <v>281</v>
      </c>
      <c r="I225" s="583">
        <v>28</v>
      </c>
      <c r="J225" s="583">
        <v>0</v>
      </c>
      <c r="K225" s="583">
        <v>4</v>
      </c>
      <c r="L225" s="584">
        <f t="shared" ref="L225:L231" si="167">I225/K225</f>
        <v>7</v>
      </c>
      <c r="M225" s="585">
        <v>45855</v>
      </c>
      <c r="N225" s="585">
        <v>45852</v>
      </c>
      <c r="O225" s="586" t="s">
        <v>1257</v>
      </c>
      <c r="P225" s="586" t="s">
        <v>83</v>
      </c>
      <c r="Q225" s="587" t="s">
        <v>1223</v>
      </c>
      <c r="R225" s="586" t="s">
        <v>1258</v>
      </c>
      <c r="S225" s="586"/>
      <c r="T225" s="586"/>
      <c r="U225" s="586" t="s">
        <v>86</v>
      </c>
      <c r="V225" s="586" t="s">
        <v>1259</v>
      </c>
      <c r="W225" s="586"/>
      <c r="X225" s="588" t="s">
        <v>1260</v>
      </c>
      <c r="Y225" s="641" t="s">
        <v>287</v>
      </c>
      <c r="Z225" s="590">
        <v>6.1693</v>
      </c>
      <c r="AA225" s="591">
        <f t="shared" si="162"/>
        <v>172.7404</v>
      </c>
      <c r="AB225" s="619"/>
      <c r="AC225" s="582" t="s">
        <v>1261</v>
      </c>
      <c r="AD225" s="593" t="s">
        <v>89</v>
      </c>
      <c r="AE225" s="611"/>
      <c r="AF225" s="611"/>
      <c r="AG225" s="595"/>
      <c r="AH225" s="613"/>
      <c r="AI225" s="622"/>
      <c r="AJ225" s="592">
        <f t="shared" si="163"/>
        <v>28</v>
      </c>
      <c r="AK225" s="621"/>
      <c r="AL225" s="622"/>
      <c r="AM225" s="612"/>
      <c r="AN225" s="598">
        <f t="shared" si="164"/>
        <v>28</v>
      </c>
      <c r="AO225" s="621"/>
      <c r="AP225" s="622"/>
      <c r="AQ225" s="622"/>
      <c r="AR225" s="592"/>
      <c r="AS225" s="622"/>
      <c r="AT225" s="622"/>
      <c r="AU225" s="621">
        <f t="shared" si="165"/>
        <v>28</v>
      </c>
      <c r="AV225" s="618"/>
      <c r="AW225" s="592">
        <f t="shared" si="166"/>
        <v>28</v>
      </c>
      <c r="AX225" s="621"/>
      <c r="AY225" s="637"/>
      <c r="AZ225" s="618"/>
      <c r="BA225" s="618"/>
      <c r="BB225" s="618"/>
      <c r="BC225" s="621"/>
      <c r="BD225" s="621"/>
      <c r="BE225" s="623"/>
      <c r="BF225" s="602" t="s">
        <v>90</v>
      </c>
      <c r="BG225" s="603"/>
      <c r="BH225" s="604"/>
      <c r="BI225" s="633"/>
      <c r="BJ225" s="602">
        <f>I225</f>
        <v>28</v>
      </c>
      <c r="BK225" s="633"/>
      <c r="BL225" s="633"/>
      <c r="BM225" s="633"/>
      <c r="BN225" s="650"/>
      <c r="BO225" s="650"/>
      <c r="BP225" s="650"/>
      <c r="BQ225" s="650"/>
      <c r="BR225" s="650"/>
      <c r="BS225" s="650"/>
      <c r="BT225" s="607">
        <f t="shared" si="149"/>
        <v>28</v>
      </c>
      <c r="BU225" s="608">
        <f t="shared" si="150"/>
        <v>0</v>
      </c>
      <c r="BV225" s="517"/>
      <c r="BW225" s="491"/>
      <c r="XEO225" s="651"/>
      <c r="XEP225" s="652"/>
      <c r="XEQ225" s="653"/>
      <c r="XER225" s="654"/>
      <c r="XES225" s="655"/>
      <c r="XET225" s="654"/>
      <c r="XEU225" s="656"/>
      <c r="XEV225" s="656"/>
      <c r="XEW225" s="657"/>
      <c r="XEX225" s="658"/>
      <c r="XEY225" s="658"/>
      <c r="XEZ225" s="658"/>
      <c r="XFA225" s="658"/>
      <c r="XFB225" s="659"/>
      <c r="XFC225" s="659"/>
      <c r="XFD225" s="660"/>
    </row>
    <row r="226" s="490" customFormat="1" ht="33" customHeight="1" spans="1:75 16369:16384">
      <c r="A226" s="577">
        <v>45819</v>
      </c>
      <c r="B226" s="581" t="s">
        <v>358</v>
      </c>
      <c r="C226" s="579" t="s">
        <v>359</v>
      </c>
      <c r="D226" s="580">
        <v>4500169708</v>
      </c>
      <c r="E226" s="616" t="s">
        <v>1268</v>
      </c>
      <c r="F226" s="580" t="s">
        <v>1269</v>
      </c>
      <c r="G226" s="582" t="s">
        <v>826</v>
      </c>
      <c r="H226" s="578" t="s">
        <v>827</v>
      </c>
      <c r="I226" s="583">
        <v>16</v>
      </c>
      <c r="J226" s="583">
        <v>0</v>
      </c>
      <c r="K226" s="583">
        <v>4</v>
      </c>
      <c r="L226" s="584">
        <f t="shared" si="167"/>
        <v>4</v>
      </c>
      <c r="M226" s="585">
        <v>45855</v>
      </c>
      <c r="N226" s="585">
        <v>45852</v>
      </c>
      <c r="O226" s="586" t="s">
        <v>1270</v>
      </c>
      <c r="P226" s="586" t="s">
        <v>83</v>
      </c>
      <c r="Q226" s="587" t="s">
        <v>1223</v>
      </c>
      <c r="R226" s="586" t="s">
        <v>1258</v>
      </c>
      <c r="S226" s="586"/>
      <c r="T226" s="586"/>
      <c r="U226" s="586" t="s">
        <v>86</v>
      </c>
      <c r="V226" s="586" t="s">
        <v>1259</v>
      </c>
      <c r="W226" s="586"/>
      <c r="X226" s="588" t="s">
        <v>1271</v>
      </c>
      <c r="Y226" s="641" t="s">
        <v>287</v>
      </c>
      <c r="Z226" s="590">
        <v>6.0417</v>
      </c>
      <c r="AA226" s="591">
        <f t="shared" si="162"/>
        <v>96.6672</v>
      </c>
      <c r="AB226" s="619"/>
      <c r="AC226" s="582" t="s">
        <v>829</v>
      </c>
      <c r="AD226" s="593" t="s">
        <v>89</v>
      </c>
      <c r="AE226" s="594"/>
      <c r="AF226" s="594"/>
      <c r="AG226" s="595"/>
      <c r="AH226" s="597"/>
      <c r="AI226" s="630"/>
      <c r="AJ226" s="592">
        <f t="shared" si="163"/>
        <v>16</v>
      </c>
      <c r="AK226" s="621"/>
      <c r="AL226" s="630"/>
      <c r="AM226" s="596"/>
      <c r="AN226" s="598">
        <f t="shared" si="164"/>
        <v>16</v>
      </c>
      <c r="AO226" s="621"/>
      <c r="AP226" s="630"/>
      <c r="AQ226" s="630"/>
      <c r="AR226" s="592"/>
      <c r="AS226" s="630"/>
      <c r="AT226" s="630"/>
      <c r="AU226" s="621">
        <f t="shared" si="165"/>
        <v>16</v>
      </c>
      <c r="AV226" s="618"/>
      <c r="AW226" s="592">
        <f t="shared" si="166"/>
        <v>16</v>
      </c>
      <c r="AX226" s="621"/>
      <c r="AY226" s="637"/>
      <c r="AZ226" s="618"/>
      <c r="BA226" s="618"/>
      <c r="BB226" s="618"/>
      <c r="BC226" s="621"/>
      <c r="BD226" s="621"/>
      <c r="BE226" s="623"/>
      <c r="BF226" s="602" t="s">
        <v>90</v>
      </c>
      <c r="BG226" s="603"/>
      <c r="BH226" s="604"/>
      <c r="BI226" s="605"/>
      <c r="BJ226" s="602"/>
      <c r="BK226" s="602"/>
      <c r="BL226" s="602"/>
      <c r="BM226" s="602">
        <f>I226</f>
        <v>16</v>
      </c>
      <c r="BN226" s="645"/>
      <c r="BO226" s="645"/>
      <c r="BP226" s="645"/>
      <c r="BQ226" s="645"/>
      <c r="BR226" s="645"/>
      <c r="BS226" s="645"/>
      <c r="BT226" s="607">
        <f t="shared" si="149"/>
        <v>16</v>
      </c>
      <c r="BU226" s="608">
        <f t="shared" si="150"/>
        <v>0</v>
      </c>
      <c r="BV226" s="609"/>
      <c r="BW226" s="491"/>
      <c r="XEO226" s="651"/>
      <c r="XEP226" s="652"/>
      <c r="XEQ226" s="653"/>
      <c r="XER226" s="654"/>
      <c r="XES226" s="655"/>
      <c r="XET226" s="654"/>
      <c r="XEU226" s="656"/>
      <c r="XEV226" s="656"/>
      <c r="XEW226" s="657"/>
      <c r="XEX226" s="658"/>
      <c r="XEY226" s="658"/>
      <c r="XEZ226" s="658"/>
      <c r="XFA226" s="658"/>
      <c r="XFB226" s="659"/>
      <c r="XFC226" s="659"/>
      <c r="XFD226" s="660"/>
    </row>
    <row r="227" s="490" customFormat="1" ht="33" customHeight="1" spans="1:75 16369:16384">
      <c r="A227" s="577">
        <v>45819</v>
      </c>
      <c r="B227" s="581" t="s">
        <v>358</v>
      </c>
      <c r="C227" s="579" t="s">
        <v>359</v>
      </c>
      <c r="D227" s="580">
        <v>4500169708</v>
      </c>
      <c r="E227" s="616" t="s">
        <v>1272</v>
      </c>
      <c r="F227" s="580" t="s">
        <v>1273</v>
      </c>
      <c r="G227" s="582" t="s">
        <v>826</v>
      </c>
      <c r="H227" s="578" t="s">
        <v>827</v>
      </c>
      <c r="I227" s="583">
        <v>12</v>
      </c>
      <c r="J227" s="583">
        <v>0</v>
      </c>
      <c r="K227" s="583">
        <v>4</v>
      </c>
      <c r="L227" s="584">
        <f t="shared" si="167"/>
        <v>3</v>
      </c>
      <c r="M227" s="585">
        <v>45855</v>
      </c>
      <c r="N227" s="585">
        <v>45852</v>
      </c>
      <c r="O227" s="586" t="s">
        <v>1270</v>
      </c>
      <c r="P227" s="586" t="s">
        <v>83</v>
      </c>
      <c r="Q227" s="587" t="s">
        <v>1223</v>
      </c>
      <c r="R227" s="586" t="s">
        <v>1258</v>
      </c>
      <c r="S227" s="586"/>
      <c r="T227" s="586"/>
      <c r="U227" s="586" t="s">
        <v>86</v>
      </c>
      <c r="V227" s="586" t="s">
        <v>1259</v>
      </c>
      <c r="W227" s="586"/>
      <c r="X227" s="588" t="s">
        <v>1271</v>
      </c>
      <c r="Y227" s="641" t="s">
        <v>287</v>
      </c>
      <c r="Z227" s="590">
        <v>6.0417</v>
      </c>
      <c r="AA227" s="591">
        <f t="shared" si="162"/>
        <v>72.5004</v>
      </c>
      <c r="AB227" s="619"/>
      <c r="AC227" s="582" t="s">
        <v>829</v>
      </c>
      <c r="AD227" s="593" t="s">
        <v>89</v>
      </c>
      <c r="AE227" s="594"/>
      <c r="AF227" s="594"/>
      <c r="AG227" s="595"/>
      <c r="AH227" s="597"/>
      <c r="AI227" s="630"/>
      <c r="AJ227" s="592">
        <f t="shared" si="163"/>
        <v>12</v>
      </c>
      <c r="AK227" s="621"/>
      <c r="AL227" s="630"/>
      <c r="AM227" s="596"/>
      <c r="AN227" s="598">
        <f t="shared" si="164"/>
        <v>12</v>
      </c>
      <c r="AO227" s="621"/>
      <c r="AP227" s="630"/>
      <c r="AQ227" s="630"/>
      <c r="AR227" s="592"/>
      <c r="AS227" s="630"/>
      <c r="AT227" s="630"/>
      <c r="AU227" s="621">
        <f t="shared" si="165"/>
        <v>12</v>
      </c>
      <c r="AV227" s="618"/>
      <c r="AW227" s="592">
        <f t="shared" si="166"/>
        <v>12</v>
      </c>
      <c r="AX227" s="621"/>
      <c r="AY227" s="637"/>
      <c r="AZ227" s="618"/>
      <c r="BA227" s="618"/>
      <c r="BB227" s="618"/>
      <c r="BC227" s="621"/>
      <c r="BD227" s="621"/>
      <c r="BE227" s="623"/>
      <c r="BF227" s="602" t="s">
        <v>90</v>
      </c>
      <c r="BG227" s="603"/>
      <c r="BH227" s="604"/>
      <c r="BI227" s="605"/>
      <c r="BJ227" s="602"/>
      <c r="BK227" s="602"/>
      <c r="BL227" s="602"/>
      <c r="BM227" s="602">
        <f>I227</f>
        <v>12</v>
      </c>
      <c r="BN227" s="645"/>
      <c r="BO227" s="645"/>
      <c r="BP227" s="645"/>
      <c r="BQ227" s="645"/>
      <c r="BR227" s="645"/>
      <c r="BS227" s="645"/>
      <c r="BT227" s="607">
        <f t="shared" si="149"/>
        <v>12</v>
      </c>
      <c r="BU227" s="608">
        <f t="shared" si="150"/>
        <v>0</v>
      </c>
      <c r="BV227" s="609"/>
      <c r="BW227" s="491"/>
      <c r="XEO227" s="651"/>
      <c r="XEP227" s="652"/>
      <c r="XEQ227" s="653"/>
      <c r="XER227" s="654"/>
      <c r="XES227" s="655"/>
      <c r="XET227" s="654"/>
      <c r="XEU227" s="656"/>
      <c r="XEV227" s="656"/>
      <c r="XEW227" s="657"/>
      <c r="XEX227" s="658"/>
      <c r="XEY227" s="658"/>
      <c r="XEZ227" s="658"/>
      <c r="XFA227" s="658"/>
      <c r="XFB227" s="659"/>
      <c r="XFC227" s="659"/>
      <c r="XFD227" s="660"/>
    </row>
    <row r="228" s="490" customFormat="1" ht="33" customHeight="1" spans="1:75 16369:16384">
      <c r="A228" s="577">
        <v>45819</v>
      </c>
      <c r="B228" s="581" t="s">
        <v>358</v>
      </c>
      <c r="C228" s="579" t="s">
        <v>359</v>
      </c>
      <c r="D228" s="580">
        <v>4500169708</v>
      </c>
      <c r="E228" s="616" t="s">
        <v>1274</v>
      </c>
      <c r="F228" s="580" t="s">
        <v>1275</v>
      </c>
      <c r="G228" s="582" t="s">
        <v>826</v>
      </c>
      <c r="H228" s="578" t="s">
        <v>827</v>
      </c>
      <c r="I228" s="583">
        <v>16</v>
      </c>
      <c r="J228" s="583">
        <v>0</v>
      </c>
      <c r="K228" s="583">
        <v>4</v>
      </c>
      <c r="L228" s="584">
        <f t="shared" si="167"/>
        <v>4</v>
      </c>
      <c r="M228" s="585">
        <v>45855</v>
      </c>
      <c r="N228" s="585">
        <v>45852</v>
      </c>
      <c r="O228" s="586" t="s">
        <v>1270</v>
      </c>
      <c r="P228" s="586" t="s">
        <v>83</v>
      </c>
      <c r="Q228" s="587" t="s">
        <v>1223</v>
      </c>
      <c r="R228" s="586" t="s">
        <v>1258</v>
      </c>
      <c r="S228" s="586"/>
      <c r="T228" s="586"/>
      <c r="U228" s="586" t="s">
        <v>86</v>
      </c>
      <c r="V228" s="586" t="s">
        <v>1259</v>
      </c>
      <c r="W228" s="586"/>
      <c r="X228" s="588" t="s">
        <v>1271</v>
      </c>
      <c r="Y228" s="641" t="s">
        <v>287</v>
      </c>
      <c r="Z228" s="590">
        <v>6.0417</v>
      </c>
      <c r="AA228" s="591">
        <f t="shared" si="162"/>
        <v>96.6672</v>
      </c>
      <c r="AB228" s="619"/>
      <c r="AC228" s="582" t="s">
        <v>829</v>
      </c>
      <c r="AD228" s="593" t="s">
        <v>89</v>
      </c>
      <c r="AE228" s="594"/>
      <c r="AF228" s="594"/>
      <c r="AG228" s="595"/>
      <c r="AH228" s="597"/>
      <c r="AI228" s="630"/>
      <c r="AJ228" s="592">
        <f t="shared" si="163"/>
        <v>16</v>
      </c>
      <c r="AK228" s="621"/>
      <c r="AL228" s="630"/>
      <c r="AM228" s="596"/>
      <c r="AN228" s="598">
        <f t="shared" si="164"/>
        <v>16</v>
      </c>
      <c r="AO228" s="621"/>
      <c r="AP228" s="630"/>
      <c r="AQ228" s="630"/>
      <c r="AR228" s="592"/>
      <c r="AS228" s="630"/>
      <c r="AT228" s="630"/>
      <c r="AU228" s="621">
        <f t="shared" si="165"/>
        <v>16</v>
      </c>
      <c r="AV228" s="618"/>
      <c r="AW228" s="592">
        <f t="shared" si="166"/>
        <v>16</v>
      </c>
      <c r="AX228" s="621"/>
      <c r="AY228" s="637"/>
      <c r="AZ228" s="618"/>
      <c r="BA228" s="618"/>
      <c r="BB228" s="618"/>
      <c r="BC228" s="621"/>
      <c r="BD228" s="621"/>
      <c r="BE228" s="623"/>
      <c r="BF228" s="602" t="s">
        <v>90</v>
      </c>
      <c r="BG228" s="603"/>
      <c r="BH228" s="604"/>
      <c r="BI228" s="605"/>
      <c r="BJ228" s="602"/>
      <c r="BK228" s="602"/>
      <c r="BL228" s="602"/>
      <c r="BM228" s="602">
        <f>I228</f>
        <v>16</v>
      </c>
      <c r="BN228" s="645"/>
      <c r="BO228" s="645"/>
      <c r="BP228" s="645"/>
      <c r="BQ228" s="645"/>
      <c r="BR228" s="645"/>
      <c r="BS228" s="645"/>
      <c r="BT228" s="607">
        <f t="shared" si="149"/>
        <v>16</v>
      </c>
      <c r="BU228" s="608">
        <f t="shared" si="150"/>
        <v>0</v>
      </c>
      <c r="BV228" s="609"/>
      <c r="BW228" s="491"/>
      <c r="XEO228" s="651"/>
      <c r="XEP228" s="652"/>
      <c r="XEQ228" s="653"/>
      <c r="XER228" s="654"/>
      <c r="XES228" s="655"/>
      <c r="XET228" s="654"/>
      <c r="XEU228" s="656"/>
      <c r="XEV228" s="656"/>
      <c r="XEW228" s="657"/>
      <c r="XEX228" s="658"/>
      <c r="XEY228" s="658"/>
      <c r="XEZ228" s="658"/>
      <c r="XFA228" s="658"/>
      <c r="XFB228" s="659"/>
      <c r="XFC228" s="659"/>
      <c r="XFD228" s="660"/>
    </row>
    <row r="229" s="490" customFormat="1" ht="33" customHeight="1" spans="1:75 16369:16384">
      <c r="A229" s="577">
        <v>45821</v>
      </c>
      <c r="B229" s="581" t="s">
        <v>1276</v>
      </c>
      <c r="C229" s="579" t="s">
        <v>359</v>
      </c>
      <c r="D229" s="580">
        <v>4500169926</v>
      </c>
      <c r="E229" s="616" t="s">
        <v>1277</v>
      </c>
      <c r="F229" s="580" t="s">
        <v>1278</v>
      </c>
      <c r="G229" s="582" t="s">
        <v>280</v>
      </c>
      <c r="H229" s="578" t="s">
        <v>281</v>
      </c>
      <c r="I229" s="583">
        <v>36</v>
      </c>
      <c r="J229" s="583">
        <v>0</v>
      </c>
      <c r="K229" s="583">
        <v>4</v>
      </c>
      <c r="L229" s="584">
        <f t="shared" si="167"/>
        <v>9</v>
      </c>
      <c r="M229" s="585">
        <v>45856</v>
      </c>
      <c r="N229" s="585">
        <v>45852</v>
      </c>
      <c r="O229" s="586"/>
      <c r="P229" s="586" t="s">
        <v>83</v>
      </c>
      <c r="Q229" s="587" t="s">
        <v>1223</v>
      </c>
      <c r="R229" s="586" t="s">
        <v>1258</v>
      </c>
      <c r="S229" s="586"/>
      <c r="T229" s="586"/>
      <c r="U229" s="586" t="s">
        <v>86</v>
      </c>
      <c r="V229" s="586" t="s">
        <v>1259</v>
      </c>
      <c r="W229" s="586"/>
      <c r="X229" s="588" t="s">
        <v>1271</v>
      </c>
      <c r="Y229" s="641" t="s">
        <v>287</v>
      </c>
      <c r="Z229" s="590">
        <v>6.1693</v>
      </c>
      <c r="AA229" s="591">
        <f t="shared" ref="AA229:AA281" si="168">Z229*I229</f>
        <v>222.0948</v>
      </c>
      <c r="AB229" s="619"/>
      <c r="AC229" s="582" t="s">
        <v>1261</v>
      </c>
      <c r="AD229" s="593" t="s">
        <v>89</v>
      </c>
      <c r="AE229" s="611"/>
      <c r="AF229" s="611"/>
      <c r="AG229" s="595"/>
      <c r="AH229" s="613"/>
      <c r="AI229" s="622"/>
      <c r="AJ229" s="592">
        <f t="shared" si="163"/>
        <v>36</v>
      </c>
      <c r="AK229" s="621"/>
      <c r="AL229" s="622"/>
      <c r="AM229" s="612"/>
      <c r="AN229" s="598">
        <f t="shared" si="164"/>
        <v>36</v>
      </c>
      <c r="AO229" s="621"/>
      <c r="AP229" s="622"/>
      <c r="AQ229" s="622"/>
      <c r="AR229" s="592"/>
      <c r="AS229" s="622"/>
      <c r="AT229" s="622"/>
      <c r="AU229" s="621">
        <f t="shared" si="165"/>
        <v>36</v>
      </c>
      <c r="AV229" s="618"/>
      <c r="AW229" s="592">
        <f t="shared" si="166"/>
        <v>36</v>
      </c>
      <c r="AX229" s="621"/>
      <c r="AY229" s="637"/>
      <c r="AZ229" s="618"/>
      <c r="BA229" s="618"/>
      <c r="BB229" s="618"/>
      <c r="BC229" s="621"/>
      <c r="BD229" s="621"/>
      <c r="BE229" s="623"/>
      <c r="BF229" s="602" t="s">
        <v>90</v>
      </c>
      <c r="BG229" s="603"/>
      <c r="BH229" s="604"/>
      <c r="BI229" s="633"/>
      <c r="BJ229" s="602">
        <f>I229</f>
        <v>36</v>
      </c>
      <c r="BK229" s="633"/>
      <c r="BL229" s="633"/>
      <c r="BM229" s="633"/>
      <c r="BN229" s="650"/>
      <c r="BO229" s="650"/>
      <c r="BP229" s="650"/>
      <c r="BQ229" s="650"/>
      <c r="BR229" s="650"/>
      <c r="BS229" s="650"/>
      <c r="BT229" s="607">
        <f t="shared" ref="BT222:BT292" si="169">SUM(BH229:BS229)</f>
        <v>36</v>
      </c>
      <c r="BU229" s="608">
        <f t="shared" ref="BU222:BU292" si="170">I229-BT229</f>
        <v>0</v>
      </c>
      <c r="BV229" s="517"/>
      <c r="BW229" s="491"/>
      <c r="XEO229" s="651"/>
      <c r="XEP229" s="652"/>
      <c r="XEQ229" s="653"/>
      <c r="XER229" s="654"/>
      <c r="XES229" s="655"/>
      <c r="XET229" s="654"/>
      <c r="XEU229" s="656"/>
      <c r="XEV229" s="656"/>
      <c r="XEW229" s="657"/>
      <c r="XEX229" s="658"/>
      <c r="XEY229" s="658"/>
      <c r="XEZ229" s="658"/>
      <c r="XFA229" s="658"/>
      <c r="XFB229" s="659"/>
      <c r="XFC229" s="659"/>
      <c r="XFD229" s="660"/>
    </row>
    <row r="230" s="490" customFormat="1" ht="33" customHeight="1" spans="1:75 16369:16384">
      <c r="A230" s="577">
        <v>45821</v>
      </c>
      <c r="B230" s="581" t="s">
        <v>1276</v>
      </c>
      <c r="C230" s="579" t="s">
        <v>359</v>
      </c>
      <c r="D230" s="580">
        <v>4500169926</v>
      </c>
      <c r="E230" s="616" t="s">
        <v>1279</v>
      </c>
      <c r="F230" s="580" t="s">
        <v>1280</v>
      </c>
      <c r="G230" s="582" t="s">
        <v>280</v>
      </c>
      <c r="H230" s="578" t="s">
        <v>281</v>
      </c>
      <c r="I230" s="583">
        <v>44</v>
      </c>
      <c r="J230" s="583">
        <v>0</v>
      </c>
      <c r="K230" s="583">
        <v>4</v>
      </c>
      <c r="L230" s="584">
        <f t="shared" si="167"/>
        <v>11</v>
      </c>
      <c r="M230" s="585">
        <v>45856</v>
      </c>
      <c r="N230" s="585">
        <v>45852</v>
      </c>
      <c r="O230" s="586"/>
      <c r="P230" s="586" t="s">
        <v>83</v>
      </c>
      <c r="Q230" s="587" t="s">
        <v>1223</v>
      </c>
      <c r="R230" s="586" t="s">
        <v>1258</v>
      </c>
      <c r="S230" s="586"/>
      <c r="T230" s="586"/>
      <c r="U230" s="586" t="s">
        <v>86</v>
      </c>
      <c r="V230" s="586" t="s">
        <v>1259</v>
      </c>
      <c r="W230" s="586"/>
      <c r="X230" s="588" t="s">
        <v>1271</v>
      </c>
      <c r="Y230" s="641" t="s">
        <v>287</v>
      </c>
      <c r="Z230" s="590">
        <v>6.1693</v>
      </c>
      <c r="AA230" s="591">
        <f t="shared" si="168"/>
        <v>271.4492</v>
      </c>
      <c r="AB230" s="619"/>
      <c r="AC230" s="582" t="s">
        <v>1261</v>
      </c>
      <c r="AD230" s="593" t="s">
        <v>89</v>
      </c>
      <c r="AE230" s="611"/>
      <c r="AF230" s="611"/>
      <c r="AG230" s="595"/>
      <c r="AH230" s="613"/>
      <c r="AI230" s="622"/>
      <c r="AJ230" s="592">
        <f t="shared" ref="AJ230:AJ239" si="171">I230</f>
        <v>44</v>
      </c>
      <c r="AK230" s="621"/>
      <c r="AL230" s="622"/>
      <c r="AM230" s="612"/>
      <c r="AN230" s="598">
        <f t="shared" ref="AN230:AN293" si="172">I230</f>
        <v>44</v>
      </c>
      <c r="AO230" s="621"/>
      <c r="AP230" s="622"/>
      <c r="AQ230" s="622"/>
      <c r="AR230" s="592"/>
      <c r="AS230" s="622"/>
      <c r="AT230" s="622"/>
      <c r="AU230" s="621">
        <f t="shared" ref="AU230:AU239" si="173">I230</f>
        <v>44</v>
      </c>
      <c r="AV230" s="618"/>
      <c r="AW230" s="592">
        <f t="shared" ref="AW230:AW293" si="174">I230</f>
        <v>44</v>
      </c>
      <c r="AX230" s="621"/>
      <c r="AY230" s="637"/>
      <c r="AZ230" s="618"/>
      <c r="BA230" s="618"/>
      <c r="BB230" s="618"/>
      <c r="BC230" s="621"/>
      <c r="BD230" s="621"/>
      <c r="BE230" s="623"/>
      <c r="BF230" s="602" t="s">
        <v>90</v>
      </c>
      <c r="BG230" s="603"/>
      <c r="BH230" s="604"/>
      <c r="BI230" s="633"/>
      <c r="BJ230" s="602">
        <f t="shared" ref="BJ230:BJ238" si="175">I230</f>
        <v>44</v>
      </c>
      <c r="BK230" s="633"/>
      <c r="BL230" s="633"/>
      <c r="BM230" s="633"/>
      <c r="BN230" s="650"/>
      <c r="BO230" s="650"/>
      <c r="BP230" s="650"/>
      <c r="BQ230" s="650"/>
      <c r="BR230" s="650"/>
      <c r="BS230" s="650"/>
      <c r="BT230" s="607">
        <f t="shared" si="169"/>
        <v>44</v>
      </c>
      <c r="BU230" s="608">
        <f t="shared" si="170"/>
        <v>0</v>
      </c>
      <c r="BV230" s="517"/>
      <c r="BW230" s="491"/>
      <c r="XEO230" s="651"/>
      <c r="XEP230" s="652"/>
      <c r="XEQ230" s="653"/>
      <c r="XER230" s="654"/>
      <c r="XES230" s="655"/>
      <c r="XET230" s="654"/>
      <c r="XEU230" s="656"/>
      <c r="XEV230" s="656"/>
      <c r="XEW230" s="657"/>
      <c r="XEX230" s="658"/>
      <c r="XEY230" s="658"/>
      <c r="XEZ230" s="658"/>
      <c r="XFA230" s="658"/>
      <c r="XFB230" s="659"/>
      <c r="XFC230" s="659"/>
      <c r="XFD230" s="660"/>
    </row>
    <row r="231" s="490" customFormat="1" ht="33" customHeight="1" spans="1:75 16369:16384">
      <c r="A231" s="577">
        <v>45821</v>
      </c>
      <c r="B231" s="581" t="s">
        <v>1276</v>
      </c>
      <c r="C231" s="579" t="s">
        <v>359</v>
      </c>
      <c r="D231" s="580">
        <v>4500169926</v>
      </c>
      <c r="E231" s="616" t="s">
        <v>1281</v>
      </c>
      <c r="F231" s="580" t="s">
        <v>1282</v>
      </c>
      <c r="G231" s="582" t="s">
        <v>280</v>
      </c>
      <c r="H231" s="578" t="s">
        <v>281</v>
      </c>
      <c r="I231" s="583">
        <v>12</v>
      </c>
      <c r="J231" s="583">
        <v>0</v>
      </c>
      <c r="K231" s="583">
        <v>4</v>
      </c>
      <c r="L231" s="584">
        <f t="shared" si="167"/>
        <v>3</v>
      </c>
      <c r="M231" s="585">
        <v>45856</v>
      </c>
      <c r="N231" s="585">
        <v>45852</v>
      </c>
      <c r="O231" s="586"/>
      <c r="P231" s="586" t="s">
        <v>83</v>
      </c>
      <c r="Q231" s="587" t="s">
        <v>1223</v>
      </c>
      <c r="R231" s="586" t="s">
        <v>1258</v>
      </c>
      <c r="S231" s="586"/>
      <c r="T231" s="586"/>
      <c r="U231" s="586" t="s">
        <v>86</v>
      </c>
      <c r="V231" s="586" t="s">
        <v>1259</v>
      </c>
      <c r="W231" s="586"/>
      <c r="X231" s="588" t="s">
        <v>1271</v>
      </c>
      <c r="Y231" s="641" t="s">
        <v>287</v>
      </c>
      <c r="Z231" s="590">
        <v>6.1693</v>
      </c>
      <c r="AA231" s="591">
        <f t="shared" si="168"/>
        <v>74.0316</v>
      </c>
      <c r="AB231" s="619"/>
      <c r="AC231" s="582" t="s">
        <v>1261</v>
      </c>
      <c r="AD231" s="593" t="s">
        <v>89</v>
      </c>
      <c r="AE231" s="611"/>
      <c r="AF231" s="611"/>
      <c r="AG231" s="595"/>
      <c r="AH231" s="613"/>
      <c r="AI231" s="622"/>
      <c r="AJ231" s="592">
        <f t="shared" si="171"/>
        <v>12</v>
      </c>
      <c r="AK231" s="621"/>
      <c r="AL231" s="622"/>
      <c r="AM231" s="612"/>
      <c r="AN231" s="598">
        <f t="shared" si="172"/>
        <v>12</v>
      </c>
      <c r="AO231" s="621"/>
      <c r="AP231" s="622"/>
      <c r="AQ231" s="622"/>
      <c r="AR231" s="592"/>
      <c r="AS231" s="622"/>
      <c r="AT231" s="622"/>
      <c r="AU231" s="621">
        <f t="shared" si="173"/>
        <v>12</v>
      </c>
      <c r="AV231" s="618"/>
      <c r="AW231" s="592">
        <f t="shared" si="174"/>
        <v>12</v>
      </c>
      <c r="AX231" s="621"/>
      <c r="AY231" s="637"/>
      <c r="AZ231" s="618"/>
      <c r="BA231" s="618"/>
      <c r="BB231" s="618"/>
      <c r="BC231" s="621"/>
      <c r="BD231" s="621"/>
      <c r="BE231" s="623"/>
      <c r="BF231" s="602" t="s">
        <v>90</v>
      </c>
      <c r="BG231" s="603"/>
      <c r="BH231" s="604"/>
      <c r="BI231" s="633"/>
      <c r="BJ231" s="602">
        <f t="shared" si="175"/>
        <v>12</v>
      </c>
      <c r="BK231" s="633"/>
      <c r="BL231" s="633"/>
      <c r="BM231" s="633"/>
      <c r="BN231" s="650"/>
      <c r="BO231" s="650"/>
      <c r="BP231" s="650"/>
      <c r="BQ231" s="650"/>
      <c r="BR231" s="650"/>
      <c r="BS231" s="650"/>
      <c r="BT231" s="607">
        <f t="shared" si="169"/>
        <v>12</v>
      </c>
      <c r="BU231" s="608">
        <f t="shared" si="170"/>
        <v>0</v>
      </c>
      <c r="BV231" s="517"/>
      <c r="BW231" s="491"/>
      <c r="XEO231" s="651"/>
      <c r="XEP231" s="652"/>
      <c r="XEQ231" s="653"/>
      <c r="XER231" s="654"/>
      <c r="XES231" s="655"/>
      <c r="XET231" s="654"/>
      <c r="XEU231" s="656"/>
      <c r="XEV231" s="656"/>
      <c r="XEW231" s="657"/>
      <c r="XEX231" s="658"/>
      <c r="XEY231" s="658"/>
      <c r="XEZ231" s="658"/>
      <c r="XFA231" s="658"/>
      <c r="XFB231" s="659"/>
      <c r="XFC231" s="659"/>
      <c r="XFD231" s="660"/>
    </row>
    <row r="232" s="490" customFormat="1" ht="33" customHeight="1" spans="1:75 16369:16384">
      <c r="A232" s="577">
        <v>45821</v>
      </c>
      <c r="B232" s="581" t="s">
        <v>1276</v>
      </c>
      <c r="C232" s="579" t="s">
        <v>359</v>
      </c>
      <c r="D232" s="580">
        <v>4500169926</v>
      </c>
      <c r="E232" s="616" t="s">
        <v>1283</v>
      </c>
      <c r="F232" s="580" t="s">
        <v>1284</v>
      </c>
      <c r="G232" s="582" t="s">
        <v>280</v>
      </c>
      <c r="H232" s="578" t="s">
        <v>281</v>
      </c>
      <c r="I232" s="583">
        <v>52</v>
      </c>
      <c r="J232" s="583">
        <v>0</v>
      </c>
      <c r="K232" s="583">
        <v>4</v>
      </c>
      <c r="L232" s="584">
        <f t="shared" ref="L232:L238" si="176">I232/K232</f>
        <v>13</v>
      </c>
      <c r="M232" s="585">
        <v>45856</v>
      </c>
      <c r="N232" s="585">
        <v>45852</v>
      </c>
      <c r="O232" s="586"/>
      <c r="P232" s="586" t="s">
        <v>83</v>
      </c>
      <c r="Q232" s="587" t="s">
        <v>1223</v>
      </c>
      <c r="R232" s="586" t="s">
        <v>1258</v>
      </c>
      <c r="S232" s="586"/>
      <c r="T232" s="586"/>
      <c r="U232" s="586" t="s">
        <v>86</v>
      </c>
      <c r="V232" s="586" t="s">
        <v>1259</v>
      </c>
      <c r="W232" s="586"/>
      <c r="X232" s="588" t="s">
        <v>1271</v>
      </c>
      <c r="Y232" s="641" t="s">
        <v>287</v>
      </c>
      <c r="Z232" s="590">
        <v>6.1693</v>
      </c>
      <c r="AA232" s="591">
        <f t="shared" si="168"/>
        <v>320.8036</v>
      </c>
      <c r="AB232" s="619"/>
      <c r="AC232" s="582" t="s">
        <v>1261</v>
      </c>
      <c r="AD232" s="593" t="s">
        <v>89</v>
      </c>
      <c r="AE232" s="611"/>
      <c r="AF232" s="611"/>
      <c r="AG232" s="595"/>
      <c r="AH232" s="613"/>
      <c r="AI232" s="622"/>
      <c r="AJ232" s="592">
        <f t="shared" si="171"/>
        <v>52</v>
      </c>
      <c r="AK232" s="621"/>
      <c r="AL232" s="622"/>
      <c r="AM232" s="612"/>
      <c r="AN232" s="598">
        <f t="shared" si="172"/>
        <v>52</v>
      </c>
      <c r="AO232" s="621"/>
      <c r="AP232" s="622"/>
      <c r="AQ232" s="622"/>
      <c r="AR232" s="592"/>
      <c r="AS232" s="622"/>
      <c r="AT232" s="622"/>
      <c r="AU232" s="621">
        <f t="shared" si="173"/>
        <v>52</v>
      </c>
      <c r="AV232" s="618"/>
      <c r="AW232" s="592">
        <f t="shared" si="174"/>
        <v>52</v>
      </c>
      <c r="AX232" s="621"/>
      <c r="AY232" s="637"/>
      <c r="AZ232" s="618"/>
      <c r="BA232" s="618"/>
      <c r="BB232" s="618"/>
      <c r="BC232" s="621"/>
      <c r="BD232" s="621"/>
      <c r="BE232" s="623"/>
      <c r="BF232" s="602" t="s">
        <v>90</v>
      </c>
      <c r="BG232" s="603"/>
      <c r="BH232" s="604"/>
      <c r="BI232" s="633"/>
      <c r="BJ232" s="602">
        <f t="shared" si="175"/>
        <v>52</v>
      </c>
      <c r="BK232" s="633"/>
      <c r="BL232" s="633"/>
      <c r="BM232" s="633"/>
      <c r="BN232" s="650"/>
      <c r="BO232" s="650"/>
      <c r="BP232" s="650"/>
      <c r="BQ232" s="650"/>
      <c r="BR232" s="650"/>
      <c r="BS232" s="650"/>
      <c r="BT232" s="607">
        <f t="shared" si="169"/>
        <v>52</v>
      </c>
      <c r="BU232" s="608">
        <f t="shared" si="170"/>
        <v>0</v>
      </c>
      <c r="BV232" s="517"/>
      <c r="BW232" s="491"/>
      <c r="XEO232" s="651"/>
      <c r="XEP232" s="652"/>
      <c r="XEQ232" s="653"/>
      <c r="XER232" s="654"/>
      <c r="XES232" s="655"/>
      <c r="XET232" s="654"/>
      <c r="XEU232" s="656"/>
      <c r="XEV232" s="656"/>
      <c r="XEW232" s="657"/>
      <c r="XEX232" s="658"/>
      <c r="XEY232" s="658"/>
      <c r="XEZ232" s="658"/>
      <c r="XFA232" s="658"/>
      <c r="XFB232" s="659"/>
      <c r="XFC232" s="659"/>
      <c r="XFD232" s="660"/>
    </row>
    <row r="233" s="490" customFormat="1" ht="33" customHeight="1" spans="1:75 16369:16384">
      <c r="A233" s="577">
        <v>45821</v>
      </c>
      <c r="B233" s="581" t="s">
        <v>1276</v>
      </c>
      <c r="C233" s="579" t="s">
        <v>359</v>
      </c>
      <c r="D233" s="580">
        <v>4500169926</v>
      </c>
      <c r="E233" s="616" t="s">
        <v>1285</v>
      </c>
      <c r="F233" s="580" t="s">
        <v>1286</v>
      </c>
      <c r="G233" s="582" t="s">
        <v>280</v>
      </c>
      <c r="H233" s="578" t="s">
        <v>281</v>
      </c>
      <c r="I233" s="583">
        <v>8</v>
      </c>
      <c r="J233" s="583">
        <v>0</v>
      </c>
      <c r="K233" s="583">
        <v>4</v>
      </c>
      <c r="L233" s="584">
        <f t="shared" si="176"/>
        <v>2</v>
      </c>
      <c r="M233" s="585">
        <v>45856</v>
      </c>
      <c r="N233" s="585">
        <v>45852</v>
      </c>
      <c r="O233" s="586"/>
      <c r="P233" s="586" t="s">
        <v>83</v>
      </c>
      <c r="Q233" s="587" t="s">
        <v>1223</v>
      </c>
      <c r="R233" s="586" t="s">
        <v>1258</v>
      </c>
      <c r="S233" s="586"/>
      <c r="T233" s="586"/>
      <c r="U233" s="586" t="s">
        <v>86</v>
      </c>
      <c r="V233" s="586" t="s">
        <v>1259</v>
      </c>
      <c r="W233" s="586"/>
      <c r="X233" s="588" t="s">
        <v>1271</v>
      </c>
      <c r="Y233" s="641" t="s">
        <v>287</v>
      </c>
      <c r="Z233" s="590">
        <v>6.1693</v>
      </c>
      <c r="AA233" s="591">
        <f t="shared" si="168"/>
        <v>49.3544</v>
      </c>
      <c r="AB233" s="619"/>
      <c r="AC233" s="582" t="s">
        <v>1261</v>
      </c>
      <c r="AD233" s="593" t="s">
        <v>89</v>
      </c>
      <c r="AE233" s="611"/>
      <c r="AF233" s="611"/>
      <c r="AG233" s="595"/>
      <c r="AH233" s="613"/>
      <c r="AI233" s="622"/>
      <c r="AJ233" s="592">
        <f t="shared" si="171"/>
        <v>8</v>
      </c>
      <c r="AK233" s="621"/>
      <c r="AL233" s="622"/>
      <c r="AM233" s="612"/>
      <c r="AN233" s="598">
        <f t="shared" si="172"/>
        <v>8</v>
      </c>
      <c r="AO233" s="621"/>
      <c r="AP233" s="622"/>
      <c r="AQ233" s="622"/>
      <c r="AR233" s="592"/>
      <c r="AS233" s="622"/>
      <c r="AT233" s="622"/>
      <c r="AU233" s="621">
        <f t="shared" si="173"/>
        <v>8</v>
      </c>
      <c r="AV233" s="618"/>
      <c r="AW233" s="592">
        <f t="shared" si="174"/>
        <v>8</v>
      </c>
      <c r="AX233" s="621"/>
      <c r="AY233" s="637"/>
      <c r="AZ233" s="618"/>
      <c r="BA233" s="618"/>
      <c r="BB233" s="618"/>
      <c r="BC233" s="621"/>
      <c r="BD233" s="621"/>
      <c r="BE233" s="623"/>
      <c r="BF233" s="602" t="s">
        <v>90</v>
      </c>
      <c r="BG233" s="603"/>
      <c r="BH233" s="604"/>
      <c r="BI233" s="633"/>
      <c r="BJ233" s="602">
        <f t="shared" si="175"/>
        <v>8</v>
      </c>
      <c r="BK233" s="633"/>
      <c r="BL233" s="633"/>
      <c r="BM233" s="633"/>
      <c r="BN233" s="650"/>
      <c r="BO233" s="650"/>
      <c r="BP233" s="650"/>
      <c r="BQ233" s="650"/>
      <c r="BR233" s="650"/>
      <c r="BS233" s="650"/>
      <c r="BT233" s="607">
        <f t="shared" si="169"/>
        <v>8</v>
      </c>
      <c r="BU233" s="608">
        <f t="shared" si="170"/>
        <v>0</v>
      </c>
      <c r="BV233" s="517"/>
      <c r="BW233" s="491"/>
      <c r="XEO233" s="651"/>
      <c r="XEP233" s="652"/>
      <c r="XEQ233" s="653"/>
      <c r="XER233" s="654"/>
      <c r="XES233" s="655"/>
      <c r="XET233" s="654"/>
      <c r="XEU233" s="656"/>
      <c r="XEV233" s="656"/>
      <c r="XEW233" s="657"/>
      <c r="XEX233" s="658"/>
      <c r="XEY233" s="658"/>
      <c r="XEZ233" s="658"/>
      <c r="XFA233" s="658"/>
      <c r="XFB233" s="659"/>
      <c r="XFC233" s="659"/>
      <c r="XFD233" s="660"/>
    </row>
    <row r="234" s="490" customFormat="1" ht="33" customHeight="1" spans="1:75 16369:16384">
      <c r="A234" s="577">
        <v>45821</v>
      </c>
      <c r="B234" s="581" t="s">
        <v>1276</v>
      </c>
      <c r="C234" s="579" t="s">
        <v>359</v>
      </c>
      <c r="D234" s="580">
        <v>4500169926</v>
      </c>
      <c r="E234" s="616" t="s">
        <v>1287</v>
      </c>
      <c r="F234" s="580" t="s">
        <v>1288</v>
      </c>
      <c r="G234" s="582" t="s">
        <v>280</v>
      </c>
      <c r="H234" s="578" t="s">
        <v>281</v>
      </c>
      <c r="I234" s="583">
        <v>8</v>
      </c>
      <c r="J234" s="583">
        <v>0</v>
      </c>
      <c r="K234" s="583">
        <v>4</v>
      </c>
      <c r="L234" s="584">
        <f t="shared" si="176"/>
        <v>2</v>
      </c>
      <c r="M234" s="585">
        <v>45856</v>
      </c>
      <c r="N234" s="585">
        <v>45852</v>
      </c>
      <c r="O234" s="586"/>
      <c r="P234" s="586" t="s">
        <v>83</v>
      </c>
      <c r="Q234" s="587" t="s">
        <v>1223</v>
      </c>
      <c r="R234" s="586" t="s">
        <v>1258</v>
      </c>
      <c r="S234" s="586"/>
      <c r="T234" s="586"/>
      <c r="U234" s="586" t="s">
        <v>86</v>
      </c>
      <c r="V234" s="586" t="s">
        <v>1259</v>
      </c>
      <c r="W234" s="586"/>
      <c r="X234" s="588" t="s">
        <v>1271</v>
      </c>
      <c r="Y234" s="641" t="s">
        <v>287</v>
      </c>
      <c r="Z234" s="590">
        <v>6.1693</v>
      </c>
      <c r="AA234" s="591">
        <f t="shared" si="168"/>
        <v>49.3544</v>
      </c>
      <c r="AB234" s="619"/>
      <c r="AC234" s="582" t="s">
        <v>1261</v>
      </c>
      <c r="AD234" s="593" t="s">
        <v>89</v>
      </c>
      <c r="AE234" s="611"/>
      <c r="AF234" s="611"/>
      <c r="AG234" s="595"/>
      <c r="AH234" s="613"/>
      <c r="AI234" s="622"/>
      <c r="AJ234" s="592">
        <f t="shared" si="171"/>
        <v>8</v>
      </c>
      <c r="AK234" s="621"/>
      <c r="AL234" s="622"/>
      <c r="AM234" s="612"/>
      <c r="AN234" s="598">
        <f t="shared" si="172"/>
        <v>8</v>
      </c>
      <c r="AO234" s="621"/>
      <c r="AP234" s="622"/>
      <c r="AQ234" s="622"/>
      <c r="AR234" s="592"/>
      <c r="AS234" s="622"/>
      <c r="AT234" s="622"/>
      <c r="AU234" s="621">
        <f t="shared" si="173"/>
        <v>8</v>
      </c>
      <c r="AV234" s="618"/>
      <c r="AW234" s="592">
        <f t="shared" si="174"/>
        <v>8</v>
      </c>
      <c r="AX234" s="621"/>
      <c r="AY234" s="637"/>
      <c r="AZ234" s="618"/>
      <c r="BA234" s="618"/>
      <c r="BB234" s="618"/>
      <c r="BC234" s="621"/>
      <c r="BD234" s="621"/>
      <c r="BE234" s="623"/>
      <c r="BF234" s="602" t="s">
        <v>90</v>
      </c>
      <c r="BG234" s="603"/>
      <c r="BH234" s="604"/>
      <c r="BI234" s="633"/>
      <c r="BJ234" s="602">
        <f t="shared" si="175"/>
        <v>8</v>
      </c>
      <c r="BK234" s="633"/>
      <c r="BL234" s="633"/>
      <c r="BM234" s="633"/>
      <c r="BN234" s="650"/>
      <c r="BO234" s="650"/>
      <c r="BP234" s="650"/>
      <c r="BQ234" s="650"/>
      <c r="BR234" s="650"/>
      <c r="BS234" s="650"/>
      <c r="BT234" s="607">
        <f t="shared" si="169"/>
        <v>8</v>
      </c>
      <c r="BU234" s="608">
        <f t="shared" si="170"/>
        <v>0</v>
      </c>
      <c r="BV234" s="517"/>
      <c r="BW234" s="491"/>
      <c r="XEO234" s="651"/>
      <c r="XEP234" s="652"/>
      <c r="XEQ234" s="653"/>
      <c r="XER234" s="654"/>
      <c r="XES234" s="655"/>
      <c r="XET234" s="654"/>
      <c r="XEU234" s="656"/>
      <c r="XEV234" s="656"/>
      <c r="XEW234" s="657"/>
      <c r="XEX234" s="658"/>
      <c r="XEY234" s="658"/>
      <c r="XEZ234" s="658"/>
      <c r="XFA234" s="658"/>
      <c r="XFB234" s="659"/>
      <c r="XFC234" s="659"/>
      <c r="XFD234" s="660"/>
    </row>
    <row r="235" s="490" customFormat="1" ht="33" customHeight="1" spans="1:75 16369:16384">
      <c r="A235" s="577">
        <v>45821</v>
      </c>
      <c r="B235" s="581" t="s">
        <v>1276</v>
      </c>
      <c r="C235" s="579" t="s">
        <v>359</v>
      </c>
      <c r="D235" s="580">
        <v>4500169926</v>
      </c>
      <c r="E235" s="616" t="s">
        <v>1289</v>
      </c>
      <c r="F235" s="580" t="s">
        <v>1290</v>
      </c>
      <c r="G235" s="582" t="s">
        <v>280</v>
      </c>
      <c r="H235" s="578" t="s">
        <v>281</v>
      </c>
      <c r="I235" s="583">
        <v>16</v>
      </c>
      <c r="J235" s="583">
        <v>0</v>
      </c>
      <c r="K235" s="583">
        <v>4</v>
      </c>
      <c r="L235" s="584">
        <f t="shared" si="176"/>
        <v>4</v>
      </c>
      <c r="M235" s="585">
        <v>45856</v>
      </c>
      <c r="N235" s="585">
        <v>45852</v>
      </c>
      <c r="O235" s="586"/>
      <c r="P235" s="586" t="s">
        <v>83</v>
      </c>
      <c r="Q235" s="587" t="s">
        <v>1223</v>
      </c>
      <c r="R235" s="586" t="s">
        <v>1258</v>
      </c>
      <c r="S235" s="586"/>
      <c r="T235" s="586"/>
      <c r="U235" s="586" t="s">
        <v>86</v>
      </c>
      <c r="V235" s="586" t="s">
        <v>1259</v>
      </c>
      <c r="W235" s="586"/>
      <c r="X235" s="588" t="s">
        <v>1271</v>
      </c>
      <c r="Y235" s="641" t="s">
        <v>287</v>
      </c>
      <c r="Z235" s="590">
        <v>6.1693</v>
      </c>
      <c r="AA235" s="591">
        <f t="shared" si="168"/>
        <v>98.7088</v>
      </c>
      <c r="AB235" s="619"/>
      <c r="AC235" s="582" t="s">
        <v>1261</v>
      </c>
      <c r="AD235" s="593" t="s">
        <v>89</v>
      </c>
      <c r="AE235" s="611"/>
      <c r="AF235" s="611"/>
      <c r="AG235" s="595"/>
      <c r="AH235" s="613"/>
      <c r="AI235" s="622"/>
      <c r="AJ235" s="592">
        <f t="shared" si="171"/>
        <v>16</v>
      </c>
      <c r="AK235" s="621"/>
      <c r="AL235" s="622"/>
      <c r="AM235" s="612"/>
      <c r="AN235" s="598">
        <f t="shared" si="172"/>
        <v>16</v>
      </c>
      <c r="AO235" s="621"/>
      <c r="AP235" s="622"/>
      <c r="AQ235" s="622"/>
      <c r="AR235" s="592"/>
      <c r="AS235" s="622"/>
      <c r="AT235" s="622"/>
      <c r="AU235" s="621">
        <f t="shared" si="173"/>
        <v>16</v>
      </c>
      <c r="AV235" s="618"/>
      <c r="AW235" s="592">
        <f t="shared" si="174"/>
        <v>16</v>
      </c>
      <c r="AX235" s="621"/>
      <c r="AY235" s="637"/>
      <c r="AZ235" s="618"/>
      <c r="BA235" s="618"/>
      <c r="BB235" s="618"/>
      <c r="BC235" s="621"/>
      <c r="BD235" s="621"/>
      <c r="BE235" s="623"/>
      <c r="BF235" s="602" t="s">
        <v>90</v>
      </c>
      <c r="BG235" s="603"/>
      <c r="BH235" s="604"/>
      <c r="BI235" s="633"/>
      <c r="BJ235" s="602">
        <f t="shared" si="175"/>
        <v>16</v>
      </c>
      <c r="BK235" s="633"/>
      <c r="BL235" s="633"/>
      <c r="BM235" s="633"/>
      <c r="BN235" s="650"/>
      <c r="BO235" s="650"/>
      <c r="BP235" s="650"/>
      <c r="BQ235" s="650"/>
      <c r="BR235" s="650"/>
      <c r="BS235" s="650"/>
      <c r="BT235" s="607">
        <f t="shared" si="169"/>
        <v>16</v>
      </c>
      <c r="BU235" s="608">
        <f t="shared" si="170"/>
        <v>0</v>
      </c>
      <c r="BV235" s="517"/>
      <c r="BW235" s="491"/>
      <c r="XEO235" s="651"/>
      <c r="XEP235" s="652"/>
      <c r="XEQ235" s="653"/>
      <c r="XER235" s="654"/>
      <c r="XES235" s="655"/>
      <c r="XET235" s="654"/>
      <c r="XEU235" s="656"/>
      <c r="XEV235" s="656"/>
      <c r="XEW235" s="657"/>
      <c r="XEX235" s="658"/>
      <c r="XEY235" s="658"/>
      <c r="XEZ235" s="658"/>
      <c r="XFA235" s="658"/>
      <c r="XFB235" s="659"/>
      <c r="XFC235" s="659"/>
      <c r="XFD235" s="660"/>
    </row>
    <row r="236" s="490" customFormat="1" ht="33" customHeight="1" spans="1:75 16369:16384">
      <c r="A236" s="577">
        <v>45821</v>
      </c>
      <c r="B236" s="581" t="s">
        <v>1276</v>
      </c>
      <c r="C236" s="579" t="s">
        <v>359</v>
      </c>
      <c r="D236" s="580">
        <v>4500169926</v>
      </c>
      <c r="E236" s="616" t="s">
        <v>1291</v>
      </c>
      <c r="F236" s="580" t="s">
        <v>1292</v>
      </c>
      <c r="G236" s="582" t="s">
        <v>280</v>
      </c>
      <c r="H236" s="578" t="s">
        <v>281</v>
      </c>
      <c r="I236" s="583">
        <v>16</v>
      </c>
      <c r="J236" s="583">
        <v>0</v>
      </c>
      <c r="K236" s="583">
        <v>4</v>
      </c>
      <c r="L236" s="584">
        <f t="shared" si="176"/>
        <v>4</v>
      </c>
      <c r="M236" s="585">
        <v>45856</v>
      </c>
      <c r="N236" s="585">
        <v>45852</v>
      </c>
      <c r="O236" s="586"/>
      <c r="P236" s="586" t="s">
        <v>83</v>
      </c>
      <c r="Q236" s="587" t="s">
        <v>1223</v>
      </c>
      <c r="R236" s="586" t="s">
        <v>1258</v>
      </c>
      <c r="S236" s="586"/>
      <c r="T236" s="586"/>
      <c r="U236" s="586" t="s">
        <v>86</v>
      </c>
      <c r="V236" s="586" t="s">
        <v>1259</v>
      </c>
      <c r="W236" s="586"/>
      <c r="X236" s="588" t="s">
        <v>1271</v>
      </c>
      <c r="Y236" s="641" t="s">
        <v>287</v>
      </c>
      <c r="Z236" s="590">
        <v>6.1693</v>
      </c>
      <c r="AA236" s="591">
        <f t="shared" si="168"/>
        <v>98.7088</v>
      </c>
      <c r="AB236" s="619"/>
      <c r="AC236" s="582" t="s">
        <v>1261</v>
      </c>
      <c r="AD236" s="593" t="s">
        <v>89</v>
      </c>
      <c r="AE236" s="611"/>
      <c r="AF236" s="611"/>
      <c r="AG236" s="595"/>
      <c r="AH236" s="613"/>
      <c r="AI236" s="622"/>
      <c r="AJ236" s="592">
        <f t="shared" si="171"/>
        <v>16</v>
      </c>
      <c r="AK236" s="621"/>
      <c r="AL236" s="622"/>
      <c r="AM236" s="612"/>
      <c r="AN236" s="598">
        <f t="shared" si="172"/>
        <v>16</v>
      </c>
      <c r="AO236" s="621"/>
      <c r="AP236" s="622"/>
      <c r="AQ236" s="622"/>
      <c r="AR236" s="592"/>
      <c r="AS236" s="622"/>
      <c r="AT236" s="622"/>
      <c r="AU236" s="621">
        <f t="shared" si="173"/>
        <v>16</v>
      </c>
      <c r="AV236" s="618"/>
      <c r="AW236" s="592">
        <f t="shared" si="174"/>
        <v>16</v>
      </c>
      <c r="AX236" s="621"/>
      <c r="AY236" s="637"/>
      <c r="AZ236" s="618"/>
      <c r="BA236" s="618"/>
      <c r="BB236" s="618"/>
      <c r="BC236" s="621"/>
      <c r="BD236" s="621"/>
      <c r="BE236" s="623"/>
      <c r="BF236" s="602" t="s">
        <v>90</v>
      </c>
      <c r="BG236" s="603"/>
      <c r="BH236" s="604"/>
      <c r="BI236" s="633"/>
      <c r="BJ236" s="602">
        <f t="shared" si="175"/>
        <v>16</v>
      </c>
      <c r="BK236" s="633"/>
      <c r="BL236" s="633"/>
      <c r="BM236" s="633"/>
      <c r="BN236" s="650"/>
      <c r="BO236" s="650"/>
      <c r="BP236" s="650"/>
      <c r="BQ236" s="650"/>
      <c r="BR236" s="650"/>
      <c r="BS236" s="650"/>
      <c r="BT236" s="607">
        <f t="shared" si="169"/>
        <v>16</v>
      </c>
      <c r="BU236" s="608">
        <f t="shared" si="170"/>
        <v>0</v>
      </c>
      <c r="BV236" s="517"/>
      <c r="BW236" s="491"/>
      <c r="XEO236" s="651"/>
      <c r="XEP236" s="652"/>
      <c r="XEQ236" s="653"/>
      <c r="XER236" s="654"/>
      <c r="XES236" s="655"/>
      <c r="XET236" s="654"/>
      <c r="XEU236" s="656"/>
      <c r="XEV236" s="656"/>
      <c r="XEW236" s="657"/>
      <c r="XEX236" s="658"/>
      <c r="XEY236" s="658"/>
      <c r="XEZ236" s="658"/>
      <c r="XFA236" s="658"/>
      <c r="XFB236" s="659"/>
      <c r="XFC236" s="659"/>
      <c r="XFD236" s="660"/>
    </row>
    <row r="237" s="490" customFormat="1" ht="33" customHeight="1" spans="1:75 16369:16384">
      <c r="A237" s="577">
        <v>45821</v>
      </c>
      <c r="B237" s="581" t="s">
        <v>1276</v>
      </c>
      <c r="C237" s="579" t="s">
        <v>359</v>
      </c>
      <c r="D237" s="580">
        <v>4500169926</v>
      </c>
      <c r="E237" s="616" t="s">
        <v>1293</v>
      </c>
      <c r="F237" s="580" t="s">
        <v>1294</v>
      </c>
      <c r="G237" s="582" t="s">
        <v>280</v>
      </c>
      <c r="H237" s="578" t="s">
        <v>281</v>
      </c>
      <c r="I237" s="583">
        <v>20</v>
      </c>
      <c r="J237" s="583">
        <v>0</v>
      </c>
      <c r="K237" s="583">
        <v>4</v>
      </c>
      <c r="L237" s="584">
        <f t="shared" si="176"/>
        <v>5</v>
      </c>
      <c r="M237" s="585">
        <v>45856</v>
      </c>
      <c r="N237" s="585">
        <v>45852</v>
      </c>
      <c r="O237" s="586"/>
      <c r="P237" s="586" t="s">
        <v>83</v>
      </c>
      <c r="Q237" s="587" t="s">
        <v>1223</v>
      </c>
      <c r="R237" s="586" t="s">
        <v>1258</v>
      </c>
      <c r="S237" s="586"/>
      <c r="T237" s="586"/>
      <c r="U237" s="586" t="s">
        <v>86</v>
      </c>
      <c r="V237" s="586" t="s">
        <v>1259</v>
      </c>
      <c r="W237" s="586"/>
      <c r="X237" s="588" t="s">
        <v>1271</v>
      </c>
      <c r="Y237" s="641" t="s">
        <v>287</v>
      </c>
      <c r="Z237" s="590">
        <v>6.1693</v>
      </c>
      <c r="AA237" s="591">
        <f t="shared" si="168"/>
        <v>123.386</v>
      </c>
      <c r="AB237" s="619"/>
      <c r="AC237" s="582" t="s">
        <v>1261</v>
      </c>
      <c r="AD237" s="593" t="s">
        <v>89</v>
      </c>
      <c r="AE237" s="611"/>
      <c r="AF237" s="611"/>
      <c r="AG237" s="595"/>
      <c r="AH237" s="613"/>
      <c r="AI237" s="622"/>
      <c r="AJ237" s="592">
        <f t="shared" si="171"/>
        <v>20</v>
      </c>
      <c r="AK237" s="621"/>
      <c r="AL237" s="622"/>
      <c r="AM237" s="612"/>
      <c r="AN237" s="598">
        <f t="shared" si="172"/>
        <v>20</v>
      </c>
      <c r="AO237" s="621"/>
      <c r="AP237" s="622"/>
      <c r="AQ237" s="622"/>
      <c r="AR237" s="592"/>
      <c r="AS237" s="622"/>
      <c r="AT237" s="622"/>
      <c r="AU237" s="621">
        <f t="shared" si="173"/>
        <v>20</v>
      </c>
      <c r="AV237" s="618"/>
      <c r="AW237" s="592">
        <f t="shared" si="174"/>
        <v>20</v>
      </c>
      <c r="AX237" s="621"/>
      <c r="AY237" s="637"/>
      <c r="AZ237" s="618"/>
      <c r="BA237" s="618"/>
      <c r="BB237" s="618"/>
      <c r="BC237" s="621"/>
      <c r="BD237" s="621"/>
      <c r="BE237" s="623"/>
      <c r="BF237" s="602" t="s">
        <v>90</v>
      </c>
      <c r="BG237" s="603"/>
      <c r="BH237" s="604"/>
      <c r="BI237" s="633"/>
      <c r="BJ237" s="602">
        <f t="shared" si="175"/>
        <v>20</v>
      </c>
      <c r="BK237" s="633"/>
      <c r="BL237" s="633"/>
      <c r="BM237" s="633"/>
      <c r="BN237" s="650"/>
      <c r="BO237" s="650"/>
      <c r="BP237" s="650"/>
      <c r="BQ237" s="650"/>
      <c r="BR237" s="650"/>
      <c r="BS237" s="650"/>
      <c r="BT237" s="607">
        <f t="shared" si="169"/>
        <v>20</v>
      </c>
      <c r="BU237" s="608">
        <f t="shared" si="170"/>
        <v>0</v>
      </c>
      <c r="BV237" s="517"/>
      <c r="BW237" s="491"/>
      <c r="XEO237" s="651"/>
      <c r="XEP237" s="652"/>
      <c r="XEQ237" s="653"/>
      <c r="XER237" s="654"/>
      <c r="XES237" s="655"/>
      <c r="XET237" s="654"/>
      <c r="XEU237" s="656"/>
      <c r="XEV237" s="656"/>
      <c r="XEW237" s="657"/>
      <c r="XEX237" s="658"/>
      <c r="XEY237" s="658"/>
      <c r="XEZ237" s="658"/>
      <c r="XFA237" s="658"/>
      <c r="XFB237" s="659"/>
      <c r="XFC237" s="659"/>
      <c r="XFD237" s="660"/>
    </row>
    <row r="238" s="490" customFormat="1" ht="33" customHeight="1" spans="1:75 16369:16384">
      <c r="A238" s="577">
        <v>45821</v>
      </c>
      <c r="B238" s="581" t="s">
        <v>1276</v>
      </c>
      <c r="C238" s="579" t="s">
        <v>359</v>
      </c>
      <c r="D238" s="580">
        <v>4500169926</v>
      </c>
      <c r="E238" s="616" t="s">
        <v>1295</v>
      </c>
      <c r="F238" s="580" t="s">
        <v>1296</v>
      </c>
      <c r="G238" s="582" t="s">
        <v>280</v>
      </c>
      <c r="H238" s="578" t="s">
        <v>281</v>
      </c>
      <c r="I238" s="583">
        <v>4</v>
      </c>
      <c r="J238" s="583">
        <v>0</v>
      </c>
      <c r="K238" s="583">
        <v>4</v>
      </c>
      <c r="L238" s="584">
        <f t="shared" si="176"/>
        <v>1</v>
      </c>
      <c r="M238" s="585">
        <v>45856</v>
      </c>
      <c r="N238" s="585">
        <v>45852</v>
      </c>
      <c r="O238" s="586"/>
      <c r="P238" s="586" t="s">
        <v>83</v>
      </c>
      <c r="Q238" s="587" t="s">
        <v>1223</v>
      </c>
      <c r="R238" s="586" t="s">
        <v>1258</v>
      </c>
      <c r="S238" s="586"/>
      <c r="T238" s="586"/>
      <c r="U238" s="586" t="s">
        <v>86</v>
      </c>
      <c r="V238" s="586" t="s">
        <v>1259</v>
      </c>
      <c r="W238" s="586"/>
      <c r="X238" s="588" t="s">
        <v>1271</v>
      </c>
      <c r="Y238" s="641" t="s">
        <v>287</v>
      </c>
      <c r="Z238" s="590">
        <v>6.1693</v>
      </c>
      <c r="AA238" s="591">
        <f t="shared" si="168"/>
        <v>24.6772</v>
      </c>
      <c r="AB238" s="619"/>
      <c r="AC238" s="582" t="s">
        <v>1261</v>
      </c>
      <c r="AD238" s="593" t="s">
        <v>89</v>
      </c>
      <c r="AE238" s="611"/>
      <c r="AF238" s="611"/>
      <c r="AG238" s="595"/>
      <c r="AH238" s="613"/>
      <c r="AI238" s="622"/>
      <c r="AJ238" s="592">
        <f t="shared" si="171"/>
        <v>4</v>
      </c>
      <c r="AK238" s="621"/>
      <c r="AL238" s="622"/>
      <c r="AM238" s="612"/>
      <c r="AN238" s="598">
        <f t="shared" si="172"/>
        <v>4</v>
      </c>
      <c r="AO238" s="621"/>
      <c r="AP238" s="622"/>
      <c r="AQ238" s="622"/>
      <c r="AR238" s="592"/>
      <c r="AS238" s="622"/>
      <c r="AT238" s="622"/>
      <c r="AU238" s="621">
        <f t="shared" si="173"/>
        <v>4</v>
      </c>
      <c r="AV238" s="618"/>
      <c r="AW238" s="592">
        <f t="shared" si="174"/>
        <v>4</v>
      </c>
      <c r="AX238" s="621"/>
      <c r="AY238" s="637"/>
      <c r="AZ238" s="618"/>
      <c r="BA238" s="618"/>
      <c r="BB238" s="618"/>
      <c r="BC238" s="621"/>
      <c r="BD238" s="621"/>
      <c r="BE238" s="623"/>
      <c r="BF238" s="602" t="s">
        <v>90</v>
      </c>
      <c r="BG238" s="603"/>
      <c r="BH238" s="604"/>
      <c r="BI238" s="633"/>
      <c r="BJ238" s="602">
        <f t="shared" si="175"/>
        <v>4</v>
      </c>
      <c r="BK238" s="633"/>
      <c r="BL238" s="633"/>
      <c r="BM238" s="633"/>
      <c r="BN238" s="650"/>
      <c r="BO238" s="650"/>
      <c r="BP238" s="650"/>
      <c r="BQ238" s="650"/>
      <c r="BR238" s="650"/>
      <c r="BS238" s="650"/>
      <c r="BT238" s="607">
        <f t="shared" si="169"/>
        <v>4</v>
      </c>
      <c r="BU238" s="608">
        <f t="shared" si="170"/>
        <v>0</v>
      </c>
      <c r="BV238" s="517"/>
      <c r="BW238" s="491"/>
      <c r="XEO238" s="651"/>
      <c r="XEP238" s="652"/>
      <c r="XEQ238" s="653"/>
      <c r="XER238" s="654"/>
      <c r="XES238" s="655"/>
      <c r="XET238" s="654"/>
      <c r="XEU238" s="656"/>
      <c r="XEV238" s="656"/>
      <c r="XEW238" s="657"/>
      <c r="XEX238" s="658"/>
      <c r="XEY238" s="658"/>
      <c r="XEZ238" s="658"/>
      <c r="XFA238" s="658"/>
      <c r="XFB238" s="659"/>
      <c r="XFC238" s="659"/>
      <c r="XFD238" s="660"/>
    </row>
    <row r="239" s="490" customFormat="1" ht="33" customHeight="1" spans="1:75 16369:16384">
      <c r="A239" s="577">
        <v>45821</v>
      </c>
      <c r="B239" s="581" t="s">
        <v>1276</v>
      </c>
      <c r="C239" s="579" t="s">
        <v>359</v>
      </c>
      <c r="D239" s="580">
        <v>4500169926</v>
      </c>
      <c r="E239" s="616" t="s">
        <v>1297</v>
      </c>
      <c r="F239" s="580" t="s">
        <v>1298</v>
      </c>
      <c r="G239" s="582" t="s">
        <v>1059</v>
      </c>
      <c r="H239" s="578" t="s">
        <v>123</v>
      </c>
      <c r="I239" s="583">
        <v>36</v>
      </c>
      <c r="J239" s="583">
        <v>0</v>
      </c>
      <c r="K239" s="583">
        <v>4</v>
      </c>
      <c r="L239" s="584">
        <f t="shared" ref="L239:L254" si="177">I239/K239</f>
        <v>9</v>
      </c>
      <c r="M239" s="585">
        <v>45856</v>
      </c>
      <c r="N239" s="585">
        <v>45852</v>
      </c>
      <c r="O239" s="586" t="s">
        <v>1270</v>
      </c>
      <c r="P239" s="586" t="s">
        <v>83</v>
      </c>
      <c r="Q239" s="587" t="s">
        <v>1223</v>
      </c>
      <c r="R239" s="586" t="s">
        <v>1258</v>
      </c>
      <c r="S239" s="586"/>
      <c r="T239" s="586"/>
      <c r="U239" s="586" t="s">
        <v>86</v>
      </c>
      <c r="V239" s="586" t="s">
        <v>1259</v>
      </c>
      <c r="W239" s="586"/>
      <c r="X239" s="588" t="s">
        <v>1271</v>
      </c>
      <c r="Y239" s="641" t="s">
        <v>287</v>
      </c>
      <c r="Z239" s="590">
        <v>5.7399</v>
      </c>
      <c r="AA239" s="591">
        <f t="shared" si="168"/>
        <v>206.6364</v>
      </c>
      <c r="AB239" s="619"/>
      <c r="AC239" s="638" t="s">
        <v>1067</v>
      </c>
      <c r="AD239" s="593" t="s">
        <v>89</v>
      </c>
      <c r="AE239" s="611"/>
      <c r="AF239" s="611"/>
      <c r="AG239" s="595"/>
      <c r="AH239" s="613"/>
      <c r="AI239" s="622"/>
      <c r="AJ239" s="592">
        <f t="shared" si="171"/>
        <v>36</v>
      </c>
      <c r="AK239" s="621"/>
      <c r="AL239" s="622"/>
      <c r="AM239" s="612"/>
      <c r="AN239" s="598">
        <f t="shared" si="172"/>
        <v>36</v>
      </c>
      <c r="AO239" s="621"/>
      <c r="AP239" s="622"/>
      <c r="AQ239" s="622"/>
      <c r="AR239" s="592"/>
      <c r="AS239" s="622"/>
      <c r="AT239" s="622"/>
      <c r="AU239" s="621">
        <f t="shared" si="173"/>
        <v>36</v>
      </c>
      <c r="AV239" s="618"/>
      <c r="AW239" s="592">
        <f t="shared" si="174"/>
        <v>36</v>
      </c>
      <c r="AX239" s="621"/>
      <c r="AY239" s="637"/>
      <c r="AZ239" s="618"/>
      <c r="BA239" s="618"/>
      <c r="BB239" s="618"/>
      <c r="BC239" s="621"/>
      <c r="BD239" s="621"/>
      <c r="BE239" s="623"/>
      <c r="BF239" s="602" t="s">
        <v>90</v>
      </c>
      <c r="BG239" s="603"/>
      <c r="BH239" s="604"/>
      <c r="BI239" s="605">
        <f>I239</f>
        <v>36</v>
      </c>
      <c r="BJ239" s="602"/>
      <c r="BK239" s="602"/>
      <c r="BL239" s="602"/>
      <c r="BM239" s="602"/>
      <c r="BN239" s="650"/>
      <c r="BO239" s="650"/>
      <c r="BP239" s="650"/>
      <c r="BQ239" s="650"/>
      <c r="BR239" s="650"/>
      <c r="BS239" s="650"/>
      <c r="BT239" s="607">
        <f t="shared" si="169"/>
        <v>36</v>
      </c>
      <c r="BU239" s="608">
        <f t="shared" si="170"/>
        <v>0</v>
      </c>
      <c r="BV239" s="517"/>
      <c r="BW239" s="491"/>
      <c r="XEO239" s="651"/>
      <c r="XEP239" s="652"/>
      <c r="XEQ239" s="653"/>
      <c r="XER239" s="654"/>
      <c r="XES239" s="655"/>
      <c r="XET239" s="654"/>
      <c r="XEU239" s="656"/>
      <c r="XEV239" s="656"/>
      <c r="XEW239" s="657"/>
      <c r="XEX239" s="658"/>
      <c r="XEY239" s="658"/>
      <c r="XEZ239" s="658"/>
      <c r="XFA239" s="658"/>
      <c r="XFB239" s="659"/>
      <c r="XFC239" s="659"/>
      <c r="XFD239" s="660"/>
    </row>
    <row r="240" s="490" customFormat="1" ht="33" customHeight="1" spans="1:75 16369:16384">
      <c r="A240" s="577">
        <v>45821</v>
      </c>
      <c r="B240" s="581" t="s">
        <v>1276</v>
      </c>
      <c r="C240" s="579" t="s">
        <v>359</v>
      </c>
      <c r="D240" s="580">
        <v>4500169926</v>
      </c>
      <c r="E240" s="616" t="s">
        <v>1299</v>
      </c>
      <c r="F240" s="580" t="s">
        <v>1300</v>
      </c>
      <c r="G240" s="582" t="s">
        <v>1059</v>
      </c>
      <c r="H240" s="578" t="s">
        <v>123</v>
      </c>
      <c r="I240" s="583">
        <v>16</v>
      </c>
      <c r="J240" s="583">
        <v>0</v>
      </c>
      <c r="K240" s="583">
        <v>4</v>
      </c>
      <c r="L240" s="584">
        <f t="shared" si="177"/>
        <v>4</v>
      </c>
      <c r="M240" s="585">
        <v>45856</v>
      </c>
      <c r="N240" s="585">
        <v>45852</v>
      </c>
      <c r="O240" s="586" t="s">
        <v>1270</v>
      </c>
      <c r="P240" s="586" t="s">
        <v>83</v>
      </c>
      <c r="Q240" s="587" t="s">
        <v>1223</v>
      </c>
      <c r="R240" s="586" t="s">
        <v>1258</v>
      </c>
      <c r="S240" s="586"/>
      <c r="T240" s="586"/>
      <c r="U240" s="586" t="s">
        <v>86</v>
      </c>
      <c r="V240" s="586" t="s">
        <v>1259</v>
      </c>
      <c r="W240" s="586"/>
      <c r="X240" s="588" t="s">
        <v>1271</v>
      </c>
      <c r="Y240" s="641" t="s">
        <v>287</v>
      </c>
      <c r="Z240" s="590">
        <v>5.7399</v>
      </c>
      <c r="AA240" s="591">
        <f t="shared" si="168"/>
        <v>91.8384</v>
      </c>
      <c r="AB240" s="619"/>
      <c r="AC240" s="638" t="s">
        <v>1067</v>
      </c>
      <c r="AD240" s="593" t="s">
        <v>89</v>
      </c>
      <c r="AE240" s="611"/>
      <c r="AF240" s="611"/>
      <c r="AG240" s="595"/>
      <c r="AH240" s="613"/>
      <c r="AI240" s="622"/>
      <c r="AJ240" s="592">
        <f t="shared" ref="AJ240:AJ260" si="178">I240</f>
        <v>16</v>
      </c>
      <c r="AK240" s="621"/>
      <c r="AL240" s="622"/>
      <c r="AM240" s="612"/>
      <c r="AN240" s="598">
        <f t="shared" si="172"/>
        <v>16</v>
      </c>
      <c r="AO240" s="621"/>
      <c r="AP240" s="622"/>
      <c r="AQ240" s="622"/>
      <c r="AR240" s="592"/>
      <c r="AS240" s="622"/>
      <c r="AT240" s="622"/>
      <c r="AU240" s="621">
        <f t="shared" ref="AU240:AU260" si="179">I240</f>
        <v>16</v>
      </c>
      <c r="AV240" s="618"/>
      <c r="AW240" s="592">
        <f t="shared" si="174"/>
        <v>16</v>
      </c>
      <c r="AX240" s="621"/>
      <c r="AY240" s="637"/>
      <c r="AZ240" s="618"/>
      <c r="BA240" s="618"/>
      <c r="BB240" s="618"/>
      <c r="BC240" s="621"/>
      <c r="BD240" s="621"/>
      <c r="BE240" s="623"/>
      <c r="BF240" s="602" t="s">
        <v>90</v>
      </c>
      <c r="BG240" s="603"/>
      <c r="BH240" s="604"/>
      <c r="BI240" s="605">
        <f t="shared" ref="BI240:BI250" si="180">I240</f>
        <v>16</v>
      </c>
      <c r="BJ240" s="602"/>
      <c r="BK240" s="602"/>
      <c r="BL240" s="602"/>
      <c r="BM240" s="602"/>
      <c r="BN240" s="650"/>
      <c r="BO240" s="650"/>
      <c r="BP240" s="650"/>
      <c r="BQ240" s="650"/>
      <c r="BR240" s="650"/>
      <c r="BS240" s="650"/>
      <c r="BT240" s="607">
        <f t="shared" si="169"/>
        <v>16</v>
      </c>
      <c r="BU240" s="608">
        <f t="shared" si="170"/>
        <v>0</v>
      </c>
      <c r="BV240" s="517"/>
      <c r="BW240" s="491"/>
      <c r="XEO240" s="651"/>
      <c r="XEP240" s="652"/>
      <c r="XEQ240" s="653"/>
      <c r="XER240" s="654"/>
      <c r="XES240" s="655"/>
      <c r="XET240" s="654"/>
      <c r="XEU240" s="656"/>
      <c r="XEV240" s="656"/>
      <c r="XEW240" s="657"/>
      <c r="XEX240" s="658"/>
      <c r="XEY240" s="658"/>
      <c r="XEZ240" s="658"/>
      <c r="XFA240" s="658"/>
      <c r="XFB240" s="659"/>
      <c r="XFC240" s="659"/>
      <c r="XFD240" s="660"/>
    </row>
    <row r="241" s="490" customFormat="1" ht="33" customHeight="1" spans="1:75 16369:16384">
      <c r="A241" s="577">
        <v>45821</v>
      </c>
      <c r="B241" s="581" t="s">
        <v>1276</v>
      </c>
      <c r="C241" s="579" t="s">
        <v>359</v>
      </c>
      <c r="D241" s="580">
        <v>4500169926</v>
      </c>
      <c r="E241" s="616" t="s">
        <v>1301</v>
      </c>
      <c r="F241" s="580" t="s">
        <v>1302</v>
      </c>
      <c r="G241" s="582" t="s">
        <v>1059</v>
      </c>
      <c r="H241" s="578" t="s">
        <v>123</v>
      </c>
      <c r="I241" s="583">
        <v>16</v>
      </c>
      <c r="J241" s="583">
        <v>0</v>
      </c>
      <c r="K241" s="583">
        <v>4</v>
      </c>
      <c r="L241" s="584">
        <f t="shared" si="177"/>
        <v>4</v>
      </c>
      <c r="M241" s="585">
        <v>45856</v>
      </c>
      <c r="N241" s="585">
        <v>45852</v>
      </c>
      <c r="O241" s="586" t="s">
        <v>1270</v>
      </c>
      <c r="P241" s="586" t="s">
        <v>83</v>
      </c>
      <c r="Q241" s="587" t="s">
        <v>1223</v>
      </c>
      <c r="R241" s="586" t="s">
        <v>1258</v>
      </c>
      <c r="S241" s="586"/>
      <c r="T241" s="586"/>
      <c r="U241" s="586" t="s">
        <v>86</v>
      </c>
      <c r="V241" s="586" t="s">
        <v>1259</v>
      </c>
      <c r="W241" s="586"/>
      <c r="X241" s="588" t="s">
        <v>1271</v>
      </c>
      <c r="Y241" s="641" t="s">
        <v>287</v>
      </c>
      <c r="Z241" s="590">
        <v>5.7399</v>
      </c>
      <c r="AA241" s="591">
        <f t="shared" si="168"/>
        <v>91.8384</v>
      </c>
      <c r="AB241" s="619"/>
      <c r="AC241" s="638" t="s">
        <v>1067</v>
      </c>
      <c r="AD241" s="593" t="s">
        <v>89</v>
      </c>
      <c r="AE241" s="611"/>
      <c r="AF241" s="611"/>
      <c r="AG241" s="595"/>
      <c r="AH241" s="613"/>
      <c r="AI241" s="622"/>
      <c r="AJ241" s="592">
        <f t="shared" si="178"/>
        <v>16</v>
      </c>
      <c r="AK241" s="621"/>
      <c r="AL241" s="622"/>
      <c r="AM241" s="612"/>
      <c r="AN241" s="598">
        <f t="shared" si="172"/>
        <v>16</v>
      </c>
      <c r="AO241" s="621"/>
      <c r="AP241" s="622"/>
      <c r="AQ241" s="622"/>
      <c r="AR241" s="592"/>
      <c r="AS241" s="622"/>
      <c r="AT241" s="622"/>
      <c r="AU241" s="621">
        <f t="shared" si="179"/>
        <v>16</v>
      </c>
      <c r="AV241" s="618"/>
      <c r="AW241" s="592">
        <f t="shared" si="174"/>
        <v>16</v>
      </c>
      <c r="AX241" s="621"/>
      <c r="AY241" s="637"/>
      <c r="AZ241" s="618"/>
      <c r="BA241" s="618"/>
      <c r="BB241" s="618"/>
      <c r="BC241" s="621"/>
      <c r="BD241" s="621"/>
      <c r="BE241" s="623"/>
      <c r="BF241" s="602" t="s">
        <v>90</v>
      </c>
      <c r="BG241" s="603"/>
      <c r="BH241" s="604"/>
      <c r="BI241" s="605">
        <f t="shared" si="180"/>
        <v>16</v>
      </c>
      <c r="BJ241" s="602"/>
      <c r="BK241" s="602"/>
      <c r="BL241" s="602"/>
      <c r="BM241" s="602"/>
      <c r="BN241" s="650"/>
      <c r="BO241" s="650"/>
      <c r="BP241" s="650"/>
      <c r="BQ241" s="650"/>
      <c r="BR241" s="650"/>
      <c r="BS241" s="650"/>
      <c r="BT241" s="607">
        <f t="shared" si="169"/>
        <v>16</v>
      </c>
      <c r="BU241" s="608">
        <f t="shared" si="170"/>
        <v>0</v>
      </c>
      <c r="BV241" s="517"/>
      <c r="BW241" s="491"/>
      <c r="XEO241" s="651"/>
      <c r="XEP241" s="652"/>
      <c r="XEQ241" s="653"/>
      <c r="XER241" s="654"/>
      <c r="XES241" s="655"/>
      <c r="XET241" s="654"/>
      <c r="XEU241" s="656"/>
      <c r="XEV241" s="656"/>
      <c r="XEW241" s="657"/>
      <c r="XEX241" s="658"/>
      <c r="XEY241" s="658"/>
      <c r="XEZ241" s="658"/>
      <c r="XFA241" s="658"/>
      <c r="XFB241" s="659"/>
      <c r="XFC241" s="659"/>
      <c r="XFD241" s="660"/>
    </row>
    <row r="242" s="490" customFormat="1" ht="33" customHeight="1" spans="1:75 16369:16384">
      <c r="A242" s="577">
        <v>45821</v>
      </c>
      <c r="B242" s="581" t="s">
        <v>1276</v>
      </c>
      <c r="C242" s="579" t="s">
        <v>359</v>
      </c>
      <c r="D242" s="580">
        <v>4500169926</v>
      </c>
      <c r="E242" s="616" t="s">
        <v>1303</v>
      </c>
      <c r="F242" s="580" t="s">
        <v>1304</v>
      </c>
      <c r="G242" s="582" t="s">
        <v>1059</v>
      </c>
      <c r="H242" s="578" t="s">
        <v>123</v>
      </c>
      <c r="I242" s="583">
        <v>16</v>
      </c>
      <c r="J242" s="583">
        <v>0</v>
      </c>
      <c r="K242" s="583">
        <v>4</v>
      </c>
      <c r="L242" s="584">
        <f t="shared" si="177"/>
        <v>4</v>
      </c>
      <c r="M242" s="585">
        <v>45856</v>
      </c>
      <c r="N242" s="585">
        <v>45852</v>
      </c>
      <c r="O242" s="586" t="s">
        <v>1270</v>
      </c>
      <c r="P242" s="586" t="s">
        <v>83</v>
      </c>
      <c r="Q242" s="587" t="s">
        <v>1223</v>
      </c>
      <c r="R242" s="586" t="s">
        <v>1258</v>
      </c>
      <c r="S242" s="586"/>
      <c r="T242" s="586"/>
      <c r="U242" s="586" t="s">
        <v>86</v>
      </c>
      <c r="V242" s="586" t="s">
        <v>1259</v>
      </c>
      <c r="W242" s="586"/>
      <c r="X242" s="588" t="s">
        <v>1271</v>
      </c>
      <c r="Y242" s="641" t="s">
        <v>287</v>
      </c>
      <c r="Z242" s="590">
        <v>5.7399</v>
      </c>
      <c r="AA242" s="591">
        <f t="shared" si="168"/>
        <v>91.8384</v>
      </c>
      <c r="AB242" s="619"/>
      <c r="AC242" s="638" t="s">
        <v>1067</v>
      </c>
      <c r="AD242" s="593" t="s">
        <v>89</v>
      </c>
      <c r="AE242" s="611"/>
      <c r="AF242" s="611"/>
      <c r="AG242" s="595"/>
      <c r="AH242" s="613"/>
      <c r="AI242" s="622"/>
      <c r="AJ242" s="592">
        <f t="shared" si="178"/>
        <v>16</v>
      </c>
      <c r="AK242" s="621"/>
      <c r="AL242" s="622"/>
      <c r="AM242" s="612"/>
      <c r="AN242" s="598">
        <f t="shared" si="172"/>
        <v>16</v>
      </c>
      <c r="AO242" s="621"/>
      <c r="AP242" s="622"/>
      <c r="AQ242" s="622"/>
      <c r="AR242" s="592"/>
      <c r="AS242" s="622"/>
      <c r="AT242" s="622"/>
      <c r="AU242" s="621">
        <f t="shared" si="179"/>
        <v>16</v>
      </c>
      <c r="AV242" s="618"/>
      <c r="AW242" s="592">
        <f t="shared" si="174"/>
        <v>16</v>
      </c>
      <c r="AX242" s="621"/>
      <c r="AY242" s="637"/>
      <c r="AZ242" s="618"/>
      <c r="BA242" s="618"/>
      <c r="BB242" s="618"/>
      <c r="BC242" s="621"/>
      <c r="BD242" s="621"/>
      <c r="BE242" s="623"/>
      <c r="BF242" s="602" t="s">
        <v>90</v>
      </c>
      <c r="BG242" s="603"/>
      <c r="BH242" s="604"/>
      <c r="BI242" s="605">
        <f t="shared" si="180"/>
        <v>16</v>
      </c>
      <c r="BJ242" s="602"/>
      <c r="BK242" s="602"/>
      <c r="BL242" s="602"/>
      <c r="BM242" s="602"/>
      <c r="BN242" s="650"/>
      <c r="BO242" s="650"/>
      <c r="BP242" s="650"/>
      <c r="BQ242" s="650"/>
      <c r="BR242" s="650"/>
      <c r="BS242" s="650"/>
      <c r="BT242" s="607">
        <f t="shared" si="169"/>
        <v>16</v>
      </c>
      <c r="BU242" s="608">
        <f t="shared" si="170"/>
        <v>0</v>
      </c>
      <c r="BV242" s="517"/>
      <c r="BW242" s="491"/>
      <c r="XEO242" s="651"/>
      <c r="XEP242" s="652"/>
      <c r="XEQ242" s="653"/>
      <c r="XER242" s="654"/>
      <c r="XES242" s="655"/>
      <c r="XET242" s="654"/>
      <c r="XEU242" s="656"/>
      <c r="XEV242" s="656"/>
      <c r="XEW242" s="657"/>
      <c r="XEX242" s="658"/>
      <c r="XEY242" s="658"/>
      <c r="XEZ242" s="658"/>
      <c r="XFA242" s="658"/>
      <c r="XFB242" s="659"/>
      <c r="XFC242" s="659"/>
      <c r="XFD242" s="660"/>
    </row>
    <row r="243" s="490" customFormat="1" ht="33" customHeight="1" spans="1:75 16369:16384">
      <c r="A243" s="577">
        <v>45821</v>
      </c>
      <c r="B243" s="581" t="s">
        <v>1276</v>
      </c>
      <c r="C243" s="579" t="s">
        <v>359</v>
      </c>
      <c r="D243" s="580">
        <v>4500169926</v>
      </c>
      <c r="E243" s="616" t="s">
        <v>1305</v>
      </c>
      <c r="F243" s="580" t="s">
        <v>1306</v>
      </c>
      <c r="G243" s="582" t="s">
        <v>1059</v>
      </c>
      <c r="H243" s="578" t="s">
        <v>123</v>
      </c>
      <c r="I243" s="583">
        <v>36</v>
      </c>
      <c r="J243" s="583">
        <v>0</v>
      </c>
      <c r="K243" s="583">
        <v>4</v>
      </c>
      <c r="L243" s="584">
        <f t="shared" si="177"/>
        <v>9</v>
      </c>
      <c r="M243" s="585">
        <v>45856</v>
      </c>
      <c r="N243" s="585">
        <v>45852</v>
      </c>
      <c r="O243" s="586" t="s">
        <v>1270</v>
      </c>
      <c r="P243" s="586" t="s">
        <v>83</v>
      </c>
      <c r="Q243" s="587" t="s">
        <v>1223</v>
      </c>
      <c r="R243" s="586" t="s">
        <v>1258</v>
      </c>
      <c r="S243" s="586"/>
      <c r="T243" s="586"/>
      <c r="U243" s="586" t="s">
        <v>86</v>
      </c>
      <c r="V243" s="586" t="s">
        <v>1259</v>
      </c>
      <c r="W243" s="586"/>
      <c r="X243" s="588" t="s">
        <v>1271</v>
      </c>
      <c r="Y243" s="641" t="s">
        <v>287</v>
      </c>
      <c r="Z243" s="590">
        <v>5.7399</v>
      </c>
      <c r="AA243" s="591">
        <f t="shared" si="168"/>
        <v>206.6364</v>
      </c>
      <c r="AB243" s="619"/>
      <c r="AC243" s="638" t="s">
        <v>1067</v>
      </c>
      <c r="AD243" s="593" t="s">
        <v>89</v>
      </c>
      <c r="AE243" s="611"/>
      <c r="AF243" s="611"/>
      <c r="AG243" s="595"/>
      <c r="AH243" s="613"/>
      <c r="AI243" s="622"/>
      <c r="AJ243" s="592">
        <f t="shared" si="178"/>
        <v>36</v>
      </c>
      <c r="AK243" s="621"/>
      <c r="AL243" s="622"/>
      <c r="AM243" s="612"/>
      <c r="AN243" s="598">
        <f t="shared" si="172"/>
        <v>36</v>
      </c>
      <c r="AO243" s="621"/>
      <c r="AP243" s="622"/>
      <c r="AQ243" s="622"/>
      <c r="AR243" s="592"/>
      <c r="AS243" s="622"/>
      <c r="AT243" s="622"/>
      <c r="AU243" s="621">
        <f t="shared" si="179"/>
        <v>36</v>
      </c>
      <c r="AV243" s="618"/>
      <c r="AW243" s="592">
        <f t="shared" si="174"/>
        <v>36</v>
      </c>
      <c r="AX243" s="621"/>
      <c r="AY243" s="637"/>
      <c r="AZ243" s="618"/>
      <c r="BA243" s="618"/>
      <c r="BB243" s="618"/>
      <c r="BC243" s="621"/>
      <c r="BD243" s="621"/>
      <c r="BE243" s="623"/>
      <c r="BF243" s="602" t="s">
        <v>90</v>
      </c>
      <c r="BG243" s="603"/>
      <c r="BH243" s="604"/>
      <c r="BI243" s="605">
        <f t="shared" si="180"/>
        <v>36</v>
      </c>
      <c r="BJ243" s="602"/>
      <c r="BK243" s="602"/>
      <c r="BL243" s="602"/>
      <c r="BM243" s="602"/>
      <c r="BN243" s="650"/>
      <c r="BO243" s="650"/>
      <c r="BP243" s="650"/>
      <c r="BQ243" s="650"/>
      <c r="BR243" s="650"/>
      <c r="BS243" s="650"/>
      <c r="BT243" s="607">
        <f t="shared" si="169"/>
        <v>36</v>
      </c>
      <c r="BU243" s="608">
        <f t="shared" si="170"/>
        <v>0</v>
      </c>
      <c r="BV243" s="517"/>
      <c r="BW243" s="491"/>
      <c r="XEO243" s="651"/>
      <c r="XEP243" s="652"/>
      <c r="XEQ243" s="653"/>
      <c r="XER243" s="654"/>
      <c r="XES243" s="655"/>
      <c r="XET243" s="654"/>
      <c r="XEU243" s="656"/>
      <c r="XEV243" s="656"/>
      <c r="XEW243" s="657"/>
      <c r="XEX243" s="658"/>
      <c r="XEY243" s="658"/>
      <c r="XEZ243" s="658"/>
      <c r="XFA243" s="658"/>
      <c r="XFB243" s="659"/>
      <c r="XFC243" s="659"/>
      <c r="XFD243" s="660"/>
    </row>
    <row r="244" s="490" customFormat="1" ht="33" customHeight="1" spans="1:75 16369:16384">
      <c r="A244" s="577">
        <v>45821</v>
      </c>
      <c r="B244" s="581" t="s">
        <v>1276</v>
      </c>
      <c r="C244" s="579" t="s">
        <v>359</v>
      </c>
      <c r="D244" s="580">
        <v>4500169926</v>
      </c>
      <c r="E244" s="616" t="s">
        <v>1307</v>
      </c>
      <c r="F244" s="580" t="s">
        <v>1308</v>
      </c>
      <c r="G244" s="582" t="s">
        <v>1059</v>
      </c>
      <c r="H244" s="578" t="s">
        <v>123</v>
      </c>
      <c r="I244" s="583">
        <v>16</v>
      </c>
      <c r="J244" s="583">
        <v>0</v>
      </c>
      <c r="K244" s="583">
        <v>4</v>
      </c>
      <c r="L244" s="584">
        <f t="shared" si="177"/>
        <v>4</v>
      </c>
      <c r="M244" s="585">
        <v>45856</v>
      </c>
      <c r="N244" s="585">
        <v>45852</v>
      </c>
      <c r="O244" s="586" t="s">
        <v>1270</v>
      </c>
      <c r="P244" s="586" t="s">
        <v>83</v>
      </c>
      <c r="Q244" s="587" t="s">
        <v>1223</v>
      </c>
      <c r="R244" s="586" t="s">
        <v>1258</v>
      </c>
      <c r="S244" s="586"/>
      <c r="T244" s="586"/>
      <c r="U244" s="586" t="s">
        <v>86</v>
      </c>
      <c r="V244" s="586" t="s">
        <v>1259</v>
      </c>
      <c r="W244" s="586"/>
      <c r="X244" s="588" t="s">
        <v>1271</v>
      </c>
      <c r="Y244" s="641" t="s">
        <v>287</v>
      </c>
      <c r="Z244" s="590">
        <v>5.7399</v>
      </c>
      <c r="AA244" s="591">
        <f t="shared" si="168"/>
        <v>91.8384</v>
      </c>
      <c r="AB244" s="619"/>
      <c r="AC244" s="638" t="s">
        <v>1067</v>
      </c>
      <c r="AD244" s="593" t="s">
        <v>89</v>
      </c>
      <c r="AE244" s="611"/>
      <c r="AF244" s="611"/>
      <c r="AG244" s="595"/>
      <c r="AH244" s="613"/>
      <c r="AI244" s="622"/>
      <c r="AJ244" s="592">
        <f t="shared" si="178"/>
        <v>16</v>
      </c>
      <c r="AK244" s="621"/>
      <c r="AL244" s="622"/>
      <c r="AM244" s="612"/>
      <c r="AN244" s="598">
        <f t="shared" si="172"/>
        <v>16</v>
      </c>
      <c r="AO244" s="621"/>
      <c r="AP244" s="622"/>
      <c r="AQ244" s="622"/>
      <c r="AR244" s="592"/>
      <c r="AS244" s="622"/>
      <c r="AT244" s="622"/>
      <c r="AU244" s="621">
        <f t="shared" si="179"/>
        <v>16</v>
      </c>
      <c r="AV244" s="618"/>
      <c r="AW244" s="592">
        <f t="shared" si="174"/>
        <v>16</v>
      </c>
      <c r="AX244" s="621"/>
      <c r="AY244" s="637"/>
      <c r="AZ244" s="618"/>
      <c r="BA244" s="618"/>
      <c r="BB244" s="618"/>
      <c r="BC244" s="621"/>
      <c r="BD244" s="621"/>
      <c r="BE244" s="623"/>
      <c r="BF244" s="602" t="s">
        <v>90</v>
      </c>
      <c r="BG244" s="603"/>
      <c r="BH244" s="604"/>
      <c r="BI244" s="605">
        <f t="shared" si="180"/>
        <v>16</v>
      </c>
      <c r="BJ244" s="602"/>
      <c r="BK244" s="602"/>
      <c r="BL244" s="602"/>
      <c r="BM244" s="602"/>
      <c r="BN244" s="650"/>
      <c r="BO244" s="650"/>
      <c r="BP244" s="650"/>
      <c r="BQ244" s="650"/>
      <c r="BR244" s="650"/>
      <c r="BS244" s="650"/>
      <c r="BT244" s="607">
        <f t="shared" si="169"/>
        <v>16</v>
      </c>
      <c r="BU244" s="608">
        <f t="shared" si="170"/>
        <v>0</v>
      </c>
      <c r="BV244" s="517"/>
      <c r="BW244" s="491"/>
      <c r="XEO244" s="651"/>
      <c r="XEP244" s="652"/>
      <c r="XEQ244" s="653"/>
      <c r="XER244" s="654"/>
      <c r="XES244" s="655"/>
      <c r="XET244" s="654"/>
      <c r="XEU244" s="656"/>
      <c r="XEV244" s="656"/>
      <c r="XEW244" s="657"/>
      <c r="XEX244" s="658"/>
      <c r="XEY244" s="658"/>
      <c r="XEZ244" s="658"/>
      <c r="XFA244" s="658"/>
      <c r="XFB244" s="659"/>
      <c r="XFC244" s="659"/>
      <c r="XFD244" s="660"/>
    </row>
    <row r="245" s="490" customFormat="1" ht="33" customHeight="1" spans="1:75 16369:16384">
      <c r="A245" s="577">
        <v>45821</v>
      </c>
      <c r="B245" s="581" t="s">
        <v>1276</v>
      </c>
      <c r="C245" s="579" t="s">
        <v>359</v>
      </c>
      <c r="D245" s="580">
        <v>4500169926</v>
      </c>
      <c r="E245" s="616" t="s">
        <v>1309</v>
      </c>
      <c r="F245" s="580" t="s">
        <v>1310</v>
      </c>
      <c r="G245" s="582" t="s">
        <v>1059</v>
      </c>
      <c r="H245" s="578" t="s">
        <v>123</v>
      </c>
      <c r="I245" s="583">
        <v>16</v>
      </c>
      <c r="J245" s="583">
        <v>0</v>
      </c>
      <c r="K245" s="583">
        <v>4</v>
      </c>
      <c r="L245" s="584">
        <f t="shared" si="177"/>
        <v>4</v>
      </c>
      <c r="M245" s="585">
        <v>45856</v>
      </c>
      <c r="N245" s="585">
        <v>45852</v>
      </c>
      <c r="O245" s="586" t="s">
        <v>1270</v>
      </c>
      <c r="P245" s="586" t="s">
        <v>83</v>
      </c>
      <c r="Q245" s="587" t="s">
        <v>1223</v>
      </c>
      <c r="R245" s="586" t="s">
        <v>1258</v>
      </c>
      <c r="S245" s="586"/>
      <c r="T245" s="586"/>
      <c r="U245" s="586" t="s">
        <v>86</v>
      </c>
      <c r="V245" s="586" t="s">
        <v>1259</v>
      </c>
      <c r="W245" s="586"/>
      <c r="X245" s="588" t="s">
        <v>1271</v>
      </c>
      <c r="Y245" s="641" t="s">
        <v>287</v>
      </c>
      <c r="Z245" s="590">
        <v>5.7399</v>
      </c>
      <c r="AA245" s="591">
        <f t="shared" si="168"/>
        <v>91.8384</v>
      </c>
      <c r="AB245" s="619"/>
      <c r="AC245" s="638" t="s">
        <v>1067</v>
      </c>
      <c r="AD245" s="593" t="s">
        <v>89</v>
      </c>
      <c r="AE245" s="611"/>
      <c r="AF245" s="611"/>
      <c r="AG245" s="595"/>
      <c r="AH245" s="613"/>
      <c r="AI245" s="622"/>
      <c r="AJ245" s="592">
        <f t="shared" si="178"/>
        <v>16</v>
      </c>
      <c r="AK245" s="621"/>
      <c r="AL245" s="622"/>
      <c r="AM245" s="612"/>
      <c r="AN245" s="598">
        <f t="shared" si="172"/>
        <v>16</v>
      </c>
      <c r="AO245" s="621"/>
      <c r="AP245" s="622"/>
      <c r="AQ245" s="622"/>
      <c r="AR245" s="592"/>
      <c r="AS245" s="622"/>
      <c r="AT245" s="622"/>
      <c r="AU245" s="621">
        <f t="shared" si="179"/>
        <v>16</v>
      </c>
      <c r="AV245" s="618"/>
      <c r="AW245" s="592">
        <f t="shared" si="174"/>
        <v>16</v>
      </c>
      <c r="AX245" s="621"/>
      <c r="AY245" s="637"/>
      <c r="AZ245" s="618"/>
      <c r="BA245" s="618"/>
      <c r="BB245" s="618"/>
      <c r="BC245" s="621"/>
      <c r="BD245" s="621"/>
      <c r="BE245" s="623"/>
      <c r="BF245" s="602" t="s">
        <v>90</v>
      </c>
      <c r="BG245" s="603"/>
      <c r="BH245" s="604"/>
      <c r="BI245" s="605">
        <f t="shared" si="180"/>
        <v>16</v>
      </c>
      <c r="BJ245" s="602"/>
      <c r="BK245" s="602"/>
      <c r="BL245" s="602"/>
      <c r="BM245" s="602"/>
      <c r="BN245" s="650"/>
      <c r="BO245" s="650"/>
      <c r="BP245" s="650"/>
      <c r="BQ245" s="650"/>
      <c r="BR245" s="650"/>
      <c r="BS245" s="650"/>
      <c r="BT245" s="607">
        <f t="shared" si="169"/>
        <v>16</v>
      </c>
      <c r="BU245" s="608">
        <f t="shared" si="170"/>
        <v>0</v>
      </c>
      <c r="BV245" s="517"/>
      <c r="BW245" s="491"/>
      <c r="XEO245" s="651"/>
      <c r="XEP245" s="652"/>
      <c r="XEQ245" s="653"/>
      <c r="XER245" s="654"/>
      <c r="XES245" s="655"/>
      <c r="XET245" s="654"/>
      <c r="XEU245" s="656"/>
      <c r="XEV245" s="656"/>
      <c r="XEW245" s="657"/>
      <c r="XEX245" s="658"/>
      <c r="XEY245" s="658"/>
      <c r="XEZ245" s="658"/>
      <c r="XFA245" s="658"/>
      <c r="XFB245" s="659"/>
      <c r="XFC245" s="659"/>
      <c r="XFD245" s="660"/>
    </row>
    <row r="246" s="490" customFormat="1" ht="33" customHeight="1" spans="1:75 16369:16384">
      <c r="A246" s="577">
        <v>45821</v>
      </c>
      <c r="B246" s="581" t="s">
        <v>1276</v>
      </c>
      <c r="C246" s="579" t="s">
        <v>359</v>
      </c>
      <c r="D246" s="580">
        <v>4500169926</v>
      </c>
      <c r="E246" s="616" t="s">
        <v>1311</v>
      </c>
      <c r="F246" s="580" t="s">
        <v>1312</v>
      </c>
      <c r="G246" s="582" t="s">
        <v>1059</v>
      </c>
      <c r="H246" s="578" t="s">
        <v>123</v>
      </c>
      <c r="I246" s="583">
        <v>16</v>
      </c>
      <c r="J246" s="583">
        <v>0</v>
      </c>
      <c r="K246" s="583">
        <v>4</v>
      </c>
      <c r="L246" s="584">
        <f t="shared" si="177"/>
        <v>4</v>
      </c>
      <c r="M246" s="585">
        <v>45856</v>
      </c>
      <c r="N246" s="585">
        <v>45852</v>
      </c>
      <c r="O246" s="586" t="s">
        <v>1270</v>
      </c>
      <c r="P246" s="586" t="s">
        <v>83</v>
      </c>
      <c r="Q246" s="587" t="s">
        <v>1223</v>
      </c>
      <c r="R246" s="586" t="s">
        <v>1258</v>
      </c>
      <c r="S246" s="586"/>
      <c r="T246" s="586"/>
      <c r="U246" s="586" t="s">
        <v>86</v>
      </c>
      <c r="V246" s="586" t="s">
        <v>1259</v>
      </c>
      <c r="W246" s="586"/>
      <c r="X246" s="588" t="s">
        <v>1271</v>
      </c>
      <c r="Y246" s="641" t="s">
        <v>287</v>
      </c>
      <c r="Z246" s="590">
        <v>5.7399</v>
      </c>
      <c r="AA246" s="591">
        <f t="shared" si="168"/>
        <v>91.8384</v>
      </c>
      <c r="AB246" s="619"/>
      <c r="AC246" s="638" t="s">
        <v>1067</v>
      </c>
      <c r="AD246" s="593" t="s">
        <v>89</v>
      </c>
      <c r="AE246" s="611"/>
      <c r="AF246" s="611"/>
      <c r="AG246" s="595"/>
      <c r="AH246" s="613"/>
      <c r="AI246" s="622"/>
      <c r="AJ246" s="592">
        <f t="shared" si="178"/>
        <v>16</v>
      </c>
      <c r="AK246" s="621"/>
      <c r="AL246" s="622"/>
      <c r="AM246" s="612"/>
      <c r="AN246" s="598">
        <f t="shared" si="172"/>
        <v>16</v>
      </c>
      <c r="AO246" s="621"/>
      <c r="AP246" s="622"/>
      <c r="AQ246" s="622"/>
      <c r="AR246" s="592"/>
      <c r="AS246" s="622"/>
      <c r="AT246" s="622"/>
      <c r="AU246" s="621">
        <f t="shared" si="179"/>
        <v>16</v>
      </c>
      <c r="AV246" s="618"/>
      <c r="AW246" s="592">
        <f t="shared" si="174"/>
        <v>16</v>
      </c>
      <c r="AX246" s="621"/>
      <c r="AY246" s="637"/>
      <c r="AZ246" s="618"/>
      <c r="BA246" s="618"/>
      <c r="BB246" s="618"/>
      <c r="BC246" s="621"/>
      <c r="BD246" s="621"/>
      <c r="BE246" s="623"/>
      <c r="BF246" s="602" t="s">
        <v>90</v>
      </c>
      <c r="BG246" s="603"/>
      <c r="BH246" s="604"/>
      <c r="BI246" s="605">
        <f t="shared" si="180"/>
        <v>16</v>
      </c>
      <c r="BJ246" s="602"/>
      <c r="BK246" s="602"/>
      <c r="BL246" s="602"/>
      <c r="BM246" s="602"/>
      <c r="BN246" s="650"/>
      <c r="BO246" s="650"/>
      <c r="BP246" s="650"/>
      <c r="BQ246" s="650"/>
      <c r="BR246" s="650"/>
      <c r="BS246" s="650"/>
      <c r="BT246" s="607">
        <f t="shared" si="169"/>
        <v>16</v>
      </c>
      <c r="BU246" s="608">
        <f t="shared" si="170"/>
        <v>0</v>
      </c>
      <c r="BV246" s="517"/>
      <c r="BW246" s="491"/>
      <c r="XEO246" s="651"/>
      <c r="XEP246" s="652"/>
      <c r="XEQ246" s="653"/>
      <c r="XER246" s="654"/>
      <c r="XES246" s="655"/>
      <c r="XET246" s="654"/>
      <c r="XEU246" s="656"/>
      <c r="XEV246" s="656"/>
      <c r="XEW246" s="657"/>
      <c r="XEX246" s="658"/>
      <c r="XEY246" s="658"/>
      <c r="XEZ246" s="658"/>
      <c r="XFA246" s="658"/>
      <c r="XFB246" s="659"/>
      <c r="XFC246" s="659"/>
      <c r="XFD246" s="660"/>
    </row>
    <row r="247" s="490" customFormat="1" ht="33" customHeight="1" spans="1:75 16369:16384">
      <c r="A247" s="577">
        <v>45821</v>
      </c>
      <c r="B247" s="581" t="s">
        <v>1276</v>
      </c>
      <c r="C247" s="579" t="s">
        <v>359</v>
      </c>
      <c r="D247" s="580">
        <v>4500169926</v>
      </c>
      <c r="E247" s="616" t="s">
        <v>1313</v>
      </c>
      <c r="F247" s="580" t="s">
        <v>1314</v>
      </c>
      <c r="G247" s="582" t="s">
        <v>1059</v>
      </c>
      <c r="H247" s="578" t="s">
        <v>123</v>
      </c>
      <c r="I247" s="583">
        <v>16</v>
      </c>
      <c r="J247" s="583">
        <v>0</v>
      </c>
      <c r="K247" s="583">
        <v>4</v>
      </c>
      <c r="L247" s="584">
        <f t="shared" si="177"/>
        <v>4</v>
      </c>
      <c r="M247" s="585">
        <v>45856</v>
      </c>
      <c r="N247" s="585">
        <v>45852</v>
      </c>
      <c r="O247" s="586" t="s">
        <v>1270</v>
      </c>
      <c r="P247" s="586" t="s">
        <v>83</v>
      </c>
      <c r="Q247" s="587" t="s">
        <v>1223</v>
      </c>
      <c r="R247" s="586" t="s">
        <v>1258</v>
      </c>
      <c r="S247" s="586"/>
      <c r="T247" s="586"/>
      <c r="U247" s="586" t="s">
        <v>86</v>
      </c>
      <c r="V247" s="586" t="s">
        <v>1259</v>
      </c>
      <c r="W247" s="586"/>
      <c r="X247" s="588" t="s">
        <v>1271</v>
      </c>
      <c r="Y247" s="641" t="s">
        <v>287</v>
      </c>
      <c r="Z247" s="590">
        <v>5.7399</v>
      </c>
      <c r="AA247" s="591">
        <f t="shared" si="168"/>
        <v>91.8384</v>
      </c>
      <c r="AB247" s="619"/>
      <c r="AC247" s="638" t="s">
        <v>1067</v>
      </c>
      <c r="AD247" s="593" t="s">
        <v>89</v>
      </c>
      <c r="AE247" s="611"/>
      <c r="AF247" s="611"/>
      <c r="AG247" s="595"/>
      <c r="AH247" s="613"/>
      <c r="AI247" s="622"/>
      <c r="AJ247" s="592">
        <f t="shared" si="178"/>
        <v>16</v>
      </c>
      <c r="AK247" s="621"/>
      <c r="AL247" s="622"/>
      <c r="AM247" s="612"/>
      <c r="AN247" s="598">
        <f t="shared" si="172"/>
        <v>16</v>
      </c>
      <c r="AO247" s="621"/>
      <c r="AP247" s="622"/>
      <c r="AQ247" s="622"/>
      <c r="AR247" s="592"/>
      <c r="AS247" s="622"/>
      <c r="AT247" s="622"/>
      <c r="AU247" s="621">
        <f t="shared" si="179"/>
        <v>16</v>
      </c>
      <c r="AV247" s="618"/>
      <c r="AW247" s="592">
        <f t="shared" si="174"/>
        <v>16</v>
      </c>
      <c r="AX247" s="621"/>
      <c r="AY247" s="637"/>
      <c r="AZ247" s="618"/>
      <c r="BA247" s="618"/>
      <c r="BB247" s="618"/>
      <c r="BC247" s="621"/>
      <c r="BD247" s="621"/>
      <c r="BE247" s="623"/>
      <c r="BF247" s="602" t="s">
        <v>90</v>
      </c>
      <c r="BG247" s="603"/>
      <c r="BH247" s="604"/>
      <c r="BI247" s="605">
        <f t="shared" si="180"/>
        <v>16</v>
      </c>
      <c r="BJ247" s="602"/>
      <c r="BK247" s="602"/>
      <c r="BL247" s="602"/>
      <c r="BM247" s="602"/>
      <c r="BN247" s="650"/>
      <c r="BO247" s="650"/>
      <c r="BP247" s="650"/>
      <c r="BQ247" s="650"/>
      <c r="BR247" s="650"/>
      <c r="BS247" s="650"/>
      <c r="BT247" s="607">
        <f t="shared" si="169"/>
        <v>16</v>
      </c>
      <c r="BU247" s="608">
        <f t="shared" si="170"/>
        <v>0</v>
      </c>
      <c r="BV247" s="517"/>
      <c r="BW247" s="491"/>
      <c r="XEO247" s="651"/>
      <c r="XEP247" s="652"/>
      <c r="XEQ247" s="653"/>
      <c r="XER247" s="654"/>
      <c r="XES247" s="655"/>
      <c r="XET247" s="654"/>
      <c r="XEU247" s="656"/>
      <c r="XEV247" s="656"/>
      <c r="XEW247" s="657"/>
      <c r="XEX247" s="658"/>
      <c r="XEY247" s="658"/>
      <c r="XEZ247" s="658"/>
      <c r="XFA247" s="658"/>
      <c r="XFB247" s="659"/>
      <c r="XFC247" s="659"/>
      <c r="XFD247" s="660"/>
    </row>
    <row r="248" s="490" customFormat="1" ht="33" customHeight="1" spans="1:75 16369:16384">
      <c r="A248" s="577">
        <v>45821</v>
      </c>
      <c r="B248" s="581" t="s">
        <v>1276</v>
      </c>
      <c r="C248" s="579" t="s">
        <v>359</v>
      </c>
      <c r="D248" s="580">
        <v>4500169926</v>
      </c>
      <c r="E248" s="616" t="s">
        <v>1315</v>
      </c>
      <c r="F248" s="580" t="s">
        <v>1316</v>
      </c>
      <c r="G248" s="582" t="s">
        <v>1059</v>
      </c>
      <c r="H248" s="578" t="s">
        <v>123</v>
      </c>
      <c r="I248" s="583">
        <v>16</v>
      </c>
      <c r="J248" s="583">
        <v>0</v>
      </c>
      <c r="K248" s="583">
        <v>4</v>
      </c>
      <c r="L248" s="584">
        <f t="shared" si="177"/>
        <v>4</v>
      </c>
      <c r="M248" s="585">
        <v>45856</v>
      </c>
      <c r="N248" s="585">
        <v>45852</v>
      </c>
      <c r="O248" s="586" t="s">
        <v>1270</v>
      </c>
      <c r="P248" s="586" t="s">
        <v>83</v>
      </c>
      <c r="Q248" s="587" t="s">
        <v>1223</v>
      </c>
      <c r="R248" s="586" t="s">
        <v>1258</v>
      </c>
      <c r="S248" s="586"/>
      <c r="T248" s="586"/>
      <c r="U248" s="586" t="s">
        <v>86</v>
      </c>
      <c r="V248" s="586" t="s">
        <v>1259</v>
      </c>
      <c r="W248" s="586"/>
      <c r="X248" s="588" t="s">
        <v>1271</v>
      </c>
      <c r="Y248" s="641" t="s">
        <v>287</v>
      </c>
      <c r="Z248" s="590">
        <v>5.7399</v>
      </c>
      <c r="AA248" s="591">
        <f t="shared" si="168"/>
        <v>91.8384</v>
      </c>
      <c r="AB248" s="619"/>
      <c r="AC248" s="638" t="s">
        <v>1067</v>
      </c>
      <c r="AD248" s="593" t="s">
        <v>89</v>
      </c>
      <c r="AE248" s="611"/>
      <c r="AF248" s="611"/>
      <c r="AG248" s="595"/>
      <c r="AH248" s="613"/>
      <c r="AI248" s="622"/>
      <c r="AJ248" s="592">
        <f t="shared" si="178"/>
        <v>16</v>
      </c>
      <c r="AK248" s="621"/>
      <c r="AL248" s="622"/>
      <c r="AM248" s="612"/>
      <c r="AN248" s="598">
        <f t="shared" si="172"/>
        <v>16</v>
      </c>
      <c r="AO248" s="621"/>
      <c r="AP248" s="622"/>
      <c r="AQ248" s="622"/>
      <c r="AR248" s="592"/>
      <c r="AS248" s="622"/>
      <c r="AT248" s="622"/>
      <c r="AU248" s="621">
        <f t="shared" si="179"/>
        <v>16</v>
      </c>
      <c r="AV248" s="618"/>
      <c r="AW248" s="592">
        <f t="shared" si="174"/>
        <v>16</v>
      </c>
      <c r="AX248" s="621"/>
      <c r="AY248" s="637"/>
      <c r="AZ248" s="618"/>
      <c r="BA248" s="618"/>
      <c r="BB248" s="618"/>
      <c r="BC248" s="621"/>
      <c r="BD248" s="621"/>
      <c r="BE248" s="623"/>
      <c r="BF248" s="602" t="s">
        <v>90</v>
      </c>
      <c r="BG248" s="603"/>
      <c r="BH248" s="604"/>
      <c r="BI248" s="605">
        <f t="shared" si="180"/>
        <v>16</v>
      </c>
      <c r="BJ248" s="602"/>
      <c r="BK248" s="602"/>
      <c r="BL248" s="602"/>
      <c r="BM248" s="602"/>
      <c r="BN248" s="650"/>
      <c r="BO248" s="650"/>
      <c r="BP248" s="650"/>
      <c r="BQ248" s="650"/>
      <c r="BR248" s="650"/>
      <c r="BS248" s="650"/>
      <c r="BT248" s="607">
        <f t="shared" si="169"/>
        <v>16</v>
      </c>
      <c r="BU248" s="608">
        <f t="shared" si="170"/>
        <v>0</v>
      </c>
      <c r="BV248" s="517"/>
      <c r="BW248" s="491"/>
      <c r="XEO248" s="651"/>
      <c r="XEP248" s="652"/>
      <c r="XEQ248" s="653"/>
      <c r="XER248" s="654"/>
      <c r="XES248" s="655"/>
      <c r="XET248" s="654"/>
      <c r="XEU248" s="656"/>
      <c r="XEV248" s="656"/>
      <c r="XEW248" s="657"/>
      <c r="XEX248" s="658"/>
      <c r="XEY248" s="658"/>
      <c r="XEZ248" s="658"/>
      <c r="XFA248" s="658"/>
      <c r="XFB248" s="659"/>
      <c r="XFC248" s="659"/>
      <c r="XFD248" s="660"/>
    </row>
    <row r="249" s="490" customFormat="1" ht="33" customHeight="1" spans="1:75 16369:16384">
      <c r="A249" s="577">
        <v>45821</v>
      </c>
      <c r="B249" s="581" t="s">
        <v>1276</v>
      </c>
      <c r="C249" s="579" t="s">
        <v>359</v>
      </c>
      <c r="D249" s="580">
        <v>4500169926</v>
      </c>
      <c r="E249" s="616" t="s">
        <v>1317</v>
      </c>
      <c r="F249" s="580" t="s">
        <v>1318</v>
      </c>
      <c r="G249" s="582" t="s">
        <v>1059</v>
      </c>
      <c r="H249" s="578" t="s">
        <v>123</v>
      </c>
      <c r="I249" s="583">
        <v>16</v>
      </c>
      <c r="J249" s="583">
        <v>0</v>
      </c>
      <c r="K249" s="583">
        <v>4</v>
      </c>
      <c r="L249" s="584">
        <f t="shared" si="177"/>
        <v>4</v>
      </c>
      <c r="M249" s="585">
        <v>45856</v>
      </c>
      <c r="N249" s="585">
        <v>45852</v>
      </c>
      <c r="O249" s="586" t="s">
        <v>1270</v>
      </c>
      <c r="P249" s="586" t="s">
        <v>83</v>
      </c>
      <c r="Q249" s="587" t="s">
        <v>1223</v>
      </c>
      <c r="R249" s="586" t="s">
        <v>1258</v>
      </c>
      <c r="S249" s="586"/>
      <c r="T249" s="586"/>
      <c r="U249" s="586" t="s">
        <v>86</v>
      </c>
      <c r="V249" s="586" t="s">
        <v>1259</v>
      </c>
      <c r="W249" s="586"/>
      <c r="X249" s="588" t="s">
        <v>1271</v>
      </c>
      <c r="Y249" s="641" t="s">
        <v>287</v>
      </c>
      <c r="Z249" s="590">
        <v>5.7399</v>
      </c>
      <c r="AA249" s="591">
        <f t="shared" si="168"/>
        <v>91.8384</v>
      </c>
      <c r="AB249" s="619"/>
      <c r="AC249" s="638" t="s">
        <v>1067</v>
      </c>
      <c r="AD249" s="593" t="s">
        <v>89</v>
      </c>
      <c r="AE249" s="611"/>
      <c r="AF249" s="611"/>
      <c r="AG249" s="595"/>
      <c r="AH249" s="613"/>
      <c r="AI249" s="622"/>
      <c r="AJ249" s="592">
        <f t="shared" si="178"/>
        <v>16</v>
      </c>
      <c r="AK249" s="621"/>
      <c r="AL249" s="622"/>
      <c r="AM249" s="612"/>
      <c r="AN249" s="598">
        <f t="shared" si="172"/>
        <v>16</v>
      </c>
      <c r="AO249" s="621"/>
      <c r="AP249" s="622"/>
      <c r="AQ249" s="622"/>
      <c r="AR249" s="592"/>
      <c r="AS249" s="622"/>
      <c r="AT249" s="622"/>
      <c r="AU249" s="621">
        <f t="shared" si="179"/>
        <v>16</v>
      </c>
      <c r="AV249" s="618"/>
      <c r="AW249" s="592">
        <f t="shared" si="174"/>
        <v>16</v>
      </c>
      <c r="AX249" s="621"/>
      <c r="AY249" s="637"/>
      <c r="AZ249" s="618"/>
      <c r="BA249" s="618"/>
      <c r="BB249" s="618"/>
      <c r="BC249" s="621"/>
      <c r="BD249" s="621"/>
      <c r="BE249" s="623"/>
      <c r="BF249" s="602" t="s">
        <v>90</v>
      </c>
      <c r="BG249" s="603"/>
      <c r="BH249" s="604"/>
      <c r="BI249" s="605">
        <f t="shared" si="180"/>
        <v>16</v>
      </c>
      <c r="BJ249" s="602"/>
      <c r="BK249" s="602"/>
      <c r="BL249" s="602"/>
      <c r="BM249" s="602"/>
      <c r="BN249" s="650"/>
      <c r="BO249" s="650"/>
      <c r="BP249" s="650"/>
      <c r="BQ249" s="650"/>
      <c r="BR249" s="650"/>
      <c r="BS249" s="650"/>
      <c r="BT249" s="607">
        <f t="shared" si="169"/>
        <v>16</v>
      </c>
      <c r="BU249" s="608">
        <f t="shared" si="170"/>
        <v>0</v>
      </c>
      <c r="BV249" s="517"/>
      <c r="BW249" s="491"/>
      <c r="XEO249" s="651"/>
      <c r="XEP249" s="652"/>
      <c r="XEQ249" s="653"/>
      <c r="XER249" s="654"/>
      <c r="XES249" s="655"/>
      <c r="XET249" s="654"/>
      <c r="XEU249" s="656"/>
      <c r="XEV249" s="656"/>
      <c r="XEW249" s="657"/>
      <c r="XEX249" s="658"/>
      <c r="XEY249" s="658"/>
      <c r="XEZ249" s="658"/>
      <c r="XFA249" s="658"/>
      <c r="XFB249" s="659"/>
      <c r="XFC249" s="659"/>
      <c r="XFD249" s="660"/>
    </row>
    <row r="250" s="490" customFormat="1" ht="33" customHeight="1" spans="1:75 16369:16384">
      <c r="A250" s="577">
        <v>45821</v>
      </c>
      <c r="B250" s="581" t="s">
        <v>1276</v>
      </c>
      <c r="C250" s="579" t="s">
        <v>359</v>
      </c>
      <c r="D250" s="580">
        <v>4500169926</v>
      </c>
      <c r="E250" s="616" t="s">
        <v>1319</v>
      </c>
      <c r="F250" s="580" t="s">
        <v>1320</v>
      </c>
      <c r="G250" s="582" t="s">
        <v>1059</v>
      </c>
      <c r="H250" s="578" t="s">
        <v>123</v>
      </c>
      <c r="I250" s="583">
        <v>16</v>
      </c>
      <c r="J250" s="583">
        <v>0</v>
      </c>
      <c r="K250" s="583">
        <v>4</v>
      </c>
      <c r="L250" s="584">
        <f t="shared" si="177"/>
        <v>4</v>
      </c>
      <c r="M250" s="585">
        <v>45856</v>
      </c>
      <c r="N250" s="585">
        <v>45852</v>
      </c>
      <c r="O250" s="586" t="s">
        <v>1270</v>
      </c>
      <c r="P250" s="586" t="s">
        <v>83</v>
      </c>
      <c r="Q250" s="587" t="s">
        <v>1223</v>
      </c>
      <c r="R250" s="586" t="s">
        <v>1258</v>
      </c>
      <c r="S250" s="586"/>
      <c r="T250" s="586"/>
      <c r="U250" s="586" t="s">
        <v>86</v>
      </c>
      <c r="V250" s="586" t="s">
        <v>1259</v>
      </c>
      <c r="W250" s="586"/>
      <c r="X250" s="588" t="s">
        <v>1271</v>
      </c>
      <c r="Y250" s="641" t="s">
        <v>287</v>
      </c>
      <c r="Z250" s="590">
        <v>5.7399</v>
      </c>
      <c r="AA250" s="591">
        <f t="shared" si="168"/>
        <v>91.8384</v>
      </c>
      <c r="AB250" s="619"/>
      <c r="AC250" s="638" t="s">
        <v>1067</v>
      </c>
      <c r="AD250" s="593" t="s">
        <v>89</v>
      </c>
      <c r="AE250" s="611"/>
      <c r="AF250" s="611"/>
      <c r="AG250" s="595"/>
      <c r="AH250" s="613"/>
      <c r="AI250" s="622"/>
      <c r="AJ250" s="592">
        <f t="shared" si="178"/>
        <v>16</v>
      </c>
      <c r="AK250" s="621"/>
      <c r="AL250" s="622"/>
      <c r="AM250" s="612"/>
      <c r="AN250" s="598">
        <f t="shared" si="172"/>
        <v>16</v>
      </c>
      <c r="AO250" s="621"/>
      <c r="AP250" s="622"/>
      <c r="AQ250" s="622"/>
      <c r="AR250" s="592"/>
      <c r="AS250" s="622"/>
      <c r="AT250" s="622"/>
      <c r="AU250" s="621">
        <f t="shared" si="179"/>
        <v>16</v>
      </c>
      <c r="AV250" s="618"/>
      <c r="AW250" s="592">
        <f t="shared" si="174"/>
        <v>16</v>
      </c>
      <c r="AX250" s="621"/>
      <c r="AY250" s="637"/>
      <c r="AZ250" s="618"/>
      <c r="BA250" s="618"/>
      <c r="BB250" s="618"/>
      <c r="BC250" s="621"/>
      <c r="BD250" s="621"/>
      <c r="BE250" s="623"/>
      <c r="BF250" s="602" t="s">
        <v>90</v>
      </c>
      <c r="BG250" s="603"/>
      <c r="BH250" s="604"/>
      <c r="BI250" s="605">
        <f t="shared" si="180"/>
        <v>16</v>
      </c>
      <c r="BJ250" s="602"/>
      <c r="BK250" s="602"/>
      <c r="BL250" s="602"/>
      <c r="BM250" s="602"/>
      <c r="BN250" s="650"/>
      <c r="BO250" s="650"/>
      <c r="BP250" s="650"/>
      <c r="BQ250" s="650"/>
      <c r="BR250" s="650"/>
      <c r="BS250" s="650"/>
      <c r="BT250" s="607">
        <f t="shared" si="169"/>
        <v>16</v>
      </c>
      <c r="BU250" s="608">
        <f t="shared" si="170"/>
        <v>0</v>
      </c>
      <c r="BV250" s="517"/>
      <c r="BW250" s="491"/>
      <c r="XEO250" s="651"/>
      <c r="XEP250" s="652"/>
      <c r="XEQ250" s="653"/>
      <c r="XER250" s="654"/>
      <c r="XES250" s="655"/>
      <c r="XET250" s="654"/>
      <c r="XEU250" s="656"/>
      <c r="XEV250" s="656"/>
      <c r="XEW250" s="657"/>
      <c r="XEX250" s="658"/>
      <c r="XEY250" s="658"/>
      <c r="XEZ250" s="658"/>
      <c r="XFA250" s="658"/>
      <c r="XFB250" s="659"/>
      <c r="XFC250" s="659"/>
      <c r="XFD250" s="660"/>
    </row>
    <row r="251" s="490" customFormat="1" ht="33" customHeight="1" spans="1:75 16369:16384">
      <c r="A251" s="577">
        <v>45821</v>
      </c>
      <c r="B251" s="581" t="s">
        <v>1276</v>
      </c>
      <c r="C251" s="579" t="s">
        <v>359</v>
      </c>
      <c r="D251" s="580">
        <v>4500169926</v>
      </c>
      <c r="E251" s="616" t="s">
        <v>1321</v>
      </c>
      <c r="F251" s="580" t="s">
        <v>1322</v>
      </c>
      <c r="G251" s="582" t="s">
        <v>826</v>
      </c>
      <c r="H251" s="578" t="s">
        <v>827</v>
      </c>
      <c r="I251" s="583">
        <v>16</v>
      </c>
      <c r="J251" s="583">
        <v>0</v>
      </c>
      <c r="K251" s="583">
        <v>4</v>
      </c>
      <c r="L251" s="584">
        <f t="shared" si="177"/>
        <v>4</v>
      </c>
      <c r="M251" s="585">
        <v>45856</v>
      </c>
      <c r="N251" s="585">
        <v>45852</v>
      </c>
      <c r="O251" s="586" t="s">
        <v>1270</v>
      </c>
      <c r="P251" s="586" t="s">
        <v>83</v>
      </c>
      <c r="Q251" s="587" t="s">
        <v>1223</v>
      </c>
      <c r="R251" s="586" t="s">
        <v>1258</v>
      </c>
      <c r="S251" s="586"/>
      <c r="T251" s="586"/>
      <c r="U251" s="586" t="s">
        <v>86</v>
      </c>
      <c r="V251" s="586" t="s">
        <v>1259</v>
      </c>
      <c r="W251" s="586"/>
      <c r="X251" s="588" t="s">
        <v>1271</v>
      </c>
      <c r="Y251" s="641" t="s">
        <v>287</v>
      </c>
      <c r="Z251" s="590">
        <v>6.0417</v>
      </c>
      <c r="AA251" s="591">
        <f t="shared" si="168"/>
        <v>96.6672</v>
      </c>
      <c r="AB251" s="619"/>
      <c r="AC251" s="582" t="s">
        <v>829</v>
      </c>
      <c r="AD251" s="593" t="s">
        <v>89</v>
      </c>
      <c r="AE251" s="611"/>
      <c r="AF251" s="611"/>
      <c r="AG251" s="595"/>
      <c r="AH251" s="613"/>
      <c r="AI251" s="622"/>
      <c r="AJ251" s="592">
        <f t="shared" si="178"/>
        <v>16</v>
      </c>
      <c r="AK251" s="621"/>
      <c r="AL251" s="622"/>
      <c r="AM251" s="612"/>
      <c r="AN251" s="598">
        <f t="shared" si="172"/>
        <v>16</v>
      </c>
      <c r="AO251" s="621"/>
      <c r="AP251" s="622"/>
      <c r="AQ251" s="622"/>
      <c r="AR251" s="592"/>
      <c r="AS251" s="622"/>
      <c r="AT251" s="622"/>
      <c r="AU251" s="621">
        <f t="shared" si="179"/>
        <v>16</v>
      </c>
      <c r="AV251" s="618"/>
      <c r="AW251" s="592">
        <f t="shared" si="174"/>
        <v>16</v>
      </c>
      <c r="AX251" s="621"/>
      <c r="AY251" s="637"/>
      <c r="AZ251" s="618"/>
      <c r="BA251" s="618"/>
      <c r="BB251" s="618"/>
      <c r="BC251" s="621"/>
      <c r="BD251" s="621"/>
      <c r="BE251" s="623"/>
      <c r="BF251" s="602" t="s">
        <v>90</v>
      </c>
      <c r="BG251" s="603"/>
      <c r="BH251" s="604"/>
      <c r="BI251" s="605"/>
      <c r="BJ251" s="602"/>
      <c r="BK251" s="602"/>
      <c r="BL251" s="602"/>
      <c r="BM251" s="602">
        <f t="shared" ref="BM251:BM259" si="181">I251</f>
        <v>16</v>
      </c>
      <c r="BN251" s="650"/>
      <c r="BO251" s="650"/>
      <c r="BP251" s="650"/>
      <c r="BQ251" s="650"/>
      <c r="BR251" s="650"/>
      <c r="BS251" s="650"/>
      <c r="BT251" s="607">
        <f t="shared" si="169"/>
        <v>16</v>
      </c>
      <c r="BU251" s="608">
        <f t="shared" si="170"/>
        <v>0</v>
      </c>
      <c r="BV251" s="517"/>
      <c r="BW251" s="491"/>
      <c r="XEO251" s="651"/>
      <c r="XEP251" s="652"/>
      <c r="XEQ251" s="653"/>
      <c r="XER251" s="654"/>
      <c r="XES251" s="655"/>
      <c r="XET251" s="654"/>
      <c r="XEU251" s="656"/>
      <c r="XEV251" s="656"/>
      <c r="XEW251" s="657"/>
      <c r="XEX251" s="658"/>
      <c r="XEY251" s="658"/>
      <c r="XEZ251" s="658"/>
      <c r="XFA251" s="658"/>
      <c r="XFB251" s="659"/>
      <c r="XFC251" s="659"/>
      <c r="XFD251" s="660"/>
    </row>
    <row r="252" s="490" customFormat="1" ht="33" customHeight="1" spans="1:75 16369:16384">
      <c r="A252" s="577">
        <v>45821</v>
      </c>
      <c r="B252" s="581" t="s">
        <v>1276</v>
      </c>
      <c r="C252" s="579" t="s">
        <v>359</v>
      </c>
      <c r="D252" s="580">
        <v>4500169926</v>
      </c>
      <c r="E252" s="616" t="s">
        <v>1323</v>
      </c>
      <c r="F252" s="580" t="s">
        <v>1324</v>
      </c>
      <c r="G252" s="582" t="s">
        <v>826</v>
      </c>
      <c r="H252" s="578" t="s">
        <v>827</v>
      </c>
      <c r="I252" s="583">
        <v>16</v>
      </c>
      <c r="J252" s="583">
        <v>0</v>
      </c>
      <c r="K252" s="583">
        <v>4</v>
      </c>
      <c r="L252" s="584">
        <f t="shared" si="177"/>
        <v>4</v>
      </c>
      <c r="M252" s="585">
        <v>45856</v>
      </c>
      <c r="N252" s="585">
        <v>45852</v>
      </c>
      <c r="O252" s="586" t="s">
        <v>1270</v>
      </c>
      <c r="P252" s="586" t="s">
        <v>83</v>
      </c>
      <c r="Q252" s="587" t="s">
        <v>1223</v>
      </c>
      <c r="R252" s="586" t="s">
        <v>1258</v>
      </c>
      <c r="S252" s="586"/>
      <c r="T252" s="586"/>
      <c r="U252" s="586" t="s">
        <v>86</v>
      </c>
      <c r="V252" s="586" t="s">
        <v>1259</v>
      </c>
      <c r="W252" s="586"/>
      <c r="X252" s="588" t="s">
        <v>1271</v>
      </c>
      <c r="Y252" s="641" t="s">
        <v>287</v>
      </c>
      <c r="Z252" s="590">
        <v>6.0417</v>
      </c>
      <c r="AA252" s="591">
        <f t="shared" si="168"/>
        <v>96.6672</v>
      </c>
      <c r="AB252" s="619"/>
      <c r="AC252" s="582" t="s">
        <v>829</v>
      </c>
      <c r="AD252" s="593" t="s">
        <v>89</v>
      </c>
      <c r="AE252" s="611"/>
      <c r="AF252" s="611"/>
      <c r="AG252" s="595"/>
      <c r="AH252" s="613"/>
      <c r="AI252" s="622"/>
      <c r="AJ252" s="592">
        <f t="shared" si="178"/>
        <v>16</v>
      </c>
      <c r="AK252" s="621"/>
      <c r="AL252" s="622"/>
      <c r="AM252" s="612"/>
      <c r="AN252" s="598">
        <f t="shared" si="172"/>
        <v>16</v>
      </c>
      <c r="AO252" s="621"/>
      <c r="AP252" s="622"/>
      <c r="AQ252" s="622"/>
      <c r="AR252" s="592"/>
      <c r="AS252" s="622"/>
      <c r="AT252" s="622"/>
      <c r="AU252" s="621">
        <f t="shared" si="179"/>
        <v>16</v>
      </c>
      <c r="AV252" s="618"/>
      <c r="AW252" s="592">
        <f t="shared" si="174"/>
        <v>16</v>
      </c>
      <c r="AX252" s="621"/>
      <c r="AY252" s="637"/>
      <c r="AZ252" s="618"/>
      <c r="BA252" s="618"/>
      <c r="BB252" s="618"/>
      <c r="BC252" s="621"/>
      <c r="BD252" s="621"/>
      <c r="BE252" s="623"/>
      <c r="BF252" s="602" t="s">
        <v>90</v>
      </c>
      <c r="BG252" s="603"/>
      <c r="BH252" s="604"/>
      <c r="BI252" s="605"/>
      <c r="BJ252" s="602"/>
      <c r="BK252" s="602"/>
      <c r="BL252" s="602"/>
      <c r="BM252" s="602">
        <f t="shared" si="181"/>
        <v>16</v>
      </c>
      <c r="BN252" s="650"/>
      <c r="BO252" s="650"/>
      <c r="BP252" s="650"/>
      <c r="BQ252" s="650"/>
      <c r="BR252" s="650"/>
      <c r="BS252" s="650"/>
      <c r="BT252" s="607">
        <f t="shared" si="169"/>
        <v>16</v>
      </c>
      <c r="BU252" s="608">
        <f t="shared" si="170"/>
        <v>0</v>
      </c>
      <c r="BV252" s="517"/>
      <c r="BW252" s="491"/>
      <c r="XEO252" s="651"/>
      <c r="XEP252" s="652"/>
      <c r="XEQ252" s="653"/>
      <c r="XER252" s="654"/>
      <c r="XES252" s="655"/>
      <c r="XET252" s="654"/>
      <c r="XEU252" s="656"/>
      <c r="XEV252" s="656"/>
      <c r="XEW252" s="657"/>
      <c r="XEX252" s="658"/>
      <c r="XEY252" s="658"/>
      <c r="XEZ252" s="658"/>
      <c r="XFA252" s="658"/>
      <c r="XFB252" s="659"/>
      <c r="XFC252" s="659"/>
      <c r="XFD252" s="660"/>
    </row>
    <row r="253" s="490" customFormat="1" ht="33" customHeight="1" spans="1:75 16369:16384">
      <c r="A253" s="577">
        <v>45821</v>
      </c>
      <c r="B253" s="581" t="s">
        <v>1276</v>
      </c>
      <c r="C253" s="579" t="s">
        <v>359</v>
      </c>
      <c r="D253" s="580">
        <v>4500169926</v>
      </c>
      <c r="E253" s="616" t="s">
        <v>1325</v>
      </c>
      <c r="F253" s="580" t="s">
        <v>1326</v>
      </c>
      <c r="G253" s="582" t="s">
        <v>826</v>
      </c>
      <c r="H253" s="578" t="s">
        <v>827</v>
      </c>
      <c r="I253" s="583">
        <v>16</v>
      </c>
      <c r="J253" s="583">
        <v>0</v>
      </c>
      <c r="K253" s="583">
        <v>4</v>
      </c>
      <c r="L253" s="584">
        <f t="shared" si="177"/>
        <v>4</v>
      </c>
      <c r="M253" s="585">
        <v>45856</v>
      </c>
      <c r="N253" s="585">
        <v>45852</v>
      </c>
      <c r="O253" s="586" t="s">
        <v>1270</v>
      </c>
      <c r="P253" s="586" t="s">
        <v>83</v>
      </c>
      <c r="Q253" s="587" t="s">
        <v>1223</v>
      </c>
      <c r="R253" s="586" t="s">
        <v>1258</v>
      </c>
      <c r="S253" s="586"/>
      <c r="T253" s="586"/>
      <c r="U253" s="586" t="s">
        <v>86</v>
      </c>
      <c r="V253" s="586" t="s">
        <v>1259</v>
      </c>
      <c r="W253" s="586"/>
      <c r="X253" s="588" t="s">
        <v>1271</v>
      </c>
      <c r="Y253" s="641" t="s">
        <v>287</v>
      </c>
      <c r="Z253" s="590">
        <v>6.0417</v>
      </c>
      <c r="AA253" s="591">
        <f t="shared" si="168"/>
        <v>96.6672</v>
      </c>
      <c r="AB253" s="619"/>
      <c r="AC253" s="582" t="s">
        <v>829</v>
      </c>
      <c r="AD253" s="593" t="s">
        <v>89</v>
      </c>
      <c r="AE253" s="611"/>
      <c r="AF253" s="611"/>
      <c r="AG253" s="595"/>
      <c r="AH253" s="613"/>
      <c r="AI253" s="622"/>
      <c r="AJ253" s="592">
        <f t="shared" si="178"/>
        <v>16</v>
      </c>
      <c r="AK253" s="621"/>
      <c r="AL253" s="622"/>
      <c r="AM253" s="612"/>
      <c r="AN253" s="598">
        <f t="shared" si="172"/>
        <v>16</v>
      </c>
      <c r="AO253" s="621"/>
      <c r="AP253" s="622"/>
      <c r="AQ253" s="622"/>
      <c r="AR253" s="592"/>
      <c r="AS253" s="622"/>
      <c r="AT253" s="622"/>
      <c r="AU253" s="621">
        <f t="shared" si="179"/>
        <v>16</v>
      </c>
      <c r="AV253" s="618"/>
      <c r="AW253" s="592">
        <f t="shared" si="174"/>
        <v>16</v>
      </c>
      <c r="AX253" s="621"/>
      <c r="AY253" s="637"/>
      <c r="AZ253" s="618"/>
      <c r="BA253" s="618"/>
      <c r="BB253" s="618"/>
      <c r="BC253" s="621"/>
      <c r="BD253" s="621"/>
      <c r="BE253" s="623"/>
      <c r="BF253" s="602" t="s">
        <v>90</v>
      </c>
      <c r="BG253" s="603"/>
      <c r="BH253" s="604"/>
      <c r="BI253" s="605"/>
      <c r="BJ253" s="602"/>
      <c r="BK253" s="602"/>
      <c r="BL253" s="602"/>
      <c r="BM253" s="602">
        <f t="shared" si="181"/>
        <v>16</v>
      </c>
      <c r="BN253" s="650"/>
      <c r="BO253" s="650"/>
      <c r="BP253" s="650"/>
      <c r="BQ253" s="650"/>
      <c r="BR253" s="650"/>
      <c r="BS253" s="650"/>
      <c r="BT253" s="607">
        <f t="shared" si="169"/>
        <v>16</v>
      </c>
      <c r="BU253" s="608">
        <f t="shared" si="170"/>
        <v>0</v>
      </c>
      <c r="BV253" s="517"/>
      <c r="BW253" s="491"/>
      <c r="XEO253" s="651"/>
      <c r="XEP253" s="652"/>
      <c r="XEQ253" s="653"/>
      <c r="XER253" s="654"/>
      <c r="XES253" s="655"/>
      <c r="XET253" s="654"/>
      <c r="XEU253" s="656"/>
      <c r="XEV253" s="656"/>
      <c r="XEW253" s="657"/>
      <c r="XEX253" s="658"/>
      <c r="XEY253" s="658"/>
      <c r="XEZ253" s="658"/>
      <c r="XFA253" s="658"/>
      <c r="XFB253" s="659"/>
      <c r="XFC253" s="659"/>
      <c r="XFD253" s="660"/>
    </row>
    <row r="254" s="490" customFormat="1" ht="33" customHeight="1" spans="1:75 16369:16384">
      <c r="A254" s="577">
        <v>45821</v>
      </c>
      <c r="B254" s="581" t="s">
        <v>1276</v>
      </c>
      <c r="C254" s="579" t="s">
        <v>359</v>
      </c>
      <c r="D254" s="580">
        <v>4500169926</v>
      </c>
      <c r="E254" s="616" t="s">
        <v>1327</v>
      </c>
      <c r="F254" s="580" t="s">
        <v>1328</v>
      </c>
      <c r="G254" s="582" t="s">
        <v>826</v>
      </c>
      <c r="H254" s="578" t="s">
        <v>827</v>
      </c>
      <c r="I254" s="583">
        <v>16</v>
      </c>
      <c r="J254" s="583">
        <v>0</v>
      </c>
      <c r="K254" s="583">
        <v>4</v>
      </c>
      <c r="L254" s="584">
        <f t="shared" si="177"/>
        <v>4</v>
      </c>
      <c r="M254" s="585">
        <v>45856</v>
      </c>
      <c r="N254" s="585">
        <v>45852</v>
      </c>
      <c r="O254" s="586" t="s">
        <v>1270</v>
      </c>
      <c r="P254" s="586" t="s">
        <v>83</v>
      </c>
      <c r="Q254" s="587" t="s">
        <v>1223</v>
      </c>
      <c r="R254" s="586" t="s">
        <v>1258</v>
      </c>
      <c r="S254" s="586"/>
      <c r="T254" s="586"/>
      <c r="U254" s="586" t="s">
        <v>86</v>
      </c>
      <c r="V254" s="586" t="s">
        <v>1259</v>
      </c>
      <c r="W254" s="586"/>
      <c r="X254" s="588" t="s">
        <v>1271</v>
      </c>
      <c r="Y254" s="641" t="s">
        <v>287</v>
      </c>
      <c r="Z254" s="590">
        <v>6.0417</v>
      </c>
      <c r="AA254" s="591">
        <f t="shared" si="168"/>
        <v>96.6672</v>
      </c>
      <c r="AB254" s="619"/>
      <c r="AC254" s="582" t="s">
        <v>829</v>
      </c>
      <c r="AD254" s="593" t="s">
        <v>89</v>
      </c>
      <c r="AE254" s="611"/>
      <c r="AF254" s="611"/>
      <c r="AG254" s="595"/>
      <c r="AH254" s="613"/>
      <c r="AI254" s="622"/>
      <c r="AJ254" s="592">
        <f t="shared" si="178"/>
        <v>16</v>
      </c>
      <c r="AK254" s="621"/>
      <c r="AL254" s="622"/>
      <c r="AM254" s="612"/>
      <c r="AN254" s="598">
        <f t="shared" si="172"/>
        <v>16</v>
      </c>
      <c r="AO254" s="621"/>
      <c r="AP254" s="622"/>
      <c r="AQ254" s="622"/>
      <c r="AR254" s="592"/>
      <c r="AS254" s="622"/>
      <c r="AT254" s="622"/>
      <c r="AU254" s="621">
        <f t="shared" si="179"/>
        <v>16</v>
      </c>
      <c r="AV254" s="618"/>
      <c r="AW254" s="592">
        <f t="shared" si="174"/>
        <v>16</v>
      </c>
      <c r="AX254" s="621"/>
      <c r="AY254" s="637"/>
      <c r="AZ254" s="618"/>
      <c r="BA254" s="618"/>
      <c r="BB254" s="618"/>
      <c r="BC254" s="621"/>
      <c r="BD254" s="621"/>
      <c r="BE254" s="623"/>
      <c r="BF254" s="602" t="s">
        <v>90</v>
      </c>
      <c r="BG254" s="603"/>
      <c r="BH254" s="604"/>
      <c r="BI254" s="605"/>
      <c r="BJ254" s="602"/>
      <c r="BK254" s="602"/>
      <c r="BL254" s="602"/>
      <c r="BM254" s="602">
        <f t="shared" si="181"/>
        <v>16</v>
      </c>
      <c r="BN254" s="650"/>
      <c r="BO254" s="650"/>
      <c r="BP254" s="650"/>
      <c r="BQ254" s="650"/>
      <c r="BR254" s="650"/>
      <c r="BS254" s="650"/>
      <c r="BT254" s="607">
        <f t="shared" si="169"/>
        <v>16</v>
      </c>
      <c r="BU254" s="608">
        <f t="shared" si="170"/>
        <v>0</v>
      </c>
      <c r="BV254" s="517"/>
      <c r="BW254" s="491"/>
      <c r="XEO254" s="651"/>
      <c r="XEP254" s="652"/>
      <c r="XEQ254" s="653"/>
      <c r="XER254" s="654"/>
      <c r="XES254" s="655"/>
      <c r="XET254" s="654"/>
      <c r="XEU254" s="656"/>
      <c r="XEV254" s="656"/>
      <c r="XEW254" s="657"/>
      <c r="XEX254" s="658"/>
      <c r="XEY254" s="658"/>
      <c r="XEZ254" s="658"/>
      <c r="XFA254" s="658"/>
      <c r="XFB254" s="659"/>
      <c r="XFC254" s="659"/>
      <c r="XFD254" s="660"/>
    </row>
    <row r="255" s="490" customFormat="1" ht="33" customHeight="1" spans="1:75 16369:16384">
      <c r="A255" s="577">
        <v>45821</v>
      </c>
      <c r="B255" s="581" t="s">
        <v>1276</v>
      </c>
      <c r="C255" s="579" t="s">
        <v>359</v>
      </c>
      <c r="D255" s="580">
        <v>4500169926</v>
      </c>
      <c r="E255" s="616" t="s">
        <v>1329</v>
      </c>
      <c r="F255" s="580" t="s">
        <v>1330</v>
      </c>
      <c r="G255" s="582" t="s">
        <v>826</v>
      </c>
      <c r="H255" s="578" t="s">
        <v>827</v>
      </c>
      <c r="I255" s="583">
        <v>16</v>
      </c>
      <c r="J255" s="583">
        <v>0</v>
      </c>
      <c r="K255" s="583">
        <v>4</v>
      </c>
      <c r="L255" s="584">
        <f t="shared" ref="L255:L306" si="182">I255/K255</f>
        <v>4</v>
      </c>
      <c r="M255" s="585">
        <v>45856</v>
      </c>
      <c r="N255" s="585">
        <v>45852</v>
      </c>
      <c r="O255" s="586" t="s">
        <v>1270</v>
      </c>
      <c r="P255" s="586" t="s">
        <v>83</v>
      </c>
      <c r="Q255" s="587" t="s">
        <v>1223</v>
      </c>
      <c r="R255" s="586" t="s">
        <v>1258</v>
      </c>
      <c r="S255" s="586"/>
      <c r="T255" s="586"/>
      <c r="U255" s="586" t="s">
        <v>86</v>
      </c>
      <c r="V255" s="586" t="s">
        <v>1259</v>
      </c>
      <c r="W255" s="586"/>
      <c r="X255" s="588" t="s">
        <v>1271</v>
      </c>
      <c r="Y255" s="641" t="s">
        <v>287</v>
      </c>
      <c r="Z255" s="590">
        <v>6.0417</v>
      </c>
      <c r="AA255" s="591">
        <f t="shared" si="168"/>
        <v>96.6672</v>
      </c>
      <c r="AB255" s="619"/>
      <c r="AC255" s="582" t="s">
        <v>829</v>
      </c>
      <c r="AD255" s="593" t="s">
        <v>89</v>
      </c>
      <c r="AE255" s="611"/>
      <c r="AF255" s="611"/>
      <c r="AG255" s="595"/>
      <c r="AH255" s="613"/>
      <c r="AI255" s="622"/>
      <c r="AJ255" s="592">
        <f t="shared" si="178"/>
        <v>16</v>
      </c>
      <c r="AK255" s="621"/>
      <c r="AL255" s="622"/>
      <c r="AM255" s="612"/>
      <c r="AN255" s="598">
        <f t="shared" si="172"/>
        <v>16</v>
      </c>
      <c r="AO255" s="621"/>
      <c r="AP255" s="622"/>
      <c r="AQ255" s="622"/>
      <c r="AR255" s="592"/>
      <c r="AS255" s="622"/>
      <c r="AT255" s="622"/>
      <c r="AU255" s="621">
        <f t="shared" si="179"/>
        <v>16</v>
      </c>
      <c r="AV255" s="618"/>
      <c r="AW255" s="592">
        <f t="shared" si="174"/>
        <v>16</v>
      </c>
      <c r="AX255" s="621"/>
      <c r="AY255" s="637"/>
      <c r="AZ255" s="618"/>
      <c r="BA255" s="618"/>
      <c r="BB255" s="618"/>
      <c r="BC255" s="621"/>
      <c r="BD255" s="621"/>
      <c r="BE255" s="623"/>
      <c r="BF255" s="602" t="s">
        <v>90</v>
      </c>
      <c r="BG255" s="603"/>
      <c r="BH255" s="604"/>
      <c r="BI255" s="605"/>
      <c r="BJ255" s="602"/>
      <c r="BK255" s="602"/>
      <c r="BL255" s="602"/>
      <c r="BM255" s="602">
        <f t="shared" si="181"/>
        <v>16</v>
      </c>
      <c r="BN255" s="650"/>
      <c r="BO255" s="650"/>
      <c r="BP255" s="650"/>
      <c r="BQ255" s="650"/>
      <c r="BR255" s="650"/>
      <c r="BS255" s="650"/>
      <c r="BT255" s="607">
        <f t="shared" si="169"/>
        <v>16</v>
      </c>
      <c r="BU255" s="608">
        <f t="shared" si="170"/>
        <v>0</v>
      </c>
      <c r="BV255" s="517"/>
      <c r="BW255" s="491"/>
      <c r="XEO255" s="651"/>
      <c r="XEP255" s="652"/>
      <c r="XEQ255" s="653"/>
      <c r="XER255" s="654"/>
      <c r="XES255" s="655"/>
      <c r="XET255" s="654"/>
      <c r="XEU255" s="656"/>
      <c r="XEV255" s="656"/>
      <c r="XEW255" s="657"/>
      <c r="XEX255" s="658"/>
      <c r="XEY255" s="658"/>
      <c r="XEZ255" s="658"/>
      <c r="XFA255" s="658"/>
      <c r="XFB255" s="659"/>
      <c r="XFC255" s="659"/>
      <c r="XFD255" s="660"/>
    </row>
    <row r="256" s="490" customFormat="1" ht="33" customHeight="1" spans="1:75 16369:16384">
      <c r="A256" s="577">
        <v>45824</v>
      </c>
      <c r="B256" s="581" t="s">
        <v>1276</v>
      </c>
      <c r="C256" s="579" t="s">
        <v>359</v>
      </c>
      <c r="D256" s="580">
        <v>4500170137</v>
      </c>
      <c r="E256" s="616" t="s">
        <v>1331</v>
      </c>
      <c r="F256" s="580" t="s">
        <v>1332</v>
      </c>
      <c r="G256" s="582" t="s">
        <v>826</v>
      </c>
      <c r="H256" s="578" t="s">
        <v>827</v>
      </c>
      <c r="I256" s="583">
        <v>16</v>
      </c>
      <c r="J256" s="583">
        <v>0</v>
      </c>
      <c r="K256" s="583">
        <v>4</v>
      </c>
      <c r="L256" s="584">
        <f t="shared" si="182"/>
        <v>4</v>
      </c>
      <c r="M256" s="585">
        <v>45859</v>
      </c>
      <c r="N256" s="585">
        <v>45855</v>
      </c>
      <c r="O256" s="586"/>
      <c r="P256" s="586" t="s">
        <v>83</v>
      </c>
      <c r="Q256" s="587" t="s">
        <v>1223</v>
      </c>
      <c r="R256" s="586" t="s">
        <v>1333</v>
      </c>
      <c r="S256" s="586"/>
      <c r="T256" s="586"/>
      <c r="U256" s="586" t="s">
        <v>86</v>
      </c>
      <c r="V256" s="586" t="s">
        <v>1259</v>
      </c>
      <c r="W256" s="586"/>
      <c r="X256" s="588" t="s">
        <v>1334</v>
      </c>
      <c r="Y256" s="618" t="s">
        <v>287</v>
      </c>
      <c r="Z256" s="590">
        <v>6.0417</v>
      </c>
      <c r="AA256" s="591">
        <f t="shared" si="168"/>
        <v>96.6672</v>
      </c>
      <c r="AB256" s="619"/>
      <c r="AC256" s="582" t="s">
        <v>829</v>
      </c>
      <c r="AD256" s="593" t="s">
        <v>89</v>
      </c>
      <c r="AE256" s="620"/>
      <c r="AF256" s="620"/>
      <c r="AG256" s="595"/>
      <c r="AH256" s="620"/>
      <c r="AI256" s="620"/>
      <c r="AJ256" s="595">
        <f t="shared" si="178"/>
        <v>16</v>
      </c>
      <c r="AK256" s="629"/>
      <c r="AL256" s="620"/>
      <c r="AM256" s="620"/>
      <c r="AN256" s="598">
        <f t="shared" si="172"/>
        <v>16</v>
      </c>
      <c r="AO256" s="621"/>
      <c r="AP256" s="622"/>
      <c r="AQ256" s="622"/>
      <c r="AR256" s="592"/>
      <c r="AS256" s="622"/>
      <c r="AT256" s="622"/>
      <c r="AU256" s="621">
        <f t="shared" si="179"/>
        <v>16</v>
      </c>
      <c r="AV256" s="621"/>
      <c r="AW256" s="592">
        <f t="shared" si="174"/>
        <v>16</v>
      </c>
      <c r="AX256" s="621"/>
      <c r="AY256" s="621"/>
      <c r="AZ256" s="621"/>
      <c r="BA256" s="621"/>
      <c r="BB256" s="621"/>
      <c r="BC256" s="621"/>
      <c r="BD256" s="621"/>
      <c r="BE256" s="623"/>
      <c r="BF256" s="602" t="s">
        <v>90</v>
      </c>
      <c r="BG256" s="603"/>
      <c r="BH256" s="604"/>
      <c r="BI256" s="605"/>
      <c r="BJ256" s="602"/>
      <c r="BK256" s="602"/>
      <c r="BL256" s="602"/>
      <c r="BM256" s="602">
        <f t="shared" si="181"/>
        <v>16</v>
      </c>
      <c r="BN256" s="624"/>
      <c r="BO256" s="624"/>
      <c r="BP256" s="624"/>
      <c r="BQ256" s="624"/>
      <c r="BR256" s="624"/>
      <c r="BS256" s="624"/>
      <c r="BT256" s="607">
        <f t="shared" si="169"/>
        <v>16</v>
      </c>
      <c r="BU256" s="608">
        <f t="shared" si="170"/>
        <v>0</v>
      </c>
      <c r="BV256" s="517"/>
      <c r="BW256" s="491"/>
    </row>
    <row r="257" s="490" customFormat="1" ht="33" customHeight="1" spans="1:75">
      <c r="A257" s="577">
        <v>45824</v>
      </c>
      <c r="B257" s="581" t="s">
        <v>1276</v>
      </c>
      <c r="C257" s="579" t="s">
        <v>359</v>
      </c>
      <c r="D257" s="580">
        <v>4500170137</v>
      </c>
      <c r="E257" s="616" t="s">
        <v>1335</v>
      </c>
      <c r="F257" s="580" t="s">
        <v>1336</v>
      </c>
      <c r="G257" s="582" t="s">
        <v>826</v>
      </c>
      <c r="H257" s="578" t="s">
        <v>827</v>
      </c>
      <c r="I257" s="583">
        <v>16</v>
      </c>
      <c r="J257" s="583">
        <v>0</v>
      </c>
      <c r="K257" s="583">
        <v>4</v>
      </c>
      <c r="L257" s="584">
        <f t="shared" si="182"/>
        <v>4</v>
      </c>
      <c r="M257" s="585">
        <v>45859</v>
      </c>
      <c r="N257" s="585">
        <v>45855</v>
      </c>
      <c r="O257" s="586"/>
      <c r="P257" s="586" t="s">
        <v>83</v>
      </c>
      <c r="Q257" s="587" t="s">
        <v>1223</v>
      </c>
      <c r="R257" s="586" t="s">
        <v>1333</v>
      </c>
      <c r="S257" s="586"/>
      <c r="T257" s="586"/>
      <c r="U257" s="586" t="s">
        <v>86</v>
      </c>
      <c r="V257" s="586" t="s">
        <v>1259</v>
      </c>
      <c r="W257" s="586"/>
      <c r="X257" s="588" t="s">
        <v>1334</v>
      </c>
      <c r="Y257" s="618" t="s">
        <v>287</v>
      </c>
      <c r="Z257" s="590">
        <v>6.0417</v>
      </c>
      <c r="AA257" s="591">
        <f t="shared" si="168"/>
        <v>96.6672</v>
      </c>
      <c r="AB257" s="619"/>
      <c r="AC257" s="582" t="s">
        <v>829</v>
      </c>
      <c r="AD257" s="593" t="s">
        <v>89</v>
      </c>
      <c r="AE257" s="620"/>
      <c r="AF257" s="620"/>
      <c r="AG257" s="595"/>
      <c r="AH257" s="620"/>
      <c r="AI257" s="620"/>
      <c r="AJ257" s="595">
        <f t="shared" si="178"/>
        <v>16</v>
      </c>
      <c r="AK257" s="629"/>
      <c r="AL257" s="620"/>
      <c r="AM257" s="620"/>
      <c r="AN257" s="598">
        <f t="shared" si="172"/>
        <v>16</v>
      </c>
      <c r="AO257" s="621"/>
      <c r="AP257" s="622"/>
      <c r="AQ257" s="622"/>
      <c r="AR257" s="592"/>
      <c r="AS257" s="622"/>
      <c r="AT257" s="622"/>
      <c r="AU257" s="621">
        <f t="shared" si="179"/>
        <v>16</v>
      </c>
      <c r="AV257" s="621"/>
      <c r="AW257" s="592">
        <f t="shared" si="174"/>
        <v>16</v>
      </c>
      <c r="AX257" s="621"/>
      <c r="AY257" s="621"/>
      <c r="AZ257" s="621"/>
      <c r="BA257" s="621"/>
      <c r="BB257" s="621"/>
      <c r="BC257" s="621"/>
      <c r="BD257" s="621"/>
      <c r="BE257" s="623"/>
      <c r="BF257" s="602" t="s">
        <v>90</v>
      </c>
      <c r="BG257" s="603"/>
      <c r="BH257" s="604"/>
      <c r="BI257" s="605"/>
      <c r="BJ257" s="602"/>
      <c r="BK257" s="602"/>
      <c r="BL257" s="602"/>
      <c r="BM257" s="602">
        <f t="shared" si="181"/>
        <v>16</v>
      </c>
      <c r="BN257" s="624"/>
      <c r="BO257" s="624"/>
      <c r="BP257" s="624"/>
      <c r="BQ257" s="624"/>
      <c r="BR257" s="624"/>
      <c r="BS257" s="624"/>
      <c r="BT257" s="607">
        <f t="shared" si="169"/>
        <v>16</v>
      </c>
      <c r="BU257" s="608">
        <f t="shared" si="170"/>
        <v>0</v>
      </c>
      <c r="BV257" s="517"/>
      <c r="BW257" s="491"/>
    </row>
    <row r="258" s="490" customFormat="1" ht="33" customHeight="1" spans="1:75">
      <c r="A258" s="577">
        <v>45824</v>
      </c>
      <c r="B258" s="581" t="s">
        <v>1276</v>
      </c>
      <c r="C258" s="579" t="s">
        <v>359</v>
      </c>
      <c r="D258" s="580">
        <v>4500170137</v>
      </c>
      <c r="E258" s="616" t="s">
        <v>1337</v>
      </c>
      <c r="F258" s="580" t="s">
        <v>1338</v>
      </c>
      <c r="G258" s="582" t="s">
        <v>826</v>
      </c>
      <c r="H258" s="578" t="s">
        <v>827</v>
      </c>
      <c r="I258" s="583">
        <v>16</v>
      </c>
      <c r="J258" s="583">
        <v>0</v>
      </c>
      <c r="K258" s="583">
        <v>4</v>
      </c>
      <c r="L258" s="584">
        <f t="shared" si="182"/>
        <v>4</v>
      </c>
      <c r="M258" s="585">
        <v>45859</v>
      </c>
      <c r="N258" s="585">
        <v>45855</v>
      </c>
      <c r="O258" s="586"/>
      <c r="P258" s="586" t="s">
        <v>83</v>
      </c>
      <c r="Q258" s="587" t="s">
        <v>1223</v>
      </c>
      <c r="R258" s="586" t="s">
        <v>1333</v>
      </c>
      <c r="S258" s="586"/>
      <c r="T258" s="586"/>
      <c r="U258" s="586" t="s">
        <v>86</v>
      </c>
      <c r="V258" s="586" t="s">
        <v>1259</v>
      </c>
      <c r="W258" s="586"/>
      <c r="X258" s="588" t="s">
        <v>1334</v>
      </c>
      <c r="Y258" s="618" t="s">
        <v>287</v>
      </c>
      <c r="Z258" s="590">
        <v>6.0417</v>
      </c>
      <c r="AA258" s="591">
        <f t="shared" si="168"/>
        <v>96.6672</v>
      </c>
      <c r="AB258" s="619"/>
      <c r="AC258" s="582" t="s">
        <v>829</v>
      </c>
      <c r="AD258" s="593" t="s">
        <v>89</v>
      </c>
      <c r="AE258" s="620"/>
      <c r="AF258" s="620"/>
      <c r="AG258" s="595"/>
      <c r="AH258" s="620"/>
      <c r="AI258" s="620"/>
      <c r="AJ258" s="595">
        <f t="shared" si="178"/>
        <v>16</v>
      </c>
      <c r="AK258" s="629"/>
      <c r="AL258" s="620"/>
      <c r="AM258" s="620"/>
      <c r="AN258" s="598">
        <f t="shared" si="172"/>
        <v>16</v>
      </c>
      <c r="AO258" s="621"/>
      <c r="AP258" s="622"/>
      <c r="AQ258" s="622"/>
      <c r="AR258" s="592"/>
      <c r="AS258" s="622"/>
      <c r="AT258" s="622"/>
      <c r="AU258" s="621">
        <f t="shared" si="179"/>
        <v>16</v>
      </c>
      <c r="AV258" s="621"/>
      <c r="AW258" s="592">
        <f t="shared" si="174"/>
        <v>16</v>
      </c>
      <c r="AX258" s="621"/>
      <c r="AY258" s="621"/>
      <c r="AZ258" s="621"/>
      <c r="BA258" s="621"/>
      <c r="BB258" s="621"/>
      <c r="BC258" s="621"/>
      <c r="BD258" s="621"/>
      <c r="BE258" s="623"/>
      <c r="BF258" s="602" t="s">
        <v>90</v>
      </c>
      <c r="BG258" s="603"/>
      <c r="BH258" s="604"/>
      <c r="BI258" s="605"/>
      <c r="BJ258" s="602"/>
      <c r="BK258" s="602"/>
      <c r="BL258" s="602"/>
      <c r="BM258" s="602">
        <f t="shared" si="181"/>
        <v>16</v>
      </c>
      <c r="BN258" s="624"/>
      <c r="BO258" s="624"/>
      <c r="BP258" s="624"/>
      <c r="BQ258" s="624"/>
      <c r="BR258" s="624"/>
      <c r="BS258" s="624"/>
      <c r="BT258" s="607">
        <f t="shared" si="169"/>
        <v>16</v>
      </c>
      <c r="BU258" s="608">
        <f t="shared" si="170"/>
        <v>0</v>
      </c>
      <c r="BV258" s="517"/>
      <c r="BW258" s="491"/>
    </row>
    <row r="259" s="490" customFormat="1" ht="33" customHeight="1" spans="1:75">
      <c r="A259" s="577">
        <v>45824</v>
      </c>
      <c r="B259" s="581" t="s">
        <v>1276</v>
      </c>
      <c r="C259" s="579" t="s">
        <v>359</v>
      </c>
      <c r="D259" s="580">
        <v>4500170137</v>
      </c>
      <c r="E259" s="616" t="s">
        <v>1339</v>
      </c>
      <c r="F259" s="580" t="s">
        <v>1340</v>
      </c>
      <c r="G259" s="582" t="s">
        <v>826</v>
      </c>
      <c r="H259" s="578" t="s">
        <v>827</v>
      </c>
      <c r="I259" s="583">
        <v>16</v>
      </c>
      <c r="J259" s="583">
        <v>0</v>
      </c>
      <c r="K259" s="583">
        <v>4</v>
      </c>
      <c r="L259" s="584">
        <f t="shared" si="182"/>
        <v>4</v>
      </c>
      <c r="M259" s="585">
        <v>45859</v>
      </c>
      <c r="N259" s="585">
        <v>45855</v>
      </c>
      <c r="O259" s="586"/>
      <c r="P259" s="586" t="s">
        <v>83</v>
      </c>
      <c r="Q259" s="587" t="s">
        <v>1223</v>
      </c>
      <c r="R259" s="586" t="s">
        <v>1333</v>
      </c>
      <c r="S259" s="586"/>
      <c r="T259" s="586"/>
      <c r="U259" s="586" t="s">
        <v>86</v>
      </c>
      <c r="V259" s="586" t="s">
        <v>1259</v>
      </c>
      <c r="W259" s="586"/>
      <c r="X259" s="588" t="s">
        <v>1334</v>
      </c>
      <c r="Y259" s="618" t="s">
        <v>287</v>
      </c>
      <c r="Z259" s="590">
        <v>6.0417</v>
      </c>
      <c r="AA259" s="591">
        <f t="shared" si="168"/>
        <v>96.6672</v>
      </c>
      <c r="AB259" s="619"/>
      <c r="AC259" s="582" t="s">
        <v>829</v>
      </c>
      <c r="AD259" s="593" t="s">
        <v>89</v>
      </c>
      <c r="AE259" s="620"/>
      <c r="AF259" s="620"/>
      <c r="AG259" s="595"/>
      <c r="AH259" s="620"/>
      <c r="AI259" s="620"/>
      <c r="AJ259" s="595">
        <f t="shared" si="178"/>
        <v>16</v>
      </c>
      <c r="AK259" s="629"/>
      <c r="AL259" s="620"/>
      <c r="AM259" s="620"/>
      <c r="AN259" s="598">
        <f t="shared" si="172"/>
        <v>16</v>
      </c>
      <c r="AO259" s="621"/>
      <c r="AP259" s="622"/>
      <c r="AQ259" s="622"/>
      <c r="AR259" s="592"/>
      <c r="AS259" s="622"/>
      <c r="AT259" s="622"/>
      <c r="AU259" s="621">
        <f t="shared" si="179"/>
        <v>16</v>
      </c>
      <c r="AV259" s="621"/>
      <c r="AW259" s="592">
        <f t="shared" si="174"/>
        <v>16</v>
      </c>
      <c r="AX259" s="621"/>
      <c r="AY259" s="621"/>
      <c r="AZ259" s="621"/>
      <c r="BA259" s="621"/>
      <c r="BB259" s="621"/>
      <c r="BC259" s="621"/>
      <c r="BD259" s="621"/>
      <c r="BE259" s="623"/>
      <c r="BF259" s="602" t="s">
        <v>90</v>
      </c>
      <c r="BG259" s="603"/>
      <c r="BH259" s="604"/>
      <c r="BI259" s="605"/>
      <c r="BJ259" s="602"/>
      <c r="BK259" s="602"/>
      <c r="BL259" s="602"/>
      <c r="BM259" s="602">
        <f t="shared" si="181"/>
        <v>16</v>
      </c>
      <c r="BN259" s="624"/>
      <c r="BO259" s="624"/>
      <c r="BP259" s="624"/>
      <c r="BQ259" s="624"/>
      <c r="BR259" s="624"/>
      <c r="BS259" s="624"/>
      <c r="BT259" s="607">
        <f t="shared" si="169"/>
        <v>16</v>
      </c>
      <c r="BU259" s="608">
        <f t="shared" si="170"/>
        <v>0</v>
      </c>
      <c r="BV259" s="517"/>
      <c r="BW259" s="491"/>
    </row>
    <row r="260" s="490" customFormat="1" ht="33" customHeight="1" spans="1:75">
      <c r="A260" s="577">
        <v>45824</v>
      </c>
      <c r="B260" s="581" t="s">
        <v>1276</v>
      </c>
      <c r="C260" s="579" t="s">
        <v>359</v>
      </c>
      <c r="D260" s="580">
        <v>4500170130</v>
      </c>
      <c r="E260" s="616" t="s">
        <v>1341</v>
      </c>
      <c r="F260" s="580" t="s">
        <v>1342</v>
      </c>
      <c r="G260" s="582" t="s">
        <v>280</v>
      </c>
      <c r="H260" s="578" t="s">
        <v>281</v>
      </c>
      <c r="I260" s="583">
        <v>52</v>
      </c>
      <c r="J260" s="583">
        <v>0</v>
      </c>
      <c r="K260" s="583">
        <v>4</v>
      </c>
      <c r="L260" s="584">
        <f t="shared" si="182"/>
        <v>13</v>
      </c>
      <c r="M260" s="585">
        <v>45859</v>
      </c>
      <c r="N260" s="585">
        <v>45855</v>
      </c>
      <c r="O260" s="586" t="s">
        <v>1270</v>
      </c>
      <c r="P260" s="586" t="s">
        <v>83</v>
      </c>
      <c r="Q260" s="587" t="s">
        <v>1223</v>
      </c>
      <c r="R260" s="586" t="s">
        <v>1333</v>
      </c>
      <c r="S260" s="586"/>
      <c r="T260" s="586"/>
      <c r="U260" s="586" t="s">
        <v>86</v>
      </c>
      <c r="V260" s="586" t="s">
        <v>1259</v>
      </c>
      <c r="W260" s="586"/>
      <c r="X260" s="588" t="s">
        <v>1334</v>
      </c>
      <c r="Y260" s="618" t="s">
        <v>287</v>
      </c>
      <c r="Z260" s="590">
        <v>6.1693</v>
      </c>
      <c r="AA260" s="591">
        <f t="shared" si="168"/>
        <v>320.8036</v>
      </c>
      <c r="AB260" s="619"/>
      <c r="AC260" s="582" t="s">
        <v>1261</v>
      </c>
      <c r="AD260" s="593" t="s">
        <v>89</v>
      </c>
      <c r="AE260" s="620"/>
      <c r="AF260" s="620"/>
      <c r="AG260" s="595"/>
      <c r="AH260" s="620"/>
      <c r="AI260" s="620"/>
      <c r="AJ260" s="595">
        <f t="shared" si="178"/>
        <v>52</v>
      </c>
      <c r="AK260" s="629"/>
      <c r="AL260" s="620"/>
      <c r="AM260" s="620"/>
      <c r="AN260" s="598">
        <f t="shared" si="172"/>
        <v>52</v>
      </c>
      <c r="AO260" s="621"/>
      <c r="AP260" s="622"/>
      <c r="AQ260" s="622"/>
      <c r="AR260" s="592"/>
      <c r="AS260" s="622"/>
      <c r="AT260" s="622"/>
      <c r="AU260" s="621">
        <f t="shared" si="179"/>
        <v>52</v>
      </c>
      <c r="AV260" s="621"/>
      <c r="AW260" s="592">
        <f t="shared" si="174"/>
        <v>52</v>
      </c>
      <c r="AX260" s="621"/>
      <c r="AY260" s="621"/>
      <c r="AZ260" s="621"/>
      <c r="BA260" s="621"/>
      <c r="BB260" s="621"/>
      <c r="BC260" s="621"/>
      <c r="BD260" s="621"/>
      <c r="BE260" s="623"/>
      <c r="BF260" s="602" t="s">
        <v>90</v>
      </c>
      <c r="BG260" s="603"/>
      <c r="BH260" s="604"/>
      <c r="BI260" s="633"/>
      <c r="BJ260" s="602">
        <f>I260</f>
        <v>52</v>
      </c>
      <c r="BK260" s="633"/>
      <c r="BL260" s="633"/>
      <c r="BM260" s="633"/>
      <c r="BN260" s="624"/>
      <c r="BO260" s="624"/>
      <c r="BP260" s="624"/>
      <c r="BQ260" s="624"/>
      <c r="BR260" s="624"/>
      <c r="BS260" s="624"/>
      <c r="BT260" s="607">
        <f t="shared" si="169"/>
        <v>52</v>
      </c>
      <c r="BU260" s="608">
        <f t="shared" si="170"/>
        <v>0</v>
      </c>
      <c r="BV260" s="517"/>
      <c r="BW260" s="491"/>
    </row>
    <row r="261" s="490" customFormat="1" ht="33" customHeight="1" spans="1:75">
      <c r="A261" s="577">
        <v>45824</v>
      </c>
      <c r="B261" s="581" t="s">
        <v>1276</v>
      </c>
      <c r="C261" s="579" t="s">
        <v>359</v>
      </c>
      <c r="D261" s="580">
        <v>4500170130</v>
      </c>
      <c r="E261" s="616" t="s">
        <v>1343</v>
      </c>
      <c r="F261" s="580" t="s">
        <v>1344</v>
      </c>
      <c r="G261" s="582" t="s">
        <v>280</v>
      </c>
      <c r="H261" s="578" t="s">
        <v>281</v>
      </c>
      <c r="I261" s="583">
        <v>12</v>
      </c>
      <c r="J261" s="583">
        <v>0</v>
      </c>
      <c r="K261" s="583">
        <v>4</v>
      </c>
      <c r="L261" s="584">
        <f t="shared" si="182"/>
        <v>3</v>
      </c>
      <c r="M261" s="585">
        <v>45859</v>
      </c>
      <c r="N261" s="585">
        <v>45855</v>
      </c>
      <c r="O261" s="586" t="s">
        <v>1270</v>
      </c>
      <c r="P261" s="586" t="s">
        <v>83</v>
      </c>
      <c r="Q261" s="587" t="s">
        <v>1223</v>
      </c>
      <c r="R261" s="586" t="s">
        <v>1333</v>
      </c>
      <c r="S261" s="586"/>
      <c r="T261" s="586"/>
      <c r="U261" s="586" t="s">
        <v>86</v>
      </c>
      <c r="V261" s="586" t="s">
        <v>1259</v>
      </c>
      <c r="W261" s="586"/>
      <c r="X261" s="588" t="s">
        <v>1334</v>
      </c>
      <c r="Y261" s="618" t="s">
        <v>287</v>
      </c>
      <c r="Z261" s="590">
        <v>6.1693</v>
      </c>
      <c r="AA261" s="591">
        <f t="shared" si="168"/>
        <v>74.0316</v>
      </c>
      <c r="AB261" s="619"/>
      <c r="AC261" s="582" t="s">
        <v>1261</v>
      </c>
      <c r="AD261" s="593" t="s">
        <v>89</v>
      </c>
      <c r="AE261" s="620"/>
      <c r="AF261" s="620"/>
      <c r="AG261" s="595"/>
      <c r="AH261" s="620"/>
      <c r="AI261" s="620"/>
      <c r="AJ261" s="595">
        <f t="shared" ref="AJ261:AJ273" si="183">I261</f>
        <v>12</v>
      </c>
      <c r="AK261" s="629"/>
      <c r="AL261" s="620"/>
      <c r="AM261" s="620"/>
      <c r="AN261" s="598">
        <f t="shared" si="172"/>
        <v>12</v>
      </c>
      <c r="AO261" s="621"/>
      <c r="AP261" s="622"/>
      <c r="AQ261" s="622"/>
      <c r="AR261" s="592"/>
      <c r="AS261" s="622"/>
      <c r="AT261" s="622"/>
      <c r="AU261" s="621">
        <f t="shared" ref="AU261:AU273" si="184">I261</f>
        <v>12</v>
      </c>
      <c r="AV261" s="621"/>
      <c r="AW261" s="592">
        <f t="shared" si="174"/>
        <v>12</v>
      </c>
      <c r="AX261" s="621"/>
      <c r="AY261" s="621"/>
      <c r="AZ261" s="621"/>
      <c r="BA261" s="621"/>
      <c r="BB261" s="621"/>
      <c r="BC261" s="621"/>
      <c r="BD261" s="621"/>
      <c r="BE261" s="623"/>
      <c r="BF261" s="602" t="s">
        <v>90</v>
      </c>
      <c r="BG261" s="603"/>
      <c r="BH261" s="604"/>
      <c r="BI261" s="633"/>
      <c r="BJ261" s="602">
        <f>I261</f>
        <v>12</v>
      </c>
      <c r="BK261" s="633"/>
      <c r="BL261" s="633"/>
      <c r="BM261" s="633"/>
      <c r="BN261" s="624"/>
      <c r="BO261" s="624"/>
      <c r="BP261" s="624"/>
      <c r="BQ261" s="624"/>
      <c r="BR261" s="624"/>
      <c r="BS261" s="624"/>
      <c r="BT261" s="607">
        <f t="shared" si="169"/>
        <v>12</v>
      </c>
      <c r="BU261" s="608">
        <f t="shared" si="170"/>
        <v>0</v>
      </c>
      <c r="BV261" s="517"/>
      <c r="BW261" s="491"/>
    </row>
    <row r="262" s="490" customFormat="1" ht="33" customHeight="1" spans="1:75">
      <c r="A262" s="577">
        <v>45824</v>
      </c>
      <c r="B262" s="581" t="s">
        <v>1276</v>
      </c>
      <c r="C262" s="579" t="s">
        <v>359</v>
      </c>
      <c r="D262" s="580">
        <v>4500170130</v>
      </c>
      <c r="E262" s="616" t="s">
        <v>1345</v>
      </c>
      <c r="F262" s="580" t="s">
        <v>1346</v>
      </c>
      <c r="G262" s="582" t="s">
        <v>280</v>
      </c>
      <c r="H262" s="578" t="s">
        <v>281</v>
      </c>
      <c r="I262" s="583">
        <v>12</v>
      </c>
      <c r="J262" s="583">
        <v>0</v>
      </c>
      <c r="K262" s="583">
        <v>4</v>
      </c>
      <c r="L262" s="584">
        <f t="shared" si="182"/>
        <v>3</v>
      </c>
      <c r="M262" s="585">
        <v>45859</v>
      </c>
      <c r="N262" s="585">
        <v>45855</v>
      </c>
      <c r="O262" s="586" t="s">
        <v>1270</v>
      </c>
      <c r="P262" s="586" t="s">
        <v>83</v>
      </c>
      <c r="Q262" s="587" t="s">
        <v>1223</v>
      </c>
      <c r="R262" s="586" t="s">
        <v>1333</v>
      </c>
      <c r="S262" s="586"/>
      <c r="T262" s="586"/>
      <c r="U262" s="586" t="s">
        <v>86</v>
      </c>
      <c r="V262" s="586" t="s">
        <v>1259</v>
      </c>
      <c r="W262" s="586"/>
      <c r="X262" s="588" t="s">
        <v>1334</v>
      </c>
      <c r="Y262" s="618" t="s">
        <v>287</v>
      </c>
      <c r="Z262" s="590">
        <v>6.1693</v>
      </c>
      <c r="AA262" s="591">
        <f t="shared" si="168"/>
        <v>74.0316</v>
      </c>
      <c r="AB262" s="619"/>
      <c r="AC262" s="582" t="s">
        <v>1261</v>
      </c>
      <c r="AD262" s="593" t="s">
        <v>89</v>
      </c>
      <c r="AE262" s="620"/>
      <c r="AF262" s="620"/>
      <c r="AG262" s="595"/>
      <c r="AH262" s="620"/>
      <c r="AI262" s="620"/>
      <c r="AJ262" s="595">
        <f t="shared" si="183"/>
        <v>12</v>
      </c>
      <c r="AK262" s="629"/>
      <c r="AL262" s="620"/>
      <c r="AM262" s="620"/>
      <c r="AN262" s="598">
        <f t="shared" si="172"/>
        <v>12</v>
      </c>
      <c r="AO262" s="621"/>
      <c r="AP262" s="622"/>
      <c r="AQ262" s="622"/>
      <c r="AR262" s="592"/>
      <c r="AS262" s="622"/>
      <c r="AT262" s="622"/>
      <c r="AU262" s="621">
        <f t="shared" si="184"/>
        <v>12</v>
      </c>
      <c r="AV262" s="621"/>
      <c r="AW262" s="592">
        <f t="shared" si="174"/>
        <v>12</v>
      </c>
      <c r="AX262" s="621"/>
      <c r="AY262" s="621"/>
      <c r="AZ262" s="621"/>
      <c r="BA262" s="621"/>
      <c r="BB262" s="621"/>
      <c r="BC262" s="621"/>
      <c r="BD262" s="621"/>
      <c r="BE262" s="623"/>
      <c r="BF262" s="602" t="s">
        <v>90</v>
      </c>
      <c r="BG262" s="603"/>
      <c r="BH262" s="604"/>
      <c r="BI262" s="633"/>
      <c r="BJ262" s="602">
        <f>I262</f>
        <v>12</v>
      </c>
      <c r="BK262" s="633"/>
      <c r="BL262" s="633"/>
      <c r="BM262" s="633"/>
      <c r="BN262" s="624"/>
      <c r="BO262" s="624"/>
      <c r="BP262" s="624"/>
      <c r="BQ262" s="624"/>
      <c r="BR262" s="624"/>
      <c r="BS262" s="624"/>
      <c r="BT262" s="607">
        <f t="shared" si="169"/>
        <v>12</v>
      </c>
      <c r="BU262" s="608">
        <f t="shared" si="170"/>
        <v>0</v>
      </c>
      <c r="BV262" s="517"/>
      <c r="BW262" s="491"/>
    </row>
    <row r="263" s="490" customFormat="1" ht="33" customHeight="1" spans="1:75">
      <c r="A263" s="577">
        <v>45824</v>
      </c>
      <c r="B263" s="581" t="s">
        <v>1276</v>
      </c>
      <c r="C263" s="579" t="s">
        <v>359</v>
      </c>
      <c r="D263" s="580">
        <v>4500170130</v>
      </c>
      <c r="E263" s="616" t="s">
        <v>1347</v>
      </c>
      <c r="F263" s="580" t="s">
        <v>1348</v>
      </c>
      <c r="G263" s="582" t="s">
        <v>280</v>
      </c>
      <c r="H263" s="578" t="s">
        <v>281</v>
      </c>
      <c r="I263" s="583">
        <v>40</v>
      </c>
      <c r="J263" s="583">
        <v>0</v>
      </c>
      <c r="K263" s="583">
        <v>4</v>
      </c>
      <c r="L263" s="584">
        <f t="shared" si="182"/>
        <v>10</v>
      </c>
      <c r="M263" s="585">
        <v>45859</v>
      </c>
      <c r="N263" s="585">
        <v>45855</v>
      </c>
      <c r="O263" s="586" t="s">
        <v>1270</v>
      </c>
      <c r="P263" s="586" t="s">
        <v>83</v>
      </c>
      <c r="Q263" s="587" t="s">
        <v>1223</v>
      </c>
      <c r="R263" s="586" t="s">
        <v>1333</v>
      </c>
      <c r="S263" s="586"/>
      <c r="T263" s="586"/>
      <c r="U263" s="586" t="s">
        <v>86</v>
      </c>
      <c r="V263" s="586" t="s">
        <v>1259</v>
      </c>
      <c r="W263" s="586"/>
      <c r="X263" s="588" t="s">
        <v>1334</v>
      </c>
      <c r="Y263" s="618" t="s">
        <v>287</v>
      </c>
      <c r="Z263" s="590">
        <v>6.1693</v>
      </c>
      <c r="AA263" s="591">
        <f t="shared" si="168"/>
        <v>246.772</v>
      </c>
      <c r="AB263" s="619"/>
      <c r="AC263" s="582" t="s">
        <v>1261</v>
      </c>
      <c r="AD263" s="593" t="s">
        <v>89</v>
      </c>
      <c r="AE263" s="620"/>
      <c r="AF263" s="620"/>
      <c r="AG263" s="595"/>
      <c r="AH263" s="620"/>
      <c r="AI263" s="620"/>
      <c r="AJ263" s="595">
        <f t="shared" si="183"/>
        <v>40</v>
      </c>
      <c r="AK263" s="629"/>
      <c r="AL263" s="620"/>
      <c r="AM263" s="620"/>
      <c r="AN263" s="598">
        <f t="shared" si="172"/>
        <v>40</v>
      </c>
      <c r="AO263" s="621"/>
      <c r="AP263" s="622"/>
      <c r="AQ263" s="622"/>
      <c r="AR263" s="592"/>
      <c r="AS263" s="622"/>
      <c r="AT263" s="622"/>
      <c r="AU263" s="621">
        <f t="shared" si="184"/>
        <v>40</v>
      </c>
      <c r="AV263" s="621"/>
      <c r="AW263" s="592">
        <f t="shared" si="174"/>
        <v>40</v>
      </c>
      <c r="AX263" s="621"/>
      <c r="AY263" s="621"/>
      <c r="AZ263" s="621"/>
      <c r="BA263" s="621"/>
      <c r="BB263" s="621"/>
      <c r="BC263" s="621"/>
      <c r="BD263" s="621"/>
      <c r="BE263" s="623"/>
      <c r="BF263" s="602" t="s">
        <v>90</v>
      </c>
      <c r="BG263" s="603"/>
      <c r="BH263" s="604"/>
      <c r="BI263" s="633"/>
      <c r="BJ263" s="602">
        <f>I263</f>
        <v>40</v>
      </c>
      <c r="BK263" s="633"/>
      <c r="BL263" s="633"/>
      <c r="BM263" s="633"/>
      <c r="BN263" s="624"/>
      <c r="BO263" s="624"/>
      <c r="BP263" s="624"/>
      <c r="BQ263" s="624"/>
      <c r="BR263" s="624"/>
      <c r="BS263" s="624"/>
      <c r="BT263" s="607">
        <f t="shared" si="169"/>
        <v>40</v>
      </c>
      <c r="BU263" s="608">
        <f t="shared" si="170"/>
        <v>0</v>
      </c>
      <c r="BV263" s="517"/>
      <c r="BW263" s="491"/>
    </row>
    <row r="264" s="490" customFormat="1" ht="33" customHeight="1" spans="1:75">
      <c r="A264" s="577">
        <v>45824</v>
      </c>
      <c r="B264" s="581" t="s">
        <v>1276</v>
      </c>
      <c r="C264" s="579" t="s">
        <v>359</v>
      </c>
      <c r="D264" s="580">
        <v>4500170130</v>
      </c>
      <c r="E264" s="616" t="s">
        <v>1349</v>
      </c>
      <c r="F264" s="580" t="s">
        <v>1350</v>
      </c>
      <c r="G264" s="582" t="s">
        <v>280</v>
      </c>
      <c r="H264" s="578" t="s">
        <v>281</v>
      </c>
      <c r="I264" s="583">
        <v>44</v>
      </c>
      <c r="J264" s="583">
        <v>0</v>
      </c>
      <c r="K264" s="583">
        <v>4</v>
      </c>
      <c r="L264" s="584">
        <f t="shared" si="182"/>
        <v>11</v>
      </c>
      <c r="M264" s="585">
        <v>45859</v>
      </c>
      <c r="N264" s="585">
        <v>45855</v>
      </c>
      <c r="O264" s="586" t="s">
        <v>1270</v>
      </c>
      <c r="P264" s="586" t="s">
        <v>83</v>
      </c>
      <c r="Q264" s="587" t="s">
        <v>1223</v>
      </c>
      <c r="R264" s="586" t="s">
        <v>1333</v>
      </c>
      <c r="S264" s="586"/>
      <c r="T264" s="586"/>
      <c r="U264" s="641" t="s">
        <v>86</v>
      </c>
      <c r="V264" s="641" t="s">
        <v>1259</v>
      </c>
      <c r="W264" s="641"/>
      <c r="X264" s="661" t="s">
        <v>1334</v>
      </c>
      <c r="Y264" s="618" t="s">
        <v>287</v>
      </c>
      <c r="Z264" s="590">
        <v>6.1693</v>
      </c>
      <c r="AA264" s="591">
        <f t="shared" si="168"/>
        <v>271.4492</v>
      </c>
      <c r="AB264" s="619"/>
      <c r="AC264" s="582" t="s">
        <v>1261</v>
      </c>
      <c r="AD264" s="593" t="s">
        <v>89</v>
      </c>
      <c r="AE264" s="620"/>
      <c r="AF264" s="620"/>
      <c r="AG264" s="595"/>
      <c r="AH264" s="620"/>
      <c r="AI264" s="620"/>
      <c r="AJ264" s="595">
        <f t="shared" si="183"/>
        <v>44</v>
      </c>
      <c r="AK264" s="629"/>
      <c r="AL264" s="620"/>
      <c r="AM264" s="620"/>
      <c r="AN264" s="598">
        <f t="shared" si="172"/>
        <v>44</v>
      </c>
      <c r="AO264" s="621"/>
      <c r="AP264" s="622"/>
      <c r="AQ264" s="622"/>
      <c r="AR264" s="592"/>
      <c r="AS264" s="622"/>
      <c r="AT264" s="622"/>
      <c r="AU264" s="621">
        <f t="shared" si="184"/>
        <v>44</v>
      </c>
      <c r="AV264" s="621"/>
      <c r="AW264" s="592">
        <f t="shared" si="174"/>
        <v>44</v>
      </c>
      <c r="AX264" s="621"/>
      <c r="AY264" s="621"/>
      <c r="AZ264" s="621"/>
      <c r="BA264" s="621"/>
      <c r="BB264" s="621"/>
      <c r="BC264" s="621"/>
      <c r="BD264" s="621"/>
      <c r="BE264" s="623"/>
      <c r="BF264" s="602" t="s">
        <v>90</v>
      </c>
      <c r="BG264" s="603"/>
      <c r="BH264" s="604"/>
      <c r="BI264" s="633"/>
      <c r="BJ264" s="602">
        <f>I264</f>
        <v>44</v>
      </c>
      <c r="BK264" s="633"/>
      <c r="BL264" s="633"/>
      <c r="BM264" s="633"/>
      <c r="BN264" s="624"/>
      <c r="BO264" s="624"/>
      <c r="BP264" s="624"/>
      <c r="BQ264" s="624"/>
      <c r="BR264" s="624"/>
      <c r="BS264" s="624"/>
      <c r="BT264" s="607">
        <f t="shared" si="169"/>
        <v>44</v>
      </c>
      <c r="BU264" s="608">
        <f t="shared" si="170"/>
        <v>0</v>
      </c>
      <c r="BV264" s="517"/>
      <c r="BW264" s="491"/>
    </row>
    <row r="265" s="490" customFormat="1" ht="33" customHeight="1" spans="1:75">
      <c r="A265" s="577">
        <v>45824</v>
      </c>
      <c r="B265" s="581" t="s">
        <v>1276</v>
      </c>
      <c r="C265" s="579" t="s">
        <v>359</v>
      </c>
      <c r="D265" s="580">
        <v>4500170130</v>
      </c>
      <c r="E265" s="616" t="s">
        <v>1351</v>
      </c>
      <c r="F265" s="580" t="s">
        <v>1352</v>
      </c>
      <c r="G265" s="582" t="s">
        <v>1059</v>
      </c>
      <c r="H265" s="578" t="s">
        <v>123</v>
      </c>
      <c r="I265" s="583">
        <v>52</v>
      </c>
      <c r="J265" s="583">
        <v>0</v>
      </c>
      <c r="K265" s="583">
        <v>4</v>
      </c>
      <c r="L265" s="584">
        <f t="shared" si="182"/>
        <v>13</v>
      </c>
      <c r="M265" s="585">
        <v>45859</v>
      </c>
      <c r="N265" s="585">
        <v>45855</v>
      </c>
      <c r="O265" s="586" t="s">
        <v>1270</v>
      </c>
      <c r="P265" s="586" t="s">
        <v>83</v>
      </c>
      <c r="Q265" s="587" t="s">
        <v>1223</v>
      </c>
      <c r="R265" s="586" t="s">
        <v>1333</v>
      </c>
      <c r="S265" s="586"/>
      <c r="T265" s="586"/>
      <c r="U265" s="641" t="s">
        <v>86</v>
      </c>
      <c r="V265" s="641" t="s">
        <v>1259</v>
      </c>
      <c r="W265" s="641"/>
      <c r="X265" s="661" t="s">
        <v>1334</v>
      </c>
      <c r="Y265" s="618" t="s">
        <v>287</v>
      </c>
      <c r="Z265" s="590">
        <v>5.7399</v>
      </c>
      <c r="AA265" s="591">
        <f t="shared" si="168"/>
        <v>298.4748</v>
      </c>
      <c r="AB265" s="619"/>
      <c r="AC265" s="638" t="s">
        <v>1067</v>
      </c>
      <c r="AD265" s="593" t="s">
        <v>89</v>
      </c>
      <c r="AE265" s="620"/>
      <c r="AF265" s="620"/>
      <c r="AG265" s="595"/>
      <c r="AH265" s="620"/>
      <c r="AI265" s="620"/>
      <c r="AJ265" s="595">
        <f t="shared" si="183"/>
        <v>52</v>
      </c>
      <c r="AK265" s="629"/>
      <c r="AL265" s="620"/>
      <c r="AM265" s="620"/>
      <c r="AN265" s="598">
        <f t="shared" si="172"/>
        <v>52</v>
      </c>
      <c r="AO265" s="621"/>
      <c r="AP265" s="622"/>
      <c r="AQ265" s="622"/>
      <c r="AR265" s="592"/>
      <c r="AS265" s="622"/>
      <c r="AT265" s="622"/>
      <c r="AU265" s="621">
        <f t="shared" si="184"/>
        <v>52</v>
      </c>
      <c r="AV265" s="621"/>
      <c r="AW265" s="592">
        <f t="shared" si="174"/>
        <v>52</v>
      </c>
      <c r="AX265" s="621"/>
      <c r="AY265" s="621"/>
      <c r="AZ265" s="621"/>
      <c r="BA265" s="621"/>
      <c r="BB265" s="621"/>
      <c r="BC265" s="621"/>
      <c r="BD265" s="621"/>
      <c r="BE265" s="623"/>
      <c r="BF265" s="602" t="s">
        <v>90</v>
      </c>
      <c r="BG265" s="603"/>
      <c r="BH265" s="604"/>
      <c r="BI265" s="605">
        <f t="shared" ref="BI265:BI272" si="185">I265</f>
        <v>52</v>
      </c>
      <c r="BJ265" s="602"/>
      <c r="BK265" s="602"/>
      <c r="BL265" s="602"/>
      <c r="BM265" s="602"/>
      <c r="BN265" s="624"/>
      <c r="BO265" s="624"/>
      <c r="BP265" s="624"/>
      <c r="BQ265" s="624"/>
      <c r="BR265" s="624"/>
      <c r="BS265" s="624"/>
      <c r="BT265" s="607">
        <f t="shared" si="169"/>
        <v>52</v>
      </c>
      <c r="BU265" s="608">
        <f t="shared" si="170"/>
        <v>0</v>
      </c>
      <c r="BV265" s="517"/>
      <c r="BW265" s="491"/>
    </row>
    <row r="266" s="490" customFormat="1" ht="33" customHeight="1" spans="1:75">
      <c r="A266" s="577">
        <v>45824</v>
      </c>
      <c r="B266" s="581" t="s">
        <v>1276</v>
      </c>
      <c r="C266" s="579" t="s">
        <v>359</v>
      </c>
      <c r="D266" s="580">
        <v>4500170130</v>
      </c>
      <c r="E266" s="616" t="s">
        <v>1353</v>
      </c>
      <c r="F266" s="580" t="s">
        <v>1354</v>
      </c>
      <c r="G266" s="582" t="s">
        <v>1059</v>
      </c>
      <c r="H266" s="578" t="s">
        <v>123</v>
      </c>
      <c r="I266" s="583">
        <v>16</v>
      </c>
      <c r="J266" s="583">
        <v>0</v>
      </c>
      <c r="K266" s="583">
        <v>4</v>
      </c>
      <c r="L266" s="584">
        <f t="shared" si="182"/>
        <v>4</v>
      </c>
      <c r="M266" s="585">
        <v>45859</v>
      </c>
      <c r="N266" s="585">
        <v>45855</v>
      </c>
      <c r="O266" s="586" t="s">
        <v>1270</v>
      </c>
      <c r="P266" s="586" t="s">
        <v>83</v>
      </c>
      <c r="Q266" s="587" t="s">
        <v>1223</v>
      </c>
      <c r="R266" s="586" t="s">
        <v>1333</v>
      </c>
      <c r="S266" s="586"/>
      <c r="T266" s="586"/>
      <c r="U266" s="641" t="s">
        <v>86</v>
      </c>
      <c r="V266" s="641" t="s">
        <v>1259</v>
      </c>
      <c r="W266" s="641"/>
      <c r="X266" s="661" t="s">
        <v>1334</v>
      </c>
      <c r="Y266" s="618" t="s">
        <v>287</v>
      </c>
      <c r="Z266" s="590">
        <v>5.7399</v>
      </c>
      <c r="AA266" s="591">
        <f t="shared" si="168"/>
        <v>91.8384</v>
      </c>
      <c r="AB266" s="619"/>
      <c r="AC266" s="638" t="s">
        <v>1067</v>
      </c>
      <c r="AD266" s="593" t="s">
        <v>89</v>
      </c>
      <c r="AE266" s="620"/>
      <c r="AF266" s="620"/>
      <c r="AG266" s="595"/>
      <c r="AH266" s="620"/>
      <c r="AI266" s="620"/>
      <c r="AJ266" s="595">
        <f t="shared" si="183"/>
        <v>16</v>
      </c>
      <c r="AK266" s="629"/>
      <c r="AL266" s="620"/>
      <c r="AM266" s="620"/>
      <c r="AN266" s="598">
        <f t="shared" si="172"/>
        <v>16</v>
      </c>
      <c r="AO266" s="621"/>
      <c r="AP266" s="622"/>
      <c r="AQ266" s="622"/>
      <c r="AR266" s="592"/>
      <c r="AS266" s="622"/>
      <c r="AT266" s="622"/>
      <c r="AU266" s="621">
        <f t="shared" si="184"/>
        <v>16</v>
      </c>
      <c r="AV266" s="621"/>
      <c r="AW266" s="592">
        <f t="shared" si="174"/>
        <v>16</v>
      </c>
      <c r="AX266" s="621"/>
      <c r="AY266" s="621"/>
      <c r="AZ266" s="621"/>
      <c r="BA266" s="621"/>
      <c r="BB266" s="621"/>
      <c r="BC266" s="621"/>
      <c r="BD266" s="621"/>
      <c r="BE266" s="623"/>
      <c r="BF266" s="602" t="s">
        <v>90</v>
      </c>
      <c r="BG266" s="603"/>
      <c r="BH266" s="604"/>
      <c r="BI266" s="605">
        <f t="shared" si="185"/>
        <v>16</v>
      </c>
      <c r="BJ266" s="602"/>
      <c r="BK266" s="602"/>
      <c r="BL266" s="602"/>
      <c r="BM266" s="602"/>
      <c r="BN266" s="624"/>
      <c r="BO266" s="624"/>
      <c r="BP266" s="624"/>
      <c r="BQ266" s="624"/>
      <c r="BR266" s="624"/>
      <c r="BS266" s="624"/>
      <c r="BT266" s="607">
        <f t="shared" si="169"/>
        <v>16</v>
      </c>
      <c r="BU266" s="608">
        <f t="shared" si="170"/>
        <v>0</v>
      </c>
      <c r="BV266" s="517"/>
      <c r="BW266" s="491"/>
    </row>
    <row r="267" s="490" customFormat="1" ht="33" customHeight="1" spans="1:75">
      <c r="A267" s="577">
        <v>45824</v>
      </c>
      <c r="B267" s="581" t="s">
        <v>1276</v>
      </c>
      <c r="C267" s="579" t="s">
        <v>359</v>
      </c>
      <c r="D267" s="580">
        <v>4500170130</v>
      </c>
      <c r="E267" s="616" t="s">
        <v>1355</v>
      </c>
      <c r="F267" s="580" t="s">
        <v>1356</v>
      </c>
      <c r="G267" s="582" t="s">
        <v>1059</v>
      </c>
      <c r="H267" s="578" t="s">
        <v>123</v>
      </c>
      <c r="I267" s="583">
        <v>16</v>
      </c>
      <c r="J267" s="583">
        <v>0</v>
      </c>
      <c r="K267" s="583">
        <v>4</v>
      </c>
      <c r="L267" s="584">
        <f t="shared" si="182"/>
        <v>4</v>
      </c>
      <c r="M267" s="585">
        <v>45859</v>
      </c>
      <c r="N267" s="585">
        <v>45855</v>
      </c>
      <c r="O267" s="586" t="s">
        <v>1270</v>
      </c>
      <c r="P267" s="586" t="s">
        <v>83</v>
      </c>
      <c r="Q267" s="587" t="s">
        <v>1223</v>
      </c>
      <c r="R267" s="586" t="s">
        <v>1333</v>
      </c>
      <c r="S267" s="586"/>
      <c r="T267" s="586"/>
      <c r="U267" s="641" t="s">
        <v>86</v>
      </c>
      <c r="V267" s="641" t="s">
        <v>1259</v>
      </c>
      <c r="W267" s="641"/>
      <c r="X267" s="661" t="s">
        <v>1334</v>
      </c>
      <c r="Y267" s="618" t="s">
        <v>287</v>
      </c>
      <c r="Z267" s="590">
        <v>5.7399</v>
      </c>
      <c r="AA267" s="591">
        <f t="shared" si="168"/>
        <v>91.8384</v>
      </c>
      <c r="AB267" s="619"/>
      <c r="AC267" s="638" t="s">
        <v>1067</v>
      </c>
      <c r="AD267" s="593" t="s">
        <v>89</v>
      </c>
      <c r="AE267" s="620"/>
      <c r="AF267" s="620"/>
      <c r="AG267" s="595"/>
      <c r="AH267" s="620"/>
      <c r="AI267" s="620"/>
      <c r="AJ267" s="595">
        <f t="shared" si="183"/>
        <v>16</v>
      </c>
      <c r="AK267" s="629"/>
      <c r="AL267" s="620"/>
      <c r="AM267" s="620"/>
      <c r="AN267" s="598">
        <f t="shared" si="172"/>
        <v>16</v>
      </c>
      <c r="AO267" s="621"/>
      <c r="AP267" s="622"/>
      <c r="AQ267" s="622"/>
      <c r="AR267" s="592"/>
      <c r="AS267" s="622"/>
      <c r="AT267" s="622"/>
      <c r="AU267" s="621">
        <f t="shared" si="184"/>
        <v>16</v>
      </c>
      <c r="AV267" s="621"/>
      <c r="AW267" s="592">
        <f t="shared" si="174"/>
        <v>16</v>
      </c>
      <c r="AX267" s="621"/>
      <c r="AY267" s="621"/>
      <c r="AZ267" s="621"/>
      <c r="BA267" s="621"/>
      <c r="BB267" s="621"/>
      <c r="BC267" s="621"/>
      <c r="BD267" s="621"/>
      <c r="BE267" s="623"/>
      <c r="BF267" s="602" t="s">
        <v>90</v>
      </c>
      <c r="BG267" s="603"/>
      <c r="BH267" s="604"/>
      <c r="BI267" s="605">
        <f t="shared" si="185"/>
        <v>16</v>
      </c>
      <c r="BJ267" s="602"/>
      <c r="BK267" s="602"/>
      <c r="BL267" s="602"/>
      <c r="BM267" s="602"/>
      <c r="BN267" s="624"/>
      <c r="BO267" s="624"/>
      <c r="BP267" s="624"/>
      <c r="BQ267" s="624"/>
      <c r="BR267" s="624"/>
      <c r="BS267" s="624"/>
      <c r="BT267" s="607">
        <f t="shared" si="169"/>
        <v>16</v>
      </c>
      <c r="BU267" s="608">
        <f t="shared" si="170"/>
        <v>0</v>
      </c>
      <c r="BV267" s="517"/>
      <c r="BW267" s="491"/>
    </row>
    <row r="268" s="490" customFormat="1" ht="33" customHeight="1" spans="1:75">
      <c r="A268" s="577">
        <v>45824</v>
      </c>
      <c r="B268" s="581" t="s">
        <v>1276</v>
      </c>
      <c r="C268" s="579" t="s">
        <v>359</v>
      </c>
      <c r="D268" s="580">
        <v>4500170130</v>
      </c>
      <c r="E268" s="616" t="s">
        <v>1357</v>
      </c>
      <c r="F268" s="580" t="s">
        <v>1358</v>
      </c>
      <c r="G268" s="582" t="s">
        <v>1059</v>
      </c>
      <c r="H268" s="578" t="s">
        <v>123</v>
      </c>
      <c r="I268" s="583">
        <v>16</v>
      </c>
      <c r="J268" s="583">
        <v>0</v>
      </c>
      <c r="K268" s="583">
        <v>4</v>
      </c>
      <c r="L268" s="584">
        <f t="shared" si="182"/>
        <v>4</v>
      </c>
      <c r="M268" s="585">
        <v>45859</v>
      </c>
      <c r="N268" s="585">
        <v>45855</v>
      </c>
      <c r="O268" s="586" t="s">
        <v>1270</v>
      </c>
      <c r="P268" s="586" t="s">
        <v>83</v>
      </c>
      <c r="Q268" s="587" t="s">
        <v>1223</v>
      </c>
      <c r="R268" s="586" t="s">
        <v>1333</v>
      </c>
      <c r="S268" s="586"/>
      <c r="T268" s="586"/>
      <c r="U268" s="641" t="s">
        <v>86</v>
      </c>
      <c r="V268" s="641" t="s">
        <v>1259</v>
      </c>
      <c r="W268" s="641"/>
      <c r="X268" s="661" t="s">
        <v>1334</v>
      </c>
      <c r="Y268" s="618" t="s">
        <v>287</v>
      </c>
      <c r="Z268" s="590">
        <v>5.7399</v>
      </c>
      <c r="AA268" s="591">
        <f t="shared" si="168"/>
        <v>91.8384</v>
      </c>
      <c r="AB268" s="619"/>
      <c r="AC268" s="638" t="s">
        <v>1067</v>
      </c>
      <c r="AD268" s="593" t="s">
        <v>89</v>
      </c>
      <c r="AE268" s="620"/>
      <c r="AF268" s="620"/>
      <c r="AG268" s="595"/>
      <c r="AH268" s="620"/>
      <c r="AI268" s="620"/>
      <c r="AJ268" s="595">
        <f t="shared" si="183"/>
        <v>16</v>
      </c>
      <c r="AK268" s="629"/>
      <c r="AL268" s="620"/>
      <c r="AM268" s="620"/>
      <c r="AN268" s="598">
        <f t="shared" si="172"/>
        <v>16</v>
      </c>
      <c r="AO268" s="621"/>
      <c r="AP268" s="622"/>
      <c r="AQ268" s="622"/>
      <c r="AR268" s="592"/>
      <c r="AS268" s="622"/>
      <c r="AT268" s="622"/>
      <c r="AU268" s="621">
        <f t="shared" si="184"/>
        <v>16</v>
      </c>
      <c r="AV268" s="621"/>
      <c r="AW268" s="592">
        <f t="shared" si="174"/>
        <v>16</v>
      </c>
      <c r="AX268" s="621"/>
      <c r="AY268" s="621"/>
      <c r="AZ268" s="621"/>
      <c r="BA268" s="621"/>
      <c r="BB268" s="621"/>
      <c r="BC268" s="621"/>
      <c r="BD268" s="621"/>
      <c r="BE268" s="623"/>
      <c r="BF268" s="602" t="s">
        <v>90</v>
      </c>
      <c r="BG268" s="603"/>
      <c r="BH268" s="604"/>
      <c r="BI268" s="605">
        <f t="shared" si="185"/>
        <v>16</v>
      </c>
      <c r="BJ268" s="602"/>
      <c r="BK268" s="602"/>
      <c r="BL268" s="602"/>
      <c r="BM268" s="602"/>
      <c r="BN268" s="624"/>
      <c r="BO268" s="624"/>
      <c r="BP268" s="624"/>
      <c r="BQ268" s="624"/>
      <c r="BR268" s="624"/>
      <c r="BS268" s="624"/>
      <c r="BT268" s="607">
        <f t="shared" si="169"/>
        <v>16</v>
      </c>
      <c r="BU268" s="608">
        <f t="shared" si="170"/>
        <v>0</v>
      </c>
      <c r="BV268" s="517"/>
      <c r="BW268" s="491"/>
    </row>
    <row r="269" s="490" customFormat="1" ht="33" customHeight="1" spans="1:75">
      <c r="A269" s="577">
        <v>45824</v>
      </c>
      <c r="B269" s="581" t="s">
        <v>1276</v>
      </c>
      <c r="C269" s="579" t="s">
        <v>359</v>
      </c>
      <c r="D269" s="580">
        <v>4500170130</v>
      </c>
      <c r="E269" s="616" t="s">
        <v>1359</v>
      </c>
      <c r="F269" s="580" t="s">
        <v>1360</v>
      </c>
      <c r="G269" s="582" t="s">
        <v>1059</v>
      </c>
      <c r="H269" s="578" t="s">
        <v>123</v>
      </c>
      <c r="I269" s="583">
        <v>16</v>
      </c>
      <c r="J269" s="583">
        <v>0</v>
      </c>
      <c r="K269" s="583">
        <v>4</v>
      </c>
      <c r="L269" s="584">
        <f t="shared" si="182"/>
        <v>4</v>
      </c>
      <c r="M269" s="585">
        <v>45859</v>
      </c>
      <c r="N269" s="585">
        <v>45855</v>
      </c>
      <c r="O269" s="586" t="s">
        <v>1270</v>
      </c>
      <c r="P269" s="586" t="s">
        <v>83</v>
      </c>
      <c r="Q269" s="587" t="s">
        <v>1223</v>
      </c>
      <c r="R269" s="586" t="s">
        <v>1333</v>
      </c>
      <c r="S269" s="586"/>
      <c r="T269" s="586"/>
      <c r="U269" s="641" t="s">
        <v>86</v>
      </c>
      <c r="V269" s="641" t="s">
        <v>1259</v>
      </c>
      <c r="W269" s="641"/>
      <c r="X269" s="661" t="s">
        <v>1334</v>
      </c>
      <c r="Y269" s="618" t="s">
        <v>287</v>
      </c>
      <c r="Z269" s="590">
        <v>5.7399</v>
      </c>
      <c r="AA269" s="591">
        <f t="shared" si="168"/>
        <v>91.8384</v>
      </c>
      <c r="AB269" s="619"/>
      <c r="AC269" s="638" t="s">
        <v>1067</v>
      </c>
      <c r="AD269" s="593" t="s">
        <v>89</v>
      </c>
      <c r="AE269" s="620"/>
      <c r="AF269" s="620"/>
      <c r="AG269" s="595"/>
      <c r="AH269" s="620"/>
      <c r="AI269" s="620"/>
      <c r="AJ269" s="595">
        <f t="shared" si="183"/>
        <v>16</v>
      </c>
      <c r="AK269" s="629"/>
      <c r="AL269" s="620"/>
      <c r="AM269" s="620"/>
      <c r="AN269" s="598">
        <f t="shared" si="172"/>
        <v>16</v>
      </c>
      <c r="AO269" s="621"/>
      <c r="AP269" s="622"/>
      <c r="AQ269" s="622"/>
      <c r="AR269" s="592"/>
      <c r="AS269" s="622"/>
      <c r="AT269" s="622"/>
      <c r="AU269" s="621">
        <f t="shared" si="184"/>
        <v>16</v>
      </c>
      <c r="AV269" s="621"/>
      <c r="AW269" s="592">
        <f t="shared" si="174"/>
        <v>16</v>
      </c>
      <c r="AX269" s="621"/>
      <c r="AY269" s="621"/>
      <c r="AZ269" s="621"/>
      <c r="BA269" s="621"/>
      <c r="BB269" s="621"/>
      <c r="BC269" s="621"/>
      <c r="BD269" s="621"/>
      <c r="BE269" s="623"/>
      <c r="BF269" s="602" t="s">
        <v>90</v>
      </c>
      <c r="BG269" s="603"/>
      <c r="BH269" s="604"/>
      <c r="BI269" s="605">
        <f t="shared" si="185"/>
        <v>16</v>
      </c>
      <c r="BJ269" s="602"/>
      <c r="BK269" s="602"/>
      <c r="BL269" s="602"/>
      <c r="BM269" s="602"/>
      <c r="BN269" s="624"/>
      <c r="BO269" s="624"/>
      <c r="BP269" s="624"/>
      <c r="BQ269" s="624"/>
      <c r="BR269" s="624"/>
      <c r="BS269" s="624"/>
      <c r="BT269" s="607">
        <f t="shared" si="169"/>
        <v>16</v>
      </c>
      <c r="BU269" s="608">
        <f t="shared" si="170"/>
        <v>0</v>
      </c>
      <c r="BV269" s="517"/>
      <c r="BW269" s="491"/>
    </row>
    <row r="270" s="490" customFormat="1" ht="33" customHeight="1" spans="1:75">
      <c r="A270" s="577">
        <v>45824</v>
      </c>
      <c r="B270" s="581" t="s">
        <v>1276</v>
      </c>
      <c r="C270" s="579" t="s">
        <v>359</v>
      </c>
      <c r="D270" s="580">
        <v>4500170130</v>
      </c>
      <c r="E270" s="616" t="s">
        <v>1361</v>
      </c>
      <c r="F270" s="580" t="s">
        <v>1362</v>
      </c>
      <c r="G270" s="582" t="s">
        <v>1059</v>
      </c>
      <c r="H270" s="578" t="s">
        <v>123</v>
      </c>
      <c r="I270" s="583">
        <v>36</v>
      </c>
      <c r="J270" s="583">
        <v>0</v>
      </c>
      <c r="K270" s="583">
        <v>4</v>
      </c>
      <c r="L270" s="584">
        <f t="shared" si="182"/>
        <v>9</v>
      </c>
      <c r="M270" s="585">
        <v>45859</v>
      </c>
      <c r="N270" s="585">
        <v>45855</v>
      </c>
      <c r="O270" s="586" t="s">
        <v>1270</v>
      </c>
      <c r="P270" s="586" t="s">
        <v>83</v>
      </c>
      <c r="Q270" s="587" t="s">
        <v>1223</v>
      </c>
      <c r="R270" s="586" t="s">
        <v>1333</v>
      </c>
      <c r="S270" s="586"/>
      <c r="T270" s="586"/>
      <c r="U270" s="641" t="s">
        <v>86</v>
      </c>
      <c r="V270" s="641" t="s">
        <v>1259</v>
      </c>
      <c r="W270" s="641"/>
      <c r="X270" s="661" t="s">
        <v>1334</v>
      </c>
      <c r="Y270" s="618" t="s">
        <v>287</v>
      </c>
      <c r="Z270" s="590">
        <v>5.7399</v>
      </c>
      <c r="AA270" s="591">
        <f t="shared" si="168"/>
        <v>206.6364</v>
      </c>
      <c r="AB270" s="619"/>
      <c r="AC270" s="638" t="s">
        <v>1067</v>
      </c>
      <c r="AD270" s="593" t="s">
        <v>89</v>
      </c>
      <c r="AE270" s="620"/>
      <c r="AF270" s="620"/>
      <c r="AG270" s="595"/>
      <c r="AH270" s="620"/>
      <c r="AI270" s="620"/>
      <c r="AJ270" s="595">
        <f t="shared" si="183"/>
        <v>36</v>
      </c>
      <c r="AK270" s="629"/>
      <c r="AL270" s="620"/>
      <c r="AM270" s="620"/>
      <c r="AN270" s="598">
        <f t="shared" si="172"/>
        <v>36</v>
      </c>
      <c r="AO270" s="621"/>
      <c r="AP270" s="622"/>
      <c r="AQ270" s="622"/>
      <c r="AR270" s="592"/>
      <c r="AS270" s="622"/>
      <c r="AT270" s="622"/>
      <c r="AU270" s="621">
        <f t="shared" si="184"/>
        <v>36</v>
      </c>
      <c r="AV270" s="621"/>
      <c r="AW270" s="592">
        <f t="shared" si="174"/>
        <v>36</v>
      </c>
      <c r="AX270" s="621"/>
      <c r="AY270" s="621"/>
      <c r="AZ270" s="621"/>
      <c r="BA270" s="621"/>
      <c r="BB270" s="621"/>
      <c r="BC270" s="621"/>
      <c r="BD270" s="621"/>
      <c r="BE270" s="623"/>
      <c r="BF270" s="602" t="s">
        <v>90</v>
      </c>
      <c r="BG270" s="603"/>
      <c r="BH270" s="604"/>
      <c r="BI270" s="605">
        <f t="shared" si="185"/>
        <v>36</v>
      </c>
      <c r="BJ270" s="602"/>
      <c r="BK270" s="602"/>
      <c r="BL270" s="602"/>
      <c r="BM270" s="602"/>
      <c r="BN270" s="624"/>
      <c r="BO270" s="624"/>
      <c r="BP270" s="624"/>
      <c r="BQ270" s="624"/>
      <c r="BR270" s="624"/>
      <c r="BS270" s="624"/>
      <c r="BT270" s="607">
        <f t="shared" si="169"/>
        <v>36</v>
      </c>
      <c r="BU270" s="608">
        <f t="shared" si="170"/>
        <v>0</v>
      </c>
      <c r="BV270" s="517"/>
      <c r="BW270" s="491"/>
    </row>
    <row r="271" s="490" customFormat="1" ht="33" customHeight="1" spans="1:75">
      <c r="A271" s="577">
        <v>45824</v>
      </c>
      <c r="B271" s="581" t="s">
        <v>1276</v>
      </c>
      <c r="C271" s="579" t="s">
        <v>359</v>
      </c>
      <c r="D271" s="580">
        <v>4500170130</v>
      </c>
      <c r="E271" s="616" t="s">
        <v>1363</v>
      </c>
      <c r="F271" s="580" t="s">
        <v>1364</v>
      </c>
      <c r="G271" s="582" t="s">
        <v>1059</v>
      </c>
      <c r="H271" s="578" t="s">
        <v>123</v>
      </c>
      <c r="I271" s="583">
        <v>36</v>
      </c>
      <c r="J271" s="583">
        <v>0</v>
      </c>
      <c r="K271" s="583">
        <v>4</v>
      </c>
      <c r="L271" s="584">
        <f t="shared" si="182"/>
        <v>9</v>
      </c>
      <c r="M271" s="585">
        <v>45859</v>
      </c>
      <c r="N271" s="585">
        <v>45855</v>
      </c>
      <c r="O271" s="586" t="s">
        <v>1270</v>
      </c>
      <c r="P271" s="586" t="s">
        <v>83</v>
      </c>
      <c r="Q271" s="587" t="s">
        <v>1223</v>
      </c>
      <c r="R271" s="586" t="s">
        <v>1333</v>
      </c>
      <c r="S271" s="586"/>
      <c r="T271" s="586"/>
      <c r="U271" s="641" t="s">
        <v>86</v>
      </c>
      <c r="V271" s="641" t="s">
        <v>1259</v>
      </c>
      <c r="W271" s="641"/>
      <c r="X271" s="661" t="s">
        <v>1334</v>
      </c>
      <c r="Y271" s="618" t="s">
        <v>287</v>
      </c>
      <c r="Z271" s="590">
        <v>5.7399</v>
      </c>
      <c r="AA271" s="591">
        <f t="shared" si="168"/>
        <v>206.6364</v>
      </c>
      <c r="AB271" s="619"/>
      <c r="AC271" s="638" t="s">
        <v>1067</v>
      </c>
      <c r="AD271" s="593" t="s">
        <v>89</v>
      </c>
      <c r="AE271" s="620"/>
      <c r="AF271" s="620"/>
      <c r="AG271" s="595"/>
      <c r="AH271" s="620"/>
      <c r="AI271" s="620"/>
      <c r="AJ271" s="595">
        <f t="shared" si="183"/>
        <v>36</v>
      </c>
      <c r="AK271" s="629"/>
      <c r="AL271" s="620"/>
      <c r="AM271" s="620"/>
      <c r="AN271" s="598">
        <f t="shared" si="172"/>
        <v>36</v>
      </c>
      <c r="AO271" s="621"/>
      <c r="AP271" s="622"/>
      <c r="AQ271" s="622"/>
      <c r="AR271" s="592"/>
      <c r="AS271" s="622"/>
      <c r="AT271" s="622"/>
      <c r="AU271" s="621">
        <f t="shared" si="184"/>
        <v>36</v>
      </c>
      <c r="AV271" s="621"/>
      <c r="AW271" s="592">
        <f t="shared" si="174"/>
        <v>36</v>
      </c>
      <c r="AX271" s="621"/>
      <c r="AY271" s="621"/>
      <c r="AZ271" s="621"/>
      <c r="BA271" s="621"/>
      <c r="BB271" s="621"/>
      <c r="BC271" s="621"/>
      <c r="BD271" s="621"/>
      <c r="BE271" s="623"/>
      <c r="BF271" s="602" t="s">
        <v>90</v>
      </c>
      <c r="BG271" s="603"/>
      <c r="BH271" s="604"/>
      <c r="BI271" s="605">
        <f t="shared" si="185"/>
        <v>36</v>
      </c>
      <c r="BJ271" s="602"/>
      <c r="BK271" s="602"/>
      <c r="BL271" s="602"/>
      <c r="BM271" s="602"/>
      <c r="BN271" s="624"/>
      <c r="BO271" s="624"/>
      <c r="BP271" s="624"/>
      <c r="BQ271" s="624"/>
      <c r="BR271" s="624"/>
      <c r="BS271" s="624"/>
      <c r="BT271" s="607">
        <f t="shared" si="169"/>
        <v>36</v>
      </c>
      <c r="BU271" s="608">
        <f t="shared" si="170"/>
        <v>0</v>
      </c>
      <c r="BV271" s="517"/>
      <c r="BW271" s="491"/>
    </row>
    <row r="272" s="490" customFormat="1" ht="33" customHeight="1" spans="1:75">
      <c r="A272" s="577">
        <v>45824</v>
      </c>
      <c r="B272" s="581" t="s">
        <v>1276</v>
      </c>
      <c r="C272" s="579" t="s">
        <v>359</v>
      </c>
      <c r="D272" s="580">
        <v>4500170130</v>
      </c>
      <c r="E272" s="616" t="s">
        <v>1365</v>
      </c>
      <c r="F272" s="580" t="s">
        <v>1366</v>
      </c>
      <c r="G272" s="582" t="s">
        <v>1059</v>
      </c>
      <c r="H272" s="578" t="s">
        <v>123</v>
      </c>
      <c r="I272" s="583">
        <v>36</v>
      </c>
      <c r="J272" s="583">
        <v>0</v>
      </c>
      <c r="K272" s="583">
        <v>4</v>
      </c>
      <c r="L272" s="584">
        <f t="shared" si="182"/>
        <v>9</v>
      </c>
      <c r="M272" s="585">
        <v>45859</v>
      </c>
      <c r="N272" s="585">
        <v>45855</v>
      </c>
      <c r="O272" s="586" t="s">
        <v>1270</v>
      </c>
      <c r="P272" s="586" t="s">
        <v>83</v>
      </c>
      <c r="Q272" s="587" t="s">
        <v>1223</v>
      </c>
      <c r="R272" s="586" t="s">
        <v>1333</v>
      </c>
      <c r="S272" s="586"/>
      <c r="T272" s="586"/>
      <c r="U272" s="641" t="s">
        <v>86</v>
      </c>
      <c r="V272" s="641" t="s">
        <v>1259</v>
      </c>
      <c r="W272" s="641"/>
      <c r="X272" s="661" t="s">
        <v>1334</v>
      </c>
      <c r="Y272" s="618" t="s">
        <v>287</v>
      </c>
      <c r="Z272" s="590">
        <v>5.7399</v>
      </c>
      <c r="AA272" s="591">
        <f t="shared" si="168"/>
        <v>206.6364</v>
      </c>
      <c r="AB272" s="619"/>
      <c r="AC272" s="638" t="s">
        <v>1067</v>
      </c>
      <c r="AD272" s="593" t="s">
        <v>89</v>
      </c>
      <c r="AE272" s="620"/>
      <c r="AF272" s="620"/>
      <c r="AG272" s="595"/>
      <c r="AH272" s="620"/>
      <c r="AI272" s="620"/>
      <c r="AJ272" s="595">
        <f t="shared" si="183"/>
        <v>36</v>
      </c>
      <c r="AK272" s="629"/>
      <c r="AL272" s="620"/>
      <c r="AM272" s="620"/>
      <c r="AN272" s="598">
        <f t="shared" si="172"/>
        <v>36</v>
      </c>
      <c r="AO272" s="621"/>
      <c r="AP272" s="622"/>
      <c r="AQ272" s="622"/>
      <c r="AR272" s="592"/>
      <c r="AS272" s="622"/>
      <c r="AT272" s="622"/>
      <c r="AU272" s="621">
        <f t="shared" si="184"/>
        <v>36</v>
      </c>
      <c r="AV272" s="621"/>
      <c r="AW272" s="592">
        <f t="shared" si="174"/>
        <v>36</v>
      </c>
      <c r="AX272" s="621"/>
      <c r="AY272" s="621"/>
      <c r="AZ272" s="621"/>
      <c r="BA272" s="621"/>
      <c r="BB272" s="621"/>
      <c r="BC272" s="621"/>
      <c r="BD272" s="621"/>
      <c r="BE272" s="623"/>
      <c r="BF272" s="602" t="s">
        <v>90</v>
      </c>
      <c r="BG272" s="603"/>
      <c r="BH272" s="604"/>
      <c r="BI272" s="605">
        <f t="shared" si="185"/>
        <v>36</v>
      </c>
      <c r="BJ272" s="602"/>
      <c r="BK272" s="602"/>
      <c r="BL272" s="602"/>
      <c r="BM272" s="602"/>
      <c r="BN272" s="624"/>
      <c r="BO272" s="624"/>
      <c r="BP272" s="624"/>
      <c r="BQ272" s="624"/>
      <c r="BR272" s="624"/>
      <c r="BS272" s="624"/>
      <c r="BT272" s="607">
        <f t="shared" si="169"/>
        <v>36</v>
      </c>
      <c r="BU272" s="608">
        <f t="shared" si="170"/>
        <v>0</v>
      </c>
      <c r="BV272" s="517"/>
      <c r="BW272" s="491"/>
    </row>
    <row r="273" s="490" customFormat="1" ht="33" customHeight="1" spans="1:75 16369:16384">
      <c r="A273" s="577">
        <v>45775</v>
      </c>
      <c r="B273" s="581" t="s">
        <v>1087</v>
      </c>
      <c r="C273" s="579" t="s">
        <v>1044</v>
      </c>
      <c r="D273" s="580">
        <v>4500160470</v>
      </c>
      <c r="E273" s="588">
        <v>300565974</v>
      </c>
      <c r="F273" s="580" t="s">
        <v>1367</v>
      </c>
      <c r="G273" s="582" t="s">
        <v>969</v>
      </c>
      <c r="H273" s="578" t="s">
        <v>970</v>
      </c>
      <c r="I273" s="583">
        <v>480</v>
      </c>
      <c r="J273" s="583">
        <v>0</v>
      </c>
      <c r="K273" s="583">
        <v>4</v>
      </c>
      <c r="L273" s="584">
        <f t="shared" si="182"/>
        <v>120</v>
      </c>
      <c r="M273" s="585">
        <v>45861</v>
      </c>
      <c r="N273" s="585">
        <v>45857</v>
      </c>
      <c r="O273" s="586"/>
      <c r="P273" s="586" t="s">
        <v>83</v>
      </c>
      <c r="Q273" s="587" t="s">
        <v>1368</v>
      </c>
      <c r="R273" s="586" t="s">
        <v>1037</v>
      </c>
      <c r="S273" s="586"/>
      <c r="T273" s="586"/>
      <c r="U273" s="641" t="s">
        <v>1089</v>
      </c>
      <c r="V273" s="641"/>
      <c r="W273" s="641"/>
      <c r="X273" s="661" t="s">
        <v>1369</v>
      </c>
      <c r="Y273" s="618" t="s">
        <v>1050</v>
      </c>
      <c r="Z273" s="590">
        <v>5.6717</v>
      </c>
      <c r="AA273" s="591">
        <f t="shared" si="168"/>
        <v>2722.416</v>
      </c>
      <c r="AB273" s="619" t="s">
        <v>1370</v>
      </c>
      <c r="AC273" s="582" t="s">
        <v>976</v>
      </c>
      <c r="AD273" s="593" t="s">
        <v>89</v>
      </c>
      <c r="AE273" s="628"/>
      <c r="AF273" s="628"/>
      <c r="AG273" s="595"/>
      <c r="AH273" s="628"/>
      <c r="AI273" s="628"/>
      <c r="AJ273" s="595">
        <f t="shared" si="183"/>
        <v>480</v>
      </c>
      <c r="AK273" s="629"/>
      <c r="AL273" s="628"/>
      <c r="AM273" s="628"/>
      <c r="AN273" s="598">
        <f t="shared" si="172"/>
        <v>480</v>
      </c>
      <c r="AO273" s="621"/>
      <c r="AP273" s="630"/>
      <c r="AQ273" s="630"/>
      <c r="AR273" s="592"/>
      <c r="AS273" s="630"/>
      <c r="AT273" s="630"/>
      <c r="AU273" s="621">
        <f t="shared" si="184"/>
        <v>480</v>
      </c>
      <c r="AV273" s="621"/>
      <c r="AW273" s="592">
        <f t="shared" si="174"/>
        <v>480</v>
      </c>
      <c r="AX273" s="621"/>
      <c r="AY273" s="621"/>
      <c r="AZ273" s="621"/>
      <c r="BA273" s="621"/>
      <c r="BB273" s="621"/>
      <c r="BC273" s="621"/>
      <c r="BD273" s="621"/>
      <c r="BE273" s="623"/>
      <c r="BF273" s="602" t="s">
        <v>90</v>
      </c>
      <c r="BG273" s="603"/>
      <c r="BH273" s="604">
        <f t="shared" ref="BH273:BH308" si="186">I273/6</f>
        <v>80</v>
      </c>
      <c r="BI273" s="605">
        <f t="shared" ref="BI273:BI308" si="187">I273/6</f>
        <v>80</v>
      </c>
      <c r="BJ273" s="602">
        <f t="shared" ref="BJ273:BJ308" si="188">I273/6</f>
        <v>80</v>
      </c>
      <c r="BK273" s="602">
        <f t="shared" ref="BK273:BK308" si="189">I273/6</f>
        <v>80</v>
      </c>
      <c r="BL273" s="602">
        <f t="shared" ref="BL273:BL308" si="190">I273/6</f>
        <v>80</v>
      </c>
      <c r="BM273" s="602">
        <f t="shared" ref="BM273:BM308" si="191">I273/6</f>
        <v>80</v>
      </c>
      <c r="BN273" s="631"/>
      <c r="BO273" s="631"/>
      <c r="BP273" s="631"/>
      <c r="BQ273" s="631"/>
      <c r="BR273" s="631"/>
      <c r="BS273" s="631"/>
      <c r="BT273" s="607">
        <f t="shared" si="169"/>
        <v>480</v>
      </c>
      <c r="BU273" s="608">
        <f t="shared" si="170"/>
        <v>0</v>
      </c>
      <c r="BV273" s="609"/>
      <c r="BW273" s="491"/>
    </row>
    <row r="274" s="490" customFormat="1" ht="33" customHeight="1" spans="1:75 16369:16384">
      <c r="A274" s="577">
        <v>45827</v>
      </c>
      <c r="B274" s="581" t="s">
        <v>1371</v>
      </c>
      <c r="C274" s="579" t="s">
        <v>92</v>
      </c>
      <c r="D274" s="580">
        <v>4500170582</v>
      </c>
      <c r="E274" s="616" t="s">
        <v>1372</v>
      </c>
      <c r="F274" s="580" t="s">
        <v>1373</v>
      </c>
      <c r="G274" s="582" t="s">
        <v>81</v>
      </c>
      <c r="H274" s="578" t="s">
        <v>95</v>
      </c>
      <c r="I274" s="583">
        <v>210</v>
      </c>
      <c r="J274" s="583">
        <v>0</v>
      </c>
      <c r="K274" s="583">
        <v>6</v>
      </c>
      <c r="L274" s="584">
        <f t="shared" si="182"/>
        <v>35</v>
      </c>
      <c r="M274" s="585">
        <v>45861</v>
      </c>
      <c r="N274" s="585">
        <v>45857</v>
      </c>
      <c r="O274" s="586"/>
      <c r="P274" s="586" t="s">
        <v>83</v>
      </c>
      <c r="Q274" s="587" t="s">
        <v>1374</v>
      </c>
      <c r="R274" s="586" t="s">
        <v>1375</v>
      </c>
      <c r="S274" s="586"/>
      <c r="T274" s="586"/>
      <c r="U274" s="641" t="s">
        <v>86</v>
      </c>
      <c r="V274" s="641"/>
      <c r="W274" s="641"/>
      <c r="X274" s="661" t="s">
        <v>1376</v>
      </c>
      <c r="Y274" s="618" t="s">
        <v>1377</v>
      </c>
      <c r="Z274" s="590">
        <v>3.4697</v>
      </c>
      <c r="AA274" s="591">
        <f t="shared" si="168"/>
        <v>728.637</v>
      </c>
      <c r="AB274" s="619"/>
      <c r="AC274" s="582" t="s">
        <v>81</v>
      </c>
      <c r="AD274" s="593" t="s">
        <v>89</v>
      </c>
      <c r="AE274" s="628"/>
      <c r="AF274" s="628"/>
      <c r="AG274" s="595">
        <f>I274</f>
        <v>210</v>
      </c>
      <c r="AH274" s="628"/>
      <c r="AI274" s="628"/>
      <c r="AJ274" s="595"/>
      <c r="AK274" s="629"/>
      <c r="AL274" s="628"/>
      <c r="AM274" s="628"/>
      <c r="AN274" s="598">
        <f t="shared" si="172"/>
        <v>210</v>
      </c>
      <c r="AO274" s="621"/>
      <c r="AP274" s="630"/>
      <c r="AQ274" s="630"/>
      <c r="AR274" s="592">
        <f>I274</f>
        <v>210</v>
      </c>
      <c r="AS274" s="630"/>
      <c r="AT274" s="630"/>
      <c r="AU274" s="621"/>
      <c r="AV274" s="621"/>
      <c r="AW274" s="592">
        <f t="shared" si="174"/>
        <v>210</v>
      </c>
      <c r="AX274" s="621"/>
      <c r="AY274" s="621"/>
      <c r="AZ274" s="621"/>
      <c r="BA274" s="621"/>
      <c r="BB274" s="621"/>
      <c r="BC274" s="621"/>
      <c r="BD274" s="621"/>
      <c r="BE274" s="623"/>
      <c r="BF274" s="602" t="s">
        <v>90</v>
      </c>
      <c r="BG274" s="603"/>
      <c r="BH274" s="604">
        <f t="shared" si="186"/>
        <v>35</v>
      </c>
      <c r="BI274" s="605">
        <f t="shared" si="187"/>
        <v>35</v>
      </c>
      <c r="BJ274" s="602">
        <f t="shared" si="188"/>
        <v>35</v>
      </c>
      <c r="BK274" s="602">
        <f t="shared" si="189"/>
        <v>35</v>
      </c>
      <c r="BL274" s="602">
        <f t="shared" si="190"/>
        <v>35</v>
      </c>
      <c r="BM274" s="602">
        <f t="shared" si="191"/>
        <v>35</v>
      </c>
      <c r="BN274" s="631"/>
      <c r="BO274" s="631"/>
      <c r="BP274" s="631"/>
      <c r="BQ274" s="631"/>
      <c r="BR274" s="631"/>
      <c r="BS274" s="631"/>
      <c r="BT274" s="607">
        <f t="shared" si="169"/>
        <v>210</v>
      </c>
      <c r="BU274" s="608">
        <f t="shared" si="170"/>
        <v>0</v>
      </c>
      <c r="BV274" s="609"/>
      <c r="BW274" s="491"/>
    </row>
    <row r="275" s="490" customFormat="1" ht="33" customHeight="1" spans="1:75 16369:16384">
      <c r="A275" s="577">
        <v>45775</v>
      </c>
      <c r="B275" s="581" t="s">
        <v>502</v>
      </c>
      <c r="C275" s="579" t="s">
        <v>334</v>
      </c>
      <c r="D275" s="580">
        <v>4500164920</v>
      </c>
      <c r="E275" s="588">
        <v>61963726</v>
      </c>
      <c r="F275" s="580" t="s">
        <v>1378</v>
      </c>
      <c r="G275" s="582" t="s">
        <v>81</v>
      </c>
      <c r="H275" s="578" t="s">
        <v>95</v>
      </c>
      <c r="I275" s="583">
        <v>180</v>
      </c>
      <c r="J275" s="583">
        <v>0</v>
      </c>
      <c r="K275" s="583">
        <v>6</v>
      </c>
      <c r="L275" s="584">
        <f t="shared" si="182"/>
        <v>30</v>
      </c>
      <c r="M275" s="585">
        <v>45863</v>
      </c>
      <c r="N275" s="585">
        <v>45859</v>
      </c>
      <c r="O275" s="586" t="s">
        <v>1379</v>
      </c>
      <c r="P275" s="586" t="s">
        <v>83</v>
      </c>
      <c r="Q275" s="587" t="s">
        <v>1380</v>
      </c>
      <c r="R275" s="586" t="s">
        <v>1381</v>
      </c>
      <c r="S275" s="586"/>
      <c r="T275" s="586"/>
      <c r="U275" s="641" t="s">
        <v>1382</v>
      </c>
      <c r="V275" s="641" t="s">
        <v>1383</v>
      </c>
      <c r="W275" s="641"/>
      <c r="X275" s="661" t="s">
        <v>1384</v>
      </c>
      <c r="Y275" s="618" t="s">
        <v>243</v>
      </c>
      <c r="Z275" s="590">
        <v>5.7828</v>
      </c>
      <c r="AA275" s="591">
        <f t="shared" si="168"/>
        <v>1040.904</v>
      </c>
      <c r="AB275" s="619"/>
      <c r="AC275" s="582" t="s">
        <v>235</v>
      </c>
      <c r="AD275" s="593" t="s">
        <v>89</v>
      </c>
      <c r="AE275" s="628"/>
      <c r="AF275" s="628"/>
      <c r="AG275" s="595"/>
      <c r="AH275" s="628"/>
      <c r="AI275" s="628"/>
      <c r="AJ275" s="595">
        <f>I275</f>
        <v>180</v>
      </c>
      <c r="AK275" s="629"/>
      <c r="AL275" s="628"/>
      <c r="AM275" s="628"/>
      <c r="AN275" s="598">
        <f t="shared" si="172"/>
        <v>180</v>
      </c>
      <c r="AO275" s="621"/>
      <c r="AP275" s="630"/>
      <c r="AQ275" s="630"/>
      <c r="AR275" s="592"/>
      <c r="AS275" s="630"/>
      <c r="AT275" s="630"/>
      <c r="AU275" s="621">
        <f>I275</f>
        <v>180</v>
      </c>
      <c r="AV275" s="621"/>
      <c r="AW275" s="592">
        <f t="shared" si="174"/>
        <v>180</v>
      </c>
      <c r="AX275" s="621"/>
      <c r="AY275" s="621"/>
      <c r="AZ275" s="621"/>
      <c r="BA275" s="621"/>
      <c r="BB275" s="621"/>
      <c r="BC275" s="621"/>
      <c r="BD275" s="621"/>
      <c r="BE275" s="623"/>
      <c r="BF275" s="602" t="s">
        <v>90</v>
      </c>
      <c r="BG275" s="603"/>
      <c r="BH275" s="604">
        <f t="shared" si="186"/>
        <v>30</v>
      </c>
      <c r="BI275" s="605">
        <f t="shared" si="187"/>
        <v>30</v>
      </c>
      <c r="BJ275" s="602">
        <f t="shared" si="188"/>
        <v>30</v>
      </c>
      <c r="BK275" s="602">
        <f t="shared" si="189"/>
        <v>30</v>
      </c>
      <c r="BL275" s="602">
        <f t="shared" si="190"/>
        <v>30</v>
      </c>
      <c r="BM275" s="602">
        <f t="shared" si="191"/>
        <v>30</v>
      </c>
      <c r="BN275" s="631"/>
      <c r="BO275" s="631"/>
      <c r="BP275" s="631"/>
      <c r="BQ275" s="631"/>
      <c r="BR275" s="631"/>
      <c r="BS275" s="631"/>
      <c r="BT275" s="607">
        <f t="shared" si="169"/>
        <v>180</v>
      </c>
      <c r="BU275" s="608">
        <f t="shared" si="170"/>
        <v>0</v>
      </c>
      <c r="BV275" s="609"/>
      <c r="BW275" s="491"/>
    </row>
    <row r="276" s="490" customFormat="1" ht="33" customHeight="1" spans="1:75 16369:16384">
      <c r="A276" s="577">
        <v>45798</v>
      </c>
      <c r="B276" s="581" t="s">
        <v>303</v>
      </c>
      <c r="C276" s="579" t="s">
        <v>304</v>
      </c>
      <c r="D276" s="580">
        <v>4500167463</v>
      </c>
      <c r="E276" s="616" t="s">
        <v>1385</v>
      </c>
      <c r="F276" s="580" t="s">
        <v>1386</v>
      </c>
      <c r="G276" s="582" t="s">
        <v>81</v>
      </c>
      <c r="H276" s="578" t="s">
        <v>95</v>
      </c>
      <c r="I276" s="583">
        <v>240</v>
      </c>
      <c r="J276" s="583">
        <v>0</v>
      </c>
      <c r="K276" s="583">
        <v>6</v>
      </c>
      <c r="L276" s="584">
        <f t="shared" si="182"/>
        <v>40</v>
      </c>
      <c r="M276" s="585">
        <v>45856</v>
      </c>
      <c r="N276" s="585">
        <v>45852</v>
      </c>
      <c r="O276" s="586"/>
      <c r="P276" s="586" t="s">
        <v>83</v>
      </c>
      <c r="Q276" s="617" t="s">
        <v>1387</v>
      </c>
      <c r="R276" s="586" t="s">
        <v>1388</v>
      </c>
      <c r="S276" s="586"/>
      <c r="T276" s="586"/>
      <c r="U276" s="641" t="s">
        <v>1389</v>
      </c>
      <c r="V276" s="641"/>
      <c r="W276" s="641"/>
      <c r="X276" s="661" t="s">
        <v>1390</v>
      </c>
      <c r="Y276" s="618" t="s">
        <v>243</v>
      </c>
      <c r="Z276" s="590">
        <v>5.7828</v>
      </c>
      <c r="AA276" s="591">
        <f t="shared" si="168"/>
        <v>1387.872</v>
      </c>
      <c r="AB276" s="619"/>
      <c r="AC276" s="582" t="s">
        <v>235</v>
      </c>
      <c r="AD276" s="593" t="s">
        <v>89</v>
      </c>
      <c r="AE276" s="628"/>
      <c r="AF276" s="628"/>
      <c r="AG276" s="595"/>
      <c r="AH276" s="628"/>
      <c r="AI276" s="628"/>
      <c r="AJ276" s="637">
        <f>I276</f>
        <v>240</v>
      </c>
      <c r="AK276" s="629"/>
      <c r="AL276" s="628"/>
      <c r="AM276" s="628"/>
      <c r="AN276" s="598">
        <f t="shared" si="172"/>
        <v>240</v>
      </c>
      <c r="AO276" s="621"/>
      <c r="AP276" s="630"/>
      <c r="AQ276" s="630"/>
      <c r="AR276" s="592"/>
      <c r="AS276" s="630"/>
      <c r="AT276" s="630"/>
      <c r="AU276" s="621">
        <f>I276</f>
        <v>240</v>
      </c>
      <c r="AV276" s="621"/>
      <c r="AW276" s="592">
        <f t="shared" si="174"/>
        <v>240</v>
      </c>
      <c r="AX276" s="621"/>
      <c r="AY276" s="621"/>
      <c r="AZ276" s="621"/>
      <c r="BA276" s="621"/>
      <c r="BB276" s="621"/>
      <c r="BC276" s="621"/>
      <c r="BD276" s="621"/>
      <c r="BE276" s="623"/>
      <c r="BF276" s="602" t="s">
        <v>90</v>
      </c>
      <c r="BG276" s="603"/>
      <c r="BH276" s="604">
        <f t="shared" si="186"/>
        <v>40</v>
      </c>
      <c r="BI276" s="605">
        <f t="shared" si="187"/>
        <v>40</v>
      </c>
      <c r="BJ276" s="602">
        <f t="shared" si="188"/>
        <v>40</v>
      </c>
      <c r="BK276" s="602">
        <f t="shared" si="189"/>
        <v>40</v>
      </c>
      <c r="BL276" s="602">
        <f t="shared" si="190"/>
        <v>40</v>
      </c>
      <c r="BM276" s="602">
        <f t="shared" si="191"/>
        <v>40</v>
      </c>
      <c r="BN276" s="631"/>
      <c r="BO276" s="631"/>
      <c r="BP276" s="631"/>
      <c r="BQ276" s="631"/>
      <c r="BR276" s="631"/>
      <c r="BS276" s="631"/>
      <c r="BT276" s="607">
        <f t="shared" si="169"/>
        <v>240</v>
      </c>
      <c r="BU276" s="608">
        <f t="shared" si="170"/>
        <v>0</v>
      </c>
      <c r="BV276" s="609"/>
      <c r="BW276" s="491"/>
    </row>
    <row r="277" s="490" customFormat="1" ht="33" customHeight="1" spans="1:75 16369:16384">
      <c r="A277" s="577">
        <v>45771</v>
      </c>
      <c r="B277" s="581" t="s">
        <v>1391</v>
      </c>
      <c r="C277" s="579" t="s">
        <v>892</v>
      </c>
      <c r="D277" s="580">
        <v>4500159848</v>
      </c>
      <c r="E277" s="616" t="s">
        <v>1392</v>
      </c>
      <c r="F277" s="580" t="s">
        <v>1393</v>
      </c>
      <c r="G277" s="582" t="s">
        <v>81</v>
      </c>
      <c r="H277" s="578" t="s">
        <v>95</v>
      </c>
      <c r="I277" s="583">
        <v>192</v>
      </c>
      <c r="J277" s="583">
        <v>0</v>
      </c>
      <c r="K277" s="583">
        <v>6</v>
      </c>
      <c r="L277" s="584">
        <f t="shared" si="182"/>
        <v>32</v>
      </c>
      <c r="M277" s="585">
        <v>45859</v>
      </c>
      <c r="N277" s="585">
        <f>M277-4</f>
        <v>45855</v>
      </c>
      <c r="O277" s="586"/>
      <c r="P277" s="586" t="s">
        <v>83</v>
      </c>
      <c r="Q277" s="587" t="s">
        <v>1394</v>
      </c>
      <c r="R277" s="586" t="s">
        <v>1258</v>
      </c>
      <c r="S277" s="586"/>
      <c r="T277" s="586"/>
      <c r="U277" s="641" t="s">
        <v>1395</v>
      </c>
      <c r="V277" s="641"/>
      <c r="W277" s="641" t="s">
        <v>1396</v>
      </c>
      <c r="X277" s="661" t="s">
        <v>1397</v>
      </c>
      <c r="Y277" s="618" t="s">
        <v>243</v>
      </c>
      <c r="Z277" s="590">
        <v>5.905</v>
      </c>
      <c r="AA277" s="591">
        <f t="shared" si="168"/>
        <v>1133.76</v>
      </c>
      <c r="AB277" s="619" t="s">
        <v>1398</v>
      </c>
      <c r="AC277" s="582" t="s">
        <v>235</v>
      </c>
      <c r="AD277" s="593" t="s">
        <v>89</v>
      </c>
      <c r="AE277" s="628"/>
      <c r="AF277" s="628"/>
      <c r="AG277" s="595"/>
      <c r="AH277" s="628"/>
      <c r="AI277" s="628"/>
      <c r="AJ277" s="595">
        <f>I277</f>
        <v>192</v>
      </c>
      <c r="AK277" s="629"/>
      <c r="AL277" s="628"/>
      <c r="AM277" s="628"/>
      <c r="AN277" s="598">
        <f t="shared" si="172"/>
        <v>192</v>
      </c>
      <c r="AO277" s="621"/>
      <c r="AP277" s="630"/>
      <c r="AQ277" s="630"/>
      <c r="AR277" s="592"/>
      <c r="AS277" s="630"/>
      <c r="AT277" s="630"/>
      <c r="AU277" s="621">
        <f>I277</f>
        <v>192</v>
      </c>
      <c r="AV277" s="621"/>
      <c r="AW277" s="592">
        <f t="shared" si="174"/>
        <v>192</v>
      </c>
      <c r="AX277" s="621"/>
      <c r="AY277" s="621"/>
      <c r="AZ277" s="621"/>
      <c r="BA277" s="621"/>
      <c r="BB277" s="621"/>
      <c r="BC277" s="621"/>
      <c r="BD277" s="621"/>
      <c r="BE277" s="623"/>
      <c r="BF277" s="602" t="s">
        <v>90</v>
      </c>
      <c r="BG277" s="603"/>
      <c r="BH277" s="604">
        <f t="shared" si="186"/>
        <v>32</v>
      </c>
      <c r="BI277" s="605">
        <f t="shared" si="187"/>
        <v>32</v>
      </c>
      <c r="BJ277" s="602">
        <f t="shared" si="188"/>
        <v>32</v>
      </c>
      <c r="BK277" s="602">
        <f t="shared" si="189"/>
        <v>32</v>
      </c>
      <c r="BL277" s="602">
        <f t="shared" si="190"/>
        <v>32</v>
      </c>
      <c r="BM277" s="602">
        <f t="shared" si="191"/>
        <v>32</v>
      </c>
      <c r="BN277" s="631"/>
      <c r="BO277" s="631"/>
      <c r="BP277" s="631"/>
      <c r="BQ277" s="631"/>
      <c r="BR277" s="631"/>
      <c r="BS277" s="631"/>
      <c r="BT277" s="607">
        <f t="shared" si="169"/>
        <v>192</v>
      </c>
      <c r="BU277" s="608">
        <f t="shared" si="170"/>
        <v>0</v>
      </c>
      <c r="BV277" s="609"/>
      <c r="BW277" s="491"/>
    </row>
    <row r="278" s="490" customFormat="1" ht="33" customHeight="1" spans="1:75 16369:16384">
      <c r="A278" s="577">
        <v>45828</v>
      </c>
      <c r="B278" s="581" t="s">
        <v>885</v>
      </c>
      <c r="C278" s="579" t="s">
        <v>92</v>
      </c>
      <c r="D278" s="580">
        <v>4500170802</v>
      </c>
      <c r="E278" s="588">
        <v>926150149</v>
      </c>
      <c r="F278" s="580" t="s">
        <v>1399</v>
      </c>
      <c r="G278" s="582" t="s">
        <v>155</v>
      </c>
      <c r="H278" s="578" t="s">
        <v>156</v>
      </c>
      <c r="I278" s="583">
        <v>540</v>
      </c>
      <c r="J278" s="583">
        <v>1</v>
      </c>
      <c r="K278" s="583">
        <v>108</v>
      </c>
      <c r="L278" s="584">
        <f t="shared" si="182"/>
        <v>5</v>
      </c>
      <c r="M278" s="585">
        <v>45859</v>
      </c>
      <c r="N278" s="585">
        <v>45855</v>
      </c>
      <c r="O278" s="586" t="s">
        <v>1400</v>
      </c>
      <c r="P278" s="586" t="s">
        <v>83</v>
      </c>
      <c r="Q278" s="587"/>
      <c r="R278" s="586" t="s">
        <v>888</v>
      </c>
      <c r="S278" s="586"/>
      <c r="T278" s="586"/>
      <c r="U278" s="641" t="s">
        <v>665</v>
      </c>
      <c r="V278" s="641" t="s">
        <v>161</v>
      </c>
      <c r="W278" s="641"/>
      <c r="X278" s="661" t="s">
        <v>1401</v>
      </c>
      <c r="Y278" s="618" t="s">
        <v>163</v>
      </c>
      <c r="Z278" s="590">
        <v>383.702</v>
      </c>
      <c r="AA278" s="591">
        <f>Z278*L278</f>
        <v>1918.51</v>
      </c>
      <c r="AB278" s="619" t="s">
        <v>1402</v>
      </c>
      <c r="AC278" s="638" t="s">
        <v>155</v>
      </c>
      <c r="AD278" s="593" t="s">
        <v>89</v>
      </c>
      <c r="AE278" s="628"/>
      <c r="AF278" s="628"/>
      <c r="AG278" s="595">
        <f>I278</f>
        <v>540</v>
      </c>
      <c r="AH278" s="628"/>
      <c r="AI278" s="628"/>
      <c r="AJ278" s="595"/>
      <c r="AK278" s="629"/>
      <c r="AL278" s="628"/>
      <c r="AM278" s="628"/>
      <c r="AN278" s="598">
        <f t="shared" si="172"/>
        <v>540</v>
      </c>
      <c r="AO278" s="621"/>
      <c r="AP278" s="630"/>
      <c r="AQ278" s="630"/>
      <c r="AR278" s="592">
        <f>I278</f>
        <v>540</v>
      </c>
      <c r="AS278" s="630"/>
      <c r="AT278" s="630"/>
      <c r="AU278" s="621"/>
      <c r="AV278" s="621"/>
      <c r="AW278" s="592">
        <f t="shared" si="174"/>
        <v>540</v>
      </c>
      <c r="AX278" s="621"/>
      <c r="AY278" s="621"/>
      <c r="AZ278" s="621"/>
      <c r="BA278" s="621"/>
      <c r="BB278" s="621"/>
      <c r="BC278" s="621"/>
      <c r="BD278" s="621"/>
      <c r="BE278" s="623"/>
      <c r="BF278" s="602" t="s">
        <v>165</v>
      </c>
      <c r="BG278" s="603"/>
      <c r="BH278" s="604">
        <f t="shared" si="186"/>
        <v>90</v>
      </c>
      <c r="BI278" s="605">
        <f t="shared" si="187"/>
        <v>90</v>
      </c>
      <c r="BJ278" s="602">
        <f t="shared" si="188"/>
        <v>90</v>
      </c>
      <c r="BK278" s="602">
        <f t="shared" si="189"/>
        <v>90</v>
      </c>
      <c r="BL278" s="602">
        <f t="shared" si="190"/>
        <v>90</v>
      </c>
      <c r="BM278" s="602">
        <f t="shared" si="191"/>
        <v>90</v>
      </c>
      <c r="BN278" s="631"/>
      <c r="BO278" s="631"/>
      <c r="BP278" s="631"/>
      <c r="BQ278" s="631"/>
      <c r="BR278" s="631"/>
      <c r="BS278" s="631"/>
      <c r="BT278" s="607">
        <f t="shared" si="169"/>
        <v>540</v>
      </c>
      <c r="BU278" s="608">
        <f t="shared" si="170"/>
        <v>0</v>
      </c>
      <c r="BV278" s="609"/>
      <c r="BW278" s="491"/>
    </row>
    <row r="279" s="490" customFormat="1" ht="33" customHeight="1" spans="1:75 16369:16384">
      <c r="A279" s="577">
        <v>45828</v>
      </c>
      <c r="B279" s="581" t="s">
        <v>885</v>
      </c>
      <c r="C279" s="579" t="s">
        <v>92</v>
      </c>
      <c r="D279" s="580">
        <v>4500170802</v>
      </c>
      <c r="E279" s="588">
        <v>926150150</v>
      </c>
      <c r="F279" s="580" t="s">
        <v>1403</v>
      </c>
      <c r="G279" s="582" t="s">
        <v>155</v>
      </c>
      <c r="H279" s="578" t="s">
        <v>156</v>
      </c>
      <c r="I279" s="583">
        <v>540</v>
      </c>
      <c r="J279" s="583">
        <v>1</v>
      </c>
      <c r="K279" s="583">
        <v>108</v>
      </c>
      <c r="L279" s="584">
        <f t="shared" si="182"/>
        <v>5</v>
      </c>
      <c r="M279" s="585">
        <v>45859</v>
      </c>
      <c r="N279" s="585">
        <v>45855</v>
      </c>
      <c r="O279" s="586" t="s">
        <v>1400</v>
      </c>
      <c r="P279" s="586" t="s">
        <v>83</v>
      </c>
      <c r="Q279" s="587" t="s">
        <v>1387</v>
      </c>
      <c r="R279" s="586" t="s">
        <v>888</v>
      </c>
      <c r="S279" s="586"/>
      <c r="T279" s="586"/>
      <c r="U279" s="641" t="s">
        <v>665</v>
      </c>
      <c r="V279" s="641" t="s">
        <v>161</v>
      </c>
      <c r="W279" s="641"/>
      <c r="X279" s="661" t="s">
        <v>1401</v>
      </c>
      <c r="Y279" s="618" t="s">
        <v>163</v>
      </c>
      <c r="Z279" s="590">
        <v>383.702</v>
      </c>
      <c r="AA279" s="591">
        <f>Z279*L279</f>
        <v>1918.51</v>
      </c>
      <c r="AB279" s="619" t="s">
        <v>1404</v>
      </c>
      <c r="AC279" s="638" t="s">
        <v>155</v>
      </c>
      <c r="AD279" s="593" t="s">
        <v>89</v>
      </c>
      <c r="AE279" s="628"/>
      <c r="AF279" s="628"/>
      <c r="AG279" s="595">
        <f>I279</f>
        <v>540</v>
      </c>
      <c r="AH279" s="628"/>
      <c r="AI279" s="628"/>
      <c r="AJ279" s="595"/>
      <c r="AK279" s="629"/>
      <c r="AL279" s="628"/>
      <c r="AM279" s="628"/>
      <c r="AN279" s="598">
        <f t="shared" si="172"/>
        <v>540</v>
      </c>
      <c r="AO279" s="621"/>
      <c r="AP279" s="630"/>
      <c r="AQ279" s="630"/>
      <c r="AR279" s="592">
        <f>I279</f>
        <v>540</v>
      </c>
      <c r="AS279" s="630"/>
      <c r="AT279" s="630"/>
      <c r="AU279" s="621"/>
      <c r="AV279" s="621"/>
      <c r="AW279" s="592">
        <f t="shared" si="174"/>
        <v>540</v>
      </c>
      <c r="AX279" s="621"/>
      <c r="AY279" s="621"/>
      <c r="AZ279" s="621"/>
      <c r="BA279" s="621"/>
      <c r="BB279" s="621"/>
      <c r="BC279" s="621"/>
      <c r="BD279" s="621"/>
      <c r="BE279" s="623"/>
      <c r="BF279" s="602" t="s">
        <v>165</v>
      </c>
      <c r="BG279" s="603"/>
      <c r="BH279" s="604">
        <f t="shared" si="186"/>
        <v>90</v>
      </c>
      <c r="BI279" s="605">
        <f t="shared" si="187"/>
        <v>90</v>
      </c>
      <c r="BJ279" s="602">
        <f t="shared" si="188"/>
        <v>90</v>
      </c>
      <c r="BK279" s="602">
        <f t="shared" si="189"/>
        <v>90</v>
      </c>
      <c r="BL279" s="602">
        <f t="shared" si="190"/>
        <v>90</v>
      </c>
      <c r="BM279" s="602">
        <f t="shared" si="191"/>
        <v>90</v>
      </c>
      <c r="BN279" s="631"/>
      <c r="BO279" s="631"/>
      <c r="BP279" s="631"/>
      <c r="BQ279" s="631"/>
      <c r="BR279" s="631"/>
      <c r="BS279" s="631"/>
      <c r="BT279" s="607">
        <f t="shared" si="169"/>
        <v>540</v>
      </c>
      <c r="BU279" s="608">
        <f t="shared" si="170"/>
        <v>0</v>
      </c>
      <c r="BV279" s="609"/>
      <c r="BW279" s="491"/>
    </row>
    <row r="280" s="490" customFormat="1" ht="33" customHeight="1" spans="1:75 16369:16384">
      <c r="A280" s="577">
        <v>45828</v>
      </c>
      <c r="B280" s="581" t="s">
        <v>885</v>
      </c>
      <c r="C280" s="579" t="s">
        <v>92</v>
      </c>
      <c r="D280" s="580">
        <v>4500170802</v>
      </c>
      <c r="E280" s="588">
        <v>926150152</v>
      </c>
      <c r="F280" s="580" t="s">
        <v>1405</v>
      </c>
      <c r="G280" s="582" t="s">
        <v>155</v>
      </c>
      <c r="H280" s="578" t="s">
        <v>156</v>
      </c>
      <c r="I280" s="583">
        <v>540</v>
      </c>
      <c r="J280" s="583">
        <v>1</v>
      </c>
      <c r="K280" s="583">
        <v>108</v>
      </c>
      <c r="L280" s="584">
        <f t="shared" si="182"/>
        <v>5</v>
      </c>
      <c r="M280" s="585">
        <v>45859</v>
      </c>
      <c r="N280" s="585">
        <v>45855</v>
      </c>
      <c r="O280" s="586" t="s">
        <v>1400</v>
      </c>
      <c r="P280" s="586" t="s">
        <v>83</v>
      </c>
      <c r="Q280" s="587" t="s">
        <v>1380</v>
      </c>
      <c r="R280" s="586" t="s">
        <v>888</v>
      </c>
      <c r="S280" s="586"/>
      <c r="T280" s="586"/>
      <c r="U280" s="641" t="s">
        <v>665</v>
      </c>
      <c r="V280" s="641" t="s">
        <v>161</v>
      </c>
      <c r="W280" s="641"/>
      <c r="X280" s="661" t="s">
        <v>1401</v>
      </c>
      <c r="Y280" s="618" t="s">
        <v>163</v>
      </c>
      <c r="Z280" s="590">
        <v>383.702</v>
      </c>
      <c r="AA280" s="591">
        <f>Z280*L280</f>
        <v>1918.51</v>
      </c>
      <c r="AB280" s="619" t="s">
        <v>1406</v>
      </c>
      <c r="AC280" s="638" t="s">
        <v>155</v>
      </c>
      <c r="AD280" s="593" t="s">
        <v>89</v>
      </c>
      <c r="AE280" s="628"/>
      <c r="AF280" s="628"/>
      <c r="AG280" s="595">
        <f>I280</f>
        <v>540</v>
      </c>
      <c r="AH280" s="628"/>
      <c r="AI280" s="628"/>
      <c r="AJ280" s="595"/>
      <c r="AK280" s="629"/>
      <c r="AL280" s="628"/>
      <c r="AM280" s="628"/>
      <c r="AN280" s="598">
        <f t="shared" si="172"/>
        <v>540</v>
      </c>
      <c r="AO280" s="621"/>
      <c r="AP280" s="630"/>
      <c r="AQ280" s="630"/>
      <c r="AR280" s="592">
        <f>I280</f>
        <v>540</v>
      </c>
      <c r="AS280" s="630"/>
      <c r="AT280" s="630"/>
      <c r="AU280" s="621"/>
      <c r="AV280" s="621"/>
      <c r="AW280" s="592">
        <f t="shared" si="174"/>
        <v>540</v>
      </c>
      <c r="AX280" s="621"/>
      <c r="AY280" s="621"/>
      <c r="AZ280" s="621"/>
      <c r="BA280" s="621"/>
      <c r="BB280" s="621"/>
      <c r="BC280" s="621"/>
      <c r="BD280" s="621"/>
      <c r="BE280" s="623"/>
      <c r="BF280" s="602" t="s">
        <v>165</v>
      </c>
      <c r="BG280" s="603"/>
      <c r="BH280" s="604">
        <f t="shared" si="186"/>
        <v>90</v>
      </c>
      <c r="BI280" s="605">
        <f t="shared" si="187"/>
        <v>90</v>
      </c>
      <c r="BJ280" s="602">
        <f t="shared" si="188"/>
        <v>90</v>
      </c>
      <c r="BK280" s="602">
        <f t="shared" si="189"/>
        <v>90</v>
      </c>
      <c r="BL280" s="602">
        <f t="shared" si="190"/>
        <v>90</v>
      </c>
      <c r="BM280" s="602">
        <f t="shared" si="191"/>
        <v>90</v>
      </c>
      <c r="BN280" s="631"/>
      <c r="BO280" s="631"/>
      <c r="BP280" s="631"/>
      <c r="BQ280" s="631"/>
      <c r="BR280" s="631"/>
      <c r="BS280" s="631"/>
      <c r="BT280" s="607">
        <f t="shared" si="169"/>
        <v>540</v>
      </c>
      <c r="BU280" s="608">
        <f t="shared" si="170"/>
        <v>0</v>
      </c>
      <c r="BV280" s="609"/>
      <c r="BW280" s="491"/>
    </row>
    <row r="281" s="490" customFormat="1" ht="33" customHeight="1" spans="1:75 16369:16384">
      <c r="A281" s="577">
        <v>45828</v>
      </c>
      <c r="B281" s="581" t="s">
        <v>885</v>
      </c>
      <c r="C281" s="579" t="s">
        <v>92</v>
      </c>
      <c r="D281" s="580">
        <v>4500170802</v>
      </c>
      <c r="E281" s="588">
        <v>926150157</v>
      </c>
      <c r="F281" s="580" t="s">
        <v>1407</v>
      </c>
      <c r="G281" s="582" t="s">
        <v>155</v>
      </c>
      <c r="H281" s="578" t="s">
        <v>156</v>
      </c>
      <c r="I281" s="583">
        <v>540</v>
      </c>
      <c r="J281" s="583">
        <v>1</v>
      </c>
      <c r="K281" s="583">
        <v>108</v>
      </c>
      <c r="L281" s="584">
        <f t="shared" si="182"/>
        <v>5</v>
      </c>
      <c r="M281" s="585">
        <v>45859</v>
      </c>
      <c r="N281" s="585">
        <v>45855</v>
      </c>
      <c r="O281" s="586" t="s">
        <v>1400</v>
      </c>
      <c r="P281" s="586" t="s">
        <v>83</v>
      </c>
      <c r="Q281" s="587" t="s">
        <v>1387</v>
      </c>
      <c r="R281" s="586" t="s">
        <v>888</v>
      </c>
      <c r="S281" s="586"/>
      <c r="T281" s="586"/>
      <c r="U281" s="641" t="s">
        <v>665</v>
      </c>
      <c r="V281" s="641" t="s">
        <v>161</v>
      </c>
      <c r="W281" s="641"/>
      <c r="X281" s="661" t="s">
        <v>1401</v>
      </c>
      <c r="Y281" s="618" t="s">
        <v>163</v>
      </c>
      <c r="Z281" s="590">
        <v>383.702</v>
      </c>
      <c r="AA281" s="591">
        <f>Z281*L281</f>
        <v>1918.51</v>
      </c>
      <c r="AB281" s="619" t="s">
        <v>1408</v>
      </c>
      <c r="AC281" s="638" t="s">
        <v>155</v>
      </c>
      <c r="AD281" s="593" t="s">
        <v>89</v>
      </c>
      <c r="AE281" s="628"/>
      <c r="AF281" s="628"/>
      <c r="AG281" s="595">
        <f>I281</f>
        <v>540</v>
      </c>
      <c r="AH281" s="628"/>
      <c r="AI281" s="628"/>
      <c r="AJ281" s="595"/>
      <c r="AK281" s="629"/>
      <c r="AL281" s="628"/>
      <c r="AM281" s="628"/>
      <c r="AN281" s="598">
        <f t="shared" si="172"/>
        <v>540</v>
      </c>
      <c r="AO281" s="621"/>
      <c r="AP281" s="630"/>
      <c r="AQ281" s="630"/>
      <c r="AR281" s="592">
        <f>I281</f>
        <v>540</v>
      </c>
      <c r="AS281" s="630"/>
      <c r="AT281" s="630"/>
      <c r="AU281" s="621"/>
      <c r="AV281" s="621"/>
      <c r="AW281" s="592">
        <f t="shared" si="174"/>
        <v>540</v>
      </c>
      <c r="AX281" s="621"/>
      <c r="AY281" s="621"/>
      <c r="AZ281" s="621"/>
      <c r="BA281" s="621"/>
      <c r="BB281" s="621"/>
      <c r="BC281" s="621"/>
      <c r="BD281" s="621"/>
      <c r="BE281" s="623"/>
      <c r="BF281" s="602" t="s">
        <v>165</v>
      </c>
      <c r="BG281" s="603"/>
      <c r="BH281" s="662">
        <f t="shared" si="186"/>
        <v>90</v>
      </c>
      <c r="BI281" s="605">
        <f t="shared" si="187"/>
        <v>90</v>
      </c>
      <c r="BJ281" s="605">
        <f t="shared" si="188"/>
        <v>90</v>
      </c>
      <c r="BK281" s="605">
        <f t="shared" si="189"/>
        <v>90</v>
      </c>
      <c r="BL281" s="605">
        <f t="shared" si="190"/>
        <v>90</v>
      </c>
      <c r="BM281" s="605">
        <f t="shared" si="191"/>
        <v>90</v>
      </c>
      <c r="BN281" s="631"/>
      <c r="BO281" s="631"/>
      <c r="BP281" s="631"/>
      <c r="BQ281" s="631"/>
      <c r="BR281" s="631"/>
      <c r="BS281" s="631"/>
      <c r="BT281" s="607">
        <f t="shared" si="169"/>
        <v>540</v>
      </c>
      <c r="BU281" s="608">
        <f t="shared" si="170"/>
        <v>0</v>
      </c>
      <c r="BV281" s="609"/>
      <c r="BW281" s="491"/>
    </row>
    <row r="282" s="490" customFormat="1" ht="33" customHeight="1" spans="1:75 16369:16384">
      <c r="A282" s="577">
        <v>45827</v>
      </c>
      <c r="B282" s="581" t="s">
        <v>1409</v>
      </c>
      <c r="C282" s="579" t="s">
        <v>842</v>
      </c>
      <c r="D282" s="580">
        <v>4500170116</v>
      </c>
      <c r="E282" s="616"/>
      <c r="F282" s="580" t="s">
        <v>1410</v>
      </c>
      <c r="G282" s="582" t="s">
        <v>81</v>
      </c>
      <c r="H282" s="578" t="s">
        <v>95</v>
      </c>
      <c r="I282" s="583">
        <v>3000</v>
      </c>
      <c r="J282" s="583">
        <v>0</v>
      </c>
      <c r="K282" s="583">
        <v>6</v>
      </c>
      <c r="L282" s="584">
        <f t="shared" si="182"/>
        <v>500</v>
      </c>
      <c r="M282" s="585">
        <v>45860</v>
      </c>
      <c r="N282" s="585">
        <v>45856</v>
      </c>
      <c r="O282" s="586"/>
      <c r="P282" s="586" t="s">
        <v>83</v>
      </c>
      <c r="Q282" s="587" t="s">
        <v>84</v>
      </c>
      <c r="R282" s="586" t="s">
        <v>1411</v>
      </c>
      <c r="S282" s="586"/>
      <c r="T282" s="586"/>
      <c r="U282" s="641" t="s">
        <v>1412</v>
      </c>
      <c r="V282" s="641"/>
      <c r="W282" s="641"/>
      <c r="X282" s="661" t="s">
        <v>1413</v>
      </c>
      <c r="Y282" s="618" t="s">
        <v>243</v>
      </c>
      <c r="Z282" s="590">
        <v>5.7646</v>
      </c>
      <c r="AA282" s="591">
        <f t="shared" ref="AA282:AA297" si="192">Z282*I282</f>
        <v>17293.8</v>
      </c>
      <c r="AB282" s="663" t="s">
        <v>1414</v>
      </c>
      <c r="AC282" s="582" t="s">
        <v>81</v>
      </c>
      <c r="AD282" s="593" t="s">
        <v>89</v>
      </c>
      <c r="AE282" s="628"/>
      <c r="AF282" s="628"/>
      <c r="AG282" s="595">
        <f>I282</f>
        <v>3000</v>
      </c>
      <c r="AH282" s="628"/>
      <c r="AI282" s="628"/>
      <c r="AJ282" s="595"/>
      <c r="AK282" s="629"/>
      <c r="AL282" s="628"/>
      <c r="AM282" s="628"/>
      <c r="AN282" s="598">
        <f t="shared" si="172"/>
        <v>3000</v>
      </c>
      <c r="AO282" s="621"/>
      <c r="AP282" s="630"/>
      <c r="AQ282" s="630"/>
      <c r="AR282" s="592">
        <f>I282</f>
        <v>3000</v>
      </c>
      <c r="AS282" s="630"/>
      <c r="AT282" s="630"/>
      <c r="AU282" s="621"/>
      <c r="AV282" s="621"/>
      <c r="AW282" s="592">
        <f t="shared" si="174"/>
        <v>3000</v>
      </c>
      <c r="AX282" s="621"/>
      <c r="AY282" s="621"/>
      <c r="AZ282" s="621"/>
      <c r="BA282" s="621"/>
      <c r="BB282" s="621"/>
      <c r="BC282" s="621"/>
      <c r="BD282" s="621"/>
      <c r="BE282" s="623"/>
      <c r="BF282" s="602" t="s">
        <v>90</v>
      </c>
      <c r="BG282" s="603"/>
      <c r="BH282" s="604">
        <f t="shared" si="186"/>
        <v>500</v>
      </c>
      <c r="BI282" s="605">
        <f t="shared" si="187"/>
        <v>500</v>
      </c>
      <c r="BJ282" s="602">
        <f t="shared" si="188"/>
        <v>500</v>
      </c>
      <c r="BK282" s="602">
        <f t="shared" si="189"/>
        <v>500</v>
      </c>
      <c r="BL282" s="602">
        <f t="shared" si="190"/>
        <v>500</v>
      </c>
      <c r="BM282" s="602">
        <f t="shared" si="191"/>
        <v>500</v>
      </c>
      <c r="BN282" s="631"/>
      <c r="BO282" s="631"/>
      <c r="BP282" s="631"/>
      <c r="BQ282" s="631"/>
      <c r="BR282" s="631"/>
      <c r="BS282" s="631"/>
      <c r="BT282" s="607">
        <f t="shared" si="169"/>
        <v>3000</v>
      </c>
      <c r="BU282" s="608">
        <f t="shared" si="170"/>
        <v>0</v>
      </c>
      <c r="BV282" s="609"/>
      <c r="BW282" s="491"/>
    </row>
    <row r="283" s="490" customFormat="1" ht="33" customHeight="1" spans="1:75 16369:16384">
      <c r="A283" s="577">
        <v>45818</v>
      </c>
      <c r="B283" s="581" t="s">
        <v>1415</v>
      </c>
      <c r="C283" s="579" t="s">
        <v>237</v>
      </c>
      <c r="D283" s="580">
        <v>4500169604</v>
      </c>
      <c r="E283" s="616"/>
      <c r="F283" s="580" t="s">
        <v>1416</v>
      </c>
      <c r="G283" s="582" t="s">
        <v>81</v>
      </c>
      <c r="H283" s="578" t="s">
        <v>95</v>
      </c>
      <c r="I283" s="583">
        <v>300</v>
      </c>
      <c r="J283" s="583">
        <v>0</v>
      </c>
      <c r="K283" s="583">
        <v>6</v>
      </c>
      <c r="L283" s="584">
        <f t="shared" si="182"/>
        <v>50</v>
      </c>
      <c r="M283" s="585">
        <v>45863</v>
      </c>
      <c r="N283" s="585">
        <v>45859</v>
      </c>
      <c r="O283" s="586"/>
      <c r="P283" s="586" t="s">
        <v>83</v>
      </c>
      <c r="Q283" s="587" t="s">
        <v>1417</v>
      </c>
      <c r="R283" s="586" t="s">
        <v>1418</v>
      </c>
      <c r="S283" s="586"/>
      <c r="T283" s="586"/>
      <c r="U283" s="641" t="s">
        <v>1419</v>
      </c>
      <c r="V283" s="641"/>
      <c r="W283" s="641"/>
      <c r="X283" s="661" t="s">
        <v>1420</v>
      </c>
      <c r="Y283" s="641" t="s">
        <v>243</v>
      </c>
      <c r="Z283" s="590">
        <v>5.6013</v>
      </c>
      <c r="AA283" s="591">
        <f t="shared" si="192"/>
        <v>1680.39</v>
      </c>
      <c r="AB283" s="619" t="s">
        <v>1421</v>
      </c>
      <c r="AC283" s="582" t="s">
        <v>235</v>
      </c>
      <c r="AD283" s="593" t="s">
        <v>89</v>
      </c>
      <c r="AE283" s="594"/>
      <c r="AF283" s="594"/>
      <c r="AG283" s="629"/>
      <c r="AH283" s="597"/>
      <c r="AI283" s="630"/>
      <c r="AJ283" s="595">
        <f>I283</f>
        <v>300</v>
      </c>
      <c r="AK283" s="621"/>
      <c r="AL283" s="630"/>
      <c r="AM283" s="596"/>
      <c r="AN283" s="598">
        <f t="shared" si="172"/>
        <v>300</v>
      </c>
      <c r="AO283" s="621"/>
      <c r="AP283" s="630"/>
      <c r="AQ283" s="630"/>
      <c r="AR283" s="621"/>
      <c r="AS283" s="630"/>
      <c r="AT283" s="630"/>
      <c r="AU283" s="621">
        <f>I283</f>
        <v>300</v>
      </c>
      <c r="AV283" s="618"/>
      <c r="AW283" s="592">
        <f t="shared" si="174"/>
        <v>300</v>
      </c>
      <c r="AX283" s="621"/>
      <c r="AY283" s="637"/>
      <c r="AZ283" s="618"/>
      <c r="BA283" s="618"/>
      <c r="BB283" s="618"/>
      <c r="BC283" s="621"/>
      <c r="BD283" s="621"/>
      <c r="BE283" s="623"/>
      <c r="BF283" s="602" t="s">
        <v>90</v>
      </c>
      <c r="BG283" s="603"/>
      <c r="BH283" s="604">
        <f t="shared" si="186"/>
        <v>50</v>
      </c>
      <c r="BI283" s="605">
        <f t="shared" si="187"/>
        <v>50</v>
      </c>
      <c r="BJ283" s="602">
        <f t="shared" si="188"/>
        <v>50</v>
      </c>
      <c r="BK283" s="602">
        <f t="shared" si="189"/>
        <v>50</v>
      </c>
      <c r="BL283" s="602">
        <f t="shared" si="190"/>
        <v>50</v>
      </c>
      <c r="BM283" s="602">
        <f t="shared" si="191"/>
        <v>50</v>
      </c>
      <c r="BN283" s="645"/>
      <c r="BO283" s="645"/>
      <c r="BP283" s="645"/>
      <c r="BQ283" s="645"/>
      <c r="BR283" s="645"/>
      <c r="BS283" s="645"/>
      <c r="BT283" s="607">
        <f t="shared" si="169"/>
        <v>300</v>
      </c>
      <c r="BU283" s="608">
        <f t="shared" si="170"/>
        <v>0</v>
      </c>
      <c r="BV283" s="609"/>
      <c r="BW283" s="491"/>
      <c r="XEO283" s="651"/>
      <c r="XEP283" s="652"/>
      <c r="XEQ283" s="653"/>
      <c r="XER283" s="654"/>
      <c r="XES283" s="655"/>
      <c r="XET283" s="654"/>
      <c r="XEU283" s="656"/>
      <c r="XEV283" s="656"/>
      <c r="XEW283" s="657"/>
      <c r="XEX283" s="658"/>
      <c r="XEY283" s="658"/>
      <c r="XEZ283" s="658"/>
      <c r="XFA283" s="658"/>
      <c r="XFB283" s="659"/>
      <c r="XFC283" s="659"/>
      <c r="XFD283" s="660"/>
    </row>
    <row r="284" s="490" customFormat="1" ht="33" customHeight="1" spans="1:75 16369:16384">
      <c r="A284" s="577">
        <v>45820</v>
      </c>
      <c r="B284" s="581" t="s">
        <v>236</v>
      </c>
      <c r="C284" s="579" t="s">
        <v>237</v>
      </c>
      <c r="D284" s="580">
        <v>4500169751</v>
      </c>
      <c r="E284" s="616"/>
      <c r="F284" s="580" t="s">
        <v>1422</v>
      </c>
      <c r="G284" s="582" t="s">
        <v>81</v>
      </c>
      <c r="H284" s="578" t="s">
        <v>95</v>
      </c>
      <c r="I284" s="583">
        <v>120</v>
      </c>
      <c r="J284" s="583">
        <v>0</v>
      </c>
      <c r="K284" s="583">
        <v>6</v>
      </c>
      <c r="L284" s="584">
        <f t="shared" si="182"/>
        <v>20</v>
      </c>
      <c r="M284" s="585">
        <v>45863</v>
      </c>
      <c r="N284" s="585">
        <v>45859</v>
      </c>
      <c r="O284" s="586"/>
      <c r="P284" s="586" t="s">
        <v>83</v>
      </c>
      <c r="Q284" s="587" t="s">
        <v>1423</v>
      </c>
      <c r="R284" s="586" t="s">
        <v>1375</v>
      </c>
      <c r="S284" s="586"/>
      <c r="T284" s="586"/>
      <c r="U284" s="641" t="s">
        <v>1424</v>
      </c>
      <c r="V284" s="641"/>
      <c r="W284" s="641"/>
      <c r="X284" s="661" t="s">
        <v>1425</v>
      </c>
      <c r="Y284" s="618" t="s">
        <v>243</v>
      </c>
      <c r="Z284" s="590">
        <v>5.7828</v>
      </c>
      <c r="AA284" s="591">
        <f t="shared" si="192"/>
        <v>693.936</v>
      </c>
      <c r="AB284" s="619"/>
      <c r="AC284" s="582" t="s">
        <v>235</v>
      </c>
      <c r="AD284" s="593" t="s">
        <v>89</v>
      </c>
      <c r="AE284" s="628"/>
      <c r="AF284" s="628"/>
      <c r="AG284" s="595"/>
      <c r="AH284" s="628"/>
      <c r="AI284" s="628"/>
      <c r="AJ284" s="595">
        <f>I284</f>
        <v>120</v>
      </c>
      <c r="AK284" s="629"/>
      <c r="AL284" s="628"/>
      <c r="AM284" s="628"/>
      <c r="AN284" s="598">
        <f t="shared" si="172"/>
        <v>120</v>
      </c>
      <c r="AO284" s="621"/>
      <c r="AP284" s="630"/>
      <c r="AQ284" s="630"/>
      <c r="AR284" s="592"/>
      <c r="AS284" s="630"/>
      <c r="AT284" s="630"/>
      <c r="AU284" s="621">
        <f>I284</f>
        <v>120</v>
      </c>
      <c r="AV284" s="621"/>
      <c r="AW284" s="592">
        <f t="shared" si="174"/>
        <v>120</v>
      </c>
      <c r="AX284" s="621"/>
      <c r="AY284" s="621"/>
      <c r="AZ284" s="621"/>
      <c r="BA284" s="621"/>
      <c r="BB284" s="621"/>
      <c r="BC284" s="621"/>
      <c r="BD284" s="621"/>
      <c r="BE284" s="623"/>
      <c r="BF284" s="602" t="s">
        <v>90</v>
      </c>
      <c r="BG284" s="603"/>
      <c r="BH284" s="604">
        <f t="shared" si="186"/>
        <v>20</v>
      </c>
      <c r="BI284" s="605">
        <f t="shared" si="187"/>
        <v>20</v>
      </c>
      <c r="BJ284" s="602">
        <f t="shared" si="188"/>
        <v>20</v>
      </c>
      <c r="BK284" s="602">
        <f t="shared" si="189"/>
        <v>20</v>
      </c>
      <c r="BL284" s="602">
        <f t="shared" si="190"/>
        <v>20</v>
      </c>
      <c r="BM284" s="602">
        <f t="shared" si="191"/>
        <v>20</v>
      </c>
      <c r="BN284" s="631"/>
      <c r="BO284" s="631"/>
      <c r="BP284" s="631"/>
      <c r="BQ284" s="631"/>
      <c r="BR284" s="631"/>
      <c r="BS284" s="631"/>
      <c r="BT284" s="607">
        <f t="shared" si="169"/>
        <v>120</v>
      </c>
      <c r="BU284" s="608">
        <f t="shared" si="170"/>
        <v>0</v>
      </c>
      <c r="BV284" s="609"/>
      <c r="BW284" s="491"/>
    </row>
    <row r="285" s="490" customFormat="1" ht="33" customHeight="1" spans="1:75 16369:16384">
      <c r="A285" s="577">
        <v>45820</v>
      </c>
      <c r="B285" s="581" t="s">
        <v>1426</v>
      </c>
      <c r="C285" s="579" t="s">
        <v>1427</v>
      </c>
      <c r="D285" s="580">
        <v>4500169609</v>
      </c>
      <c r="E285" s="616"/>
      <c r="F285" s="580" t="s">
        <v>1428</v>
      </c>
      <c r="G285" s="582" t="s">
        <v>81</v>
      </c>
      <c r="H285" s="578" t="s">
        <v>95</v>
      </c>
      <c r="I285" s="583">
        <v>600</v>
      </c>
      <c r="J285" s="583">
        <v>0</v>
      </c>
      <c r="K285" s="583">
        <v>6</v>
      </c>
      <c r="L285" s="584">
        <f t="shared" si="182"/>
        <v>100</v>
      </c>
      <c r="M285" s="585">
        <v>45854</v>
      </c>
      <c r="N285" s="585">
        <v>45850</v>
      </c>
      <c r="O285" s="586" t="s">
        <v>1429</v>
      </c>
      <c r="P285" s="586" t="s">
        <v>83</v>
      </c>
      <c r="Q285" s="587" t="s">
        <v>1430</v>
      </c>
      <c r="R285" s="586" t="s">
        <v>1333</v>
      </c>
      <c r="S285" s="586"/>
      <c r="T285" s="586"/>
      <c r="U285" s="641" t="s">
        <v>1431</v>
      </c>
      <c r="V285" s="641"/>
      <c r="W285" s="641"/>
      <c r="X285" s="661" t="s">
        <v>1432</v>
      </c>
      <c r="Y285" s="641" t="s">
        <v>1433</v>
      </c>
      <c r="Z285" s="590">
        <v>5.6013</v>
      </c>
      <c r="AA285" s="591">
        <f t="shared" si="192"/>
        <v>3360.78</v>
      </c>
      <c r="AB285" s="619"/>
      <c r="AC285" s="582" t="s">
        <v>81</v>
      </c>
      <c r="AD285" s="593" t="s">
        <v>89</v>
      </c>
      <c r="AE285" s="594"/>
      <c r="AF285" s="594"/>
      <c r="AG285" s="595">
        <f>I285</f>
        <v>600</v>
      </c>
      <c r="AH285" s="597"/>
      <c r="AI285" s="630"/>
      <c r="AJ285" s="592"/>
      <c r="AK285" s="621"/>
      <c r="AL285" s="630"/>
      <c r="AM285" s="596"/>
      <c r="AN285" s="598">
        <f t="shared" si="172"/>
        <v>600</v>
      </c>
      <c r="AO285" s="621"/>
      <c r="AP285" s="630"/>
      <c r="AQ285" s="630"/>
      <c r="AR285" s="592">
        <f>I285</f>
        <v>600</v>
      </c>
      <c r="AS285" s="630"/>
      <c r="AT285" s="630"/>
      <c r="AU285" s="621"/>
      <c r="AV285" s="618"/>
      <c r="AW285" s="592">
        <f t="shared" si="174"/>
        <v>600</v>
      </c>
      <c r="AX285" s="621"/>
      <c r="AY285" s="637"/>
      <c r="AZ285" s="618"/>
      <c r="BA285" s="618"/>
      <c r="BB285" s="618"/>
      <c r="BC285" s="621"/>
      <c r="BD285" s="621"/>
      <c r="BE285" s="623"/>
      <c r="BF285" s="602" t="s">
        <v>90</v>
      </c>
      <c r="BG285" s="603"/>
      <c r="BH285" s="604">
        <f t="shared" si="186"/>
        <v>100</v>
      </c>
      <c r="BI285" s="605">
        <f t="shared" si="187"/>
        <v>100</v>
      </c>
      <c r="BJ285" s="602">
        <f t="shared" si="188"/>
        <v>100</v>
      </c>
      <c r="BK285" s="602">
        <f t="shared" si="189"/>
        <v>100</v>
      </c>
      <c r="BL285" s="602">
        <f t="shared" si="190"/>
        <v>100</v>
      </c>
      <c r="BM285" s="602">
        <f t="shared" si="191"/>
        <v>100</v>
      </c>
      <c r="BN285" s="645"/>
      <c r="BO285" s="645"/>
      <c r="BP285" s="645"/>
      <c r="BQ285" s="645"/>
      <c r="BR285" s="645"/>
      <c r="BS285" s="645"/>
      <c r="BT285" s="607">
        <f t="shared" si="169"/>
        <v>600</v>
      </c>
      <c r="BU285" s="608">
        <f t="shared" si="170"/>
        <v>0</v>
      </c>
      <c r="BV285" s="609"/>
      <c r="BW285" s="491"/>
      <c r="XEO285" s="651"/>
      <c r="XEP285" s="652"/>
      <c r="XEQ285" s="653"/>
      <c r="XER285" s="654"/>
      <c r="XES285" s="655"/>
      <c r="XET285" s="654"/>
      <c r="XEU285" s="656"/>
      <c r="XEV285" s="656"/>
      <c r="XEW285" s="657"/>
      <c r="XEX285" s="658"/>
      <c r="XEY285" s="658"/>
      <c r="XEZ285" s="658"/>
      <c r="XFA285" s="658"/>
      <c r="XFB285" s="659"/>
      <c r="XFC285" s="659"/>
      <c r="XFD285" s="660"/>
    </row>
    <row r="286" s="490" customFormat="1" ht="33" customHeight="1" spans="1:75 16369:16384">
      <c r="A286" s="577">
        <v>45771</v>
      </c>
      <c r="B286" s="581" t="s">
        <v>1434</v>
      </c>
      <c r="C286" s="579" t="s">
        <v>926</v>
      </c>
      <c r="D286" s="580">
        <v>4500164774</v>
      </c>
      <c r="E286" s="616" t="s">
        <v>1435</v>
      </c>
      <c r="F286" s="580" t="s">
        <v>1436</v>
      </c>
      <c r="G286" s="582" t="s">
        <v>81</v>
      </c>
      <c r="H286" s="578" t="s">
        <v>95</v>
      </c>
      <c r="I286" s="583">
        <v>240</v>
      </c>
      <c r="J286" s="583">
        <v>0</v>
      </c>
      <c r="K286" s="583">
        <v>6</v>
      </c>
      <c r="L286" s="584">
        <f t="shared" si="182"/>
        <v>40</v>
      </c>
      <c r="M286" s="585">
        <v>45859</v>
      </c>
      <c r="N286" s="585">
        <f>M286-4</f>
        <v>45855</v>
      </c>
      <c r="O286" s="586"/>
      <c r="P286" s="586" t="s">
        <v>83</v>
      </c>
      <c r="Q286" s="587" t="s">
        <v>1417</v>
      </c>
      <c r="R286" s="586" t="s">
        <v>1258</v>
      </c>
      <c r="S286" s="586"/>
      <c r="T286" s="586"/>
      <c r="U286" s="641" t="s">
        <v>1395</v>
      </c>
      <c r="V286" s="641"/>
      <c r="W286" s="641" t="s">
        <v>1396</v>
      </c>
      <c r="X286" s="661" t="s">
        <v>1397</v>
      </c>
      <c r="Y286" s="618" t="s">
        <v>243</v>
      </c>
      <c r="Z286" s="590">
        <v>5.7828</v>
      </c>
      <c r="AA286" s="591">
        <f t="shared" si="192"/>
        <v>1387.872</v>
      </c>
      <c r="AB286" s="619" t="s">
        <v>1437</v>
      </c>
      <c r="AC286" s="582" t="s">
        <v>235</v>
      </c>
      <c r="AD286" s="593" t="s">
        <v>89</v>
      </c>
      <c r="AE286" s="628"/>
      <c r="AF286" s="628"/>
      <c r="AG286" s="595"/>
      <c r="AH286" s="628"/>
      <c r="AI286" s="628"/>
      <c r="AJ286" s="595">
        <f>I286</f>
        <v>240</v>
      </c>
      <c r="AK286" s="629"/>
      <c r="AL286" s="628"/>
      <c r="AM286" s="628"/>
      <c r="AN286" s="598">
        <f t="shared" si="172"/>
        <v>240</v>
      </c>
      <c r="AO286" s="621"/>
      <c r="AP286" s="630"/>
      <c r="AQ286" s="630"/>
      <c r="AR286" s="592"/>
      <c r="AS286" s="630"/>
      <c r="AT286" s="630"/>
      <c r="AU286" s="621">
        <f>I286</f>
        <v>240</v>
      </c>
      <c r="AV286" s="621"/>
      <c r="AW286" s="592">
        <f t="shared" si="174"/>
        <v>240</v>
      </c>
      <c r="AX286" s="621"/>
      <c r="AY286" s="621"/>
      <c r="AZ286" s="621"/>
      <c r="BA286" s="621"/>
      <c r="BB286" s="621"/>
      <c r="BC286" s="621"/>
      <c r="BD286" s="621"/>
      <c r="BE286" s="623"/>
      <c r="BF286" s="602" t="s">
        <v>90</v>
      </c>
      <c r="BG286" s="603"/>
      <c r="BH286" s="604">
        <f t="shared" si="186"/>
        <v>40</v>
      </c>
      <c r="BI286" s="605">
        <f t="shared" si="187"/>
        <v>40</v>
      </c>
      <c r="BJ286" s="602">
        <f t="shared" si="188"/>
        <v>40</v>
      </c>
      <c r="BK286" s="602">
        <f t="shared" si="189"/>
        <v>40</v>
      </c>
      <c r="BL286" s="602">
        <f t="shared" si="190"/>
        <v>40</v>
      </c>
      <c r="BM286" s="602">
        <f t="shared" si="191"/>
        <v>40</v>
      </c>
      <c r="BN286" s="631"/>
      <c r="BO286" s="631"/>
      <c r="BP286" s="631"/>
      <c r="BQ286" s="631"/>
      <c r="BR286" s="631"/>
      <c r="BS286" s="631"/>
      <c r="BT286" s="607">
        <f t="shared" si="169"/>
        <v>240</v>
      </c>
      <c r="BU286" s="608">
        <f t="shared" si="170"/>
        <v>0</v>
      </c>
      <c r="BV286" s="609"/>
      <c r="BW286" s="491"/>
    </row>
    <row r="287" s="490" customFormat="1" ht="33" customHeight="1" spans="1:75 16369:16384">
      <c r="A287" s="577">
        <v>45789</v>
      </c>
      <c r="B287" s="581" t="s">
        <v>502</v>
      </c>
      <c r="C287" s="579" t="s">
        <v>334</v>
      </c>
      <c r="D287" s="580">
        <v>4500165982</v>
      </c>
      <c r="E287" s="616">
        <v>61971743</v>
      </c>
      <c r="F287" s="580" t="s">
        <v>1438</v>
      </c>
      <c r="G287" s="582" t="s">
        <v>81</v>
      </c>
      <c r="H287" s="578" t="s">
        <v>95</v>
      </c>
      <c r="I287" s="583">
        <v>1200</v>
      </c>
      <c r="J287" s="583">
        <v>0</v>
      </c>
      <c r="K287" s="583">
        <v>6</v>
      </c>
      <c r="L287" s="584">
        <f t="shared" si="182"/>
        <v>200</v>
      </c>
      <c r="M287" s="585">
        <v>45863</v>
      </c>
      <c r="N287" s="585">
        <v>45859</v>
      </c>
      <c r="O287" s="586" t="s">
        <v>1379</v>
      </c>
      <c r="P287" s="586" t="s">
        <v>83</v>
      </c>
      <c r="Q287" s="587" t="s">
        <v>1380</v>
      </c>
      <c r="R287" s="586" t="s">
        <v>1439</v>
      </c>
      <c r="S287" s="586"/>
      <c r="T287" s="586"/>
      <c r="U287" s="641" t="s">
        <v>1382</v>
      </c>
      <c r="V287" s="641" t="s">
        <v>1440</v>
      </c>
      <c r="W287" s="641"/>
      <c r="X287" s="661" t="s">
        <v>1441</v>
      </c>
      <c r="Y287" s="618" t="s">
        <v>1137</v>
      </c>
      <c r="Z287" s="590">
        <v>5.7753</v>
      </c>
      <c r="AA287" s="591">
        <f t="shared" si="192"/>
        <v>6930.36</v>
      </c>
      <c r="AB287" s="619"/>
      <c r="AC287" s="582" t="s">
        <v>235</v>
      </c>
      <c r="AD287" s="593" t="s">
        <v>89</v>
      </c>
      <c r="AE287" s="628"/>
      <c r="AF287" s="628"/>
      <c r="AG287" s="595"/>
      <c r="AH287" s="628"/>
      <c r="AI287" s="628"/>
      <c r="AJ287" s="595">
        <f>I287</f>
        <v>1200</v>
      </c>
      <c r="AK287" s="629"/>
      <c r="AL287" s="628"/>
      <c r="AM287" s="628"/>
      <c r="AN287" s="598">
        <f t="shared" si="172"/>
        <v>1200</v>
      </c>
      <c r="AO287" s="621"/>
      <c r="AP287" s="630"/>
      <c r="AQ287" s="630"/>
      <c r="AR287" s="592"/>
      <c r="AS287" s="630"/>
      <c r="AT287" s="630"/>
      <c r="AU287" s="621">
        <f>I287</f>
        <v>1200</v>
      </c>
      <c r="AV287" s="621"/>
      <c r="AW287" s="592">
        <f t="shared" si="174"/>
        <v>1200</v>
      </c>
      <c r="AX287" s="621"/>
      <c r="AY287" s="621"/>
      <c r="AZ287" s="621"/>
      <c r="BA287" s="621"/>
      <c r="BB287" s="621"/>
      <c r="BC287" s="621"/>
      <c r="BD287" s="621"/>
      <c r="BE287" s="623"/>
      <c r="BF287" s="602" t="s">
        <v>90</v>
      </c>
      <c r="BG287" s="603"/>
      <c r="BH287" s="604">
        <f t="shared" si="186"/>
        <v>200</v>
      </c>
      <c r="BI287" s="605">
        <f t="shared" si="187"/>
        <v>200</v>
      </c>
      <c r="BJ287" s="602">
        <f t="shared" si="188"/>
        <v>200</v>
      </c>
      <c r="BK287" s="602">
        <f t="shared" si="189"/>
        <v>200</v>
      </c>
      <c r="BL287" s="602">
        <f t="shared" si="190"/>
        <v>200</v>
      </c>
      <c r="BM287" s="602">
        <f t="shared" si="191"/>
        <v>200</v>
      </c>
      <c r="BN287" s="631"/>
      <c r="BO287" s="631"/>
      <c r="BP287" s="631"/>
      <c r="BQ287" s="631"/>
      <c r="BR287" s="631"/>
      <c r="BS287" s="631"/>
      <c r="BT287" s="607">
        <f t="shared" si="169"/>
        <v>1200</v>
      </c>
      <c r="BU287" s="608">
        <f t="shared" si="170"/>
        <v>0</v>
      </c>
      <c r="BV287" s="609"/>
      <c r="BW287" s="491"/>
    </row>
    <row r="288" s="490" customFormat="1" ht="33" customHeight="1" spans="1:75 16369:16384">
      <c r="A288" s="577">
        <v>45821</v>
      </c>
      <c r="B288" s="581" t="s">
        <v>245</v>
      </c>
      <c r="C288" s="579" t="s">
        <v>246</v>
      </c>
      <c r="D288" s="580">
        <v>4500169879</v>
      </c>
      <c r="E288" s="588">
        <v>20922493</v>
      </c>
      <c r="F288" s="580" t="s">
        <v>1442</v>
      </c>
      <c r="G288" s="582" t="s">
        <v>81</v>
      </c>
      <c r="H288" s="578" t="s">
        <v>95</v>
      </c>
      <c r="I288" s="583">
        <v>66</v>
      </c>
      <c r="J288" s="583">
        <v>0</v>
      </c>
      <c r="K288" s="583">
        <v>6</v>
      </c>
      <c r="L288" s="584">
        <f t="shared" si="182"/>
        <v>11</v>
      </c>
      <c r="M288" s="585">
        <v>45866</v>
      </c>
      <c r="N288" s="585">
        <v>45862</v>
      </c>
      <c r="O288" s="586"/>
      <c r="P288" s="586" t="s">
        <v>83</v>
      </c>
      <c r="Q288" s="587" t="s">
        <v>1443</v>
      </c>
      <c r="R288" s="586" t="s">
        <v>1258</v>
      </c>
      <c r="S288" s="586"/>
      <c r="T288" s="586"/>
      <c r="U288" s="641" t="s">
        <v>1444</v>
      </c>
      <c r="V288" s="641"/>
      <c r="W288" s="641"/>
      <c r="X288" s="661" t="s">
        <v>1445</v>
      </c>
      <c r="Y288" s="618" t="s">
        <v>252</v>
      </c>
      <c r="Z288" s="590">
        <v>5.6013</v>
      </c>
      <c r="AA288" s="591">
        <f t="shared" si="192"/>
        <v>369.6858</v>
      </c>
      <c r="AB288" s="619"/>
      <c r="AC288" s="582" t="s">
        <v>81</v>
      </c>
      <c r="AD288" s="593" t="s">
        <v>89</v>
      </c>
      <c r="AE288" s="628"/>
      <c r="AF288" s="628"/>
      <c r="AG288" s="595">
        <f>I288</f>
        <v>66</v>
      </c>
      <c r="AH288" s="628"/>
      <c r="AI288" s="628"/>
      <c r="AJ288" s="595"/>
      <c r="AK288" s="629"/>
      <c r="AL288" s="628"/>
      <c r="AM288" s="628"/>
      <c r="AN288" s="598">
        <f t="shared" si="172"/>
        <v>66</v>
      </c>
      <c r="AO288" s="621"/>
      <c r="AP288" s="630"/>
      <c r="AQ288" s="630"/>
      <c r="AR288" s="592">
        <f>I288</f>
        <v>66</v>
      </c>
      <c r="AS288" s="630"/>
      <c r="AT288" s="630"/>
      <c r="AU288" s="621"/>
      <c r="AV288" s="621"/>
      <c r="AW288" s="592">
        <f t="shared" si="174"/>
        <v>66</v>
      </c>
      <c r="AX288" s="621"/>
      <c r="AY288" s="621"/>
      <c r="AZ288" s="621"/>
      <c r="BA288" s="621"/>
      <c r="BB288" s="621"/>
      <c r="BC288" s="621"/>
      <c r="BD288" s="621"/>
      <c r="BE288" s="623"/>
      <c r="BF288" s="602" t="s">
        <v>90</v>
      </c>
      <c r="BG288" s="603"/>
      <c r="BH288" s="604">
        <f t="shared" si="186"/>
        <v>11</v>
      </c>
      <c r="BI288" s="605">
        <f t="shared" si="187"/>
        <v>11</v>
      </c>
      <c r="BJ288" s="602">
        <f t="shared" si="188"/>
        <v>11</v>
      </c>
      <c r="BK288" s="602">
        <f t="shared" si="189"/>
        <v>11</v>
      </c>
      <c r="BL288" s="602">
        <f t="shared" si="190"/>
        <v>11</v>
      </c>
      <c r="BM288" s="602">
        <f t="shared" si="191"/>
        <v>11</v>
      </c>
      <c r="BN288" s="631"/>
      <c r="BO288" s="631"/>
      <c r="BP288" s="631"/>
      <c r="BQ288" s="631"/>
      <c r="BR288" s="631"/>
      <c r="BS288" s="631"/>
      <c r="BT288" s="607">
        <f t="shared" si="169"/>
        <v>66</v>
      </c>
      <c r="BU288" s="608">
        <f t="shared" si="170"/>
        <v>0</v>
      </c>
      <c r="BV288" s="609"/>
      <c r="BW288" s="491"/>
    </row>
    <row r="289" s="490" customFormat="1" ht="33" customHeight="1" spans="1:75">
      <c r="A289" s="577">
        <v>45821</v>
      </c>
      <c r="B289" s="581" t="s">
        <v>254</v>
      </c>
      <c r="C289" s="579" t="s">
        <v>255</v>
      </c>
      <c r="D289" s="580">
        <v>4500169878</v>
      </c>
      <c r="E289" s="588">
        <v>20922492</v>
      </c>
      <c r="F289" s="580" t="s">
        <v>1446</v>
      </c>
      <c r="G289" s="582" t="s">
        <v>81</v>
      </c>
      <c r="H289" s="578" t="s">
        <v>95</v>
      </c>
      <c r="I289" s="583">
        <v>1434</v>
      </c>
      <c r="J289" s="583">
        <v>0</v>
      </c>
      <c r="K289" s="583">
        <v>6</v>
      </c>
      <c r="L289" s="584">
        <f t="shared" si="182"/>
        <v>239</v>
      </c>
      <c r="M289" s="585">
        <v>45866</v>
      </c>
      <c r="N289" s="585">
        <v>45862</v>
      </c>
      <c r="O289" s="586"/>
      <c r="P289" s="586" t="s">
        <v>83</v>
      </c>
      <c r="Q289" s="587" t="s">
        <v>1443</v>
      </c>
      <c r="R289" s="586" t="s">
        <v>1258</v>
      </c>
      <c r="S289" s="586"/>
      <c r="T289" s="586"/>
      <c r="U289" s="641" t="s">
        <v>1444</v>
      </c>
      <c r="V289" s="641"/>
      <c r="W289" s="641"/>
      <c r="X289" s="661" t="s">
        <v>1447</v>
      </c>
      <c r="Y289" s="618" t="s">
        <v>252</v>
      </c>
      <c r="Z289" s="590">
        <v>6.1607</v>
      </c>
      <c r="AA289" s="591">
        <f t="shared" si="192"/>
        <v>8834.4438</v>
      </c>
      <c r="AB289" s="619"/>
      <c r="AC289" s="582" t="s">
        <v>81</v>
      </c>
      <c r="AD289" s="593" t="s">
        <v>89</v>
      </c>
      <c r="AE289" s="628"/>
      <c r="AF289" s="628"/>
      <c r="AG289" s="595">
        <f>I289</f>
        <v>1434</v>
      </c>
      <c r="AH289" s="628"/>
      <c r="AI289" s="628"/>
      <c r="AJ289" s="595"/>
      <c r="AK289" s="629"/>
      <c r="AL289" s="628"/>
      <c r="AM289" s="628"/>
      <c r="AN289" s="598">
        <f t="shared" si="172"/>
        <v>1434</v>
      </c>
      <c r="AO289" s="621"/>
      <c r="AP289" s="630"/>
      <c r="AQ289" s="630"/>
      <c r="AR289" s="592">
        <f>I289</f>
        <v>1434</v>
      </c>
      <c r="AS289" s="630"/>
      <c r="AT289" s="630"/>
      <c r="AU289" s="621"/>
      <c r="AV289" s="621"/>
      <c r="AW289" s="592">
        <f t="shared" si="174"/>
        <v>1434</v>
      </c>
      <c r="AX289" s="621"/>
      <c r="AY289" s="621"/>
      <c r="AZ289" s="621"/>
      <c r="BA289" s="621"/>
      <c r="BB289" s="621"/>
      <c r="BC289" s="621"/>
      <c r="BD289" s="621"/>
      <c r="BE289" s="623"/>
      <c r="BF289" s="602" t="s">
        <v>90</v>
      </c>
      <c r="BG289" s="603"/>
      <c r="BH289" s="604">
        <f t="shared" si="186"/>
        <v>239</v>
      </c>
      <c r="BI289" s="605">
        <f t="shared" si="187"/>
        <v>239</v>
      </c>
      <c r="BJ289" s="602">
        <f t="shared" si="188"/>
        <v>239</v>
      </c>
      <c r="BK289" s="602">
        <f t="shared" si="189"/>
        <v>239</v>
      </c>
      <c r="BL289" s="602">
        <f t="shared" si="190"/>
        <v>239</v>
      </c>
      <c r="BM289" s="602">
        <f t="shared" si="191"/>
        <v>239</v>
      </c>
      <c r="BN289" s="631"/>
      <c r="BO289" s="631"/>
      <c r="BP289" s="631"/>
      <c r="BQ289" s="631"/>
      <c r="BR289" s="631"/>
      <c r="BS289" s="631"/>
      <c r="BT289" s="607">
        <f t="shared" si="169"/>
        <v>1434</v>
      </c>
      <c r="BU289" s="608">
        <f t="shared" si="170"/>
        <v>0</v>
      </c>
      <c r="BV289" s="609"/>
      <c r="BW289" s="491"/>
    </row>
    <row r="290" s="490" customFormat="1" ht="33" customHeight="1" spans="1:75">
      <c r="A290" s="577">
        <v>45832</v>
      </c>
      <c r="B290" s="581" t="s">
        <v>1087</v>
      </c>
      <c r="C290" s="579" t="s">
        <v>1044</v>
      </c>
      <c r="D290" s="580">
        <v>4500171058</v>
      </c>
      <c r="E290" s="588">
        <v>300579141</v>
      </c>
      <c r="F290" s="580" t="s">
        <v>1448</v>
      </c>
      <c r="G290" s="582" t="s">
        <v>969</v>
      </c>
      <c r="H290" s="578" t="s">
        <v>970</v>
      </c>
      <c r="I290" s="583">
        <v>460</v>
      </c>
      <c r="J290" s="583">
        <v>0</v>
      </c>
      <c r="K290" s="583">
        <v>4</v>
      </c>
      <c r="L290" s="584">
        <f t="shared" si="182"/>
        <v>115</v>
      </c>
      <c r="M290" s="585">
        <v>45868</v>
      </c>
      <c r="N290" s="585">
        <v>45864</v>
      </c>
      <c r="O290" s="586"/>
      <c r="P290" s="586" t="s">
        <v>83</v>
      </c>
      <c r="Q290" s="587" t="s">
        <v>1449</v>
      </c>
      <c r="R290" s="586" t="s">
        <v>1418</v>
      </c>
      <c r="S290" s="586"/>
      <c r="T290" s="586"/>
      <c r="U290" s="641" t="s">
        <v>1450</v>
      </c>
      <c r="V290" s="641"/>
      <c r="W290" s="641"/>
      <c r="X290" s="661" t="s">
        <v>1451</v>
      </c>
      <c r="Y290" s="618" t="s">
        <v>1050</v>
      </c>
      <c r="Z290" s="590">
        <v>5.5544</v>
      </c>
      <c r="AA290" s="591">
        <f t="shared" si="192"/>
        <v>2555.024</v>
      </c>
      <c r="AB290" s="619" t="s">
        <v>1452</v>
      </c>
      <c r="AC290" s="582" t="s">
        <v>976</v>
      </c>
      <c r="AD290" s="593" t="s">
        <v>89</v>
      </c>
      <c r="AE290" s="628"/>
      <c r="AF290" s="628"/>
      <c r="AG290" s="595"/>
      <c r="AH290" s="628"/>
      <c r="AI290" s="628"/>
      <c r="AJ290" s="595">
        <f>I290</f>
        <v>460</v>
      </c>
      <c r="AK290" s="629"/>
      <c r="AL290" s="628"/>
      <c r="AM290" s="628"/>
      <c r="AN290" s="598">
        <f t="shared" si="172"/>
        <v>460</v>
      </c>
      <c r="AO290" s="621"/>
      <c r="AP290" s="630"/>
      <c r="AQ290" s="630"/>
      <c r="AR290" s="592"/>
      <c r="AS290" s="630"/>
      <c r="AT290" s="630"/>
      <c r="AU290" s="621">
        <f>I290</f>
        <v>460</v>
      </c>
      <c r="AV290" s="621"/>
      <c r="AW290" s="592">
        <f t="shared" si="174"/>
        <v>460</v>
      </c>
      <c r="AX290" s="621"/>
      <c r="AY290" s="621"/>
      <c r="AZ290" s="621"/>
      <c r="BA290" s="621"/>
      <c r="BB290" s="621"/>
      <c r="BC290" s="621"/>
      <c r="BD290" s="621"/>
      <c r="BE290" s="623"/>
      <c r="BF290" s="602" t="s">
        <v>165</v>
      </c>
      <c r="BG290" s="603"/>
      <c r="BH290" s="662">
        <f t="shared" si="186"/>
        <v>76.6666666666667</v>
      </c>
      <c r="BI290" s="605">
        <f t="shared" si="187"/>
        <v>76.6666666666667</v>
      </c>
      <c r="BJ290" s="605">
        <f t="shared" si="188"/>
        <v>76.6666666666667</v>
      </c>
      <c r="BK290" s="605">
        <f t="shared" si="189"/>
        <v>76.6666666666667</v>
      </c>
      <c r="BL290" s="605">
        <f t="shared" si="190"/>
        <v>76.6666666666667</v>
      </c>
      <c r="BM290" s="605">
        <f t="shared" si="191"/>
        <v>76.6666666666667</v>
      </c>
      <c r="BN290" s="631"/>
      <c r="BO290" s="631"/>
      <c r="BP290" s="631"/>
      <c r="BQ290" s="631"/>
      <c r="BR290" s="631"/>
      <c r="BS290" s="631"/>
      <c r="BT290" s="607">
        <f t="shared" si="169"/>
        <v>460</v>
      </c>
      <c r="BU290" s="608">
        <f t="shared" si="170"/>
        <v>0</v>
      </c>
      <c r="BV290" s="609"/>
      <c r="BW290" s="491"/>
    </row>
    <row r="291" s="490" customFormat="1" ht="33" customHeight="1" spans="1:75">
      <c r="A291" s="577">
        <v>45834</v>
      </c>
      <c r="B291" s="581" t="s">
        <v>1453</v>
      </c>
      <c r="C291" s="579" t="s">
        <v>92</v>
      </c>
      <c r="D291" s="580">
        <v>4500171334</v>
      </c>
      <c r="E291" s="588">
        <v>383738505</v>
      </c>
      <c r="F291" s="580" t="s">
        <v>1454</v>
      </c>
      <c r="G291" s="582" t="s">
        <v>81</v>
      </c>
      <c r="H291" s="578" t="s">
        <v>95</v>
      </c>
      <c r="I291" s="583">
        <v>6000</v>
      </c>
      <c r="J291" s="583">
        <v>0</v>
      </c>
      <c r="K291" s="583">
        <v>6</v>
      </c>
      <c r="L291" s="584">
        <f t="shared" si="182"/>
        <v>1000</v>
      </c>
      <c r="M291" s="585">
        <v>45868</v>
      </c>
      <c r="N291" s="585">
        <v>45864</v>
      </c>
      <c r="O291" s="586"/>
      <c r="P291" s="586" t="s">
        <v>83</v>
      </c>
      <c r="Q291" s="587" t="s">
        <v>1455</v>
      </c>
      <c r="R291" s="586" t="s">
        <v>1456</v>
      </c>
      <c r="S291" s="586"/>
      <c r="T291" s="586"/>
      <c r="U291" s="641" t="s">
        <v>1259</v>
      </c>
      <c r="V291" s="641"/>
      <c r="W291" s="641"/>
      <c r="X291" s="661" t="s">
        <v>1457</v>
      </c>
      <c r="Y291" s="618" t="s">
        <v>223</v>
      </c>
      <c r="Z291" s="590">
        <v>3.4491</v>
      </c>
      <c r="AA291" s="591">
        <f t="shared" si="192"/>
        <v>20694.6</v>
      </c>
      <c r="AB291" s="619"/>
      <c r="AC291" s="582" t="s">
        <v>81</v>
      </c>
      <c r="AD291" s="593" t="s">
        <v>89</v>
      </c>
      <c r="AE291" s="628"/>
      <c r="AF291" s="628"/>
      <c r="AG291" s="595">
        <f t="shared" ref="AG291:AG299" si="193">I291</f>
        <v>6000</v>
      </c>
      <c r="AH291" s="628"/>
      <c r="AI291" s="628"/>
      <c r="AJ291" s="595"/>
      <c r="AK291" s="629"/>
      <c r="AL291" s="628"/>
      <c r="AM291" s="628"/>
      <c r="AN291" s="598">
        <f t="shared" si="172"/>
        <v>6000</v>
      </c>
      <c r="AO291" s="621"/>
      <c r="AP291" s="630"/>
      <c r="AQ291" s="630"/>
      <c r="AR291" s="592">
        <f t="shared" ref="AR291:AR299" si="194">I291</f>
        <v>6000</v>
      </c>
      <c r="AS291" s="630"/>
      <c r="AT291" s="630"/>
      <c r="AU291" s="621"/>
      <c r="AV291" s="621"/>
      <c r="AW291" s="592">
        <f t="shared" si="174"/>
        <v>6000</v>
      </c>
      <c r="AX291" s="621"/>
      <c r="AY291" s="621"/>
      <c r="AZ291" s="621"/>
      <c r="BA291" s="621"/>
      <c r="BB291" s="621"/>
      <c r="BC291" s="621"/>
      <c r="BD291" s="621"/>
      <c r="BE291" s="623"/>
      <c r="BF291" s="602" t="s">
        <v>165</v>
      </c>
      <c r="BG291" s="603"/>
      <c r="BH291" s="604">
        <f t="shared" si="186"/>
        <v>1000</v>
      </c>
      <c r="BI291" s="605">
        <f t="shared" si="187"/>
        <v>1000</v>
      </c>
      <c r="BJ291" s="602">
        <f t="shared" si="188"/>
        <v>1000</v>
      </c>
      <c r="BK291" s="602">
        <f t="shared" si="189"/>
        <v>1000</v>
      </c>
      <c r="BL291" s="602">
        <f t="shared" si="190"/>
        <v>1000</v>
      </c>
      <c r="BM291" s="602">
        <f t="shared" si="191"/>
        <v>1000</v>
      </c>
      <c r="BN291" s="631"/>
      <c r="BO291" s="631"/>
      <c r="BP291" s="631"/>
      <c r="BQ291" s="631"/>
      <c r="BR291" s="631"/>
      <c r="BS291" s="631"/>
      <c r="BT291" s="607">
        <f t="shared" si="169"/>
        <v>6000</v>
      </c>
      <c r="BU291" s="608">
        <f t="shared" si="170"/>
        <v>0</v>
      </c>
      <c r="BV291" s="609"/>
      <c r="BW291" s="491"/>
    </row>
    <row r="292" s="490" customFormat="1" ht="33" customHeight="1" spans="1:75">
      <c r="A292" s="577">
        <v>45834</v>
      </c>
      <c r="B292" s="581" t="s">
        <v>1453</v>
      </c>
      <c r="C292" s="579" t="s">
        <v>92</v>
      </c>
      <c r="D292" s="580">
        <v>4500171334</v>
      </c>
      <c r="E292" s="588">
        <v>383742405</v>
      </c>
      <c r="F292" s="580" t="s">
        <v>1458</v>
      </c>
      <c r="G292" s="582" t="s">
        <v>81</v>
      </c>
      <c r="H292" s="578" t="s">
        <v>95</v>
      </c>
      <c r="I292" s="583">
        <v>3000</v>
      </c>
      <c r="J292" s="583">
        <v>0</v>
      </c>
      <c r="K292" s="583">
        <v>6</v>
      </c>
      <c r="L292" s="584">
        <f t="shared" si="182"/>
        <v>500</v>
      </c>
      <c r="M292" s="585">
        <v>45868</v>
      </c>
      <c r="N292" s="585">
        <v>45864</v>
      </c>
      <c r="O292" s="586"/>
      <c r="P292" s="586" t="s">
        <v>83</v>
      </c>
      <c r="Q292" s="587" t="s">
        <v>1455</v>
      </c>
      <c r="R292" s="586" t="s">
        <v>1456</v>
      </c>
      <c r="S292" s="586"/>
      <c r="T292" s="586"/>
      <c r="U292" s="641" t="s">
        <v>1259</v>
      </c>
      <c r="V292" s="641"/>
      <c r="W292" s="641"/>
      <c r="X292" s="661" t="s">
        <v>1457</v>
      </c>
      <c r="Y292" s="618" t="s">
        <v>223</v>
      </c>
      <c r="Z292" s="590">
        <v>3.4491</v>
      </c>
      <c r="AA292" s="591">
        <f t="shared" si="192"/>
        <v>10347.3</v>
      </c>
      <c r="AB292" s="619"/>
      <c r="AC292" s="582" t="s">
        <v>81</v>
      </c>
      <c r="AD292" s="593" t="s">
        <v>89</v>
      </c>
      <c r="AE292" s="628"/>
      <c r="AF292" s="628"/>
      <c r="AG292" s="595">
        <f t="shared" si="193"/>
        <v>3000</v>
      </c>
      <c r="AH292" s="628"/>
      <c r="AI292" s="628"/>
      <c r="AJ292" s="595"/>
      <c r="AK292" s="629"/>
      <c r="AL292" s="628"/>
      <c r="AM292" s="628"/>
      <c r="AN292" s="598">
        <f t="shared" si="172"/>
        <v>3000</v>
      </c>
      <c r="AO292" s="621"/>
      <c r="AP292" s="630"/>
      <c r="AQ292" s="630"/>
      <c r="AR292" s="592">
        <f t="shared" si="194"/>
        <v>3000</v>
      </c>
      <c r="AS292" s="630"/>
      <c r="AT292" s="630"/>
      <c r="AU292" s="621"/>
      <c r="AV292" s="621"/>
      <c r="AW292" s="592">
        <f t="shared" si="174"/>
        <v>3000</v>
      </c>
      <c r="AX292" s="621"/>
      <c r="AY292" s="621"/>
      <c r="AZ292" s="621"/>
      <c r="BA292" s="621"/>
      <c r="BB292" s="621"/>
      <c r="BC292" s="621"/>
      <c r="BD292" s="621"/>
      <c r="BE292" s="623"/>
      <c r="BF292" s="602" t="s">
        <v>90</v>
      </c>
      <c r="BG292" s="603"/>
      <c r="BH292" s="604">
        <f t="shared" si="186"/>
        <v>500</v>
      </c>
      <c r="BI292" s="605">
        <f t="shared" si="187"/>
        <v>500</v>
      </c>
      <c r="BJ292" s="602">
        <f t="shared" si="188"/>
        <v>500</v>
      </c>
      <c r="BK292" s="602">
        <f t="shared" si="189"/>
        <v>500</v>
      </c>
      <c r="BL292" s="602">
        <f t="shared" si="190"/>
        <v>500</v>
      </c>
      <c r="BM292" s="602">
        <f t="shared" si="191"/>
        <v>500</v>
      </c>
      <c r="BN292" s="631"/>
      <c r="BO292" s="631"/>
      <c r="BP292" s="631"/>
      <c r="BQ292" s="631"/>
      <c r="BR292" s="631"/>
      <c r="BS292" s="631"/>
      <c r="BT292" s="607">
        <f t="shared" si="169"/>
        <v>3000</v>
      </c>
      <c r="BU292" s="608">
        <f t="shared" si="170"/>
        <v>0</v>
      </c>
      <c r="BV292" s="609"/>
      <c r="BW292" s="491"/>
    </row>
    <row r="293" s="490" customFormat="1" ht="33" customHeight="1" spans="1:75">
      <c r="A293" s="577">
        <v>45769</v>
      </c>
      <c r="B293" s="581" t="s">
        <v>724</v>
      </c>
      <c r="C293" s="579" t="s">
        <v>725</v>
      </c>
      <c r="D293" s="580">
        <v>4500164451</v>
      </c>
      <c r="E293" s="616" t="s">
        <v>726</v>
      </c>
      <c r="F293" s="580" t="s">
        <v>1459</v>
      </c>
      <c r="G293" s="582" t="s">
        <v>81</v>
      </c>
      <c r="H293" s="578" t="s">
        <v>95</v>
      </c>
      <c r="I293" s="583">
        <v>1602</v>
      </c>
      <c r="J293" s="583">
        <v>0</v>
      </c>
      <c r="K293" s="583">
        <v>6</v>
      </c>
      <c r="L293" s="584">
        <f t="shared" si="182"/>
        <v>267</v>
      </c>
      <c r="M293" s="585">
        <v>45873</v>
      </c>
      <c r="N293" s="585">
        <v>45869</v>
      </c>
      <c r="O293" s="586"/>
      <c r="P293" s="586" t="s">
        <v>83</v>
      </c>
      <c r="Q293" s="587" t="s">
        <v>1460</v>
      </c>
      <c r="R293" s="586" t="s">
        <v>1461</v>
      </c>
      <c r="S293" s="586"/>
      <c r="T293" s="586"/>
      <c r="U293" s="641" t="s">
        <v>1462</v>
      </c>
      <c r="V293" s="641"/>
      <c r="W293" s="641" t="s">
        <v>1463</v>
      </c>
      <c r="X293" s="661" t="s">
        <v>1464</v>
      </c>
      <c r="Y293" s="618" t="s">
        <v>1004</v>
      </c>
      <c r="Z293" s="590">
        <v>5.7753</v>
      </c>
      <c r="AA293" s="591">
        <f t="shared" si="192"/>
        <v>9252.0306</v>
      </c>
      <c r="AB293" s="619"/>
      <c r="AC293" s="582" t="s">
        <v>81</v>
      </c>
      <c r="AD293" s="593" t="s">
        <v>89</v>
      </c>
      <c r="AE293" s="620"/>
      <c r="AF293" s="620"/>
      <c r="AG293" s="595">
        <f t="shared" si="193"/>
        <v>1602</v>
      </c>
      <c r="AH293" s="620"/>
      <c r="AI293" s="620"/>
      <c r="AJ293" s="595"/>
      <c r="AK293" s="629"/>
      <c r="AL293" s="620"/>
      <c r="AM293" s="620"/>
      <c r="AN293" s="598">
        <f t="shared" si="172"/>
        <v>1602</v>
      </c>
      <c r="AO293" s="621"/>
      <c r="AP293" s="622"/>
      <c r="AQ293" s="622"/>
      <c r="AR293" s="592">
        <f t="shared" si="194"/>
        <v>1602</v>
      </c>
      <c r="AS293" s="622"/>
      <c r="AT293" s="622"/>
      <c r="AU293" s="621"/>
      <c r="AV293" s="621"/>
      <c r="AW293" s="592">
        <f t="shared" si="174"/>
        <v>1602</v>
      </c>
      <c r="AX293" s="621"/>
      <c r="AY293" s="621"/>
      <c r="AZ293" s="621"/>
      <c r="BA293" s="621"/>
      <c r="BB293" s="621"/>
      <c r="BC293" s="621"/>
      <c r="BD293" s="621"/>
      <c r="BE293" s="623"/>
      <c r="BF293" s="602" t="s">
        <v>90</v>
      </c>
      <c r="BG293" s="603"/>
      <c r="BH293" s="604">
        <f t="shared" si="186"/>
        <v>267</v>
      </c>
      <c r="BI293" s="605">
        <f t="shared" si="187"/>
        <v>267</v>
      </c>
      <c r="BJ293" s="602">
        <f t="shared" si="188"/>
        <v>267</v>
      </c>
      <c r="BK293" s="602">
        <f t="shared" si="189"/>
        <v>267</v>
      </c>
      <c r="BL293" s="602">
        <f t="shared" si="190"/>
        <v>267</v>
      </c>
      <c r="BM293" s="602">
        <f t="shared" si="191"/>
        <v>267</v>
      </c>
      <c r="BN293" s="624"/>
      <c r="BO293" s="624"/>
      <c r="BP293" s="624"/>
      <c r="BQ293" s="624"/>
      <c r="BR293" s="624"/>
      <c r="BS293" s="624"/>
      <c r="BT293" s="607">
        <f t="shared" ref="BT293:BT322" si="195">SUM(BH293:BS293)</f>
        <v>1602</v>
      </c>
      <c r="BU293" s="608">
        <f t="shared" ref="BU293:BU322" si="196">I293-BT293</f>
        <v>0</v>
      </c>
      <c r="BV293" s="517"/>
      <c r="BW293" s="491"/>
    </row>
    <row r="294" s="490" customFormat="1" ht="33" customHeight="1" spans="1:75">
      <c r="A294" s="577">
        <v>45769</v>
      </c>
      <c r="B294" s="581" t="s">
        <v>724</v>
      </c>
      <c r="C294" s="579" t="s">
        <v>725</v>
      </c>
      <c r="D294" s="580">
        <v>4500164451</v>
      </c>
      <c r="E294" s="616" t="s">
        <v>732</v>
      </c>
      <c r="F294" s="580" t="s">
        <v>1465</v>
      </c>
      <c r="G294" s="582" t="s">
        <v>81</v>
      </c>
      <c r="H294" s="578" t="s">
        <v>95</v>
      </c>
      <c r="I294" s="583">
        <v>624</v>
      </c>
      <c r="J294" s="583">
        <v>0</v>
      </c>
      <c r="K294" s="583">
        <v>6</v>
      </c>
      <c r="L294" s="584">
        <f t="shared" si="182"/>
        <v>104</v>
      </c>
      <c r="M294" s="585">
        <v>45873</v>
      </c>
      <c r="N294" s="585">
        <v>45869</v>
      </c>
      <c r="O294" s="586"/>
      <c r="P294" s="586" t="s">
        <v>83</v>
      </c>
      <c r="Q294" s="587" t="s">
        <v>1460</v>
      </c>
      <c r="R294" s="586" t="s">
        <v>1461</v>
      </c>
      <c r="S294" s="586"/>
      <c r="T294" s="586"/>
      <c r="U294" s="641" t="s">
        <v>1462</v>
      </c>
      <c r="V294" s="641"/>
      <c r="W294" s="641" t="s">
        <v>1463</v>
      </c>
      <c r="X294" s="661" t="s">
        <v>1464</v>
      </c>
      <c r="Y294" s="618" t="s">
        <v>1004</v>
      </c>
      <c r="Z294" s="590">
        <v>5.7753</v>
      </c>
      <c r="AA294" s="591">
        <f t="shared" si="192"/>
        <v>3603.7872</v>
      </c>
      <c r="AB294" s="619"/>
      <c r="AC294" s="582" t="s">
        <v>81</v>
      </c>
      <c r="AD294" s="593" t="s">
        <v>89</v>
      </c>
      <c r="AE294" s="620"/>
      <c r="AF294" s="620"/>
      <c r="AG294" s="595">
        <f t="shared" si="193"/>
        <v>624</v>
      </c>
      <c r="AH294" s="620"/>
      <c r="AI294" s="620"/>
      <c r="AJ294" s="595"/>
      <c r="AK294" s="629"/>
      <c r="AL294" s="620"/>
      <c r="AM294" s="620"/>
      <c r="AN294" s="598">
        <f t="shared" ref="AN294:AN308" si="197">I294</f>
        <v>624</v>
      </c>
      <c r="AO294" s="621"/>
      <c r="AP294" s="622"/>
      <c r="AQ294" s="622"/>
      <c r="AR294" s="592">
        <f t="shared" si="194"/>
        <v>624</v>
      </c>
      <c r="AS294" s="622"/>
      <c r="AT294" s="622"/>
      <c r="AU294" s="621"/>
      <c r="AV294" s="621"/>
      <c r="AW294" s="592">
        <f t="shared" ref="AW294:AW308" si="198">I294</f>
        <v>624</v>
      </c>
      <c r="AX294" s="621"/>
      <c r="AY294" s="621"/>
      <c r="AZ294" s="621"/>
      <c r="BA294" s="621"/>
      <c r="BB294" s="621"/>
      <c r="BC294" s="621"/>
      <c r="BD294" s="621"/>
      <c r="BE294" s="623"/>
      <c r="BF294" s="602" t="s">
        <v>90</v>
      </c>
      <c r="BG294" s="603"/>
      <c r="BH294" s="604">
        <f t="shared" si="186"/>
        <v>104</v>
      </c>
      <c r="BI294" s="605">
        <f t="shared" si="187"/>
        <v>104</v>
      </c>
      <c r="BJ294" s="602">
        <f t="shared" si="188"/>
        <v>104</v>
      </c>
      <c r="BK294" s="602">
        <f t="shared" si="189"/>
        <v>104</v>
      </c>
      <c r="BL294" s="602">
        <f t="shared" si="190"/>
        <v>104</v>
      </c>
      <c r="BM294" s="602">
        <f t="shared" si="191"/>
        <v>104</v>
      </c>
      <c r="BN294" s="624"/>
      <c r="BO294" s="624"/>
      <c r="BP294" s="624"/>
      <c r="BQ294" s="624"/>
      <c r="BR294" s="624"/>
      <c r="BS294" s="624"/>
      <c r="BT294" s="607">
        <f t="shared" si="195"/>
        <v>624</v>
      </c>
      <c r="BU294" s="608">
        <f t="shared" si="196"/>
        <v>0</v>
      </c>
      <c r="BV294" s="517"/>
      <c r="BW294" s="491"/>
    </row>
    <row r="295" s="490" customFormat="1" ht="33" customHeight="1" spans="1:75">
      <c r="A295" s="577">
        <v>45840</v>
      </c>
      <c r="B295" s="581" t="s">
        <v>885</v>
      </c>
      <c r="C295" s="579" t="s">
        <v>92</v>
      </c>
      <c r="D295" s="580">
        <v>4500172340</v>
      </c>
      <c r="E295" s="588">
        <v>927868751</v>
      </c>
      <c r="F295" s="580" t="s">
        <v>1466</v>
      </c>
      <c r="G295" s="582" t="s">
        <v>155</v>
      </c>
      <c r="H295" s="578" t="s">
        <v>156</v>
      </c>
      <c r="I295" s="583">
        <v>540</v>
      </c>
      <c r="J295" s="583">
        <v>1</v>
      </c>
      <c r="K295" s="583">
        <v>108</v>
      </c>
      <c r="L295" s="584">
        <f t="shared" si="182"/>
        <v>5</v>
      </c>
      <c r="M295" s="585">
        <v>45870</v>
      </c>
      <c r="N295" s="585">
        <f>M295-4</f>
        <v>45866</v>
      </c>
      <c r="O295" s="586" t="s">
        <v>1467</v>
      </c>
      <c r="P295" s="586" t="s">
        <v>83</v>
      </c>
      <c r="Q295" s="587" t="s">
        <v>1468</v>
      </c>
      <c r="R295" s="586" t="s">
        <v>888</v>
      </c>
      <c r="S295" s="586"/>
      <c r="T295" s="586"/>
      <c r="U295" s="641" t="s">
        <v>665</v>
      </c>
      <c r="V295" s="641" t="s">
        <v>1469</v>
      </c>
      <c r="W295" s="641"/>
      <c r="X295" s="661" t="s">
        <v>943</v>
      </c>
      <c r="Y295" s="618" t="s">
        <v>163</v>
      </c>
      <c r="Z295" s="590">
        <v>383.702</v>
      </c>
      <c r="AA295" s="591">
        <f>Z295*L295</f>
        <v>1918.51</v>
      </c>
      <c r="AB295" s="619"/>
      <c r="AC295" s="638" t="s">
        <v>155</v>
      </c>
      <c r="AD295" s="593" t="s">
        <v>89</v>
      </c>
      <c r="AE295" s="628"/>
      <c r="AF295" s="628"/>
      <c r="AG295" s="595">
        <f t="shared" si="193"/>
        <v>540</v>
      </c>
      <c r="AH295" s="628"/>
      <c r="AI295" s="628"/>
      <c r="AJ295" s="595"/>
      <c r="AK295" s="629"/>
      <c r="AL295" s="628"/>
      <c r="AM295" s="628"/>
      <c r="AN295" s="598">
        <f t="shared" si="197"/>
        <v>540</v>
      </c>
      <c r="AO295" s="621"/>
      <c r="AP295" s="630"/>
      <c r="AQ295" s="630"/>
      <c r="AR295" s="592">
        <f t="shared" si="194"/>
        <v>540</v>
      </c>
      <c r="AS295" s="630"/>
      <c r="AT295" s="630"/>
      <c r="AU295" s="621"/>
      <c r="AV295" s="621"/>
      <c r="AW295" s="592">
        <f t="shared" si="198"/>
        <v>540</v>
      </c>
      <c r="AX295" s="621"/>
      <c r="AY295" s="621"/>
      <c r="AZ295" s="621"/>
      <c r="BA295" s="621"/>
      <c r="BB295" s="621"/>
      <c r="BC295" s="621"/>
      <c r="BD295" s="621"/>
      <c r="BE295" s="623"/>
      <c r="BF295" s="602" t="s">
        <v>90</v>
      </c>
      <c r="BG295" s="603"/>
      <c r="BH295" s="662">
        <f t="shared" si="186"/>
        <v>90</v>
      </c>
      <c r="BI295" s="605">
        <f t="shared" si="187"/>
        <v>90</v>
      </c>
      <c r="BJ295" s="605">
        <f t="shared" si="188"/>
        <v>90</v>
      </c>
      <c r="BK295" s="605">
        <f t="shared" si="189"/>
        <v>90</v>
      </c>
      <c r="BL295" s="605">
        <f t="shared" si="190"/>
        <v>90</v>
      </c>
      <c r="BM295" s="605">
        <f t="shared" si="191"/>
        <v>90</v>
      </c>
      <c r="BN295" s="631"/>
      <c r="BO295" s="631"/>
      <c r="BP295" s="631"/>
      <c r="BQ295" s="631"/>
      <c r="BR295" s="631"/>
      <c r="BS295" s="631"/>
      <c r="BT295" s="607">
        <f t="shared" si="195"/>
        <v>540</v>
      </c>
      <c r="BU295" s="608">
        <f t="shared" si="196"/>
        <v>0</v>
      </c>
      <c r="BV295" s="609"/>
      <c r="BW295" s="491"/>
    </row>
    <row r="296" s="490" customFormat="1" ht="33" customHeight="1" spans="1:75">
      <c r="A296" s="577">
        <v>45840</v>
      </c>
      <c r="B296" s="581" t="s">
        <v>885</v>
      </c>
      <c r="C296" s="579" t="s">
        <v>92</v>
      </c>
      <c r="D296" s="580">
        <v>4500172340</v>
      </c>
      <c r="E296" s="588">
        <v>927868767</v>
      </c>
      <c r="F296" s="580" t="s">
        <v>1470</v>
      </c>
      <c r="G296" s="582" t="s">
        <v>155</v>
      </c>
      <c r="H296" s="578" t="s">
        <v>156</v>
      </c>
      <c r="I296" s="583">
        <v>540</v>
      </c>
      <c r="J296" s="583">
        <v>1</v>
      </c>
      <c r="K296" s="583">
        <v>108</v>
      </c>
      <c r="L296" s="584">
        <f t="shared" si="182"/>
        <v>5</v>
      </c>
      <c r="M296" s="585">
        <v>45870</v>
      </c>
      <c r="N296" s="585">
        <f>M296-4</f>
        <v>45866</v>
      </c>
      <c r="O296" s="586" t="s">
        <v>1467</v>
      </c>
      <c r="P296" s="586" t="s">
        <v>83</v>
      </c>
      <c r="Q296" s="587" t="s">
        <v>1471</v>
      </c>
      <c r="R296" s="586" t="s">
        <v>888</v>
      </c>
      <c r="S296" s="586"/>
      <c r="T296" s="586"/>
      <c r="U296" s="641" t="s">
        <v>665</v>
      </c>
      <c r="V296" s="641" t="s">
        <v>1469</v>
      </c>
      <c r="W296" s="641"/>
      <c r="X296" s="661" t="s">
        <v>943</v>
      </c>
      <c r="Y296" s="618" t="s">
        <v>163</v>
      </c>
      <c r="Z296" s="590">
        <v>383.702</v>
      </c>
      <c r="AA296" s="591">
        <f>Z296*L296</f>
        <v>1918.51</v>
      </c>
      <c r="AB296" s="619"/>
      <c r="AC296" s="638" t="s">
        <v>155</v>
      </c>
      <c r="AD296" s="593" t="s">
        <v>89</v>
      </c>
      <c r="AE296" s="628"/>
      <c r="AF296" s="628"/>
      <c r="AG296" s="595">
        <f t="shared" si="193"/>
        <v>540</v>
      </c>
      <c r="AH296" s="628"/>
      <c r="AI296" s="628"/>
      <c r="AJ296" s="595"/>
      <c r="AK296" s="629"/>
      <c r="AL296" s="628"/>
      <c r="AM296" s="628"/>
      <c r="AN296" s="598">
        <f t="shared" si="197"/>
        <v>540</v>
      </c>
      <c r="AO296" s="621"/>
      <c r="AP296" s="630"/>
      <c r="AQ296" s="630"/>
      <c r="AR296" s="592">
        <f t="shared" si="194"/>
        <v>540</v>
      </c>
      <c r="AS296" s="630"/>
      <c r="AT296" s="630"/>
      <c r="AU296" s="621"/>
      <c r="AV296" s="621"/>
      <c r="AW296" s="592">
        <f t="shared" si="198"/>
        <v>540</v>
      </c>
      <c r="AX296" s="621"/>
      <c r="AY296" s="621"/>
      <c r="AZ296" s="621"/>
      <c r="BA296" s="621"/>
      <c r="BB296" s="621"/>
      <c r="BC296" s="621"/>
      <c r="BD296" s="621"/>
      <c r="BE296" s="623"/>
      <c r="BF296" s="602" t="s">
        <v>90</v>
      </c>
      <c r="BG296" s="603"/>
      <c r="BH296" s="662">
        <f t="shared" si="186"/>
        <v>90</v>
      </c>
      <c r="BI296" s="605">
        <f t="shared" si="187"/>
        <v>90</v>
      </c>
      <c r="BJ296" s="605">
        <f t="shared" si="188"/>
        <v>90</v>
      </c>
      <c r="BK296" s="605">
        <f t="shared" si="189"/>
        <v>90</v>
      </c>
      <c r="BL296" s="605">
        <f t="shared" si="190"/>
        <v>90</v>
      </c>
      <c r="BM296" s="605">
        <f t="shared" si="191"/>
        <v>90</v>
      </c>
      <c r="BN296" s="631"/>
      <c r="BO296" s="631"/>
      <c r="BP296" s="631"/>
      <c r="BQ296" s="631"/>
      <c r="BR296" s="631"/>
      <c r="BS296" s="631"/>
      <c r="BT296" s="607">
        <f t="shared" si="195"/>
        <v>540</v>
      </c>
      <c r="BU296" s="608">
        <f t="shared" si="196"/>
        <v>0</v>
      </c>
      <c r="BV296" s="609"/>
      <c r="BW296" s="491"/>
    </row>
    <row r="297" s="490" customFormat="1" ht="33" customHeight="1" spans="1:75">
      <c r="A297" s="577">
        <v>45840</v>
      </c>
      <c r="B297" s="581" t="s">
        <v>885</v>
      </c>
      <c r="C297" s="579" t="s">
        <v>92</v>
      </c>
      <c r="D297" s="580">
        <v>4500172340</v>
      </c>
      <c r="E297" s="588">
        <v>927868786</v>
      </c>
      <c r="F297" s="580" t="s">
        <v>1472</v>
      </c>
      <c r="G297" s="582" t="s">
        <v>155</v>
      </c>
      <c r="H297" s="578" t="s">
        <v>156</v>
      </c>
      <c r="I297" s="583">
        <v>540</v>
      </c>
      <c r="J297" s="583">
        <v>1</v>
      </c>
      <c r="K297" s="583">
        <v>108</v>
      </c>
      <c r="L297" s="584">
        <f t="shared" si="182"/>
        <v>5</v>
      </c>
      <c r="M297" s="585">
        <v>45870</v>
      </c>
      <c r="N297" s="585">
        <f>M297-4</f>
        <v>45866</v>
      </c>
      <c r="O297" s="586" t="s">
        <v>1467</v>
      </c>
      <c r="P297" s="586" t="s">
        <v>83</v>
      </c>
      <c r="Q297" s="587" t="s">
        <v>1473</v>
      </c>
      <c r="R297" s="586" t="s">
        <v>888</v>
      </c>
      <c r="S297" s="586"/>
      <c r="T297" s="586"/>
      <c r="U297" s="641" t="s">
        <v>665</v>
      </c>
      <c r="V297" s="641" t="s">
        <v>1469</v>
      </c>
      <c r="W297" s="641"/>
      <c r="X297" s="661" t="s">
        <v>943</v>
      </c>
      <c r="Y297" s="618" t="s">
        <v>163</v>
      </c>
      <c r="Z297" s="590">
        <v>383.702</v>
      </c>
      <c r="AA297" s="591">
        <f>Z297*L297</f>
        <v>1918.51</v>
      </c>
      <c r="AB297" s="619"/>
      <c r="AC297" s="638" t="s">
        <v>155</v>
      </c>
      <c r="AD297" s="593" t="s">
        <v>89</v>
      </c>
      <c r="AE297" s="628"/>
      <c r="AF297" s="628"/>
      <c r="AG297" s="595">
        <f t="shared" si="193"/>
        <v>540</v>
      </c>
      <c r="AH297" s="628"/>
      <c r="AI297" s="628"/>
      <c r="AJ297" s="595"/>
      <c r="AK297" s="629"/>
      <c r="AL297" s="628"/>
      <c r="AM297" s="628"/>
      <c r="AN297" s="598">
        <f t="shared" si="197"/>
        <v>540</v>
      </c>
      <c r="AO297" s="621"/>
      <c r="AP297" s="630"/>
      <c r="AQ297" s="630"/>
      <c r="AR297" s="592">
        <f t="shared" si="194"/>
        <v>540</v>
      </c>
      <c r="AS297" s="630"/>
      <c r="AT297" s="630"/>
      <c r="AU297" s="621"/>
      <c r="AV297" s="621"/>
      <c r="AW297" s="592">
        <f t="shared" si="198"/>
        <v>540</v>
      </c>
      <c r="AX297" s="621"/>
      <c r="AY297" s="621"/>
      <c r="AZ297" s="621"/>
      <c r="BA297" s="621"/>
      <c r="BB297" s="621"/>
      <c r="BC297" s="621"/>
      <c r="BD297" s="621"/>
      <c r="BE297" s="623"/>
      <c r="BF297" s="602" t="s">
        <v>90</v>
      </c>
      <c r="BG297" s="603"/>
      <c r="BH297" s="662">
        <f t="shared" si="186"/>
        <v>90</v>
      </c>
      <c r="BI297" s="605">
        <f t="shared" si="187"/>
        <v>90</v>
      </c>
      <c r="BJ297" s="605">
        <f t="shared" si="188"/>
        <v>90</v>
      </c>
      <c r="BK297" s="605">
        <f t="shared" si="189"/>
        <v>90</v>
      </c>
      <c r="BL297" s="605">
        <f t="shared" si="190"/>
        <v>90</v>
      </c>
      <c r="BM297" s="605">
        <f t="shared" si="191"/>
        <v>90</v>
      </c>
      <c r="BN297" s="631"/>
      <c r="BO297" s="631"/>
      <c r="BP297" s="631"/>
      <c r="BQ297" s="631"/>
      <c r="BR297" s="631"/>
      <c r="BS297" s="631"/>
      <c r="BT297" s="607">
        <f t="shared" si="195"/>
        <v>540</v>
      </c>
      <c r="BU297" s="608">
        <f t="shared" si="196"/>
        <v>0</v>
      </c>
      <c r="BV297" s="609"/>
      <c r="BW297" s="491"/>
    </row>
    <row r="298" s="490" customFormat="1" ht="33" customHeight="1" spans="1:75">
      <c r="A298" s="577">
        <v>45840</v>
      </c>
      <c r="B298" s="581" t="s">
        <v>885</v>
      </c>
      <c r="C298" s="579" t="s">
        <v>92</v>
      </c>
      <c r="D298" s="580">
        <v>4500172340</v>
      </c>
      <c r="E298" s="588">
        <v>927868791</v>
      </c>
      <c r="F298" s="580" t="s">
        <v>1474</v>
      </c>
      <c r="G298" s="582" t="s">
        <v>155</v>
      </c>
      <c r="H298" s="578" t="s">
        <v>156</v>
      </c>
      <c r="I298" s="583">
        <v>540</v>
      </c>
      <c r="J298" s="583">
        <v>1</v>
      </c>
      <c r="K298" s="583">
        <v>108</v>
      </c>
      <c r="L298" s="584">
        <f t="shared" si="182"/>
        <v>5</v>
      </c>
      <c r="M298" s="585">
        <v>45870</v>
      </c>
      <c r="N298" s="585">
        <f>M298-4</f>
        <v>45866</v>
      </c>
      <c r="O298" s="586" t="s">
        <v>1467</v>
      </c>
      <c r="P298" s="586" t="s">
        <v>83</v>
      </c>
      <c r="Q298" s="587" t="s">
        <v>1430</v>
      </c>
      <c r="R298" s="586" t="s">
        <v>888</v>
      </c>
      <c r="S298" s="586"/>
      <c r="T298" s="586"/>
      <c r="U298" s="641" t="s">
        <v>665</v>
      </c>
      <c r="V298" s="641" t="s">
        <v>1469</v>
      </c>
      <c r="W298" s="641"/>
      <c r="X298" s="661" t="s">
        <v>943</v>
      </c>
      <c r="Y298" s="618" t="s">
        <v>163</v>
      </c>
      <c r="Z298" s="590">
        <v>383.702</v>
      </c>
      <c r="AA298" s="591">
        <f>Z298*L298</f>
        <v>1918.51</v>
      </c>
      <c r="AB298" s="619"/>
      <c r="AC298" s="638" t="s">
        <v>155</v>
      </c>
      <c r="AD298" s="593" t="s">
        <v>89</v>
      </c>
      <c r="AE298" s="628"/>
      <c r="AF298" s="628"/>
      <c r="AG298" s="595">
        <f t="shared" si="193"/>
        <v>540</v>
      </c>
      <c r="AH298" s="628"/>
      <c r="AI298" s="628"/>
      <c r="AJ298" s="595"/>
      <c r="AK298" s="629"/>
      <c r="AL298" s="628"/>
      <c r="AM298" s="628"/>
      <c r="AN298" s="598">
        <f t="shared" si="197"/>
        <v>540</v>
      </c>
      <c r="AO298" s="621"/>
      <c r="AP298" s="630"/>
      <c r="AQ298" s="630"/>
      <c r="AR298" s="592">
        <f t="shared" si="194"/>
        <v>540</v>
      </c>
      <c r="AS298" s="630"/>
      <c r="AT298" s="630"/>
      <c r="AU298" s="621"/>
      <c r="AV298" s="621"/>
      <c r="AW298" s="592">
        <f t="shared" si="198"/>
        <v>540</v>
      </c>
      <c r="AX298" s="621"/>
      <c r="AY298" s="621"/>
      <c r="AZ298" s="621"/>
      <c r="BA298" s="621"/>
      <c r="BB298" s="621"/>
      <c r="BC298" s="621"/>
      <c r="BD298" s="621"/>
      <c r="BE298" s="623"/>
      <c r="BF298" s="602" t="s">
        <v>90</v>
      </c>
      <c r="BG298" s="603"/>
      <c r="BH298" s="662">
        <f t="shared" si="186"/>
        <v>90</v>
      </c>
      <c r="BI298" s="605">
        <f t="shared" si="187"/>
        <v>90</v>
      </c>
      <c r="BJ298" s="605">
        <f t="shared" si="188"/>
        <v>90</v>
      </c>
      <c r="BK298" s="605">
        <f t="shared" si="189"/>
        <v>90</v>
      </c>
      <c r="BL298" s="605">
        <f t="shared" si="190"/>
        <v>90</v>
      </c>
      <c r="BM298" s="605">
        <f t="shared" si="191"/>
        <v>90</v>
      </c>
      <c r="BN298" s="631"/>
      <c r="BO298" s="631"/>
      <c r="BP298" s="631"/>
      <c r="BQ298" s="631"/>
      <c r="BR298" s="631"/>
      <c r="BS298" s="631"/>
      <c r="BT298" s="607">
        <f t="shared" si="195"/>
        <v>540</v>
      </c>
      <c r="BU298" s="608">
        <f t="shared" si="196"/>
        <v>0</v>
      </c>
      <c r="BV298" s="609"/>
      <c r="BW298" s="491"/>
    </row>
    <row r="299" s="490" customFormat="1" ht="33" customHeight="1" spans="1:75">
      <c r="A299" s="577">
        <v>45824</v>
      </c>
      <c r="B299" s="581" t="s">
        <v>1034</v>
      </c>
      <c r="C299" s="579" t="s">
        <v>1475</v>
      </c>
      <c r="D299" s="580">
        <v>4500170119</v>
      </c>
      <c r="E299" s="588">
        <v>217405827</v>
      </c>
      <c r="F299" s="580" t="s">
        <v>1476</v>
      </c>
      <c r="G299" s="582" t="s">
        <v>1016</v>
      </c>
      <c r="H299" s="578" t="s">
        <v>95</v>
      </c>
      <c r="I299" s="583">
        <v>1170</v>
      </c>
      <c r="J299" s="583">
        <v>0</v>
      </c>
      <c r="K299" s="583">
        <v>1</v>
      </c>
      <c r="L299" s="584">
        <f t="shared" si="182"/>
        <v>1170</v>
      </c>
      <c r="M299" s="585">
        <v>45871</v>
      </c>
      <c r="N299" s="585">
        <f>M299-4</f>
        <v>45867</v>
      </c>
      <c r="O299" s="586"/>
      <c r="P299" s="586" t="s">
        <v>83</v>
      </c>
      <c r="Q299" s="587"/>
      <c r="R299" s="586" t="s">
        <v>1439</v>
      </c>
      <c r="S299" s="586"/>
      <c r="T299" s="586"/>
      <c r="U299" s="641" t="s">
        <v>86</v>
      </c>
      <c r="V299" s="641"/>
      <c r="W299" s="641"/>
      <c r="X299" s="661" t="s">
        <v>1038</v>
      </c>
      <c r="Y299" s="618" t="s">
        <v>1039</v>
      </c>
      <c r="Z299" s="590">
        <v>3.3895</v>
      </c>
      <c r="AA299" s="591">
        <f t="shared" ref="AA299:AA307" si="199">Z299*I299</f>
        <v>3965.715</v>
      </c>
      <c r="AB299" s="619"/>
      <c r="AC299" s="638" t="s">
        <v>1016</v>
      </c>
      <c r="AD299" s="593" t="s">
        <v>89</v>
      </c>
      <c r="AE299" s="628"/>
      <c r="AF299" s="628"/>
      <c r="AG299" s="595">
        <f t="shared" si="193"/>
        <v>1170</v>
      </c>
      <c r="AH299" s="628"/>
      <c r="AI299" s="628"/>
      <c r="AJ299" s="595"/>
      <c r="AK299" s="629"/>
      <c r="AL299" s="628"/>
      <c r="AM299" s="628"/>
      <c r="AN299" s="598">
        <f t="shared" si="197"/>
        <v>1170</v>
      </c>
      <c r="AO299" s="621"/>
      <c r="AP299" s="630"/>
      <c r="AQ299" s="630"/>
      <c r="AR299" s="592">
        <f t="shared" si="194"/>
        <v>1170</v>
      </c>
      <c r="AS299" s="630"/>
      <c r="AT299" s="630"/>
      <c r="AU299" s="621"/>
      <c r="AV299" s="621"/>
      <c r="AW299" s="592">
        <f t="shared" si="198"/>
        <v>1170</v>
      </c>
      <c r="AX299" s="621"/>
      <c r="AY299" s="621"/>
      <c r="AZ299" s="621"/>
      <c r="BA299" s="621"/>
      <c r="BB299" s="621"/>
      <c r="BC299" s="621"/>
      <c r="BD299" s="621"/>
      <c r="BE299" s="623"/>
      <c r="BF299" s="602" t="s">
        <v>90</v>
      </c>
      <c r="BG299" s="603"/>
      <c r="BH299" s="632">
        <f t="shared" si="186"/>
        <v>195</v>
      </c>
      <c r="BI299" s="633">
        <f t="shared" si="187"/>
        <v>195</v>
      </c>
      <c r="BJ299" s="633">
        <f t="shared" si="188"/>
        <v>195</v>
      </c>
      <c r="BK299" s="633">
        <f t="shared" si="189"/>
        <v>195</v>
      </c>
      <c r="BL299" s="633">
        <f t="shared" si="190"/>
        <v>195</v>
      </c>
      <c r="BM299" s="633">
        <f t="shared" si="191"/>
        <v>195</v>
      </c>
      <c r="BN299" s="631"/>
      <c r="BO299" s="631"/>
      <c r="BP299" s="631"/>
      <c r="BQ299" s="631"/>
      <c r="BR299" s="631"/>
      <c r="BS299" s="631"/>
      <c r="BT299" s="607">
        <f t="shared" si="195"/>
        <v>1170</v>
      </c>
      <c r="BU299" s="647">
        <f t="shared" si="196"/>
        <v>0</v>
      </c>
      <c r="BV299" s="609"/>
      <c r="BW299" s="491"/>
    </row>
    <row r="300" s="490" customFormat="1" ht="33" customHeight="1" spans="1:75">
      <c r="A300" s="577">
        <v>45828</v>
      </c>
      <c r="B300" s="581" t="s">
        <v>1477</v>
      </c>
      <c r="C300" s="579" t="s">
        <v>334</v>
      </c>
      <c r="D300" s="580">
        <v>4500170750</v>
      </c>
      <c r="E300" s="616"/>
      <c r="F300" s="580" t="s">
        <v>1478</v>
      </c>
      <c r="G300" s="582" t="s">
        <v>81</v>
      </c>
      <c r="H300" s="578" t="s">
        <v>95</v>
      </c>
      <c r="I300" s="583">
        <v>504</v>
      </c>
      <c r="J300" s="583">
        <v>0</v>
      </c>
      <c r="K300" s="583">
        <v>6</v>
      </c>
      <c r="L300" s="584">
        <f t="shared" si="182"/>
        <v>84</v>
      </c>
      <c r="M300" s="585">
        <v>45877</v>
      </c>
      <c r="N300" s="585">
        <v>45873</v>
      </c>
      <c r="O300" s="586"/>
      <c r="P300" s="586" t="s">
        <v>83</v>
      </c>
      <c r="Q300" s="587" t="s">
        <v>1479</v>
      </c>
      <c r="R300" s="586" t="s">
        <v>1456</v>
      </c>
      <c r="S300" s="586"/>
      <c r="T300" s="586"/>
      <c r="U300" s="641" t="s">
        <v>1480</v>
      </c>
      <c r="V300" s="641"/>
      <c r="W300" s="641"/>
      <c r="X300" s="661" t="s">
        <v>1481</v>
      </c>
      <c r="Y300" s="618" t="s">
        <v>340</v>
      </c>
      <c r="Z300" s="590">
        <v>5.7753</v>
      </c>
      <c r="AA300" s="591">
        <f t="shared" si="199"/>
        <v>2910.7512</v>
      </c>
      <c r="AB300" s="664" t="s">
        <v>1482</v>
      </c>
      <c r="AC300" s="582" t="s">
        <v>235</v>
      </c>
      <c r="AD300" s="593" t="s">
        <v>89</v>
      </c>
      <c r="AE300" s="628"/>
      <c r="AF300" s="628"/>
      <c r="AG300" s="595"/>
      <c r="AH300" s="628"/>
      <c r="AI300" s="628"/>
      <c r="AJ300" s="595">
        <f>I300</f>
        <v>504</v>
      </c>
      <c r="AK300" s="629"/>
      <c r="AL300" s="628"/>
      <c r="AM300" s="628"/>
      <c r="AN300" s="598">
        <f t="shared" si="197"/>
        <v>504</v>
      </c>
      <c r="AO300" s="621"/>
      <c r="AP300" s="630"/>
      <c r="AQ300" s="630"/>
      <c r="AR300" s="592"/>
      <c r="AS300" s="630"/>
      <c r="AT300" s="630"/>
      <c r="AU300" s="621">
        <f>I300</f>
        <v>504</v>
      </c>
      <c r="AV300" s="621"/>
      <c r="AW300" s="592">
        <f t="shared" si="198"/>
        <v>504</v>
      </c>
      <c r="AX300" s="621"/>
      <c r="AY300" s="621"/>
      <c r="AZ300" s="621"/>
      <c r="BA300" s="621"/>
      <c r="BB300" s="621"/>
      <c r="BC300" s="621"/>
      <c r="BD300" s="621"/>
      <c r="BE300" s="623"/>
      <c r="BF300" s="602" t="s">
        <v>165</v>
      </c>
      <c r="BG300" s="603"/>
      <c r="BH300" s="604">
        <f t="shared" si="186"/>
        <v>84</v>
      </c>
      <c r="BI300" s="605">
        <f t="shared" si="187"/>
        <v>84</v>
      </c>
      <c r="BJ300" s="602">
        <f t="shared" si="188"/>
        <v>84</v>
      </c>
      <c r="BK300" s="602">
        <f t="shared" si="189"/>
        <v>84</v>
      </c>
      <c r="BL300" s="602">
        <f t="shared" si="190"/>
        <v>84</v>
      </c>
      <c r="BM300" s="602">
        <f t="shared" si="191"/>
        <v>84</v>
      </c>
      <c r="BN300" s="631"/>
      <c r="BO300" s="631"/>
      <c r="BP300" s="631"/>
      <c r="BQ300" s="631"/>
      <c r="BR300" s="631"/>
      <c r="BS300" s="631"/>
      <c r="BT300" s="607">
        <f t="shared" si="195"/>
        <v>504</v>
      </c>
      <c r="BU300" s="608">
        <f t="shared" si="196"/>
        <v>0</v>
      </c>
      <c r="BV300" s="609"/>
      <c r="BW300" s="491"/>
    </row>
    <row r="301" s="490" customFormat="1" ht="33" customHeight="1" spans="1:75">
      <c r="A301" s="577">
        <v>45824</v>
      </c>
      <c r="B301" s="581" t="s">
        <v>1034</v>
      </c>
      <c r="C301" s="579" t="s">
        <v>1475</v>
      </c>
      <c r="D301" s="580">
        <v>4500170092</v>
      </c>
      <c r="E301" s="588">
        <v>217405708</v>
      </c>
      <c r="F301" s="580" t="s">
        <v>1483</v>
      </c>
      <c r="G301" s="582" t="s">
        <v>1016</v>
      </c>
      <c r="H301" s="578" t="s">
        <v>95</v>
      </c>
      <c r="I301" s="583">
        <v>1170</v>
      </c>
      <c r="J301" s="583">
        <v>0</v>
      </c>
      <c r="K301" s="583">
        <v>1</v>
      </c>
      <c r="L301" s="584">
        <f t="shared" si="182"/>
        <v>1170</v>
      </c>
      <c r="M301" s="585">
        <v>45871</v>
      </c>
      <c r="N301" s="585">
        <f>M301-4</f>
        <v>45867</v>
      </c>
      <c r="O301" s="586"/>
      <c r="P301" s="586" t="s">
        <v>83</v>
      </c>
      <c r="Q301" s="587" t="s">
        <v>1471</v>
      </c>
      <c r="R301" s="586" t="s">
        <v>1439</v>
      </c>
      <c r="S301" s="586"/>
      <c r="T301" s="586"/>
      <c r="U301" s="641" t="s">
        <v>86</v>
      </c>
      <c r="V301" s="641"/>
      <c r="W301" s="641"/>
      <c r="X301" s="661" t="s">
        <v>1038</v>
      </c>
      <c r="Y301" s="618" t="s">
        <v>1039</v>
      </c>
      <c r="Z301" s="590">
        <v>3.7664</v>
      </c>
      <c r="AA301" s="591">
        <f t="shared" si="199"/>
        <v>4406.688</v>
      </c>
      <c r="AB301" s="619"/>
      <c r="AC301" s="638" t="s">
        <v>1016</v>
      </c>
      <c r="AD301" s="593" t="s">
        <v>89</v>
      </c>
      <c r="AE301" s="628"/>
      <c r="AF301" s="628"/>
      <c r="AG301" s="595">
        <f>I301</f>
        <v>1170</v>
      </c>
      <c r="AH301" s="628"/>
      <c r="AI301" s="628"/>
      <c r="AJ301" s="595"/>
      <c r="AK301" s="629"/>
      <c r="AL301" s="628"/>
      <c r="AM301" s="628"/>
      <c r="AN301" s="598">
        <f t="shared" si="197"/>
        <v>1170</v>
      </c>
      <c r="AO301" s="621"/>
      <c r="AP301" s="630"/>
      <c r="AQ301" s="630"/>
      <c r="AR301" s="592">
        <f>I301</f>
        <v>1170</v>
      </c>
      <c r="AS301" s="630"/>
      <c r="AT301" s="630"/>
      <c r="AU301" s="621"/>
      <c r="AV301" s="621"/>
      <c r="AW301" s="592">
        <f t="shared" si="198"/>
        <v>1170</v>
      </c>
      <c r="AX301" s="621"/>
      <c r="AY301" s="621"/>
      <c r="AZ301" s="621"/>
      <c r="BA301" s="621"/>
      <c r="BB301" s="621"/>
      <c r="BC301" s="621"/>
      <c r="BD301" s="621"/>
      <c r="BE301" s="623"/>
      <c r="BF301" s="602" t="s">
        <v>90</v>
      </c>
      <c r="BG301" s="603"/>
      <c r="BH301" s="632">
        <f t="shared" si="186"/>
        <v>195</v>
      </c>
      <c r="BI301" s="633">
        <f t="shared" si="187"/>
        <v>195</v>
      </c>
      <c r="BJ301" s="633">
        <f t="shared" si="188"/>
        <v>195</v>
      </c>
      <c r="BK301" s="633">
        <f t="shared" si="189"/>
        <v>195</v>
      </c>
      <c r="BL301" s="633">
        <f t="shared" si="190"/>
        <v>195</v>
      </c>
      <c r="BM301" s="633">
        <f t="shared" si="191"/>
        <v>195</v>
      </c>
      <c r="BN301" s="631"/>
      <c r="BO301" s="631"/>
      <c r="BP301" s="631"/>
      <c r="BQ301" s="631"/>
      <c r="BR301" s="631"/>
      <c r="BS301" s="631"/>
      <c r="BT301" s="607">
        <f t="shared" si="195"/>
        <v>1170</v>
      </c>
      <c r="BU301" s="647">
        <f t="shared" si="196"/>
        <v>0</v>
      </c>
      <c r="BV301" s="609"/>
      <c r="BW301" s="491"/>
    </row>
    <row r="302" s="490" customFormat="1" ht="33" customHeight="1" spans="1:75">
      <c r="A302" s="577">
        <v>45769</v>
      </c>
      <c r="B302" s="581" t="s">
        <v>724</v>
      </c>
      <c r="C302" s="579" t="s">
        <v>725</v>
      </c>
      <c r="D302" s="580">
        <v>4500164457</v>
      </c>
      <c r="E302" s="616" t="s">
        <v>726</v>
      </c>
      <c r="F302" s="580" t="s">
        <v>1484</v>
      </c>
      <c r="G302" s="582" t="s">
        <v>81</v>
      </c>
      <c r="H302" s="578" t="s">
        <v>95</v>
      </c>
      <c r="I302" s="583">
        <v>1074</v>
      </c>
      <c r="J302" s="583">
        <v>0</v>
      </c>
      <c r="K302" s="583">
        <v>6</v>
      </c>
      <c r="L302" s="584">
        <f t="shared" si="182"/>
        <v>179</v>
      </c>
      <c r="M302" s="585">
        <v>45877</v>
      </c>
      <c r="N302" s="585">
        <v>45873</v>
      </c>
      <c r="O302" s="586"/>
      <c r="P302" s="586" t="s">
        <v>83</v>
      </c>
      <c r="Q302" s="587" t="s">
        <v>1423</v>
      </c>
      <c r="R302" s="586" t="s">
        <v>1461</v>
      </c>
      <c r="S302" s="586"/>
      <c r="T302" s="586"/>
      <c r="U302" s="641" t="s">
        <v>1485</v>
      </c>
      <c r="V302" s="641"/>
      <c r="W302" s="641" t="s">
        <v>1463</v>
      </c>
      <c r="X302" s="661" t="s">
        <v>1486</v>
      </c>
      <c r="Y302" s="618" t="s">
        <v>1004</v>
      </c>
      <c r="Z302" s="590">
        <v>5.5938</v>
      </c>
      <c r="AA302" s="591">
        <f t="shared" si="199"/>
        <v>6007.7412</v>
      </c>
      <c r="AB302" s="619"/>
      <c r="AC302" s="582" t="s">
        <v>81</v>
      </c>
      <c r="AD302" s="593" t="s">
        <v>89</v>
      </c>
      <c r="AE302" s="628"/>
      <c r="AF302" s="628"/>
      <c r="AG302" s="595">
        <f>I302</f>
        <v>1074</v>
      </c>
      <c r="AH302" s="628"/>
      <c r="AI302" s="628"/>
      <c r="AJ302" s="595"/>
      <c r="AK302" s="629"/>
      <c r="AL302" s="628"/>
      <c r="AM302" s="628"/>
      <c r="AN302" s="598">
        <f t="shared" si="197"/>
        <v>1074</v>
      </c>
      <c r="AO302" s="621"/>
      <c r="AP302" s="630"/>
      <c r="AQ302" s="630"/>
      <c r="AR302" s="592">
        <f>I302</f>
        <v>1074</v>
      </c>
      <c r="AS302" s="630"/>
      <c r="AT302" s="630"/>
      <c r="AU302" s="621"/>
      <c r="AV302" s="621"/>
      <c r="AW302" s="592">
        <f t="shared" si="198"/>
        <v>1074</v>
      </c>
      <c r="AX302" s="621"/>
      <c r="AY302" s="621"/>
      <c r="AZ302" s="621"/>
      <c r="BA302" s="621"/>
      <c r="BB302" s="621"/>
      <c r="BC302" s="621"/>
      <c r="BD302" s="621"/>
      <c r="BE302" s="623"/>
      <c r="BF302" s="602" t="s">
        <v>90</v>
      </c>
      <c r="BG302" s="603"/>
      <c r="BH302" s="604">
        <f t="shared" si="186"/>
        <v>179</v>
      </c>
      <c r="BI302" s="605">
        <f t="shared" si="187"/>
        <v>179</v>
      </c>
      <c r="BJ302" s="602">
        <f t="shared" si="188"/>
        <v>179</v>
      </c>
      <c r="BK302" s="602">
        <f t="shared" si="189"/>
        <v>179</v>
      </c>
      <c r="BL302" s="602">
        <f t="shared" si="190"/>
        <v>179</v>
      </c>
      <c r="BM302" s="602">
        <f t="shared" si="191"/>
        <v>179</v>
      </c>
      <c r="BN302" s="631"/>
      <c r="BO302" s="631"/>
      <c r="BP302" s="631"/>
      <c r="BQ302" s="631"/>
      <c r="BR302" s="631"/>
      <c r="BS302" s="631"/>
      <c r="BT302" s="607">
        <f t="shared" si="195"/>
        <v>1074</v>
      </c>
      <c r="BU302" s="608">
        <f t="shared" si="196"/>
        <v>0</v>
      </c>
      <c r="BV302" s="609"/>
      <c r="BW302" s="491"/>
    </row>
    <row r="303" s="490" customFormat="1" ht="33" customHeight="1" spans="1:75">
      <c r="A303" s="577">
        <v>45769</v>
      </c>
      <c r="B303" s="581" t="s">
        <v>724</v>
      </c>
      <c r="C303" s="579" t="s">
        <v>725</v>
      </c>
      <c r="D303" s="580">
        <v>4500164457</v>
      </c>
      <c r="E303" s="616" t="s">
        <v>732</v>
      </c>
      <c r="F303" s="580" t="s">
        <v>1487</v>
      </c>
      <c r="G303" s="582" t="s">
        <v>81</v>
      </c>
      <c r="H303" s="578" t="s">
        <v>95</v>
      </c>
      <c r="I303" s="583">
        <v>414</v>
      </c>
      <c r="J303" s="583">
        <v>0</v>
      </c>
      <c r="K303" s="583">
        <v>6</v>
      </c>
      <c r="L303" s="584">
        <f t="shared" si="182"/>
        <v>69</v>
      </c>
      <c r="M303" s="585">
        <v>45877</v>
      </c>
      <c r="N303" s="585">
        <v>45873</v>
      </c>
      <c r="O303" s="586"/>
      <c r="P303" s="586" t="s">
        <v>83</v>
      </c>
      <c r="Q303" s="617" t="s">
        <v>1488</v>
      </c>
      <c r="R303" s="586" t="s">
        <v>1461</v>
      </c>
      <c r="S303" s="586"/>
      <c r="T303" s="586"/>
      <c r="U303" s="641" t="s">
        <v>1485</v>
      </c>
      <c r="V303" s="641"/>
      <c r="W303" s="641" t="s">
        <v>1463</v>
      </c>
      <c r="X303" s="661" t="s">
        <v>1486</v>
      </c>
      <c r="Y303" s="618" t="s">
        <v>1004</v>
      </c>
      <c r="Z303" s="590">
        <v>5.7753</v>
      </c>
      <c r="AA303" s="591">
        <f t="shared" si="199"/>
        <v>2390.9742</v>
      </c>
      <c r="AB303" s="619"/>
      <c r="AC303" s="582" t="s">
        <v>81</v>
      </c>
      <c r="AD303" s="593" t="s">
        <v>89</v>
      </c>
      <c r="AE303" s="628"/>
      <c r="AF303" s="628"/>
      <c r="AG303" s="595">
        <f>I303</f>
        <v>414</v>
      </c>
      <c r="AH303" s="628"/>
      <c r="AI303" s="628"/>
      <c r="AJ303" s="595"/>
      <c r="AK303" s="629"/>
      <c r="AL303" s="628"/>
      <c r="AM303" s="628"/>
      <c r="AN303" s="598">
        <f t="shared" si="197"/>
        <v>414</v>
      </c>
      <c r="AO303" s="621"/>
      <c r="AP303" s="630"/>
      <c r="AQ303" s="630"/>
      <c r="AR303" s="592">
        <f>I303</f>
        <v>414</v>
      </c>
      <c r="AS303" s="630"/>
      <c r="AT303" s="630"/>
      <c r="AU303" s="621"/>
      <c r="AV303" s="621"/>
      <c r="AW303" s="592">
        <f t="shared" si="198"/>
        <v>414</v>
      </c>
      <c r="AX303" s="621"/>
      <c r="AY303" s="621"/>
      <c r="AZ303" s="621"/>
      <c r="BA303" s="621"/>
      <c r="BB303" s="621"/>
      <c r="BC303" s="621"/>
      <c r="BD303" s="621"/>
      <c r="BE303" s="623"/>
      <c r="BF303" s="602" t="s">
        <v>90</v>
      </c>
      <c r="BG303" s="603"/>
      <c r="BH303" s="604">
        <f t="shared" si="186"/>
        <v>69</v>
      </c>
      <c r="BI303" s="605">
        <f t="shared" si="187"/>
        <v>69</v>
      </c>
      <c r="BJ303" s="602">
        <f t="shared" si="188"/>
        <v>69</v>
      </c>
      <c r="BK303" s="602">
        <f t="shared" si="189"/>
        <v>69</v>
      </c>
      <c r="BL303" s="602">
        <f t="shared" si="190"/>
        <v>69</v>
      </c>
      <c r="BM303" s="602">
        <f t="shared" si="191"/>
        <v>69</v>
      </c>
      <c r="BN303" s="631"/>
      <c r="BO303" s="631"/>
      <c r="BP303" s="631"/>
      <c r="BQ303" s="631"/>
      <c r="BR303" s="631"/>
      <c r="BS303" s="631"/>
      <c r="BT303" s="607">
        <f t="shared" si="195"/>
        <v>414</v>
      </c>
      <c r="BU303" s="608">
        <f t="shared" si="196"/>
        <v>0</v>
      </c>
      <c r="BV303" s="609"/>
      <c r="BW303" s="491"/>
    </row>
    <row r="304" s="490" customFormat="1" ht="33" customHeight="1" spans="1:75">
      <c r="A304" s="577">
        <v>45838</v>
      </c>
      <c r="B304" s="581" t="s">
        <v>1241</v>
      </c>
      <c r="C304" s="579" t="s">
        <v>1185</v>
      </c>
      <c r="D304" s="580">
        <v>4500172103</v>
      </c>
      <c r="E304" s="616"/>
      <c r="F304" s="580" t="s">
        <v>1489</v>
      </c>
      <c r="G304" s="582" t="s">
        <v>81</v>
      </c>
      <c r="H304" s="578" t="s">
        <v>95</v>
      </c>
      <c r="I304" s="583">
        <v>240</v>
      </c>
      <c r="J304" s="583">
        <v>0</v>
      </c>
      <c r="K304" s="583">
        <v>6</v>
      </c>
      <c r="L304" s="584">
        <f t="shared" si="182"/>
        <v>40</v>
      </c>
      <c r="M304" s="585">
        <v>45874</v>
      </c>
      <c r="N304" s="585">
        <v>45870</v>
      </c>
      <c r="O304" s="586"/>
      <c r="P304" s="586" t="s">
        <v>83</v>
      </c>
      <c r="Q304" s="587" t="s">
        <v>1490</v>
      </c>
      <c r="R304" s="586" t="s">
        <v>1491</v>
      </c>
      <c r="S304" s="586"/>
      <c r="T304" s="586"/>
      <c r="U304" s="641" t="s">
        <v>1492</v>
      </c>
      <c r="V304" s="641"/>
      <c r="W304" s="641"/>
      <c r="X304" s="661" t="s">
        <v>1493</v>
      </c>
      <c r="Y304" s="618" t="s">
        <v>1245</v>
      </c>
      <c r="Z304" s="590">
        <v>5.6013</v>
      </c>
      <c r="AA304" s="591">
        <f t="shared" si="199"/>
        <v>1344.312</v>
      </c>
      <c r="AB304" s="619" t="s">
        <v>1494</v>
      </c>
      <c r="AC304" s="582" t="s">
        <v>235</v>
      </c>
      <c r="AD304" s="593" t="s">
        <v>89</v>
      </c>
      <c r="AE304" s="628"/>
      <c r="AF304" s="628"/>
      <c r="AG304" s="595"/>
      <c r="AH304" s="628"/>
      <c r="AI304" s="628"/>
      <c r="AJ304" s="595">
        <f>I304</f>
        <v>240</v>
      </c>
      <c r="AK304" s="629"/>
      <c r="AL304" s="628"/>
      <c r="AM304" s="628"/>
      <c r="AN304" s="598">
        <f t="shared" si="197"/>
        <v>240</v>
      </c>
      <c r="AO304" s="621"/>
      <c r="AP304" s="630"/>
      <c r="AQ304" s="630"/>
      <c r="AR304" s="592"/>
      <c r="AS304" s="630"/>
      <c r="AT304" s="630"/>
      <c r="AU304" s="621">
        <f>I304</f>
        <v>240</v>
      </c>
      <c r="AV304" s="621"/>
      <c r="AW304" s="592">
        <f t="shared" si="198"/>
        <v>240</v>
      </c>
      <c r="AX304" s="621"/>
      <c r="AY304" s="621"/>
      <c r="AZ304" s="621"/>
      <c r="BA304" s="621"/>
      <c r="BB304" s="621"/>
      <c r="BC304" s="621"/>
      <c r="BD304" s="621"/>
      <c r="BE304" s="623"/>
      <c r="BF304" s="602" t="s">
        <v>90</v>
      </c>
      <c r="BG304" s="603"/>
      <c r="BH304" s="604">
        <f t="shared" si="186"/>
        <v>40</v>
      </c>
      <c r="BI304" s="605">
        <f t="shared" si="187"/>
        <v>40</v>
      </c>
      <c r="BJ304" s="602">
        <f t="shared" si="188"/>
        <v>40</v>
      </c>
      <c r="BK304" s="602">
        <f t="shared" si="189"/>
        <v>40</v>
      </c>
      <c r="BL304" s="602">
        <f t="shared" si="190"/>
        <v>40</v>
      </c>
      <c r="BM304" s="602">
        <f t="shared" si="191"/>
        <v>40</v>
      </c>
      <c r="BN304" s="631"/>
      <c r="BO304" s="631"/>
      <c r="BP304" s="631"/>
      <c r="BQ304" s="631"/>
      <c r="BR304" s="631"/>
      <c r="BS304" s="631"/>
      <c r="BT304" s="607">
        <f t="shared" si="195"/>
        <v>240</v>
      </c>
      <c r="BU304" s="608">
        <f t="shared" si="196"/>
        <v>0</v>
      </c>
      <c r="BV304" s="609"/>
      <c r="BW304" s="491"/>
    </row>
    <row r="305" s="490" customFormat="1" ht="33" customHeight="1" spans="1:75">
      <c r="A305" s="577">
        <v>45796</v>
      </c>
      <c r="B305" s="581" t="s">
        <v>263</v>
      </c>
      <c r="C305" s="579" t="s">
        <v>264</v>
      </c>
      <c r="D305" s="580">
        <v>4500166157</v>
      </c>
      <c r="E305" s="616"/>
      <c r="F305" s="580" t="s">
        <v>1495</v>
      </c>
      <c r="G305" s="582" t="s">
        <v>81</v>
      </c>
      <c r="H305" s="578" t="s">
        <v>95</v>
      </c>
      <c r="I305" s="583">
        <v>600</v>
      </c>
      <c r="J305" s="583">
        <v>0</v>
      </c>
      <c r="K305" s="583">
        <v>6</v>
      </c>
      <c r="L305" s="584">
        <f t="shared" si="182"/>
        <v>100</v>
      </c>
      <c r="M305" s="585">
        <v>45880</v>
      </c>
      <c r="N305" s="585">
        <f>M305-4</f>
        <v>45876</v>
      </c>
      <c r="O305" s="586"/>
      <c r="P305" s="586" t="s">
        <v>83</v>
      </c>
      <c r="Q305" s="587" t="s">
        <v>1496</v>
      </c>
      <c r="R305" s="586" t="s">
        <v>1439</v>
      </c>
      <c r="S305" s="586"/>
      <c r="T305" s="586"/>
      <c r="U305" s="641" t="s">
        <v>1497</v>
      </c>
      <c r="V305" s="641"/>
      <c r="W305" s="641"/>
      <c r="X305" s="661" t="s">
        <v>1498</v>
      </c>
      <c r="Y305" s="618" t="s">
        <v>243</v>
      </c>
      <c r="Z305" s="590">
        <v>5.7828</v>
      </c>
      <c r="AA305" s="591">
        <f t="shared" si="199"/>
        <v>3469.68</v>
      </c>
      <c r="AB305" s="619"/>
      <c r="AC305" s="582" t="s">
        <v>235</v>
      </c>
      <c r="AD305" s="593" t="s">
        <v>89</v>
      </c>
      <c r="AE305" s="628"/>
      <c r="AF305" s="628"/>
      <c r="AG305" s="595"/>
      <c r="AH305" s="628"/>
      <c r="AI305" s="628"/>
      <c r="AJ305" s="595">
        <f>I305</f>
        <v>600</v>
      </c>
      <c r="AK305" s="629"/>
      <c r="AL305" s="628"/>
      <c r="AM305" s="628"/>
      <c r="AN305" s="598">
        <f t="shared" si="197"/>
        <v>600</v>
      </c>
      <c r="AO305" s="621"/>
      <c r="AP305" s="630"/>
      <c r="AQ305" s="630"/>
      <c r="AR305" s="592"/>
      <c r="AS305" s="630"/>
      <c r="AT305" s="630"/>
      <c r="AU305" s="621">
        <f>I305</f>
        <v>600</v>
      </c>
      <c r="AV305" s="621"/>
      <c r="AW305" s="592">
        <f t="shared" si="198"/>
        <v>600</v>
      </c>
      <c r="AX305" s="621"/>
      <c r="AY305" s="621"/>
      <c r="AZ305" s="621"/>
      <c r="BA305" s="621"/>
      <c r="BB305" s="621"/>
      <c r="BC305" s="621"/>
      <c r="BD305" s="621"/>
      <c r="BE305" s="623"/>
      <c r="BF305" s="602" t="s">
        <v>90</v>
      </c>
      <c r="BG305" s="603"/>
      <c r="BH305" s="604">
        <f t="shared" si="186"/>
        <v>100</v>
      </c>
      <c r="BI305" s="605">
        <f t="shared" si="187"/>
        <v>100</v>
      </c>
      <c r="BJ305" s="602">
        <f t="shared" si="188"/>
        <v>100</v>
      </c>
      <c r="BK305" s="602">
        <f t="shared" si="189"/>
        <v>100</v>
      </c>
      <c r="BL305" s="602">
        <f t="shared" si="190"/>
        <v>100</v>
      </c>
      <c r="BM305" s="602">
        <f t="shared" si="191"/>
        <v>100</v>
      </c>
      <c r="BN305" s="631"/>
      <c r="BO305" s="631"/>
      <c r="BP305" s="631"/>
      <c r="BQ305" s="631"/>
      <c r="BR305" s="631"/>
      <c r="BS305" s="631"/>
      <c r="BT305" s="607">
        <f t="shared" si="195"/>
        <v>600</v>
      </c>
      <c r="BU305" s="608">
        <f t="shared" si="196"/>
        <v>0</v>
      </c>
      <c r="BV305" s="609"/>
      <c r="BW305" s="491"/>
    </row>
    <row r="306" s="490" customFormat="1" ht="33" customHeight="1" spans="1:75">
      <c r="A306" s="577">
        <v>45839</v>
      </c>
      <c r="B306" s="581" t="s">
        <v>271</v>
      </c>
      <c r="C306" s="579" t="s">
        <v>272</v>
      </c>
      <c r="D306" s="580">
        <v>4500171253</v>
      </c>
      <c r="E306" s="616"/>
      <c r="F306" s="580" t="s">
        <v>1499</v>
      </c>
      <c r="G306" s="582" t="s">
        <v>81</v>
      </c>
      <c r="H306" s="578" t="s">
        <v>95</v>
      </c>
      <c r="I306" s="583">
        <v>588</v>
      </c>
      <c r="J306" s="583">
        <v>0</v>
      </c>
      <c r="K306" s="583">
        <v>6</v>
      </c>
      <c r="L306" s="584">
        <f t="shared" si="182"/>
        <v>98</v>
      </c>
      <c r="M306" s="585">
        <v>45870</v>
      </c>
      <c r="N306" s="585">
        <f>M306-4</f>
        <v>45866</v>
      </c>
      <c r="O306" s="586"/>
      <c r="P306" s="586" t="s">
        <v>83</v>
      </c>
      <c r="Q306" s="587" t="s">
        <v>1490</v>
      </c>
      <c r="R306" s="586" t="s">
        <v>1500</v>
      </c>
      <c r="S306" s="586"/>
      <c r="T306" s="586"/>
      <c r="U306" s="641" t="s">
        <v>1501</v>
      </c>
      <c r="V306" s="641"/>
      <c r="W306" s="641"/>
      <c r="X306" s="661" t="s">
        <v>1502</v>
      </c>
      <c r="Y306" s="618" t="s">
        <v>243</v>
      </c>
      <c r="Z306" s="590">
        <v>5.7828</v>
      </c>
      <c r="AA306" s="591">
        <f t="shared" si="199"/>
        <v>3400.2864</v>
      </c>
      <c r="AB306" s="619" t="s">
        <v>1503</v>
      </c>
      <c r="AC306" s="582" t="s">
        <v>235</v>
      </c>
      <c r="AD306" s="593" t="s">
        <v>89</v>
      </c>
      <c r="AE306" s="628"/>
      <c r="AF306" s="628"/>
      <c r="AG306" s="595"/>
      <c r="AH306" s="628"/>
      <c r="AI306" s="628"/>
      <c r="AJ306" s="595">
        <f>I306</f>
        <v>588</v>
      </c>
      <c r="AK306" s="629"/>
      <c r="AL306" s="628"/>
      <c r="AM306" s="628"/>
      <c r="AN306" s="598">
        <f t="shared" si="197"/>
        <v>588</v>
      </c>
      <c r="AO306" s="621"/>
      <c r="AP306" s="630"/>
      <c r="AQ306" s="630"/>
      <c r="AR306" s="592"/>
      <c r="AS306" s="630"/>
      <c r="AT306" s="630"/>
      <c r="AU306" s="621">
        <f>I306</f>
        <v>588</v>
      </c>
      <c r="AV306" s="621"/>
      <c r="AW306" s="592">
        <f t="shared" si="198"/>
        <v>588</v>
      </c>
      <c r="AX306" s="621"/>
      <c r="AY306" s="621"/>
      <c r="AZ306" s="621"/>
      <c r="BA306" s="621"/>
      <c r="BB306" s="621"/>
      <c r="BC306" s="621"/>
      <c r="BD306" s="621"/>
      <c r="BE306" s="623"/>
      <c r="BF306" s="602" t="s">
        <v>90</v>
      </c>
      <c r="BG306" s="603"/>
      <c r="BH306" s="604">
        <f t="shared" si="186"/>
        <v>98</v>
      </c>
      <c r="BI306" s="605">
        <f t="shared" si="187"/>
        <v>98</v>
      </c>
      <c r="BJ306" s="602">
        <f t="shared" si="188"/>
        <v>98</v>
      </c>
      <c r="BK306" s="602">
        <f t="shared" si="189"/>
        <v>98</v>
      </c>
      <c r="BL306" s="602">
        <f t="shared" si="190"/>
        <v>98</v>
      </c>
      <c r="BM306" s="602">
        <f t="shared" si="191"/>
        <v>98</v>
      </c>
      <c r="BN306" s="631"/>
      <c r="BO306" s="631"/>
      <c r="BP306" s="631"/>
      <c r="BQ306" s="631"/>
      <c r="BR306" s="631"/>
      <c r="BS306" s="631"/>
      <c r="BT306" s="607">
        <f t="shared" si="195"/>
        <v>588</v>
      </c>
      <c r="BU306" s="608">
        <f t="shared" si="196"/>
        <v>0</v>
      </c>
      <c r="BV306" s="609"/>
      <c r="BW306" s="491"/>
    </row>
    <row r="307" s="490" customFormat="1" ht="33" customHeight="1" spans="1:75">
      <c r="A307" s="577">
        <v>45833</v>
      </c>
      <c r="B307" s="581" t="s">
        <v>563</v>
      </c>
      <c r="C307" s="579" t="s">
        <v>255</v>
      </c>
      <c r="D307" s="580">
        <v>4500171263</v>
      </c>
      <c r="E307" s="588">
        <v>2465869</v>
      </c>
      <c r="F307" s="580" t="s">
        <v>1504</v>
      </c>
      <c r="G307" s="582" t="s">
        <v>81</v>
      </c>
      <c r="H307" s="578" t="s">
        <v>95</v>
      </c>
      <c r="I307" s="583">
        <v>1500</v>
      </c>
      <c r="J307" s="583">
        <v>0</v>
      </c>
      <c r="K307" s="583">
        <v>6</v>
      </c>
      <c r="L307" s="584">
        <f t="shared" ref="L306:L370" si="200">I307/K307</f>
        <v>250</v>
      </c>
      <c r="M307" s="585">
        <v>45880</v>
      </c>
      <c r="N307" s="585">
        <f>M307-4</f>
        <v>45876</v>
      </c>
      <c r="O307" s="586"/>
      <c r="P307" s="586" t="s">
        <v>83</v>
      </c>
      <c r="Q307" s="587"/>
      <c r="R307" s="586" t="s">
        <v>1505</v>
      </c>
      <c r="S307" s="586"/>
      <c r="T307" s="586"/>
      <c r="U307" s="641" t="s">
        <v>1506</v>
      </c>
      <c r="V307" s="641"/>
      <c r="W307" s="641"/>
      <c r="X307" s="661" t="s">
        <v>1507</v>
      </c>
      <c r="Y307" s="618" t="s">
        <v>464</v>
      </c>
      <c r="Z307" s="590">
        <v>6.1607</v>
      </c>
      <c r="AA307" s="591">
        <f t="shared" si="199"/>
        <v>9241.05</v>
      </c>
      <c r="AB307" s="619"/>
      <c r="AC307" s="582" t="s">
        <v>81</v>
      </c>
      <c r="AD307" s="593" t="s">
        <v>89</v>
      </c>
      <c r="AE307" s="628"/>
      <c r="AF307" s="628"/>
      <c r="AG307" s="595">
        <f>I307</f>
        <v>1500</v>
      </c>
      <c r="AH307" s="628"/>
      <c r="AI307" s="628"/>
      <c r="AJ307" s="595"/>
      <c r="AK307" s="629"/>
      <c r="AL307" s="628"/>
      <c r="AM307" s="628"/>
      <c r="AN307" s="598">
        <f t="shared" si="197"/>
        <v>1500</v>
      </c>
      <c r="AO307" s="621"/>
      <c r="AP307" s="630"/>
      <c r="AQ307" s="630"/>
      <c r="AR307" s="592">
        <f>I307</f>
        <v>1500</v>
      </c>
      <c r="AS307" s="630"/>
      <c r="AT307" s="630"/>
      <c r="AU307" s="621"/>
      <c r="AV307" s="621"/>
      <c r="AW307" s="592">
        <f t="shared" si="198"/>
        <v>1500</v>
      </c>
      <c r="AX307" s="621"/>
      <c r="AY307" s="621"/>
      <c r="AZ307" s="621"/>
      <c r="BA307" s="621"/>
      <c r="BB307" s="621"/>
      <c r="BC307" s="621"/>
      <c r="BD307" s="621"/>
      <c r="BE307" s="623"/>
      <c r="BF307" s="602" t="s">
        <v>165</v>
      </c>
      <c r="BG307" s="603"/>
      <c r="BH307" s="604">
        <f t="shared" si="186"/>
        <v>250</v>
      </c>
      <c r="BI307" s="605">
        <f t="shared" si="187"/>
        <v>250</v>
      </c>
      <c r="BJ307" s="602">
        <f t="shared" si="188"/>
        <v>250</v>
      </c>
      <c r="BK307" s="602">
        <f t="shared" si="189"/>
        <v>250</v>
      </c>
      <c r="BL307" s="602">
        <f t="shared" si="190"/>
        <v>250</v>
      </c>
      <c r="BM307" s="602">
        <f t="shared" si="191"/>
        <v>250</v>
      </c>
      <c r="BN307" s="631"/>
      <c r="BO307" s="631"/>
      <c r="BP307" s="631"/>
      <c r="BQ307" s="631"/>
      <c r="BR307" s="631"/>
      <c r="BS307" s="631"/>
      <c r="BT307" s="607">
        <f t="shared" si="195"/>
        <v>1500</v>
      </c>
      <c r="BU307" s="608">
        <f t="shared" si="196"/>
        <v>0</v>
      </c>
      <c r="BV307" s="609"/>
      <c r="BW307" s="491"/>
    </row>
    <row r="308" s="490" customFormat="1" ht="33" customHeight="1" spans="1:75">
      <c r="A308" s="577">
        <v>45846</v>
      </c>
      <c r="B308" s="581" t="s">
        <v>1508</v>
      </c>
      <c r="C308" s="579" t="s">
        <v>255</v>
      </c>
      <c r="D308" s="580">
        <v>4500173092</v>
      </c>
      <c r="E308" s="616" t="s">
        <v>1509</v>
      </c>
      <c r="F308" s="580" t="s">
        <v>1510</v>
      </c>
      <c r="G308" s="582" t="s">
        <v>81</v>
      </c>
      <c r="H308" s="578" t="s">
        <v>95</v>
      </c>
      <c r="I308" s="583">
        <v>72</v>
      </c>
      <c r="J308" s="583">
        <v>0</v>
      </c>
      <c r="K308" s="583">
        <v>6</v>
      </c>
      <c r="L308" s="584">
        <f t="shared" si="200"/>
        <v>12</v>
      </c>
      <c r="M308" s="585">
        <v>45884</v>
      </c>
      <c r="N308" s="585">
        <v>45880</v>
      </c>
      <c r="O308" s="586"/>
      <c r="P308" s="586" t="s">
        <v>83</v>
      </c>
      <c r="Q308" s="587" t="s">
        <v>1471</v>
      </c>
      <c r="R308" s="586" t="s">
        <v>1511</v>
      </c>
      <c r="S308" s="586"/>
      <c r="T308" s="586"/>
      <c r="U308" s="641" t="s">
        <v>1512</v>
      </c>
      <c r="V308" s="641"/>
      <c r="W308" s="641"/>
      <c r="X308" s="661" t="s">
        <v>1513</v>
      </c>
      <c r="Y308" s="618" t="s">
        <v>464</v>
      </c>
      <c r="Z308" s="590">
        <v>5.7828</v>
      </c>
      <c r="AA308" s="591">
        <f t="shared" ref="AA308:AA313" si="201">Z308*I308</f>
        <v>416.3616</v>
      </c>
      <c r="AB308" s="619"/>
      <c r="AC308" s="582" t="s">
        <v>81</v>
      </c>
      <c r="AD308" s="593" t="s">
        <v>89</v>
      </c>
      <c r="AE308" s="628"/>
      <c r="AF308" s="628"/>
      <c r="AG308" s="595">
        <f t="shared" ref="AG308:AG315" si="202">I308</f>
        <v>72</v>
      </c>
      <c r="AH308" s="628"/>
      <c r="AI308" s="628"/>
      <c r="AJ308" s="637"/>
      <c r="AK308" s="629"/>
      <c r="AL308" s="628"/>
      <c r="AM308" s="628"/>
      <c r="AN308" s="598">
        <f t="shared" ref="AN308:AN316" si="203">I308</f>
        <v>72</v>
      </c>
      <c r="AO308" s="621"/>
      <c r="AP308" s="630"/>
      <c r="AQ308" s="630"/>
      <c r="AR308" s="621">
        <f t="shared" ref="AR308:AR315" si="204">I308</f>
        <v>72</v>
      </c>
      <c r="AS308" s="630"/>
      <c r="AT308" s="630"/>
      <c r="AU308" s="621"/>
      <c r="AV308" s="621"/>
      <c r="AW308" s="592">
        <f t="shared" ref="AW308:AW322" si="205">I308</f>
        <v>72</v>
      </c>
      <c r="AX308" s="621"/>
      <c r="AY308" s="621"/>
      <c r="AZ308" s="621"/>
      <c r="BA308" s="621"/>
      <c r="BB308" s="621"/>
      <c r="BC308" s="621"/>
      <c r="BD308" s="621"/>
      <c r="BE308" s="623"/>
      <c r="BF308" s="602" t="s">
        <v>90</v>
      </c>
      <c r="BG308" s="603"/>
      <c r="BH308" s="604">
        <f t="shared" ref="BH308:BH322" si="206">I308/6</f>
        <v>12</v>
      </c>
      <c r="BI308" s="605">
        <f t="shared" ref="BI308:BI322" si="207">I308/6</f>
        <v>12</v>
      </c>
      <c r="BJ308" s="602">
        <f t="shared" ref="BJ308:BJ322" si="208">I308/6</f>
        <v>12</v>
      </c>
      <c r="BK308" s="602">
        <f t="shared" ref="BK308:BK322" si="209">I308/6</f>
        <v>12</v>
      </c>
      <c r="BL308" s="602">
        <f t="shared" ref="BL308:BL322" si="210">I308/6</f>
        <v>12</v>
      </c>
      <c r="BM308" s="602">
        <f t="shared" ref="BM308:BM322" si="211">I308/6</f>
        <v>12</v>
      </c>
      <c r="BN308" s="631"/>
      <c r="BO308" s="631"/>
      <c r="BP308" s="631"/>
      <c r="BQ308" s="631"/>
      <c r="BR308" s="631"/>
      <c r="BS308" s="631"/>
      <c r="BT308" s="607">
        <f t="shared" si="195"/>
        <v>72</v>
      </c>
      <c r="BU308" s="608">
        <f t="shared" si="196"/>
        <v>0</v>
      </c>
      <c r="BV308" s="609"/>
      <c r="BW308" s="491"/>
    </row>
    <row r="309" s="490" customFormat="1" ht="33" customHeight="1" spans="1:75">
      <c r="A309" s="577">
        <v>45846</v>
      </c>
      <c r="B309" s="581" t="s">
        <v>1508</v>
      </c>
      <c r="C309" s="579" t="s">
        <v>255</v>
      </c>
      <c r="D309" s="580">
        <v>4500173107</v>
      </c>
      <c r="E309" s="616" t="s">
        <v>1514</v>
      </c>
      <c r="F309" s="580" t="s">
        <v>1515</v>
      </c>
      <c r="G309" s="582" t="s">
        <v>81</v>
      </c>
      <c r="H309" s="578" t="s">
        <v>95</v>
      </c>
      <c r="I309" s="583">
        <v>72</v>
      </c>
      <c r="J309" s="583">
        <v>0</v>
      </c>
      <c r="K309" s="583">
        <v>6</v>
      </c>
      <c r="L309" s="584">
        <f t="shared" si="200"/>
        <v>12</v>
      </c>
      <c r="M309" s="585">
        <v>45884</v>
      </c>
      <c r="N309" s="585">
        <v>45880</v>
      </c>
      <c r="O309" s="586"/>
      <c r="P309" s="586" t="s">
        <v>83</v>
      </c>
      <c r="Q309" s="587" t="s">
        <v>1516</v>
      </c>
      <c r="R309" s="586" t="s">
        <v>1511</v>
      </c>
      <c r="S309" s="586"/>
      <c r="T309" s="586"/>
      <c r="U309" s="641" t="s">
        <v>1512</v>
      </c>
      <c r="V309" s="641"/>
      <c r="W309" s="641"/>
      <c r="X309" s="661" t="s">
        <v>1517</v>
      </c>
      <c r="Y309" s="618" t="s">
        <v>464</v>
      </c>
      <c r="Z309" s="590">
        <v>5.6013</v>
      </c>
      <c r="AA309" s="591">
        <f t="shared" si="201"/>
        <v>403.2936</v>
      </c>
      <c r="AB309" s="619"/>
      <c r="AC309" s="582" t="s">
        <v>81</v>
      </c>
      <c r="AD309" s="593" t="s">
        <v>89</v>
      </c>
      <c r="AE309" s="628"/>
      <c r="AF309" s="628"/>
      <c r="AG309" s="595">
        <f t="shared" si="202"/>
        <v>72</v>
      </c>
      <c r="AH309" s="628"/>
      <c r="AI309" s="628"/>
      <c r="AJ309" s="637"/>
      <c r="AK309" s="629"/>
      <c r="AL309" s="628"/>
      <c r="AM309" s="628"/>
      <c r="AN309" s="598">
        <f t="shared" si="203"/>
        <v>72</v>
      </c>
      <c r="AO309" s="621"/>
      <c r="AP309" s="630"/>
      <c r="AQ309" s="630"/>
      <c r="AR309" s="621">
        <f t="shared" si="204"/>
        <v>72</v>
      </c>
      <c r="AS309" s="630"/>
      <c r="AT309" s="630"/>
      <c r="AU309" s="621"/>
      <c r="AV309" s="621"/>
      <c r="AW309" s="592">
        <f t="shared" si="205"/>
        <v>72</v>
      </c>
      <c r="AX309" s="621"/>
      <c r="AY309" s="621"/>
      <c r="AZ309" s="621"/>
      <c r="BA309" s="621"/>
      <c r="BB309" s="621"/>
      <c r="BC309" s="621"/>
      <c r="BD309" s="621"/>
      <c r="BE309" s="623"/>
      <c r="BF309" s="602" t="s">
        <v>90</v>
      </c>
      <c r="BG309" s="603"/>
      <c r="BH309" s="604">
        <f t="shared" si="206"/>
        <v>12</v>
      </c>
      <c r="BI309" s="605">
        <f t="shared" si="207"/>
        <v>12</v>
      </c>
      <c r="BJ309" s="602">
        <f t="shared" si="208"/>
        <v>12</v>
      </c>
      <c r="BK309" s="602">
        <f t="shared" si="209"/>
        <v>12</v>
      </c>
      <c r="BL309" s="602">
        <f t="shared" si="210"/>
        <v>12</v>
      </c>
      <c r="BM309" s="602">
        <f t="shared" si="211"/>
        <v>12</v>
      </c>
      <c r="BN309" s="631"/>
      <c r="BO309" s="631"/>
      <c r="BP309" s="631"/>
      <c r="BQ309" s="631"/>
      <c r="BR309" s="631"/>
      <c r="BS309" s="631"/>
      <c r="BT309" s="607">
        <f t="shared" si="195"/>
        <v>72</v>
      </c>
      <c r="BU309" s="608">
        <f t="shared" si="196"/>
        <v>0</v>
      </c>
      <c r="BV309" s="609"/>
      <c r="BW309" s="491"/>
    </row>
    <row r="310" s="490" customFormat="1" ht="33" customHeight="1" spans="1:75">
      <c r="A310" s="577">
        <v>45846</v>
      </c>
      <c r="B310" s="581" t="s">
        <v>1508</v>
      </c>
      <c r="C310" s="579" t="s">
        <v>255</v>
      </c>
      <c r="D310" s="580">
        <v>4500173120</v>
      </c>
      <c r="E310" s="616" t="s">
        <v>1518</v>
      </c>
      <c r="F310" s="580" t="s">
        <v>1519</v>
      </c>
      <c r="G310" s="582" t="s">
        <v>81</v>
      </c>
      <c r="H310" s="578" t="s">
        <v>95</v>
      </c>
      <c r="I310" s="583">
        <v>60</v>
      </c>
      <c r="J310" s="583">
        <v>0</v>
      </c>
      <c r="K310" s="583">
        <v>6</v>
      </c>
      <c r="L310" s="584">
        <f t="shared" si="200"/>
        <v>10</v>
      </c>
      <c r="M310" s="585">
        <v>45884</v>
      </c>
      <c r="N310" s="585">
        <v>45880</v>
      </c>
      <c r="O310" s="586"/>
      <c r="P310" s="586" t="s">
        <v>83</v>
      </c>
      <c r="Q310" s="587" t="s">
        <v>1516</v>
      </c>
      <c r="R310" s="586" t="s">
        <v>1511</v>
      </c>
      <c r="S310" s="586"/>
      <c r="T310" s="586"/>
      <c r="U310" s="641" t="s">
        <v>1512</v>
      </c>
      <c r="V310" s="641"/>
      <c r="W310" s="641"/>
      <c r="X310" s="661" t="s">
        <v>1517</v>
      </c>
      <c r="Y310" s="618" t="s">
        <v>464</v>
      </c>
      <c r="Z310" s="590">
        <v>5.6013</v>
      </c>
      <c r="AA310" s="591">
        <f t="shared" si="201"/>
        <v>336.078</v>
      </c>
      <c r="AB310" s="619"/>
      <c r="AC310" s="582" t="s">
        <v>81</v>
      </c>
      <c r="AD310" s="593" t="s">
        <v>89</v>
      </c>
      <c r="AE310" s="628"/>
      <c r="AF310" s="628"/>
      <c r="AG310" s="595">
        <f t="shared" si="202"/>
        <v>60</v>
      </c>
      <c r="AH310" s="628"/>
      <c r="AI310" s="628"/>
      <c r="AJ310" s="637"/>
      <c r="AK310" s="629"/>
      <c r="AL310" s="628"/>
      <c r="AM310" s="628"/>
      <c r="AN310" s="598">
        <f t="shared" si="203"/>
        <v>60</v>
      </c>
      <c r="AO310" s="621"/>
      <c r="AP310" s="630"/>
      <c r="AQ310" s="630"/>
      <c r="AR310" s="621">
        <f t="shared" si="204"/>
        <v>60</v>
      </c>
      <c r="AS310" s="630"/>
      <c r="AT310" s="630"/>
      <c r="AU310" s="621"/>
      <c r="AV310" s="621"/>
      <c r="AW310" s="592">
        <f t="shared" si="205"/>
        <v>60</v>
      </c>
      <c r="AX310" s="621"/>
      <c r="AY310" s="621"/>
      <c r="AZ310" s="621"/>
      <c r="BA310" s="621"/>
      <c r="BB310" s="621"/>
      <c r="BC310" s="621"/>
      <c r="BD310" s="621"/>
      <c r="BE310" s="623"/>
      <c r="BF310" s="602" t="s">
        <v>90</v>
      </c>
      <c r="BG310" s="603"/>
      <c r="BH310" s="604">
        <f t="shared" si="206"/>
        <v>10</v>
      </c>
      <c r="BI310" s="605">
        <f t="shared" si="207"/>
        <v>10</v>
      </c>
      <c r="BJ310" s="602">
        <f t="shared" si="208"/>
        <v>10</v>
      </c>
      <c r="BK310" s="602">
        <f t="shared" si="209"/>
        <v>10</v>
      </c>
      <c r="BL310" s="602">
        <f t="shared" si="210"/>
        <v>10</v>
      </c>
      <c r="BM310" s="602">
        <f t="shared" si="211"/>
        <v>10</v>
      </c>
      <c r="BN310" s="631"/>
      <c r="BO310" s="631"/>
      <c r="BP310" s="631"/>
      <c r="BQ310" s="631"/>
      <c r="BR310" s="631"/>
      <c r="BS310" s="631"/>
      <c r="BT310" s="607">
        <f t="shared" si="195"/>
        <v>60</v>
      </c>
      <c r="BU310" s="608">
        <f t="shared" si="196"/>
        <v>0</v>
      </c>
      <c r="BV310" s="609"/>
      <c r="BW310" s="491"/>
    </row>
    <row r="311" s="490" customFormat="1" ht="33" customHeight="1" spans="1:75">
      <c r="A311" s="577">
        <v>45846</v>
      </c>
      <c r="B311" s="581" t="s">
        <v>1508</v>
      </c>
      <c r="C311" s="579" t="s">
        <v>255</v>
      </c>
      <c r="D311" s="580">
        <v>4500173090</v>
      </c>
      <c r="E311" s="616" t="s">
        <v>1520</v>
      </c>
      <c r="F311" s="580" t="s">
        <v>1521</v>
      </c>
      <c r="G311" s="582" t="s">
        <v>81</v>
      </c>
      <c r="H311" s="578" t="s">
        <v>95</v>
      </c>
      <c r="I311" s="583">
        <v>30</v>
      </c>
      <c r="J311" s="583">
        <v>0</v>
      </c>
      <c r="K311" s="583">
        <v>6</v>
      </c>
      <c r="L311" s="584">
        <f t="shared" si="200"/>
        <v>5</v>
      </c>
      <c r="M311" s="585">
        <v>45884</v>
      </c>
      <c r="N311" s="585">
        <v>45880</v>
      </c>
      <c r="O311" s="586"/>
      <c r="P311" s="586" t="s">
        <v>83</v>
      </c>
      <c r="Q311" s="587" t="s">
        <v>1522</v>
      </c>
      <c r="R311" s="586" t="s">
        <v>1511</v>
      </c>
      <c r="S311" s="586"/>
      <c r="T311" s="586"/>
      <c r="U311" s="641" t="s">
        <v>1512</v>
      </c>
      <c r="V311" s="641"/>
      <c r="W311" s="641"/>
      <c r="X311" s="661" t="s">
        <v>1523</v>
      </c>
      <c r="Y311" s="618" t="s">
        <v>464</v>
      </c>
      <c r="Z311" s="590">
        <v>5.7828</v>
      </c>
      <c r="AA311" s="591">
        <f t="shared" si="201"/>
        <v>173.484</v>
      </c>
      <c r="AB311" s="619"/>
      <c r="AC311" s="582" t="s">
        <v>81</v>
      </c>
      <c r="AD311" s="593" t="s">
        <v>89</v>
      </c>
      <c r="AE311" s="628"/>
      <c r="AF311" s="628"/>
      <c r="AG311" s="595">
        <f t="shared" si="202"/>
        <v>30</v>
      </c>
      <c r="AH311" s="628"/>
      <c r="AI311" s="628"/>
      <c r="AJ311" s="637"/>
      <c r="AK311" s="629"/>
      <c r="AL311" s="628"/>
      <c r="AM311" s="628"/>
      <c r="AN311" s="598">
        <f t="shared" si="203"/>
        <v>30</v>
      </c>
      <c r="AO311" s="621"/>
      <c r="AP311" s="630"/>
      <c r="AQ311" s="630"/>
      <c r="AR311" s="621">
        <f t="shared" si="204"/>
        <v>30</v>
      </c>
      <c r="AS311" s="630"/>
      <c r="AT311" s="630"/>
      <c r="AU311" s="621"/>
      <c r="AV311" s="621"/>
      <c r="AW311" s="592">
        <f t="shared" si="205"/>
        <v>30</v>
      </c>
      <c r="AX311" s="621"/>
      <c r="AY311" s="621"/>
      <c r="AZ311" s="621"/>
      <c r="BA311" s="621"/>
      <c r="BB311" s="621"/>
      <c r="BC311" s="621"/>
      <c r="BD311" s="621"/>
      <c r="BE311" s="623"/>
      <c r="BF311" s="602" t="s">
        <v>90</v>
      </c>
      <c r="BG311" s="603"/>
      <c r="BH311" s="604">
        <f t="shared" si="206"/>
        <v>5</v>
      </c>
      <c r="BI311" s="605">
        <f t="shared" si="207"/>
        <v>5</v>
      </c>
      <c r="BJ311" s="602">
        <f t="shared" si="208"/>
        <v>5</v>
      </c>
      <c r="BK311" s="602">
        <f t="shared" si="209"/>
        <v>5</v>
      </c>
      <c r="BL311" s="602">
        <f t="shared" si="210"/>
        <v>5</v>
      </c>
      <c r="BM311" s="602">
        <f t="shared" si="211"/>
        <v>5</v>
      </c>
      <c r="BN311" s="631"/>
      <c r="BO311" s="631"/>
      <c r="BP311" s="631"/>
      <c r="BQ311" s="631"/>
      <c r="BR311" s="631"/>
      <c r="BS311" s="631"/>
      <c r="BT311" s="607">
        <f t="shared" si="195"/>
        <v>30</v>
      </c>
      <c r="BU311" s="608">
        <f t="shared" si="196"/>
        <v>0</v>
      </c>
      <c r="BV311" s="609"/>
      <c r="BW311" s="491"/>
    </row>
    <row r="312" s="490" customFormat="1" ht="33" customHeight="1" spans="1:75">
      <c r="A312" s="577">
        <v>45846</v>
      </c>
      <c r="B312" s="581" t="s">
        <v>1508</v>
      </c>
      <c r="C312" s="579" t="s">
        <v>255</v>
      </c>
      <c r="D312" s="580">
        <v>4500173094</v>
      </c>
      <c r="E312" s="616" t="s">
        <v>1524</v>
      </c>
      <c r="F312" s="580" t="s">
        <v>1525</v>
      </c>
      <c r="G312" s="582" t="s">
        <v>81</v>
      </c>
      <c r="H312" s="578" t="s">
        <v>95</v>
      </c>
      <c r="I312" s="583">
        <v>30</v>
      </c>
      <c r="J312" s="583">
        <v>0</v>
      </c>
      <c r="K312" s="583">
        <v>6</v>
      </c>
      <c r="L312" s="584">
        <f t="shared" si="200"/>
        <v>5</v>
      </c>
      <c r="M312" s="585">
        <v>45884</v>
      </c>
      <c r="N312" s="585">
        <v>45880</v>
      </c>
      <c r="O312" s="586"/>
      <c r="P312" s="586" t="s">
        <v>83</v>
      </c>
      <c r="Q312" s="587" t="s">
        <v>1516</v>
      </c>
      <c r="R312" s="586" t="s">
        <v>1511</v>
      </c>
      <c r="S312" s="586"/>
      <c r="T312" s="586"/>
      <c r="U312" s="641" t="s">
        <v>1512</v>
      </c>
      <c r="V312" s="641"/>
      <c r="W312" s="641"/>
      <c r="X312" s="661" t="s">
        <v>1523</v>
      </c>
      <c r="Y312" s="618" t="s">
        <v>464</v>
      </c>
      <c r="Z312" s="590">
        <v>5.7828</v>
      </c>
      <c r="AA312" s="591">
        <f t="shared" si="201"/>
        <v>173.484</v>
      </c>
      <c r="AB312" s="619"/>
      <c r="AC312" s="582" t="s">
        <v>81</v>
      </c>
      <c r="AD312" s="593" t="s">
        <v>89</v>
      </c>
      <c r="AE312" s="628"/>
      <c r="AF312" s="628"/>
      <c r="AG312" s="595">
        <f t="shared" si="202"/>
        <v>30</v>
      </c>
      <c r="AH312" s="628"/>
      <c r="AI312" s="628"/>
      <c r="AJ312" s="637"/>
      <c r="AK312" s="629"/>
      <c r="AL312" s="628"/>
      <c r="AM312" s="628"/>
      <c r="AN312" s="598">
        <f t="shared" si="203"/>
        <v>30</v>
      </c>
      <c r="AO312" s="621"/>
      <c r="AP312" s="630"/>
      <c r="AQ312" s="630"/>
      <c r="AR312" s="621">
        <f t="shared" si="204"/>
        <v>30</v>
      </c>
      <c r="AS312" s="630"/>
      <c r="AT312" s="630"/>
      <c r="AU312" s="621"/>
      <c r="AV312" s="621"/>
      <c r="AW312" s="592">
        <f t="shared" si="205"/>
        <v>30</v>
      </c>
      <c r="AX312" s="621"/>
      <c r="AY312" s="621"/>
      <c r="AZ312" s="621"/>
      <c r="BA312" s="621"/>
      <c r="BB312" s="621"/>
      <c r="BC312" s="621"/>
      <c r="BD312" s="621"/>
      <c r="BE312" s="623"/>
      <c r="BF312" s="602" t="s">
        <v>90</v>
      </c>
      <c r="BG312" s="603"/>
      <c r="BH312" s="604">
        <f t="shared" si="206"/>
        <v>5</v>
      </c>
      <c r="BI312" s="605">
        <f t="shared" si="207"/>
        <v>5</v>
      </c>
      <c r="BJ312" s="602">
        <f t="shared" si="208"/>
        <v>5</v>
      </c>
      <c r="BK312" s="602">
        <f t="shared" si="209"/>
        <v>5</v>
      </c>
      <c r="BL312" s="602">
        <f t="shared" si="210"/>
        <v>5</v>
      </c>
      <c r="BM312" s="602">
        <f t="shared" si="211"/>
        <v>5</v>
      </c>
      <c r="BN312" s="631"/>
      <c r="BO312" s="631"/>
      <c r="BP312" s="631"/>
      <c r="BQ312" s="631"/>
      <c r="BR312" s="631"/>
      <c r="BS312" s="631"/>
      <c r="BT312" s="607">
        <f t="shared" si="195"/>
        <v>30</v>
      </c>
      <c r="BU312" s="608">
        <f t="shared" si="196"/>
        <v>0</v>
      </c>
      <c r="BV312" s="609"/>
      <c r="BW312" s="491"/>
    </row>
    <row r="313" s="490" customFormat="1" ht="33" customHeight="1" spans="1:75">
      <c r="A313" s="577">
        <v>45846</v>
      </c>
      <c r="B313" s="581" t="s">
        <v>1508</v>
      </c>
      <c r="C313" s="579" t="s">
        <v>255</v>
      </c>
      <c r="D313" s="580">
        <v>4500173087</v>
      </c>
      <c r="E313" s="616" t="s">
        <v>1526</v>
      </c>
      <c r="F313" s="580" t="s">
        <v>1527</v>
      </c>
      <c r="G313" s="582" t="s">
        <v>81</v>
      </c>
      <c r="H313" s="578" t="s">
        <v>95</v>
      </c>
      <c r="I313" s="583">
        <v>150</v>
      </c>
      <c r="J313" s="583">
        <v>0</v>
      </c>
      <c r="K313" s="583">
        <v>6</v>
      </c>
      <c r="L313" s="584">
        <f t="shared" si="200"/>
        <v>25</v>
      </c>
      <c r="M313" s="585">
        <v>45887</v>
      </c>
      <c r="N313" s="585">
        <v>45883</v>
      </c>
      <c r="O313" s="586"/>
      <c r="P313" s="586" t="s">
        <v>83</v>
      </c>
      <c r="Q313" s="587"/>
      <c r="R313" s="586" t="s">
        <v>1511</v>
      </c>
      <c r="S313" s="586"/>
      <c r="T313" s="586"/>
      <c r="U313" s="641" t="s">
        <v>1512</v>
      </c>
      <c r="V313" s="641"/>
      <c r="W313" s="641"/>
      <c r="X313" s="661" t="s">
        <v>1528</v>
      </c>
      <c r="Y313" s="618" t="s">
        <v>464</v>
      </c>
      <c r="Z313" s="590">
        <v>5.6013</v>
      </c>
      <c r="AA313" s="591">
        <f t="shared" si="201"/>
        <v>840.195</v>
      </c>
      <c r="AB313" s="619"/>
      <c r="AC313" s="582" t="s">
        <v>81</v>
      </c>
      <c r="AD313" s="593" t="s">
        <v>89</v>
      </c>
      <c r="AE313" s="628"/>
      <c r="AF313" s="628"/>
      <c r="AG313" s="595">
        <f t="shared" si="202"/>
        <v>150</v>
      </c>
      <c r="AH313" s="628"/>
      <c r="AI313" s="628"/>
      <c r="AJ313" s="637"/>
      <c r="AK313" s="629"/>
      <c r="AL313" s="628"/>
      <c r="AM313" s="628"/>
      <c r="AN313" s="598">
        <f t="shared" si="203"/>
        <v>150</v>
      </c>
      <c r="AO313" s="621"/>
      <c r="AP313" s="630"/>
      <c r="AQ313" s="630"/>
      <c r="AR313" s="621">
        <f t="shared" si="204"/>
        <v>150</v>
      </c>
      <c r="AS313" s="630"/>
      <c r="AT313" s="630"/>
      <c r="AU313" s="621"/>
      <c r="AV313" s="621"/>
      <c r="AW313" s="592">
        <f t="shared" si="205"/>
        <v>150</v>
      </c>
      <c r="AX313" s="621"/>
      <c r="AY313" s="621"/>
      <c r="AZ313" s="621"/>
      <c r="BA313" s="621"/>
      <c r="BB313" s="621"/>
      <c r="BC313" s="621"/>
      <c r="BD313" s="621"/>
      <c r="BE313" s="623"/>
      <c r="BF313" s="602" t="s">
        <v>90</v>
      </c>
      <c r="BG313" s="603"/>
      <c r="BH313" s="604">
        <f t="shared" si="206"/>
        <v>25</v>
      </c>
      <c r="BI313" s="605">
        <f t="shared" si="207"/>
        <v>25</v>
      </c>
      <c r="BJ313" s="602">
        <f t="shared" si="208"/>
        <v>25</v>
      </c>
      <c r="BK313" s="602">
        <f t="shared" si="209"/>
        <v>25</v>
      </c>
      <c r="BL313" s="602">
        <f t="shared" si="210"/>
        <v>25</v>
      </c>
      <c r="BM313" s="602">
        <f t="shared" si="211"/>
        <v>25</v>
      </c>
      <c r="BN313" s="631"/>
      <c r="BO313" s="631"/>
      <c r="BP313" s="631"/>
      <c r="BQ313" s="631"/>
      <c r="BR313" s="631"/>
      <c r="BS313" s="631"/>
      <c r="BT313" s="607">
        <f t="shared" si="195"/>
        <v>150</v>
      </c>
      <c r="BU313" s="608">
        <f t="shared" si="196"/>
        <v>0</v>
      </c>
      <c r="BV313" s="609"/>
      <c r="BW313" s="491"/>
    </row>
    <row r="314" s="490" customFormat="1" ht="33" customHeight="1" spans="1:75">
      <c r="A314" s="577">
        <v>45853</v>
      </c>
      <c r="B314" s="581" t="s">
        <v>203</v>
      </c>
      <c r="C314" s="579" t="s">
        <v>78</v>
      </c>
      <c r="D314" s="580">
        <v>4500173807</v>
      </c>
      <c r="E314" s="588">
        <v>2950866994</v>
      </c>
      <c r="F314" s="580" t="s">
        <v>1529</v>
      </c>
      <c r="G314" s="582" t="s">
        <v>205</v>
      </c>
      <c r="H314" s="578" t="s">
        <v>206</v>
      </c>
      <c r="I314" s="583">
        <v>4000</v>
      </c>
      <c r="J314" s="583">
        <v>1</v>
      </c>
      <c r="K314" s="583">
        <v>80</v>
      </c>
      <c r="L314" s="584">
        <f t="shared" si="200"/>
        <v>50</v>
      </c>
      <c r="M314" s="585">
        <v>45880</v>
      </c>
      <c r="N314" s="585">
        <f>M314-4</f>
        <v>45876</v>
      </c>
      <c r="O314" s="586"/>
      <c r="P314" s="586" t="s">
        <v>83</v>
      </c>
      <c r="Q314" s="587" t="s">
        <v>1530</v>
      </c>
      <c r="R314" s="586" t="s">
        <v>1531</v>
      </c>
      <c r="S314" s="586"/>
      <c r="T314" s="586"/>
      <c r="U314" s="641" t="s">
        <v>1532</v>
      </c>
      <c r="V314" s="641"/>
      <c r="W314" s="641"/>
      <c r="X314" s="661" t="s">
        <v>1533</v>
      </c>
      <c r="Y314" s="618" t="s">
        <v>1534</v>
      </c>
      <c r="Z314" s="590">
        <v>455.1262</v>
      </c>
      <c r="AA314" s="591">
        <f>Z314*L314</f>
        <v>22756.31</v>
      </c>
      <c r="AB314" s="619"/>
      <c r="AC314" s="582" t="s">
        <v>205</v>
      </c>
      <c r="AD314" s="593" t="s">
        <v>89</v>
      </c>
      <c r="AE314" s="628"/>
      <c r="AF314" s="628"/>
      <c r="AG314" s="595">
        <f t="shared" si="202"/>
        <v>4000</v>
      </c>
      <c r="AH314" s="628"/>
      <c r="AI314" s="628"/>
      <c r="AJ314" s="595"/>
      <c r="AK314" s="629"/>
      <c r="AL314" s="628"/>
      <c r="AM314" s="628"/>
      <c r="AN314" s="598">
        <f t="shared" si="203"/>
        <v>4000</v>
      </c>
      <c r="AO314" s="621"/>
      <c r="AP314" s="630"/>
      <c r="AQ314" s="630"/>
      <c r="AR314" s="592">
        <f t="shared" si="204"/>
        <v>4000</v>
      </c>
      <c r="AS314" s="630"/>
      <c r="AT314" s="630"/>
      <c r="AU314" s="621"/>
      <c r="AV314" s="621"/>
      <c r="AW314" s="592">
        <f t="shared" si="205"/>
        <v>4000</v>
      </c>
      <c r="AX314" s="621"/>
      <c r="AY314" s="621"/>
      <c r="AZ314" s="621"/>
      <c r="BA314" s="621"/>
      <c r="BB314" s="621"/>
      <c r="BC314" s="621"/>
      <c r="BD314" s="621"/>
      <c r="BE314" s="623"/>
      <c r="BF314" s="602" t="s">
        <v>90</v>
      </c>
      <c r="BG314" s="603"/>
      <c r="BH314" s="632">
        <f t="shared" si="206"/>
        <v>666.666666666667</v>
      </c>
      <c r="BI314" s="633">
        <f t="shared" si="207"/>
        <v>666.666666666667</v>
      </c>
      <c r="BJ314" s="633">
        <f t="shared" si="208"/>
        <v>666.666666666667</v>
      </c>
      <c r="BK314" s="633">
        <f t="shared" si="209"/>
        <v>666.666666666667</v>
      </c>
      <c r="BL314" s="633">
        <f t="shared" si="210"/>
        <v>666.666666666667</v>
      </c>
      <c r="BM314" s="633">
        <f t="shared" si="211"/>
        <v>666.666666666667</v>
      </c>
      <c r="BN314" s="631"/>
      <c r="BO314" s="631"/>
      <c r="BP314" s="631"/>
      <c r="BQ314" s="631"/>
      <c r="BR314" s="631"/>
      <c r="BS314" s="631"/>
      <c r="BT314" s="607">
        <f t="shared" si="195"/>
        <v>4000</v>
      </c>
      <c r="BU314" s="608">
        <f t="shared" si="196"/>
        <v>0</v>
      </c>
      <c r="BV314" s="609"/>
      <c r="BW314" s="491"/>
    </row>
    <row r="315" s="490" customFormat="1" ht="33" customHeight="1" spans="1:75">
      <c r="A315" s="577">
        <v>45853</v>
      </c>
      <c r="B315" s="581" t="s">
        <v>885</v>
      </c>
      <c r="C315" s="579" t="s">
        <v>92</v>
      </c>
      <c r="D315" s="580">
        <v>4500173938</v>
      </c>
      <c r="E315" s="588">
        <v>931286950</v>
      </c>
      <c r="F315" s="580" t="s">
        <v>1535</v>
      </c>
      <c r="G315" s="582" t="s">
        <v>155</v>
      </c>
      <c r="H315" s="578" t="s">
        <v>156</v>
      </c>
      <c r="I315" s="583">
        <v>972</v>
      </c>
      <c r="J315" s="583">
        <v>1</v>
      </c>
      <c r="K315" s="583">
        <v>108</v>
      </c>
      <c r="L315" s="584">
        <f t="shared" si="200"/>
        <v>9</v>
      </c>
      <c r="M315" s="585">
        <v>45887</v>
      </c>
      <c r="N315" s="585">
        <v>45883</v>
      </c>
      <c r="O315" s="586" t="s">
        <v>1536</v>
      </c>
      <c r="P315" s="586" t="s">
        <v>83</v>
      </c>
      <c r="Q315" s="639" t="s">
        <v>1187</v>
      </c>
      <c r="R315" s="586" t="s">
        <v>1537</v>
      </c>
      <c r="S315" s="586"/>
      <c r="T315" s="586"/>
      <c r="U315" s="641" t="s">
        <v>665</v>
      </c>
      <c r="V315" s="641" t="s">
        <v>1469</v>
      </c>
      <c r="W315" s="641"/>
      <c r="X315" s="661" t="s">
        <v>943</v>
      </c>
      <c r="Y315" s="618" t="s">
        <v>163</v>
      </c>
      <c r="Z315" s="590">
        <v>383.2153</v>
      </c>
      <c r="AA315" s="591">
        <f>Z315*L315</f>
        <v>3448.9377</v>
      </c>
      <c r="AB315" s="619" t="s">
        <v>1538</v>
      </c>
      <c r="AC315" s="638" t="s">
        <v>155</v>
      </c>
      <c r="AD315" s="593" t="s">
        <v>89</v>
      </c>
      <c r="AE315" s="628"/>
      <c r="AF315" s="628"/>
      <c r="AG315" s="595">
        <f t="shared" si="202"/>
        <v>972</v>
      </c>
      <c r="AH315" s="628"/>
      <c r="AI315" s="628"/>
      <c r="AJ315" s="637"/>
      <c r="AK315" s="629"/>
      <c r="AL315" s="628"/>
      <c r="AM315" s="628"/>
      <c r="AN315" s="598">
        <f t="shared" si="203"/>
        <v>972</v>
      </c>
      <c r="AO315" s="621"/>
      <c r="AP315" s="630"/>
      <c r="AQ315" s="630"/>
      <c r="AR315" s="592">
        <f t="shared" si="204"/>
        <v>972</v>
      </c>
      <c r="AS315" s="630"/>
      <c r="AT315" s="630"/>
      <c r="AU315" s="621"/>
      <c r="AV315" s="621"/>
      <c r="AW315" s="592">
        <f t="shared" si="205"/>
        <v>972</v>
      </c>
      <c r="AX315" s="621"/>
      <c r="AY315" s="621"/>
      <c r="AZ315" s="621"/>
      <c r="BA315" s="621"/>
      <c r="BB315" s="621"/>
      <c r="BC315" s="621"/>
      <c r="BD315" s="621"/>
      <c r="BE315" s="623"/>
      <c r="BF315" s="602" t="s">
        <v>90</v>
      </c>
      <c r="BG315" s="603"/>
      <c r="BH315" s="632">
        <f t="shared" si="206"/>
        <v>162</v>
      </c>
      <c r="BI315" s="633">
        <f t="shared" si="207"/>
        <v>162</v>
      </c>
      <c r="BJ315" s="633">
        <f t="shared" si="208"/>
        <v>162</v>
      </c>
      <c r="BK315" s="633">
        <f t="shared" si="209"/>
        <v>162</v>
      </c>
      <c r="BL315" s="633">
        <f t="shared" si="210"/>
        <v>162</v>
      </c>
      <c r="BM315" s="633">
        <f t="shared" si="211"/>
        <v>162</v>
      </c>
      <c r="BN315" s="631"/>
      <c r="BO315" s="631"/>
      <c r="BP315" s="631"/>
      <c r="BQ315" s="631"/>
      <c r="BR315" s="631"/>
      <c r="BS315" s="631"/>
      <c r="BT315" s="607">
        <f t="shared" si="195"/>
        <v>972</v>
      </c>
      <c r="BU315" s="608">
        <f t="shared" si="196"/>
        <v>0</v>
      </c>
      <c r="BV315" s="609"/>
      <c r="BW315" s="491"/>
    </row>
    <row r="316" s="490" customFormat="1" ht="33" customHeight="1" spans="1:75">
      <c r="A316" s="577">
        <v>45855</v>
      </c>
      <c r="B316" s="581" t="s">
        <v>1539</v>
      </c>
      <c r="C316" s="579" t="s">
        <v>1540</v>
      </c>
      <c r="D316" s="580">
        <v>4500174183</v>
      </c>
      <c r="E316" s="616" t="s">
        <v>1541</v>
      </c>
      <c r="F316" s="580" t="s">
        <v>1542</v>
      </c>
      <c r="G316" s="582" t="s">
        <v>81</v>
      </c>
      <c r="H316" s="578" t="s">
        <v>95</v>
      </c>
      <c r="I316" s="583">
        <v>2400</v>
      </c>
      <c r="J316" s="583">
        <v>0</v>
      </c>
      <c r="K316" s="583">
        <v>6</v>
      </c>
      <c r="L316" s="584">
        <f t="shared" si="200"/>
        <v>400</v>
      </c>
      <c r="M316" s="585">
        <v>45891</v>
      </c>
      <c r="N316" s="585">
        <v>45887</v>
      </c>
      <c r="O316" s="586"/>
      <c r="P316" s="586" t="s">
        <v>83</v>
      </c>
      <c r="Q316" s="617" t="s">
        <v>1516</v>
      </c>
      <c r="R316" s="586" t="s">
        <v>1543</v>
      </c>
      <c r="S316" s="586"/>
      <c r="T316" s="586"/>
      <c r="U316" s="641" t="s">
        <v>1544</v>
      </c>
      <c r="V316" s="641"/>
      <c r="W316" s="641" t="s">
        <v>1541</v>
      </c>
      <c r="X316" s="661" t="s">
        <v>1545</v>
      </c>
      <c r="Y316" s="618" t="s">
        <v>233</v>
      </c>
      <c r="Z316" s="590">
        <v>5.7753</v>
      </c>
      <c r="AA316" s="591">
        <f>Z316*I316</f>
        <v>13860.72</v>
      </c>
      <c r="AB316" s="619"/>
      <c r="AC316" s="582" t="s">
        <v>235</v>
      </c>
      <c r="AD316" s="593" t="s">
        <v>89</v>
      </c>
      <c r="AE316" s="628"/>
      <c r="AF316" s="628"/>
      <c r="AG316" s="595"/>
      <c r="AH316" s="628"/>
      <c r="AI316" s="628"/>
      <c r="AJ316" s="595">
        <f>I316</f>
        <v>2400</v>
      </c>
      <c r="AK316" s="629"/>
      <c r="AL316" s="628"/>
      <c r="AM316" s="628"/>
      <c r="AN316" s="598">
        <f t="shared" si="203"/>
        <v>2400</v>
      </c>
      <c r="AO316" s="621"/>
      <c r="AP316" s="630"/>
      <c r="AQ316" s="630"/>
      <c r="AR316" s="592"/>
      <c r="AS316" s="630"/>
      <c r="AT316" s="630"/>
      <c r="AU316" s="621">
        <f>I316</f>
        <v>2400</v>
      </c>
      <c r="AV316" s="621"/>
      <c r="AW316" s="592">
        <f t="shared" si="205"/>
        <v>2400</v>
      </c>
      <c r="AX316" s="621"/>
      <c r="AY316" s="621"/>
      <c r="AZ316" s="621"/>
      <c r="BA316" s="621"/>
      <c r="BB316" s="621"/>
      <c r="BC316" s="621"/>
      <c r="BD316" s="621"/>
      <c r="BE316" s="623"/>
      <c r="BF316" s="602" t="s">
        <v>90</v>
      </c>
      <c r="BG316" s="603"/>
      <c r="BH316" s="604">
        <f t="shared" si="206"/>
        <v>400</v>
      </c>
      <c r="BI316" s="605">
        <f t="shared" si="207"/>
        <v>400</v>
      </c>
      <c r="BJ316" s="602">
        <f t="shared" si="208"/>
        <v>400</v>
      </c>
      <c r="BK316" s="602">
        <f t="shared" si="209"/>
        <v>400</v>
      </c>
      <c r="BL316" s="602">
        <f t="shared" si="210"/>
        <v>400</v>
      </c>
      <c r="BM316" s="602">
        <f t="shared" si="211"/>
        <v>400</v>
      </c>
      <c r="BN316" s="631"/>
      <c r="BO316" s="631"/>
      <c r="BP316" s="631"/>
      <c r="BQ316" s="631"/>
      <c r="BR316" s="631"/>
      <c r="BS316" s="631"/>
      <c r="BT316" s="607">
        <f t="shared" si="195"/>
        <v>2400</v>
      </c>
      <c r="BU316" s="608">
        <f t="shared" si="196"/>
        <v>0</v>
      </c>
      <c r="BV316" s="609"/>
      <c r="BW316" s="491"/>
    </row>
    <row r="317" s="490" customFormat="1" ht="33" customHeight="1" spans="1:75">
      <c r="A317" s="577">
        <v>45853</v>
      </c>
      <c r="B317" s="581" t="s">
        <v>885</v>
      </c>
      <c r="C317" s="579" t="s">
        <v>92</v>
      </c>
      <c r="D317" s="580">
        <v>4500173938</v>
      </c>
      <c r="E317" s="588">
        <v>931286879</v>
      </c>
      <c r="F317" s="580" t="s">
        <v>1546</v>
      </c>
      <c r="G317" s="582" t="s">
        <v>155</v>
      </c>
      <c r="H317" s="578" t="s">
        <v>156</v>
      </c>
      <c r="I317" s="583">
        <v>2376</v>
      </c>
      <c r="J317" s="583">
        <v>1</v>
      </c>
      <c r="K317" s="583">
        <v>108</v>
      </c>
      <c r="L317" s="584">
        <f t="shared" si="200"/>
        <v>22</v>
      </c>
      <c r="M317" s="585">
        <v>45887</v>
      </c>
      <c r="N317" s="585">
        <v>45883</v>
      </c>
      <c r="O317" s="586" t="s">
        <v>1536</v>
      </c>
      <c r="P317" s="586" t="s">
        <v>83</v>
      </c>
      <c r="Q317" s="587" t="s">
        <v>1496</v>
      </c>
      <c r="R317" s="586" t="s">
        <v>1537</v>
      </c>
      <c r="S317" s="586"/>
      <c r="T317" s="586"/>
      <c r="U317" s="641" t="s">
        <v>665</v>
      </c>
      <c r="V317" s="641" t="s">
        <v>1469</v>
      </c>
      <c r="W317" s="641"/>
      <c r="X317" s="661" t="s">
        <v>943</v>
      </c>
      <c r="Y317" s="618" t="s">
        <v>163</v>
      </c>
      <c r="Z317" s="590">
        <v>382.5215</v>
      </c>
      <c r="AA317" s="591">
        <f t="shared" ref="AA317:AA322" si="212">Z317*L317</f>
        <v>8415.473</v>
      </c>
      <c r="AB317" s="619"/>
      <c r="AC317" s="638" t="s">
        <v>155</v>
      </c>
      <c r="AD317" s="593" t="s">
        <v>89</v>
      </c>
      <c r="AE317" s="628"/>
      <c r="AF317" s="628"/>
      <c r="AG317" s="595">
        <f t="shared" ref="AG317:AG327" si="213">I317</f>
        <v>2376</v>
      </c>
      <c r="AH317" s="628"/>
      <c r="AI317" s="628"/>
      <c r="AJ317" s="637"/>
      <c r="AK317" s="629"/>
      <c r="AL317" s="628"/>
      <c r="AM317" s="628"/>
      <c r="AN317" s="598">
        <f t="shared" ref="AN317:AN325" si="214">I317</f>
        <v>2376</v>
      </c>
      <c r="AO317" s="621"/>
      <c r="AP317" s="630"/>
      <c r="AQ317" s="630"/>
      <c r="AR317" s="592">
        <f t="shared" ref="AR317:AR327" si="215">I317</f>
        <v>2376</v>
      </c>
      <c r="AS317" s="630"/>
      <c r="AT317" s="630"/>
      <c r="AU317" s="621"/>
      <c r="AV317" s="621"/>
      <c r="AW317" s="592">
        <f t="shared" si="205"/>
        <v>2376</v>
      </c>
      <c r="AX317" s="621"/>
      <c r="AY317" s="621"/>
      <c r="AZ317" s="621"/>
      <c r="BA317" s="621"/>
      <c r="BB317" s="621"/>
      <c r="BC317" s="621"/>
      <c r="BD317" s="621"/>
      <c r="BE317" s="623"/>
      <c r="BF317" s="602" t="s">
        <v>90</v>
      </c>
      <c r="BG317" s="603"/>
      <c r="BH317" s="632">
        <f t="shared" si="206"/>
        <v>396</v>
      </c>
      <c r="BI317" s="633">
        <f t="shared" si="207"/>
        <v>396</v>
      </c>
      <c r="BJ317" s="633">
        <f t="shared" si="208"/>
        <v>396</v>
      </c>
      <c r="BK317" s="633">
        <f t="shared" si="209"/>
        <v>396</v>
      </c>
      <c r="BL317" s="633">
        <f t="shared" si="210"/>
        <v>396</v>
      </c>
      <c r="BM317" s="633">
        <f t="shared" si="211"/>
        <v>396</v>
      </c>
      <c r="BN317" s="631"/>
      <c r="BO317" s="631"/>
      <c r="BP317" s="631"/>
      <c r="BQ317" s="631"/>
      <c r="BR317" s="631"/>
      <c r="BS317" s="631"/>
      <c r="BT317" s="607">
        <f t="shared" si="195"/>
        <v>2376</v>
      </c>
      <c r="BU317" s="608">
        <f t="shared" si="196"/>
        <v>0</v>
      </c>
      <c r="BV317" s="609"/>
      <c r="BW317" s="491"/>
    </row>
    <row r="318" s="490" customFormat="1" ht="33" customHeight="1" spans="1:75">
      <c r="A318" s="577">
        <v>45853</v>
      </c>
      <c r="B318" s="581" t="s">
        <v>885</v>
      </c>
      <c r="C318" s="579" t="s">
        <v>92</v>
      </c>
      <c r="D318" s="580">
        <v>4500173938</v>
      </c>
      <c r="E318" s="588">
        <v>931286885</v>
      </c>
      <c r="F318" s="580" t="s">
        <v>1547</v>
      </c>
      <c r="G318" s="582" t="s">
        <v>155</v>
      </c>
      <c r="H318" s="578" t="s">
        <v>156</v>
      </c>
      <c r="I318" s="583">
        <v>1296</v>
      </c>
      <c r="J318" s="583">
        <v>1</v>
      </c>
      <c r="K318" s="583">
        <v>108</v>
      </c>
      <c r="L318" s="584">
        <f t="shared" si="200"/>
        <v>12</v>
      </c>
      <c r="M318" s="585">
        <v>45887</v>
      </c>
      <c r="N318" s="585">
        <v>45883</v>
      </c>
      <c r="O318" s="586" t="s">
        <v>1536</v>
      </c>
      <c r="P318" s="586" t="s">
        <v>83</v>
      </c>
      <c r="Q318" s="587" t="s">
        <v>1496</v>
      </c>
      <c r="R318" s="586" t="s">
        <v>1537</v>
      </c>
      <c r="S318" s="586"/>
      <c r="T318" s="586"/>
      <c r="U318" s="641" t="s">
        <v>665</v>
      </c>
      <c r="V318" s="641" t="s">
        <v>1469</v>
      </c>
      <c r="W318" s="641"/>
      <c r="X318" s="661" t="s">
        <v>943</v>
      </c>
      <c r="Y318" s="618" t="s">
        <v>163</v>
      </c>
      <c r="Z318" s="590">
        <v>383.215</v>
      </c>
      <c r="AA318" s="591">
        <f t="shared" si="212"/>
        <v>4598.58</v>
      </c>
      <c r="AB318" s="619"/>
      <c r="AC318" s="638" t="s">
        <v>155</v>
      </c>
      <c r="AD318" s="593" t="s">
        <v>89</v>
      </c>
      <c r="AE318" s="628"/>
      <c r="AF318" s="628"/>
      <c r="AG318" s="595">
        <f t="shared" si="213"/>
        <v>1296</v>
      </c>
      <c r="AH318" s="628"/>
      <c r="AI318" s="628"/>
      <c r="AJ318" s="637"/>
      <c r="AK318" s="629"/>
      <c r="AL318" s="628"/>
      <c r="AM318" s="628"/>
      <c r="AN318" s="598">
        <f t="shared" si="214"/>
        <v>1296</v>
      </c>
      <c r="AO318" s="621"/>
      <c r="AP318" s="630"/>
      <c r="AQ318" s="630"/>
      <c r="AR318" s="592">
        <f t="shared" si="215"/>
        <v>1296</v>
      </c>
      <c r="AS318" s="630"/>
      <c r="AT318" s="630"/>
      <c r="AU318" s="621"/>
      <c r="AV318" s="621"/>
      <c r="AW318" s="592">
        <f t="shared" si="205"/>
        <v>1296</v>
      </c>
      <c r="AX318" s="621"/>
      <c r="AY318" s="621"/>
      <c r="AZ318" s="621"/>
      <c r="BA318" s="621"/>
      <c r="BB318" s="621"/>
      <c r="BC318" s="621"/>
      <c r="BD318" s="621"/>
      <c r="BE318" s="623"/>
      <c r="BF318" s="602" t="s">
        <v>90</v>
      </c>
      <c r="BG318" s="603"/>
      <c r="BH318" s="632">
        <f t="shared" si="206"/>
        <v>216</v>
      </c>
      <c r="BI318" s="633">
        <f t="shared" si="207"/>
        <v>216</v>
      </c>
      <c r="BJ318" s="633">
        <f t="shared" si="208"/>
        <v>216</v>
      </c>
      <c r="BK318" s="633">
        <f t="shared" si="209"/>
        <v>216</v>
      </c>
      <c r="BL318" s="633">
        <f t="shared" si="210"/>
        <v>216</v>
      </c>
      <c r="BM318" s="633">
        <f t="shared" si="211"/>
        <v>216</v>
      </c>
      <c r="BN318" s="631"/>
      <c r="BO318" s="631"/>
      <c r="BP318" s="631"/>
      <c r="BQ318" s="631"/>
      <c r="BR318" s="631"/>
      <c r="BS318" s="631"/>
      <c r="BT318" s="607">
        <f t="shared" si="195"/>
        <v>1296</v>
      </c>
      <c r="BU318" s="608">
        <f t="shared" si="196"/>
        <v>0</v>
      </c>
      <c r="BV318" s="609"/>
      <c r="BW318" s="491"/>
    </row>
    <row r="319" s="490" customFormat="1" ht="33" customHeight="1" spans="1:75">
      <c r="A319" s="577">
        <v>45853</v>
      </c>
      <c r="B319" s="581" t="s">
        <v>885</v>
      </c>
      <c r="C319" s="579" t="s">
        <v>92</v>
      </c>
      <c r="D319" s="580">
        <v>4500173938</v>
      </c>
      <c r="E319" s="588">
        <v>931286891</v>
      </c>
      <c r="F319" s="580" t="s">
        <v>1548</v>
      </c>
      <c r="G319" s="582" t="s">
        <v>155</v>
      </c>
      <c r="H319" s="578" t="s">
        <v>156</v>
      </c>
      <c r="I319" s="583">
        <v>1836</v>
      </c>
      <c r="J319" s="583">
        <v>1</v>
      </c>
      <c r="K319" s="583">
        <v>108</v>
      </c>
      <c r="L319" s="584">
        <f t="shared" si="200"/>
        <v>17</v>
      </c>
      <c r="M319" s="585">
        <v>45887</v>
      </c>
      <c r="N319" s="585">
        <v>45883</v>
      </c>
      <c r="O319" s="586" t="s">
        <v>1536</v>
      </c>
      <c r="P319" s="586" t="s">
        <v>83</v>
      </c>
      <c r="Q319" s="587" t="s">
        <v>1549</v>
      </c>
      <c r="R319" s="586" t="s">
        <v>1537</v>
      </c>
      <c r="S319" s="586"/>
      <c r="T319" s="586"/>
      <c r="U319" s="641" t="s">
        <v>665</v>
      </c>
      <c r="V319" s="641" t="s">
        <v>1469</v>
      </c>
      <c r="W319" s="641"/>
      <c r="X319" s="661" t="s">
        <v>943</v>
      </c>
      <c r="Y319" s="618" t="s">
        <v>163</v>
      </c>
      <c r="Z319" s="590">
        <v>382.5216</v>
      </c>
      <c r="AA319" s="591">
        <f t="shared" si="212"/>
        <v>6502.8672</v>
      </c>
      <c r="AB319" s="619"/>
      <c r="AC319" s="638" t="s">
        <v>155</v>
      </c>
      <c r="AD319" s="593" t="s">
        <v>89</v>
      </c>
      <c r="AE319" s="628"/>
      <c r="AF319" s="628"/>
      <c r="AG319" s="595">
        <f t="shared" si="213"/>
        <v>1836</v>
      </c>
      <c r="AH319" s="628"/>
      <c r="AI319" s="628"/>
      <c r="AJ319" s="637"/>
      <c r="AK319" s="629"/>
      <c r="AL319" s="628"/>
      <c r="AM319" s="628"/>
      <c r="AN319" s="598">
        <f t="shared" si="214"/>
        <v>1836</v>
      </c>
      <c r="AO319" s="621"/>
      <c r="AP319" s="630"/>
      <c r="AQ319" s="630"/>
      <c r="AR319" s="592">
        <f t="shared" si="215"/>
        <v>1836</v>
      </c>
      <c r="AS319" s="630"/>
      <c r="AT319" s="630"/>
      <c r="AU319" s="621"/>
      <c r="AV319" s="621"/>
      <c r="AW319" s="592">
        <f t="shared" si="205"/>
        <v>1836</v>
      </c>
      <c r="AX319" s="621"/>
      <c r="AY319" s="621"/>
      <c r="AZ319" s="621"/>
      <c r="BA319" s="621"/>
      <c r="BB319" s="621"/>
      <c r="BC319" s="621"/>
      <c r="BD319" s="621"/>
      <c r="BE319" s="623"/>
      <c r="BF319" s="602" t="s">
        <v>90</v>
      </c>
      <c r="BG319" s="603"/>
      <c r="BH319" s="632">
        <f t="shared" si="206"/>
        <v>306</v>
      </c>
      <c r="BI319" s="633">
        <f t="shared" si="207"/>
        <v>306</v>
      </c>
      <c r="BJ319" s="633">
        <f t="shared" si="208"/>
        <v>306</v>
      </c>
      <c r="BK319" s="633">
        <f t="shared" si="209"/>
        <v>306</v>
      </c>
      <c r="BL319" s="633">
        <f t="shared" si="210"/>
        <v>306</v>
      </c>
      <c r="BM319" s="633">
        <f t="shared" si="211"/>
        <v>306</v>
      </c>
      <c r="BN319" s="631"/>
      <c r="BO319" s="631"/>
      <c r="BP319" s="631"/>
      <c r="BQ319" s="631"/>
      <c r="BR319" s="631"/>
      <c r="BS319" s="631"/>
      <c r="BT319" s="607">
        <f t="shared" si="195"/>
        <v>1836</v>
      </c>
      <c r="BU319" s="608">
        <f t="shared" si="196"/>
        <v>0</v>
      </c>
      <c r="BV319" s="609"/>
      <c r="BW319" s="491"/>
    </row>
    <row r="320" s="490" customFormat="1" ht="33" customHeight="1" spans="1:75">
      <c r="A320" s="577">
        <v>45853</v>
      </c>
      <c r="B320" s="581" t="s">
        <v>885</v>
      </c>
      <c r="C320" s="579" t="s">
        <v>92</v>
      </c>
      <c r="D320" s="580">
        <v>4500173938</v>
      </c>
      <c r="E320" s="588">
        <v>931286900</v>
      </c>
      <c r="F320" s="580" t="s">
        <v>1550</v>
      </c>
      <c r="G320" s="582" t="s">
        <v>155</v>
      </c>
      <c r="H320" s="578" t="s">
        <v>156</v>
      </c>
      <c r="I320" s="583">
        <v>1620</v>
      </c>
      <c r="J320" s="583">
        <v>1</v>
      </c>
      <c r="K320" s="583">
        <v>108</v>
      </c>
      <c r="L320" s="584">
        <f t="shared" si="200"/>
        <v>15</v>
      </c>
      <c r="M320" s="585">
        <v>45887</v>
      </c>
      <c r="N320" s="585">
        <v>45883</v>
      </c>
      <c r="O320" s="586" t="s">
        <v>1536</v>
      </c>
      <c r="P320" s="586" t="s">
        <v>83</v>
      </c>
      <c r="Q320" s="587" t="s">
        <v>1549</v>
      </c>
      <c r="R320" s="586" t="s">
        <v>1537</v>
      </c>
      <c r="S320" s="586"/>
      <c r="T320" s="586"/>
      <c r="U320" s="641" t="s">
        <v>665</v>
      </c>
      <c r="V320" s="641" t="s">
        <v>1469</v>
      </c>
      <c r="W320" s="641"/>
      <c r="X320" s="661" t="s">
        <v>943</v>
      </c>
      <c r="Y320" s="618" t="s">
        <v>163</v>
      </c>
      <c r="Z320" s="590">
        <v>382.5214</v>
      </c>
      <c r="AA320" s="591">
        <f t="shared" si="212"/>
        <v>5737.821</v>
      </c>
      <c r="AB320" s="619"/>
      <c r="AC320" s="638" t="s">
        <v>155</v>
      </c>
      <c r="AD320" s="593" t="s">
        <v>89</v>
      </c>
      <c r="AE320" s="620"/>
      <c r="AF320" s="620"/>
      <c r="AG320" s="595">
        <f t="shared" si="213"/>
        <v>1620</v>
      </c>
      <c r="AH320" s="620"/>
      <c r="AI320" s="620"/>
      <c r="AJ320" s="637"/>
      <c r="AK320" s="629"/>
      <c r="AL320" s="620"/>
      <c r="AM320" s="620"/>
      <c r="AN320" s="598">
        <f t="shared" si="214"/>
        <v>1620</v>
      </c>
      <c r="AO320" s="621"/>
      <c r="AP320" s="622"/>
      <c r="AQ320" s="622"/>
      <c r="AR320" s="592">
        <f t="shared" si="215"/>
        <v>1620</v>
      </c>
      <c r="AS320" s="622"/>
      <c r="AT320" s="622"/>
      <c r="AU320" s="621"/>
      <c r="AV320" s="621"/>
      <c r="AW320" s="592">
        <f t="shared" si="205"/>
        <v>1620</v>
      </c>
      <c r="AX320" s="621"/>
      <c r="AY320" s="621"/>
      <c r="AZ320" s="621"/>
      <c r="BA320" s="621"/>
      <c r="BB320" s="621"/>
      <c r="BC320" s="621"/>
      <c r="BD320" s="621"/>
      <c r="BE320" s="623"/>
      <c r="BF320" s="602" t="s">
        <v>90</v>
      </c>
      <c r="BG320" s="603"/>
      <c r="BH320" s="632">
        <f t="shared" si="206"/>
        <v>270</v>
      </c>
      <c r="BI320" s="633">
        <f t="shared" si="207"/>
        <v>270</v>
      </c>
      <c r="BJ320" s="633">
        <f t="shared" si="208"/>
        <v>270</v>
      </c>
      <c r="BK320" s="633">
        <f t="shared" si="209"/>
        <v>270</v>
      </c>
      <c r="BL320" s="633">
        <f t="shared" si="210"/>
        <v>270</v>
      </c>
      <c r="BM320" s="633">
        <f t="shared" si="211"/>
        <v>270</v>
      </c>
      <c r="BN320" s="624"/>
      <c r="BO320" s="624"/>
      <c r="BP320" s="624"/>
      <c r="BQ320" s="624"/>
      <c r="BR320" s="624"/>
      <c r="BS320" s="624"/>
      <c r="BT320" s="607">
        <f t="shared" si="195"/>
        <v>1620</v>
      </c>
      <c r="BU320" s="608">
        <f t="shared" si="196"/>
        <v>0</v>
      </c>
      <c r="BV320" s="517"/>
      <c r="BW320" s="491"/>
    </row>
    <row r="321" s="490" customFormat="1" ht="33" customHeight="1" spans="1:75">
      <c r="A321" s="577">
        <v>45853</v>
      </c>
      <c r="B321" s="581" t="s">
        <v>885</v>
      </c>
      <c r="C321" s="579" t="s">
        <v>92</v>
      </c>
      <c r="D321" s="580">
        <v>4500173938</v>
      </c>
      <c r="E321" s="588">
        <v>931286909</v>
      </c>
      <c r="F321" s="580" t="s">
        <v>1551</v>
      </c>
      <c r="G321" s="582" t="s">
        <v>155</v>
      </c>
      <c r="H321" s="578" t="s">
        <v>156</v>
      </c>
      <c r="I321" s="583">
        <v>540</v>
      </c>
      <c r="J321" s="583">
        <v>1</v>
      </c>
      <c r="K321" s="583">
        <v>108</v>
      </c>
      <c r="L321" s="584">
        <f t="shared" si="200"/>
        <v>5</v>
      </c>
      <c r="M321" s="585">
        <v>45887</v>
      </c>
      <c r="N321" s="585">
        <v>45883</v>
      </c>
      <c r="O321" s="586" t="s">
        <v>1536</v>
      </c>
      <c r="P321" s="586" t="s">
        <v>83</v>
      </c>
      <c r="Q321" s="587"/>
      <c r="R321" s="586" t="s">
        <v>1537</v>
      </c>
      <c r="S321" s="586"/>
      <c r="T321" s="586"/>
      <c r="U321" s="641" t="s">
        <v>665</v>
      </c>
      <c r="V321" s="641" t="s">
        <v>1469</v>
      </c>
      <c r="W321" s="641"/>
      <c r="X321" s="661" t="s">
        <v>943</v>
      </c>
      <c r="Y321" s="618" t="s">
        <v>163</v>
      </c>
      <c r="Z321" s="590">
        <v>383.215</v>
      </c>
      <c r="AA321" s="591">
        <f t="shared" si="212"/>
        <v>1916.075</v>
      </c>
      <c r="AB321" s="619"/>
      <c r="AC321" s="638" t="s">
        <v>155</v>
      </c>
      <c r="AD321" s="593" t="s">
        <v>89</v>
      </c>
      <c r="AE321" s="620"/>
      <c r="AF321" s="620"/>
      <c r="AG321" s="595">
        <f t="shared" si="213"/>
        <v>540</v>
      </c>
      <c r="AH321" s="620"/>
      <c r="AI321" s="620"/>
      <c r="AJ321" s="637"/>
      <c r="AK321" s="629"/>
      <c r="AL321" s="620"/>
      <c r="AM321" s="620"/>
      <c r="AN321" s="598">
        <f t="shared" si="214"/>
        <v>540</v>
      </c>
      <c r="AO321" s="621"/>
      <c r="AP321" s="622"/>
      <c r="AQ321" s="622"/>
      <c r="AR321" s="592">
        <f t="shared" si="215"/>
        <v>540</v>
      </c>
      <c r="AS321" s="622"/>
      <c r="AT321" s="622"/>
      <c r="AU321" s="621"/>
      <c r="AV321" s="621"/>
      <c r="AW321" s="592">
        <f t="shared" si="205"/>
        <v>540</v>
      </c>
      <c r="AX321" s="621"/>
      <c r="AY321" s="621"/>
      <c r="AZ321" s="621"/>
      <c r="BA321" s="621"/>
      <c r="BB321" s="621"/>
      <c r="BC321" s="621"/>
      <c r="BD321" s="621"/>
      <c r="BE321" s="623"/>
      <c r="BF321" s="602" t="s">
        <v>90</v>
      </c>
      <c r="BG321" s="603"/>
      <c r="BH321" s="632">
        <f t="shared" si="206"/>
        <v>90</v>
      </c>
      <c r="BI321" s="633">
        <f t="shared" si="207"/>
        <v>90</v>
      </c>
      <c r="BJ321" s="633">
        <f t="shared" si="208"/>
        <v>90</v>
      </c>
      <c r="BK321" s="633">
        <f t="shared" si="209"/>
        <v>90</v>
      </c>
      <c r="BL321" s="633">
        <f t="shared" si="210"/>
        <v>90</v>
      </c>
      <c r="BM321" s="633">
        <f t="shared" si="211"/>
        <v>90</v>
      </c>
      <c r="BN321" s="624"/>
      <c r="BO321" s="624"/>
      <c r="BP321" s="624"/>
      <c r="BQ321" s="624"/>
      <c r="BR321" s="624"/>
      <c r="BS321" s="624"/>
      <c r="BT321" s="607">
        <f t="shared" si="195"/>
        <v>540</v>
      </c>
      <c r="BU321" s="608">
        <f t="shared" si="196"/>
        <v>0</v>
      </c>
      <c r="BV321" s="517"/>
      <c r="BW321" s="491"/>
    </row>
    <row r="322" s="490" customFormat="1" ht="33" customHeight="1" spans="1:75">
      <c r="A322" s="577">
        <v>45853</v>
      </c>
      <c r="B322" s="581" t="s">
        <v>885</v>
      </c>
      <c r="C322" s="579" t="s">
        <v>92</v>
      </c>
      <c r="D322" s="580">
        <v>4500173938</v>
      </c>
      <c r="E322" s="588">
        <v>931286925</v>
      </c>
      <c r="F322" s="580" t="s">
        <v>1552</v>
      </c>
      <c r="G322" s="582" t="s">
        <v>155</v>
      </c>
      <c r="H322" s="578" t="s">
        <v>156</v>
      </c>
      <c r="I322" s="583">
        <v>1404</v>
      </c>
      <c r="J322" s="583">
        <v>1</v>
      </c>
      <c r="K322" s="583">
        <v>108</v>
      </c>
      <c r="L322" s="584">
        <f t="shared" si="200"/>
        <v>13</v>
      </c>
      <c r="M322" s="585">
        <v>45887</v>
      </c>
      <c r="N322" s="585">
        <v>45883</v>
      </c>
      <c r="O322" s="586" t="s">
        <v>1536</v>
      </c>
      <c r="P322" s="586" t="s">
        <v>83</v>
      </c>
      <c r="Q322" s="587" t="s">
        <v>1553</v>
      </c>
      <c r="R322" s="586" t="s">
        <v>1537</v>
      </c>
      <c r="S322" s="586"/>
      <c r="T322" s="586"/>
      <c r="U322" s="641" t="s">
        <v>665</v>
      </c>
      <c r="V322" s="641" t="s">
        <v>1469</v>
      </c>
      <c r="W322" s="641"/>
      <c r="X322" s="661" t="s">
        <v>943</v>
      </c>
      <c r="Y322" s="618" t="s">
        <v>163</v>
      </c>
      <c r="Z322" s="590">
        <v>383.702</v>
      </c>
      <c r="AA322" s="591">
        <f t="shared" si="212"/>
        <v>4988.126</v>
      </c>
      <c r="AB322" s="619" t="s">
        <v>1554</v>
      </c>
      <c r="AC322" s="638" t="s">
        <v>155</v>
      </c>
      <c r="AD322" s="593" t="s">
        <v>89</v>
      </c>
      <c r="AE322" s="620"/>
      <c r="AF322" s="620"/>
      <c r="AG322" s="595">
        <f t="shared" si="213"/>
        <v>1404</v>
      </c>
      <c r="AH322" s="620"/>
      <c r="AI322" s="620"/>
      <c r="AJ322" s="637"/>
      <c r="AK322" s="629"/>
      <c r="AL322" s="620"/>
      <c r="AM322" s="620"/>
      <c r="AN322" s="598">
        <f t="shared" si="214"/>
        <v>1404</v>
      </c>
      <c r="AO322" s="621"/>
      <c r="AP322" s="622"/>
      <c r="AQ322" s="622"/>
      <c r="AR322" s="592">
        <f t="shared" si="215"/>
        <v>1404</v>
      </c>
      <c r="AS322" s="622"/>
      <c r="AT322" s="622"/>
      <c r="AU322" s="621"/>
      <c r="AV322" s="621"/>
      <c r="AW322" s="592">
        <f t="shared" si="205"/>
        <v>1404</v>
      </c>
      <c r="AX322" s="621"/>
      <c r="AY322" s="621"/>
      <c r="AZ322" s="621"/>
      <c r="BA322" s="621"/>
      <c r="BB322" s="621"/>
      <c r="BC322" s="621"/>
      <c r="BD322" s="621"/>
      <c r="BE322" s="623"/>
      <c r="BF322" s="602" t="s">
        <v>90</v>
      </c>
      <c r="BG322" s="603"/>
      <c r="BH322" s="632">
        <f t="shared" si="206"/>
        <v>234</v>
      </c>
      <c r="BI322" s="633">
        <f t="shared" si="207"/>
        <v>234</v>
      </c>
      <c r="BJ322" s="633">
        <f t="shared" si="208"/>
        <v>234</v>
      </c>
      <c r="BK322" s="633">
        <f t="shared" si="209"/>
        <v>234</v>
      </c>
      <c r="BL322" s="633">
        <f t="shared" si="210"/>
        <v>234</v>
      </c>
      <c r="BM322" s="633">
        <f t="shared" si="211"/>
        <v>234</v>
      </c>
      <c r="BN322" s="624"/>
      <c r="BO322" s="624"/>
      <c r="BP322" s="624"/>
      <c r="BQ322" s="624"/>
      <c r="BR322" s="624"/>
      <c r="BS322" s="624"/>
      <c r="BT322" s="607">
        <f t="shared" si="195"/>
        <v>1404</v>
      </c>
      <c r="BU322" s="608">
        <f t="shared" si="196"/>
        <v>0</v>
      </c>
      <c r="BV322" s="517"/>
      <c r="BW322" s="491"/>
    </row>
    <row r="323" s="490" customFormat="1" ht="33" customHeight="1" spans="1:75">
      <c r="A323" s="577">
        <v>45853</v>
      </c>
      <c r="B323" s="581" t="s">
        <v>1555</v>
      </c>
      <c r="C323" s="579" t="s">
        <v>1556</v>
      </c>
      <c r="D323" s="580">
        <v>4500173241</v>
      </c>
      <c r="E323" s="616" t="s">
        <v>1557</v>
      </c>
      <c r="F323" s="580" t="s">
        <v>1558</v>
      </c>
      <c r="G323" s="582" t="s">
        <v>81</v>
      </c>
      <c r="H323" s="578" t="s">
        <v>95</v>
      </c>
      <c r="I323" s="583">
        <v>246</v>
      </c>
      <c r="J323" s="583">
        <v>0</v>
      </c>
      <c r="K323" s="583">
        <v>6</v>
      </c>
      <c r="L323" s="584">
        <f t="shared" si="200"/>
        <v>41</v>
      </c>
      <c r="M323" s="585">
        <v>45894</v>
      </c>
      <c r="N323" s="585">
        <v>45890</v>
      </c>
      <c r="O323" s="586"/>
      <c r="P323" s="586" t="s">
        <v>83</v>
      </c>
      <c r="Q323" s="617" t="s">
        <v>1559</v>
      </c>
      <c r="R323" s="586" t="s">
        <v>1531</v>
      </c>
      <c r="S323" s="586"/>
      <c r="T323" s="586"/>
      <c r="U323" s="641" t="s">
        <v>86</v>
      </c>
      <c r="V323" s="641"/>
      <c r="W323" s="641"/>
      <c r="X323" s="661" t="s">
        <v>1560</v>
      </c>
      <c r="Y323" s="618" t="s">
        <v>1245</v>
      </c>
      <c r="Z323" s="590">
        <v>5.6013</v>
      </c>
      <c r="AA323" s="591">
        <f t="shared" ref="AA322:AA332" si="216">Z323*I323</f>
        <v>1377.9198</v>
      </c>
      <c r="AB323" s="619"/>
      <c r="AC323" s="582" t="s">
        <v>81</v>
      </c>
      <c r="AD323" s="593" t="s">
        <v>89</v>
      </c>
      <c r="AE323" s="620"/>
      <c r="AF323" s="620"/>
      <c r="AG323" s="595">
        <f t="shared" si="213"/>
        <v>246</v>
      </c>
      <c r="AH323" s="620"/>
      <c r="AI323" s="620"/>
      <c r="AJ323" s="595"/>
      <c r="AK323" s="629"/>
      <c r="AL323" s="620"/>
      <c r="AM323" s="620"/>
      <c r="AN323" s="598">
        <f t="shared" si="214"/>
        <v>246</v>
      </c>
      <c r="AO323" s="621"/>
      <c r="AP323" s="622"/>
      <c r="AQ323" s="622"/>
      <c r="AR323" s="592">
        <f t="shared" si="215"/>
        <v>246</v>
      </c>
      <c r="AS323" s="622"/>
      <c r="AT323" s="622"/>
      <c r="AU323" s="621"/>
      <c r="AV323" s="621"/>
      <c r="AW323" s="592">
        <f t="shared" ref="AW315:AW361" si="217">I323</f>
        <v>246</v>
      </c>
      <c r="AX323" s="621"/>
      <c r="AY323" s="621"/>
      <c r="AZ323" s="621"/>
      <c r="BA323" s="621"/>
      <c r="BB323" s="621"/>
      <c r="BC323" s="621"/>
      <c r="BD323" s="621"/>
      <c r="BE323" s="623"/>
      <c r="BF323" s="602" t="s">
        <v>90</v>
      </c>
      <c r="BG323" s="603"/>
      <c r="BH323" s="632">
        <f t="shared" ref="BH315:BH339" si="218">I323/6</f>
        <v>41</v>
      </c>
      <c r="BI323" s="633">
        <f t="shared" ref="BI315:BI339" si="219">I323/6</f>
        <v>41</v>
      </c>
      <c r="BJ323" s="633">
        <f t="shared" ref="BJ315:BJ339" si="220">I323/6</f>
        <v>41</v>
      </c>
      <c r="BK323" s="633">
        <f t="shared" ref="BK315:BK339" si="221">I323/6</f>
        <v>41</v>
      </c>
      <c r="BL323" s="633">
        <f t="shared" ref="BL315:BL339" si="222">I323/6</f>
        <v>41</v>
      </c>
      <c r="BM323" s="633">
        <f t="shared" ref="BM315:BM339" si="223">I323/6</f>
        <v>41</v>
      </c>
      <c r="BN323" s="624"/>
      <c r="BO323" s="624"/>
      <c r="BP323" s="624"/>
      <c r="BQ323" s="624"/>
      <c r="BR323" s="624"/>
      <c r="BS323" s="624"/>
      <c r="BT323" s="607">
        <f t="shared" ref="BT315:BT386" si="224">SUM(BH323:BS323)</f>
        <v>246</v>
      </c>
      <c r="BU323" s="608">
        <f t="shared" ref="BU315:BU386" si="225">I323-BT323</f>
        <v>0</v>
      </c>
      <c r="BV323" s="517"/>
      <c r="BW323" s="491"/>
    </row>
    <row r="324" s="490" customFormat="1" ht="33" customHeight="1" spans="1:75">
      <c r="A324" s="577">
        <v>45769</v>
      </c>
      <c r="B324" s="581" t="s">
        <v>724</v>
      </c>
      <c r="C324" s="579" t="s">
        <v>725</v>
      </c>
      <c r="D324" s="580">
        <v>4500164464</v>
      </c>
      <c r="E324" s="616" t="s">
        <v>726</v>
      </c>
      <c r="F324" s="580" t="s">
        <v>1561</v>
      </c>
      <c r="G324" s="582" t="s">
        <v>81</v>
      </c>
      <c r="H324" s="578" t="s">
        <v>95</v>
      </c>
      <c r="I324" s="583">
        <v>930</v>
      </c>
      <c r="J324" s="583">
        <v>0</v>
      </c>
      <c r="K324" s="583">
        <v>6</v>
      </c>
      <c r="L324" s="584">
        <f t="shared" si="200"/>
        <v>155</v>
      </c>
      <c r="M324" s="585">
        <v>45896</v>
      </c>
      <c r="N324" s="585">
        <v>45892</v>
      </c>
      <c r="O324" s="586"/>
      <c r="P324" s="586" t="s">
        <v>83</v>
      </c>
      <c r="Q324" s="587" t="s">
        <v>1549</v>
      </c>
      <c r="R324" s="586" t="s">
        <v>1461</v>
      </c>
      <c r="S324" s="586"/>
      <c r="T324" s="586"/>
      <c r="U324" s="641" t="s">
        <v>1562</v>
      </c>
      <c r="V324" s="641"/>
      <c r="W324" s="641" t="s">
        <v>1463</v>
      </c>
      <c r="X324" s="661" t="s">
        <v>1486</v>
      </c>
      <c r="Y324" s="618" t="s">
        <v>1004</v>
      </c>
      <c r="Z324" s="590">
        <v>5.7753</v>
      </c>
      <c r="AA324" s="591">
        <f t="shared" si="216"/>
        <v>5371.029</v>
      </c>
      <c r="AB324" s="619" t="s">
        <v>1563</v>
      </c>
      <c r="AC324" s="582" t="s">
        <v>81</v>
      </c>
      <c r="AD324" s="593" t="s">
        <v>89</v>
      </c>
      <c r="AE324" s="620"/>
      <c r="AF324" s="620"/>
      <c r="AG324" s="595">
        <f t="shared" si="213"/>
        <v>930</v>
      </c>
      <c r="AH324" s="620"/>
      <c r="AI324" s="620"/>
      <c r="AJ324" s="589"/>
      <c r="AK324" s="629"/>
      <c r="AL324" s="620"/>
      <c r="AM324" s="620"/>
      <c r="AN324" s="598">
        <f t="shared" si="214"/>
        <v>930</v>
      </c>
      <c r="AO324" s="621"/>
      <c r="AP324" s="622"/>
      <c r="AQ324" s="622"/>
      <c r="AR324" s="621">
        <f t="shared" si="215"/>
        <v>930</v>
      </c>
      <c r="AS324" s="622"/>
      <c r="AT324" s="622"/>
      <c r="AU324" s="621"/>
      <c r="AV324" s="621"/>
      <c r="AW324" s="592">
        <f t="shared" si="217"/>
        <v>930</v>
      </c>
      <c r="AX324" s="621"/>
      <c r="AY324" s="621"/>
      <c r="AZ324" s="621"/>
      <c r="BA324" s="621"/>
      <c r="BB324" s="621"/>
      <c r="BC324" s="621"/>
      <c r="BD324" s="621"/>
      <c r="BE324" s="623"/>
      <c r="BF324" s="602" t="s">
        <v>90</v>
      </c>
      <c r="BG324" s="603"/>
      <c r="BH324" s="604">
        <f t="shared" si="218"/>
        <v>155</v>
      </c>
      <c r="BI324" s="605">
        <f t="shared" si="219"/>
        <v>155</v>
      </c>
      <c r="BJ324" s="602">
        <f t="shared" si="220"/>
        <v>155</v>
      </c>
      <c r="BK324" s="602">
        <f t="shared" si="221"/>
        <v>155</v>
      </c>
      <c r="BL324" s="602">
        <f t="shared" si="222"/>
        <v>155</v>
      </c>
      <c r="BM324" s="602">
        <f t="shared" si="223"/>
        <v>155</v>
      </c>
      <c r="BN324" s="624"/>
      <c r="BO324" s="624"/>
      <c r="BP324" s="624"/>
      <c r="BQ324" s="624"/>
      <c r="BR324" s="624"/>
      <c r="BS324" s="624"/>
      <c r="BT324" s="607">
        <f t="shared" si="224"/>
        <v>930</v>
      </c>
      <c r="BU324" s="608">
        <f t="shared" si="225"/>
        <v>0</v>
      </c>
      <c r="BV324" s="517"/>
      <c r="BW324" s="491"/>
    </row>
    <row r="325" s="490" customFormat="1" ht="33" customHeight="1" spans="1:75">
      <c r="A325" s="577">
        <v>45769</v>
      </c>
      <c r="B325" s="581" t="s">
        <v>724</v>
      </c>
      <c r="C325" s="579" t="s">
        <v>725</v>
      </c>
      <c r="D325" s="580">
        <v>4500164464</v>
      </c>
      <c r="E325" s="616" t="s">
        <v>732</v>
      </c>
      <c r="F325" s="580" t="s">
        <v>1564</v>
      </c>
      <c r="G325" s="582" t="s">
        <v>81</v>
      </c>
      <c r="H325" s="578" t="s">
        <v>95</v>
      </c>
      <c r="I325" s="583">
        <v>360</v>
      </c>
      <c r="J325" s="583">
        <v>0</v>
      </c>
      <c r="K325" s="583">
        <v>6</v>
      </c>
      <c r="L325" s="584">
        <f t="shared" si="200"/>
        <v>60</v>
      </c>
      <c r="M325" s="585">
        <v>45896</v>
      </c>
      <c r="N325" s="585">
        <v>45892</v>
      </c>
      <c r="O325" s="586"/>
      <c r="P325" s="586" t="s">
        <v>83</v>
      </c>
      <c r="Q325" s="587" t="s">
        <v>1549</v>
      </c>
      <c r="R325" s="586" t="s">
        <v>1461</v>
      </c>
      <c r="S325" s="586"/>
      <c r="T325" s="586"/>
      <c r="U325" s="641" t="s">
        <v>1562</v>
      </c>
      <c r="V325" s="641"/>
      <c r="W325" s="641" t="s">
        <v>1463</v>
      </c>
      <c r="X325" s="661" t="s">
        <v>1486</v>
      </c>
      <c r="Y325" s="618" t="s">
        <v>1004</v>
      </c>
      <c r="Z325" s="590">
        <v>5.7753</v>
      </c>
      <c r="AA325" s="591">
        <f t="shared" si="216"/>
        <v>2079.108</v>
      </c>
      <c r="AB325" s="619" t="s">
        <v>1565</v>
      </c>
      <c r="AC325" s="582" t="s">
        <v>81</v>
      </c>
      <c r="AD325" s="593" t="s">
        <v>89</v>
      </c>
      <c r="AE325" s="620"/>
      <c r="AF325" s="620"/>
      <c r="AG325" s="595">
        <f t="shared" si="213"/>
        <v>360</v>
      </c>
      <c r="AH325" s="620"/>
      <c r="AI325" s="620"/>
      <c r="AJ325" s="589"/>
      <c r="AK325" s="629"/>
      <c r="AL325" s="620"/>
      <c r="AM325" s="620"/>
      <c r="AN325" s="598">
        <f t="shared" si="214"/>
        <v>360</v>
      </c>
      <c r="AO325" s="621"/>
      <c r="AP325" s="622"/>
      <c r="AQ325" s="622"/>
      <c r="AR325" s="621">
        <f t="shared" si="215"/>
        <v>360</v>
      </c>
      <c r="AS325" s="622"/>
      <c r="AT325" s="622"/>
      <c r="AU325" s="621"/>
      <c r="AV325" s="621"/>
      <c r="AW325" s="592">
        <f t="shared" si="217"/>
        <v>360</v>
      </c>
      <c r="AX325" s="621"/>
      <c r="AY325" s="621"/>
      <c r="AZ325" s="621"/>
      <c r="BA325" s="621"/>
      <c r="BB325" s="621"/>
      <c r="BC325" s="621"/>
      <c r="BD325" s="621"/>
      <c r="BE325" s="623"/>
      <c r="BF325" s="602" t="s">
        <v>90</v>
      </c>
      <c r="BG325" s="603"/>
      <c r="BH325" s="604">
        <f t="shared" si="218"/>
        <v>60</v>
      </c>
      <c r="BI325" s="605">
        <f t="shared" si="219"/>
        <v>60</v>
      </c>
      <c r="BJ325" s="602">
        <f t="shared" si="220"/>
        <v>60</v>
      </c>
      <c r="BK325" s="602">
        <f t="shared" si="221"/>
        <v>60</v>
      </c>
      <c r="BL325" s="602">
        <f t="shared" si="222"/>
        <v>60</v>
      </c>
      <c r="BM325" s="602">
        <f t="shared" si="223"/>
        <v>60</v>
      </c>
      <c r="BN325" s="624"/>
      <c r="BO325" s="624"/>
      <c r="BP325" s="624"/>
      <c r="BQ325" s="624"/>
      <c r="BR325" s="624"/>
      <c r="BS325" s="624"/>
      <c r="BT325" s="607">
        <f t="shared" si="224"/>
        <v>360</v>
      </c>
      <c r="BU325" s="608">
        <f t="shared" si="225"/>
        <v>0</v>
      </c>
      <c r="BV325" s="517"/>
      <c r="BW325" s="491"/>
    </row>
    <row r="326" s="490" customFormat="1" ht="33" customHeight="1" spans="1:75">
      <c r="A326" s="577">
        <v>45862</v>
      </c>
      <c r="B326" s="581" t="s">
        <v>1566</v>
      </c>
      <c r="C326" s="579" t="s">
        <v>140</v>
      </c>
      <c r="D326" s="580">
        <v>4500174847</v>
      </c>
      <c r="E326" s="588">
        <v>5000001948</v>
      </c>
      <c r="F326" s="580" t="s">
        <v>1567</v>
      </c>
      <c r="G326" s="582" t="s">
        <v>81</v>
      </c>
      <c r="H326" s="578" t="s">
        <v>95</v>
      </c>
      <c r="I326" s="583">
        <v>1800</v>
      </c>
      <c r="J326" s="583">
        <v>0</v>
      </c>
      <c r="K326" s="583">
        <v>6</v>
      </c>
      <c r="L326" s="584">
        <f t="shared" si="200"/>
        <v>300</v>
      </c>
      <c r="M326" s="585">
        <v>45897</v>
      </c>
      <c r="N326" s="585">
        <v>45894</v>
      </c>
      <c r="O326" s="586"/>
      <c r="P326" s="586" t="s">
        <v>83</v>
      </c>
      <c r="Q326" s="587" t="s">
        <v>1568</v>
      </c>
      <c r="R326" s="586" t="s">
        <v>1569</v>
      </c>
      <c r="S326" s="586"/>
      <c r="T326" s="586"/>
      <c r="U326" s="641" t="s">
        <v>1570</v>
      </c>
      <c r="V326" s="641"/>
      <c r="W326" s="641"/>
      <c r="X326" s="661" t="s">
        <v>1571</v>
      </c>
      <c r="Y326" s="618" t="s">
        <v>757</v>
      </c>
      <c r="Z326" s="590">
        <v>5.5938</v>
      </c>
      <c r="AA326" s="591">
        <f t="shared" si="216"/>
        <v>10068.84</v>
      </c>
      <c r="AB326" s="619" t="s">
        <v>1572</v>
      </c>
      <c r="AC326" s="582" t="s">
        <v>149</v>
      </c>
      <c r="AD326" s="593" t="s">
        <v>89</v>
      </c>
      <c r="AE326" s="628"/>
      <c r="AF326" s="628"/>
      <c r="AG326" s="595">
        <f t="shared" si="213"/>
        <v>1800</v>
      </c>
      <c r="AH326" s="628"/>
      <c r="AI326" s="628"/>
      <c r="AJ326" s="589"/>
      <c r="AK326" s="629"/>
      <c r="AL326" s="628"/>
      <c r="AM326" s="628"/>
      <c r="AN326" s="598"/>
      <c r="AO326" s="621">
        <f>I326</f>
        <v>1800</v>
      </c>
      <c r="AP326" s="630"/>
      <c r="AQ326" s="630"/>
      <c r="AR326" s="621">
        <f t="shared" si="215"/>
        <v>1800</v>
      </c>
      <c r="AS326" s="630"/>
      <c r="AT326" s="630"/>
      <c r="AU326" s="621"/>
      <c r="AV326" s="621"/>
      <c r="AW326" s="592">
        <f t="shared" si="217"/>
        <v>1800</v>
      </c>
      <c r="AX326" s="621"/>
      <c r="AY326" s="621"/>
      <c r="AZ326" s="621"/>
      <c r="BA326" s="621"/>
      <c r="BB326" s="621"/>
      <c r="BC326" s="621"/>
      <c r="BD326" s="621"/>
      <c r="BE326" s="623"/>
      <c r="BF326" s="602" t="s">
        <v>90</v>
      </c>
      <c r="BG326" s="603"/>
      <c r="BH326" s="604">
        <f t="shared" si="218"/>
        <v>300</v>
      </c>
      <c r="BI326" s="605">
        <f t="shared" si="219"/>
        <v>300</v>
      </c>
      <c r="BJ326" s="602">
        <f t="shared" si="220"/>
        <v>300</v>
      </c>
      <c r="BK326" s="602">
        <f t="shared" si="221"/>
        <v>300</v>
      </c>
      <c r="BL326" s="602">
        <f t="shared" si="222"/>
        <v>300</v>
      </c>
      <c r="BM326" s="602">
        <f t="shared" si="223"/>
        <v>300</v>
      </c>
      <c r="BN326" s="631"/>
      <c r="BO326" s="631"/>
      <c r="BP326" s="631"/>
      <c r="BQ326" s="631"/>
      <c r="BR326" s="631"/>
      <c r="BS326" s="631"/>
      <c r="BT326" s="607">
        <f t="shared" si="224"/>
        <v>1800</v>
      </c>
      <c r="BU326" s="608">
        <f t="shared" si="225"/>
        <v>0</v>
      </c>
      <c r="BV326" s="609"/>
      <c r="BW326" s="491"/>
    </row>
    <row r="327" s="490" customFormat="1" ht="33" customHeight="1" spans="1:75">
      <c r="A327" s="577">
        <v>45862</v>
      </c>
      <c r="B327" s="581" t="s">
        <v>1566</v>
      </c>
      <c r="C327" s="579" t="s">
        <v>140</v>
      </c>
      <c r="D327" s="580">
        <v>4500174847</v>
      </c>
      <c r="E327" s="588">
        <v>5000001948</v>
      </c>
      <c r="F327" s="580" t="s">
        <v>1573</v>
      </c>
      <c r="G327" s="582" t="s">
        <v>81</v>
      </c>
      <c r="H327" s="578" t="s">
        <v>95</v>
      </c>
      <c r="I327" s="583">
        <v>600</v>
      </c>
      <c r="J327" s="583">
        <v>0</v>
      </c>
      <c r="K327" s="583">
        <v>6</v>
      </c>
      <c r="L327" s="584">
        <f t="shared" si="200"/>
        <v>100</v>
      </c>
      <c r="M327" s="585">
        <v>45897</v>
      </c>
      <c r="N327" s="585">
        <v>45894</v>
      </c>
      <c r="O327" s="586"/>
      <c r="P327" s="586" t="s">
        <v>83</v>
      </c>
      <c r="Q327" s="587" t="s">
        <v>1568</v>
      </c>
      <c r="R327" s="586" t="s">
        <v>1569</v>
      </c>
      <c r="S327" s="586"/>
      <c r="T327" s="586"/>
      <c r="U327" s="641" t="s">
        <v>1570</v>
      </c>
      <c r="V327" s="641"/>
      <c r="W327" s="641"/>
      <c r="X327" s="661" t="s">
        <v>1571</v>
      </c>
      <c r="Y327" s="618" t="s">
        <v>757</v>
      </c>
      <c r="Z327" s="590">
        <v>5.5938</v>
      </c>
      <c r="AA327" s="591">
        <f t="shared" si="216"/>
        <v>3356.28</v>
      </c>
      <c r="AB327" s="619" t="s">
        <v>1572</v>
      </c>
      <c r="AC327" s="582" t="s">
        <v>149</v>
      </c>
      <c r="AD327" s="593" t="s">
        <v>89</v>
      </c>
      <c r="AE327" s="628"/>
      <c r="AF327" s="628"/>
      <c r="AG327" s="595">
        <f t="shared" si="213"/>
        <v>600</v>
      </c>
      <c r="AH327" s="628"/>
      <c r="AI327" s="628"/>
      <c r="AJ327" s="589"/>
      <c r="AK327" s="629"/>
      <c r="AL327" s="628"/>
      <c r="AM327" s="628"/>
      <c r="AN327" s="598"/>
      <c r="AO327" s="621">
        <f>I327</f>
        <v>600</v>
      </c>
      <c r="AP327" s="630"/>
      <c r="AQ327" s="630"/>
      <c r="AR327" s="621">
        <f t="shared" si="215"/>
        <v>600</v>
      </c>
      <c r="AS327" s="630"/>
      <c r="AT327" s="630"/>
      <c r="AU327" s="621"/>
      <c r="AV327" s="621"/>
      <c r="AW327" s="592">
        <f t="shared" si="217"/>
        <v>600</v>
      </c>
      <c r="AX327" s="621"/>
      <c r="AY327" s="621"/>
      <c r="AZ327" s="621"/>
      <c r="BA327" s="621"/>
      <c r="BB327" s="621"/>
      <c r="BC327" s="621"/>
      <c r="BD327" s="621"/>
      <c r="BE327" s="623"/>
      <c r="BF327" s="602" t="s">
        <v>90</v>
      </c>
      <c r="BG327" s="603"/>
      <c r="BH327" s="604">
        <f t="shared" si="218"/>
        <v>100</v>
      </c>
      <c r="BI327" s="605">
        <f t="shared" si="219"/>
        <v>100</v>
      </c>
      <c r="BJ327" s="602">
        <f t="shared" si="220"/>
        <v>100</v>
      </c>
      <c r="BK327" s="602">
        <f t="shared" si="221"/>
        <v>100</v>
      </c>
      <c r="BL327" s="602">
        <f t="shared" si="222"/>
        <v>100</v>
      </c>
      <c r="BM327" s="602">
        <f t="shared" si="223"/>
        <v>100</v>
      </c>
      <c r="BN327" s="631"/>
      <c r="BO327" s="631"/>
      <c r="BP327" s="631"/>
      <c r="BQ327" s="631"/>
      <c r="BR327" s="631"/>
      <c r="BS327" s="631"/>
      <c r="BT327" s="607">
        <f t="shared" si="224"/>
        <v>600</v>
      </c>
      <c r="BU327" s="608">
        <f t="shared" si="225"/>
        <v>0</v>
      </c>
      <c r="BV327" s="609"/>
      <c r="BW327" s="491"/>
    </row>
    <row r="328" s="490" customFormat="1" ht="33" customHeight="1" spans="1:75">
      <c r="A328" s="577">
        <v>45845</v>
      </c>
      <c r="B328" s="581" t="s">
        <v>236</v>
      </c>
      <c r="C328" s="579" t="s">
        <v>237</v>
      </c>
      <c r="D328" s="580">
        <v>4500172982</v>
      </c>
      <c r="E328" s="616"/>
      <c r="F328" s="580" t="s">
        <v>1574</v>
      </c>
      <c r="G328" s="582" t="s">
        <v>81</v>
      </c>
      <c r="H328" s="578" t="s">
        <v>95</v>
      </c>
      <c r="I328" s="583">
        <v>120</v>
      </c>
      <c r="J328" s="583">
        <v>0</v>
      </c>
      <c r="K328" s="583">
        <v>6</v>
      </c>
      <c r="L328" s="584">
        <f t="shared" si="200"/>
        <v>20</v>
      </c>
      <c r="M328" s="585">
        <v>45901</v>
      </c>
      <c r="N328" s="610">
        <f>M328-4</f>
        <v>45897</v>
      </c>
      <c r="O328" s="586"/>
      <c r="P328" s="586" t="s">
        <v>83</v>
      </c>
      <c r="Q328" s="587" t="s">
        <v>1575</v>
      </c>
      <c r="R328" s="586" t="s">
        <v>1576</v>
      </c>
      <c r="S328" s="586"/>
      <c r="T328" s="586"/>
      <c r="U328" s="641" t="s">
        <v>1577</v>
      </c>
      <c r="V328" s="641"/>
      <c r="W328" s="641"/>
      <c r="X328" s="661" t="s">
        <v>1578</v>
      </c>
      <c r="Y328" s="618" t="s">
        <v>243</v>
      </c>
      <c r="Z328" s="590">
        <v>5.7828</v>
      </c>
      <c r="AA328" s="591">
        <f t="shared" si="216"/>
        <v>693.936</v>
      </c>
      <c r="AB328" s="619" t="s">
        <v>1579</v>
      </c>
      <c r="AC328" s="582" t="s">
        <v>235</v>
      </c>
      <c r="AD328" s="593" t="s">
        <v>89</v>
      </c>
      <c r="AE328" s="628"/>
      <c r="AF328" s="628"/>
      <c r="AG328" s="595"/>
      <c r="AH328" s="628"/>
      <c r="AI328" s="628"/>
      <c r="AJ328" s="637">
        <f>I328</f>
        <v>120</v>
      </c>
      <c r="AK328" s="629"/>
      <c r="AL328" s="628"/>
      <c r="AM328" s="628"/>
      <c r="AN328" s="598">
        <f t="shared" ref="AN328:AN333" si="226">I328</f>
        <v>120</v>
      </c>
      <c r="AO328" s="621"/>
      <c r="AP328" s="630"/>
      <c r="AQ328" s="630"/>
      <c r="AR328" s="621"/>
      <c r="AS328" s="630"/>
      <c r="AT328" s="630"/>
      <c r="AU328" s="621">
        <f>I328</f>
        <v>120</v>
      </c>
      <c r="AV328" s="621"/>
      <c r="AW328" s="592">
        <f t="shared" si="217"/>
        <v>120</v>
      </c>
      <c r="AX328" s="621"/>
      <c r="AY328" s="621"/>
      <c r="AZ328" s="621"/>
      <c r="BA328" s="621"/>
      <c r="BB328" s="621"/>
      <c r="BC328" s="621"/>
      <c r="BD328" s="621"/>
      <c r="BE328" s="623"/>
      <c r="BF328" s="602" t="s">
        <v>90</v>
      </c>
      <c r="BG328" s="603"/>
      <c r="BH328" s="604">
        <f t="shared" si="218"/>
        <v>20</v>
      </c>
      <c r="BI328" s="605">
        <f t="shared" si="219"/>
        <v>20</v>
      </c>
      <c r="BJ328" s="602">
        <f t="shared" si="220"/>
        <v>20</v>
      </c>
      <c r="BK328" s="602">
        <f t="shared" si="221"/>
        <v>20</v>
      </c>
      <c r="BL328" s="602">
        <f t="shared" si="222"/>
        <v>20</v>
      </c>
      <c r="BM328" s="602">
        <f t="shared" si="223"/>
        <v>20</v>
      </c>
      <c r="BN328" s="631"/>
      <c r="BO328" s="631"/>
      <c r="BP328" s="631"/>
      <c r="BQ328" s="631"/>
      <c r="BR328" s="631"/>
      <c r="BS328" s="631"/>
      <c r="BT328" s="607">
        <f t="shared" si="224"/>
        <v>120</v>
      </c>
      <c r="BU328" s="608">
        <f t="shared" si="225"/>
        <v>0</v>
      </c>
      <c r="BV328" s="609"/>
      <c r="BW328" s="491"/>
    </row>
    <row r="329" s="490" customFormat="1" ht="33" customHeight="1" spans="1:75">
      <c r="A329" s="577">
        <v>45827</v>
      </c>
      <c r="B329" s="581" t="s">
        <v>1580</v>
      </c>
      <c r="C329" s="579" t="s">
        <v>441</v>
      </c>
      <c r="D329" s="580">
        <v>4500170252</v>
      </c>
      <c r="E329" s="616"/>
      <c r="F329" s="580" t="s">
        <v>1581</v>
      </c>
      <c r="G329" s="582" t="s">
        <v>969</v>
      </c>
      <c r="H329" s="578" t="s">
        <v>970</v>
      </c>
      <c r="I329" s="583">
        <v>21384</v>
      </c>
      <c r="J329" s="583">
        <v>0</v>
      </c>
      <c r="K329" s="583">
        <v>4</v>
      </c>
      <c r="L329" s="584">
        <f t="shared" si="200"/>
        <v>5346</v>
      </c>
      <c r="M329" s="585">
        <v>45859</v>
      </c>
      <c r="N329" s="585">
        <v>45898</v>
      </c>
      <c r="O329" s="586"/>
      <c r="P329" s="586" t="s">
        <v>83</v>
      </c>
      <c r="Q329" s="617" t="s">
        <v>1187</v>
      </c>
      <c r="R329" s="586" t="s">
        <v>1531</v>
      </c>
      <c r="S329" s="586"/>
      <c r="T329" s="586"/>
      <c r="U329" s="641" t="s">
        <v>1582</v>
      </c>
      <c r="V329" s="641"/>
      <c r="W329" s="641"/>
      <c r="X329" s="661" t="s">
        <v>1583</v>
      </c>
      <c r="Y329" s="618" t="s">
        <v>447</v>
      </c>
      <c r="Z329" s="590">
        <v>5.5042</v>
      </c>
      <c r="AA329" s="591">
        <f t="shared" si="216"/>
        <v>117701.8128</v>
      </c>
      <c r="AB329" s="619" t="s">
        <v>1584</v>
      </c>
      <c r="AC329" s="582" t="s">
        <v>1585</v>
      </c>
      <c r="AD329" s="593" t="s">
        <v>89</v>
      </c>
      <c r="AE329" s="628"/>
      <c r="AF329" s="628"/>
      <c r="AG329" s="595">
        <f>I329</f>
        <v>21384</v>
      </c>
      <c r="AH329" s="628"/>
      <c r="AI329" s="628"/>
      <c r="AJ329" s="595"/>
      <c r="AK329" s="629"/>
      <c r="AL329" s="628"/>
      <c r="AM329" s="628"/>
      <c r="AN329" s="598">
        <f t="shared" si="226"/>
        <v>21384</v>
      </c>
      <c r="AO329" s="621"/>
      <c r="AP329" s="630"/>
      <c r="AQ329" s="630"/>
      <c r="AR329" s="592">
        <f>I329</f>
        <v>21384</v>
      </c>
      <c r="AS329" s="630"/>
      <c r="AT329" s="630"/>
      <c r="AU329" s="621"/>
      <c r="AV329" s="621"/>
      <c r="AW329" s="592">
        <f t="shared" si="217"/>
        <v>21384</v>
      </c>
      <c r="AX329" s="621"/>
      <c r="AY329" s="621"/>
      <c r="AZ329" s="621"/>
      <c r="BA329" s="621"/>
      <c r="BB329" s="621"/>
      <c r="BC329" s="621"/>
      <c r="BD329" s="621"/>
      <c r="BE329" s="623"/>
      <c r="BF329" s="602" t="s">
        <v>90</v>
      </c>
      <c r="BG329" s="603"/>
      <c r="BH329" s="662">
        <f t="shared" si="218"/>
        <v>3564</v>
      </c>
      <c r="BI329" s="605">
        <f t="shared" si="219"/>
        <v>3564</v>
      </c>
      <c r="BJ329" s="605">
        <f t="shared" si="220"/>
        <v>3564</v>
      </c>
      <c r="BK329" s="605">
        <f t="shared" si="221"/>
        <v>3564</v>
      </c>
      <c r="BL329" s="605">
        <f t="shared" si="222"/>
        <v>3564</v>
      </c>
      <c r="BM329" s="605">
        <f t="shared" si="223"/>
        <v>3564</v>
      </c>
      <c r="BN329" s="631"/>
      <c r="BO329" s="631"/>
      <c r="BP329" s="631"/>
      <c r="BQ329" s="631"/>
      <c r="BR329" s="631"/>
      <c r="BS329" s="631"/>
      <c r="BT329" s="607">
        <f t="shared" si="224"/>
        <v>21384</v>
      </c>
      <c r="BU329" s="608">
        <f t="shared" si="225"/>
        <v>0</v>
      </c>
      <c r="BV329" s="609"/>
      <c r="BW329" s="491"/>
    </row>
    <row r="330" s="490" customFormat="1" ht="33" customHeight="1" spans="1:75">
      <c r="A330" s="577">
        <v>45860</v>
      </c>
      <c r="B330" s="581" t="s">
        <v>1586</v>
      </c>
      <c r="C330" s="579" t="s">
        <v>92</v>
      </c>
      <c r="D330" s="580">
        <v>4500174573</v>
      </c>
      <c r="E330" s="588">
        <v>1617212</v>
      </c>
      <c r="F330" s="580" t="s">
        <v>1587</v>
      </c>
      <c r="G330" s="582" t="s">
        <v>81</v>
      </c>
      <c r="H330" s="578" t="s">
        <v>95</v>
      </c>
      <c r="I330" s="583">
        <v>240</v>
      </c>
      <c r="J330" s="583">
        <v>0</v>
      </c>
      <c r="K330" s="583">
        <v>6</v>
      </c>
      <c r="L330" s="584">
        <f t="shared" si="200"/>
        <v>40</v>
      </c>
      <c r="M330" s="585">
        <v>45903</v>
      </c>
      <c r="N330" s="610">
        <f>M330-4</f>
        <v>45899</v>
      </c>
      <c r="O330" s="586"/>
      <c r="P330" s="586" t="s">
        <v>83</v>
      </c>
      <c r="Q330" s="587" t="s">
        <v>1553</v>
      </c>
      <c r="R330" s="586" t="s">
        <v>1588</v>
      </c>
      <c r="S330" s="586"/>
      <c r="T330" s="586"/>
      <c r="U330" s="641" t="s">
        <v>86</v>
      </c>
      <c r="V330" s="641" t="s">
        <v>1589</v>
      </c>
      <c r="W330" s="641"/>
      <c r="X330" s="661" t="s">
        <v>1590</v>
      </c>
      <c r="Y330" s="618" t="s">
        <v>1591</v>
      </c>
      <c r="Z330" s="590">
        <v>3.3608</v>
      </c>
      <c r="AA330" s="591">
        <f t="shared" si="216"/>
        <v>806.592</v>
      </c>
      <c r="AB330" s="619" t="s">
        <v>1592</v>
      </c>
      <c r="AC330" s="582" t="s">
        <v>81</v>
      </c>
      <c r="AD330" s="593" t="s">
        <v>89</v>
      </c>
      <c r="AE330" s="628"/>
      <c r="AF330" s="628"/>
      <c r="AG330" s="595">
        <f>I330</f>
        <v>240</v>
      </c>
      <c r="AH330" s="628"/>
      <c r="AI330" s="628"/>
      <c r="AJ330" s="589"/>
      <c r="AK330" s="629"/>
      <c r="AL330" s="628"/>
      <c r="AM330" s="628"/>
      <c r="AN330" s="598">
        <f t="shared" si="226"/>
        <v>240</v>
      </c>
      <c r="AO330" s="621"/>
      <c r="AP330" s="630"/>
      <c r="AQ330" s="630"/>
      <c r="AR330" s="621">
        <f>I330</f>
        <v>240</v>
      </c>
      <c r="AS330" s="630"/>
      <c r="AT330" s="630"/>
      <c r="AU330" s="621"/>
      <c r="AV330" s="621"/>
      <c r="AW330" s="592">
        <f t="shared" si="217"/>
        <v>240</v>
      </c>
      <c r="AX330" s="621"/>
      <c r="AY330" s="621"/>
      <c r="AZ330" s="621"/>
      <c r="BA330" s="621"/>
      <c r="BB330" s="621"/>
      <c r="BC330" s="621"/>
      <c r="BD330" s="621"/>
      <c r="BE330" s="623"/>
      <c r="BF330" s="602" t="s">
        <v>90</v>
      </c>
      <c r="BG330" s="603"/>
      <c r="BH330" s="604">
        <f t="shared" si="218"/>
        <v>40</v>
      </c>
      <c r="BI330" s="605">
        <f t="shared" si="219"/>
        <v>40</v>
      </c>
      <c r="BJ330" s="602">
        <f t="shared" si="220"/>
        <v>40</v>
      </c>
      <c r="BK330" s="602">
        <f t="shared" si="221"/>
        <v>40</v>
      </c>
      <c r="BL330" s="602">
        <f t="shared" si="222"/>
        <v>40</v>
      </c>
      <c r="BM330" s="602">
        <f t="shared" si="223"/>
        <v>40</v>
      </c>
      <c r="BN330" s="631"/>
      <c r="BO330" s="631"/>
      <c r="BP330" s="631"/>
      <c r="BQ330" s="631"/>
      <c r="BR330" s="631"/>
      <c r="BS330" s="631"/>
      <c r="BT330" s="607">
        <f t="shared" si="224"/>
        <v>240</v>
      </c>
      <c r="BU330" s="608">
        <f t="shared" si="225"/>
        <v>0</v>
      </c>
      <c r="BV330" s="609"/>
      <c r="BW330" s="491"/>
    </row>
    <row r="331" s="490" customFormat="1" ht="33" customHeight="1" spans="1:75">
      <c r="A331" s="577">
        <v>45860</v>
      </c>
      <c r="B331" s="581" t="s">
        <v>1586</v>
      </c>
      <c r="C331" s="579" t="s">
        <v>92</v>
      </c>
      <c r="D331" s="580">
        <v>4500174571</v>
      </c>
      <c r="E331" s="616">
        <v>1617210</v>
      </c>
      <c r="F331" s="580" t="s">
        <v>1593</v>
      </c>
      <c r="G331" s="582" t="s">
        <v>81</v>
      </c>
      <c r="H331" s="578" t="s">
        <v>95</v>
      </c>
      <c r="I331" s="583">
        <v>480</v>
      </c>
      <c r="J331" s="583">
        <v>0</v>
      </c>
      <c r="K331" s="583">
        <v>6</v>
      </c>
      <c r="L331" s="584">
        <f t="shared" si="200"/>
        <v>80</v>
      </c>
      <c r="M331" s="585">
        <v>45903</v>
      </c>
      <c r="N331" s="610">
        <f>M331-4</f>
        <v>45899</v>
      </c>
      <c r="O331" s="586"/>
      <c r="P331" s="586" t="s">
        <v>83</v>
      </c>
      <c r="Q331" s="587" t="s">
        <v>1568</v>
      </c>
      <c r="R331" s="586" t="s">
        <v>1588</v>
      </c>
      <c r="S331" s="586"/>
      <c r="T331" s="586"/>
      <c r="U331" s="641" t="s">
        <v>86</v>
      </c>
      <c r="V331" s="641" t="s">
        <v>1589</v>
      </c>
      <c r="W331" s="641"/>
      <c r="X331" s="661" t="s">
        <v>1590</v>
      </c>
      <c r="Y331" s="618" t="s">
        <v>1591</v>
      </c>
      <c r="Z331" s="590">
        <v>3.3608</v>
      </c>
      <c r="AA331" s="591">
        <f t="shared" si="216"/>
        <v>1613.184</v>
      </c>
      <c r="AB331" s="619" t="s">
        <v>1594</v>
      </c>
      <c r="AC331" s="582" t="s">
        <v>81</v>
      </c>
      <c r="AD331" s="593" t="s">
        <v>89</v>
      </c>
      <c r="AE331" s="628"/>
      <c r="AF331" s="628"/>
      <c r="AG331" s="595">
        <f>I331</f>
        <v>480</v>
      </c>
      <c r="AH331" s="628"/>
      <c r="AI331" s="628"/>
      <c r="AJ331" s="589"/>
      <c r="AK331" s="629"/>
      <c r="AL331" s="628"/>
      <c r="AM331" s="628"/>
      <c r="AN331" s="598">
        <f t="shared" si="226"/>
        <v>480</v>
      </c>
      <c r="AO331" s="621"/>
      <c r="AP331" s="630"/>
      <c r="AQ331" s="630"/>
      <c r="AR331" s="621">
        <f>I331</f>
        <v>480</v>
      </c>
      <c r="AS331" s="630"/>
      <c r="AT331" s="630"/>
      <c r="AU331" s="621"/>
      <c r="AV331" s="621"/>
      <c r="AW331" s="592">
        <f t="shared" si="217"/>
        <v>480</v>
      </c>
      <c r="AX331" s="621"/>
      <c r="AY331" s="621"/>
      <c r="AZ331" s="621"/>
      <c r="BA331" s="621"/>
      <c r="BB331" s="621"/>
      <c r="BC331" s="621"/>
      <c r="BD331" s="621"/>
      <c r="BE331" s="623"/>
      <c r="BF331" s="602" t="s">
        <v>90</v>
      </c>
      <c r="BG331" s="603"/>
      <c r="BH331" s="604">
        <f t="shared" si="218"/>
        <v>80</v>
      </c>
      <c r="BI331" s="605">
        <f t="shared" si="219"/>
        <v>80</v>
      </c>
      <c r="BJ331" s="602">
        <f t="shared" si="220"/>
        <v>80</v>
      </c>
      <c r="BK331" s="602">
        <f t="shared" si="221"/>
        <v>80</v>
      </c>
      <c r="BL331" s="602">
        <f t="shared" si="222"/>
        <v>80</v>
      </c>
      <c r="BM331" s="602">
        <f t="shared" si="223"/>
        <v>80</v>
      </c>
      <c r="BN331" s="631"/>
      <c r="BO331" s="631"/>
      <c r="BP331" s="631"/>
      <c r="BQ331" s="631"/>
      <c r="BR331" s="631"/>
      <c r="BS331" s="631"/>
      <c r="BT331" s="607">
        <f t="shared" si="224"/>
        <v>480</v>
      </c>
      <c r="BU331" s="608">
        <f t="shared" si="225"/>
        <v>0</v>
      </c>
      <c r="BV331" s="609"/>
      <c r="BW331" s="491"/>
    </row>
    <row r="332" s="490" customFormat="1" ht="33" customHeight="1" spans="1:75">
      <c r="A332" s="577">
        <v>45860</v>
      </c>
      <c r="B332" s="581" t="s">
        <v>1586</v>
      </c>
      <c r="C332" s="579" t="s">
        <v>92</v>
      </c>
      <c r="D332" s="580">
        <v>4500174627</v>
      </c>
      <c r="E332" s="588">
        <v>588001</v>
      </c>
      <c r="F332" s="580" t="s">
        <v>1595</v>
      </c>
      <c r="G332" s="582" t="s">
        <v>81</v>
      </c>
      <c r="H332" s="578" t="s">
        <v>95</v>
      </c>
      <c r="I332" s="583">
        <v>360</v>
      </c>
      <c r="J332" s="583">
        <v>0</v>
      </c>
      <c r="K332" s="583">
        <v>6</v>
      </c>
      <c r="L332" s="584">
        <f t="shared" si="200"/>
        <v>60</v>
      </c>
      <c r="M332" s="585">
        <v>45903</v>
      </c>
      <c r="N332" s="610">
        <f>M332-4</f>
        <v>45899</v>
      </c>
      <c r="O332" s="586"/>
      <c r="P332" s="586" t="s">
        <v>83</v>
      </c>
      <c r="Q332" s="587" t="s">
        <v>1568</v>
      </c>
      <c r="R332" s="586" t="s">
        <v>1588</v>
      </c>
      <c r="S332" s="586"/>
      <c r="T332" s="586"/>
      <c r="U332" s="641" t="s">
        <v>86</v>
      </c>
      <c r="V332" s="641" t="s">
        <v>1596</v>
      </c>
      <c r="W332" s="641"/>
      <c r="X332" s="661" t="s">
        <v>1597</v>
      </c>
      <c r="Y332" s="618" t="s">
        <v>1591</v>
      </c>
      <c r="Z332" s="590">
        <v>3.4697</v>
      </c>
      <c r="AA332" s="591">
        <f t="shared" si="216"/>
        <v>1249.092</v>
      </c>
      <c r="AB332" s="619" t="s">
        <v>1598</v>
      </c>
      <c r="AC332" s="582" t="s">
        <v>81</v>
      </c>
      <c r="AD332" s="593" t="s">
        <v>89</v>
      </c>
      <c r="AE332" s="628"/>
      <c r="AF332" s="628"/>
      <c r="AG332" s="595">
        <f>I332</f>
        <v>360</v>
      </c>
      <c r="AH332" s="628"/>
      <c r="AI332" s="628"/>
      <c r="AJ332" s="589"/>
      <c r="AK332" s="629"/>
      <c r="AL332" s="628"/>
      <c r="AM332" s="628"/>
      <c r="AN332" s="598">
        <f t="shared" si="226"/>
        <v>360</v>
      </c>
      <c r="AO332" s="621"/>
      <c r="AP332" s="630"/>
      <c r="AQ332" s="630"/>
      <c r="AR332" s="621">
        <f>I332</f>
        <v>360</v>
      </c>
      <c r="AS332" s="630"/>
      <c r="AT332" s="630"/>
      <c r="AU332" s="621"/>
      <c r="AV332" s="621"/>
      <c r="AW332" s="592">
        <f t="shared" si="217"/>
        <v>360</v>
      </c>
      <c r="AX332" s="621"/>
      <c r="AY332" s="621"/>
      <c r="AZ332" s="621"/>
      <c r="BA332" s="621"/>
      <c r="BB332" s="621"/>
      <c r="BC332" s="621"/>
      <c r="BD332" s="621"/>
      <c r="BE332" s="623"/>
      <c r="BF332" s="602" t="s">
        <v>90</v>
      </c>
      <c r="BG332" s="603"/>
      <c r="BH332" s="604">
        <f t="shared" si="218"/>
        <v>60</v>
      </c>
      <c r="BI332" s="605">
        <f t="shared" si="219"/>
        <v>60</v>
      </c>
      <c r="BJ332" s="602">
        <f t="shared" si="220"/>
        <v>60</v>
      </c>
      <c r="BK332" s="602">
        <f t="shared" si="221"/>
        <v>60</v>
      </c>
      <c r="BL332" s="602">
        <f t="shared" si="222"/>
        <v>60</v>
      </c>
      <c r="BM332" s="602">
        <f t="shared" si="223"/>
        <v>60</v>
      </c>
      <c r="BN332" s="631"/>
      <c r="BO332" s="631"/>
      <c r="BP332" s="631"/>
      <c r="BQ332" s="631"/>
      <c r="BR332" s="631"/>
      <c r="BS332" s="631"/>
      <c r="BT332" s="607">
        <f t="shared" si="224"/>
        <v>360</v>
      </c>
      <c r="BU332" s="608">
        <f t="shared" si="225"/>
        <v>0</v>
      </c>
      <c r="BV332" s="609"/>
      <c r="BW332" s="491"/>
    </row>
    <row r="333" s="490" customFormat="1" ht="33" customHeight="1" spans="1:75">
      <c r="A333" s="577">
        <v>45883</v>
      </c>
      <c r="B333" s="581" t="s">
        <v>885</v>
      </c>
      <c r="C333" s="579" t="s">
        <v>92</v>
      </c>
      <c r="D333" s="580">
        <v>4500175910</v>
      </c>
      <c r="E333" s="588">
        <v>935462311</v>
      </c>
      <c r="F333" s="580" t="s">
        <v>1599</v>
      </c>
      <c r="G333" s="582" t="s">
        <v>155</v>
      </c>
      <c r="H333" s="578" t="s">
        <v>156</v>
      </c>
      <c r="I333" s="583">
        <v>1080</v>
      </c>
      <c r="J333" s="583">
        <v>1</v>
      </c>
      <c r="K333" s="583">
        <v>108</v>
      </c>
      <c r="L333" s="584">
        <f t="shared" si="200"/>
        <v>10</v>
      </c>
      <c r="M333" s="585">
        <v>45905</v>
      </c>
      <c r="N333" s="585">
        <v>45901</v>
      </c>
      <c r="O333" s="586" t="s">
        <v>1600</v>
      </c>
      <c r="P333" s="586" t="s">
        <v>83</v>
      </c>
      <c r="Q333" s="587" t="s">
        <v>96</v>
      </c>
      <c r="R333" s="586" t="s">
        <v>664</v>
      </c>
      <c r="S333" s="586"/>
      <c r="T333" s="586"/>
      <c r="U333" s="641" t="s">
        <v>665</v>
      </c>
      <c r="V333" s="641" t="s">
        <v>1601</v>
      </c>
      <c r="W333" s="641"/>
      <c r="X333" s="661" t="s">
        <v>1602</v>
      </c>
      <c r="Y333" s="618" t="s">
        <v>1603</v>
      </c>
      <c r="Z333" s="590">
        <v>383.215</v>
      </c>
      <c r="AA333" s="591">
        <f>Z333*L333</f>
        <v>3832.15</v>
      </c>
      <c r="AB333" s="619" t="s">
        <v>1604</v>
      </c>
      <c r="AC333" s="638" t="s">
        <v>155</v>
      </c>
      <c r="AD333" s="593" t="s">
        <v>89</v>
      </c>
      <c r="AE333" s="628"/>
      <c r="AF333" s="628"/>
      <c r="AG333" s="595">
        <f>I333</f>
        <v>1080</v>
      </c>
      <c r="AH333" s="628"/>
      <c r="AI333" s="628"/>
      <c r="AJ333" s="589"/>
      <c r="AK333" s="629"/>
      <c r="AL333" s="628"/>
      <c r="AM333" s="628"/>
      <c r="AN333" s="598">
        <f t="shared" si="226"/>
        <v>1080</v>
      </c>
      <c r="AO333" s="621"/>
      <c r="AP333" s="630"/>
      <c r="AQ333" s="630"/>
      <c r="AR333" s="621">
        <f>I333</f>
        <v>1080</v>
      </c>
      <c r="AS333" s="630"/>
      <c r="AT333" s="630"/>
      <c r="AU333" s="621"/>
      <c r="AV333" s="621"/>
      <c r="AW333" s="592">
        <f t="shared" si="217"/>
        <v>1080</v>
      </c>
      <c r="AX333" s="621"/>
      <c r="AY333" s="621"/>
      <c r="AZ333" s="621"/>
      <c r="BA333" s="621"/>
      <c r="BB333" s="621"/>
      <c r="BC333" s="621"/>
      <c r="BD333" s="621"/>
      <c r="BE333" s="623"/>
      <c r="BF333" s="602" t="s">
        <v>90</v>
      </c>
      <c r="BG333" s="603"/>
      <c r="BH333" s="632">
        <f t="shared" si="218"/>
        <v>180</v>
      </c>
      <c r="BI333" s="633">
        <f t="shared" si="219"/>
        <v>180</v>
      </c>
      <c r="BJ333" s="633">
        <f t="shared" si="220"/>
        <v>180</v>
      </c>
      <c r="BK333" s="633">
        <f t="shared" si="221"/>
        <v>180</v>
      </c>
      <c r="BL333" s="633">
        <f t="shared" si="222"/>
        <v>180</v>
      </c>
      <c r="BM333" s="633">
        <f t="shared" si="223"/>
        <v>180</v>
      </c>
      <c r="BN333" s="631"/>
      <c r="BO333" s="631"/>
      <c r="BP333" s="631"/>
      <c r="BQ333" s="631"/>
      <c r="BR333" s="631"/>
      <c r="BS333" s="631"/>
      <c r="BT333" s="607">
        <f t="shared" si="224"/>
        <v>1080</v>
      </c>
      <c r="BU333" s="608">
        <f t="shared" si="225"/>
        <v>0</v>
      </c>
      <c r="BV333" s="609"/>
      <c r="BW333" s="491"/>
    </row>
    <row r="334" s="490" customFormat="1" ht="33" customHeight="1" spans="1:75">
      <c r="A334" s="577">
        <v>45866</v>
      </c>
      <c r="B334" s="581" t="s">
        <v>254</v>
      </c>
      <c r="C334" s="579" t="s">
        <v>255</v>
      </c>
      <c r="D334" s="580">
        <v>4500175177</v>
      </c>
      <c r="E334" s="588">
        <v>21038311</v>
      </c>
      <c r="F334" s="580" t="s">
        <v>1605</v>
      </c>
      <c r="G334" s="582" t="s">
        <v>81</v>
      </c>
      <c r="H334" s="578" t="s">
        <v>95</v>
      </c>
      <c r="I334" s="583">
        <v>2196</v>
      </c>
      <c r="J334" s="583">
        <v>0</v>
      </c>
      <c r="K334" s="583">
        <v>6</v>
      </c>
      <c r="L334" s="584">
        <f t="shared" si="200"/>
        <v>366</v>
      </c>
      <c r="M334" s="585">
        <v>45908</v>
      </c>
      <c r="N334" s="585">
        <v>45904</v>
      </c>
      <c r="O334" s="586"/>
      <c r="P334" s="586" t="s">
        <v>83</v>
      </c>
      <c r="Q334" s="587" t="s">
        <v>1606</v>
      </c>
      <c r="R334" s="586" t="s">
        <v>1607</v>
      </c>
      <c r="S334" s="586"/>
      <c r="T334" s="586"/>
      <c r="U334" s="641" t="s">
        <v>1608</v>
      </c>
      <c r="V334" s="641"/>
      <c r="W334" s="641"/>
      <c r="X334" s="661" t="s">
        <v>1609</v>
      </c>
      <c r="Y334" s="618" t="s">
        <v>252</v>
      </c>
      <c r="Z334" s="590">
        <v>6.1607</v>
      </c>
      <c r="AA334" s="591">
        <f t="shared" ref="AA334:AA346" si="227">Z334*I334</f>
        <v>13528.8972</v>
      </c>
      <c r="AB334" s="619" t="s">
        <v>1610</v>
      </c>
      <c r="AC334" s="582" t="s">
        <v>81</v>
      </c>
      <c r="AD334" s="593" t="s">
        <v>89</v>
      </c>
      <c r="AE334" s="628"/>
      <c r="AF334" s="628"/>
      <c r="AG334" s="595">
        <f t="shared" ref="AG334:AG340" si="228">I334</f>
        <v>2196</v>
      </c>
      <c r="AH334" s="628"/>
      <c r="AI334" s="628"/>
      <c r="AJ334" s="589"/>
      <c r="AK334" s="629"/>
      <c r="AL334" s="628"/>
      <c r="AM334" s="628"/>
      <c r="AN334" s="598">
        <f t="shared" ref="AN334:AN340" si="229">I334</f>
        <v>2196</v>
      </c>
      <c r="AO334" s="621"/>
      <c r="AP334" s="630"/>
      <c r="AQ334" s="630"/>
      <c r="AR334" s="621">
        <f t="shared" ref="AR334:AR340" si="230">I334</f>
        <v>2196</v>
      </c>
      <c r="AS334" s="630"/>
      <c r="AT334" s="630"/>
      <c r="AU334" s="621"/>
      <c r="AV334" s="621"/>
      <c r="AW334" s="592">
        <f t="shared" si="217"/>
        <v>2196</v>
      </c>
      <c r="AX334" s="621"/>
      <c r="AY334" s="621"/>
      <c r="AZ334" s="621"/>
      <c r="BA334" s="621"/>
      <c r="BB334" s="621"/>
      <c r="BC334" s="621"/>
      <c r="BD334" s="621"/>
      <c r="BE334" s="623"/>
      <c r="BF334" s="602" t="s">
        <v>90</v>
      </c>
      <c r="BG334" s="603"/>
      <c r="BH334" s="604">
        <f t="shared" si="218"/>
        <v>366</v>
      </c>
      <c r="BI334" s="605">
        <f t="shared" si="219"/>
        <v>366</v>
      </c>
      <c r="BJ334" s="602">
        <f t="shared" si="220"/>
        <v>366</v>
      </c>
      <c r="BK334" s="602">
        <f t="shared" si="221"/>
        <v>366</v>
      </c>
      <c r="BL334" s="602">
        <f t="shared" si="222"/>
        <v>366</v>
      </c>
      <c r="BM334" s="602">
        <f t="shared" si="223"/>
        <v>366</v>
      </c>
      <c r="BN334" s="631"/>
      <c r="BO334" s="631"/>
      <c r="BP334" s="631"/>
      <c r="BQ334" s="631"/>
      <c r="BR334" s="631"/>
      <c r="BS334" s="631"/>
      <c r="BT334" s="607">
        <f t="shared" si="224"/>
        <v>2196</v>
      </c>
      <c r="BU334" s="608">
        <f t="shared" si="225"/>
        <v>0</v>
      </c>
      <c r="BV334" s="609"/>
      <c r="BW334" s="491"/>
    </row>
    <row r="335" s="490" customFormat="1" ht="33" customHeight="1" spans="1:75">
      <c r="A335" s="577">
        <v>45866</v>
      </c>
      <c r="B335" s="581" t="s">
        <v>563</v>
      </c>
      <c r="C335" s="579" t="s">
        <v>255</v>
      </c>
      <c r="D335" s="580">
        <v>4500175221</v>
      </c>
      <c r="E335" s="588">
        <v>2465896</v>
      </c>
      <c r="F335" s="580" t="s">
        <v>1611</v>
      </c>
      <c r="G335" s="582" t="s">
        <v>81</v>
      </c>
      <c r="H335" s="578" t="s">
        <v>95</v>
      </c>
      <c r="I335" s="583">
        <v>1500</v>
      </c>
      <c r="J335" s="583">
        <v>0</v>
      </c>
      <c r="K335" s="583">
        <v>6</v>
      </c>
      <c r="L335" s="584">
        <f t="shared" si="200"/>
        <v>250</v>
      </c>
      <c r="M335" s="585">
        <v>45908</v>
      </c>
      <c r="N335" s="585">
        <v>45904</v>
      </c>
      <c r="O335" s="586"/>
      <c r="P335" s="586" t="s">
        <v>83</v>
      </c>
      <c r="Q335" s="587" t="s">
        <v>1606</v>
      </c>
      <c r="R335" s="586" t="s">
        <v>1612</v>
      </c>
      <c r="S335" s="586"/>
      <c r="T335" s="586"/>
      <c r="U335" s="641" t="s">
        <v>1613</v>
      </c>
      <c r="V335" s="641"/>
      <c r="W335" s="641"/>
      <c r="X335" s="661" t="s">
        <v>1614</v>
      </c>
      <c r="Y335" s="618" t="s">
        <v>464</v>
      </c>
      <c r="Z335" s="590">
        <v>6.1607</v>
      </c>
      <c r="AA335" s="591">
        <f t="shared" si="227"/>
        <v>9241.05</v>
      </c>
      <c r="AB335" s="619" t="s">
        <v>1615</v>
      </c>
      <c r="AC335" s="582" t="s">
        <v>81</v>
      </c>
      <c r="AD335" s="593" t="s">
        <v>89</v>
      </c>
      <c r="AE335" s="628"/>
      <c r="AF335" s="628"/>
      <c r="AG335" s="595">
        <f t="shared" si="228"/>
        <v>1500</v>
      </c>
      <c r="AH335" s="628"/>
      <c r="AI335" s="628"/>
      <c r="AJ335" s="589"/>
      <c r="AK335" s="629"/>
      <c r="AL335" s="628"/>
      <c r="AM335" s="628"/>
      <c r="AN335" s="598">
        <f t="shared" si="229"/>
        <v>1500</v>
      </c>
      <c r="AO335" s="621"/>
      <c r="AP335" s="630"/>
      <c r="AQ335" s="630"/>
      <c r="AR335" s="621">
        <f t="shared" si="230"/>
        <v>1500</v>
      </c>
      <c r="AS335" s="630"/>
      <c r="AT335" s="630"/>
      <c r="AU335" s="621"/>
      <c r="AV335" s="621"/>
      <c r="AW335" s="592">
        <f t="shared" si="217"/>
        <v>1500</v>
      </c>
      <c r="AX335" s="621"/>
      <c r="AY335" s="621"/>
      <c r="AZ335" s="621"/>
      <c r="BA335" s="621"/>
      <c r="BB335" s="621"/>
      <c r="BC335" s="621"/>
      <c r="BD335" s="621"/>
      <c r="BE335" s="623"/>
      <c r="BF335" s="602" t="s">
        <v>90</v>
      </c>
      <c r="BG335" s="603"/>
      <c r="BH335" s="604">
        <f t="shared" si="218"/>
        <v>250</v>
      </c>
      <c r="BI335" s="605">
        <f t="shared" si="219"/>
        <v>250</v>
      </c>
      <c r="BJ335" s="602">
        <f t="shared" si="220"/>
        <v>250</v>
      </c>
      <c r="BK335" s="602">
        <f t="shared" si="221"/>
        <v>250</v>
      </c>
      <c r="BL335" s="602">
        <f t="shared" si="222"/>
        <v>250</v>
      </c>
      <c r="BM335" s="602">
        <f t="shared" si="223"/>
        <v>250</v>
      </c>
      <c r="BN335" s="631"/>
      <c r="BO335" s="631"/>
      <c r="BP335" s="631"/>
      <c r="BQ335" s="631"/>
      <c r="BR335" s="631"/>
      <c r="BS335" s="631"/>
      <c r="BT335" s="607">
        <f t="shared" si="224"/>
        <v>1500</v>
      </c>
      <c r="BU335" s="608">
        <f t="shared" si="225"/>
        <v>0</v>
      </c>
      <c r="BV335" s="609"/>
      <c r="BW335" s="491"/>
    </row>
    <row r="336" s="490" customFormat="1" ht="33" customHeight="1" spans="1:75">
      <c r="A336" s="577">
        <v>45839</v>
      </c>
      <c r="B336" s="581" t="s">
        <v>166</v>
      </c>
      <c r="C336" s="579" t="s">
        <v>92</v>
      </c>
      <c r="D336" s="580">
        <v>4500172226</v>
      </c>
      <c r="E336" s="588">
        <v>60238516</v>
      </c>
      <c r="F336" s="580" t="s">
        <v>1616</v>
      </c>
      <c r="G336" s="582" t="s">
        <v>81</v>
      </c>
      <c r="H336" s="578" t="s">
        <v>95</v>
      </c>
      <c r="I336" s="583">
        <v>4002</v>
      </c>
      <c r="J336" s="583">
        <v>0</v>
      </c>
      <c r="K336" s="583">
        <v>6</v>
      </c>
      <c r="L336" s="584">
        <f t="shared" si="200"/>
        <v>667</v>
      </c>
      <c r="M336" s="585">
        <v>45908</v>
      </c>
      <c r="N336" s="585">
        <v>45904</v>
      </c>
      <c r="O336" s="586"/>
      <c r="P336" s="586" t="s">
        <v>83</v>
      </c>
      <c r="Q336" s="587" t="s">
        <v>1617</v>
      </c>
      <c r="R336" s="586" t="s">
        <v>169</v>
      </c>
      <c r="S336" s="586"/>
      <c r="T336" s="586"/>
      <c r="U336" s="641" t="s">
        <v>1596</v>
      </c>
      <c r="V336" s="641"/>
      <c r="W336" s="641"/>
      <c r="X336" s="661" t="s">
        <v>1618</v>
      </c>
      <c r="Y336" s="618" t="s">
        <v>398</v>
      </c>
      <c r="Z336" s="590">
        <v>3.4588</v>
      </c>
      <c r="AA336" s="591">
        <f t="shared" si="227"/>
        <v>13842.1176</v>
      </c>
      <c r="AB336" s="619" t="s">
        <v>1619</v>
      </c>
      <c r="AC336" s="582" t="s">
        <v>81</v>
      </c>
      <c r="AD336" s="593" t="s">
        <v>89</v>
      </c>
      <c r="AE336" s="589"/>
      <c r="AF336" s="589"/>
      <c r="AG336" s="595">
        <f t="shared" si="228"/>
        <v>4002</v>
      </c>
      <c r="AH336" s="589"/>
      <c r="AI336" s="589"/>
      <c r="AJ336" s="589"/>
      <c r="AK336" s="629"/>
      <c r="AL336" s="589"/>
      <c r="AM336" s="589"/>
      <c r="AN336" s="598">
        <f t="shared" si="229"/>
        <v>4002</v>
      </c>
      <c r="AO336" s="621"/>
      <c r="AP336" s="621"/>
      <c r="AQ336" s="621"/>
      <c r="AR336" s="621">
        <f t="shared" si="230"/>
        <v>4002</v>
      </c>
      <c r="AS336" s="621"/>
      <c r="AT336" s="621"/>
      <c r="AU336" s="621"/>
      <c r="AV336" s="621"/>
      <c r="AW336" s="592">
        <f t="shared" si="217"/>
        <v>4002</v>
      </c>
      <c r="AX336" s="621"/>
      <c r="AY336" s="621"/>
      <c r="AZ336" s="621"/>
      <c r="BA336" s="621"/>
      <c r="BB336" s="621"/>
      <c r="BC336" s="621"/>
      <c r="BD336" s="621"/>
      <c r="BE336" s="623"/>
      <c r="BF336" s="602" t="s">
        <v>90</v>
      </c>
      <c r="BG336" s="603"/>
      <c r="BH336" s="604">
        <f t="shared" si="218"/>
        <v>667</v>
      </c>
      <c r="BI336" s="605">
        <f t="shared" si="219"/>
        <v>667</v>
      </c>
      <c r="BJ336" s="602">
        <f t="shared" si="220"/>
        <v>667</v>
      </c>
      <c r="BK336" s="602">
        <f t="shared" si="221"/>
        <v>667</v>
      </c>
      <c r="BL336" s="602">
        <f t="shared" si="222"/>
        <v>667</v>
      </c>
      <c r="BM336" s="602">
        <f t="shared" si="223"/>
        <v>667</v>
      </c>
      <c r="BN336" s="605"/>
      <c r="BO336" s="605"/>
      <c r="BP336" s="605"/>
      <c r="BQ336" s="605"/>
      <c r="BR336" s="605"/>
      <c r="BS336" s="605"/>
      <c r="BT336" s="607">
        <f t="shared" si="224"/>
        <v>4002</v>
      </c>
      <c r="BU336" s="608">
        <f t="shared" si="225"/>
        <v>0</v>
      </c>
      <c r="BV336" s="491"/>
      <c r="BW336" s="491"/>
    </row>
    <row r="337" s="490" customFormat="1" ht="33" customHeight="1" spans="1:75">
      <c r="A337" s="577">
        <v>45870</v>
      </c>
      <c r="B337" s="581" t="s">
        <v>1477</v>
      </c>
      <c r="C337" s="579" t="s">
        <v>334</v>
      </c>
      <c r="D337" s="580">
        <v>4500175843</v>
      </c>
      <c r="E337" s="616"/>
      <c r="F337" s="580" t="s">
        <v>1620</v>
      </c>
      <c r="G337" s="582" t="s">
        <v>1621</v>
      </c>
      <c r="H337" s="578" t="s">
        <v>1622</v>
      </c>
      <c r="I337" s="583">
        <v>84</v>
      </c>
      <c r="J337" s="583">
        <v>0</v>
      </c>
      <c r="K337" s="583">
        <v>6</v>
      </c>
      <c r="L337" s="584">
        <f t="shared" si="200"/>
        <v>14</v>
      </c>
      <c r="M337" s="585">
        <v>45912</v>
      </c>
      <c r="N337" s="585">
        <v>45908</v>
      </c>
      <c r="O337" s="586"/>
      <c r="P337" s="586" t="s">
        <v>83</v>
      </c>
      <c r="Q337" s="587" t="s">
        <v>1623</v>
      </c>
      <c r="R337" s="586" t="s">
        <v>1624</v>
      </c>
      <c r="S337" s="586"/>
      <c r="T337" s="586"/>
      <c r="U337" s="641" t="s">
        <v>1625</v>
      </c>
      <c r="V337" s="641"/>
      <c r="W337" s="641"/>
      <c r="X337" s="661" t="s">
        <v>1626</v>
      </c>
      <c r="Y337" s="618" t="s">
        <v>340</v>
      </c>
      <c r="Z337" s="590">
        <v>5.3325</v>
      </c>
      <c r="AA337" s="591">
        <f t="shared" si="227"/>
        <v>447.93</v>
      </c>
      <c r="AB337" s="619" t="s">
        <v>1627</v>
      </c>
      <c r="AC337" s="582" t="s">
        <v>1621</v>
      </c>
      <c r="AD337" s="593" t="s">
        <v>89</v>
      </c>
      <c r="AE337" s="589"/>
      <c r="AF337" s="589"/>
      <c r="AG337" s="595"/>
      <c r="AH337" s="589"/>
      <c r="AI337" s="589"/>
      <c r="AJ337" s="637">
        <f>I337</f>
        <v>84</v>
      </c>
      <c r="AK337" s="629"/>
      <c r="AL337" s="589"/>
      <c r="AM337" s="589"/>
      <c r="AN337" s="598">
        <f t="shared" si="229"/>
        <v>84</v>
      </c>
      <c r="AO337" s="621"/>
      <c r="AP337" s="621"/>
      <c r="AQ337" s="621"/>
      <c r="AR337" s="621"/>
      <c r="AS337" s="621"/>
      <c r="AT337" s="621"/>
      <c r="AU337" s="621">
        <f>I337</f>
        <v>84</v>
      </c>
      <c r="AV337" s="621"/>
      <c r="AW337" s="592">
        <f t="shared" si="217"/>
        <v>84</v>
      </c>
      <c r="AX337" s="621"/>
      <c r="AY337" s="621"/>
      <c r="AZ337" s="621"/>
      <c r="BA337" s="621"/>
      <c r="BB337" s="621"/>
      <c r="BC337" s="621"/>
      <c r="BD337" s="621"/>
      <c r="BE337" s="623"/>
      <c r="BF337" s="602" t="s">
        <v>90</v>
      </c>
      <c r="BG337" s="603"/>
      <c r="BH337" s="604"/>
      <c r="BI337" s="605"/>
      <c r="BJ337" s="602"/>
      <c r="BK337" s="602"/>
      <c r="BL337" s="602">
        <f>I337</f>
        <v>84</v>
      </c>
      <c r="BM337" s="602"/>
      <c r="BN337" s="605"/>
      <c r="BO337" s="605"/>
      <c r="BP337" s="605"/>
      <c r="BQ337" s="605"/>
      <c r="BR337" s="605"/>
      <c r="BS337" s="605"/>
      <c r="BT337" s="607">
        <f t="shared" si="224"/>
        <v>84</v>
      </c>
      <c r="BU337" s="608">
        <f t="shared" si="225"/>
        <v>0</v>
      </c>
      <c r="BV337" s="491"/>
      <c r="BW337" s="491"/>
    </row>
    <row r="338" s="490" customFormat="1" ht="33" customHeight="1" spans="1:75">
      <c r="A338" s="577">
        <v>45870</v>
      </c>
      <c r="B338" s="581" t="s">
        <v>1477</v>
      </c>
      <c r="C338" s="579" t="s">
        <v>334</v>
      </c>
      <c r="D338" s="580">
        <v>4500175843</v>
      </c>
      <c r="E338" s="616"/>
      <c r="F338" s="580" t="s">
        <v>1628</v>
      </c>
      <c r="G338" s="582" t="s">
        <v>1629</v>
      </c>
      <c r="H338" s="578" t="s">
        <v>1630</v>
      </c>
      <c r="I338" s="583">
        <v>84</v>
      </c>
      <c r="J338" s="583">
        <v>0</v>
      </c>
      <c r="K338" s="583">
        <v>6</v>
      </c>
      <c r="L338" s="584">
        <f t="shared" si="200"/>
        <v>14</v>
      </c>
      <c r="M338" s="585">
        <v>45912</v>
      </c>
      <c r="N338" s="585">
        <v>45908</v>
      </c>
      <c r="O338" s="586"/>
      <c r="P338" s="586" t="s">
        <v>83</v>
      </c>
      <c r="Q338" s="587" t="s">
        <v>1623</v>
      </c>
      <c r="R338" s="586" t="s">
        <v>1624</v>
      </c>
      <c r="S338" s="586"/>
      <c r="T338" s="586"/>
      <c r="U338" s="641" t="s">
        <v>1625</v>
      </c>
      <c r="V338" s="641"/>
      <c r="W338" s="641"/>
      <c r="X338" s="661" t="s">
        <v>1631</v>
      </c>
      <c r="Y338" s="618" t="s">
        <v>340</v>
      </c>
      <c r="Z338" s="590">
        <v>5.3325</v>
      </c>
      <c r="AA338" s="591">
        <f t="shared" si="227"/>
        <v>447.93</v>
      </c>
      <c r="AB338" s="619" t="s">
        <v>1627</v>
      </c>
      <c r="AC338" s="582" t="s">
        <v>1629</v>
      </c>
      <c r="AD338" s="593" t="s">
        <v>89</v>
      </c>
      <c r="AE338" s="589"/>
      <c r="AF338" s="589"/>
      <c r="AG338" s="595"/>
      <c r="AH338" s="589"/>
      <c r="AI338" s="589"/>
      <c r="AJ338" s="637">
        <f>I338</f>
        <v>84</v>
      </c>
      <c r="AK338" s="629"/>
      <c r="AL338" s="589"/>
      <c r="AM338" s="589"/>
      <c r="AN338" s="598">
        <f t="shared" si="229"/>
        <v>84</v>
      </c>
      <c r="AO338" s="621"/>
      <c r="AP338" s="621"/>
      <c r="AQ338" s="621"/>
      <c r="AR338" s="621"/>
      <c r="AS338" s="621"/>
      <c r="AT338" s="621"/>
      <c r="AU338" s="621">
        <f>I338</f>
        <v>84</v>
      </c>
      <c r="AV338" s="621"/>
      <c r="AW338" s="592">
        <f t="shared" si="217"/>
        <v>84</v>
      </c>
      <c r="AX338" s="621"/>
      <c r="AY338" s="621"/>
      <c r="AZ338" s="621"/>
      <c r="BA338" s="621"/>
      <c r="BB338" s="621"/>
      <c r="BC338" s="621"/>
      <c r="BD338" s="621"/>
      <c r="BE338" s="623"/>
      <c r="BF338" s="602" t="s">
        <v>90</v>
      </c>
      <c r="BG338" s="603"/>
      <c r="BH338" s="604"/>
      <c r="BI338" s="605"/>
      <c r="BJ338" s="602">
        <f>I338</f>
        <v>84</v>
      </c>
      <c r="BK338" s="602"/>
      <c r="BL338" s="602"/>
      <c r="BM338" s="602"/>
      <c r="BN338" s="605"/>
      <c r="BO338" s="605"/>
      <c r="BP338" s="605"/>
      <c r="BQ338" s="605"/>
      <c r="BR338" s="605"/>
      <c r="BS338" s="605"/>
      <c r="BT338" s="607">
        <f t="shared" si="224"/>
        <v>84</v>
      </c>
      <c r="BU338" s="608">
        <f t="shared" si="225"/>
        <v>0</v>
      </c>
      <c r="BV338" s="491"/>
      <c r="BW338" s="491"/>
    </row>
    <row r="339" s="490" customFormat="1" ht="33" customHeight="1" spans="1:75">
      <c r="A339" s="577">
        <v>45881</v>
      </c>
      <c r="B339" s="581" t="s">
        <v>1566</v>
      </c>
      <c r="C339" s="579" t="s">
        <v>140</v>
      </c>
      <c r="D339" s="580">
        <v>4500176427</v>
      </c>
      <c r="E339" s="616">
        <v>5000001954</v>
      </c>
      <c r="F339" s="580" t="s">
        <v>1632</v>
      </c>
      <c r="G339" s="582" t="s">
        <v>81</v>
      </c>
      <c r="H339" s="578" t="s">
        <v>95</v>
      </c>
      <c r="I339" s="583">
        <v>3000</v>
      </c>
      <c r="J339" s="583">
        <v>0</v>
      </c>
      <c r="K339" s="583">
        <v>6</v>
      </c>
      <c r="L339" s="584">
        <f t="shared" si="200"/>
        <v>500</v>
      </c>
      <c r="M339" s="585">
        <v>45915</v>
      </c>
      <c r="N339" s="585">
        <v>45911</v>
      </c>
      <c r="O339" s="586"/>
      <c r="P339" s="586" t="s">
        <v>83</v>
      </c>
      <c r="Q339" s="587" t="s">
        <v>1633</v>
      </c>
      <c r="R339" s="586" t="s">
        <v>1634</v>
      </c>
      <c r="S339" s="586"/>
      <c r="T339" s="586"/>
      <c r="U339" s="641" t="s">
        <v>1635</v>
      </c>
      <c r="V339" s="641"/>
      <c r="W339" s="641"/>
      <c r="X339" s="661" t="s">
        <v>1636</v>
      </c>
      <c r="Y339" s="618" t="s">
        <v>757</v>
      </c>
      <c r="Z339" s="590">
        <v>5.5831</v>
      </c>
      <c r="AA339" s="591">
        <f t="shared" si="227"/>
        <v>16749.3</v>
      </c>
      <c r="AB339" s="619" t="s">
        <v>1637</v>
      </c>
      <c r="AC339" s="582" t="s">
        <v>149</v>
      </c>
      <c r="AD339" s="593" t="s">
        <v>89</v>
      </c>
      <c r="AE339" s="589"/>
      <c r="AF339" s="589"/>
      <c r="AG339" s="595">
        <f t="shared" ref="AG339:AG353" si="231">I339</f>
        <v>3000</v>
      </c>
      <c r="AH339" s="589"/>
      <c r="AI339" s="589"/>
      <c r="AJ339" s="589"/>
      <c r="AK339" s="629"/>
      <c r="AL339" s="589"/>
      <c r="AM339" s="589"/>
      <c r="AN339" s="598"/>
      <c r="AO339" s="621">
        <f>I339</f>
        <v>3000</v>
      </c>
      <c r="AP339" s="621"/>
      <c r="AQ339" s="621"/>
      <c r="AR339" s="621">
        <f t="shared" ref="AR339:AR353" si="232">I339</f>
        <v>3000</v>
      </c>
      <c r="AS339" s="621"/>
      <c r="AT339" s="621"/>
      <c r="AU339" s="621"/>
      <c r="AV339" s="621"/>
      <c r="AW339" s="592">
        <f t="shared" si="217"/>
        <v>3000</v>
      </c>
      <c r="AX339" s="621"/>
      <c r="AY339" s="621"/>
      <c r="AZ339" s="621"/>
      <c r="BA339" s="621"/>
      <c r="BB339" s="621"/>
      <c r="BC339" s="621"/>
      <c r="BD339" s="621"/>
      <c r="BE339" s="623"/>
      <c r="BF339" s="602" t="s">
        <v>90</v>
      </c>
      <c r="BG339" s="603"/>
      <c r="BH339" s="604">
        <f t="shared" ref="BH339:BH402" si="233">I339/6</f>
        <v>500</v>
      </c>
      <c r="BI339" s="605">
        <f t="shared" ref="BI339:BI402" si="234">I339/6</f>
        <v>500</v>
      </c>
      <c r="BJ339" s="602">
        <f t="shared" ref="BJ339:BJ402" si="235">I339/6</f>
        <v>500</v>
      </c>
      <c r="BK339" s="602">
        <f t="shared" ref="BK339:BK402" si="236">I339/6</f>
        <v>500</v>
      </c>
      <c r="BL339" s="602">
        <f t="shared" ref="BL339:BL402" si="237">I339/6</f>
        <v>500</v>
      </c>
      <c r="BM339" s="602">
        <f t="shared" ref="BM339:BM402" si="238">I339/6</f>
        <v>500</v>
      </c>
      <c r="BN339" s="605"/>
      <c r="BO339" s="605"/>
      <c r="BP339" s="605"/>
      <c r="BQ339" s="605"/>
      <c r="BR339" s="605"/>
      <c r="BS339" s="605"/>
      <c r="BT339" s="607">
        <f t="shared" si="224"/>
        <v>3000</v>
      </c>
      <c r="BU339" s="608">
        <f t="shared" si="225"/>
        <v>0</v>
      </c>
      <c r="BV339" s="491"/>
      <c r="BW339" s="491"/>
    </row>
    <row r="340" s="490" customFormat="1" ht="33" customHeight="1" spans="1:75">
      <c r="A340" s="577">
        <v>45868</v>
      </c>
      <c r="B340" s="581" t="s">
        <v>1638</v>
      </c>
      <c r="C340" s="579" t="s">
        <v>92</v>
      </c>
      <c r="D340" s="580">
        <v>4500175550</v>
      </c>
      <c r="E340" s="616" t="s">
        <v>1639</v>
      </c>
      <c r="F340" s="580" t="s">
        <v>1640</v>
      </c>
      <c r="G340" s="582" t="s">
        <v>81</v>
      </c>
      <c r="H340" s="578" t="s">
        <v>95</v>
      </c>
      <c r="I340" s="583">
        <v>2082</v>
      </c>
      <c r="J340" s="583">
        <v>0</v>
      </c>
      <c r="K340" s="583">
        <v>6</v>
      </c>
      <c r="L340" s="584">
        <f t="shared" si="200"/>
        <v>347</v>
      </c>
      <c r="M340" s="585">
        <v>45917</v>
      </c>
      <c r="N340" s="585">
        <v>45913</v>
      </c>
      <c r="O340" s="586"/>
      <c r="P340" s="586" t="s">
        <v>83</v>
      </c>
      <c r="Q340" s="587" t="s">
        <v>1641</v>
      </c>
      <c r="R340" s="586" t="s">
        <v>1642</v>
      </c>
      <c r="S340" s="586"/>
      <c r="T340" s="586"/>
      <c r="U340" s="641" t="s">
        <v>1643</v>
      </c>
      <c r="V340" s="641"/>
      <c r="W340" s="641"/>
      <c r="X340" s="661" t="s">
        <v>1644</v>
      </c>
      <c r="Y340" s="618" t="s">
        <v>1085</v>
      </c>
      <c r="Z340" s="590">
        <v>3.4652</v>
      </c>
      <c r="AA340" s="591">
        <f t="shared" si="227"/>
        <v>7214.5464</v>
      </c>
      <c r="AB340" s="619" t="s">
        <v>1645</v>
      </c>
      <c r="AC340" s="582" t="s">
        <v>81</v>
      </c>
      <c r="AD340" s="593" t="s">
        <v>89</v>
      </c>
      <c r="AE340" s="589"/>
      <c r="AF340" s="589"/>
      <c r="AG340" s="595">
        <f t="shared" si="231"/>
        <v>2082</v>
      </c>
      <c r="AH340" s="589"/>
      <c r="AI340" s="589"/>
      <c r="AJ340" s="589"/>
      <c r="AK340" s="629"/>
      <c r="AL340" s="589"/>
      <c r="AM340" s="589"/>
      <c r="AN340" s="598">
        <f t="shared" ref="AN340:AN361" si="239">I340</f>
        <v>2082</v>
      </c>
      <c r="AO340" s="621"/>
      <c r="AP340" s="621"/>
      <c r="AQ340" s="621"/>
      <c r="AR340" s="621">
        <f t="shared" si="232"/>
        <v>2082</v>
      </c>
      <c r="AS340" s="621"/>
      <c r="AT340" s="621"/>
      <c r="AU340" s="621"/>
      <c r="AV340" s="621"/>
      <c r="AW340" s="592">
        <f t="shared" si="217"/>
        <v>2082</v>
      </c>
      <c r="AX340" s="621"/>
      <c r="AY340" s="621"/>
      <c r="AZ340" s="621"/>
      <c r="BA340" s="621"/>
      <c r="BB340" s="621"/>
      <c r="BC340" s="621"/>
      <c r="BD340" s="621"/>
      <c r="BE340" s="623"/>
      <c r="BF340" s="602" t="s">
        <v>90</v>
      </c>
      <c r="BG340" s="603"/>
      <c r="BH340" s="604">
        <f t="shared" si="233"/>
        <v>347</v>
      </c>
      <c r="BI340" s="605">
        <f t="shared" si="234"/>
        <v>347</v>
      </c>
      <c r="BJ340" s="602">
        <f t="shared" si="235"/>
        <v>347</v>
      </c>
      <c r="BK340" s="602">
        <f t="shared" si="236"/>
        <v>347</v>
      </c>
      <c r="BL340" s="602">
        <f t="shared" si="237"/>
        <v>347</v>
      </c>
      <c r="BM340" s="602">
        <f t="shared" si="238"/>
        <v>347</v>
      </c>
      <c r="BN340" s="605"/>
      <c r="BO340" s="605"/>
      <c r="BP340" s="605"/>
      <c r="BQ340" s="605"/>
      <c r="BR340" s="605"/>
      <c r="BS340" s="605"/>
      <c r="BT340" s="607">
        <f t="shared" si="224"/>
        <v>2082</v>
      </c>
      <c r="BU340" s="608">
        <f t="shared" si="225"/>
        <v>0</v>
      </c>
      <c r="BV340" s="491"/>
      <c r="BW340" s="491"/>
    </row>
    <row r="341" s="490" customFormat="1" ht="33" customHeight="1" spans="1:75">
      <c r="A341" s="577">
        <v>45868</v>
      </c>
      <c r="B341" s="581" t="s">
        <v>1638</v>
      </c>
      <c r="C341" s="579" t="s">
        <v>92</v>
      </c>
      <c r="D341" s="580">
        <v>4500175550</v>
      </c>
      <c r="E341" s="616" t="s">
        <v>1646</v>
      </c>
      <c r="F341" s="580" t="s">
        <v>1647</v>
      </c>
      <c r="G341" s="582" t="s">
        <v>81</v>
      </c>
      <c r="H341" s="578" t="s">
        <v>95</v>
      </c>
      <c r="I341" s="583">
        <v>894</v>
      </c>
      <c r="J341" s="583">
        <v>0</v>
      </c>
      <c r="K341" s="583">
        <v>6</v>
      </c>
      <c r="L341" s="584">
        <f t="shared" si="200"/>
        <v>149</v>
      </c>
      <c r="M341" s="585">
        <v>45917</v>
      </c>
      <c r="N341" s="585">
        <v>45913</v>
      </c>
      <c r="O341" s="586"/>
      <c r="P341" s="586" t="s">
        <v>83</v>
      </c>
      <c r="Q341" s="587" t="s">
        <v>1648</v>
      </c>
      <c r="R341" s="586" t="s">
        <v>1642</v>
      </c>
      <c r="S341" s="586"/>
      <c r="T341" s="586"/>
      <c r="U341" s="641" t="s">
        <v>1643</v>
      </c>
      <c r="V341" s="641"/>
      <c r="W341" s="641"/>
      <c r="X341" s="661" t="s">
        <v>1644</v>
      </c>
      <c r="Y341" s="618" t="s">
        <v>1085</v>
      </c>
      <c r="Z341" s="590">
        <v>3.4652</v>
      </c>
      <c r="AA341" s="591">
        <f t="shared" si="227"/>
        <v>3097.8888</v>
      </c>
      <c r="AB341" s="619" t="s">
        <v>1649</v>
      </c>
      <c r="AC341" s="582" t="s">
        <v>81</v>
      </c>
      <c r="AD341" s="593" t="s">
        <v>89</v>
      </c>
      <c r="AE341" s="589"/>
      <c r="AF341" s="589"/>
      <c r="AG341" s="595">
        <f t="shared" si="231"/>
        <v>894</v>
      </c>
      <c r="AH341" s="589"/>
      <c r="AI341" s="589"/>
      <c r="AJ341" s="589"/>
      <c r="AK341" s="629"/>
      <c r="AL341" s="589"/>
      <c r="AM341" s="589"/>
      <c r="AN341" s="598">
        <f t="shared" si="239"/>
        <v>894</v>
      </c>
      <c r="AO341" s="621"/>
      <c r="AP341" s="621"/>
      <c r="AQ341" s="621"/>
      <c r="AR341" s="621">
        <f t="shared" si="232"/>
        <v>894</v>
      </c>
      <c r="AS341" s="621"/>
      <c r="AT341" s="621"/>
      <c r="AU341" s="621"/>
      <c r="AV341" s="621"/>
      <c r="AW341" s="592">
        <f t="shared" si="217"/>
        <v>894</v>
      </c>
      <c r="AX341" s="621"/>
      <c r="AY341" s="621"/>
      <c r="AZ341" s="621"/>
      <c r="BA341" s="621"/>
      <c r="BB341" s="621"/>
      <c r="BC341" s="621"/>
      <c r="BD341" s="621"/>
      <c r="BE341" s="623"/>
      <c r="BF341" s="602" t="s">
        <v>90</v>
      </c>
      <c r="BG341" s="603"/>
      <c r="BH341" s="604">
        <f t="shared" si="233"/>
        <v>149</v>
      </c>
      <c r="BI341" s="605">
        <f t="shared" si="234"/>
        <v>149</v>
      </c>
      <c r="BJ341" s="602">
        <f t="shared" si="235"/>
        <v>149</v>
      </c>
      <c r="BK341" s="602">
        <f t="shared" si="236"/>
        <v>149</v>
      </c>
      <c r="BL341" s="602">
        <f t="shared" si="237"/>
        <v>149</v>
      </c>
      <c r="BM341" s="602">
        <f t="shared" si="238"/>
        <v>149</v>
      </c>
      <c r="BN341" s="605"/>
      <c r="BO341" s="605"/>
      <c r="BP341" s="605"/>
      <c r="BQ341" s="605"/>
      <c r="BR341" s="605"/>
      <c r="BS341" s="605"/>
      <c r="BT341" s="607">
        <f t="shared" si="224"/>
        <v>894</v>
      </c>
      <c r="BU341" s="608">
        <f t="shared" si="225"/>
        <v>0</v>
      </c>
      <c r="BV341" s="491"/>
      <c r="BW341" s="491"/>
    </row>
    <row r="342" s="490" customFormat="1" ht="33" customHeight="1" spans="1:75">
      <c r="A342" s="577">
        <v>45887</v>
      </c>
      <c r="B342" s="581" t="s">
        <v>885</v>
      </c>
      <c r="C342" s="579" t="s">
        <v>92</v>
      </c>
      <c r="D342" s="580">
        <v>4500177194</v>
      </c>
      <c r="E342" s="588">
        <v>938508774</v>
      </c>
      <c r="F342" s="580" t="s">
        <v>1650</v>
      </c>
      <c r="G342" s="582" t="s">
        <v>155</v>
      </c>
      <c r="H342" s="578" t="s">
        <v>156</v>
      </c>
      <c r="I342" s="583">
        <v>540</v>
      </c>
      <c r="J342" s="583">
        <v>1</v>
      </c>
      <c r="K342" s="583">
        <v>108</v>
      </c>
      <c r="L342" s="584">
        <f t="shared" si="200"/>
        <v>5</v>
      </c>
      <c r="M342" s="585">
        <v>45918</v>
      </c>
      <c r="N342" s="585">
        <v>45915</v>
      </c>
      <c r="O342" s="586" t="s">
        <v>1651</v>
      </c>
      <c r="P342" s="586" t="s">
        <v>83</v>
      </c>
      <c r="Q342" s="587" t="s">
        <v>1652</v>
      </c>
      <c r="R342" s="586" t="s">
        <v>1653</v>
      </c>
      <c r="S342" s="586"/>
      <c r="T342" s="586"/>
      <c r="U342" s="641" t="s">
        <v>665</v>
      </c>
      <c r="V342" s="641" t="s">
        <v>1601</v>
      </c>
      <c r="W342" s="641"/>
      <c r="X342" s="661" t="s">
        <v>1654</v>
      </c>
      <c r="Y342" s="618" t="s">
        <v>163</v>
      </c>
      <c r="Z342" s="590">
        <v>383.216</v>
      </c>
      <c r="AA342" s="591">
        <f>Z342*L342</f>
        <v>1916.08</v>
      </c>
      <c r="AB342" s="619" t="s">
        <v>1655</v>
      </c>
      <c r="AC342" s="638" t="s">
        <v>155</v>
      </c>
      <c r="AD342" s="593" t="s">
        <v>89</v>
      </c>
      <c r="AE342" s="589"/>
      <c r="AF342" s="589"/>
      <c r="AG342" s="595">
        <f t="shared" si="231"/>
        <v>540</v>
      </c>
      <c r="AH342" s="589"/>
      <c r="AI342" s="589"/>
      <c r="AJ342" s="589"/>
      <c r="AK342" s="629"/>
      <c r="AL342" s="589"/>
      <c r="AM342" s="589"/>
      <c r="AN342" s="598">
        <f t="shared" si="239"/>
        <v>540</v>
      </c>
      <c r="AO342" s="621"/>
      <c r="AP342" s="621"/>
      <c r="AQ342" s="621"/>
      <c r="AR342" s="621">
        <f t="shared" si="232"/>
        <v>540</v>
      </c>
      <c r="AS342" s="621"/>
      <c r="AT342" s="621"/>
      <c r="AU342" s="621"/>
      <c r="AV342" s="621"/>
      <c r="AW342" s="592">
        <f t="shared" si="217"/>
        <v>540</v>
      </c>
      <c r="AX342" s="621"/>
      <c r="AY342" s="621"/>
      <c r="AZ342" s="621"/>
      <c r="BA342" s="621"/>
      <c r="BB342" s="621"/>
      <c r="BC342" s="621"/>
      <c r="BD342" s="621"/>
      <c r="BE342" s="623"/>
      <c r="BF342" s="602" t="s">
        <v>90</v>
      </c>
      <c r="BG342" s="603"/>
      <c r="BH342" s="632">
        <f t="shared" si="233"/>
        <v>90</v>
      </c>
      <c r="BI342" s="633">
        <f t="shared" si="234"/>
        <v>90</v>
      </c>
      <c r="BJ342" s="633">
        <f t="shared" si="235"/>
        <v>90</v>
      </c>
      <c r="BK342" s="633">
        <f t="shared" si="236"/>
        <v>90</v>
      </c>
      <c r="BL342" s="633">
        <f t="shared" si="237"/>
        <v>90</v>
      </c>
      <c r="BM342" s="633">
        <f t="shared" si="238"/>
        <v>90</v>
      </c>
      <c r="BN342" s="605"/>
      <c r="BO342" s="605"/>
      <c r="BP342" s="605"/>
      <c r="BQ342" s="605"/>
      <c r="BR342" s="605"/>
      <c r="BS342" s="605"/>
      <c r="BT342" s="607">
        <f t="shared" si="224"/>
        <v>540</v>
      </c>
      <c r="BU342" s="608">
        <f t="shared" si="225"/>
        <v>0</v>
      </c>
      <c r="BV342" s="491"/>
      <c r="BW342" s="491"/>
    </row>
    <row r="343" s="490" customFormat="1" ht="33" customHeight="1" spans="1:75">
      <c r="A343" s="577">
        <v>45887</v>
      </c>
      <c r="B343" s="581" t="s">
        <v>885</v>
      </c>
      <c r="C343" s="579" t="s">
        <v>92</v>
      </c>
      <c r="D343" s="580">
        <v>4500177194</v>
      </c>
      <c r="E343" s="588">
        <v>938508801</v>
      </c>
      <c r="F343" s="580" t="s">
        <v>1656</v>
      </c>
      <c r="G343" s="582" t="s">
        <v>155</v>
      </c>
      <c r="H343" s="578" t="s">
        <v>156</v>
      </c>
      <c r="I343" s="583">
        <v>540</v>
      </c>
      <c r="J343" s="583">
        <v>1</v>
      </c>
      <c r="K343" s="583">
        <v>108</v>
      </c>
      <c r="L343" s="584">
        <f t="shared" si="200"/>
        <v>5</v>
      </c>
      <c r="M343" s="585">
        <v>45918</v>
      </c>
      <c r="N343" s="585">
        <v>45915</v>
      </c>
      <c r="O343" s="586" t="s">
        <v>1651</v>
      </c>
      <c r="P343" s="586" t="s">
        <v>83</v>
      </c>
      <c r="Q343" s="587" t="s">
        <v>1657</v>
      </c>
      <c r="R343" s="586" t="s">
        <v>1653</v>
      </c>
      <c r="S343" s="586"/>
      <c r="T343" s="586"/>
      <c r="U343" s="641" t="s">
        <v>665</v>
      </c>
      <c r="V343" s="641" t="s">
        <v>1601</v>
      </c>
      <c r="W343" s="641"/>
      <c r="X343" s="661" t="s">
        <v>1654</v>
      </c>
      <c r="Y343" s="618" t="s">
        <v>163</v>
      </c>
      <c r="Z343" s="590">
        <v>383.216</v>
      </c>
      <c r="AA343" s="591">
        <f>Z343*L343</f>
        <v>1916.08</v>
      </c>
      <c r="AB343" s="619" t="s">
        <v>1658</v>
      </c>
      <c r="AC343" s="638" t="s">
        <v>155</v>
      </c>
      <c r="AD343" s="593" t="s">
        <v>89</v>
      </c>
      <c r="AE343" s="589"/>
      <c r="AF343" s="589"/>
      <c r="AG343" s="595">
        <f t="shared" si="231"/>
        <v>540</v>
      </c>
      <c r="AH343" s="589"/>
      <c r="AI343" s="589"/>
      <c r="AJ343" s="589"/>
      <c r="AK343" s="629"/>
      <c r="AL343" s="589"/>
      <c r="AM343" s="589"/>
      <c r="AN343" s="598">
        <f t="shared" si="239"/>
        <v>540</v>
      </c>
      <c r="AO343" s="621"/>
      <c r="AP343" s="621"/>
      <c r="AQ343" s="621"/>
      <c r="AR343" s="621">
        <f t="shared" si="232"/>
        <v>540</v>
      </c>
      <c r="AS343" s="621"/>
      <c r="AT343" s="621"/>
      <c r="AU343" s="621"/>
      <c r="AV343" s="621"/>
      <c r="AW343" s="592">
        <f t="shared" si="217"/>
        <v>540</v>
      </c>
      <c r="AX343" s="621"/>
      <c r="AY343" s="621"/>
      <c r="AZ343" s="621"/>
      <c r="BA343" s="621"/>
      <c r="BB343" s="621"/>
      <c r="BC343" s="621"/>
      <c r="BD343" s="621"/>
      <c r="BE343" s="623"/>
      <c r="BF343" s="602" t="s">
        <v>90</v>
      </c>
      <c r="BG343" s="603"/>
      <c r="BH343" s="632">
        <f t="shared" si="233"/>
        <v>90</v>
      </c>
      <c r="BI343" s="633">
        <f t="shared" si="234"/>
        <v>90</v>
      </c>
      <c r="BJ343" s="633">
        <f t="shared" si="235"/>
        <v>90</v>
      </c>
      <c r="BK343" s="633">
        <f t="shared" si="236"/>
        <v>90</v>
      </c>
      <c r="BL343" s="633">
        <f t="shared" si="237"/>
        <v>90</v>
      </c>
      <c r="BM343" s="633">
        <f t="shared" si="238"/>
        <v>90</v>
      </c>
      <c r="BN343" s="605"/>
      <c r="BO343" s="605"/>
      <c r="BP343" s="605"/>
      <c r="BQ343" s="605"/>
      <c r="BR343" s="605"/>
      <c r="BS343" s="605"/>
      <c r="BT343" s="607">
        <f t="shared" si="224"/>
        <v>540</v>
      </c>
      <c r="BU343" s="608">
        <f t="shared" si="225"/>
        <v>0</v>
      </c>
      <c r="BV343" s="491"/>
      <c r="BW343" s="491"/>
    </row>
    <row r="344" s="490" customFormat="1" ht="33" customHeight="1" spans="1:75">
      <c r="A344" s="577">
        <v>45887</v>
      </c>
      <c r="B344" s="581" t="s">
        <v>885</v>
      </c>
      <c r="C344" s="579" t="s">
        <v>92</v>
      </c>
      <c r="D344" s="580">
        <v>4500177194</v>
      </c>
      <c r="E344" s="588">
        <v>938508802</v>
      </c>
      <c r="F344" s="580" t="s">
        <v>1659</v>
      </c>
      <c r="G344" s="582" t="s">
        <v>155</v>
      </c>
      <c r="H344" s="578" t="s">
        <v>156</v>
      </c>
      <c r="I344" s="583">
        <v>1296</v>
      </c>
      <c r="J344" s="583">
        <v>1</v>
      </c>
      <c r="K344" s="583">
        <v>108</v>
      </c>
      <c r="L344" s="584">
        <f t="shared" si="200"/>
        <v>12</v>
      </c>
      <c r="M344" s="585">
        <v>45918</v>
      </c>
      <c r="N344" s="585">
        <v>45915</v>
      </c>
      <c r="O344" s="586" t="s">
        <v>1651</v>
      </c>
      <c r="P344" s="586" t="s">
        <v>83</v>
      </c>
      <c r="Q344" s="587" t="s">
        <v>1660</v>
      </c>
      <c r="R344" s="586" t="s">
        <v>1653</v>
      </c>
      <c r="S344" s="586"/>
      <c r="T344" s="586"/>
      <c r="U344" s="641" t="s">
        <v>665</v>
      </c>
      <c r="V344" s="641" t="s">
        <v>1601</v>
      </c>
      <c r="W344" s="641"/>
      <c r="X344" s="661" t="s">
        <v>1654</v>
      </c>
      <c r="Y344" s="618" t="s">
        <v>163</v>
      </c>
      <c r="Z344" s="590">
        <v>383.215</v>
      </c>
      <c r="AA344" s="591">
        <f>Z344*L344</f>
        <v>4598.58</v>
      </c>
      <c r="AB344" s="619" t="s">
        <v>1661</v>
      </c>
      <c r="AC344" s="638" t="s">
        <v>155</v>
      </c>
      <c r="AD344" s="593" t="s">
        <v>89</v>
      </c>
      <c r="AE344" s="589"/>
      <c r="AF344" s="589"/>
      <c r="AG344" s="595">
        <f t="shared" si="231"/>
        <v>1296</v>
      </c>
      <c r="AH344" s="589"/>
      <c r="AI344" s="589"/>
      <c r="AJ344" s="589"/>
      <c r="AK344" s="629"/>
      <c r="AL344" s="589"/>
      <c r="AM344" s="589"/>
      <c r="AN344" s="598">
        <f t="shared" si="239"/>
        <v>1296</v>
      </c>
      <c r="AO344" s="621"/>
      <c r="AP344" s="621"/>
      <c r="AQ344" s="621"/>
      <c r="AR344" s="621">
        <f t="shared" si="232"/>
        <v>1296</v>
      </c>
      <c r="AS344" s="621"/>
      <c r="AT344" s="621"/>
      <c r="AU344" s="621"/>
      <c r="AV344" s="621"/>
      <c r="AW344" s="592">
        <f t="shared" si="217"/>
        <v>1296</v>
      </c>
      <c r="AX344" s="621"/>
      <c r="AY344" s="621"/>
      <c r="AZ344" s="621"/>
      <c r="BA344" s="621"/>
      <c r="BB344" s="621"/>
      <c r="BC344" s="621"/>
      <c r="BD344" s="621"/>
      <c r="BE344" s="623"/>
      <c r="BF344" s="602" t="s">
        <v>90</v>
      </c>
      <c r="BG344" s="603"/>
      <c r="BH344" s="632">
        <f t="shared" si="233"/>
        <v>216</v>
      </c>
      <c r="BI344" s="633">
        <f t="shared" si="234"/>
        <v>216</v>
      </c>
      <c r="BJ344" s="633">
        <f t="shared" si="235"/>
        <v>216</v>
      </c>
      <c r="BK344" s="633">
        <f t="shared" si="236"/>
        <v>216</v>
      </c>
      <c r="BL344" s="633">
        <f t="shared" si="237"/>
        <v>216</v>
      </c>
      <c r="BM344" s="633">
        <f t="shared" si="238"/>
        <v>216</v>
      </c>
      <c r="BN344" s="605"/>
      <c r="BO344" s="605"/>
      <c r="BP344" s="605"/>
      <c r="BQ344" s="605"/>
      <c r="BR344" s="605"/>
      <c r="BS344" s="605"/>
      <c r="BT344" s="607">
        <f t="shared" si="224"/>
        <v>1296</v>
      </c>
      <c r="BU344" s="608">
        <f t="shared" si="225"/>
        <v>0</v>
      </c>
      <c r="BV344" s="491"/>
      <c r="BW344" s="491"/>
    </row>
    <row r="345" s="490" customFormat="1" ht="33" customHeight="1" spans="1:75">
      <c r="A345" s="577">
        <v>45887</v>
      </c>
      <c r="B345" s="581" t="s">
        <v>885</v>
      </c>
      <c r="C345" s="579" t="s">
        <v>92</v>
      </c>
      <c r="D345" s="580">
        <v>4500177194</v>
      </c>
      <c r="E345" s="588">
        <v>938508804</v>
      </c>
      <c r="F345" s="580" t="s">
        <v>1662</v>
      </c>
      <c r="G345" s="582" t="s">
        <v>155</v>
      </c>
      <c r="H345" s="578" t="s">
        <v>156</v>
      </c>
      <c r="I345" s="583">
        <v>540</v>
      </c>
      <c r="J345" s="583">
        <v>1</v>
      </c>
      <c r="K345" s="583">
        <v>108</v>
      </c>
      <c r="L345" s="584">
        <f t="shared" si="200"/>
        <v>5</v>
      </c>
      <c r="M345" s="585">
        <v>45918</v>
      </c>
      <c r="N345" s="585">
        <v>45915</v>
      </c>
      <c r="O345" s="586" t="s">
        <v>1651</v>
      </c>
      <c r="P345" s="586" t="s">
        <v>83</v>
      </c>
      <c r="Q345" s="587" t="s">
        <v>1663</v>
      </c>
      <c r="R345" s="586" t="s">
        <v>1653</v>
      </c>
      <c r="S345" s="586"/>
      <c r="T345" s="586"/>
      <c r="U345" s="641" t="s">
        <v>665</v>
      </c>
      <c r="V345" s="641" t="s">
        <v>1601</v>
      </c>
      <c r="W345" s="641"/>
      <c r="X345" s="661" t="s">
        <v>1654</v>
      </c>
      <c r="Y345" s="618" t="s">
        <v>163</v>
      </c>
      <c r="Z345" s="590">
        <v>383.216</v>
      </c>
      <c r="AA345" s="591">
        <f>Z345*L345</f>
        <v>1916.08</v>
      </c>
      <c r="AB345" s="619" t="s">
        <v>1664</v>
      </c>
      <c r="AC345" s="638" t="s">
        <v>155</v>
      </c>
      <c r="AD345" s="593" t="s">
        <v>89</v>
      </c>
      <c r="AE345" s="589"/>
      <c r="AF345" s="589"/>
      <c r="AG345" s="595">
        <f t="shared" si="231"/>
        <v>540</v>
      </c>
      <c r="AH345" s="589"/>
      <c r="AI345" s="589"/>
      <c r="AJ345" s="589"/>
      <c r="AK345" s="629"/>
      <c r="AL345" s="589"/>
      <c r="AM345" s="589"/>
      <c r="AN345" s="598">
        <f t="shared" si="239"/>
        <v>540</v>
      </c>
      <c r="AO345" s="621"/>
      <c r="AP345" s="621"/>
      <c r="AQ345" s="621"/>
      <c r="AR345" s="621">
        <f t="shared" si="232"/>
        <v>540</v>
      </c>
      <c r="AS345" s="621"/>
      <c r="AT345" s="621"/>
      <c r="AU345" s="621"/>
      <c r="AV345" s="621"/>
      <c r="AW345" s="592">
        <f t="shared" si="217"/>
        <v>540</v>
      </c>
      <c r="AX345" s="621"/>
      <c r="AY345" s="621"/>
      <c r="AZ345" s="621"/>
      <c r="BA345" s="621"/>
      <c r="BB345" s="621"/>
      <c r="BC345" s="621"/>
      <c r="BD345" s="621"/>
      <c r="BE345" s="623"/>
      <c r="BF345" s="602" t="s">
        <v>90</v>
      </c>
      <c r="BG345" s="603"/>
      <c r="BH345" s="632">
        <f t="shared" si="233"/>
        <v>90</v>
      </c>
      <c r="BI345" s="633">
        <f t="shared" si="234"/>
        <v>90</v>
      </c>
      <c r="BJ345" s="633">
        <f t="shared" si="235"/>
        <v>90</v>
      </c>
      <c r="BK345" s="633">
        <f t="shared" si="236"/>
        <v>90</v>
      </c>
      <c r="BL345" s="633">
        <f t="shared" si="237"/>
        <v>90</v>
      </c>
      <c r="BM345" s="633">
        <f t="shared" si="238"/>
        <v>90</v>
      </c>
      <c r="BN345" s="605"/>
      <c r="BO345" s="605"/>
      <c r="BP345" s="605"/>
      <c r="BQ345" s="605"/>
      <c r="BR345" s="605"/>
      <c r="BS345" s="605"/>
      <c r="BT345" s="607">
        <f t="shared" si="224"/>
        <v>540</v>
      </c>
      <c r="BU345" s="608">
        <f t="shared" si="225"/>
        <v>0</v>
      </c>
      <c r="BV345" s="491"/>
      <c r="BW345" s="491"/>
    </row>
    <row r="346" s="490" customFormat="1" ht="33" customHeight="1" spans="1:75">
      <c r="A346" s="577">
        <v>45874</v>
      </c>
      <c r="B346" s="581" t="s">
        <v>1665</v>
      </c>
      <c r="C346" s="579" t="s">
        <v>92</v>
      </c>
      <c r="D346" s="580">
        <v>4500175962</v>
      </c>
      <c r="E346" s="616" t="s">
        <v>1666</v>
      </c>
      <c r="F346" s="580" t="s">
        <v>1667</v>
      </c>
      <c r="G346" s="582" t="s">
        <v>81</v>
      </c>
      <c r="H346" s="578" t="s">
        <v>95</v>
      </c>
      <c r="I346" s="583">
        <v>156</v>
      </c>
      <c r="J346" s="583">
        <v>0</v>
      </c>
      <c r="K346" s="583">
        <v>6</v>
      </c>
      <c r="L346" s="584">
        <f t="shared" si="200"/>
        <v>26</v>
      </c>
      <c r="M346" s="585">
        <v>45919</v>
      </c>
      <c r="N346" s="585">
        <v>45915</v>
      </c>
      <c r="O346" s="586"/>
      <c r="P346" s="586" t="s">
        <v>83</v>
      </c>
      <c r="Q346" s="587" t="s">
        <v>1652</v>
      </c>
      <c r="R346" s="586" t="s">
        <v>1668</v>
      </c>
      <c r="S346" s="586"/>
      <c r="T346" s="586"/>
      <c r="U346" s="641" t="s">
        <v>1669</v>
      </c>
      <c r="V346" s="641"/>
      <c r="W346" s="641"/>
      <c r="X346" s="661" t="s">
        <v>1670</v>
      </c>
      <c r="Y346" s="618" t="s">
        <v>1671</v>
      </c>
      <c r="Z346" s="590">
        <v>3.3608</v>
      </c>
      <c r="AA346" s="591">
        <f t="shared" ref="AA346:AA380" si="240">Z346*I346</f>
        <v>524.2848</v>
      </c>
      <c r="AB346" s="619" t="s">
        <v>1672</v>
      </c>
      <c r="AC346" s="582" t="s">
        <v>81</v>
      </c>
      <c r="AD346" s="593" t="s">
        <v>89</v>
      </c>
      <c r="AE346" s="589"/>
      <c r="AF346" s="589"/>
      <c r="AG346" s="595">
        <f t="shared" si="231"/>
        <v>156</v>
      </c>
      <c r="AH346" s="589"/>
      <c r="AI346" s="589"/>
      <c r="AJ346" s="589"/>
      <c r="AK346" s="629"/>
      <c r="AL346" s="589"/>
      <c r="AM346" s="589"/>
      <c r="AN346" s="598">
        <f t="shared" si="239"/>
        <v>156</v>
      </c>
      <c r="AO346" s="621"/>
      <c r="AP346" s="621"/>
      <c r="AQ346" s="621"/>
      <c r="AR346" s="621">
        <f t="shared" si="232"/>
        <v>156</v>
      </c>
      <c r="AS346" s="621"/>
      <c r="AT346" s="621"/>
      <c r="AU346" s="621"/>
      <c r="AV346" s="621"/>
      <c r="AW346" s="592">
        <f t="shared" si="217"/>
        <v>156</v>
      </c>
      <c r="AX346" s="621"/>
      <c r="AY346" s="621"/>
      <c r="AZ346" s="621"/>
      <c r="BA346" s="621"/>
      <c r="BB346" s="621"/>
      <c r="BC346" s="621"/>
      <c r="BD346" s="621"/>
      <c r="BE346" s="623"/>
      <c r="BF346" s="602" t="s">
        <v>90</v>
      </c>
      <c r="BG346" s="603"/>
      <c r="BH346" s="604">
        <f t="shared" si="233"/>
        <v>26</v>
      </c>
      <c r="BI346" s="605">
        <f t="shared" si="234"/>
        <v>26</v>
      </c>
      <c r="BJ346" s="602">
        <f t="shared" si="235"/>
        <v>26</v>
      </c>
      <c r="BK346" s="602">
        <f t="shared" si="236"/>
        <v>26</v>
      </c>
      <c r="BL346" s="602">
        <f t="shared" si="237"/>
        <v>26</v>
      </c>
      <c r="BM346" s="602">
        <f t="shared" si="238"/>
        <v>26</v>
      </c>
      <c r="BN346" s="605"/>
      <c r="BO346" s="605"/>
      <c r="BP346" s="605"/>
      <c r="BQ346" s="605"/>
      <c r="BR346" s="605"/>
      <c r="BS346" s="605"/>
      <c r="BT346" s="607">
        <f t="shared" si="224"/>
        <v>156</v>
      </c>
      <c r="BU346" s="608">
        <f t="shared" si="225"/>
        <v>0</v>
      </c>
      <c r="BV346" s="491"/>
      <c r="BW346" s="491"/>
    </row>
    <row r="347" s="490" customFormat="1" ht="33" customHeight="1" spans="1:75">
      <c r="A347" s="577">
        <v>45882</v>
      </c>
      <c r="B347" s="581" t="s">
        <v>581</v>
      </c>
      <c r="C347" s="579" t="s">
        <v>246</v>
      </c>
      <c r="D347" s="580">
        <v>4500176837</v>
      </c>
      <c r="E347" s="588">
        <v>29145156</v>
      </c>
      <c r="F347" s="580" t="s">
        <v>1673</v>
      </c>
      <c r="G347" s="582" t="s">
        <v>81</v>
      </c>
      <c r="H347" s="578" t="s">
        <v>95</v>
      </c>
      <c r="I347" s="583">
        <v>978</v>
      </c>
      <c r="J347" s="583">
        <v>0</v>
      </c>
      <c r="K347" s="583">
        <v>6</v>
      </c>
      <c r="L347" s="584">
        <f t="shared" si="200"/>
        <v>163</v>
      </c>
      <c r="M347" s="585">
        <v>45920</v>
      </c>
      <c r="N347" s="585">
        <v>45917</v>
      </c>
      <c r="O347" s="586"/>
      <c r="P347" s="586" t="s">
        <v>83</v>
      </c>
      <c r="Q347" s="587" t="s">
        <v>1657</v>
      </c>
      <c r="R347" s="586" t="s">
        <v>1674</v>
      </c>
      <c r="S347" s="586"/>
      <c r="T347" s="586"/>
      <c r="U347" s="641" t="s">
        <v>86</v>
      </c>
      <c r="V347" s="641"/>
      <c r="W347" s="641"/>
      <c r="X347" s="661" t="s">
        <v>1675</v>
      </c>
      <c r="Y347" s="618" t="s">
        <v>1676</v>
      </c>
      <c r="Z347" s="590">
        <v>5.7828</v>
      </c>
      <c r="AA347" s="591">
        <f t="shared" si="240"/>
        <v>5655.5784</v>
      </c>
      <c r="AB347" s="619"/>
      <c r="AC347" s="582" t="s">
        <v>81</v>
      </c>
      <c r="AD347" s="593" t="s">
        <v>89</v>
      </c>
      <c r="AE347" s="620"/>
      <c r="AF347" s="620"/>
      <c r="AG347" s="595">
        <f t="shared" si="231"/>
        <v>978</v>
      </c>
      <c r="AH347" s="620"/>
      <c r="AI347" s="620"/>
      <c r="AJ347" s="589"/>
      <c r="AK347" s="629"/>
      <c r="AL347" s="620"/>
      <c r="AM347" s="620"/>
      <c r="AN347" s="598">
        <f t="shared" si="239"/>
        <v>978</v>
      </c>
      <c r="AO347" s="621"/>
      <c r="AP347" s="622"/>
      <c r="AQ347" s="622"/>
      <c r="AR347" s="621">
        <f t="shared" si="232"/>
        <v>978</v>
      </c>
      <c r="AS347" s="622"/>
      <c r="AT347" s="622"/>
      <c r="AU347" s="621"/>
      <c r="AV347" s="621"/>
      <c r="AW347" s="592">
        <f t="shared" si="217"/>
        <v>978</v>
      </c>
      <c r="AX347" s="621"/>
      <c r="AY347" s="621"/>
      <c r="AZ347" s="621"/>
      <c r="BA347" s="621"/>
      <c r="BB347" s="621"/>
      <c r="BC347" s="621"/>
      <c r="BD347" s="621"/>
      <c r="BE347" s="623"/>
      <c r="BF347" s="602" t="s">
        <v>90</v>
      </c>
      <c r="BG347" s="603"/>
      <c r="BH347" s="604">
        <f t="shared" si="233"/>
        <v>163</v>
      </c>
      <c r="BI347" s="605">
        <f t="shared" si="234"/>
        <v>163</v>
      </c>
      <c r="BJ347" s="602">
        <f t="shared" si="235"/>
        <v>163</v>
      </c>
      <c r="BK347" s="602">
        <f t="shared" si="236"/>
        <v>163</v>
      </c>
      <c r="BL347" s="602">
        <f t="shared" si="237"/>
        <v>163</v>
      </c>
      <c r="BM347" s="602">
        <f t="shared" si="238"/>
        <v>163</v>
      </c>
      <c r="BN347" s="624"/>
      <c r="BO347" s="624"/>
      <c r="BP347" s="624"/>
      <c r="BQ347" s="624"/>
      <c r="BR347" s="624"/>
      <c r="BS347" s="624"/>
      <c r="BT347" s="607">
        <f t="shared" si="224"/>
        <v>978</v>
      </c>
      <c r="BU347" s="608">
        <f t="shared" si="225"/>
        <v>0</v>
      </c>
      <c r="BV347" s="517"/>
      <c r="BW347" s="491"/>
    </row>
    <row r="348" s="490" customFormat="1" ht="33" customHeight="1" spans="1:75">
      <c r="A348" s="577">
        <v>45882</v>
      </c>
      <c r="B348" s="581" t="s">
        <v>581</v>
      </c>
      <c r="C348" s="579" t="s">
        <v>246</v>
      </c>
      <c r="D348" s="580">
        <v>4500176837</v>
      </c>
      <c r="E348" s="588">
        <v>29145153</v>
      </c>
      <c r="F348" s="580" t="s">
        <v>1677</v>
      </c>
      <c r="G348" s="582" t="s">
        <v>81</v>
      </c>
      <c r="H348" s="578" t="s">
        <v>95</v>
      </c>
      <c r="I348" s="583">
        <v>522</v>
      </c>
      <c r="J348" s="583">
        <v>0</v>
      </c>
      <c r="K348" s="583">
        <v>6</v>
      </c>
      <c r="L348" s="584">
        <f t="shared" si="200"/>
        <v>87</v>
      </c>
      <c r="M348" s="585">
        <v>45920</v>
      </c>
      <c r="N348" s="585">
        <v>45917</v>
      </c>
      <c r="O348" s="586"/>
      <c r="P348" s="586" t="s">
        <v>83</v>
      </c>
      <c r="Q348" s="587" t="s">
        <v>1678</v>
      </c>
      <c r="R348" s="586" t="s">
        <v>1674</v>
      </c>
      <c r="S348" s="586"/>
      <c r="T348" s="586"/>
      <c r="U348" s="641" t="s">
        <v>86</v>
      </c>
      <c r="V348" s="641"/>
      <c r="W348" s="641"/>
      <c r="X348" s="661" t="s">
        <v>1675</v>
      </c>
      <c r="Y348" s="618" t="s">
        <v>1676</v>
      </c>
      <c r="Z348" s="590">
        <v>5.7828</v>
      </c>
      <c r="AA348" s="591">
        <f t="shared" si="240"/>
        <v>3018.6216</v>
      </c>
      <c r="AB348" s="619"/>
      <c r="AC348" s="582" t="s">
        <v>81</v>
      </c>
      <c r="AD348" s="593" t="s">
        <v>89</v>
      </c>
      <c r="AE348" s="620"/>
      <c r="AF348" s="620"/>
      <c r="AG348" s="595">
        <f t="shared" si="231"/>
        <v>522</v>
      </c>
      <c r="AH348" s="620"/>
      <c r="AI348" s="620"/>
      <c r="AJ348" s="589"/>
      <c r="AK348" s="629"/>
      <c r="AL348" s="620"/>
      <c r="AM348" s="620"/>
      <c r="AN348" s="598">
        <f t="shared" si="239"/>
        <v>522</v>
      </c>
      <c r="AO348" s="621"/>
      <c r="AP348" s="622"/>
      <c r="AQ348" s="622"/>
      <c r="AR348" s="621">
        <f t="shared" si="232"/>
        <v>522</v>
      </c>
      <c r="AS348" s="622"/>
      <c r="AT348" s="622"/>
      <c r="AU348" s="621"/>
      <c r="AV348" s="621"/>
      <c r="AW348" s="592">
        <f t="shared" si="217"/>
        <v>522</v>
      </c>
      <c r="AX348" s="621"/>
      <c r="AY348" s="621"/>
      <c r="AZ348" s="621"/>
      <c r="BA348" s="621"/>
      <c r="BB348" s="621"/>
      <c r="BC348" s="621"/>
      <c r="BD348" s="621"/>
      <c r="BE348" s="623"/>
      <c r="BF348" s="602" t="s">
        <v>90</v>
      </c>
      <c r="BG348" s="603"/>
      <c r="BH348" s="604">
        <f t="shared" si="233"/>
        <v>87</v>
      </c>
      <c r="BI348" s="605">
        <f t="shared" si="234"/>
        <v>87</v>
      </c>
      <c r="BJ348" s="602">
        <f t="shared" si="235"/>
        <v>87</v>
      </c>
      <c r="BK348" s="602">
        <f t="shared" si="236"/>
        <v>87</v>
      </c>
      <c r="BL348" s="602">
        <f t="shared" si="237"/>
        <v>87</v>
      </c>
      <c r="BM348" s="602">
        <f t="shared" si="238"/>
        <v>87</v>
      </c>
      <c r="BN348" s="624"/>
      <c r="BO348" s="624"/>
      <c r="BP348" s="624"/>
      <c r="BQ348" s="624"/>
      <c r="BR348" s="624"/>
      <c r="BS348" s="624"/>
      <c r="BT348" s="607">
        <f t="shared" si="224"/>
        <v>522</v>
      </c>
      <c r="BU348" s="608">
        <f t="shared" si="225"/>
        <v>0</v>
      </c>
      <c r="BV348" s="517"/>
      <c r="BW348" s="491"/>
    </row>
    <row r="349" s="490" customFormat="1" ht="33" customHeight="1" spans="1:75">
      <c r="A349" s="577">
        <v>45877</v>
      </c>
      <c r="B349" s="581" t="s">
        <v>1679</v>
      </c>
      <c r="C349" s="579" t="s">
        <v>669</v>
      </c>
      <c r="D349" s="580">
        <v>4500176381</v>
      </c>
      <c r="E349" s="616"/>
      <c r="F349" s="580" t="s">
        <v>1680</v>
      </c>
      <c r="G349" s="582" t="s">
        <v>81</v>
      </c>
      <c r="H349" s="578" t="s">
        <v>95</v>
      </c>
      <c r="I349" s="583">
        <v>150</v>
      </c>
      <c r="J349" s="583">
        <v>0</v>
      </c>
      <c r="K349" s="583">
        <v>6</v>
      </c>
      <c r="L349" s="584">
        <f t="shared" si="200"/>
        <v>25</v>
      </c>
      <c r="M349" s="585">
        <v>45925</v>
      </c>
      <c r="N349" s="585">
        <v>45922</v>
      </c>
      <c r="O349" s="586"/>
      <c r="P349" s="586" t="s">
        <v>83</v>
      </c>
      <c r="Q349" s="587"/>
      <c r="R349" s="586" t="s">
        <v>1681</v>
      </c>
      <c r="S349" s="586"/>
      <c r="T349" s="586"/>
      <c r="U349" s="641" t="s">
        <v>1682</v>
      </c>
      <c r="V349" s="641"/>
      <c r="W349" s="641"/>
      <c r="X349" s="661" t="s">
        <v>1683</v>
      </c>
      <c r="Y349" s="618" t="s">
        <v>1684</v>
      </c>
      <c r="Z349" s="590">
        <v>5.7828</v>
      </c>
      <c r="AA349" s="591">
        <f t="shared" si="240"/>
        <v>867.42</v>
      </c>
      <c r="AB349" s="619"/>
      <c r="AC349" s="582" t="s">
        <v>81</v>
      </c>
      <c r="AD349" s="593" t="s">
        <v>89</v>
      </c>
      <c r="AE349" s="589"/>
      <c r="AF349" s="589"/>
      <c r="AG349" s="595">
        <f t="shared" si="231"/>
        <v>150</v>
      </c>
      <c r="AH349" s="589"/>
      <c r="AI349" s="589"/>
      <c r="AJ349" s="589"/>
      <c r="AK349" s="629"/>
      <c r="AL349" s="589"/>
      <c r="AM349" s="589"/>
      <c r="AN349" s="598">
        <f t="shared" si="239"/>
        <v>150</v>
      </c>
      <c r="AO349" s="621"/>
      <c r="AP349" s="621"/>
      <c r="AQ349" s="621"/>
      <c r="AR349" s="621">
        <f t="shared" si="232"/>
        <v>150</v>
      </c>
      <c r="AS349" s="621"/>
      <c r="AT349" s="621"/>
      <c r="AU349" s="621"/>
      <c r="AV349" s="621"/>
      <c r="AW349" s="592">
        <f t="shared" si="217"/>
        <v>150</v>
      </c>
      <c r="AX349" s="621"/>
      <c r="AY349" s="621"/>
      <c r="AZ349" s="621"/>
      <c r="BA349" s="621"/>
      <c r="BB349" s="621"/>
      <c r="BC349" s="621"/>
      <c r="BD349" s="621"/>
      <c r="BE349" s="623"/>
      <c r="BF349" s="602" t="s">
        <v>90</v>
      </c>
      <c r="BG349" s="603"/>
      <c r="BH349" s="604">
        <f t="shared" si="233"/>
        <v>25</v>
      </c>
      <c r="BI349" s="605">
        <f t="shared" si="234"/>
        <v>25</v>
      </c>
      <c r="BJ349" s="602">
        <f t="shared" si="235"/>
        <v>25</v>
      </c>
      <c r="BK349" s="602">
        <f t="shared" si="236"/>
        <v>25</v>
      </c>
      <c r="BL349" s="602">
        <f t="shared" si="237"/>
        <v>25</v>
      </c>
      <c r="BM349" s="602">
        <f t="shared" si="238"/>
        <v>25</v>
      </c>
      <c r="BN349" s="605"/>
      <c r="BO349" s="605"/>
      <c r="BP349" s="605"/>
      <c r="BQ349" s="605"/>
      <c r="BR349" s="605"/>
      <c r="BS349" s="605"/>
      <c r="BT349" s="607">
        <f t="shared" si="224"/>
        <v>150</v>
      </c>
      <c r="BU349" s="608">
        <f t="shared" si="225"/>
        <v>0</v>
      </c>
      <c r="BV349" s="491"/>
      <c r="BW349" s="491"/>
    </row>
    <row r="350" s="490" customFormat="1" ht="33" customHeight="1" spans="1:75">
      <c r="A350" s="577">
        <v>45911</v>
      </c>
      <c r="B350" s="581" t="s">
        <v>342</v>
      </c>
      <c r="C350" s="579" t="s">
        <v>343</v>
      </c>
      <c r="D350" s="580">
        <v>4500177477</v>
      </c>
      <c r="E350" s="588">
        <v>56496</v>
      </c>
      <c r="F350" s="580" t="s">
        <v>1685</v>
      </c>
      <c r="G350" s="582" t="s">
        <v>81</v>
      </c>
      <c r="H350" s="578" t="s">
        <v>95</v>
      </c>
      <c r="I350" s="583">
        <v>690</v>
      </c>
      <c r="J350" s="583">
        <v>0</v>
      </c>
      <c r="K350" s="583">
        <v>6</v>
      </c>
      <c r="L350" s="584">
        <f t="shared" si="200"/>
        <v>115</v>
      </c>
      <c r="M350" s="585">
        <v>45926</v>
      </c>
      <c r="N350" s="585">
        <v>45922</v>
      </c>
      <c r="O350" s="586"/>
      <c r="P350" s="586" t="s">
        <v>83</v>
      </c>
      <c r="Q350" s="587" t="s">
        <v>1657</v>
      </c>
      <c r="R350" s="586" t="s">
        <v>1686</v>
      </c>
      <c r="S350" s="586"/>
      <c r="T350" s="586"/>
      <c r="U350" s="641" t="s">
        <v>1687</v>
      </c>
      <c r="V350" s="641"/>
      <c r="W350" s="641"/>
      <c r="X350" s="661" t="s">
        <v>1688</v>
      </c>
      <c r="Y350" s="618" t="s">
        <v>1689</v>
      </c>
      <c r="Z350" s="590">
        <v>5.7828</v>
      </c>
      <c r="AA350" s="591">
        <f t="shared" si="240"/>
        <v>3990.132</v>
      </c>
      <c r="AB350" s="619"/>
      <c r="AC350" s="582" t="s">
        <v>81</v>
      </c>
      <c r="AD350" s="593" t="s">
        <v>89</v>
      </c>
      <c r="AE350" s="620"/>
      <c r="AF350" s="620"/>
      <c r="AG350" s="595">
        <f t="shared" si="231"/>
        <v>690</v>
      </c>
      <c r="AH350" s="620"/>
      <c r="AI350" s="620"/>
      <c r="AJ350" s="589"/>
      <c r="AK350" s="629"/>
      <c r="AL350" s="620"/>
      <c r="AM350" s="620"/>
      <c r="AN350" s="598">
        <f t="shared" si="239"/>
        <v>690</v>
      </c>
      <c r="AO350" s="621"/>
      <c r="AP350" s="622"/>
      <c r="AQ350" s="622"/>
      <c r="AR350" s="621">
        <f t="shared" si="232"/>
        <v>690</v>
      </c>
      <c r="AS350" s="622"/>
      <c r="AT350" s="622"/>
      <c r="AU350" s="621"/>
      <c r="AV350" s="621"/>
      <c r="AW350" s="592">
        <f t="shared" si="217"/>
        <v>690</v>
      </c>
      <c r="AX350" s="621"/>
      <c r="AY350" s="621"/>
      <c r="AZ350" s="621"/>
      <c r="BA350" s="621"/>
      <c r="BB350" s="621"/>
      <c r="BC350" s="621"/>
      <c r="BD350" s="621"/>
      <c r="BE350" s="623"/>
      <c r="BF350" s="602" t="s">
        <v>90</v>
      </c>
      <c r="BG350" s="603"/>
      <c r="BH350" s="604">
        <f t="shared" si="233"/>
        <v>115</v>
      </c>
      <c r="BI350" s="605">
        <f t="shared" si="234"/>
        <v>115</v>
      </c>
      <c r="BJ350" s="602">
        <f t="shared" si="235"/>
        <v>115</v>
      </c>
      <c r="BK350" s="602">
        <f t="shared" si="236"/>
        <v>115</v>
      </c>
      <c r="BL350" s="602">
        <f t="shared" si="237"/>
        <v>115</v>
      </c>
      <c r="BM350" s="602">
        <f t="shared" si="238"/>
        <v>115</v>
      </c>
      <c r="BN350" s="624"/>
      <c r="BO350" s="624"/>
      <c r="BP350" s="624"/>
      <c r="BQ350" s="624"/>
      <c r="BR350" s="624"/>
      <c r="BS350" s="624"/>
      <c r="BT350" s="607">
        <f t="shared" si="224"/>
        <v>690</v>
      </c>
      <c r="BU350" s="608">
        <f t="shared" si="225"/>
        <v>0</v>
      </c>
      <c r="BV350" s="517"/>
      <c r="BW350" s="491"/>
    </row>
    <row r="351" s="490" customFormat="1" ht="33" customHeight="1" spans="1:75">
      <c r="A351" s="577">
        <v>45862</v>
      </c>
      <c r="B351" s="581" t="s">
        <v>166</v>
      </c>
      <c r="C351" s="579" t="s">
        <v>92</v>
      </c>
      <c r="D351" s="580">
        <v>4500174671</v>
      </c>
      <c r="E351" s="588">
        <v>60235893</v>
      </c>
      <c r="F351" s="580" t="s">
        <v>1690</v>
      </c>
      <c r="G351" s="582" t="s">
        <v>81</v>
      </c>
      <c r="H351" s="578" t="s">
        <v>95</v>
      </c>
      <c r="I351" s="583">
        <v>2004</v>
      </c>
      <c r="J351" s="583">
        <v>0</v>
      </c>
      <c r="K351" s="583">
        <v>6</v>
      </c>
      <c r="L351" s="584">
        <f t="shared" si="200"/>
        <v>334</v>
      </c>
      <c r="M351" s="585">
        <v>45925</v>
      </c>
      <c r="N351" s="585">
        <v>45922</v>
      </c>
      <c r="O351" s="586"/>
      <c r="P351" s="586" t="s">
        <v>83</v>
      </c>
      <c r="Q351" s="587" t="s">
        <v>1691</v>
      </c>
      <c r="R351" s="586" t="s">
        <v>1668</v>
      </c>
      <c r="S351" s="586"/>
      <c r="T351" s="586"/>
      <c r="U351" s="641" t="s">
        <v>86</v>
      </c>
      <c r="V351" s="641" t="s">
        <v>1692</v>
      </c>
      <c r="W351" s="641"/>
      <c r="X351" s="661" t="s">
        <v>1693</v>
      </c>
      <c r="Y351" s="618" t="s">
        <v>1694</v>
      </c>
      <c r="Z351" s="590">
        <v>3.3563</v>
      </c>
      <c r="AA351" s="591">
        <f t="shared" si="240"/>
        <v>6726.0252</v>
      </c>
      <c r="AB351" s="619" t="s">
        <v>1695</v>
      </c>
      <c r="AC351" s="582" t="s">
        <v>81</v>
      </c>
      <c r="AD351" s="593" t="s">
        <v>89</v>
      </c>
      <c r="AE351" s="589"/>
      <c r="AF351" s="589"/>
      <c r="AG351" s="595">
        <f t="shared" si="231"/>
        <v>2004</v>
      </c>
      <c r="AH351" s="589"/>
      <c r="AI351" s="589"/>
      <c r="AJ351" s="589"/>
      <c r="AK351" s="629"/>
      <c r="AL351" s="589"/>
      <c r="AM351" s="589"/>
      <c r="AN351" s="598">
        <f t="shared" si="239"/>
        <v>2004</v>
      </c>
      <c r="AO351" s="621"/>
      <c r="AP351" s="621"/>
      <c r="AQ351" s="621"/>
      <c r="AR351" s="621">
        <f t="shared" si="232"/>
        <v>2004</v>
      </c>
      <c r="AS351" s="621"/>
      <c r="AT351" s="621"/>
      <c r="AU351" s="621"/>
      <c r="AV351" s="621"/>
      <c r="AW351" s="592">
        <f t="shared" si="217"/>
        <v>2004</v>
      </c>
      <c r="AX351" s="621"/>
      <c r="AY351" s="621"/>
      <c r="AZ351" s="621"/>
      <c r="BA351" s="621"/>
      <c r="BB351" s="621"/>
      <c r="BC351" s="621"/>
      <c r="BD351" s="621"/>
      <c r="BE351" s="623"/>
      <c r="BF351" s="602" t="s">
        <v>90</v>
      </c>
      <c r="BG351" s="603"/>
      <c r="BH351" s="604">
        <f t="shared" si="233"/>
        <v>334</v>
      </c>
      <c r="BI351" s="605">
        <f t="shared" si="234"/>
        <v>334</v>
      </c>
      <c r="BJ351" s="602">
        <f t="shared" si="235"/>
        <v>334</v>
      </c>
      <c r="BK351" s="602">
        <f t="shared" si="236"/>
        <v>334</v>
      </c>
      <c r="BL351" s="602">
        <f t="shared" si="237"/>
        <v>334</v>
      </c>
      <c r="BM351" s="602">
        <f t="shared" si="238"/>
        <v>334</v>
      </c>
      <c r="BN351" s="605"/>
      <c r="BO351" s="605"/>
      <c r="BP351" s="605"/>
      <c r="BQ351" s="605"/>
      <c r="BR351" s="605"/>
      <c r="BS351" s="605"/>
      <c r="BT351" s="607">
        <f t="shared" si="224"/>
        <v>2004</v>
      </c>
      <c r="BU351" s="608">
        <f t="shared" si="225"/>
        <v>0</v>
      </c>
      <c r="BV351" s="491"/>
      <c r="BW351" s="491"/>
    </row>
    <row r="352" s="490" customFormat="1" ht="33" customHeight="1" spans="1:75">
      <c r="A352" s="577">
        <v>45889</v>
      </c>
      <c r="B352" s="581" t="s">
        <v>563</v>
      </c>
      <c r="C352" s="579" t="s">
        <v>255</v>
      </c>
      <c r="D352" s="580">
        <v>4500177451</v>
      </c>
      <c r="E352" s="588">
        <v>2465842</v>
      </c>
      <c r="F352" s="580" t="s">
        <v>1696</v>
      </c>
      <c r="G352" s="582" t="s">
        <v>81</v>
      </c>
      <c r="H352" s="578" t="s">
        <v>95</v>
      </c>
      <c r="I352" s="583">
        <v>2004</v>
      </c>
      <c r="J352" s="583">
        <v>0</v>
      </c>
      <c r="K352" s="583">
        <v>6</v>
      </c>
      <c r="L352" s="584">
        <f t="shared" si="200"/>
        <v>334</v>
      </c>
      <c r="M352" s="585">
        <v>45930</v>
      </c>
      <c r="N352" s="585">
        <v>45926</v>
      </c>
      <c r="O352" s="586"/>
      <c r="P352" s="586" t="s">
        <v>83</v>
      </c>
      <c r="Q352" s="587"/>
      <c r="R352" s="586" t="s">
        <v>1697</v>
      </c>
      <c r="S352" s="586"/>
      <c r="T352" s="586"/>
      <c r="U352" s="641" t="s">
        <v>1698</v>
      </c>
      <c r="V352" s="641"/>
      <c r="W352" s="641"/>
      <c r="X352" s="661" t="s">
        <v>1699</v>
      </c>
      <c r="Y352" s="618" t="s">
        <v>464</v>
      </c>
      <c r="Z352" s="590">
        <v>6.1607</v>
      </c>
      <c r="AA352" s="591">
        <f t="shared" si="240"/>
        <v>12346.0428</v>
      </c>
      <c r="AB352" s="619"/>
      <c r="AC352" s="582" t="s">
        <v>81</v>
      </c>
      <c r="AD352" s="593" t="s">
        <v>89</v>
      </c>
      <c r="AE352" s="589"/>
      <c r="AF352" s="589"/>
      <c r="AG352" s="595">
        <f t="shared" si="231"/>
        <v>2004</v>
      </c>
      <c r="AH352" s="589"/>
      <c r="AI352" s="589"/>
      <c r="AJ352" s="589"/>
      <c r="AK352" s="629"/>
      <c r="AL352" s="589"/>
      <c r="AM352" s="589"/>
      <c r="AN352" s="598">
        <f t="shared" si="239"/>
        <v>2004</v>
      </c>
      <c r="AO352" s="621"/>
      <c r="AP352" s="621"/>
      <c r="AQ352" s="621"/>
      <c r="AR352" s="621">
        <f t="shared" si="232"/>
        <v>2004</v>
      </c>
      <c r="AS352" s="621"/>
      <c r="AT352" s="621"/>
      <c r="AU352" s="621"/>
      <c r="AV352" s="621"/>
      <c r="AW352" s="592">
        <f t="shared" si="217"/>
        <v>2004</v>
      </c>
      <c r="AX352" s="621"/>
      <c r="AY352" s="621"/>
      <c r="AZ352" s="621"/>
      <c r="BA352" s="621"/>
      <c r="BB352" s="621"/>
      <c r="BC352" s="621"/>
      <c r="BD352" s="621"/>
      <c r="BE352" s="623"/>
      <c r="BF352" s="602" t="s">
        <v>90</v>
      </c>
      <c r="BG352" s="603"/>
      <c r="BH352" s="632">
        <f t="shared" si="233"/>
        <v>334</v>
      </c>
      <c r="BI352" s="633">
        <f t="shared" si="234"/>
        <v>334</v>
      </c>
      <c r="BJ352" s="633">
        <f t="shared" si="235"/>
        <v>334</v>
      </c>
      <c r="BK352" s="633">
        <f t="shared" si="236"/>
        <v>334</v>
      </c>
      <c r="BL352" s="633">
        <f t="shared" si="237"/>
        <v>334</v>
      </c>
      <c r="BM352" s="633">
        <f t="shared" si="238"/>
        <v>334</v>
      </c>
      <c r="BN352" s="605"/>
      <c r="BO352" s="605"/>
      <c r="BP352" s="605"/>
      <c r="BQ352" s="605"/>
      <c r="BR352" s="605"/>
      <c r="BS352" s="605"/>
      <c r="BT352" s="607">
        <f t="shared" si="224"/>
        <v>2004</v>
      </c>
      <c r="BU352" s="608">
        <f t="shared" si="225"/>
        <v>0</v>
      </c>
      <c r="BV352" s="491"/>
      <c r="BW352" s="491"/>
    </row>
    <row r="353" s="490" customFormat="1" ht="33" customHeight="1" spans="1:75">
      <c r="A353" s="577">
        <v>45891</v>
      </c>
      <c r="B353" s="581" t="s">
        <v>1700</v>
      </c>
      <c r="C353" s="579" t="s">
        <v>878</v>
      </c>
      <c r="D353" s="580">
        <v>4500177534</v>
      </c>
      <c r="E353" s="616"/>
      <c r="F353" s="580" t="s">
        <v>1701</v>
      </c>
      <c r="G353" s="582" t="s">
        <v>81</v>
      </c>
      <c r="H353" s="578" t="s">
        <v>95</v>
      </c>
      <c r="I353" s="583">
        <v>120</v>
      </c>
      <c r="J353" s="583">
        <v>0</v>
      </c>
      <c r="K353" s="583">
        <v>6</v>
      </c>
      <c r="L353" s="584">
        <f t="shared" si="200"/>
        <v>20</v>
      </c>
      <c r="M353" s="585">
        <v>45940</v>
      </c>
      <c r="N353" s="585">
        <v>45936</v>
      </c>
      <c r="O353" s="586"/>
      <c r="P353" s="586" t="s">
        <v>83</v>
      </c>
      <c r="Q353" s="587" t="s">
        <v>1702</v>
      </c>
      <c r="R353" s="586" t="s">
        <v>1703</v>
      </c>
      <c r="S353" s="586"/>
      <c r="T353" s="586"/>
      <c r="U353" s="641" t="s">
        <v>1704</v>
      </c>
      <c r="V353" s="641"/>
      <c r="W353" s="641"/>
      <c r="X353" s="661" t="s">
        <v>1705</v>
      </c>
      <c r="Y353" s="618" t="s">
        <v>1004</v>
      </c>
      <c r="Z353" s="590">
        <v>5.8504</v>
      </c>
      <c r="AA353" s="591">
        <f t="shared" si="240"/>
        <v>702.048</v>
      </c>
      <c r="AB353" s="619"/>
      <c r="AC353" s="582" t="s">
        <v>81</v>
      </c>
      <c r="AD353" s="593" t="s">
        <v>89</v>
      </c>
      <c r="AE353" s="589"/>
      <c r="AF353" s="589"/>
      <c r="AG353" s="595">
        <f t="shared" si="231"/>
        <v>120</v>
      </c>
      <c r="AH353" s="589"/>
      <c r="AI353" s="589"/>
      <c r="AJ353" s="589"/>
      <c r="AK353" s="629"/>
      <c r="AL353" s="589"/>
      <c r="AM353" s="589"/>
      <c r="AN353" s="598">
        <f t="shared" si="239"/>
        <v>120</v>
      </c>
      <c r="AO353" s="621"/>
      <c r="AP353" s="621"/>
      <c r="AQ353" s="621"/>
      <c r="AR353" s="621">
        <f t="shared" si="232"/>
        <v>120</v>
      </c>
      <c r="AS353" s="621"/>
      <c r="AT353" s="621"/>
      <c r="AU353" s="621"/>
      <c r="AV353" s="621"/>
      <c r="AW353" s="592">
        <f t="shared" si="217"/>
        <v>120</v>
      </c>
      <c r="AX353" s="621"/>
      <c r="AY353" s="621"/>
      <c r="AZ353" s="621"/>
      <c r="BA353" s="621"/>
      <c r="BB353" s="621"/>
      <c r="BC353" s="621"/>
      <c r="BD353" s="621"/>
      <c r="BE353" s="623"/>
      <c r="BF353" s="602" t="s">
        <v>90</v>
      </c>
      <c r="BG353" s="603"/>
      <c r="BH353" s="632">
        <f t="shared" si="233"/>
        <v>20</v>
      </c>
      <c r="BI353" s="633">
        <f t="shared" si="234"/>
        <v>20</v>
      </c>
      <c r="BJ353" s="633">
        <f t="shared" si="235"/>
        <v>20</v>
      </c>
      <c r="BK353" s="633">
        <f t="shared" si="236"/>
        <v>20</v>
      </c>
      <c r="BL353" s="633">
        <f t="shared" si="237"/>
        <v>20</v>
      </c>
      <c r="BM353" s="633">
        <f t="shared" si="238"/>
        <v>20</v>
      </c>
      <c r="BN353" s="605"/>
      <c r="BO353" s="605"/>
      <c r="BP353" s="605"/>
      <c r="BQ353" s="605"/>
      <c r="BR353" s="605"/>
      <c r="BS353" s="605"/>
      <c r="BT353" s="607">
        <f t="shared" si="224"/>
        <v>120</v>
      </c>
      <c r="BU353" s="608">
        <f t="shared" si="225"/>
        <v>0</v>
      </c>
      <c r="BV353" s="491"/>
      <c r="BW353" s="491"/>
    </row>
    <row r="354" s="490" customFormat="1" ht="33" customHeight="1" spans="1:75">
      <c r="A354" s="577">
        <v>45904</v>
      </c>
      <c r="B354" s="581" t="s">
        <v>1706</v>
      </c>
      <c r="C354" s="579" t="s">
        <v>1707</v>
      </c>
      <c r="D354" s="580">
        <v>4500178799</v>
      </c>
      <c r="E354" s="616"/>
      <c r="F354" s="580" t="s">
        <v>1708</v>
      </c>
      <c r="G354" s="582" t="s">
        <v>81</v>
      </c>
      <c r="H354" s="578" t="s">
        <v>95</v>
      </c>
      <c r="I354" s="583">
        <v>600</v>
      </c>
      <c r="J354" s="583">
        <v>0</v>
      </c>
      <c r="K354" s="583">
        <v>6</v>
      </c>
      <c r="L354" s="584">
        <f t="shared" si="200"/>
        <v>100</v>
      </c>
      <c r="M354" s="585">
        <v>45947</v>
      </c>
      <c r="N354" s="585">
        <v>45943</v>
      </c>
      <c r="O354" s="586"/>
      <c r="P354" s="586" t="s">
        <v>83</v>
      </c>
      <c r="Q354" s="587" t="s">
        <v>1709</v>
      </c>
      <c r="R354" s="586" t="s">
        <v>1710</v>
      </c>
      <c r="S354" s="586"/>
      <c r="T354" s="586"/>
      <c r="U354" s="641" t="s">
        <v>1711</v>
      </c>
      <c r="V354" s="641"/>
      <c r="W354" s="641"/>
      <c r="X354" s="661" t="s">
        <v>1712</v>
      </c>
      <c r="Y354" s="618" t="s">
        <v>1689</v>
      </c>
      <c r="Z354" s="590">
        <v>5.6013</v>
      </c>
      <c r="AA354" s="591">
        <f t="shared" si="240"/>
        <v>3360.78</v>
      </c>
      <c r="AB354" s="619"/>
      <c r="AC354" s="582" t="s">
        <v>235</v>
      </c>
      <c r="AD354" s="593" t="s">
        <v>89</v>
      </c>
      <c r="AE354" s="589"/>
      <c r="AF354" s="589"/>
      <c r="AG354" s="595"/>
      <c r="AH354" s="589"/>
      <c r="AI354" s="589"/>
      <c r="AJ354" s="637">
        <f>I354</f>
        <v>600</v>
      </c>
      <c r="AK354" s="629"/>
      <c r="AL354" s="589"/>
      <c r="AM354" s="589"/>
      <c r="AN354" s="598">
        <f t="shared" si="239"/>
        <v>600</v>
      </c>
      <c r="AO354" s="621"/>
      <c r="AP354" s="621"/>
      <c r="AQ354" s="621"/>
      <c r="AR354" s="621"/>
      <c r="AS354" s="621"/>
      <c r="AT354" s="621"/>
      <c r="AU354" s="621">
        <f>I354</f>
        <v>600</v>
      </c>
      <c r="AV354" s="621"/>
      <c r="AW354" s="592">
        <f t="shared" si="217"/>
        <v>600</v>
      </c>
      <c r="AX354" s="621"/>
      <c r="AY354" s="621"/>
      <c r="AZ354" s="621"/>
      <c r="BA354" s="621"/>
      <c r="BB354" s="621"/>
      <c r="BC354" s="621"/>
      <c r="BD354" s="621"/>
      <c r="BE354" s="623"/>
      <c r="BF354" s="602" t="s">
        <v>90</v>
      </c>
      <c r="BG354" s="603"/>
      <c r="BH354" s="632">
        <f t="shared" si="233"/>
        <v>100</v>
      </c>
      <c r="BI354" s="633">
        <f t="shared" si="234"/>
        <v>100</v>
      </c>
      <c r="BJ354" s="633">
        <f t="shared" si="235"/>
        <v>100</v>
      </c>
      <c r="BK354" s="633">
        <f t="shared" si="236"/>
        <v>100</v>
      </c>
      <c r="BL354" s="633">
        <f t="shared" si="237"/>
        <v>100</v>
      </c>
      <c r="BM354" s="633">
        <f t="shared" si="238"/>
        <v>100</v>
      </c>
      <c r="BN354" s="605"/>
      <c r="BO354" s="605"/>
      <c r="BP354" s="605"/>
      <c r="BQ354" s="605"/>
      <c r="BR354" s="605"/>
      <c r="BS354" s="605"/>
      <c r="BT354" s="607">
        <f t="shared" si="224"/>
        <v>600</v>
      </c>
      <c r="BU354" s="608">
        <f t="shared" si="225"/>
        <v>0</v>
      </c>
      <c r="BV354" s="491"/>
      <c r="BW354" s="491"/>
    </row>
    <row r="355" s="490" customFormat="1" ht="33" customHeight="1" spans="1:75">
      <c r="A355" s="577">
        <v>45908</v>
      </c>
      <c r="B355" s="581" t="s">
        <v>627</v>
      </c>
      <c r="C355" s="579" t="s">
        <v>628</v>
      </c>
      <c r="D355" s="580">
        <v>4500179037</v>
      </c>
      <c r="E355" s="616" t="s">
        <v>1713</v>
      </c>
      <c r="F355" s="580" t="s">
        <v>1714</v>
      </c>
      <c r="G355" s="582" t="s">
        <v>81</v>
      </c>
      <c r="H355" s="578" t="s">
        <v>95</v>
      </c>
      <c r="I355" s="583">
        <v>2004</v>
      </c>
      <c r="J355" s="583">
        <v>0</v>
      </c>
      <c r="K355" s="583">
        <v>6</v>
      </c>
      <c r="L355" s="584">
        <f t="shared" si="200"/>
        <v>334</v>
      </c>
      <c r="M355" s="585">
        <v>45955</v>
      </c>
      <c r="N355" s="585">
        <v>45951</v>
      </c>
      <c r="O355" s="586"/>
      <c r="P355" s="586" t="s">
        <v>83</v>
      </c>
      <c r="Q355" s="587" t="s">
        <v>1715</v>
      </c>
      <c r="R355" s="586" t="s">
        <v>1716</v>
      </c>
      <c r="S355" s="586"/>
      <c r="T355" s="586"/>
      <c r="U355" s="641" t="s">
        <v>1717</v>
      </c>
      <c r="V355" s="641"/>
      <c r="W355" s="641"/>
      <c r="X355" s="661" t="s">
        <v>1718</v>
      </c>
      <c r="Y355" s="618" t="s">
        <v>116</v>
      </c>
      <c r="Z355" s="590">
        <v>5.7753</v>
      </c>
      <c r="AA355" s="591">
        <f t="shared" si="240"/>
        <v>11573.7012</v>
      </c>
      <c r="AB355" s="619" t="s">
        <v>1719</v>
      </c>
      <c r="AC355" s="582" t="s">
        <v>81</v>
      </c>
      <c r="AD355" s="593" t="s">
        <v>89</v>
      </c>
      <c r="AE355" s="589"/>
      <c r="AF355" s="589"/>
      <c r="AG355" s="595">
        <f>I355</f>
        <v>2004</v>
      </c>
      <c r="AH355" s="589"/>
      <c r="AI355" s="589"/>
      <c r="AJ355" s="637"/>
      <c r="AK355" s="629"/>
      <c r="AL355" s="589"/>
      <c r="AM355" s="589"/>
      <c r="AN355" s="598">
        <f t="shared" si="239"/>
        <v>2004</v>
      </c>
      <c r="AO355" s="621"/>
      <c r="AP355" s="621"/>
      <c r="AQ355" s="621"/>
      <c r="AR355" s="621">
        <f>I355</f>
        <v>2004</v>
      </c>
      <c r="AS355" s="621"/>
      <c r="AT355" s="621"/>
      <c r="AU355" s="621"/>
      <c r="AV355" s="621"/>
      <c r="AW355" s="592">
        <f t="shared" si="217"/>
        <v>2004</v>
      </c>
      <c r="AX355" s="621"/>
      <c r="AY355" s="621"/>
      <c r="AZ355" s="621"/>
      <c r="BA355" s="621"/>
      <c r="BB355" s="621"/>
      <c r="BC355" s="621"/>
      <c r="BD355" s="621"/>
      <c r="BE355" s="623"/>
      <c r="BF355" s="602" t="s">
        <v>90</v>
      </c>
      <c r="BG355" s="603"/>
      <c r="BH355" s="632">
        <f t="shared" si="233"/>
        <v>334</v>
      </c>
      <c r="BI355" s="633">
        <f t="shared" si="234"/>
        <v>334</v>
      </c>
      <c r="BJ355" s="633">
        <f t="shared" si="235"/>
        <v>334</v>
      </c>
      <c r="BK355" s="633">
        <f t="shared" si="236"/>
        <v>334</v>
      </c>
      <c r="BL355" s="633">
        <f t="shared" si="237"/>
        <v>334</v>
      </c>
      <c r="BM355" s="633">
        <f t="shared" si="238"/>
        <v>334</v>
      </c>
      <c r="BN355" s="605"/>
      <c r="BO355" s="605"/>
      <c r="BP355" s="605"/>
      <c r="BQ355" s="605"/>
      <c r="BR355" s="605"/>
      <c r="BS355" s="605"/>
      <c r="BT355" s="607">
        <f t="shared" si="224"/>
        <v>2004</v>
      </c>
      <c r="BU355" s="608">
        <f t="shared" si="225"/>
        <v>0</v>
      </c>
      <c r="BV355" s="491"/>
      <c r="BW355" s="491"/>
    </row>
    <row r="356" s="490" customFormat="1" ht="33" customHeight="1" spans="1:75">
      <c r="A356" s="577">
        <v>45895</v>
      </c>
      <c r="B356" s="581" t="s">
        <v>849</v>
      </c>
      <c r="C356" s="579" t="s">
        <v>334</v>
      </c>
      <c r="D356" s="580">
        <v>4500177865</v>
      </c>
      <c r="E356" s="616" t="s">
        <v>1720</v>
      </c>
      <c r="F356" s="580" t="s">
        <v>1721</v>
      </c>
      <c r="G356" s="582" t="s">
        <v>81</v>
      </c>
      <c r="H356" s="578" t="s">
        <v>95</v>
      </c>
      <c r="I356" s="583">
        <v>504</v>
      </c>
      <c r="J356" s="583">
        <v>0</v>
      </c>
      <c r="K356" s="583">
        <v>6</v>
      </c>
      <c r="L356" s="584">
        <f t="shared" si="200"/>
        <v>84</v>
      </c>
      <c r="M356" s="585">
        <v>45958</v>
      </c>
      <c r="N356" s="585">
        <v>45954</v>
      </c>
      <c r="O356" s="586"/>
      <c r="P356" s="586" t="s">
        <v>83</v>
      </c>
      <c r="Q356" s="587"/>
      <c r="R356" s="586" t="s">
        <v>1722</v>
      </c>
      <c r="S356" s="586"/>
      <c r="T356" s="586"/>
      <c r="U356" s="641" t="s">
        <v>1723</v>
      </c>
      <c r="V356" s="641"/>
      <c r="W356" s="641"/>
      <c r="X356" s="661" t="s">
        <v>1724</v>
      </c>
      <c r="Y356" s="618" t="s">
        <v>340</v>
      </c>
      <c r="Z356" s="590">
        <v>5.7828</v>
      </c>
      <c r="AA356" s="591">
        <f t="shared" si="240"/>
        <v>2914.5312</v>
      </c>
      <c r="AB356" s="619"/>
      <c r="AC356" s="582" t="s">
        <v>235</v>
      </c>
      <c r="AD356" s="593" t="s">
        <v>89</v>
      </c>
      <c r="AE356" s="589"/>
      <c r="AF356" s="589"/>
      <c r="AG356" s="595"/>
      <c r="AH356" s="589"/>
      <c r="AI356" s="589"/>
      <c r="AJ356" s="637">
        <f>I356</f>
        <v>504</v>
      </c>
      <c r="AK356" s="629"/>
      <c r="AL356" s="589"/>
      <c r="AM356" s="589"/>
      <c r="AN356" s="598">
        <f t="shared" si="239"/>
        <v>504</v>
      </c>
      <c r="AO356" s="621"/>
      <c r="AP356" s="621"/>
      <c r="AQ356" s="621"/>
      <c r="AR356" s="621"/>
      <c r="AS356" s="621"/>
      <c r="AT356" s="621"/>
      <c r="AU356" s="621">
        <f>I356</f>
        <v>504</v>
      </c>
      <c r="AV356" s="621"/>
      <c r="AW356" s="592">
        <f t="shared" si="217"/>
        <v>504</v>
      </c>
      <c r="AX356" s="621"/>
      <c r="AY356" s="621"/>
      <c r="AZ356" s="621"/>
      <c r="BA356" s="621"/>
      <c r="BB356" s="621"/>
      <c r="BC356" s="621"/>
      <c r="BD356" s="621"/>
      <c r="BE356" s="623"/>
      <c r="BF356" s="602" t="s">
        <v>90</v>
      </c>
      <c r="BG356" s="603"/>
      <c r="BH356" s="632">
        <f t="shared" si="233"/>
        <v>84</v>
      </c>
      <c r="BI356" s="633">
        <f t="shared" si="234"/>
        <v>84</v>
      </c>
      <c r="BJ356" s="633">
        <f t="shared" si="235"/>
        <v>84</v>
      </c>
      <c r="BK356" s="633">
        <f t="shared" si="236"/>
        <v>84</v>
      </c>
      <c r="BL356" s="633">
        <f t="shared" si="237"/>
        <v>84</v>
      </c>
      <c r="BM356" s="633">
        <f t="shared" si="238"/>
        <v>84</v>
      </c>
      <c r="BN356" s="605"/>
      <c r="BO356" s="605"/>
      <c r="BP356" s="605"/>
      <c r="BQ356" s="605"/>
      <c r="BR356" s="605"/>
      <c r="BS356" s="605"/>
      <c r="BT356" s="607">
        <f t="shared" si="224"/>
        <v>504</v>
      </c>
      <c r="BU356" s="608">
        <f t="shared" si="225"/>
        <v>0</v>
      </c>
      <c r="BV356" s="491"/>
      <c r="BW356" s="491"/>
    </row>
    <row r="357" s="490" customFormat="1" ht="33" customHeight="1" spans="1:75">
      <c r="A357" s="577">
        <v>45915</v>
      </c>
      <c r="B357" s="581" t="s">
        <v>342</v>
      </c>
      <c r="C357" s="579" t="s">
        <v>343</v>
      </c>
      <c r="D357" s="580">
        <v>4500179492</v>
      </c>
      <c r="E357" s="588">
        <v>56535</v>
      </c>
      <c r="F357" s="580" t="s">
        <v>1725</v>
      </c>
      <c r="G357" s="582" t="s">
        <v>81</v>
      </c>
      <c r="H357" s="578" t="s">
        <v>95</v>
      </c>
      <c r="I357" s="583">
        <v>1440</v>
      </c>
      <c r="J357" s="583">
        <v>0</v>
      </c>
      <c r="K357" s="583">
        <v>6</v>
      </c>
      <c r="L357" s="584">
        <f t="shared" si="200"/>
        <v>240</v>
      </c>
      <c r="M357" s="585">
        <v>45960</v>
      </c>
      <c r="N357" s="585">
        <v>45957</v>
      </c>
      <c r="O357" s="586"/>
      <c r="P357" s="586" t="s">
        <v>83</v>
      </c>
      <c r="Q357" s="587" t="s">
        <v>1726</v>
      </c>
      <c r="R357" s="586" t="s">
        <v>1727</v>
      </c>
      <c r="S357" s="586"/>
      <c r="T357" s="586"/>
      <c r="U357" s="641" t="s">
        <v>1728</v>
      </c>
      <c r="V357" s="641"/>
      <c r="W357" s="641"/>
      <c r="X357" s="661" t="s">
        <v>1729</v>
      </c>
      <c r="Y357" s="618" t="s">
        <v>1689</v>
      </c>
      <c r="Z357" s="590">
        <v>5.7753</v>
      </c>
      <c r="AA357" s="591">
        <f t="shared" si="240"/>
        <v>8316.432</v>
      </c>
      <c r="AB357" s="619" t="s">
        <v>1730</v>
      </c>
      <c r="AC357" s="582" t="s">
        <v>81</v>
      </c>
      <c r="AD357" s="593" t="s">
        <v>89</v>
      </c>
      <c r="AE357" s="589"/>
      <c r="AF357" s="589"/>
      <c r="AG357" s="595">
        <f t="shared" ref="AG357:AG376" si="241">I357</f>
        <v>1440</v>
      </c>
      <c r="AH357" s="589"/>
      <c r="AI357" s="589"/>
      <c r="AJ357" s="637"/>
      <c r="AK357" s="629"/>
      <c r="AL357" s="589"/>
      <c r="AM357" s="589"/>
      <c r="AN357" s="598">
        <f t="shared" si="239"/>
        <v>1440</v>
      </c>
      <c r="AO357" s="621"/>
      <c r="AP357" s="621"/>
      <c r="AQ357" s="621"/>
      <c r="AR357" s="621">
        <f t="shared" ref="AR357:AR376" si="242">I357</f>
        <v>1440</v>
      </c>
      <c r="AS357" s="621"/>
      <c r="AT357" s="621"/>
      <c r="AU357" s="621"/>
      <c r="AV357" s="621"/>
      <c r="AW357" s="592">
        <f t="shared" si="217"/>
        <v>1440</v>
      </c>
      <c r="AX357" s="621"/>
      <c r="AY357" s="621"/>
      <c r="AZ357" s="621"/>
      <c r="BA357" s="621"/>
      <c r="BB357" s="621"/>
      <c r="BC357" s="621"/>
      <c r="BD357" s="621"/>
      <c r="BE357" s="623"/>
      <c r="BF357" s="602" t="s">
        <v>90</v>
      </c>
      <c r="BG357" s="603"/>
      <c r="BH357" s="632">
        <f t="shared" si="233"/>
        <v>240</v>
      </c>
      <c r="BI357" s="633">
        <f t="shared" si="234"/>
        <v>240</v>
      </c>
      <c r="BJ357" s="633">
        <f t="shared" si="235"/>
        <v>240</v>
      </c>
      <c r="BK357" s="633">
        <f t="shared" si="236"/>
        <v>240</v>
      </c>
      <c r="BL357" s="633">
        <f t="shared" si="237"/>
        <v>240</v>
      </c>
      <c r="BM357" s="633">
        <f t="shared" si="238"/>
        <v>240</v>
      </c>
      <c r="BN357" s="605"/>
      <c r="BO357" s="605"/>
      <c r="BP357" s="605"/>
      <c r="BQ357" s="605"/>
      <c r="BR357" s="605"/>
      <c r="BS357" s="605"/>
      <c r="BT357" s="607">
        <f t="shared" si="224"/>
        <v>1440</v>
      </c>
      <c r="BU357" s="608">
        <f t="shared" si="225"/>
        <v>0</v>
      </c>
      <c r="BV357" s="491"/>
      <c r="BW357" s="491"/>
    </row>
    <row r="358" s="490" customFormat="1" ht="33" customHeight="1" spans="1:75">
      <c r="A358" s="577">
        <v>45912</v>
      </c>
      <c r="B358" s="581" t="s">
        <v>254</v>
      </c>
      <c r="C358" s="579" t="s">
        <v>255</v>
      </c>
      <c r="D358" s="580">
        <v>4500179340</v>
      </c>
      <c r="E358" s="588">
        <v>21105432</v>
      </c>
      <c r="F358" s="580" t="s">
        <v>1731</v>
      </c>
      <c r="G358" s="582" t="s">
        <v>81</v>
      </c>
      <c r="H358" s="578" t="s">
        <v>95</v>
      </c>
      <c r="I358" s="583">
        <v>1272</v>
      </c>
      <c r="J358" s="583">
        <v>0</v>
      </c>
      <c r="K358" s="583">
        <v>6</v>
      </c>
      <c r="L358" s="584">
        <f t="shared" si="200"/>
        <v>212</v>
      </c>
      <c r="M358" s="585">
        <v>45962</v>
      </c>
      <c r="N358" s="585">
        <v>45962</v>
      </c>
      <c r="O358" s="586"/>
      <c r="P358" s="586" t="s">
        <v>83</v>
      </c>
      <c r="Q358" s="587" t="s">
        <v>1732</v>
      </c>
      <c r="R358" s="586" t="s">
        <v>1733</v>
      </c>
      <c r="S358" s="586"/>
      <c r="T358" s="586"/>
      <c r="U358" s="641" t="s">
        <v>1734</v>
      </c>
      <c r="V358" s="641"/>
      <c r="W358" s="641"/>
      <c r="X358" s="661" t="s">
        <v>1735</v>
      </c>
      <c r="Y358" s="618" t="s">
        <v>252</v>
      </c>
      <c r="Z358" s="590">
        <v>6.1607</v>
      </c>
      <c r="AA358" s="591">
        <f t="shared" si="240"/>
        <v>7836.4104</v>
      </c>
      <c r="AB358" s="619"/>
      <c r="AC358" s="582" t="s">
        <v>81</v>
      </c>
      <c r="AD358" s="593" t="s">
        <v>89</v>
      </c>
      <c r="AE358" s="589"/>
      <c r="AF358" s="589"/>
      <c r="AG358" s="595">
        <f t="shared" si="241"/>
        <v>1272</v>
      </c>
      <c r="AH358" s="589"/>
      <c r="AI358" s="589"/>
      <c r="AJ358" s="637"/>
      <c r="AK358" s="629"/>
      <c r="AL358" s="589"/>
      <c r="AM358" s="589"/>
      <c r="AN358" s="598">
        <f t="shared" si="239"/>
        <v>1272</v>
      </c>
      <c r="AO358" s="621"/>
      <c r="AP358" s="621"/>
      <c r="AQ358" s="621"/>
      <c r="AR358" s="621">
        <f t="shared" si="242"/>
        <v>1272</v>
      </c>
      <c r="AS358" s="621"/>
      <c r="AT358" s="621"/>
      <c r="AU358" s="621"/>
      <c r="AV358" s="621"/>
      <c r="AW358" s="592">
        <f t="shared" si="217"/>
        <v>1272</v>
      </c>
      <c r="AX358" s="621"/>
      <c r="AY358" s="621"/>
      <c r="AZ358" s="621"/>
      <c r="BA358" s="621"/>
      <c r="BB358" s="621"/>
      <c r="BC358" s="621"/>
      <c r="BD358" s="621"/>
      <c r="BE358" s="623"/>
      <c r="BF358" s="602" t="s">
        <v>90</v>
      </c>
      <c r="BG358" s="603"/>
      <c r="BH358" s="604">
        <f t="shared" si="233"/>
        <v>212</v>
      </c>
      <c r="BI358" s="605">
        <f t="shared" si="234"/>
        <v>212</v>
      </c>
      <c r="BJ358" s="602">
        <f t="shared" si="235"/>
        <v>212</v>
      </c>
      <c r="BK358" s="602">
        <f t="shared" si="236"/>
        <v>212</v>
      </c>
      <c r="BL358" s="602">
        <f t="shared" si="237"/>
        <v>212</v>
      </c>
      <c r="BM358" s="602">
        <f t="shared" si="238"/>
        <v>212</v>
      </c>
      <c r="BN358" s="605"/>
      <c r="BO358" s="605"/>
      <c r="BP358" s="605"/>
      <c r="BQ358" s="605"/>
      <c r="BR358" s="605"/>
      <c r="BS358" s="605"/>
      <c r="BT358" s="607">
        <f t="shared" si="224"/>
        <v>1272</v>
      </c>
      <c r="BU358" s="608">
        <f t="shared" si="225"/>
        <v>0</v>
      </c>
      <c r="BV358" s="491"/>
      <c r="BW358" s="491"/>
    </row>
    <row r="359" s="490" customFormat="1" ht="33" customHeight="1" spans="1:75">
      <c r="A359" s="577">
        <v>45912</v>
      </c>
      <c r="B359" s="581" t="s">
        <v>245</v>
      </c>
      <c r="C359" s="579" t="s">
        <v>246</v>
      </c>
      <c r="D359" s="580">
        <v>4500179341</v>
      </c>
      <c r="E359" s="588">
        <v>21105434</v>
      </c>
      <c r="F359" s="580" t="s">
        <v>1736</v>
      </c>
      <c r="G359" s="582" t="s">
        <v>81</v>
      </c>
      <c r="H359" s="578" t="s">
        <v>95</v>
      </c>
      <c r="I359" s="583">
        <v>228</v>
      </c>
      <c r="J359" s="583">
        <v>0</v>
      </c>
      <c r="K359" s="583">
        <v>6</v>
      </c>
      <c r="L359" s="584">
        <f t="shared" si="200"/>
        <v>38</v>
      </c>
      <c r="M359" s="585">
        <v>45962</v>
      </c>
      <c r="N359" s="585">
        <v>45962</v>
      </c>
      <c r="O359" s="586"/>
      <c r="P359" s="586" t="s">
        <v>83</v>
      </c>
      <c r="Q359" s="587" t="s">
        <v>1732</v>
      </c>
      <c r="R359" s="586" t="s">
        <v>1733</v>
      </c>
      <c r="S359" s="586"/>
      <c r="T359" s="586"/>
      <c r="U359" s="641" t="s">
        <v>1734</v>
      </c>
      <c r="V359" s="641"/>
      <c r="W359" s="641"/>
      <c r="X359" s="661" t="s">
        <v>1737</v>
      </c>
      <c r="Y359" s="618" t="s">
        <v>252</v>
      </c>
      <c r="Z359" s="590">
        <v>6.1681</v>
      </c>
      <c r="AA359" s="591">
        <f t="shared" si="240"/>
        <v>1406.3268</v>
      </c>
      <c r="AB359" s="619"/>
      <c r="AC359" s="582" t="s">
        <v>81</v>
      </c>
      <c r="AD359" s="593" t="s">
        <v>89</v>
      </c>
      <c r="AE359" s="589"/>
      <c r="AF359" s="589"/>
      <c r="AG359" s="595">
        <f t="shared" si="241"/>
        <v>228</v>
      </c>
      <c r="AH359" s="589"/>
      <c r="AI359" s="589"/>
      <c r="AJ359" s="637"/>
      <c r="AK359" s="629"/>
      <c r="AL359" s="589"/>
      <c r="AM359" s="589"/>
      <c r="AN359" s="598">
        <f t="shared" si="239"/>
        <v>228</v>
      </c>
      <c r="AO359" s="621"/>
      <c r="AP359" s="621"/>
      <c r="AQ359" s="621"/>
      <c r="AR359" s="621">
        <f t="shared" si="242"/>
        <v>228</v>
      </c>
      <c r="AS359" s="621"/>
      <c r="AT359" s="621"/>
      <c r="AU359" s="621"/>
      <c r="AV359" s="621"/>
      <c r="AW359" s="592">
        <f t="shared" si="217"/>
        <v>228</v>
      </c>
      <c r="AX359" s="621"/>
      <c r="AY359" s="621"/>
      <c r="AZ359" s="621"/>
      <c r="BA359" s="621"/>
      <c r="BB359" s="621"/>
      <c r="BC359" s="621"/>
      <c r="BD359" s="621"/>
      <c r="BE359" s="623"/>
      <c r="BF359" s="602" t="s">
        <v>90</v>
      </c>
      <c r="BG359" s="603"/>
      <c r="BH359" s="604">
        <f t="shared" si="233"/>
        <v>38</v>
      </c>
      <c r="BI359" s="605">
        <f t="shared" si="234"/>
        <v>38</v>
      </c>
      <c r="BJ359" s="602">
        <f t="shared" si="235"/>
        <v>38</v>
      </c>
      <c r="BK359" s="602">
        <f t="shared" si="236"/>
        <v>38</v>
      </c>
      <c r="BL359" s="602">
        <f t="shared" si="237"/>
        <v>38</v>
      </c>
      <c r="BM359" s="602">
        <f t="shared" si="238"/>
        <v>38</v>
      </c>
      <c r="BN359" s="605"/>
      <c r="BO359" s="605"/>
      <c r="BP359" s="605"/>
      <c r="BQ359" s="605"/>
      <c r="BR359" s="605"/>
      <c r="BS359" s="605"/>
      <c r="BT359" s="607">
        <f t="shared" si="224"/>
        <v>228</v>
      </c>
      <c r="BU359" s="608">
        <f t="shared" si="225"/>
        <v>0</v>
      </c>
      <c r="BV359" s="491"/>
      <c r="BW359" s="491"/>
    </row>
    <row r="360" s="490" customFormat="1" ht="33" customHeight="1" spans="1:75">
      <c r="A360" s="577">
        <v>45930</v>
      </c>
      <c r="B360" s="581" t="s">
        <v>254</v>
      </c>
      <c r="C360" s="579" t="s">
        <v>255</v>
      </c>
      <c r="D360" s="580">
        <v>4500179977</v>
      </c>
      <c r="E360" s="588">
        <v>21211526</v>
      </c>
      <c r="F360" s="580" t="s">
        <v>1738</v>
      </c>
      <c r="G360" s="582" t="s">
        <v>81</v>
      </c>
      <c r="H360" s="578" t="s">
        <v>95</v>
      </c>
      <c r="I360" s="583">
        <v>2700</v>
      </c>
      <c r="J360" s="583">
        <v>0</v>
      </c>
      <c r="K360" s="583">
        <v>6</v>
      </c>
      <c r="L360" s="584">
        <f t="shared" si="200"/>
        <v>450</v>
      </c>
      <c r="M360" s="585">
        <v>45967</v>
      </c>
      <c r="N360" s="585">
        <v>45964</v>
      </c>
      <c r="O360" s="586"/>
      <c r="P360" s="586" t="s">
        <v>83</v>
      </c>
      <c r="Q360" s="587" t="s">
        <v>1739</v>
      </c>
      <c r="R360" s="586" t="s">
        <v>1740</v>
      </c>
      <c r="S360" s="586"/>
      <c r="T360" s="586"/>
      <c r="U360" s="641" t="s">
        <v>1741</v>
      </c>
      <c r="V360" s="641"/>
      <c r="W360" s="641"/>
      <c r="X360" s="661" t="s">
        <v>1609</v>
      </c>
      <c r="Y360" s="618" t="s">
        <v>252</v>
      </c>
      <c r="Z360" s="590">
        <v>6.1607</v>
      </c>
      <c r="AA360" s="591">
        <f t="shared" si="240"/>
        <v>16633.89</v>
      </c>
      <c r="AB360" s="619"/>
      <c r="AC360" s="582" t="s">
        <v>81</v>
      </c>
      <c r="AD360" s="593" t="s">
        <v>89</v>
      </c>
      <c r="AE360" s="589"/>
      <c r="AF360" s="589"/>
      <c r="AG360" s="595">
        <f t="shared" si="241"/>
        <v>2700</v>
      </c>
      <c r="AH360" s="589"/>
      <c r="AI360" s="589"/>
      <c r="AJ360" s="637"/>
      <c r="AK360" s="629"/>
      <c r="AL360" s="589"/>
      <c r="AM360" s="589"/>
      <c r="AN360" s="598">
        <f t="shared" si="239"/>
        <v>2700</v>
      </c>
      <c r="AO360" s="621"/>
      <c r="AP360" s="621"/>
      <c r="AQ360" s="621"/>
      <c r="AR360" s="621">
        <f t="shared" si="242"/>
        <v>2700</v>
      </c>
      <c r="AS360" s="621"/>
      <c r="AT360" s="621"/>
      <c r="AU360" s="621"/>
      <c r="AV360" s="621"/>
      <c r="AW360" s="592">
        <f t="shared" si="217"/>
        <v>2700</v>
      </c>
      <c r="AX360" s="621"/>
      <c r="AY360" s="621"/>
      <c r="AZ360" s="621"/>
      <c r="BA360" s="621"/>
      <c r="BB360" s="621"/>
      <c r="BC360" s="621"/>
      <c r="BD360" s="621"/>
      <c r="BE360" s="623"/>
      <c r="BF360" s="602" t="s">
        <v>90</v>
      </c>
      <c r="BG360" s="603"/>
      <c r="BH360" s="604">
        <f t="shared" si="233"/>
        <v>450</v>
      </c>
      <c r="BI360" s="605">
        <f t="shared" si="234"/>
        <v>450</v>
      </c>
      <c r="BJ360" s="602">
        <f t="shared" si="235"/>
        <v>450</v>
      </c>
      <c r="BK360" s="602">
        <f t="shared" si="236"/>
        <v>450</v>
      </c>
      <c r="BL360" s="602">
        <f t="shared" si="237"/>
        <v>450</v>
      </c>
      <c r="BM360" s="602">
        <f t="shared" si="238"/>
        <v>450</v>
      </c>
      <c r="BN360" s="605"/>
      <c r="BO360" s="605"/>
      <c r="BP360" s="605"/>
      <c r="BQ360" s="605"/>
      <c r="BR360" s="605"/>
      <c r="BS360" s="605"/>
      <c r="BT360" s="607">
        <f t="shared" si="224"/>
        <v>2700</v>
      </c>
      <c r="BU360" s="608">
        <f t="shared" si="225"/>
        <v>0</v>
      </c>
      <c r="BV360" s="491"/>
      <c r="BW360" s="491"/>
    </row>
    <row r="361" s="490" customFormat="1" ht="33" customHeight="1" spans="1:75">
      <c r="A361" s="577">
        <v>45930</v>
      </c>
      <c r="B361" s="581" t="s">
        <v>245</v>
      </c>
      <c r="C361" s="579" t="s">
        <v>246</v>
      </c>
      <c r="D361" s="580">
        <v>4500179979</v>
      </c>
      <c r="E361" s="588">
        <v>21211530</v>
      </c>
      <c r="F361" s="580" t="s">
        <v>1742</v>
      </c>
      <c r="G361" s="582" t="s">
        <v>81</v>
      </c>
      <c r="H361" s="578" t="s">
        <v>95</v>
      </c>
      <c r="I361" s="583">
        <v>300</v>
      </c>
      <c r="J361" s="583">
        <v>0</v>
      </c>
      <c r="K361" s="583">
        <v>6</v>
      </c>
      <c r="L361" s="584">
        <f t="shared" si="200"/>
        <v>50</v>
      </c>
      <c r="M361" s="585">
        <v>45967</v>
      </c>
      <c r="N361" s="585">
        <v>45964</v>
      </c>
      <c r="O361" s="586"/>
      <c r="P361" s="586" t="s">
        <v>83</v>
      </c>
      <c r="Q361" s="587" t="s">
        <v>1739</v>
      </c>
      <c r="R361" s="586" t="s">
        <v>1740</v>
      </c>
      <c r="S361" s="586"/>
      <c r="T361" s="586"/>
      <c r="U361" s="641" t="s">
        <v>1741</v>
      </c>
      <c r="V361" s="641"/>
      <c r="W361" s="641"/>
      <c r="X361" s="661" t="s">
        <v>1743</v>
      </c>
      <c r="Y361" s="618" t="s">
        <v>252</v>
      </c>
      <c r="Z361" s="590">
        <v>6.1607</v>
      </c>
      <c r="AA361" s="591">
        <f t="shared" si="240"/>
        <v>1848.21</v>
      </c>
      <c r="AB361" s="619"/>
      <c r="AC361" s="582" t="s">
        <v>81</v>
      </c>
      <c r="AD361" s="593" t="s">
        <v>89</v>
      </c>
      <c r="AE361" s="589"/>
      <c r="AF361" s="589"/>
      <c r="AG361" s="595">
        <f t="shared" si="241"/>
        <v>300</v>
      </c>
      <c r="AH361" s="589"/>
      <c r="AI361" s="589"/>
      <c r="AJ361" s="637"/>
      <c r="AK361" s="629"/>
      <c r="AL361" s="589"/>
      <c r="AM361" s="589"/>
      <c r="AN361" s="598">
        <f t="shared" si="239"/>
        <v>300</v>
      </c>
      <c r="AO361" s="621"/>
      <c r="AP361" s="621"/>
      <c r="AQ361" s="621"/>
      <c r="AR361" s="621">
        <f t="shared" si="242"/>
        <v>300</v>
      </c>
      <c r="AS361" s="621"/>
      <c r="AT361" s="621"/>
      <c r="AU361" s="621"/>
      <c r="AV361" s="621"/>
      <c r="AW361" s="592">
        <f t="shared" si="217"/>
        <v>300</v>
      </c>
      <c r="AX361" s="621"/>
      <c r="AY361" s="621"/>
      <c r="AZ361" s="621"/>
      <c r="BA361" s="621"/>
      <c r="BB361" s="621"/>
      <c r="BC361" s="621"/>
      <c r="BD361" s="621"/>
      <c r="BE361" s="623"/>
      <c r="BF361" s="602" t="s">
        <v>90</v>
      </c>
      <c r="BG361" s="603"/>
      <c r="BH361" s="604">
        <f t="shared" si="233"/>
        <v>50</v>
      </c>
      <c r="BI361" s="605">
        <f t="shared" si="234"/>
        <v>50</v>
      </c>
      <c r="BJ361" s="602">
        <f t="shared" si="235"/>
        <v>50</v>
      </c>
      <c r="BK361" s="602">
        <f t="shared" si="236"/>
        <v>50</v>
      </c>
      <c r="BL361" s="602">
        <f t="shared" si="237"/>
        <v>50</v>
      </c>
      <c r="BM361" s="602">
        <f t="shared" si="238"/>
        <v>50</v>
      </c>
      <c r="BN361" s="605"/>
      <c r="BO361" s="605"/>
      <c r="BP361" s="605"/>
      <c r="BQ361" s="605"/>
      <c r="BR361" s="605"/>
      <c r="BS361" s="605"/>
      <c r="BT361" s="607">
        <f t="shared" si="224"/>
        <v>300</v>
      </c>
      <c r="BU361" s="608">
        <f t="shared" si="225"/>
        <v>0</v>
      </c>
      <c r="BV361" s="491"/>
      <c r="BW361" s="491"/>
    </row>
    <row r="362" s="490" customFormat="1" ht="33" customHeight="1" spans="1:75">
      <c r="A362" s="577">
        <v>45910</v>
      </c>
      <c r="B362" s="581" t="s">
        <v>1566</v>
      </c>
      <c r="C362" s="579" t="s">
        <v>140</v>
      </c>
      <c r="D362" s="580">
        <v>4500179217</v>
      </c>
      <c r="E362" s="588">
        <v>5000001997</v>
      </c>
      <c r="F362" s="580" t="s">
        <v>1744</v>
      </c>
      <c r="G362" s="582" t="s">
        <v>81</v>
      </c>
      <c r="H362" s="578" t="s">
        <v>95</v>
      </c>
      <c r="I362" s="583">
        <v>6000</v>
      </c>
      <c r="J362" s="583">
        <v>0</v>
      </c>
      <c r="K362" s="583">
        <v>6</v>
      </c>
      <c r="L362" s="584">
        <f t="shared" si="200"/>
        <v>1000</v>
      </c>
      <c r="M362" s="585">
        <v>45968</v>
      </c>
      <c r="N362" s="585">
        <v>45964</v>
      </c>
      <c r="O362" s="586"/>
      <c r="P362" s="586" t="s">
        <v>83</v>
      </c>
      <c r="Q362" s="587" t="s">
        <v>1745</v>
      </c>
      <c r="R362" s="586" t="s">
        <v>1746</v>
      </c>
      <c r="S362" s="586"/>
      <c r="T362" s="586"/>
      <c r="U362" s="641" t="s">
        <v>1747</v>
      </c>
      <c r="V362" s="641" t="s">
        <v>1748</v>
      </c>
      <c r="W362" s="641"/>
      <c r="X362" s="661" t="s">
        <v>1749</v>
      </c>
      <c r="Y362" s="618" t="s">
        <v>757</v>
      </c>
      <c r="Z362" s="590">
        <v>5.567</v>
      </c>
      <c r="AA362" s="591">
        <f t="shared" si="240"/>
        <v>33402</v>
      </c>
      <c r="AB362" s="619" t="s">
        <v>1750</v>
      </c>
      <c r="AC362" s="582" t="s">
        <v>149</v>
      </c>
      <c r="AD362" s="593" t="s">
        <v>89</v>
      </c>
      <c r="AE362" s="589"/>
      <c r="AF362" s="589"/>
      <c r="AG362" s="595">
        <f t="shared" si="241"/>
        <v>6000</v>
      </c>
      <c r="AH362" s="589"/>
      <c r="AI362" s="589"/>
      <c r="AJ362" s="637"/>
      <c r="AK362" s="629"/>
      <c r="AL362" s="589"/>
      <c r="AM362" s="589"/>
      <c r="AN362" s="598"/>
      <c r="AO362" s="621">
        <f>I362</f>
        <v>6000</v>
      </c>
      <c r="AP362" s="621"/>
      <c r="AQ362" s="621"/>
      <c r="AR362" s="621">
        <f t="shared" si="242"/>
        <v>6000</v>
      </c>
      <c r="AS362" s="621"/>
      <c r="AT362" s="621"/>
      <c r="AU362" s="621"/>
      <c r="AV362" s="621"/>
      <c r="AW362" s="592"/>
      <c r="AX362" s="621">
        <f>I362</f>
        <v>6000</v>
      </c>
      <c r="AY362" s="621"/>
      <c r="AZ362" s="621"/>
      <c r="BA362" s="621"/>
      <c r="BB362" s="621"/>
      <c r="BC362" s="621"/>
      <c r="BD362" s="621"/>
      <c r="BE362" s="623"/>
      <c r="BF362" s="602" t="s">
        <v>90</v>
      </c>
      <c r="BG362" s="603"/>
      <c r="BH362" s="632">
        <f t="shared" si="233"/>
        <v>1000</v>
      </c>
      <c r="BI362" s="633">
        <f t="shared" si="234"/>
        <v>1000</v>
      </c>
      <c r="BJ362" s="633">
        <f t="shared" si="235"/>
        <v>1000</v>
      </c>
      <c r="BK362" s="633">
        <f t="shared" si="236"/>
        <v>1000</v>
      </c>
      <c r="BL362" s="633">
        <f t="shared" si="237"/>
        <v>1000</v>
      </c>
      <c r="BM362" s="633">
        <f t="shared" si="238"/>
        <v>1000</v>
      </c>
      <c r="BN362" s="605"/>
      <c r="BO362" s="605"/>
      <c r="BP362" s="605"/>
      <c r="BQ362" s="605"/>
      <c r="BR362" s="605"/>
      <c r="BS362" s="605"/>
      <c r="BT362" s="607">
        <f t="shared" si="224"/>
        <v>6000</v>
      </c>
      <c r="BU362" s="608">
        <f t="shared" si="225"/>
        <v>0</v>
      </c>
      <c r="BV362" s="491"/>
      <c r="BW362" s="491"/>
    </row>
    <row r="363" s="490" customFormat="1" ht="33" customHeight="1" spans="1:75">
      <c r="A363" s="577">
        <v>45910</v>
      </c>
      <c r="B363" s="581" t="s">
        <v>1566</v>
      </c>
      <c r="C363" s="579" t="s">
        <v>140</v>
      </c>
      <c r="D363" s="580">
        <v>4500179217</v>
      </c>
      <c r="E363" s="588">
        <v>5000001997</v>
      </c>
      <c r="F363" s="580" t="s">
        <v>1751</v>
      </c>
      <c r="G363" s="582" t="s">
        <v>81</v>
      </c>
      <c r="H363" s="578" t="s">
        <v>95</v>
      </c>
      <c r="I363" s="583">
        <v>1500</v>
      </c>
      <c r="J363" s="583">
        <v>0</v>
      </c>
      <c r="K363" s="583">
        <v>6</v>
      </c>
      <c r="L363" s="584">
        <f t="shared" si="200"/>
        <v>250</v>
      </c>
      <c r="M363" s="585">
        <v>45968</v>
      </c>
      <c r="N363" s="585">
        <v>45964</v>
      </c>
      <c r="O363" s="586"/>
      <c r="P363" s="586" t="s">
        <v>83</v>
      </c>
      <c r="Q363" s="587" t="s">
        <v>1745</v>
      </c>
      <c r="R363" s="586" t="s">
        <v>1746</v>
      </c>
      <c r="S363" s="586"/>
      <c r="T363" s="586"/>
      <c r="U363" s="641" t="s">
        <v>1747</v>
      </c>
      <c r="V363" s="641" t="s">
        <v>1748</v>
      </c>
      <c r="W363" s="641"/>
      <c r="X363" s="661" t="s">
        <v>1749</v>
      </c>
      <c r="Y363" s="618" t="s">
        <v>757</v>
      </c>
      <c r="Z363" s="590">
        <v>5.567</v>
      </c>
      <c r="AA363" s="591">
        <f t="shared" si="240"/>
        <v>8350.5</v>
      </c>
      <c r="AB363" s="619" t="s">
        <v>1750</v>
      </c>
      <c r="AC363" s="582" t="s">
        <v>149</v>
      </c>
      <c r="AD363" s="593" t="s">
        <v>89</v>
      </c>
      <c r="AE363" s="589"/>
      <c r="AF363" s="589"/>
      <c r="AG363" s="595">
        <f t="shared" si="241"/>
        <v>1500</v>
      </c>
      <c r="AH363" s="589"/>
      <c r="AI363" s="589"/>
      <c r="AJ363" s="637"/>
      <c r="AK363" s="629"/>
      <c r="AL363" s="589"/>
      <c r="AM363" s="589"/>
      <c r="AN363" s="598"/>
      <c r="AO363" s="621">
        <f>I363</f>
        <v>1500</v>
      </c>
      <c r="AP363" s="621"/>
      <c r="AQ363" s="621"/>
      <c r="AR363" s="621">
        <f t="shared" si="242"/>
        <v>1500</v>
      </c>
      <c r="AS363" s="621"/>
      <c r="AT363" s="621"/>
      <c r="AU363" s="621"/>
      <c r="AV363" s="621"/>
      <c r="AW363" s="592"/>
      <c r="AX363" s="621">
        <f>I363</f>
        <v>1500</v>
      </c>
      <c r="AY363" s="621"/>
      <c r="AZ363" s="621"/>
      <c r="BA363" s="621"/>
      <c r="BB363" s="621"/>
      <c r="BC363" s="621"/>
      <c r="BD363" s="621"/>
      <c r="BE363" s="623"/>
      <c r="BF363" s="602" t="s">
        <v>90</v>
      </c>
      <c r="BG363" s="603"/>
      <c r="BH363" s="632">
        <f t="shared" si="233"/>
        <v>250</v>
      </c>
      <c r="BI363" s="633">
        <f t="shared" si="234"/>
        <v>250</v>
      </c>
      <c r="BJ363" s="633">
        <f t="shared" si="235"/>
        <v>250</v>
      </c>
      <c r="BK363" s="633">
        <f t="shared" si="236"/>
        <v>250</v>
      </c>
      <c r="BL363" s="633">
        <f t="shared" si="237"/>
        <v>250</v>
      </c>
      <c r="BM363" s="633">
        <f t="shared" si="238"/>
        <v>250</v>
      </c>
      <c r="BN363" s="605"/>
      <c r="BO363" s="605"/>
      <c r="BP363" s="605"/>
      <c r="BQ363" s="605"/>
      <c r="BR363" s="605"/>
      <c r="BS363" s="605"/>
      <c r="BT363" s="607">
        <f t="shared" si="224"/>
        <v>1500</v>
      </c>
      <c r="BU363" s="608">
        <f t="shared" si="225"/>
        <v>0</v>
      </c>
      <c r="BV363" s="491"/>
      <c r="BW363" s="491"/>
    </row>
    <row r="364" s="490" customFormat="1" ht="33" customHeight="1" spans="1:75">
      <c r="A364" s="577">
        <v>45925</v>
      </c>
      <c r="B364" s="581" t="s">
        <v>1566</v>
      </c>
      <c r="C364" s="579" t="s">
        <v>140</v>
      </c>
      <c r="D364" s="580">
        <v>4500179217</v>
      </c>
      <c r="E364" s="588">
        <v>5000001997</v>
      </c>
      <c r="F364" s="580" t="s">
        <v>1752</v>
      </c>
      <c r="G364" s="582" t="s">
        <v>81</v>
      </c>
      <c r="H364" s="578" t="s">
        <v>95</v>
      </c>
      <c r="I364" s="583">
        <v>1800</v>
      </c>
      <c r="J364" s="583">
        <v>0</v>
      </c>
      <c r="K364" s="583">
        <v>6</v>
      </c>
      <c r="L364" s="584">
        <f t="shared" si="200"/>
        <v>300</v>
      </c>
      <c r="M364" s="585">
        <v>45968</v>
      </c>
      <c r="N364" s="585">
        <v>45964</v>
      </c>
      <c r="O364" s="586"/>
      <c r="P364" s="586" t="s">
        <v>83</v>
      </c>
      <c r="Q364" s="587" t="s">
        <v>1745</v>
      </c>
      <c r="R364" s="586" t="s">
        <v>1746</v>
      </c>
      <c r="S364" s="586"/>
      <c r="T364" s="586"/>
      <c r="U364" s="641" t="s">
        <v>1747</v>
      </c>
      <c r="V364" s="641" t="s">
        <v>1748</v>
      </c>
      <c r="W364" s="641"/>
      <c r="X364" s="661" t="s">
        <v>1749</v>
      </c>
      <c r="Y364" s="618" t="s">
        <v>757</v>
      </c>
      <c r="Z364" s="590">
        <v>5.567</v>
      </c>
      <c r="AA364" s="591">
        <f t="shared" si="240"/>
        <v>10020.6</v>
      </c>
      <c r="AB364" s="619" t="s">
        <v>1750</v>
      </c>
      <c r="AC364" s="582" t="s">
        <v>149</v>
      </c>
      <c r="AD364" s="593" t="s">
        <v>89</v>
      </c>
      <c r="AE364" s="589"/>
      <c r="AF364" s="589"/>
      <c r="AG364" s="595">
        <f t="shared" si="241"/>
        <v>1800</v>
      </c>
      <c r="AH364" s="589"/>
      <c r="AI364" s="589"/>
      <c r="AJ364" s="637"/>
      <c r="AK364" s="629"/>
      <c r="AL364" s="589"/>
      <c r="AM364" s="589"/>
      <c r="AN364" s="598"/>
      <c r="AO364" s="621">
        <f>I364</f>
        <v>1800</v>
      </c>
      <c r="AP364" s="621"/>
      <c r="AQ364" s="621"/>
      <c r="AR364" s="621">
        <f t="shared" si="242"/>
        <v>1800</v>
      </c>
      <c r="AS364" s="621"/>
      <c r="AT364" s="621"/>
      <c r="AU364" s="621"/>
      <c r="AV364" s="621"/>
      <c r="AW364" s="592"/>
      <c r="AX364" s="621">
        <f>I364</f>
        <v>1800</v>
      </c>
      <c r="AY364" s="621"/>
      <c r="AZ364" s="621"/>
      <c r="BA364" s="621"/>
      <c r="BB364" s="621"/>
      <c r="BC364" s="621"/>
      <c r="BD364" s="621"/>
      <c r="BE364" s="623"/>
      <c r="BF364" s="602" t="s">
        <v>90</v>
      </c>
      <c r="BG364" s="603"/>
      <c r="BH364" s="632">
        <f t="shared" si="233"/>
        <v>300</v>
      </c>
      <c r="BI364" s="633">
        <f t="shared" si="234"/>
        <v>300</v>
      </c>
      <c r="BJ364" s="633">
        <f t="shared" si="235"/>
        <v>300</v>
      </c>
      <c r="BK364" s="633">
        <f t="shared" si="236"/>
        <v>300</v>
      </c>
      <c r="BL364" s="633">
        <f t="shared" si="237"/>
        <v>300</v>
      </c>
      <c r="BM364" s="633">
        <f t="shared" si="238"/>
        <v>300</v>
      </c>
      <c r="BN364" s="605"/>
      <c r="BO364" s="605"/>
      <c r="BP364" s="605"/>
      <c r="BQ364" s="605"/>
      <c r="BR364" s="605"/>
      <c r="BS364" s="605"/>
      <c r="BT364" s="607">
        <f t="shared" si="224"/>
        <v>1800</v>
      </c>
      <c r="BU364" s="608">
        <f t="shared" si="225"/>
        <v>0</v>
      </c>
      <c r="BV364" s="491"/>
      <c r="BW364" s="491"/>
    </row>
    <row r="365" s="490" customFormat="1" ht="33" customHeight="1" spans="1:75">
      <c r="A365" s="577">
        <v>45925</v>
      </c>
      <c r="B365" s="581" t="s">
        <v>1566</v>
      </c>
      <c r="C365" s="579" t="s">
        <v>140</v>
      </c>
      <c r="D365" s="580">
        <v>4500179217</v>
      </c>
      <c r="E365" s="588">
        <v>5000001997</v>
      </c>
      <c r="F365" s="580" t="s">
        <v>1753</v>
      </c>
      <c r="G365" s="582" t="s">
        <v>81</v>
      </c>
      <c r="H365" s="578" t="s">
        <v>95</v>
      </c>
      <c r="I365" s="583">
        <v>5100</v>
      </c>
      <c r="J365" s="583">
        <v>0</v>
      </c>
      <c r="K365" s="583">
        <v>6</v>
      </c>
      <c r="L365" s="584">
        <f t="shared" si="200"/>
        <v>850</v>
      </c>
      <c r="M365" s="585">
        <v>45968</v>
      </c>
      <c r="N365" s="585">
        <v>45964</v>
      </c>
      <c r="O365" s="586"/>
      <c r="P365" s="586" t="s">
        <v>83</v>
      </c>
      <c r="Q365" s="587" t="s">
        <v>1745</v>
      </c>
      <c r="R365" s="586" t="s">
        <v>1746</v>
      </c>
      <c r="S365" s="586"/>
      <c r="T365" s="586"/>
      <c r="U365" s="641" t="s">
        <v>1747</v>
      </c>
      <c r="V365" s="641" t="s">
        <v>1748</v>
      </c>
      <c r="W365" s="641"/>
      <c r="X365" s="661" t="s">
        <v>1749</v>
      </c>
      <c r="Y365" s="618" t="s">
        <v>757</v>
      </c>
      <c r="Z365" s="590">
        <v>5.5512</v>
      </c>
      <c r="AA365" s="591">
        <f t="shared" si="240"/>
        <v>28311.12</v>
      </c>
      <c r="AB365" s="619" t="s">
        <v>1750</v>
      </c>
      <c r="AC365" s="582" t="s">
        <v>149</v>
      </c>
      <c r="AD365" s="593" t="s">
        <v>89</v>
      </c>
      <c r="AE365" s="589"/>
      <c r="AF365" s="589"/>
      <c r="AG365" s="595">
        <f t="shared" si="241"/>
        <v>5100</v>
      </c>
      <c r="AH365" s="589"/>
      <c r="AI365" s="589"/>
      <c r="AJ365" s="637"/>
      <c r="AK365" s="629"/>
      <c r="AL365" s="589"/>
      <c r="AM365" s="589"/>
      <c r="AN365" s="598"/>
      <c r="AO365" s="621">
        <f>I365</f>
        <v>5100</v>
      </c>
      <c r="AP365" s="621"/>
      <c r="AQ365" s="621"/>
      <c r="AR365" s="621">
        <f t="shared" si="242"/>
        <v>5100</v>
      </c>
      <c r="AS365" s="621"/>
      <c r="AT365" s="621"/>
      <c r="AU365" s="621"/>
      <c r="AV365" s="621"/>
      <c r="AW365" s="592"/>
      <c r="AX365" s="621">
        <f>I365</f>
        <v>5100</v>
      </c>
      <c r="AY365" s="621"/>
      <c r="AZ365" s="621"/>
      <c r="BA365" s="621"/>
      <c r="BB365" s="621"/>
      <c r="BC365" s="621"/>
      <c r="BD365" s="621"/>
      <c r="BE365" s="623"/>
      <c r="BF365" s="602" t="s">
        <v>90</v>
      </c>
      <c r="BG365" s="603"/>
      <c r="BH365" s="632">
        <f t="shared" si="233"/>
        <v>850</v>
      </c>
      <c r="BI365" s="633">
        <f t="shared" si="234"/>
        <v>850</v>
      </c>
      <c r="BJ365" s="633">
        <f t="shared" si="235"/>
        <v>850</v>
      </c>
      <c r="BK365" s="633">
        <f t="shared" si="236"/>
        <v>850</v>
      </c>
      <c r="BL365" s="633">
        <f t="shared" si="237"/>
        <v>850</v>
      </c>
      <c r="BM365" s="633">
        <f t="shared" si="238"/>
        <v>850</v>
      </c>
      <c r="BN365" s="605"/>
      <c r="BO365" s="605"/>
      <c r="BP365" s="605"/>
      <c r="BQ365" s="605"/>
      <c r="BR365" s="605"/>
      <c r="BS365" s="605"/>
      <c r="BT365" s="607">
        <f t="shared" si="224"/>
        <v>5100</v>
      </c>
      <c r="BU365" s="608">
        <f t="shared" si="225"/>
        <v>0</v>
      </c>
      <c r="BV365" s="491"/>
      <c r="BW365" s="491"/>
    </row>
    <row r="366" s="490" customFormat="1" ht="33" customHeight="1" spans="1:75">
      <c r="A366" s="577">
        <v>45902</v>
      </c>
      <c r="B366" s="581" t="s">
        <v>1034</v>
      </c>
      <c r="C366" s="579" t="s">
        <v>92</v>
      </c>
      <c r="D366" s="580">
        <v>4500178515</v>
      </c>
      <c r="E366" s="588">
        <v>218139685</v>
      </c>
      <c r="F366" s="580" t="s">
        <v>1754</v>
      </c>
      <c r="G366" s="582" t="s">
        <v>1016</v>
      </c>
      <c r="H366" s="578" t="s">
        <v>95</v>
      </c>
      <c r="I366" s="583">
        <v>1560</v>
      </c>
      <c r="J366" s="583">
        <v>0</v>
      </c>
      <c r="K366" s="583">
        <v>1</v>
      </c>
      <c r="L366" s="584">
        <f t="shared" si="200"/>
        <v>1560</v>
      </c>
      <c r="M366" s="585">
        <v>45972</v>
      </c>
      <c r="N366" s="585">
        <v>45968</v>
      </c>
      <c r="O366" s="586"/>
      <c r="P366" s="586" t="s">
        <v>83</v>
      </c>
      <c r="Q366" s="587"/>
      <c r="R366" s="586" t="s">
        <v>1660</v>
      </c>
      <c r="S366" s="586"/>
      <c r="T366" s="586"/>
      <c r="U366" s="641" t="s">
        <v>86</v>
      </c>
      <c r="V366" s="641"/>
      <c r="W366" s="641"/>
      <c r="X366" s="661" t="s">
        <v>1038</v>
      </c>
      <c r="Y366" s="618" t="s">
        <v>1755</v>
      </c>
      <c r="Z366" s="590">
        <v>3.7664</v>
      </c>
      <c r="AA366" s="591">
        <f t="shared" si="240"/>
        <v>5875.584</v>
      </c>
      <c r="AB366" s="619" t="s">
        <v>1756</v>
      </c>
      <c r="AC366" s="582" t="s">
        <v>1016</v>
      </c>
      <c r="AD366" s="593" t="s">
        <v>89</v>
      </c>
      <c r="AE366" s="589"/>
      <c r="AF366" s="589"/>
      <c r="AG366" s="595">
        <f t="shared" si="241"/>
        <v>1560</v>
      </c>
      <c r="AH366" s="589"/>
      <c r="AI366" s="589"/>
      <c r="AJ366" s="589"/>
      <c r="AK366" s="629"/>
      <c r="AL366" s="589"/>
      <c r="AM366" s="589"/>
      <c r="AN366" s="598">
        <f t="shared" ref="AN366:AN371" si="243">I366</f>
        <v>1560</v>
      </c>
      <c r="AO366" s="621"/>
      <c r="AP366" s="621"/>
      <c r="AQ366" s="621"/>
      <c r="AR366" s="621">
        <f t="shared" si="242"/>
        <v>1560</v>
      </c>
      <c r="AS366" s="621"/>
      <c r="AT366" s="621"/>
      <c r="AU366" s="621"/>
      <c r="AV366" s="621"/>
      <c r="AW366" s="592">
        <f t="shared" ref="AW366:AW371" si="244">I366</f>
        <v>1560</v>
      </c>
      <c r="AX366" s="621"/>
      <c r="AY366" s="621"/>
      <c r="AZ366" s="621"/>
      <c r="BA366" s="621"/>
      <c r="BB366" s="621"/>
      <c r="BC366" s="621"/>
      <c r="BD366" s="621"/>
      <c r="BE366" s="623"/>
      <c r="BF366" s="602" t="s">
        <v>90</v>
      </c>
      <c r="BG366" s="603"/>
      <c r="BH366" s="632">
        <f t="shared" si="233"/>
        <v>260</v>
      </c>
      <c r="BI366" s="633">
        <f t="shared" si="234"/>
        <v>260</v>
      </c>
      <c r="BJ366" s="633">
        <f t="shared" si="235"/>
        <v>260</v>
      </c>
      <c r="BK366" s="633">
        <f t="shared" si="236"/>
        <v>260</v>
      </c>
      <c r="BL366" s="633">
        <f t="shared" si="237"/>
        <v>260</v>
      </c>
      <c r="BM366" s="633">
        <f t="shared" si="238"/>
        <v>260</v>
      </c>
      <c r="BN366" s="605"/>
      <c r="BO366" s="605"/>
      <c r="BP366" s="605"/>
      <c r="BQ366" s="605"/>
      <c r="BR366" s="605"/>
      <c r="BS366" s="605"/>
      <c r="BT366" s="607">
        <f t="shared" si="224"/>
        <v>1560</v>
      </c>
      <c r="BU366" s="608">
        <f t="shared" si="225"/>
        <v>0</v>
      </c>
      <c r="BV366" s="491"/>
      <c r="BW366" s="491"/>
    </row>
    <row r="367" s="490" customFormat="1" ht="33" customHeight="1" spans="1:75">
      <c r="A367" s="577">
        <v>45902</v>
      </c>
      <c r="B367" s="581" t="s">
        <v>1034</v>
      </c>
      <c r="C367" s="579" t="s">
        <v>92</v>
      </c>
      <c r="D367" s="580">
        <v>4500178517</v>
      </c>
      <c r="E367" s="588">
        <v>218139687</v>
      </c>
      <c r="F367" s="580" t="s">
        <v>1757</v>
      </c>
      <c r="G367" s="582" t="s">
        <v>1016</v>
      </c>
      <c r="H367" s="578" t="s">
        <v>95</v>
      </c>
      <c r="I367" s="583">
        <v>840</v>
      </c>
      <c r="J367" s="583">
        <v>0</v>
      </c>
      <c r="K367" s="583">
        <v>1</v>
      </c>
      <c r="L367" s="584">
        <f t="shared" si="200"/>
        <v>840</v>
      </c>
      <c r="M367" s="585">
        <v>45972</v>
      </c>
      <c r="N367" s="585">
        <v>45968</v>
      </c>
      <c r="O367" s="586"/>
      <c r="P367" s="586" t="s">
        <v>83</v>
      </c>
      <c r="Q367" s="587" t="s">
        <v>1758</v>
      </c>
      <c r="R367" s="586" t="s">
        <v>1660</v>
      </c>
      <c r="S367" s="586"/>
      <c r="T367" s="586"/>
      <c r="U367" s="641" t="s">
        <v>86</v>
      </c>
      <c r="V367" s="641"/>
      <c r="W367" s="641"/>
      <c r="X367" s="661" t="s">
        <v>1038</v>
      </c>
      <c r="Y367" s="618" t="s">
        <v>1755</v>
      </c>
      <c r="Z367" s="590">
        <v>3.7664</v>
      </c>
      <c r="AA367" s="591">
        <f t="shared" si="240"/>
        <v>3163.776</v>
      </c>
      <c r="AB367" s="619" t="s">
        <v>1759</v>
      </c>
      <c r="AC367" s="582" t="s">
        <v>1016</v>
      </c>
      <c r="AD367" s="593" t="s">
        <v>89</v>
      </c>
      <c r="AE367" s="589"/>
      <c r="AF367" s="589"/>
      <c r="AG367" s="595">
        <f t="shared" si="241"/>
        <v>840</v>
      </c>
      <c r="AH367" s="589"/>
      <c r="AI367" s="589"/>
      <c r="AJ367" s="589"/>
      <c r="AK367" s="629"/>
      <c r="AL367" s="589"/>
      <c r="AM367" s="589"/>
      <c r="AN367" s="598">
        <f t="shared" si="243"/>
        <v>840</v>
      </c>
      <c r="AO367" s="621"/>
      <c r="AP367" s="621"/>
      <c r="AQ367" s="621"/>
      <c r="AR367" s="621">
        <f t="shared" si="242"/>
        <v>840</v>
      </c>
      <c r="AS367" s="621"/>
      <c r="AT367" s="621"/>
      <c r="AU367" s="621"/>
      <c r="AV367" s="621"/>
      <c r="AW367" s="592">
        <f t="shared" si="244"/>
        <v>840</v>
      </c>
      <c r="AX367" s="621"/>
      <c r="AY367" s="621"/>
      <c r="AZ367" s="621"/>
      <c r="BA367" s="621"/>
      <c r="BB367" s="621"/>
      <c r="BC367" s="621"/>
      <c r="BD367" s="621"/>
      <c r="BE367" s="623"/>
      <c r="BF367" s="602" t="s">
        <v>90</v>
      </c>
      <c r="BG367" s="603"/>
      <c r="BH367" s="632">
        <f t="shared" si="233"/>
        <v>140</v>
      </c>
      <c r="BI367" s="633">
        <f t="shared" si="234"/>
        <v>140</v>
      </c>
      <c r="BJ367" s="633">
        <f t="shared" si="235"/>
        <v>140</v>
      </c>
      <c r="BK367" s="633">
        <f t="shared" si="236"/>
        <v>140</v>
      </c>
      <c r="BL367" s="633">
        <f t="shared" si="237"/>
        <v>140</v>
      </c>
      <c r="BM367" s="633">
        <f t="shared" si="238"/>
        <v>140</v>
      </c>
      <c r="BN367" s="605"/>
      <c r="BO367" s="605"/>
      <c r="BP367" s="605"/>
      <c r="BQ367" s="605"/>
      <c r="BR367" s="605"/>
      <c r="BS367" s="605"/>
      <c r="BT367" s="607">
        <f t="shared" si="224"/>
        <v>840</v>
      </c>
      <c r="BU367" s="608">
        <f t="shared" si="225"/>
        <v>0</v>
      </c>
      <c r="BV367" s="491"/>
      <c r="BW367" s="491"/>
    </row>
    <row r="368" s="490" customFormat="1" ht="33" customHeight="1" spans="1:75">
      <c r="A368" s="577">
        <v>45929</v>
      </c>
      <c r="B368" s="581" t="s">
        <v>1034</v>
      </c>
      <c r="C368" s="579" t="s">
        <v>92</v>
      </c>
      <c r="D368" s="580">
        <v>4500180920</v>
      </c>
      <c r="E368" s="616" t="s">
        <v>1760</v>
      </c>
      <c r="F368" s="580" t="s">
        <v>1761</v>
      </c>
      <c r="G368" s="582" t="s">
        <v>1016</v>
      </c>
      <c r="H368" s="578" t="s">
        <v>95</v>
      </c>
      <c r="I368" s="583">
        <v>630</v>
      </c>
      <c r="J368" s="583">
        <v>0</v>
      </c>
      <c r="K368" s="583">
        <v>1</v>
      </c>
      <c r="L368" s="584">
        <f t="shared" si="200"/>
        <v>630</v>
      </c>
      <c r="M368" s="585">
        <v>45978</v>
      </c>
      <c r="N368" s="585">
        <v>45974</v>
      </c>
      <c r="O368" s="586"/>
      <c r="P368" s="586" t="s">
        <v>83</v>
      </c>
      <c r="Q368" s="617" t="s">
        <v>1762</v>
      </c>
      <c r="R368" s="586" t="s">
        <v>1763</v>
      </c>
      <c r="S368" s="586"/>
      <c r="T368" s="586"/>
      <c r="U368" s="641" t="s">
        <v>86</v>
      </c>
      <c r="V368" s="641"/>
      <c r="W368" s="641"/>
      <c r="X368" s="661" t="s">
        <v>1764</v>
      </c>
      <c r="Y368" s="618" t="s">
        <v>1755</v>
      </c>
      <c r="Z368" s="590">
        <v>3.394</v>
      </c>
      <c r="AA368" s="591">
        <f t="shared" si="240"/>
        <v>2138.22</v>
      </c>
      <c r="AB368" s="619"/>
      <c r="AC368" s="582" t="s">
        <v>1016</v>
      </c>
      <c r="AD368" s="593" t="s">
        <v>89</v>
      </c>
      <c r="AE368" s="589"/>
      <c r="AF368" s="589"/>
      <c r="AG368" s="595">
        <f t="shared" si="241"/>
        <v>630</v>
      </c>
      <c r="AH368" s="589"/>
      <c r="AI368" s="589"/>
      <c r="AJ368" s="637"/>
      <c r="AK368" s="629"/>
      <c r="AL368" s="589"/>
      <c r="AM368" s="589"/>
      <c r="AN368" s="598">
        <f t="shared" si="243"/>
        <v>630</v>
      </c>
      <c r="AO368" s="621"/>
      <c r="AP368" s="621"/>
      <c r="AQ368" s="621"/>
      <c r="AR368" s="621">
        <f t="shared" si="242"/>
        <v>630</v>
      </c>
      <c r="AS368" s="621"/>
      <c r="AT368" s="621"/>
      <c r="AU368" s="621"/>
      <c r="AV368" s="621"/>
      <c r="AW368" s="592">
        <f t="shared" si="244"/>
        <v>630</v>
      </c>
      <c r="AX368" s="621"/>
      <c r="AY368" s="621"/>
      <c r="AZ368" s="621"/>
      <c r="BA368" s="621"/>
      <c r="BB368" s="621"/>
      <c r="BC368" s="621"/>
      <c r="BD368" s="621"/>
      <c r="BE368" s="623"/>
      <c r="BF368" s="602" t="s">
        <v>90</v>
      </c>
      <c r="BG368" s="603"/>
      <c r="BH368" s="632">
        <f t="shared" si="233"/>
        <v>105</v>
      </c>
      <c r="BI368" s="633">
        <f t="shared" si="234"/>
        <v>105</v>
      </c>
      <c r="BJ368" s="633">
        <f t="shared" si="235"/>
        <v>105</v>
      </c>
      <c r="BK368" s="633">
        <f t="shared" si="236"/>
        <v>105</v>
      </c>
      <c r="BL368" s="633">
        <f t="shared" si="237"/>
        <v>105</v>
      </c>
      <c r="BM368" s="633">
        <f t="shared" si="238"/>
        <v>105</v>
      </c>
      <c r="BN368" s="605"/>
      <c r="BO368" s="605"/>
      <c r="BP368" s="605"/>
      <c r="BQ368" s="605"/>
      <c r="BR368" s="605"/>
      <c r="BS368" s="605"/>
      <c r="BT368" s="607">
        <f t="shared" si="224"/>
        <v>630</v>
      </c>
      <c r="BU368" s="608">
        <f t="shared" si="225"/>
        <v>0</v>
      </c>
      <c r="BV368" s="491"/>
      <c r="BW368" s="491"/>
    </row>
    <row r="369" s="490" customFormat="1" ht="33" customHeight="1" spans="1:75 16369:16384">
      <c r="A369" s="577">
        <v>45929</v>
      </c>
      <c r="B369" s="581" t="s">
        <v>1034</v>
      </c>
      <c r="C369" s="579" t="s">
        <v>92</v>
      </c>
      <c r="D369" s="580">
        <v>4500180920</v>
      </c>
      <c r="E369" s="616" t="s">
        <v>1765</v>
      </c>
      <c r="F369" s="580" t="s">
        <v>1766</v>
      </c>
      <c r="G369" s="582" t="s">
        <v>1016</v>
      </c>
      <c r="H369" s="578" t="s">
        <v>95</v>
      </c>
      <c r="I369" s="583">
        <v>370</v>
      </c>
      <c r="J369" s="583">
        <v>0</v>
      </c>
      <c r="K369" s="583">
        <v>1</v>
      </c>
      <c r="L369" s="584">
        <f t="shared" si="200"/>
        <v>370</v>
      </c>
      <c r="M369" s="585">
        <v>45978</v>
      </c>
      <c r="N369" s="585">
        <v>45974</v>
      </c>
      <c r="O369" s="586"/>
      <c r="P369" s="586" t="s">
        <v>83</v>
      </c>
      <c r="Q369" s="617" t="s">
        <v>1762</v>
      </c>
      <c r="R369" s="586" t="s">
        <v>1763</v>
      </c>
      <c r="S369" s="586"/>
      <c r="T369" s="586"/>
      <c r="U369" s="641" t="s">
        <v>86</v>
      </c>
      <c r="V369" s="641"/>
      <c r="W369" s="641"/>
      <c r="X369" s="661" t="s">
        <v>1764</v>
      </c>
      <c r="Y369" s="618" t="s">
        <v>1755</v>
      </c>
      <c r="Z369" s="590">
        <v>3.394</v>
      </c>
      <c r="AA369" s="591">
        <f t="shared" si="240"/>
        <v>1255.78</v>
      </c>
      <c r="AB369" s="619"/>
      <c r="AC369" s="582" t="s">
        <v>1016</v>
      </c>
      <c r="AD369" s="593" t="s">
        <v>89</v>
      </c>
      <c r="AE369" s="589"/>
      <c r="AF369" s="589"/>
      <c r="AG369" s="595">
        <f t="shared" si="241"/>
        <v>370</v>
      </c>
      <c r="AH369" s="589"/>
      <c r="AI369" s="589"/>
      <c r="AJ369" s="637"/>
      <c r="AK369" s="629"/>
      <c r="AL369" s="589"/>
      <c r="AM369" s="589"/>
      <c r="AN369" s="598">
        <f t="shared" si="243"/>
        <v>370</v>
      </c>
      <c r="AO369" s="621"/>
      <c r="AP369" s="621"/>
      <c r="AQ369" s="621"/>
      <c r="AR369" s="621">
        <f t="shared" si="242"/>
        <v>370</v>
      </c>
      <c r="AS369" s="621"/>
      <c r="AT369" s="621"/>
      <c r="AU369" s="621"/>
      <c r="AV369" s="621"/>
      <c r="AW369" s="592">
        <f t="shared" si="244"/>
        <v>370</v>
      </c>
      <c r="AX369" s="621"/>
      <c r="AY369" s="621"/>
      <c r="AZ369" s="621"/>
      <c r="BA369" s="621"/>
      <c r="BB369" s="621"/>
      <c r="BC369" s="621"/>
      <c r="BD369" s="621"/>
      <c r="BE369" s="623"/>
      <c r="BF369" s="602" t="s">
        <v>90</v>
      </c>
      <c r="BG369" s="603"/>
      <c r="BH369" s="632">
        <f t="shared" si="233"/>
        <v>61.6666666666667</v>
      </c>
      <c r="BI369" s="633">
        <f t="shared" si="234"/>
        <v>61.6666666666667</v>
      </c>
      <c r="BJ369" s="633">
        <f t="shared" si="235"/>
        <v>61.6666666666667</v>
      </c>
      <c r="BK369" s="633">
        <f t="shared" si="236"/>
        <v>61.6666666666667</v>
      </c>
      <c r="BL369" s="633">
        <f t="shared" si="237"/>
        <v>61.6666666666667</v>
      </c>
      <c r="BM369" s="633">
        <f t="shared" si="238"/>
        <v>61.6666666666667</v>
      </c>
      <c r="BN369" s="605"/>
      <c r="BO369" s="605"/>
      <c r="BP369" s="605"/>
      <c r="BQ369" s="605"/>
      <c r="BR369" s="605"/>
      <c r="BS369" s="605"/>
      <c r="BT369" s="607">
        <f t="shared" si="224"/>
        <v>370</v>
      </c>
      <c r="BU369" s="608">
        <f t="shared" si="225"/>
        <v>0</v>
      </c>
      <c r="BV369" s="491"/>
      <c r="BW369" s="491"/>
    </row>
    <row r="370" s="490" customFormat="1" ht="33" customHeight="1" spans="1:75 16369:16384">
      <c r="A370" s="577">
        <v>45930</v>
      </c>
      <c r="B370" s="581" t="s">
        <v>1371</v>
      </c>
      <c r="C370" s="579" t="s">
        <v>92</v>
      </c>
      <c r="D370" s="580">
        <v>4500181018</v>
      </c>
      <c r="E370" s="616" t="s">
        <v>1767</v>
      </c>
      <c r="F370" s="580" t="s">
        <v>1768</v>
      </c>
      <c r="G370" s="582" t="s">
        <v>81</v>
      </c>
      <c r="H370" s="578" t="s">
        <v>95</v>
      </c>
      <c r="I370" s="583">
        <v>180</v>
      </c>
      <c r="J370" s="583">
        <v>0</v>
      </c>
      <c r="K370" s="583">
        <v>6</v>
      </c>
      <c r="L370" s="584">
        <f t="shared" si="200"/>
        <v>30</v>
      </c>
      <c r="M370" s="585">
        <v>45978</v>
      </c>
      <c r="N370" s="585">
        <v>45974</v>
      </c>
      <c r="O370" s="586"/>
      <c r="P370" s="586" t="s">
        <v>83</v>
      </c>
      <c r="Q370" s="587" t="s">
        <v>1769</v>
      </c>
      <c r="R370" s="586" t="s">
        <v>1770</v>
      </c>
      <c r="S370" s="586"/>
      <c r="T370" s="586"/>
      <c r="U370" s="641" t="s">
        <v>86</v>
      </c>
      <c r="V370" s="641"/>
      <c r="W370" s="641"/>
      <c r="X370" s="661" t="s">
        <v>1376</v>
      </c>
      <c r="Y370" s="618" t="s">
        <v>1771</v>
      </c>
      <c r="Z370" s="590">
        <v>3.4697</v>
      </c>
      <c r="AA370" s="591">
        <f t="shared" si="240"/>
        <v>624.546</v>
      </c>
      <c r="AB370" s="619" t="s">
        <v>1772</v>
      </c>
      <c r="AC370" s="582" t="s">
        <v>81</v>
      </c>
      <c r="AD370" s="593" t="s">
        <v>89</v>
      </c>
      <c r="AE370" s="589"/>
      <c r="AF370" s="589"/>
      <c r="AG370" s="595">
        <f t="shared" si="241"/>
        <v>180</v>
      </c>
      <c r="AH370" s="589"/>
      <c r="AI370" s="589"/>
      <c r="AJ370" s="637"/>
      <c r="AK370" s="629"/>
      <c r="AL370" s="589"/>
      <c r="AM370" s="589"/>
      <c r="AN370" s="598">
        <f t="shared" si="243"/>
        <v>180</v>
      </c>
      <c r="AO370" s="621"/>
      <c r="AP370" s="621"/>
      <c r="AQ370" s="621"/>
      <c r="AR370" s="621">
        <f t="shared" si="242"/>
        <v>180</v>
      </c>
      <c r="AS370" s="621"/>
      <c r="AT370" s="621"/>
      <c r="AU370" s="621"/>
      <c r="AV370" s="621"/>
      <c r="AW370" s="592">
        <f t="shared" si="244"/>
        <v>180</v>
      </c>
      <c r="AX370" s="621"/>
      <c r="AY370" s="621"/>
      <c r="AZ370" s="621"/>
      <c r="BA370" s="621"/>
      <c r="BB370" s="621"/>
      <c r="BC370" s="621"/>
      <c r="BD370" s="621"/>
      <c r="BE370" s="623"/>
      <c r="BF370" s="602" t="s">
        <v>90</v>
      </c>
      <c r="BG370" s="603"/>
      <c r="BH370" s="632">
        <f t="shared" si="233"/>
        <v>30</v>
      </c>
      <c r="BI370" s="633">
        <f t="shared" si="234"/>
        <v>30</v>
      </c>
      <c r="BJ370" s="633">
        <f t="shared" si="235"/>
        <v>30</v>
      </c>
      <c r="BK370" s="633">
        <f t="shared" si="236"/>
        <v>30</v>
      </c>
      <c r="BL370" s="633">
        <f t="shared" si="237"/>
        <v>30</v>
      </c>
      <c r="BM370" s="633">
        <f t="shared" si="238"/>
        <v>30</v>
      </c>
      <c r="BN370" s="605"/>
      <c r="BO370" s="605"/>
      <c r="BP370" s="605"/>
      <c r="BQ370" s="605"/>
      <c r="BR370" s="605"/>
      <c r="BS370" s="605"/>
      <c r="BT370" s="607">
        <f t="shared" si="224"/>
        <v>180</v>
      </c>
      <c r="BU370" s="608">
        <f t="shared" si="225"/>
        <v>0</v>
      </c>
      <c r="BV370" s="491"/>
      <c r="BW370" s="491"/>
    </row>
    <row r="371" s="490" customFormat="1" ht="33" customHeight="1" spans="1:75 16369:16384">
      <c r="A371" s="577">
        <v>45945</v>
      </c>
      <c r="B371" s="581"/>
      <c r="C371" s="579"/>
      <c r="D371" s="580" t="s">
        <v>1773</v>
      </c>
      <c r="E371" s="616"/>
      <c r="F371" s="580"/>
      <c r="G371" s="582" t="s">
        <v>81</v>
      </c>
      <c r="H371" s="578" t="s">
        <v>95</v>
      </c>
      <c r="I371" s="583">
        <v>180</v>
      </c>
      <c r="J371" s="583">
        <v>0</v>
      </c>
      <c r="K371" s="583">
        <v>6</v>
      </c>
      <c r="L371" s="584">
        <f t="shared" ref="L371:L434" si="245">I371/K371</f>
        <v>30</v>
      </c>
      <c r="M371" s="585">
        <v>45970</v>
      </c>
      <c r="N371" s="585">
        <v>45966</v>
      </c>
      <c r="O371" s="586"/>
      <c r="P371" s="586" t="s">
        <v>83</v>
      </c>
      <c r="Q371" s="587"/>
      <c r="R371" s="586" t="s">
        <v>560</v>
      </c>
      <c r="S371" s="586"/>
      <c r="T371" s="586"/>
      <c r="U371" s="641" t="s">
        <v>86</v>
      </c>
      <c r="V371" s="641"/>
      <c r="W371" s="641"/>
      <c r="X371" s="661" t="s">
        <v>1774</v>
      </c>
      <c r="Y371" s="618" t="s">
        <v>1775</v>
      </c>
      <c r="Z371" s="590"/>
      <c r="AA371" s="591"/>
      <c r="AB371" s="619" t="s">
        <v>1776</v>
      </c>
      <c r="AC371" s="582" t="s">
        <v>81</v>
      </c>
      <c r="AD371" s="593" t="s">
        <v>89</v>
      </c>
      <c r="AE371" s="589"/>
      <c r="AF371" s="589"/>
      <c r="AG371" s="595">
        <f t="shared" si="241"/>
        <v>180</v>
      </c>
      <c r="AH371" s="589"/>
      <c r="AI371" s="589"/>
      <c r="AJ371" s="637"/>
      <c r="AK371" s="629"/>
      <c r="AL371" s="589"/>
      <c r="AM371" s="589"/>
      <c r="AN371" s="598">
        <f t="shared" si="243"/>
        <v>180</v>
      </c>
      <c r="AO371" s="621"/>
      <c r="AP371" s="621"/>
      <c r="AQ371" s="621"/>
      <c r="AR371" s="621">
        <f t="shared" si="242"/>
        <v>180</v>
      </c>
      <c r="AS371" s="621"/>
      <c r="AT371" s="621"/>
      <c r="AU371" s="621"/>
      <c r="AV371" s="621"/>
      <c r="AW371" s="592">
        <f t="shared" si="244"/>
        <v>180</v>
      </c>
      <c r="AX371" s="621"/>
      <c r="AY371" s="621"/>
      <c r="AZ371" s="621"/>
      <c r="BA371" s="621"/>
      <c r="BB371" s="621"/>
      <c r="BC371" s="621"/>
      <c r="BD371" s="621"/>
      <c r="BE371" s="623"/>
      <c r="BF371" s="602" t="s">
        <v>90</v>
      </c>
      <c r="BG371" s="603"/>
      <c r="BH371" s="632">
        <f t="shared" si="233"/>
        <v>30</v>
      </c>
      <c r="BI371" s="633">
        <f t="shared" si="234"/>
        <v>30</v>
      </c>
      <c r="BJ371" s="633">
        <f t="shared" si="235"/>
        <v>30</v>
      </c>
      <c r="BK371" s="633">
        <f t="shared" si="236"/>
        <v>30</v>
      </c>
      <c r="BL371" s="633">
        <f t="shared" si="237"/>
        <v>30</v>
      </c>
      <c r="BM371" s="633">
        <f t="shared" si="238"/>
        <v>30</v>
      </c>
      <c r="BN371" s="605"/>
      <c r="BO371" s="605"/>
      <c r="BP371" s="605"/>
      <c r="BQ371" s="605"/>
      <c r="BR371" s="605"/>
      <c r="BS371" s="605"/>
      <c r="BT371" s="607">
        <f t="shared" si="224"/>
        <v>180</v>
      </c>
      <c r="BU371" s="608">
        <f t="shared" si="225"/>
        <v>0</v>
      </c>
      <c r="BV371" s="491"/>
      <c r="BW371" s="491"/>
    </row>
    <row r="372" s="490" customFormat="1" ht="33" customHeight="1" spans="1:75 16369:16384">
      <c r="A372" s="577">
        <v>45909</v>
      </c>
      <c r="B372" s="581" t="s">
        <v>1566</v>
      </c>
      <c r="C372" s="579" t="s">
        <v>140</v>
      </c>
      <c r="D372" s="580">
        <v>4500179109</v>
      </c>
      <c r="E372" s="588">
        <v>5000001990</v>
      </c>
      <c r="F372" s="580" t="s">
        <v>1777</v>
      </c>
      <c r="G372" s="582" t="s">
        <v>1778</v>
      </c>
      <c r="H372" s="578" t="s">
        <v>1779</v>
      </c>
      <c r="I372" s="583">
        <v>12000</v>
      </c>
      <c r="J372" s="583">
        <v>0</v>
      </c>
      <c r="K372" s="583">
        <v>6</v>
      </c>
      <c r="L372" s="584">
        <f t="shared" si="245"/>
        <v>2000</v>
      </c>
      <c r="M372" s="585">
        <v>45978</v>
      </c>
      <c r="N372" s="585">
        <v>45974</v>
      </c>
      <c r="O372" s="586" t="s">
        <v>1780</v>
      </c>
      <c r="P372" s="586" t="s">
        <v>83</v>
      </c>
      <c r="Q372" s="587" t="s">
        <v>1781</v>
      </c>
      <c r="R372" s="586" t="s">
        <v>1782</v>
      </c>
      <c r="S372" s="586"/>
      <c r="T372" s="586"/>
      <c r="U372" s="641" t="s">
        <v>1783</v>
      </c>
      <c r="V372" s="641" t="s">
        <v>1784</v>
      </c>
      <c r="W372" s="641"/>
      <c r="X372" s="661" t="s">
        <v>1785</v>
      </c>
      <c r="Y372" s="618" t="s">
        <v>757</v>
      </c>
      <c r="Z372" s="590">
        <v>7.37</v>
      </c>
      <c r="AA372" s="591">
        <f t="shared" ref="AA372:AA435" si="246">Z372*I372</f>
        <v>88440</v>
      </c>
      <c r="AB372" s="619"/>
      <c r="AC372" s="582" t="s">
        <v>1778</v>
      </c>
      <c r="AD372" s="593" t="s">
        <v>89</v>
      </c>
      <c r="AE372" s="589"/>
      <c r="AF372" s="589"/>
      <c r="AG372" s="595">
        <f t="shared" si="241"/>
        <v>12000</v>
      </c>
      <c r="AH372" s="589"/>
      <c r="AI372" s="589"/>
      <c r="AJ372" s="589"/>
      <c r="AK372" s="629"/>
      <c r="AL372" s="589"/>
      <c r="AM372" s="589"/>
      <c r="AN372" s="598"/>
      <c r="AO372" s="621">
        <f>I372</f>
        <v>12000</v>
      </c>
      <c r="AP372" s="621"/>
      <c r="AQ372" s="621"/>
      <c r="AR372" s="621">
        <f t="shared" si="242"/>
        <v>12000</v>
      </c>
      <c r="AS372" s="621"/>
      <c r="AT372" s="621"/>
      <c r="AU372" s="621"/>
      <c r="AV372" s="621"/>
      <c r="AW372" s="592"/>
      <c r="AX372" s="621">
        <f>I372</f>
        <v>12000</v>
      </c>
      <c r="AY372" s="621"/>
      <c r="AZ372" s="621"/>
      <c r="BA372" s="621"/>
      <c r="BB372" s="621"/>
      <c r="BC372" s="621"/>
      <c r="BD372" s="621">
        <f>I372</f>
        <v>12000</v>
      </c>
      <c r="BE372" s="623"/>
      <c r="BF372" s="602" t="s">
        <v>90</v>
      </c>
      <c r="BG372" s="603"/>
      <c r="BH372" s="632">
        <f t="shared" si="233"/>
        <v>2000</v>
      </c>
      <c r="BI372" s="633">
        <f t="shared" si="234"/>
        <v>2000</v>
      </c>
      <c r="BJ372" s="633">
        <f t="shared" si="235"/>
        <v>2000</v>
      </c>
      <c r="BK372" s="633">
        <f t="shared" si="236"/>
        <v>2000</v>
      </c>
      <c r="BL372" s="633">
        <f t="shared" si="237"/>
        <v>2000</v>
      </c>
      <c r="BM372" s="633">
        <f t="shared" si="238"/>
        <v>2000</v>
      </c>
      <c r="BN372" s="605"/>
      <c r="BO372" s="605"/>
      <c r="BP372" s="605"/>
      <c r="BQ372" s="605"/>
      <c r="BR372" s="605"/>
      <c r="BS372" s="605"/>
      <c r="BT372" s="607">
        <f t="shared" si="224"/>
        <v>12000</v>
      </c>
      <c r="BU372" s="608">
        <f t="shared" si="225"/>
        <v>0</v>
      </c>
      <c r="BV372" s="491"/>
      <c r="BW372" s="491"/>
    </row>
    <row r="373" s="490" customFormat="1" ht="33" customHeight="1" spans="1:75 16369:16384">
      <c r="A373" s="577">
        <v>45909</v>
      </c>
      <c r="B373" s="581" t="s">
        <v>1566</v>
      </c>
      <c r="C373" s="579" t="s">
        <v>140</v>
      </c>
      <c r="D373" s="580">
        <v>4500179109</v>
      </c>
      <c r="E373" s="588">
        <v>5000001990</v>
      </c>
      <c r="F373" s="580" t="s">
        <v>1786</v>
      </c>
      <c r="G373" s="582" t="s">
        <v>1778</v>
      </c>
      <c r="H373" s="578" t="s">
        <v>1779</v>
      </c>
      <c r="I373" s="583">
        <v>12000</v>
      </c>
      <c r="J373" s="583">
        <v>0</v>
      </c>
      <c r="K373" s="583">
        <v>6</v>
      </c>
      <c r="L373" s="584">
        <f t="shared" si="245"/>
        <v>2000</v>
      </c>
      <c r="M373" s="585">
        <v>45978</v>
      </c>
      <c r="N373" s="585">
        <v>45974</v>
      </c>
      <c r="O373" s="586" t="s">
        <v>1780</v>
      </c>
      <c r="P373" s="586" t="s">
        <v>83</v>
      </c>
      <c r="Q373" s="587" t="s">
        <v>1781</v>
      </c>
      <c r="R373" s="586" t="s">
        <v>1782</v>
      </c>
      <c r="S373" s="586"/>
      <c r="T373" s="586"/>
      <c r="U373" s="641" t="s">
        <v>1783</v>
      </c>
      <c r="V373" s="641" t="s">
        <v>1784</v>
      </c>
      <c r="W373" s="641"/>
      <c r="X373" s="661" t="s">
        <v>1785</v>
      </c>
      <c r="Y373" s="618" t="s">
        <v>757</v>
      </c>
      <c r="Z373" s="590">
        <v>7.37</v>
      </c>
      <c r="AA373" s="591">
        <f t="shared" si="246"/>
        <v>88440</v>
      </c>
      <c r="AB373" s="619"/>
      <c r="AC373" s="582" t="s">
        <v>1778</v>
      </c>
      <c r="AD373" s="593" t="s">
        <v>89</v>
      </c>
      <c r="AE373" s="589"/>
      <c r="AF373" s="589"/>
      <c r="AG373" s="595">
        <f t="shared" si="241"/>
        <v>12000</v>
      </c>
      <c r="AH373" s="589"/>
      <c r="AI373" s="589"/>
      <c r="AJ373" s="589"/>
      <c r="AK373" s="629"/>
      <c r="AL373" s="589"/>
      <c r="AM373" s="589"/>
      <c r="AN373" s="598"/>
      <c r="AO373" s="621">
        <f>I373</f>
        <v>12000</v>
      </c>
      <c r="AP373" s="621"/>
      <c r="AQ373" s="621"/>
      <c r="AR373" s="621">
        <f t="shared" si="242"/>
        <v>12000</v>
      </c>
      <c r="AS373" s="621"/>
      <c r="AT373" s="621"/>
      <c r="AU373" s="621"/>
      <c r="AV373" s="621"/>
      <c r="AW373" s="592"/>
      <c r="AX373" s="621">
        <f>I373</f>
        <v>12000</v>
      </c>
      <c r="AY373" s="621"/>
      <c r="AZ373" s="621"/>
      <c r="BA373" s="621"/>
      <c r="BB373" s="621"/>
      <c r="BC373" s="621"/>
      <c r="BD373" s="621">
        <f>I373</f>
        <v>12000</v>
      </c>
      <c r="BE373" s="623"/>
      <c r="BF373" s="602" t="s">
        <v>90</v>
      </c>
      <c r="BG373" s="603"/>
      <c r="BH373" s="632">
        <f t="shared" si="233"/>
        <v>2000</v>
      </c>
      <c r="BI373" s="633">
        <f t="shared" si="234"/>
        <v>2000</v>
      </c>
      <c r="BJ373" s="633">
        <f t="shared" si="235"/>
        <v>2000</v>
      </c>
      <c r="BK373" s="633">
        <f t="shared" si="236"/>
        <v>2000</v>
      </c>
      <c r="BL373" s="633">
        <f t="shared" si="237"/>
        <v>2000</v>
      </c>
      <c r="BM373" s="633">
        <f t="shared" si="238"/>
        <v>2000</v>
      </c>
      <c r="BN373" s="605"/>
      <c r="BO373" s="605"/>
      <c r="BP373" s="605"/>
      <c r="BQ373" s="605"/>
      <c r="BR373" s="605"/>
      <c r="BS373" s="605"/>
      <c r="BT373" s="607">
        <f t="shared" si="224"/>
        <v>12000</v>
      </c>
      <c r="BU373" s="608">
        <f t="shared" si="225"/>
        <v>0</v>
      </c>
      <c r="BV373" s="491"/>
      <c r="BW373" s="491"/>
    </row>
    <row r="374" s="490" customFormat="1" ht="33" customHeight="1" spans="1:75 16369:16384">
      <c r="A374" s="577">
        <v>45909</v>
      </c>
      <c r="B374" s="581" t="s">
        <v>1566</v>
      </c>
      <c r="C374" s="579" t="s">
        <v>140</v>
      </c>
      <c r="D374" s="580">
        <v>4500179109</v>
      </c>
      <c r="E374" s="588">
        <v>5000001990</v>
      </c>
      <c r="F374" s="580" t="s">
        <v>1787</v>
      </c>
      <c r="G374" s="582" t="s">
        <v>1778</v>
      </c>
      <c r="H374" s="578" t="s">
        <v>1779</v>
      </c>
      <c r="I374" s="583">
        <v>12000</v>
      </c>
      <c r="J374" s="583">
        <v>0</v>
      </c>
      <c r="K374" s="583">
        <v>6</v>
      </c>
      <c r="L374" s="584">
        <f t="shared" si="245"/>
        <v>2000</v>
      </c>
      <c r="M374" s="585">
        <v>45982</v>
      </c>
      <c r="N374" s="585">
        <v>45978</v>
      </c>
      <c r="O374" s="586" t="s">
        <v>1788</v>
      </c>
      <c r="P374" s="586" t="s">
        <v>83</v>
      </c>
      <c r="Q374" s="587" t="s">
        <v>1781</v>
      </c>
      <c r="R374" s="586" t="s">
        <v>1782</v>
      </c>
      <c r="S374" s="586"/>
      <c r="T374" s="586"/>
      <c r="U374" s="641" t="s">
        <v>1783</v>
      </c>
      <c r="V374" s="641" t="s">
        <v>1784</v>
      </c>
      <c r="W374" s="641"/>
      <c r="X374" s="661" t="s">
        <v>1785</v>
      </c>
      <c r="Y374" s="618" t="s">
        <v>757</v>
      </c>
      <c r="Z374" s="590">
        <v>7.37</v>
      </c>
      <c r="AA374" s="591">
        <f t="shared" si="246"/>
        <v>88440</v>
      </c>
      <c r="AB374" s="619"/>
      <c r="AC374" s="582" t="s">
        <v>1778</v>
      </c>
      <c r="AD374" s="593" t="s">
        <v>89</v>
      </c>
      <c r="AE374" s="628"/>
      <c r="AF374" s="628"/>
      <c r="AG374" s="595">
        <f t="shared" si="241"/>
        <v>12000</v>
      </c>
      <c r="AH374" s="628"/>
      <c r="AI374" s="628"/>
      <c r="AJ374" s="589"/>
      <c r="AK374" s="629"/>
      <c r="AL374" s="628"/>
      <c r="AM374" s="628"/>
      <c r="AN374" s="598"/>
      <c r="AO374" s="621">
        <f>I374</f>
        <v>12000</v>
      </c>
      <c r="AP374" s="630"/>
      <c r="AQ374" s="630"/>
      <c r="AR374" s="621">
        <f t="shared" si="242"/>
        <v>12000</v>
      </c>
      <c r="AS374" s="630"/>
      <c r="AT374" s="630"/>
      <c r="AU374" s="621"/>
      <c r="AV374" s="621"/>
      <c r="AW374" s="592"/>
      <c r="AX374" s="621">
        <f>I374</f>
        <v>12000</v>
      </c>
      <c r="AY374" s="621"/>
      <c r="AZ374" s="621"/>
      <c r="BA374" s="621"/>
      <c r="BB374" s="621"/>
      <c r="BC374" s="621"/>
      <c r="BD374" s="621">
        <f>I374</f>
        <v>12000</v>
      </c>
      <c r="BE374" s="623"/>
      <c r="BF374" s="602" t="s">
        <v>90</v>
      </c>
      <c r="BG374" s="603"/>
      <c r="BH374" s="632">
        <f t="shared" si="233"/>
        <v>2000</v>
      </c>
      <c r="BI374" s="633">
        <f t="shared" si="234"/>
        <v>2000</v>
      </c>
      <c r="BJ374" s="633">
        <f t="shared" si="235"/>
        <v>2000</v>
      </c>
      <c r="BK374" s="633">
        <f t="shared" si="236"/>
        <v>2000</v>
      </c>
      <c r="BL374" s="633">
        <f t="shared" si="237"/>
        <v>2000</v>
      </c>
      <c r="BM374" s="633">
        <f t="shared" si="238"/>
        <v>2000</v>
      </c>
      <c r="BN374" s="631"/>
      <c r="BO374" s="631"/>
      <c r="BP374" s="631"/>
      <c r="BQ374" s="631"/>
      <c r="BR374" s="631"/>
      <c r="BS374" s="631"/>
      <c r="BT374" s="607">
        <f t="shared" si="224"/>
        <v>12000</v>
      </c>
      <c r="BU374" s="608">
        <f t="shared" si="225"/>
        <v>0</v>
      </c>
      <c r="BV374" s="609"/>
      <c r="BW374" s="491"/>
    </row>
    <row r="375" s="490" customFormat="1" ht="33" customHeight="1" spans="1:75 16369:16384">
      <c r="A375" s="577">
        <v>45909</v>
      </c>
      <c r="B375" s="581" t="s">
        <v>1566</v>
      </c>
      <c r="C375" s="579" t="s">
        <v>140</v>
      </c>
      <c r="D375" s="580">
        <v>4500179109</v>
      </c>
      <c r="E375" s="588">
        <v>5000001990</v>
      </c>
      <c r="F375" s="580" t="s">
        <v>1789</v>
      </c>
      <c r="G375" s="582" t="s">
        <v>1778</v>
      </c>
      <c r="H375" s="578" t="s">
        <v>1779</v>
      </c>
      <c r="I375" s="583">
        <v>12000</v>
      </c>
      <c r="J375" s="583">
        <v>0</v>
      </c>
      <c r="K375" s="583">
        <v>6</v>
      </c>
      <c r="L375" s="584">
        <f t="shared" si="245"/>
        <v>2000</v>
      </c>
      <c r="M375" s="585">
        <v>45982</v>
      </c>
      <c r="N375" s="585">
        <v>45978</v>
      </c>
      <c r="O375" s="586" t="s">
        <v>1788</v>
      </c>
      <c r="P375" s="586" t="s">
        <v>83</v>
      </c>
      <c r="Q375" s="587" t="s">
        <v>1781</v>
      </c>
      <c r="R375" s="586" t="s">
        <v>1782</v>
      </c>
      <c r="S375" s="586"/>
      <c r="T375" s="586"/>
      <c r="U375" s="641" t="s">
        <v>1783</v>
      </c>
      <c r="V375" s="641" t="s">
        <v>1784</v>
      </c>
      <c r="W375" s="641"/>
      <c r="X375" s="661" t="s">
        <v>1785</v>
      </c>
      <c r="Y375" s="618" t="s">
        <v>757</v>
      </c>
      <c r="Z375" s="590">
        <v>7.37</v>
      </c>
      <c r="AA375" s="591">
        <f t="shared" si="246"/>
        <v>88440</v>
      </c>
      <c r="AB375" s="619"/>
      <c r="AC375" s="582" t="s">
        <v>1778</v>
      </c>
      <c r="AD375" s="593" t="s">
        <v>89</v>
      </c>
      <c r="AE375" s="628"/>
      <c r="AF375" s="628"/>
      <c r="AG375" s="595">
        <f t="shared" si="241"/>
        <v>12000</v>
      </c>
      <c r="AH375" s="628"/>
      <c r="AI375" s="628"/>
      <c r="AJ375" s="589"/>
      <c r="AK375" s="629"/>
      <c r="AL375" s="628"/>
      <c r="AM375" s="628"/>
      <c r="AN375" s="598"/>
      <c r="AO375" s="621">
        <f>I375</f>
        <v>12000</v>
      </c>
      <c r="AP375" s="630"/>
      <c r="AQ375" s="630"/>
      <c r="AR375" s="621">
        <f t="shared" si="242"/>
        <v>12000</v>
      </c>
      <c r="AS375" s="630"/>
      <c r="AT375" s="630"/>
      <c r="AU375" s="621"/>
      <c r="AV375" s="621"/>
      <c r="AW375" s="592"/>
      <c r="AX375" s="621">
        <f>I375</f>
        <v>12000</v>
      </c>
      <c r="AY375" s="621"/>
      <c r="AZ375" s="621"/>
      <c r="BA375" s="621"/>
      <c r="BB375" s="621"/>
      <c r="BC375" s="621"/>
      <c r="BD375" s="621">
        <f>I375</f>
        <v>12000</v>
      </c>
      <c r="BE375" s="623"/>
      <c r="BF375" s="602" t="s">
        <v>90</v>
      </c>
      <c r="BG375" s="603"/>
      <c r="BH375" s="632">
        <f t="shared" si="233"/>
        <v>2000</v>
      </c>
      <c r="BI375" s="633">
        <f t="shared" si="234"/>
        <v>2000</v>
      </c>
      <c r="BJ375" s="633">
        <f t="shared" si="235"/>
        <v>2000</v>
      </c>
      <c r="BK375" s="633">
        <f t="shared" si="236"/>
        <v>2000</v>
      </c>
      <c r="BL375" s="633">
        <f t="shared" si="237"/>
        <v>2000</v>
      </c>
      <c r="BM375" s="633">
        <f t="shared" si="238"/>
        <v>2000</v>
      </c>
      <c r="BN375" s="631"/>
      <c r="BO375" s="631"/>
      <c r="BP375" s="631"/>
      <c r="BQ375" s="631"/>
      <c r="BR375" s="631"/>
      <c r="BS375" s="631"/>
      <c r="BT375" s="607">
        <f t="shared" si="224"/>
        <v>12000</v>
      </c>
      <c r="BU375" s="608">
        <f t="shared" si="225"/>
        <v>0</v>
      </c>
      <c r="BV375" s="609"/>
      <c r="BW375" s="491"/>
    </row>
    <row r="376" s="490" customFormat="1" ht="33" customHeight="1" spans="1:75 16369:16384">
      <c r="A376" s="577">
        <v>45909</v>
      </c>
      <c r="B376" s="581" t="s">
        <v>1566</v>
      </c>
      <c r="C376" s="579" t="s">
        <v>140</v>
      </c>
      <c r="D376" s="580">
        <v>4500179109</v>
      </c>
      <c r="E376" s="588">
        <v>5000001990</v>
      </c>
      <c r="F376" s="580" t="s">
        <v>1790</v>
      </c>
      <c r="G376" s="582" t="s">
        <v>1778</v>
      </c>
      <c r="H376" s="578" t="s">
        <v>1779</v>
      </c>
      <c r="I376" s="583">
        <v>15000</v>
      </c>
      <c r="J376" s="583">
        <v>0</v>
      </c>
      <c r="K376" s="583">
        <v>6</v>
      </c>
      <c r="L376" s="584">
        <f t="shared" si="245"/>
        <v>2500</v>
      </c>
      <c r="M376" s="585">
        <v>45982</v>
      </c>
      <c r="N376" s="585">
        <v>45978</v>
      </c>
      <c r="O376" s="586" t="s">
        <v>1788</v>
      </c>
      <c r="P376" s="586" t="s">
        <v>83</v>
      </c>
      <c r="Q376" s="587" t="s">
        <v>1781</v>
      </c>
      <c r="R376" s="586" t="s">
        <v>1782</v>
      </c>
      <c r="S376" s="586"/>
      <c r="T376" s="586"/>
      <c r="U376" s="641" t="s">
        <v>1783</v>
      </c>
      <c r="V376" s="641" t="s">
        <v>1791</v>
      </c>
      <c r="W376" s="641"/>
      <c r="X376" s="661" t="s">
        <v>1785</v>
      </c>
      <c r="Y376" s="618" t="s">
        <v>757</v>
      </c>
      <c r="Z376" s="590">
        <v>7.37</v>
      </c>
      <c r="AA376" s="591">
        <f t="shared" si="246"/>
        <v>110550</v>
      </c>
      <c r="AB376" s="619"/>
      <c r="AC376" s="582" t="s">
        <v>1778</v>
      </c>
      <c r="AD376" s="593" t="s">
        <v>89</v>
      </c>
      <c r="AE376" s="628"/>
      <c r="AF376" s="628"/>
      <c r="AG376" s="595">
        <f t="shared" si="241"/>
        <v>15000</v>
      </c>
      <c r="AH376" s="628"/>
      <c r="AI376" s="628"/>
      <c r="AJ376" s="589"/>
      <c r="AK376" s="629"/>
      <c r="AL376" s="628"/>
      <c r="AM376" s="628"/>
      <c r="AN376" s="598"/>
      <c r="AO376" s="621">
        <f>I376</f>
        <v>15000</v>
      </c>
      <c r="AP376" s="630"/>
      <c r="AQ376" s="630"/>
      <c r="AR376" s="621">
        <f t="shared" si="242"/>
        <v>15000</v>
      </c>
      <c r="AS376" s="630"/>
      <c r="AT376" s="630"/>
      <c r="AU376" s="621"/>
      <c r="AV376" s="621"/>
      <c r="AW376" s="592"/>
      <c r="AX376" s="621">
        <f>I376</f>
        <v>15000</v>
      </c>
      <c r="AY376" s="621"/>
      <c r="AZ376" s="621"/>
      <c r="BA376" s="621"/>
      <c r="BB376" s="621"/>
      <c r="BC376" s="621"/>
      <c r="BD376" s="621">
        <f>I376</f>
        <v>15000</v>
      </c>
      <c r="BE376" s="623"/>
      <c r="BF376" s="602" t="s">
        <v>90</v>
      </c>
      <c r="BG376" s="603"/>
      <c r="BH376" s="632">
        <f t="shared" si="233"/>
        <v>2500</v>
      </c>
      <c r="BI376" s="633">
        <f t="shared" si="234"/>
        <v>2500</v>
      </c>
      <c r="BJ376" s="633">
        <f t="shared" si="235"/>
        <v>2500</v>
      </c>
      <c r="BK376" s="633">
        <f t="shared" si="236"/>
        <v>2500</v>
      </c>
      <c r="BL376" s="633">
        <f t="shared" si="237"/>
        <v>2500</v>
      </c>
      <c r="BM376" s="633">
        <f t="shared" si="238"/>
        <v>2500</v>
      </c>
      <c r="BN376" s="631"/>
      <c r="BO376" s="631"/>
      <c r="BP376" s="631"/>
      <c r="BQ376" s="631"/>
      <c r="BR376" s="631"/>
      <c r="BS376" s="631"/>
      <c r="BT376" s="607">
        <f t="shared" si="224"/>
        <v>15000</v>
      </c>
      <c r="BU376" s="608">
        <f t="shared" si="225"/>
        <v>0</v>
      </c>
      <c r="BV376" s="609"/>
      <c r="BW376" s="491"/>
    </row>
    <row r="377" s="490" customFormat="1" ht="33" customHeight="1" spans="1:75 16369:16384">
      <c r="A377" s="577">
        <v>45954</v>
      </c>
      <c r="B377" s="581" t="s">
        <v>1792</v>
      </c>
      <c r="C377" s="579" t="s">
        <v>359</v>
      </c>
      <c r="D377" s="580">
        <v>4500183143</v>
      </c>
      <c r="E377" s="616" t="s">
        <v>1793</v>
      </c>
      <c r="F377" s="580" t="s">
        <v>1794</v>
      </c>
      <c r="G377" s="582" t="s">
        <v>81</v>
      </c>
      <c r="H377" s="578" t="s">
        <v>95</v>
      </c>
      <c r="I377" s="583">
        <v>5958</v>
      </c>
      <c r="J377" s="583">
        <v>0</v>
      </c>
      <c r="K377" s="583">
        <v>6</v>
      </c>
      <c r="L377" s="584">
        <f t="shared" si="245"/>
        <v>993</v>
      </c>
      <c r="M377" s="585">
        <v>45989</v>
      </c>
      <c r="N377" s="585">
        <v>45985</v>
      </c>
      <c r="O377" s="586"/>
      <c r="P377" s="586" t="s">
        <v>83</v>
      </c>
      <c r="Q377" s="587" t="s">
        <v>1795</v>
      </c>
      <c r="R377" s="586" t="s">
        <v>1796</v>
      </c>
      <c r="S377" s="586"/>
      <c r="T377" s="586"/>
      <c r="U377" s="641" t="s">
        <v>1797</v>
      </c>
      <c r="V377" s="641"/>
      <c r="W377" s="641"/>
      <c r="X377" s="661" t="s">
        <v>1798</v>
      </c>
      <c r="Y377" s="618" t="s">
        <v>1799</v>
      </c>
      <c r="Z377" s="590">
        <v>5.567</v>
      </c>
      <c r="AA377" s="591">
        <f t="shared" si="246"/>
        <v>33168.186</v>
      </c>
      <c r="AB377" s="619" t="s">
        <v>1800</v>
      </c>
      <c r="AC377" s="582" t="s">
        <v>235</v>
      </c>
      <c r="AD377" s="593" t="s">
        <v>89</v>
      </c>
      <c r="AE377" s="594"/>
      <c r="AF377" s="665"/>
      <c r="AG377" s="621"/>
      <c r="AH377" s="597"/>
      <c r="AI377" s="630"/>
      <c r="AJ377" s="621">
        <f>I377</f>
        <v>5958</v>
      </c>
      <c r="AK377" s="621"/>
      <c r="AL377" s="630"/>
      <c r="AM377" s="596"/>
      <c r="AN377" s="621">
        <f>I377</f>
        <v>5958</v>
      </c>
      <c r="AO377" s="621"/>
      <c r="AP377" s="630"/>
      <c r="AQ377" s="630"/>
      <c r="AR377" s="621"/>
      <c r="AS377" s="630"/>
      <c r="AT377" s="630"/>
      <c r="AU377" s="621">
        <f>I377</f>
        <v>5958</v>
      </c>
      <c r="AV377" s="618"/>
      <c r="AW377" s="592">
        <f t="shared" ref="AW377:AW386" si="247">I377</f>
        <v>5958</v>
      </c>
      <c r="AX377" s="621"/>
      <c r="AY377" s="666"/>
      <c r="AZ377" s="666"/>
      <c r="BA377" s="666"/>
      <c r="BB377" s="666"/>
      <c r="BC377" s="666"/>
      <c r="BD377" s="667"/>
      <c r="BE377" s="668"/>
      <c r="BF377" s="602" t="s">
        <v>90</v>
      </c>
      <c r="BG377" s="603"/>
      <c r="BH377" s="632">
        <f t="shared" si="233"/>
        <v>993</v>
      </c>
      <c r="BI377" s="633">
        <f t="shared" si="234"/>
        <v>993</v>
      </c>
      <c r="BJ377" s="633">
        <f t="shared" si="235"/>
        <v>993</v>
      </c>
      <c r="BK377" s="633">
        <f t="shared" si="236"/>
        <v>993</v>
      </c>
      <c r="BL377" s="633">
        <f t="shared" si="237"/>
        <v>993</v>
      </c>
      <c r="BM377" s="633">
        <f t="shared" si="238"/>
        <v>993</v>
      </c>
      <c r="BN377" s="631"/>
      <c r="BO377" s="631"/>
      <c r="BP377" s="631"/>
      <c r="BQ377" s="631"/>
      <c r="BR377" s="631"/>
      <c r="BS377" s="631"/>
      <c r="BT377" s="607">
        <f t="shared" si="224"/>
        <v>5958</v>
      </c>
      <c r="BU377" s="608">
        <f t="shared" si="225"/>
        <v>0</v>
      </c>
      <c r="BV377" s="609"/>
      <c r="BW377" s="491"/>
    </row>
    <row r="378" s="490" customFormat="1" ht="33" customHeight="1" spans="1:75 16369:16384">
      <c r="A378" s="577">
        <v>45953</v>
      </c>
      <c r="B378" s="581" t="s">
        <v>999</v>
      </c>
      <c r="C378" s="579" t="s">
        <v>725</v>
      </c>
      <c r="D378" s="580">
        <v>4500181881</v>
      </c>
      <c r="E378" s="616"/>
      <c r="F378" s="580" t="s">
        <v>1801</v>
      </c>
      <c r="G378" s="582" t="s">
        <v>81</v>
      </c>
      <c r="H378" s="578" t="s">
        <v>95</v>
      </c>
      <c r="I378" s="583">
        <v>342</v>
      </c>
      <c r="J378" s="583">
        <v>0</v>
      </c>
      <c r="K378" s="583">
        <v>6</v>
      </c>
      <c r="L378" s="584">
        <f t="shared" si="245"/>
        <v>57</v>
      </c>
      <c r="M378" s="585">
        <v>45991</v>
      </c>
      <c r="N378" s="585">
        <v>45987</v>
      </c>
      <c r="O378" s="586"/>
      <c r="P378" s="586" t="s">
        <v>83</v>
      </c>
      <c r="Q378" s="587" t="s">
        <v>1795</v>
      </c>
      <c r="R378" s="586" t="s">
        <v>1802</v>
      </c>
      <c r="S378" s="586"/>
      <c r="T378" s="586"/>
      <c r="U378" s="641" t="s">
        <v>1803</v>
      </c>
      <c r="V378" s="641"/>
      <c r="W378" s="641"/>
      <c r="X378" s="669" t="s">
        <v>1804</v>
      </c>
      <c r="Y378" s="618" t="s">
        <v>1004</v>
      </c>
      <c r="Z378" s="590">
        <v>5.7835</v>
      </c>
      <c r="AA378" s="591">
        <f t="shared" si="246"/>
        <v>1977.957</v>
      </c>
      <c r="AB378" s="619" t="s">
        <v>1805</v>
      </c>
      <c r="AC378" s="582" t="s">
        <v>81</v>
      </c>
      <c r="AD378" s="593" t="s">
        <v>89</v>
      </c>
      <c r="AE378" s="594"/>
      <c r="AF378" s="628"/>
      <c r="AG378" s="621">
        <f t="shared" ref="AG378:AG383" si="248">I378</f>
        <v>342</v>
      </c>
      <c r="AH378" s="597"/>
      <c r="AI378" s="630"/>
      <c r="AJ378" s="621"/>
      <c r="AK378" s="621"/>
      <c r="AL378" s="630"/>
      <c r="AM378" s="596"/>
      <c r="AN378" s="621">
        <f>I378</f>
        <v>342</v>
      </c>
      <c r="AO378" s="621"/>
      <c r="AP378" s="630"/>
      <c r="AQ378" s="630"/>
      <c r="AR378" s="621">
        <f t="shared" ref="AR378:AR383" si="249">I378</f>
        <v>342</v>
      </c>
      <c r="AS378" s="630"/>
      <c r="AT378" s="630"/>
      <c r="AU378" s="621"/>
      <c r="AV378" s="618"/>
      <c r="AW378" s="592">
        <f t="shared" si="247"/>
        <v>342</v>
      </c>
      <c r="AX378" s="621"/>
      <c r="AY378" s="666"/>
      <c r="AZ378" s="666"/>
      <c r="BA378" s="666"/>
      <c r="BB378" s="666"/>
      <c r="BC378" s="666"/>
      <c r="BD378" s="667"/>
      <c r="BE378" s="668"/>
      <c r="BF378" s="602" t="s">
        <v>90</v>
      </c>
      <c r="BG378" s="603"/>
      <c r="BH378" s="632">
        <f t="shared" si="233"/>
        <v>57</v>
      </c>
      <c r="BI378" s="633">
        <f t="shared" si="234"/>
        <v>57</v>
      </c>
      <c r="BJ378" s="633">
        <f t="shared" si="235"/>
        <v>57</v>
      </c>
      <c r="BK378" s="633">
        <f t="shared" si="236"/>
        <v>57</v>
      </c>
      <c r="BL378" s="633">
        <f t="shared" si="237"/>
        <v>57</v>
      </c>
      <c r="BM378" s="633">
        <f t="shared" si="238"/>
        <v>57</v>
      </c>
      <c r="BN378" s="631"/>
      <c r="BO378" s="631"/>
      <c r="BP378" s="631"/>
      <c r="BQ378" s="631"/>
      <c r="BR378" s="631"/>
      <c r="BS378" s="631"/>
      <c r="BT378" s="607">
        <f t="shared" si="224"/>
        <v>342</v>
      </c>
      <c r="BU378" s="608">
        <f t="shared" si="225"/>
        <v>0</v>
      </c>
      <c r="BV378" s="609"/>
      <c r="BW378" s="491"/>
      <c r="XEO378" s="670"/>
      <c r="XEP378" s="652"/>
      <c r="XEQ378" s="653"/>
      <c r="XER378" s="654"/>
      <c r="XES378" s="655"/>
      <c r="XET378" s="654"/>
      <c r="XEU378" s="656"/>
      <c r="XEV378" s="656"/>
      <c r="XEW378" s="657"/>
      <c r="XEX378" s="658"/>
      <c r="XEY378" s="658"/>
      <c r="XEZ378" s="658"/>
      <c r="XFA378" s="671"/>
      <c r="XFB378" s="659"/>
      <c r="XFC378" s="659"/>
      <c r="XFD378" s="660"/>
    </row>
    <row r="379" s="490" customFormat="1" ht="33" customHeight="1" spans="1:75 16369:16384">
      <c r="A379" s="577">
        <v>45952</v>
      </c>
      <c r="B379" s="581" t="s">
        <v>1566</v>
      </c>
      <c r="C379" s="579" t="s">
        <v>140</v>
      </c>
      <c r="D379" s="580">
        <v>4500180345</v>
      </c>
      <c r="E379" s="616">
        <v>5000002005</v>
      </c>
      <c r="F379" s="580" t="s">
        <v>1806</v>
      </c>
      <c r="G379" s="582" t="s">
        <v>81</v>
      </c>
      <c r="H379" s="578" t="s">
        <v>95</v>
      </c>
      <c r="I379" s="583">
        <v>2400</v>
      </c>
      <c r="J379" s="583">
        <v>0</v>
      </c>
      <c r="K379" s="583">
        <v>6</v>
      </c>
      <c r="L379" s="584">
        <f t="shared" si="245"/>
        <v>400</v>
      </c>
      <c r="M379" s="585">
        <v>45992</v>
      </c>
      <c r="N379" s="585">
        <f>M379-4</f>
        <v>45988</v>
      </c>
      <c r="O379" s="586"/>
      <c r="P379" s="586" t="s">
        <v>83</v>
      </c>
      <c r="Q379" s="587"/>
      <c r="R379" s="586" t="s">
        <v>1807</v>
      </c>
      <c r="S379" s="586"/>
      <c r="T379" s="586"/>
      <c r="U379" s="641" t="s">
        <v>1808</v>
      </c>
      <c r="V379" s="641"/>
      <c r="W379" s="641"/>
      <c r="X379" s="661" t="s">
        <v>1809</v>
      </c>
      <c r="Y379" s="618" t="s">
        <v>757</v>
      </c>
      <c r="Z379" s="590">
        <v>5.5938</v>
      </c>
      <c r="AA379" s="591">
        <f t="shared" si="246"/>
        <v>13425.12</v>
      </c>
      <c r="AB379" s="619" t="s">
        <v>1810</v>
      </c>
      <c r="AC379" s="582" t="s">
        <v>149</v>
      </c>
      <c r="AD379" s="672" t="s">
        <v>89</v>
      </c>
      <c r="AE379" s="594"/>
      <c r="AF379" s="628"/>
      <c r="AG379" s="621">
        <f t="shared" si="248"/>
        <v>2400</v>
      </c>
      <c r="AH379" s="597"/>
      <c r="AI379" s="630"/>
      <c r="AJ379" s="621"/>
      <c r="AK379" s="621"/>
      <c r="AL379" s="630"/>
      <c r="AM379" s="596"/>
      <c r="AN379" s="621"/>
      <c r="AO379" s="621">
        <f>I379</f>
        <v>2400</v>
      </c>
      <c r="AP379" s="630"/>
      <c r="AQ379" s="630"/>
      <c r="AR379" s="621">
        <f t="shared" si="249"/>
        <v>2400</v>
      </c>
      <c r="AS379" s="630"/>
      <c r="AT379" s="630"/>
      <c r="AU379" s="621"/>
      <c r="AV379" s="618"/>
      <c r="AW379" s="592"/>
      <c r="AX379" s="621">
        <f>I379</f>
        <v>2400</v>
      </c>
      <c r="AY379" s="666"/>
      <c r="AZ379" s="666"/>
      <c r="BA379" s="666"/>
      <c r="BB379" s="666"/>
      <c r="BC379" s="666"/>
      <c r="BD379" s="667"/>
      <c r="BE379" s="668"/>
      <c r="BF379" s="602" t="s">
        <v>90</v>
      </c>
      <c r="BG379" s="603"/>
      <c r="BH379" s="632">
        <f t="shared" si="233"/>
        <v>400</v>
      </c>
      <c r="BI379" s="633">
        <f t="shared" si="234"/>
        <v>400</v>
      </c>
      <c r="BJ379" s="633">
        <f t="shared" si="235"/>
        <v>400</v>
      </c>
      <c r="BK379" s="633">
        <f t="shared" si="236"/>
        <v>400</v>
      </c>
      <c r="BL379" s="633">
        <f t="shared" si="237"/>
        <v>400</v>
      </c>
      <c r="BM379" s="633">
        <f t="shared" si="238"/>
        <v>400</v>
      </c>
      <c r="BN379" s="631"/>
      <c r="BO379" s="631"/>
      <c r="BP379" s="631"/>
      <c r="BQ379" s="631"/>
      <c r="BR379" s="631"/>
      <c r="BS379" s="631"/>
      <c r="BT379" s="607">
        <f t="shared" si="224"/>
        <v>2400</v>
      </c>
      <c r="BU379" s="608">
        <f t="shared" si="225"/>
        <v>0</v>
      </c>
      <c r="BV379" s="609"/>
      <c r="BW379" s="491"/>
      <c r="XEO379" s="670"/>
      <c r="XEP379" s="652"/>
      <c r="XEQ379" s="653"/>
      <c r="XER379" s="654"/>
      <c r="XES379" s="655"/>
      <c r="XET379" s="654"/>
      <c r="XEU379" s="656"/>
      <c r="XEV379" s="656"/>
      <c r="XEW379" s="657"/>
      <c r="XEX379" s="658"/>
      <c r="XEY379" s="658"/>
      <c r="XEZ379" s="658"/>
      <c r="XFA379" s="671"/>
      <c r="XFB379" s="659"/>
      <c r="XFC379" s="659"/>
      <c r="XFD379" s="660"/>
    </row>
    <row r="380" s="490" customFormat="1" ht="33" customHeight="1" spans="1:75 16369:16384">
      <c r="A380" s="577">
        <v>45952</v>
      </c>
      <c r="B380" s="581" t="s">
        <v>1586</v>
      </c>
      <c r="C380" s="579" t="s">
        <v>92</v>
      </c>
      <c r="D380" s="580">
        <v>4500182703</v>
      </c>
      <c r="E380" s="588">
        <v>1720033</v>
      </c>
      <c r="F380" s="580" t="s">
        <v>1811</v>
      </c>
      <c r="G380" s="582" t="s">
        <v>81</v>
      </c>
      <c r="H380" s="578" t="s">
        <v>95</v>
      </c>
      <c r="I380" s="583">
        <v>402</v>
      </c>
      <c r="J380" s="583">
        <v>0</v>
      </c>
      <c r="K380" s="583">
        <v>6</v>
      </c>
      <c r="L380" s="584">
        <f t="shared" si="245"/>
        <v>67</v>
      </c>
      <c r="M380" s="585">
        <v>45993</v>
      </c>
      <c r="N380" s="585">
        <v>45989</v>
      </c>
      <c r="O380" s="586"/>
      <c r="P380" s="586" t="s">
        <v>83</v>
      </c>
      <c r="Q380" s="587" t="s">
        <v>1762</v>
      </c>
      <c r="R380" s="586" t="s">
        <v>1812</v>
      </c>
      <c r="S380" s="586"/>
      <c r="T380" s="586"/>
      <c r="U380" s="641" t="s">
        <v>1813</v>
      </c>
      <c r="V380" s="641"/>
      <c r="W380" s="641"/>
      <c r="X380" s="661" t="s">
        <v>1814</v>
      </c>
      <c r="Y380" s="618" t="s">
        <v>1591</v>
      </c>
      <c r="Z380" s="590">
        <v>3.4696</v>
      </c>
      <c r="AA380" s="591">
        <f t="shared" si="246"/>
        <v>1394.7792</v>
      </c>
      <c r="AB380" s="619"/>
      <c r="AC380" s="582" t="s">
        <v>81</v>
      </c>
      <c r="AD380" s="593" t="s">
        <v>89</v>
      </c>
      <c r="AE380" s="594"/>
      <c r="AF380" s="628"/>
      <c r="AG380" s="621">
        <f t="shared" si="248"/>
        <v>402</v>
      </c>
      <c r="AH380" s="597"/>
      <c r="AI380" s="630"/>
      <c r="AJ380" s="621"/>
      <c r="AK380" s="621"/>
      <c r="AL380" s="630"/>
      <c r="AM380" s="596"/>
      <c r="AN380" s="621">
        <f t="shared" ref="AN380:AN386" si="250">I380</f>
        <v>402</v>
      </c>
      <c r="AO380" s="621"/>
      <c r="AP380" s="630"/>
      <c r="AQ380" s="630"/>
      <c r="AR380" s="621">
        <f t="shared" si="249"/>
        <v>402</v>
      </c>
      <c r="AS380" s="630"/>
      <c r="AT380" s="630"/>
      <c r="AU380" s="621"/>
      <c r="AV380" s="618"/>
      <c r="AW380" s="592">
        <f t="shared" si="247"/>
        <v>402</v>
      </c>
      <c r="AX380" s="621"/>
      <c r="AY380" s="666"/>
      <c r="AZ380" s="666"/>
      <c r="BA380" s="666"/>
      <c r="BB380" s="666"/>
      <c r="BC380" s="666"/>
      <c r="BD380" s="667"/>
      <c r="BE380" s="668"/>
      <c r="BF380" s="602" t="s">
        <v>90</v>
      </c>
      <c r="BG380" s="603"/>
      <c r="BH380" s="632">
        <f t="shared" si="233"/>
        <v>67</v>
      </c>
      <c r="BI380" s="633">
        <f t="shared" si="234"/>
        <v>67</v>
      </c>
      <c r="BJ380" s="633">
        <f t="shared" si="235"/>
        <v>67</v>
      </c>
      <c r="BK380" s="633">
        <f t="shared" si="236"/>
        <v>67</v>
      </c>
      <c r="BL380" s="633">
        <f t="shared" si="237"/>
        <v>67</v>
      </c>
      <c r="BM380" s="633">
        <f t="shared" si="238"/>
        <v>67</v>
      </c>
      <c r="BN380" s="631"/>
      <c r="BO380" s="631"/>
      <c r="BP380" s="631"/>
      <c r="BQ380" s="631"/>
      <c r="BR380" s="631"/>
      <c r="BS380" s="631"/>
      <c r="BT380" s="607">
        <f t="shared" si="224"/>
        <v>402</v>
      </c>
      <c r="BU380" s="608">
        <f t="shared" si="225"/>
        <v>0</v>
      </c>
      <c r="BV380" s="609"/>
      <c r="BW380" s="491"/>
      <c r="XEO380" s="670"/>
      <c r="XEP380" s="652"/>
      <c r="XEQ380" s="653"/>
      <c r="XER380" s="654"/>
      <c r="XES380" s="655"/>
      <c r="XET380" s="654"/>
      <c r="XEU380" s="656"/>
      <c r="XEV380" s="656"/>
      <c r="XEW380" s="657"/>
      <c r="XEX380" s="658"/>
      <c r="XEY380" s="658"/>
      <c r="XEZ380" s="658"/>
      <c r="XFA380" s="671"/>
      <c r="XFB380" s="659"/>
      <c r="XFC380" s="659"/>
      <c r="XFD380" s="660"/>
    </row>
    <row r="381" s="490" customFormat="1" ht="33" customHeight="1" spans="1:75 16369:16384">
      <c r="A381" s="577">
        <v>45952</v>
      </c>
      <c r="B381" s="581" t="s">
        <v>1586</v>
      </c>
      <c r="C381" s="579" t="s">
        <v>92</v>
      </c>
      <c r="D381" s="580">
        <v>4500182703</v>
      </c>
      <c r="E381" s="588">
        <v>1720035</v>
      </c>
      <c r="F381" s="580" t="s">
        <v>1815</v>
      </c>
      <c r="G381" s="582" t="s">
        <v>81</v>
      </c>
      <c r="H381" s="578" t="s">
        <v>95</v>
      </c>
      <c r="I381" s="583">
        <v>198</v>
      </c>
      <c r="J381" s="583">
        <v>0</v>
      </c>
      <c r="K381" s="583">
        <v>6</v>
      </c>
      <c r="L381" s="584">
        <f t="shared" si="245"/>
        <v>33</v>
      </c>
      <c r="M381" s="585">
        <v>45993</v>
      </c>
      <c r="N381" s="585">
        <v>45989</v>
      </c>
      <c r="O381" s="586"/>
      <c r="P381" s="586" t="s">
        <v>83</v>
      </c>
      <c r="Q381" s="587" t="s">
        <v>1762</v>
      </c>
      <c r="R381" s="586" t="s">
        <v>1812</v>
      </c>
      <c r="S381" s="586"/>
      <c r="T381" s="586"/>
      <c r="U381" s="641" t="s">
        <v>1813</v>
      </c>
      <c r="V381" s="641"/>
      <c r="W381" s="641"/>
      <c r="X381" s="661" t="s">
        <v>1814</v>
      </c>
      <c r="Y381" s="618" t="s">
        <v>1591</v>
      </c>
      <c r="Z381" s="590">
        <v>3.4696</v>
      </c>
      <c r="AA381" s="591">
        <f t="shared" si="246"/>
        <v>686.9808</v>
      </c>
      <c r="AB381" s="619"/>
      <c r="AC381" s="582" t="s">
        <v>81</v>
      </c>
      <c r="AD381" s="593" t="s">
        <v>89</v>
      </c>
      <c r="AE381" s="628"/>
      <c r="AF381" s="628"/>
      <c r="AG381" s="621">
        <f t="shared" si="248"/>
        <v>198</v>
      </c>
      <c r="AH381" s="628"/>
      <c r="AI381" s="628"/>
      <c r="AJ381" s="621"/>
      <c r="AK381" s="621"/>
      <c r="AL381" s="628"/>
      <c r="AM381" s="628"/>
      <c r="AN381" s="621">
        <f t="shared" si="250"/>
        <v>198</v>
      </c>
      <c r="AO381" s="621"/>
      <c r="AP381" s="630"/>
      <c r="AQ381" s="630"/>
      <c r="AR381" s="621">
        <f t="shared" si="249"/>
        <v>198</v>
      </c>
      <c r="AS381" s="630"/>
      <c r="AT381" s="630"/>
      <c r="AU381" s="621"/>
      <c r="AV381" s="621"/>
      <c r="AW381" s="592">
        <f t="shared" si="247"/>
        <v>198</v>
      </c>
      <c r="AX381" s="621"/>
      <c r="AY381" s="621"/>
      <c r="AZ381" s="621"/>
      <c r="BA381" s="621"/>
      <c r="BB381" s="666"/>
      <c r="BC381" s="666"/>
      <c r="BD381" s="667"/>
      <c r="BE381" s="668"/>
      <c r="BF381" s="602" t="s">
        <v>90</v>
      </c>
      <c r="BG381" s="603"/>
      <c r="BH381" s="632">
        <f t="shared" si="233"/>
        <v>33</v>
      </c>
      <c r="BI381" s="633">
        <f t="shared" si="234"/>
        <v>33</v>
      </c>
      <c r="BJ381" s="633">
        <f t="shared" si="235"/>
        <v>33</v>
      </c>
      <c r="BK381" s="633">
        <f t="shared" si="236"/>
        <v>33</v>
      </c>
      <c r="BL381" s="633">
        <f t="shared" si="237"/>
        <v>33</v>
      </c>
      <c r="BM381" s="633">
        <f t="shared" si="238"/>
        <v>33</v>
      </c>
      <c r="BN381" s="631"/>
      <c r="BO381" s="631"/>
      <c r="BP381" s="631"/>
      <c r="BQ381" s="631"/>
      <c r="BR381" s="631"/>
      <c r="BS381" s="631"/>
      <c r="BT381" s="607">
        <f t="shared" si="224"/>
        <v>198</v>
      </c>
      <c r="BU381" s="608">
        <f t="shared" si="225"/>
        <v>0</v>
      </c>
      <c r="BV381" s="609"/>
      <c r="BW381" s="491"/>
    </row>
    <row r="382" s="490" customFormat="1" ht="33" customHeight="1" spans="1:75 16369:16384">
      <c r="A382" s="577">
        <v>45965</v>
      </c>
      <c r="B382" s="581" t="s">
        <v>166</v>
      </c>
      <c r="C382" s="579" t="s">
        <v>92</v>
      </c>
      <c r="D382" s="580">
        <v>4500184367</v>
      </c>
      <c r="E382" s="616">
        <v>60260987</v>
      </c>
      <c r="F382" s="580" t="s">
        <v>1816</v>
      </c>
      <c r="G382" s="582" t="s">
        <v>81</v>
      </c>
      <c r="H382" s="578" t="s">
        <v>95</v>
      </c>
      <c r="I382" s="583">
        <v>1800</v>
      </c>
      <c r="J382" s="583">
        <v>0</v>
      </c>
      <c r="K382" s="583">
        <v>6</v>
      </c>
      <c r="L382" s="584">
        <f t="shared" si="245"/>
        <v>300</v>
      </c>
      <c r="M382" s="585">
        <v>45996</v>
      </c>
      <c r="N382" s="585">
        <v>45992</v>
      </c>
      <c r="O382" s="586"/>
      <c r="P382" s="586" t="s">
        <v>83</v>
      </c>
      <c r="Q382" s="587"/>
      <c r="R382" s="586" t="s">
        <v>106</v>
      </c>
      <c r="S382" s="586"/>
      <c r="T382" s="586"/>
      <c r="U382" s="641" t="s">
        <v>86</v>
      </c>
      <c r="V382" s="641" t="s">
        <v>170</v>
      </c>
      <c r="W382" s="641"/>
      <c r="X382" s="661" t="s">
        <v>1817</v>
      </c>
      <c r="Y382" s="618" t="s">
        <v>1694</v>
      </c>
      <c r="Z382" s="590">
        <v>3.3563</v>
      </c>
      <c r="AA382" s="591">
        <f t="shared" si="246"/>
        <v>6041.34</v>
      </c>
      <c r="AB382" s="619"/>
      <c r="AC382" s="582" t="s">
        <v>81</v>
      </c>
      <c r="AD382" s="593" t="s">
        <v>89</v>
      </c>
      <c r="AE382" s="628"/>
      <c r="AF382" s="628"/>
      <c r="AG382" s="595">
        <f t="shared" si="248"/>
        <v>1800</v>
      </c>
      <c r="AH382" s="628"/>
      <c r="AI382" s="628"/>
      <c r="AJ382" s="589"/>
      <c r="AK382" s="621"/>
      <c r="AL382" s="628"/>
      <c r="AM382" s="628"/>
      <c r="AN382" s="598">
        <f t="shared" si="250"/>
        <v>1800</v>
      </c>
      <c r="AO382" s="621"/>
      <c r="AP382" s="630"/>
      <c r="AQ382" s="630"/>
      <c r="AR382" s="621">
        <f t="shared" si="249"/>
        <v>1800</v>
      </c>
      <c r="AS382" s="630"/>
      <c r="AT382" s="630"/>
      <c r="AU382" s="621"/>
      <c r="AV382" s="621"/>
      <c r="AW382" s="592">
        <f t="shared" si="247"/>
        <v>1800</v>
      </c>
      <c r="AX382" s="621"/>
      <c r="AY382" s="621"/>
      <c r="AZ382" s="621"/>
      <c r="BA382" s="621"/>
      <c r="BB382" s="621"/>
      <c r="BC382" s="621"/>
      <c r="BD382" s="621"/>
      <c r="BE382" s="623"/>
      <c r="BF382" s="602" t="s">
        <v>90</v>
      </c>
      <c r="BG382" s="603"/>
      <c r="BH382" s="632">
        <f t="shared" si="233"/>
        <v>300</v>
      </c>
      <c r="BI382" s="633">
        <f t="shared" si="234"/>
        <v>300</v>
      </c>
      <c r="BJ382" s="633">
        <f t="shared" si="235"/>
        <v>300</v>
      </c>
      <c r="BK382" s="633">
        <f t="shared" si="236"/>
        <v>300</v>
      </c>
      <c r="BL382" s="633">
        <f t="shared" si="237"/>
        <v>300</v>
      </c>
      <c r="BM382" s="633">
        <f t="shared" si="238"/>
        <v>300</v>
      </c>
      <c r="BN382" s="631"/>
      <c r="BO382" s="631"/>
      <c r="BP382" s="631"/>
      <c r="BQ382" s="631"/>
      <c r="BR382" s="631"/>
      <c r="BS382" s="631"/>
      <c r="BT382" s="607">
        <f t="shared" si="224"/>
        <v>1800</v>
      </c>
      <c r="BU382" s="608">
        <f t="shared" si="225"/>
        <v>0</v>
      </c>
      <c r="BV382" s="609"/>
      <c r="BW382" s="491"/>
    </row>
    <row r="383" s="490" customFormat="1" ht="33" customHeight="1" spans="1:75 16369:16384">
      <c r="A383" s="577">
        <v>45968</v>
      </c>
      <c r="B383" s="581" t="s">
        <v>1818</v>
      </c>
      <c r="C383" s="579" t="s">
        <v>1819</v>
      </c>
      <c r="D383" s="580">
        <v>4500184858</v>
      </c>
      <c r="E383" s="616"/>
      <c r="F383" s="580" t="s">
        <v>1820</v>
      </c>
      <c r="G383" s="582" t="s">
        <v>81</v>
      </c>
      <c r="H383" s="578" t="s">
        <v>95</v>
      </c>
      <c r="I383" s="583">
        <v>204</v>
      </c>
      <c r="J383" s="583">
        <v>0</v>
      </c>
      <c r="K383" s="583">
        <v>6</v>
      </c>
      <c r="L383" s="584">
        <f t="shared" si="245"/>
        <v>34</v>
      </c>
      <c r="M383" s="585">
        <v>45999</v>
      </c>
      <c r="N383" s="585">
        <v>45995</v>
      </c>
      <c r="O383" s="586"/>
      <c r="P383" s="586" t="s">
        <v>83</v>
      </c>
      <c r="Q383" s="587" t="s">
        <v>1821</v>
      </c>
      <c r="R383" s="586" t="s">
        <v>1822</v>
      </c>
      <c r="S383" s="586"/>
      <c r="T383" s="586"/>
      <c r="U383" s="641" t="s">
        <v>86</v>
      </c>
      <c r="V383" s="641"/>
      <c r="W383" s="641"/>
      <c r="X383" s="661" t="s">
        <v>1560</v>
      </c>
      <c r="Y383" s="618" t="s">
        <v>1823</v>
      </c>
      <c r="Z383" s="590">
        <v>5.6013</v>
      </c>
      <c r="AA383" s="591">
        <f t="shared" si="246"/>
        <v>1142.6652</v>
      </c>
      <c r="AB383" s="619" t="s">
        <v>1824</v>
      </c>
      <c r="AC383" s="582" t="s">
        <v>81</v>
      </c>
      <c r="AD383" s="593" t="s">
        <v>89</v>
      </c>
      <c r="AE383" s="628"/>
      <c r="AF383" s="628"/>
      <c r="AG383" s="595">
        <f t="shared" si="248"/>
        <v>204</v>
      </c>
      <c r="AH383" s="628"/>
      <c r="AI383" s="628"/>
      <c r="AJ383" s="589"/>
      <c r="AK383" s="621"/>
      <c r="AL383" s="628"/>
      <c r="AM383" s="628"/>
      <c r="AN383" s="598">
        <f t="shared" si="250"/>
        <v>204</v>
      </c>
      <c r="AO383" s="621"/>
      <c r="AP383" s="630"/>
      <c r="AQ383" s="630"/>
      <c r="AR383" s="621">
        <f t="shared" si="249"/>
        <v>204</v>
      </c>
      <c r="AS383" s="630"/>
      <c r="AT383" s="630"/>
      <c r="AU383" s="621"/>
      <c r="AV383" s="621"/>
      <c r="AW383" s="592">
        <f t="shared" si="247"/>
        <v>204</v>
      </c>
      <c r="AX383" s="621"/>
      <c r="AY383" s="621"/>
      <c r="AZ383" s="621"/>
      <c r="BA383" s="621"/>
      <c r="BB383" s="621"/>
      <c r="BC383" s="621"/>
      <c r="BD383" s="621"/>
      <c r="BE383" s="623"/>
      <c r="BF383" s="602" t="s">
        <v>90</v>
      </c>
      <c r="BG383" s="603"/>
      <c r="BH383" s="632">
        <f t="shared" si="233"/>
        <v>34</v>
      </c>
      <c r="BI383" s="633">
        <f t="shared" si="234"/>
        <v>34</v>
      </c>
      <c r="BJ383" s="633">
        <f t="shared" si="235"/>
        <v>34</v>
      </c>
      <c r="BK383" s="633">
        <f t="shared" si="236"/>
        <v>34</v>
      </c>
      <c r="BL383" s="633">
        <f t="shared" si="237"/>
        <v>34</v>
      </c>
      <c r="BM383" s="633">
        <f t="shared" si="238"/>
        <v>34</v>
      </c>
      <c r="BN383" s="631"/>
      <c r="BO383" s="631"/>
      <c r="BP383" s="631"/>
      <c r="BQ383" s="631"/>
      <c r="BR383" s="631"/>
      <c r="BS383" s="631"/>
      <c r="BT383" s="607">
        <f t="shared" si="224"/>
        <v>204</v>
      </c>
      <c r="BU383" s="608">
        <f t="shared" si="225"/>
        <v>0</v>
      </c>
      <c r="BV383" s="609"/>
      <c r="BW383" s="491"/>
    </row>
    <row r="384" s="490" customFormat="1" ht="33" customHeight="1" spans="1:75 16369:16384">
      <c r="A384" s="577">
        <v>45964</v>
      </c>
      <c r="B384" s="581" t="s">
        <v>1825</v>
      </c>
      <c r="C384" s="579" t="s">
        <v>1044</v>
      </c>
      <c r="D384" s="580">
        <v>4500183592</v>
      </c>
      <c r="E384" s="588">
        <v>157055</v>
      </c>
      <c r="F384" s="580" t="s">
        <v>1826</v>
      </c>
      <c r="G384" s="582" t="s">
        <v>81</v>
      </c>
      <c r="H384" s="578" t="s">
        <v>95</v>
      </c>
      <c r="I384" s="583">
        <v>1002</v>
      </c>
      <c r="J384" s="583">
        <v>0</v>
      </c>
      <c r="K384" s="583">
        <v>6</v>
      </c>
      <c r="L384" s="584">
        <f t="shared" si="245"/>
        <v>167</v>
      </c>
      <c r="M384" s="585">
        <v>46001</v>
      </c>
      <c r="N384" s="585">
        <v>45997</v>
      </c>
      <c r="O384" s="586"/>
      <c r="P384" s="586" t="s">
        <v>83</v>
      </c>
      <c r="Q384" s="587" t="s">
        <v>1827</v>
      </c>
      <c r="R384" s="586" t="s">
        <v>354</v>
      </c>
      <c r="S384" s="586"/>
      <c r="T384" s="586"/>
      <c r="U384" s="641" t="s">
        <v>1828</v>
      </c>
      <c r="V384" s="641"/>
      <c r="W384" s="641"/>
      <c r="X384" s="661" t="s">
        <v>1829</v>
      </c>
      <c r="Y384" s="618" t="s">
        <v>1830</v>
      </c>
      <c r="Z384" s="590">
        <v>5.7753</v>
      </c>
      <c r="AA384" s="591">
        <f t="shared" si="246"/>
        <v>5786.8506</v>
      </c>
      <c r="AB384" s="619"/>
      <c r="AC384" s="582" t="s">
        <v>235</v>
      </c>
      <c r="AD384" s="593" t="s">
        <v>89</v>
      </c>
      <c r="AE384" s="628"/>
      <c r="AF384" s="628"/>
      <c r="AG384" s="595"/>
      <c r="AH384" s="628"/>
      <c r="AI384" s="628"/>
      <c r="AJ384" s="637">
        <f>I384</f>
        <v>1002</v>
      </c>
      <c r="AK384" s="621"/>
      <c r="AL384" s="628"/>
      <c r="AM384" s="628"/>
      <c r="AN384" s="598">
        <f t="shared" si="250"/>
        <v>1002</v>
      </c>
      <c r="AO384" s="621"/>
      <c r="AP384" s="630"/>
      <c r="AQ384" s="630"/>
      <c r="AR384" s="621"/>
      <c r="AS384" s="630"/>
      <c r="AT384" s="630"/>
      <c r="AU384" s="621">
        <f>I384</f>
        <v>1002</v>
      </c>
      <c r="AV384" s="621"/>
      <c r="AW384" s="592">
        <f t="shared" si="247"/>
        <v>1002</v>
      </c>
      <c r="AX384" s="621"/>
      <c r="AY384" s="621"/>
      <c r="AZ384" s="621"/>
      <c r="BA384" s="621"/>
      <c r="BB384" s="621"/>
      <c r="BC384" s="621"/>
      <c r="BD384" s="621"/>
      <c r="BE384" s="623"/>
      <c r="BF384" s="602" t="s">
        <v>90</v>
      </c>
      <c r="BG384" s="603"/>
      <c r="BH384" s="632">
        <f t="shared" si="233"/>
        <v>167</v>
      </c>
      <c r="BI384" s="633">
        <f t="shared" si="234"/>
        <v>167</v>
      </c>
      <c r="BJ384" s="633">
        <f t="shared" si="235"/>
        <v>167</v>
      </c>
      <c r="BK384" s="633">
        <f t="shared" si="236"/>
        <v>167</v>
      </c>
      <c r="BL384" s="633">
        <f t="shared" si="237"/>
        <v>167</v>
      </c>
      <c r="BM384" s="633">
        <f t="shared" si="238"/>
        <v>167</v>
      </c>
      <c r="BN384" s="631"/>
      <c r="BO384" s="631"/>
      <c r="BP384" s="631"/>
      <c r="BQ384" s="631"/>
      <c r="BR384" s="631"/>
      <c r="BS384" s="631"/>
      <c r="BT384" s="607">
        <f t="shared" si="224"/>
        <v>1002</v>
      </c>
      <c r="BU384" s="608">
        <f t="shared" si="225"/>
        <v>0</v>
      </c>
      <c r="BV384" s="609"/>
      <c r="BW384" s="491"/>
    </row>
    <row r="385" s="490" customFormat="1" ht="33" customHeight="1" spans="1:75">
      <c r="A385" s="577">
        <v>45971</v>
      </c>
      <c r="B385" s="581" t="s">
        <v>174</v>
      </c>
      <c r="C385" s="579" t="s">
        <v>175</v>
      </c>
      <c r="D385" s="580">
        <v>4500184922</v>
      </c>
      <c r="E385" s="616" t="s">
        <v>1831</v>
      </c>
      <c r="F385" s="580" t="s">
        <v>1832</v>
      </c>
      <c r="G385" s="582" t="s">
        <v>81</v>
      </c>
      <c r="H385" s="578" t="s">
        <v>95</v>
      </c>
      <c r="I385" s="583">
        <v>2304</v>
      </c>
      <c r="J385" s="583">
        <v>0</v>
      </c>
      <c r="K385" s="583">
        <v>6</v>
      </c>
      <c r="L385" s="584">
        <f t="shared" si="245"/>
        <v>384</v>
      </c>
      <c r="M385" s="585">
        <v>46003</v>
      </c>
      <c r="N385" s="585">
        <v>45999</v>
      </c>
      <c r="O385" s="586"/>
      <c r="P385" s="586" t="s">
        <v>83</v>
      </c>
      <c r="Q385" s="587"/>
      <c r="R385" s="586" t="s">
        <v>1833</v>
      </c>
      <c r="S385" s="586"/>
      <c r="T385" s="586"/>
      <c r="U385" s="641" t="s">
        <v>1834</v>
      </c>
      <c r="V385" s="641"/>
      <c r="W385" s="641"/>
      <c r="X385" s="661" t="s">
        <v>1835</v>
      </c>
      <c r="Y385" s="618" t="s">
        <v>1689</v>
      </c>
      <c r="Z385" s="590">
        <v>5.5938</v>
      </c>
      <c r="AA385" s="591">
        <f t="shared" si="246"/>
        <v>12888.1152</v>
      </c>
      <c r="AB385" s="619" t="s">
        <v>1836</v>
      </c>
      <c r="AC385" s="582" t="s">
        <v>81</v>
      </c>
      <c r="AD385" s="593" t="s">
        <v>89</v>
      </c>
      <c r="AE385" s="628"/>
      <c r="AF385" s="628"/>
      <c r="AG385" s="595">
        <f>I385</f>
        <v>2304</v>
      </c>
      <c r="AH385" s="628"/>
      <c r="AI385" s="628"/>
      <c r="AJ385" s="589"/>
      <c r="AK385" s="621"/>
      <c r="AL385" s="628"/>
      <c r="AM385" s="628"/>
      <c r="AN385" s="598">
        <f t="shared" si="250"/>
        <v>2304</v>
      </c>
      <c r="AO385" s="621"/>
      <c r="AP385" s="630"/>
      <c r="AQ385" s="630"/>
      <c r="AR385" s="621">
        <f>I385</f>
        <v>2304</v>
      </c>
      <c r="AS385" s="630"/>
      <c r="AT385" s="630"/>
      <c r="AU385" s="621"/>
      <c r="AV385" s="621"/>
      <c r="AW385" s="592">
        <f t="shared" si="247"/>
        <v>2304</v>
      </c>
      <c r="AX385" s="621"/>
      <c r="AY385" s="621"/>
      <c r="AZ385" s="621"/>
      <c r="BA385" s="621"/>
      <c r="BB385" s="621"/>
      <c r="BC385" s="621"/>
      <c r="BD385" s="621"/>
      <c r="BE385" s="623"/>
      <c r="BF385" s="602" t="s">
        <v>90</v>
      </c>
      <c r="BG385" s="603"/>
      <c r="BH385" s="632">
        <f t="shared" si="233"/>
        <v>384</v>
      </c>
      <c r="BI385" s="633">
        <f t="shared" si="234"/>
        <v>384</v>
      </c>
      <c r="BJ385" s="633">
        <f t="shared" si="235"/>
        <v>384</v>
      </c>
      <c r="BK385" s="633">
        <f t="shared" si="236"/>
        <v>384</v>
      </c>
      <c r="BL385" s="633">
        <f t="shared" si="237"/>
        <v>384</v>
      </c>
      <c r="BM385" s="633">
        <f t="shared" si="238"/>
        <v>384</v>
      </c>
      <c r="BN385" s="631"/>
      <c r="BO385" s="631"/>
      <c r="BP385" s="631"/>
      <c r="BQ385" s="631"/>
      <c r="BR385" s="631"/>
      <c r="BS385" s="631"/>
      <c r="BT385" s="607">
        <f t="shared" si="224"/>
        <v>2304</v>
      </c>
      <c r="BU385" s="608">
        <f t="shared" si="225"/>
        <v>0</v>
      </c>
      <c r="BV385" s="609"/>
      <c r="BW385" s="491"/>
    </row>
    <row r="386" s="490" customFormat="1" ht="33" customHeight="1" spans="1:75">
      <c r="A386" s="577">
        <v>45929</v>
      </c>
      <c r="B386" s="581" t="s">
        <v>987</v>
      </c>
      <c r="C386" s="579" t="s">
        <v>334</v>
      </c>
      <c r="D386" s="580">
        <v>4500180866</v>
      </c>
      <c r="E386" s="588">
        <v>5251218451</v>
      </c>
      <c r="F386" s="580" t="s">
        <v>1837</v>
      </c>
      <c r="G386" s="582" t="s">
        <v>81</v>
      </c>
      <c r="H386" s="578" t="s">
        <v>1838</v>
      </c>
      <c r="I386" s="583">
        <v>900</v>
      </c>
      <c r="J386" s="583">
        <v>0</v>
      </c>
      <c r="K386" s="583">
        <v>6</v>
      </c>
      <c r="L386" s="584">
        <f t="shared" si="245"/>
        <v>150</v>
      </c>
      <c r="M386" s="585">
        <v>46006</v>
      </c>
      <c r="N386" s="585">
        <v>46002</v>
      </c>
      <c r="O386" s="586"/>
      <c r="P386" s="586" t="s">
        <v>83</v>
      </c>
      <c r="Q386" s="673" t="s">
        <v>1839</v>
      </c>
      <c r="R386" s="586" t="s">
        <v>1840</v>
      </c>
      <c r="S386" s="586"/>
      <c r="T386" s="586"/>
      <c r="U386" s="641" t="s">
        <v>1841</v>
      </c>
      <c r="V386" s="641"/>
      <c r="W386" s="641" t="s">
        <v>992</v>
      </c>
      <c r="X386" s="661" t="s">
        <v>1842</v>
      </c>
      <c r="Y386" s="618" t="s">
        <v>340</v>
      </c>
      <c r="Z386" s="590">
        <v>5.7828</v>
      </c>
      <c r="AA386" s="591">
        <f t="shared" si="246"/>
        <v>5204.52</v>
      </c>
      <c r="AB386" s="674" t="s">
        <v>1843</v>
      </c>
      <c r="AC386" s="582" t="s">
        <v>235</v>
      </c>
      <c r="AD386" s="593" t="s">
        <v>89</v>
      </c>
      <c r="AE386" s="628"/>
      <c r="AF386" s="628"/>
      <c r="AG386" s="595"/>
      <c r="AH386" s="628"/>
      <c r="AI386" s="628"/>
      <c r="AJ386" s="637">
        <f>I386</f>
        <v>900</v>
      </c>
      <c r="AK386" s="629"/>
      <c r="AL386" s="628"/>
      <c r="AM386" s="628"/>
      <c r="AN386" s="598">
        <f t="shared" si="250"/>
        <v>900</v>
      </c>
      <c r="AO386" s="621"/>
      <c r="AP386" s="630"/>
      <c r="AQ386" s="630"/>
      <c r="AR386" s="621">
        <f>I386</f>
        <v>900</v>
      </c>
      <c r="AS386" s="630"/>
      <c r="AT386" s="630"/>
      <c r="AU386" s="621"/>
      <c r="AV386" s="621"/>
      <c r="AW386" s="592">
        <f t="shared" si="247"/>
        <v>900</v>
      </c>
      <c r="AX386" s="621"/>
      <c r="AY386" s="621"/>
      <c r="AZ386" s="621"/>
      <c r="BA386" s="621"/>
      <c r="BB386" s="621"/>
      <c r="BC386" s="621"/>
      <c r="BD386" s="621"/>
      <c r="BE386" s="623"/>
      <c r="BF386" s="602" t="s">
        <v>90</v>
      </c>
      <c r="BG386" s="603"/>
      <c r="BH386" s="632">
        <f t="shared" si="233"/>
        <v>150</v>
      </c>
      <c r="BI386" s="633">
        <f t="shared" si="234"/>
        <v>150</v>
      </c>
      <c r="BJ386" s="633">
        <f t="shared" si="235"/>
        <v>150</v>
      </c>
      <c r="BK386" s="633">
        <f t="shared" si="236"/>
        <v>150</v>
      </c>
      <c r="BL386" s="633">
        <f t="shared" si="237"/>
        <v>150</v>
      </c>
      <c r="BM386" s="633">
        <f t="shared" si="238"/>
        <v>150</v>
      </c>
      <c r="BN386" s="631"/>
      <c r="BO386" s="631"/>
      <c r="BP386" s="631"/>
      <c r="BQ386" s="631"/>
      <c r="BR386" s="631"/>
      <c r="BS386" s="631"/>
      <c r="BT386" s="607">
        <f t="shared" si="224"/>
        <v>900</v>
      </c>
      <c r="BU386" s="608">
        <f t="shared" si="225"/>
        <v>0</v>
      </c>
      <c r="BV386" s="609"/>
      <c r="BW386" s="491"/>
    </row>
    <row r="387" s="490" customFormat="1" ht="33" customHeight="1" spans="1:75">
      <c r="A387" s="577">
        <v>45972</v>
      </c>
      <c r="B387" s="581" t="s">
        <v>1566</v>
      </c>
      <c r="C387" s="579" t="s">
        <v>140</v>
      </c>
      <c r="D387" s="580">
        <v>4500185224</v>
      </c>
      <c r="E387" s="588">
        <v>5000002058</v>
      </c>
      <c r="F387" s="580" t="s">
        <v>1844</v>
      </c>
      <c r="G387" s="582" t="s">
        <v>1778</v>
      </c>
      <c r="H387" s="578" t="s">
        <v>1779</v>
      </c>
      <c r="I387" s="583">
        <v>12000</v>
      </c>
      <c r="J387" s="583">
        <v>0</v>
      </c>
      <c r="K387" s="583">
        <v>6</v>
      </c>
      <c r="L387" s="584">
        <f t="shared" si="245"/>
        <v>2000</v>
      </c>
      <c r="M387" s="585">
        <v>46003</v>
      </c>
      <c r="N387" s="585">
        <v>45999</v>
      </c>
      <c r="O387" s="586"/>
      <c r="P387" s="586" t="s">
        <v>83</v>
      </c>
      <c r="Q387" s="587" t="s">
        <v>1845</v>
      </c>
      <c r="R387" s="586" t="s">
        <v>1846</v>
      </c>
      <c r="S387" s="586"/>
      <c r="T387" s="586"/>
      <c r="U387" s="641" t="s">
        <v>1847</v>
      </c>
      <c r="V387" s="641" t="s">
        <v>1848</v>
      </c>
      <c r="W387" s="641"/>
      <c r="X387" s="661" t="s">
        <v>1849</v>
      </c>
      <c r="Y387" s="618" t="s">
        <v>757</v>
      </c>
      <c r="Z387" s="590">
        <v>7.37</v>
      </c>
      <c r="AA387" s="591">
        <f t="shared" si="246"/>
        <v>88440</v>
      </c>
      <c r="AB387" s="619"/>
      <c r="AC387" s="582" t="s">
        <v>1778</v>
      </c>
      <c r="AD387" s="593" t="s">
        <v>89</v>
      </c>
      <c r="AE387" s="628"/>
      <c r="AF387" s="628"/>
      <c r="AG387" s="595">
        <f>I387</f>
        <v>12000</v>
      </c>
      <c r="AH387" s="628"/>
      <c r="AI387" s="628"/>
      <c r="AJ387" s="589"/>
      <c r="AK387" s="621"/>
      <c r="AL387" s="628"/>
      <c r="AM387" s="628"/>
      <c r="AN387" s="598"/>
      <c r="AO387" s="621">
        <f>I387</f>
        <v>12000</v>
      </c>
      <c r="AP387" s="630"/>
      <c r="AQ387" s="630"/>
      <c r="AR387" s="621">
        <f>I387</f>
        <v>12000</v>
      </c>
      <c r="AS387" s="630"/>
      <c r="AT387" s="630"/>
      <c r="AU387" s="621"/>
      <c r="AV387" s="621"/>
      <c r="AW387" s="592"/>
      <c r="AX387" s="621">
        <f>I387</f>
        <v>12000</v>
      </c>
      <c r="AY387" s="621"/>
      <c r="AZ387" s="621"/>
      <c r="BA387" s="621"/>
      <c r="BB387" s="621"/>
      <c r="BC387" s="621"/>
      <c r="BD387" s="621">
        <f>I387</f>
        <v>12000</v>
      </c>
      <c r="BE387" s="623"/>
      <c r="BF387" s="602" t="s">
        <v>90</v>
      </c>
      <c r="BG387" s="603"/>
      <c r="BH387" s="632">
        <f t="shared" si="233"/>
        <v>2000</v>
      </c>
      <c r="BI387" s="633">
        <f t="shared" si="234"/>
        <v>2000</v>
      </c>
      <c r="BJ387" s="633">
        <f t="shared" si="235"/>
        <v>2000</v>
      </c>
      <c r="BK387" s="633">
        <f t="shared" si="236"/>
        <v>2000</v>
      </c>
      <c r="BL387" s="633">
        <f t="shared" si="237"/>
        <v>2000</v>
      </c>
      <c r="BM387" s="633">
        <f t="shared" si="238"/>
        <v>2000</v>
      </c>
      <c r="BN387" s="631"/>
      <c r="BO387" s="631"/>
      <c r="BP387" s="631"/>
      <c r="BQ387" s="631"/>
      <c r="BR387" s="631"/>
      <c r="BS387" s="631"/>
      <c r="BT387" s="607">
        <f t="shared" ref="BT387:BT450" si="251">SUM(BH387:BS387)</f>
        <v>12000</v>
      </c>
      <c r="BU387" s="608">
        <f t="shared" ref="BU387:BU450" si="252">I387-BT387</f>
        <v>0</v>
      </c>
      <c r="BV387" s="609"/>
      <c r="BW387" s="491"/>
    </row>
    <row r="388" s="490" customFormat="1" ht="33" customHeight="1" spans="1:75">
      <c r="A388" s="577">
        <v>45972</v>
      </c>
      <c r="B388" s="581" t="s">
        <v>1566</v>
      </c>
      <c r="C388" s="579" t="s">
        <v>140</v>
      </c>
      <c r="D388" s="580">
        <v>4500185224</v>
      </c>
      <c r="E388" s="588">
        <v>5000002058</v>
      </c>
      <c r="F388" s="580" t="s">
        <v>1850</v>
      </c>
      <c r="G388" s="582" t="s">
        <v>1778</v>
      </c>
      <c r="H388" s="578" t="s">
        <v>1779</v>
      </c>
      <c r="I388" s="583">
        <v>1200</v>
      </c>
      <c r="J388" s="583">
        <v>0</v>
      </c>
      <c r="K388" s="583">
        <v>6</v>
      </c>
      <c r="L388" s="584">
        <f t="shared" si="245"/>
        <v>200</v>
      </c>
      <c r="M388" s="585">
        <v>46003</v>
      </c>
      <c r="N388" s="585">
        <v>45999</v>
      </c>
      <c r="O388" s="586"/>
      <c r="P388" s="586" t="s">
        <v>83</v>
      </c>
      <c r="Q388" s="587" t="s">
        <v>1845</v>
      </c>
      <c r="R388" s="586" t="s">
        <v>1846</v>
      </c>
      <c r="S388" s="586"/>
      <c r="T388" s="586"/>
      <c r="U388" s="641" t="s">
        <v>1847</v>
      </c>
      <c r="V388" s="641" t="s">
        <v>1848</v>
      </c>
      <c r="W388" s="641"/>
      <c r="X388" s="661" t="s">
        <v>1849</v>
      </c>
      <c r="Y388" s="618" t="s">
        <v>757</v>
      </c>
      <c r="Z388" s="590">
        <v>7.37</v>
      </c>
      <c r="AA388" s="591">
        <f t="shared" si="246"/>
        <v>8844</v>
      </c>
      <c r="AB388" s="619"/>
      <c r="AC388" s="582" t="s">
        <v>1778</v>
      </c>
      <c r="AD388" s="593" t="s">
        <v>89</v>
      </c>
      <c r="AE388" s="628"/>
      <c r="AF388" s="628"/>
      <c r="AG388" s="595">
        <f>I388</f>
        <v>1200</v>
      </c>
      <c r="AH388" s="628"/>
      <c r="AI388" s="628"/>
      <c r="AJ388" s="589"/>
      <c r="AK388" s="621"/>
      <c r="AL388" s="628"/>
      <c r="AM388" s="628"/>
      <c r="AN388" s="598"/>
      <c r="AO388" s="621">
        <f>I388</f>
        <v>1200</v>
      </c>
      <c r="AP388" s="630"/>
      <c r="AQ388" s="630"/>
      <c r="AR388" s="621">
        <f>I388</f>
        <v>1200</v>
      </c>
      <c r="AS388" s="630"/>
      <c r="AT388" s="630"/>
      <c r="AU388" s="621"/>
      <c r="AV388" s="621"/>
      <c r="AW388" s="592"/>
      <c r="AX388" s="621">
        <f>I388</f>
        <v>1200</v>
      </c>
      <c r="AY388" s="621"/>
      <c r="AZ388" s="621"/>
      <c r="BA388" s="621"/>
      <c r="BB388" s="621"/>
      <c r="BC388" s="621"/>
      <c r="BD388" s="621">
        <f>I388</f>
        <v>1200</v>
      </c>
      <c r="BE388" s="623"/>
      <c r="BF388" s="602" t="s">
        <v>90</v>
      </c>
      <c r="BG388" s="603"/>
      <c r="BH388" s="632">
        <f t="shared" si="233"/>
        <v>200</v>
      </c>
      <c r="BI388" s="633">
        <f t="shared" si="234"/>
        <v>200</v>
      </c>
      <c r="BJ388" s="633">
        <f t="shared" si="235"/>
        <v>200</v>
      </c>
      <c r="BK388" s="633">
        <f t="shared" si="236"/>
        <v>200</v>
      </c>
      <c r="BL388" s="633">
        <f t="shared" si="237"/>
        <v>200</v>
      </c>
      <c r="BM388" s="633">
        <f t="shared" si="238"/>
        <v>200</v>
      </c>
      <c r="BN388" s="631"/>
      <c r="BO388" s="631"/>
      <c r="BP388" s="631"/>
      <c r="BQ388" s="631"/>
      <c r="BR388" s="631"/>
      <c r="BS388" s="631"/>
      <c r="BT388" s="607">
        <f t="shared" si="251"/>
        <v>1200</v>
      </c>
      <c r="BU388" s="608">
        <f t="shared" si="252"/>
        <v>0</v>
      </c>
      <c r="BV388" s="609"/>
      <c r="BW388" s="491"/>
    </row>
    <row r="389" s="490" customFormat="1" ht="33" customHeight="1" spans="1:75">
      <c r="A389" s="577">
        <v>45952</v>
      </c>
      <c r="B389" s="581" t="s">
        <v>1851</v>
      </c>
      <c r="C389" s="579" t="s">
        <v>334</v>
      </c>
      <c r="D389" s="580">
        <v>4500182578</v>
      </c>
      <c r="E389" s="588">
        <v>62050798</v>
      </c>
      <c r="F389" s="580" t="s">
        <v>1852</v>
      </c>
      <c r="G389" s="582" t="s">
        <v>81</v>
      </c>
      <c r="H389" s="578" t="s">
        <v>95</v>
      </c>
      <c r="I389" s="583">
        <v>108</v>
      </c>
      <c r="J389" s="583">
        <v>0</v>
      </c>
      <c r="K389" s="583">
        <v>6</v>
      </c>
      <c r="L389" s="584">
        <f t="shared" si="245"/>
        <v>18</v>
      </c>
      <c r="M389" s="585">
        <v>46006</v>
      </c>
      <c r="N389" s="585">
        <v>46002</v>
      </c>
      <c r="O389" s="586"/>
      <c r="P389" s="586" t="s">
        <v>83</v>
      </c>
      <c r="Q389" s="587" t="s">
        <v>389</v>
      </c>
      <c r="R389" s="586" t="s">
        <v>1853</v>
      </c>
      <c r="S389" s="586"/>
      <c r="T389" s="586"/>
      <c r="U389" s="641" t="s">
        <v>1854</v>
      </c>
      <c r="V389" s="641"/>
      <c r="W389" s="641"/>
      <c r="X389" s="661" t="s">
        <v>1855</v>
      </c>
      <c r="Y389" s="618" t="s">
        <v>243</v>
      </c>
      <c r="Z389" s="590">
        <v>5.6013</v>
      </c>
      <c r="AA389" s="591">
        <f t="shared" si="246"/>
        <v>604.9404</v>
      </c>
      <c r="AB389" s="675" t="s">
        <v>1856</v>
      </c>
      <c r="AC389" s="582" t="s">
        <v>235</v>
      </c>
      <c r="AD389" s="593" t="s">
        <v>89</v>
      </c>
      <c r="AE389" s="628"/>
      <c r="AF389" s="628"/>
      <c r="AG389" s="595"/>
      <c r="AH389" s="628"/>
      <c r="AI389" s="628"/>
      <c r="AJ389" s="637">
        <f>I389</f>
        <v>108</v>
      </c>
      <c r="AK389" s="629"/>
      <c r="AL389" s="628"/>
      <c r="AM389" s="628"/>
      <c r="AN389" s="621">
        <f>I389</f>
        <v>108</v>
      </c>
      <c r="AO389" s="621"/>
      <c r="AP389" s="630"/>
      <c r="AQ389" s="630"/>
      <c r="AR389" s="621"/>
      <c r="AS389" s="630"/>
      <c r="AT389" s="630"/>
      <c r="AU389" s="621">
        <f>I389</f>
        <v>108</v>
      </c>
      <c r="AV389" s="621"/>
      <c r="AW389" s="592">
        <f>I389</f>
        <v>108</v>
      </c>
      <c r="AX389" s="621"/>
      <c r="AY389" s="621"/>
      <c r="AZ389" s="621"/>
      <c r="BA389" s="621"/>
      <c r="BB389" s="666"/>
      <c r="BC389" s="666"/>
      <c r="BD389" s="667"/>
      <c r="BE389" s="668"/>
      <c r="BF389" s="602" t="s">
        <v>90</v>
      </c>
      <c r="BG389" s="603"/>
      <c r="BH389" s="632">
        <f t="shared" si="233"/>
        <v>18</v>
      </c>
      <c r="BI389" s="633">
        <f t="shared" si="234"/>
        <v>18</v>
      </c>
      <c r="BJ389" s="633">
        <f t="shared" si="235"/>
        <v>18</v>
      </c>
      <c r="BK389" s="633">
        <f t="shared" si="236"/>
        <v>18</v>
      </c>
      <c r="BL389" s="633">
        <f t="shared" si="237"/>
        <v>18</v>
      </c>
      <c r="BM389" s="633">
        <f t="shared" si="238"/>
        <v>18</v>
      </c>
      <c r="BN389" s="631"/>
      <c r="BO389" s="631"/>
      <c r="BP389" s="631"/>
      <c r="BQ389" s="631"/>
      <c r="BR389" s="631"/>
      <c r="BS389" s="631"/>
      <c r="BT389" s="607">
        <f t="shared" si="251"/>
        <v>108</v>
      </c>
      <c r="BU389" s="608">
        <f t="shared" si="252"/>
        <v>0</v>
      </c>
      <c r="BV389" s="609"/>
      <c r="BW389" s="491"/>
    </row>
    <row r="390" s="490" customFormat="1" ht="33" customHeight="1" spans="1:75">
      <c r="A390" s="577">
        <v>45940</v>
      </c>
      <c r="B390" s="581" t="s">
        <v>1857</v>
      </c>
      <c r="C390" s="579" t="s">
        <v>1540</v>
      </c>
      <c r="D390" s="580">
        <v>4500181311</v>
      </c>
      <c r="E390" s="588">
        <v>4500156452</v>
      </c>
      <c r="F390" s="580" t="s">
        <v>1858</v>
      </c>
      <c r="G390" s="582" t="s">
        <v>81</v>
      </c>
      <c r="H390" s="578" t="s">
        <v>95</v>
      </c>
      <c r="I390" s="583">
        <v>2004</v>
      </c>
      <c r="J390" s="583">
        <v>0</v>
      </c>
      <c r="K390" s="583">
        <v>6</v>
      </c>
      <c r="L390" s="584">
        <f t="shared" si="245"/>
        <v>334</v>
      </c>
      <c r="M390" s="585">
        <v>46010</v>
      </c>
      <c r="N390" s="585">
        <v>46006</v>
      </c>
      <c r="O390" s="586"/>
      <c r="P390" s="586" t="s">
        <v>83</v>
      </c>
      <c r="Q390" s="587" t="s">
        <v>1859</v>
      </c>
      <c r="R390" s="586" t="s">
        <v>1860</v>
      </c>
      <c r="S390" s="586"/>
      <c r="T390" s="586"/>
      <c r="U390" s="641" t="s">
        <v>1861</v>
      </c>
      <c r="V390" s="641"/>
      <c r="W390" s="641"/>
      <c r="X390" s="661" t="s">
        <v>1862</v>
      </c>
      <c r="Y390" s="618" t="s">
        <v>181</v>
      </c>
      <c r="Z390" s="590">
        <v>5.7753</v>
      </c>
      <c r="AA390" s="591">
        <f t="shared" si="246"/>
        <v>11573.7012</v>
      </c>
      <c r="AB390" s="619"/>
      <c r="AC390" s="582" t="s">
        <v>235</v>
      </c>
      <c r="AD390" s="593" t="s">
        <v>89</v>
      </c>
      <c r="AE390" s="628"/>
      <c r="AF390" s="628"/>
      <c r="AG390" s="595"/>
      <c r="AH390" s="628"/>
      <c r="AI390" s="628"/>
      <c r="AJ390" s="637">
        <f>I390</f>
        <v>2004</v>
      </c>
      <c r="AK390" s="629"/>
      <c r="AL390" s="628"/>
      <c r="AM390" s="628"/>
      <c r="AN390" s="598">
        <f>I390</f>
        <v>2004</v>
      </c>
      <c r="AO390" s="621"/>
      <c r="AP390" s="630"/>
      <c r="AQ390" s="630"/>
      <c r="AR390" s="621">
        <f>I390</f>
        <v>2004</v>
      </c>
      <c r="AS390" s="630"/>
      <c r="AT390" s="630"/>
      <c r="AU390" s="621"/>
      <c r="AV390" s="621"/>
      <c r="AW390" s="592">
        <f>I390</f>
        <v>2004</v>
      </c>
      <c r="AX390" s="621"/>
      <c r="AY390" s="621"/>
      <c r="AZ390" s="621"/>
      <c r="BA390" s="621"/>
      <c r="BB390" s="621"/>
      <c r="BC390" s="621"/>
      <c r="BD390" s="621"/>
      <c r="BE390" s="623"/>
      <c r="BF390" s="602" t="s">
        <v>90</v>
      </c>
      <c r="BG390" s="603"/>
      <c r="BH390" s="632">
        <f t="shared" si="233"/>
        <v>334</v>
      </c>
      <c r="BI390" s="633">
        <f t="shared" si="234"/>
        <v>334</v>
      </c>
      <c r="BJ390" s="633">
        <f t="shared" si="235"/>
        <v>334</v>
      </c>
      <c r="BK390" s="633">
        <f t="shared" si="236"/>
        <v>334</v>
      </c>
      <c r="BL390" s="633">
        <f t="shared" si="237"/>
        <v>334</v>
      </c>
      <c r="BM390" s="633">
        <f t="shared" si="238"/>
        <v>334</v>
      </c>
      <c r="BN390" s="631"/>
      <c r="BO390" s="631"/>
      <c r="BP390" s="631"/>
      <c r="BQ390" s="631"/>
      <c r="BR390" s="631"/>
      <c r="BS390" s="631"/>
      <c r="BT390" s="607">
        <f t="shared" si="251"/>
        <v>2004</v>
      </c>
      <c r="BU390" s="608">
        <f t="shared" si="252"/>
        <v>0</v>
      </c>
      <c r="BV390" s="609"/>
      <c r="BW390" s="491"/>
    </row>
    <row r="391" s="490" customFormat="1" ht="33" customHeight="1" spans="1:75">
      <c r="A391" s="577">
        <v>45978</v>
      </c>
      <c r="B391" s="581" t="s">
        <v>1863</v>
      </c>
      <c r="C391" s="579" t="s">
        <v>92</v>
      </c>
      <c r="D391" s="580">
        <v>4500185354</v>
      </c>
      <c r="E391" s="588">
        <v>70079741</v>
      </c>
      <c r="F391" s="580" t="s">
        <v>1864</v>
      </c>
      <c r="G391" s="582" t="s">
        <v>81</v>
      </c>
      <c r="H391" s="578" t="s">
        <v>95</v>
      </c>
      <c r="I391" s="583">
        <v>360</v>
      </c>
      <c r="J391" s="583">
        <v>0</v>
      </c>
      <c r="K391" s="583">
        <v>6</v>
      </c>
      <c r="L391" s="584">
        <f t="shared" si="245"/>
        <v>60</v>
      </c>
      <c r="M391" s="585">
        <v>46010</v>
      </c>
      <c r="N391" s="585">
        <v>46006</v>
      </c>
      <c r="O391" s="586"/>
      <c r="P391" s="586" t="s">
        <v>83</v>
      </c>
      <c r="Q391" s="587" t="s">
        <v>1859</v>
      </c>
      <c r="R391" s="586" t="s">
        <v>1833</v>
      </c>
      <c r="S391" s="586"/>
      <c r="T391" s="586"/>
      <c r="U391" s="641" t="s">
        <v>86</v>
      </c>
      <c r="V391" s="641" t="s">
        <v>1865</v>
      </c>
      <c r="W391" s="641"/>
      <c r="X391" s="661" t="s">
        <v>1693</v>
      </c>
      <c r="Y391" s="618" t="s">
        <v>1866</v>
      </c>
      <c r="Z391" s="590">
        <v>3.3608</v>
      </c>
      <c r="AA391" s="591">
        <f t="shared" si="246"/>
        <v>1209.888</v>
      </c>
      <c r="AB391" s="619"/>
      <c r="AC391" s="582" t="s">
        <v>81</v>
      </c>
      <c r="AD391" s="593" t="s">
        <v>89</v>
      </c>
      <c r="AE391" s="594"/>
      <c r="AF391" s="665"/>
      <c r="AG391" s="621">
        <f>I391</f>
        <v>360</v>
      </c>
      <c r="AH391" s="597"/>
      <c r="AI391" s="630"/>
      <c r="AJ391" s="621"/>
      <c r="AK391" s="621"/>
      <c r="AL391" s="630"/>
      <c r="AM391" s="596"/>
      <c r="AN391" s="598">
        <f>I391</f>
        <v>360</v>
      </c>
      <c r="AO391" s="621"/>
      <c r="AP391" s="630"/>
      <c r="AQ391" s="630"/>
      <c r="AR391" s="621">
        <f>I391</f>
        <v>360</v>
      </c>
      <c r="AS391" s="630"/>
      <c r="AT391" s="630"/>
      <c r="AU391" s="621"/>
      <c r="AV391" s="618"/>
      <c r="AW391" s="592">
        <f>I391</f>
        <v>360</v>
      </c>
      <c r="AX391" s="621"/>
      <c r="AY391" s="666"/>
      <c r="AZ391" s="666"/>
      <c r="BA391" s="666"/>
      <c r="BB391" s="666"/>
      <c r="BC391" s="666"/>
      <c r="BD391" s="667"/>
      <c r="BE391" s="668"/>
      <c r="BF391" s="602" t="s">
        <v>90</v>
      </c>
      <c r="BG391" s="603"/>
      <c r="BH391" s="632">
        <f t="shared" si="233"/>
        <v>60</v>
      </c>
      <c r="BI391" s="633">
        <f t="shared" si="234"/>
        <v>60</v>
      </c>
      <c r="BJ391" s="633">
        <f t="shared" si="235"/>
        <v>60</v>
      </c>
      <c r="BK391" s="633">
        <f t="shared" si="236"/>
        <v>60</v>
      </c>
      <c r="BL391" s="633">
        <f t="shared" si="237"/>
        <v>60</v>
      </c>
      <c r="BM391" s="633">
        <f t="shared" si="238"/>
        <v>60</v>
      </c>
      <c r="BN391" s="631"/>
      <c r="BO391" s="631"/>
      <c r="BP391" s="631"/>
      <c r="BQ391" s="631"/>
      <c r="BR391" s="631"/>
      <c r="BS391" s="631"/>
      <c r="BT391" s="607">
        <f t="shared" si="251"/>
        <v>360</v>
      </c>
      <c r="BU391" s="608">
        <f t="shared" si="252"/>
        <v>0</v>
      </c>
      <c r="BV391" s="609"/>
      <c r="BW391" s="491"/>
    </row>
    <row r="392" s="490" customFormat="1" ht="33" customHeight="1" spans="1:75">
      <c r="A392" s="577">
        <v>45986</v>
      </c>
      <c r="B392" s="581" t="s">
        <v>1566</v>
      </c>
      <c r="C392" s="579" t="s">
        <v>140</v>
      </c>
      <c r="D392" s="580">
        <v>4500185224</v>
      </c>
      <c r="E392" s="588">
        <v>5000002058</v>
      </c>
      <c r="F392" s="580" t="s">
        <v>1867</v>
      </c>
      <c r="G392" s="582" t="s">
        <v>1778</v>
      </c>
      <c r="H392" s="578" t="s">
        <v>1779</v>
      </c>
      <c r="I392" s="583">
        <v>4800</v>
      </c>
      <c r="J392" s="583">
        <v>0</v>
      </c>
      <c r="K392" s="583">
        <v>6</v>
      </c>
      <c r="L392" s="584">
        <f t="shared" si="245"/>
        <v>800</v>
      </c>
      <c r="M392" s="585">
        <v>46010</v>
      </c>
      <c r="N392" s="585">
        <v>46006</v>
      </c>
      <c r="O392" s="586"/>
      <c r="P392" s="586" t="s">
        <v>83</v>
      </c>
      <c r="Q392" s="587" t="s">
        <v>1845</v>
      </c>
      <c r="R392" s="586" t="s">
        <v>1846</v>
      </c>
      <c r="S392" s="586"/>
      <c r="T392" s="586"/>
      <c r="U392" s="641" t="s">
        <v>1847</v>
      </c>
      <c r="V392" s="641" t="s">
        <v>1868</v>
      </c>
      <c r="W392" s="641"/>
      <c r="X392" s="661" t="s">
        <v>1849</v>
      </c>
      <c r="Y392" s="618" t="s">
        <v>757</v>
      </c>
      <c r="Z392" s="590">
        <v>6.7354</v>
      </c>
      <c r="AA392" s="591">
        <f t="shared" si="246"/>
        <v>32329.92</v>
      </c>
      <c r="AB392" s="619"/>
      <c r="AC392" s="582" t="s">
        <v>1778</v>
      </c>
      <c r="AD392" s="593" t="s">
        <v>89</v>
      </c>
      <c r="AE392" s="594"/>
      <c r="AF392" s="665"/>
      <c r="AG392" s="621">
        <f>I392</f>
        <v>4800</v>
      </c>
      <c r="AH392" s="597"/>
      <c r="AI392" s="630"/>
      <c r="AJ392" s="621"/>
      <c r="AK392" s="621"/>
      <c r="AL392" s="630"/>
      <c r="AM392" s="596"/>
      <c r="AN392" s="598"/>
      <c r="AO392" s="621">
        <f>I392</f>
        <v>4800</v>
      </c>
      <c r="AP392" s="630"/>
      <c r="AQ392" s="630"/>
      <c r="AR392" s="621">
        <f>I392</f>
        <v>4800</v>
      </c>
      <c r="AS392" s="630"/>
      <c r="AT392" s="630"/>
      <c r="AU392" s="621"/>
      <c r="AV392" s="618"/>
      <c r="AW392" s="592"/>
      <c r="AX392" s="621">
        <f>I392</f>
        <v>4800</v>
      </c>
      <c r="AY392" s="666"/>
      <c r="AZ392" s="666"/>
      <c r="BA392" s="666"/>
      <c r="BB392" s="666"/>
      <c r="BC392" s="666"/>
      <c r="BD392" s="667">
        <f>I392</f>
        <v>4800</v>
      </c>
      <c r="BE392" s="668"/>
      <c r="BF392" s="602" t="s">
        <v>90</v>
      </c>
      <c r="BG392" s="603"/>
      <c r="BH392" s="632">
        <f t="shared" si="233"/>
        <v>800</v>
      </c>
      <c r="BI392" s="633">
        <f t="shared" si="234"/>
        <v>800</v>
      </c>
      <c r="BJ392" s="633">
        <f t="shared" si="235"/>
        <v>800</v>
      </c>
      <c r="BK392" s="633">
        <f t="shared" si="236"/>
        <v>800</v>
      </c>
      <c r="BL392" s="633">
        <f t="shared" si="237"/>
        <v>800</v>
      </c>
      <c r="BM392" s="633">
        <f t="shared" si="238"/>
        <v>800</v>
      </c>
      <c r="BN392" s="631"/>
      <c r="BO392" s="631"/>
      <c r="BP392" s="631"/>
      <c r="BQ392" s="631"/>
      <c r="BR392" s="631"/>
      <c r="BS392" s="631"/>
      <c r="BT392" s="607">
        <f t="shared" si="251"/>
        <v>4800</v>
      </c>
      <c r="BU392" s="608">
        <f t="shared" si="252"/>
        <v>0</v>
      </c>
      <c r="BV392" s="609"/>
      <c r="BW392" s="491"/>
    </row>
    <row r="393" s="490" customFormat="1" ht="33" customHeight="1" spans="1:75">
      <c r="A393" s="577">
        <v>45987</v>
      </c>
      <c r="B393" s="581" t="s">
        <v>1566</v>
      </c>
      <c r="C393" s="579" t="s">
        <v>140</v>
      </c>
      <c r="D393" s="580">
        <v>4500185224</v>
      </c>
      <c r="E393" s="588">
        <v>5000002058</v>
      </c>
      <c r="F393" s="580" t="s">
        <v>1869</v>
      </c>
      <c r="G393" s="582" t="s">
        <v>81</v>
      </c>
      <c r="H393" s="578" t="s">
        <v>95</v>
      </c>
      <c r="I393" s="583">
        <v>1200</v>
      </c>
      <c r="J393" s="583">
        <v>0</v>
      </c>
      <c r="K393" s="583">
        <v>6</v>
      </c>
      <c r="L393" s="584">
        <f t="shared" si="245"/>
        <v>200</v>
      </c>
      <c r="M393" s="585">
        <v>46010</v>
      </c>
      <c r="N393" s="585">
        <v>46006</v>
      </c>
      <c r="O393" s="586"/>
      <c r="P393" s="586" t="s">
        <v>83</v>
      </c>
      <c r="Q393" s="587" t="s">
        <v>1845</v>
      </c>
      <c r="R393" s="586" t="s">
        <v>1846</v>
      </c>
      <c r="S393" s="586"/>
      <c r="T393" s="586"/>
      <c r="U393" s="641" t="s">
        <v>1870</v>
      </c>
      <c r="V393" s="641" t="s">
        <v>1871</v>
      </c>
      <c r="W393" s="641"/>
      <c r="X393" s="661" t="s">
        <v>1872</v>
      </c>
      <c r="Y393" s="618" t="s">
        <v>757</v>
      </c>
      <c r="Z393" s="590">
        <v>5.5938</v>
      </c>
      <c r="AA393" s="591">
        <f t="shared" si="246"/>
        <v>6712.56</v>
      </c>
      <c r="AB393" s="619"/>
      <c r="AC393" s="582" t="s">
        <v>149</v>
      </c>
      <c r="AD393" s="593" t="s">
        <v>89</v>
      </c>
      <c r="AE393" s="594"/>
      <c r="AF393" s="665"/>
      <c r="AG393" s="621">
        <f>I393</f>
        <v>1200</v>
      </c>
      <c r="AH393" s="597"/>
      <c r="AI393" s="630"/>
      <c r="AJ393" s="621"/>
      <c r="AK393" s="621"/>
      <c r="AL393" s="630"/>
      <c r="AM393" s="596"/>
      <c r="AN393" s="598"/>
      <c r="AO393" s="621">
        <f>I393</f>
        <v>1200</v>
      </c>
      <c r="AP393" s="630"/>
      <c r="AQ393" s="630"/>
      <c r="AR393" s="621">
        <f>I393</f>
        <v>1200</v>
      </c>
      <c r="AS393" s="630"/>
      <c r="AT393" s="630"/>
      <c r="AU393" s="621"/>
      <c r="AV393" s="618"/>
      <c r="AW393" s="592"/>
      <c r="AX393" s="621">
        <f>I393</f>
        <v>1200</v>
      </c>
      <c r="AY393" s="666"/>
      <c r="AZ393" s="666"/>
      <c r="BA393" s="666"/>
      <c r="BB393" s="666"/>
      <c r="BC393" s="666"/>
      <c r="BD393" s="667"/>
      <c r="BE393" s="668"/>
      <c r="BF393" s="602" t="s">
        <v>90</v>
      </c>
      <c r="BG393" s="603"/>
      <c r="BH393" s="632">
        <f t="shared" si="233"/>
        <v>200</v>
      </c>
      <c r="BI393" s="633">
        <f t="shared" si="234"/>
        <v>200</v>
      </c>
      <c r="BJ393" s="633">
        <f t="shared" si="235"/>
        <v>200</v>
      </c>
      <c r="BK393" s="633">
        <f t="shared" si="236"/>
        <v>200</v>
      </c>
      <c r="BL393" s="633">
        <f t="shared" si="237"/>
        <v>200</v>
      </c>
      <c r="BM393" s="633">
        <f t="shared" si="238"/>
        <v>200</v>
      </c>
      <c r="BN393" s="631"/>
      <c r="BO393" s="631"/>
      <c r="BP393" s="631"/>
      <c r="BQ393" s="631"/>
      <c r="BR393" s="631"/>
      <c r="BS393" s="631"/>
      <c r="BT393" s="607">
        <f t="shared" si="251"/>
        <v>1200</v>
      </c>
      <c r="BU393" s="608">
        <f t="shared" si="252"/>
        <v>0</v>
      </c>
      <c r="BV393" s="609"/>
      <c r="BW393" s="491"/>
    </row>
    <row r="394" s="490" customFormat="1" ht="33" customHeight="1" spans="1:75">
      <c r="A394" s="577">
        <v>45961</v>
      </c>
      <c r="B394" s="581" t="s">
        <v>1679</v>
      </c>
      <c r="C394" s="579" t="s">
        <v>669</v>
      </c>
      <c r="D394" s="580">
        <v>4500183736</v>
      </c>
      <c r="E394" s="616"/>
      <c r="F394" s="580" t="s">
        <v>1873</v>
      </c>
      <c r="G394" s="582" t="s">
        <v>81</v>
      </c>
      <c r="H394" s="578" t="s">
        <v>95</v>
      </c>
      <c r="I394" s="583">
        <v>240</v>
      </c>
      <c r="J394" s="583">
        <v>0</v>
      </c>
      <c r="K394" s="583">
        <v>6</v>
      </c>
      <c r="L394" s="584">
        <f t="shared" si="245"/>
        <v>40</v>
      </c>
      <c r="M394" s="585">
        <v>46017</v>
      </c>
      <c r="N394" s="585">
        <v>46013</v>
      </c>
      <c r="O394" s="586"/>
      <c r="P394" s="586" t="s">
        <v>83</v>
      </c>
      <c r="Q394" s="587" t="s">
        <v>1874</v>
      </c>
      <c r="R394" s="586" t="s">
        <v>114</v>
      </c>
      <c r="S394" s="586"/>
      <c r="T394" s="586"/>
      <c r="U394" s="641" t="s">
        <v>1875</v>
      </c>
      <c r="V394" s="641"/>
      <c r="W394" s="641"/>
      <c r="X394" s="661" t="s">
        <v>1683</v>
      </c>
      <c r="Y394" s="618" t="s">
        <v>1684</v>
      </c>
      <c r="Z394" s="590">
        <v>5.7828</v>
      </c>
      <c r="AA394" s="591">
        <f t="shared" si="246"/>
        <v>1387.872</v>
      </c>
      <c r="AB394" s="676" t="s">
        <v>1876</v>
      </c>
      <c r="AC394" s="582" t="s">
        <v>81</v>
      </c>
      <c r="AD394" s="593" t="s">
        <v>89</v>
      </c>
      <c r="AE394" s="628"/>
      <c r="AF394" s="628"/>
      <c r="AG394" s="595">
        <f>I394</f>
        <v>240</v>
      </c>
      <c r="AH394" s="628"/>
      <c r="AI394" s="628"/>
      <c r="AJ394" s="637"/>
      <c r="AK394" s="629"/>
      <c r="AL394" s="628"/>
      <c r="AM394" s="628"/>
      <c r="AN394" s="598">
        <f t="shared" ref="AN394:AN400" si="253">I394</f>
        <v>240</v>
      </c>
      <c r="AO394" s="621"/>
      <c r="AP394" s="630"/>
      <c r="AQ394" s="630"/>
      <c r="AR394" s="621">
        <f>I394</f>
        <v>240</v>
      </c>
      <c r="AS394" s="630"/>
      <c r="AT394" s="630"/>
      <c r="AU394" s="621"/>
      <c r="AV394" s="621"/>
      <c r="AW394" s="592">
        <f t="shared" ref="AW394:AW400" si="254">I394</f>
        <v>240</v>
      </c>
      <c r="AX394" s="621"/>
      <c r="AY394" s="621"/>
      <c r="AZ394" s="621"/>
      <c r="BA394" s="621"/>
      <c r="BB394" s="621"/>
      <c r="BC394" s="621"/>
      <c r="BD394" s="621"/>
      <c r="BE394" s="623"/>
      <c r="BF394" s="602" t="s">
        <v>90</v>
      </c>
      <c r="BG394" s="603"/>
      <c r="BH394" s="632">
        <f>I394/100*2.63</f>
        <v>6.312</v>
      </c>
      <c r="BI394" s="633">
        <f>I394/100*8.56</f>
        <v>20.544</v>
      </c>
      <c r="BJ394" s="633">
        <f>I394/100*20.74</f>
        <v>49.776</v>
      </c>
      <c r="BK394" s="633">
        <f>I394/100*32.33</f>
        <v>77.592</v>
      </c>
      <c r="BL394" s="633">
        <f>I394/100*16.24</f>
        <v>38.976</v>
      </c>
      <c r="BM394" s="633">
        <f>I394/100*19.51</f>
        <v>46.824</v>
      </c>
      <c r="BN394" s="631"/>
      <c r="BO394" s="631"/>
      <c r="BP394" s="631"/>
      <c r="BQ394" s="631"/>
      <c r="BR394" s="631"/>
      <c r="BS394" s="631"/>
      <c r="BT394" s="607">
        <f t="shared" si="251"/>
        <v>240.024</v>
      </c>
      <c r="BU394" s="608">
        <f t="shared" si="252"/>
        <v>-0.0240000000000009</v>
      </c>
      <c r="BV394" s="609"/>
      <c r="BW394" s="491"/>
    </row>
    <row r="395" s="490" customFormat="1" ht="33" customHeight="1" spans="1:75">
      <c r="A395" s="577">
        <v>45985</v>
      </c>
      <c r="B395" s="581" t="s">
        <v>1877</v>
      </c>
      <c r="C395" s="579" t="s">
        <v>119</v>
      </c>
      <c r="D395" s="580">
        <v>4500186835</v>
      </c>
      <c r="E395" s="616"/>
      <c r="F395" s="580" t="s">
        <v>1878</v>
      </c>
      <c r="G395" s="582" t="s">
        <v>81</v>
      </c>
      <c r="H395" s="578" t="s">
        <v>95</v>
      </c>
      <c r="I395" s="583">
        <v>1530</v>
      </c>
      <c r="J395" s="583">
        <v>0</v>
      </c>
      <c r="K395" s="583">
        <v>6</v>
      </c>
      <c r="L395" s="584">
        <f t="shared" si="245"/>
        <v>255</v>
      </c>
      <c r="M395" s="585">
        <v>46017</v>
      </c>
      <c r="N395" s="585">
        <v>46013</v>
      </c>
      <c r="O395" s="586"/>
      <c r="P395" s="586" t="s">
        <v>83</v>
      </c>
      <c r="Q395" s="587"/>
      <c r="R395" s="586" t="s">
        <v>1879</v>
      </c>
      <c r="S395" s="586"/>
      <c r="T395" s="586"/>
      <c r="U395" s="641" t="s">
        <v>1880</v>
      </c>
      <c r="V395" s="641"/>
      <c r="W395" s="641" t="s">
        <v>1881</v>
      </c>
      <c r="X395" s="661" t="s">
        <v>1882</v>
      </c>
      <c r="Y395" s="618" t="s">
        <v>1883</v>
      </c>
      <c r="Z395" s="590">
        <v>5.7753</v>
      </c>
      <c r="AA395" s="591">
        <f t="shared" si="246"/>
        <v>8836.209</v>
      </c>
      <c r="AB395" s="619" t="s">
        <v>1884</v>
      </c>
      <c r="AC395" s="582" t="s">
        <v>235</v>
      </c>
      <c r="AD395" s="593" t="s">
        <v>89</v>
      </c>
      <c r="AE395" s="628"/>
      <c r="AF395" s="628"/>
      <c r="AG395" s="595"/>
      <c r="AH395" s="628"/>
      <c r="AI395" s="628"/>
      <c r="AJ395" s="637">
        <f>I395</f>
        <v>1530</v>
      </c>
      <c r="AK395" s="629"/>
      <c r="AL395" s="628"/>
      <c r="AM395" s="628"/>
      <c r="AN395" s="598">
        <f t="shared" si="253"/>
        <v>1530</v>
      </c>
      <c r="AO395" s="621"/>
      <c r="AP395" s="630"/>
      <c r="AQ395" s="630"/>
      <c r="AR395" s="621"/>
      <c r="AS395" s="630"/>
      <c r="AT395" s="630"/>
      <c r="AU395" s="621">
        <f>I395</f>
        <v>1530</v>
      </c>
      <c r="AV395" s="621"/>
      <c r="AW395" s="592">
        <f t="shared" si="254"/>
        <v>1530</v>
      </c>
      <c r="AX395" s="621"/>
      <c r="AY395" s="621"/>
      <c r="AZ395" s="621"/>
      <c r="BA395" s="621"/>
      <c r="BB395" s="621"/>
      <c r="BC395" s="621"/>
      <c r="BD395" s="621"/>
      <c r="BE395" s="623"/>
      <c r="BF395" s="602" t="s">
        <v>90</v>
      </c>
      <c r="BG395" s="603"/>
      <c r="BH395" s="632">
        <f>I395/100*2.63</f>
        <v>40.239</v>
      </c>
      <c r="BI395" s="633">
        <f>I395/100*8.56</f>
        <v>130.968</v>
      </c>
      <c r="BJ395" s="633">
        <f>I395/100*20.74</f>
        <v>317.322</v>
      </c>
      <c r="BK395" s="633">
        <f>I395/100*32.33</f>
        <v>494.649</v>
      </c>
      <c r="BL395" s="633">
        <f>I395/100*16.24</f>
        <v>248.472</v>
      </c>
      <c r="BM395" s="633">
        <f>I395/100*19.51</f>
        <v>298.503</v>
      </c>
      <c r="BN395" s="631"/>
      <c r="BO395" s="631"/>
      <c r="BP395" s="631"/>
      <c r="BQ395" s="631"/>
      <c r="BR395" s="631"/>
      <c r="BS395" s="631"/>
      <c r="BT395" s="607">
        <f t="shared" si="251"/>
        <v>1530.153</v>
      </c>
      <c r="BU395" s="608">
        <f t="shared" si="252"/>
        <v>-0.153000000000247</v>
      </c>
      <c r="BV395" s="609"/>
      <c r="BW395" s="491"/>
    </row>
    <row r="396" s="490" customFormat="1" ht="33" customHeight="1" spans="1:75">
      <c r="A396" s="577">
        <v>45985</v>
      </c>
      <c r="B396" s="581" t="s">
        <v>111</v>
      </c>
      <c r="C396" s="579" t="s">
        <v>112</v>
      </c>
      <c r="D396" s="580">
        <v>4500186722</v>
      </c>
      <c r="E396" s="616" t="s">
        <v>1885</v>
      </c>
      <c r="F396" s="580" t="s">
        <v>1886</v>
      </c>
      <c r="G396" s="582" t="s">
        <v>81</v>
      </c>
      <c r="H396" s="578" t="s">
        <v>95</v>
      </c>
      <c r="I396" s="583">
        <v>390</v>
      </c>
      <c r="J396" s="583">
        <v>0</v>
      </c>
      <c r="K396" s="583">
        <v>6</v>
      </c>
      <c r="L396" s="584">
        <f t="shared" si="245"/>
        <v>65</v>
      </c>
      <c r="M396" s="585">
        <v>46017</v>
      </c>
      <c r="N396" s="585">
        <v>46014</v>
      </c>
      <c r="O396" s="641" t="s">
        <v>1887</v>
      </c>
      <c r="P396" s="586" t="s">
        <v>83</v>
      </c>
      <c r="Q396" s="587"/>
      <c r="R396" s="586" t="s">
        <v>1888</v>
      </c>
      <c r="S396" s="586"/>
      <c r="T396" s="586"/>
      <c r="U396" s="641" t="s">
        <v>86</v>
      </c>
      <c r="V396" s="641"/>
      <c r="W396" s="641"/>
      <c r="X396" s="661" t="s">
        <v>1889</v>
      </c>
      <c r="Y396" s="618" t="s">
        <v>116</v>
      </c>
      <c r="Z396" s="590">
        <v>5.7753</v>
      </c>
      <c r="AA396" s="591">
        <f t="shared" si="246"/>
        <v>2252.367</v>
      </c>
      <c r="AB396" s="619"/>
      <c r="AC396" s="582" t="s">
        <v>81</v>
      </c>
      <c r="AD396" s="593" t="s">
        <v>89</v>
      </c>
      <c r="AE396" s="628"/>
      <c r="AF396" s="628"/>
      <c r="AG396" s="595">
        <f>I396</f>
        <v>390</v>
      </c>
      <c r="AH396" s="628"/>
      <c r="AI396" s="628"/>
      <c r="AJ396" s="637"/>
      <c r="AK396" s="629"/>
      <c r="AL396" s="628"/>
      <c r="AM396" s="628"/>
      <c r="AN396" s="598">
        <f t="shared" si="253"/>
        <v>390</v>
      </c>
      <c r="AO396" s="621"/>
      <c r="AP396" s="630"/>
      <c r="AQ396" s="630"/>
      <c r="AR396" s="621">
        <f>I396</f>
        <v>390</v>
      </c>
      <c r="AS396" s="630"/>
      <c r="AT396" s="630"/>
      <c r="AU396" s="621"/>
      <c r="AV396" s="621"/>
      <c r="AW396" s="592">
        <f t="shared" si="254"/>
        <v>390</v>
      </c>
      <c r="AX396" s="621"/>
      <c r="AY396" s="621"/>
      <c r="AZ396" s="621"/>
      <c r="BA396" s="621"/>
      <c r="BB396" s="621"/>
      <c r="BC396" s="621"/>
      <c r="BD396" s="621"/>
      <c r="BE396" s="623"/>
      <c r="BF396" s="602" t="s">
        <v>90</v>
      </c>
      <c r="BG396" s="603"/>
      <c r="BH396" s="632">
        <f>I396/100*2.63</f>
        <v>10.257</v>
      </c>
      <c r="BI396" s="633">
        <f>I396/100*8.56</f>
        <v>33.384</v>
      </c>
      <c r="BJ396" s="633">
        <f>I396/100*20.74</f>
        <v>80.886</v>
      </c>
      <c r="BK396" s="633">
        <f>I396/100*32.33</f>
        <v>126.087</v>
      </c>
      <c r="BL396" s="633">
        <f>I396/100*16.24</f>
        <v>63.336</v>
      </c>
      <c r="BM396" s="633">
        <f>I396/100*19.51</f>
        <v>76.089</v>
      </c>
      <c r="BN396" s="631"/>
      <c r="BO396" s="631"/>
      <c r="BP396" s="631"/>
      <c r="BQ396" s="631"/>
      <c r="BR396" s="631"/>
      <c r="BS396" s="631"/>
      <c r="BT396" s="607">
        <f t="shared" si="251"/>
        <v>390.039</v>
      </c>
      <c r="BU396" s="608">
        <f t="shared" si="252"/>
        <v>-0.0389999999999873</v>
      </c>
      <c r="BV396" s="609"/>
      <c r="BW396" s="491"/>
    </row>
    <row r="397" s="490" customFormat="1" ht="33" customHeight="1" spans="1:75">
      <c r="A397" s="577">
        <v>45967</v>
      </c>
      <c r="B397" s="581" t="s">
        <v>1890</v>
      </c>
      <c r="C397" s="579" t="s">
        <v>1891</v>
      </c>
      <c r="D397" s="580">
        <v>4500184600</v>
      </c>
      <c r="E397" s="616"/>
      <c r="F397" s="580" t="s">
        <v>1892</v>
      </c>
      <c r="G397" s="582" t="s">
        <v>81</v>
      </c>
      <c r="H397" s="578" t="s">
        <v>95</v>
      </c>
      <c r="I397" s="583">
        <v>150</v>
      </c>
      <c r="J397" s="583">
        <v>0</v>
      </c>
      <c r="K397" s="583">
        <v>6</v>
      </c>
      <c r="L397" s="584">
        <f t="shared" si="245"/>
        <v>25</v>
      </c>
      <c r="M397" s="585">
        <v>46020</v>
      </c>
      <c r="N397" s="585">
        <v>46016</v>
      </c>
      <c r="O397" s="586"/>
      <c r="P397" s="586" t="s">
        <v>83</v>
      </c>
      <c r="Q397" s="587" t="s">
        <v>185</v>
      </c>
      <c r="R397" s="586" t="s">
        <v>1893</v>
      </c>
      <c r="S397" s="586"/>
      <c r="T397" s="586"/>
      <c r="U397" s="641" t="s">
        <v>1894</v>
      </c>
      <c r="V397" s="641"/>
      <c r="W397" s="641"/>
      <c r="X397" s="661" t="s">
        <v>1895</v>
      </c>
      <c r="Y397" s="618" t="s">
        <v>675</v>
      </c>
      <c r="Z397" s="590">
        <v>5.7828</v>
      </c>
      <c r="AA397" s="591">
        <f t="shared" si="246"/>
        <v>867.42</v>
      </c>
      <c r="AB397" s="619"/>
      <c r="AC397" s="582" t="s">
        <v>81</v>
      </c>
      <c r="AD397" s="593" t="s">
        <v>89</v>
      </c>
      <c r="AE397" s="628"/>
      <c r="AF397" s="628"/>
      <c r="AG397" s="595">
        <f>I397</f>
        <v>150</v>
      </c>
      <c r="AH397" s="628"/>
      <c r="AI397" s="628"/>
      <c r="AJ397" s="637"/>
      <c r="AK397" s="629"/>
      <c r="AL397" s="628"/>
      <c r="AM397" s="628"/>
      <c r="AN397" s="598">
        <f t="shared" si="253"/>
        <v>150</v>
      </c>
      <c r="AO397" s="621"/>
      <c r="AP397" s="630"/>
      <c r="AQ397" s="630"/>
      <c r="AR397" s="621">
        <f>I397</f>
        <v>150</v>
      </c>
      <c r="AS397" s="630"/>
      <c r="AT397" s="630"/>
      <c r="AU397" s="621"/>
      <c r="AV397" s="621"/>
      <c r="AW397" s="592">
        <f t="shared" si="254"/>
        <v>150</v>
      </c>
      <c r="AX397" s="621"/>
      <c r="AY397" s="621"/>
      <c r="AZ397" s="621"/>
      <c r="BA397" s="621"/>
      <c r="BB397" s="621"/>
      <c r="BC397" s="621"/>
      <c r="BD397" s="621"/>
      <c r="BE397" s="623"/>
      <c r="BF397" s="602" t="s">
        <v>90</v>
      </c>
      <c r="BG397" s="603"/>
      <c r="BH397" s="632">
        <f>I397/6</f>
        <v>25</v>
      </c>
      <c r="BI397" s="633">
        <f>I397/6</f>
        <v>25</v>
      </c>
      <c r="BJ397" s="633">
        <f>I397/6</f>
        <v>25</v>
      </c>
      <c r="BK397" s="633">
        <f>I397/6</f>
        <v>25</v>
      </c>
      <c r="BL397" s="633">
        <f>I397/6</f>
        <v>25</v>
      </c>
      <c r="BM397" s="633">
        <f>I397/6</f>
        <v>25</v>
      </c>
      <c r="BN397" s="631"/>
      <c r="BO397" s="631"/>
      <c r="BP397" s="631"/>
      <c r="BQ397" s="631"/>
      <c r="BR397" s="631"/>
      <c r="BS397" s="631"/>
      <c r="BT397" s="607">
        <f t="shared" si="251"/>
        <v>150</v>
      </c>
      <c r="BU397" s="608">
        <f t="shared" si="252"/>
        <v>0</v>
      </c>
      <c r="BV397" s="609"/>
      <c r="BW397" s="491"/>
    </row>
    <row r="398" s="490" customFormat="1" ht="33" customHeight="1" spans="1:75">
      <c r="A398" s="577">
        <v>45972</v>
      </c>
      <c r="B398" s="581" t="s">
        <v>271</v>
      </c>
      <c r="C398" s="579" t="s">
        <v>272</v>
      </c>
      <c r="D398" s="580">
        <v>4500185070</v>
      </c>
      <c r="E398" s="616"/>
      <c r="F398" s="580" t="s">
        <v>1896</v>
      </c>
      <c r="G398" s="582" t="s">
        <v>81</v>
      </c>
      <c r="H398" s="578" t="s">
        <v>95</v>
      </c>
      <c r="I398" s="583">
        <v>2016</v>
      </c>
      <c r="J398" s="583">
        <v>0</v>
      </c>
      <c r="K398" s="583">
        <v>6</v>
      </c>
      <c r="L398" s="584">
        <f t="shared" si="245"/>
        <v>336</v>
      </c>
      <c r="M398" s="585">
        <v>46021</v>
      </c>
      <c r="N398" s="585">
        <v>46017</v>
      </c>
      <c r="O398" s="586"/>
      <c r="P398" s="586" t="s">
        <v>83</v>
      </c>
      <c r="Q398" s="587" t="s">
        <v>185</v>
      </c>
      <c r="R398" s="586" t="s">
        <v>283</v>
      </c>
      <c r="S398" s="586"/>
      <c r="T398" s="586"/>
      <c r="U398" s="641" t="s">
        <v>1897</v>
      </c>
      <c r="V398" s="641"/>
      <c r="W398" s="641"/>
      <c r="X398" s="661" t="s">
        <v>1898</v>
      </c>
      <c r="Y398" s="618" t="s">
        <v>1245</v>
      </c>
      <c r="Z398" s="590">
        <v>5.7753</v>
      </c>
      <c r="AA398" s="591">
        <f t="shared" si="246"/>
        <v>11643.0048</v>
      </c>
      <c r="AB398" s="619"/>
      <c r="AC398" s="582" t="s">
        <v>235</v>
      </c>
      <c r="AD398" s="593" t="s">
        <v>89</v>
      </c>
      <c r="AE398" s="594"/>
      <c r="AF398" s="665"/>
      <c r="AG398" s="621"/>
      <c r="AH398" s="597"/>
      <c r="AI398" s="630"/>
      <c r="AJ398" s="621">
        <f>I398</f>
        <v>2016</v>
      </c>
      <c r="AK398" s="621"/>
      <c r="AL398" s="630"/>
      <c r="AM398" s="596"/>
      <c r="AN398" s="598">
        <f t="shared" si="253"/>
        <v>2016</v>
      </c>
      <c r="AO398" s="621"/>
      <c r="AP398" s="630"/>
      <c r="AQ398" s="630"/>
      <c r="AR398" s="621"/>
      <c r="AS398" s="630"/>
      <c r="AT398" s="630"/>
      <c r="AU398" s="621">
        <f>I398</f>
        <v>2016</v>
      </c>
      <c r="AV398" s="618"/>
      <c r="AW398" s="592">
        <f t="shared" si="254"/>
        <v>2016</v>
      </c>
      <c r="AX398" s="621"/>
      <c r="AY398" s="666"/>
      <c r="AZ398" s="666"/>
      <c r="BA398" s="666"/>
      <c r="BB398" s="666"/>
      <c r="BC398" s="666"/>
      <c r="BD398" s="667"/>
      <c r="BE398" s="668"/>
      <c r="BF398" s="602" t="s">
        <v>90</v>
      </c>
      <c r="BG398" s="603"/>
      <c r="BH398" s="632">
        <f t="shared" ref="BH398:BH406" si="255">I398/100*2.63</f>
        <v>53.0208</v>
      </c>
      <c r="BI398" s="633">
        <f t="shared" ref="BI398:BI406" si="256">I398/100*8.56</f>
        <v>172.5696</v>
      </c>
      <c r="BJ398" s="633">
        <f t="shared" ref="BJ398:BJ406" si="257">I398/100*20.74</f>
        <v>418.1184</v>
      </c>
      <c r="BK398" s="633">
        <f t="shared" ref="BK398:BK406" si="258">I398/100*32.33</f>
        <v>651.7728</v>
      </c>
      <c r="BL398" s="633">
        <f t="shared" ref="BL398:BL406" si="259">I398/100*16.24</f>
        <v>327.3984</v>
      </c>
      <c r="BM398" s="633">
        <f t="shared" ref="BM398:BM406" si="260">I398/100*19.51</f>
        <v>393.3216</v>
      </c>
      <c r="BN398" s="631"/>
      <c r="BO398" s="631"/>
      <c r="BP398" s="631"/>
      <c r="BQ398" s="631"/>
      <c r="BR398" s="631"/>
      <c r="BS398" s="631"/>
      <c r="BT398" s="607">
        <f t="shared" si="251"/>
        <v>2016.2016</v>
      </c>
      <c r="BU398" s="608">
        <f t="shared" si="252"/>
        <v>-0.201600000000099</v>
      </c>
      <c r="BV398" s="609"/>
      <c r="BW398" s="491"/>
    </row>
    <row r="399" s="490" customFormat="1" ht="33" customHeight="1" spans="1:75">
      <c r="A399" s="577">
        <v>45975</v>
      </c>
      <c r="B399" s="581" t="s">
        <v>166</v>
      </c>
      <c r="C399" s="579" t="s">
        <v>92</v>
      </c>
      <c r="D399" s="580">
        <v>4500185297</v>
      </c>
      <c r="E399" s="588">
        <v>60261192</v>
      </c>
      <c r="F399" s="580" t="s">
        <v>1899</v>
      </c>
      <c r="G399" s="582" t="s">
        <v>81</v>
      </c>
      <c r="H399" s="578" t="s">
        <v>95</v>
      </c>
      <c r="I399" s="583">
        <v>1800</v>
      </c>
      <c r="J399" s="583">
        <v>0</v>
      </c>
      <c r="K399" s="583">
        <v>6</v>
      </c>
      <c r="L399" s="584">
        <f t="shared" si="245"/>
        <v>300</v>
      </c>
      <c r="M399" s="585">
        <v>46024</v>
      </c>
      <c r="N399" s="585">
        <v>46020</v>
      </c>
      <c r="O399" s="586"/>
      <c r="P399" s="586" t="s">
        <v>83</v>
      </c>
      <c r="Q399" s="587" t="s">
        <v>201</v>
      </c>
      <c r="R399" s="586" t="s">
        <v>1900</v>
      </c>
      <c r="S399" s="586"/>
      <c r="T399" s="586"/>
      <c r="U399" s="641" t="s">
        <v>86</v>
      </c>
      <c r="V399" s="641" t="s">
        <v>1901</v>
      </c>
      <c r="W399" s="641"/>
      <c r="X399" s="661" t="s">
        <v>1693</v>
      </c>
      <c r="Y399" s="618" t="s">
        <v>1694</v>
      </c>
      <c r="Z399" s="590">
        <v>3.3563</v>
      </c>
      <c r="AA399" s="591">
        <f t="shared" si="246"/>
        <v>6041.34</v>
      </c>
      <c r="AB399" s="619"/>
      <c r="AC399" s="582" t="s">
        <v>81</v>
      </c>
      <c r="AD399" s="593" t="s">
        <v>89</v>
      </c>
      <c r="AE399" s="595"/>
      <c r="AF399" s="637"/>
      <c r="AG399" s="621">
        <f>I399</f>
        <v>1800</v>
      </c>
      <c r="AH399" s="598"/>
      <c r="AI399" s="621"/>
      <c r="AJ399" s="621"/>
      <c r="AK399" s="621"/>
      <c r="AL399" s="621"/>
      <c r="AM399" s="592"/>
      <c r="AN399" s="598">
        <f t="shared" si="253"/>
        <v>1800</v>
      </c>
      <c r="AO399" s="621"/>
      <c r="AP399" s="621"/>
      <c r="AQ399" s="621"/>
      <c r="AR399" s="621">
        <f t="shared" ref="AR399:AR406" si="261">I399</f>
        <v>1800</v>
      </c>
      <c r="AS399" s="621"/>
      <c r="AT399" s="621"/>
      <c r="AU399" s="621"/>
      <c r="AV399" s="618"/>
      <c r="AW399" s="592">
        <f t="shared" si="254"/>
        <v>1800</v>
      </c>
      <c r="AX399" s="621"/>
      <c r="AY399" s="666"/>
      <c r="AZ399" s="666"/>
      <c r="BA399" s="666"/>
      <c r="BB399" s="666"/>
      <c r="BC399" s="666"/>
      <c r="BD399" s="667"/>
      <c r="BE399" s="668"/>
      <c r="BF399" s="602" t="s">
        <v>90</v>
      </c>
      <c r="BG399" s="603"/>
      <c r="BH399" s="632">
        <f t="shared" si="255"/>
        <v>47.34</v>
      </c>
      <c r="BI399" s="633">
        <f t="shared" si="256"/>
        <v>154.08</v>
      </c>
      <c r="BJ399" s="633">
        <f t="shared" si="257"/>
        <v>373.32</v>
      </c>
      <c r="BK399" s="633">
        <f t="shared" si="258"/>
        <v>581.94</v>
      </c>
      <c r="BL399" s="633">
        <f t="shared" si="259"/>
        <v>292.32</v>
      </c>
      <c r="BM399" s="633">
        <f t="shared" si="260"/>
        <v>351.18</v>
      </c>
      <c r="BN399" s="605"/>
      <c r="BO399" s="605"/>
      <c r="BP399" s="605"/>
      <c r="BQ399" s="605"/>
      <c r="BR399" s="605"/>
      <c r="BS399" s="605"/>
      <c r="BT399" s="607">
        <f t="shared" si="251"/>
        <v>1800.18</v>
      </c>
      <c r="BU399" s="608">
        <f t="shared" si="252"/>
        <v>-0.179999999999836</v>
      </c>
      <c r="BV399" s="491"/>
      <c r="BW399" s="491"/>
    </row>
    <row r="400" s="490" customFormat="1" ht="33" customHeight="1" spans="1:75">
      <c r="A400" s="577">
        <v>46013</v>
      </c>
      <c r="B400" s="581" t="s">
        <v>1902</v>
      </c>
      <c r="C400" s="579" t="s">
        <v>1903</v>
      </c>
      <c r="D400" s="580">
        <v>4500189510</v>
      </c>
      <c r="E400" s="588"/>
      <c r="F400" s="580" t="s">
        <v>1904</v>
      </c>
      <c r="G400" s="582" t="s">
        <v>81</v>
      </c>
      <c r="H400" s="578" t="s">
        <v>95</v>
      </c>
      <c r="I400" s="583">
        <v>360</v>
      </c>
      <c r="J400" s="583">
        <v>0</v>
      </c>
      <c r="K400" s="583">
        <v>6</v>
      </c>
      <c r="L400" s="584">
        <f t="shared" si="245"/>
        <v>60</v>
      </c>
      <c r="M400" s="585">
        <v>46006</v>
      </c>
      <c r="N400" s="585">
        <v>46028</v>
      </c>
      <c r="O400" s="586" t="s">
        <v>1905</v>
      </c>
      <c r="P400" s="586" t="s">
        <v>83</v>
      </c>
      <c r="Q400" s="587" t="s">
        <v>416</v>
      </c>
      <c r="R400" s="586" t="s">
        <v>1906</v>
      </c>
      <c r="S400" s="586"/>
      <c r="T400" s="586"/>
      <c r="U400" s="641" t="s">
        <v>1907</v>
      </c>
      <c r="V400" s="641"/>
      <c r="W400" s="641"/>
      <c r="X400" s="661" t="s">
        <v>1908</v>
      </c>
      <c r="Y400" s="618" t="s">
        <v>1689</v>
      </c>
      <c r="Z400" s="590">
        <v>5.6013</v>
      </c>
      <c r="AA400" s="591">
        <f t="shared" si="246"/>
        <v>2016.468</v>
      </c>
      <c r="AB400" s="619"/>
      <c r="AC400" s="582" t="s">
        <v>1909</v>
      </c>
      <c r="AD400" s="593" t="s">
        <v>89</v>
      </c>
      <c r="AE400" s="589"/>
      <c r="AF400" s="589"/>
      <c r="AG400" s="595"/>
      <c r="AH400" s="589"/>
      <c r="AI400" s="589"/>
      <c r="AJ400" s="637"/>
      <c r="AK400" s="621">
        <f>I400</f>
        <v>360</v>
      </c>
      <c r="AL400" s="589"/>
      <c r="AM400" s="589"/>
      <c r="AN400" s="621"/>
      <c r="AO400" s="621">
        <f>I400</f>
        <v>360</v>
      </c>
      <c r="AP400" s="621"/>
      <c r="AQ400" s="621"/>
      <c r="AR400" s="621">
        <f t="shared" si="261"/>
        <v>360</v>
      </c>
      <c r="AS400" s="621"/>
      <c r="AT400" s="621"/>
      <c r="AU400" s="621"/>
      <c r="AV400" s="621"/>
      <c r="AW400" s="592"/>
      <c r="AX400" s="621">
        <f>I400</f>
        <v>360</v>
      </c>
      <c r="AY400" s="621"/>
      <c r="AZ400" s="621"/>
      <c r="BA400" s="621"/>
      <c r="BB400" s="666"/>
      <c r="BC400" s="666"/>
      <c r="BD400" s="667"/>
      <c r="BE400" s="668"/>
      <c r="BF400" s="602" t="s">
        <v>90</v>
      </c>
      <c r="BG400" s="603"/>
      <c r="BH400" s="632">
        <f t="shared" si="255"/>
        <v>9.468</v>
      </c>
      <c r="BI400" s="633">
        <f t="shared" si="256"/>
        <v>30.816</v>
      </c>
      <c r="BJ400" s="633">
        <f t="shared" si="257"/>
        <v>74.664</v>
      </c>
      <c r="BK400" s="633">
        <f t="shared" si="258"/>
        <v>116.388</v>
      </c>
      <c r="BL400" s="633">
        <f t="shared" si="259"/>
        <v>58.464</v>
      </c>
      <c r="BM400" s="633">
        <f t="shared" si="260"/>
        <v>70.236</v>
      </c>
      <c r="BN400" s="605"/>
      <c r="BO400" s="605"/>
      <c r="BP400" s="605"/>
      <c r="BQ400" s="605"/>
      <c r="BR400" s="605"/>
      <c r="BS400" s="605"/>
      <c r="BT400" s="607">
        <f t="shared" si="251"/>
        <v>360.036</v>
      </c>
      <c r="BU400" s="608">
        <f t="shared" si="252"/>
        <v>-0.0360000000000014</v>
      </c>
      <c r="BV400" s="491"/>
      <c r="BW400" s="491"/>
    </row>
    <row r="401" s="490" customFormat="1" ht="33" customHeight="1" spans="1:75">
      <c r="A401" s="577">
        <v>46013</v>
      </c>
      <c r="B401" s="581" t="s">
        <v>1910</v>
      </c>
      <c r="C401" s="579" t="s">
        <v>1911</v>
      </c>
      <c r="D401" s="580">
        <v>4500189525</v>
      </c>
      <c r="E401" s="588"/>
      <c r="F401" s="580" t="s">
        <v>1912</v>
      </c>
      <c r="G401" s="582" t="s">
        <v>81</v>
      </c>
      <c r="H401" s="578" t="s">
        <v>95</v>
      </c>
      <c r="I401" s="583">
        <v>240</v>
      </c>
      <c r="J401" s="583">
        <v>0</v>
      </c>
      <c r="K401" s="583">
        <v>6</v>
      </c>
      <c r="L401" s="584">
        <f t="shared" si="245"/>
        <v>40</v>
      </c>
      <c r="M401" s="585">
        <v>46006</v>
      </c>
      <c r="N401" s="585">
        <v>46028</v>
      </c>
      <c r="O401" s="586" t="s">
        <v>1905</v>
      </c>
      <c r="P401" s="586" t="s">
        <v>83</v>
      </c>
      <c r="Q401" s="587" t="s">
        <v>1913</v>
      </c>
      <c r="R401" s="586" t="s">
        <v>1906</v>
      </c>
      <c r="S401" s="586"/>
      <c r="T401" s="586"/>
      <c r="U401" s="641" t="s">
        <v>1907</v>
      </c>
      <c r="V401" s="641"/>
      <c r="W401" s="641"/>
      <c r="X401" s="661" t="s">
        <v>1908</v>
      </c>
      <c r="Y401" s="618" t="s">
        <v>1689</v>
      </c>
      <c r="Z401" s="590">
        <v>5.7828</v>
      </c>
      <c r="AA401" s="591">
        <f t="shared" si="246"/>
        <v>1387.872</v>
      </c>
      <c r="AB401" s="619"/>
      <c r="AC401" s="582" t="s">
        <v>1909</v>
      </c>
      <c r="AD401" s="593" t="s">
        <v>89</v>
      </c>
      <c r="AE401" s="589"/>
      <c r="AF401" s="589"/>
      <c r="AG401" s="595"/>
      <c r="AH401" s="589"/>
      <c r="AI401" s="589"/>
      <c r="AJ401" s="637"/>
      <c r="AK401" s="621">
        <f>I401</f>
        <v>240</v>
      </c>
      <c r="AL401" s="589"/>
      <c r="AM401" s="589"/>
      <c r="AN401" s="621"/>
      <c r="AO401" s="621">
        <f>I401</f>
        <v>240</v>
      </c>
      <c r="AP401" s="621"/>
      <c r="AQ401" s="621"/>
      <c r="AR401" s="621">
        <f t="shared" si="261"/>
        <v>240</v>
      </c>
      <c r="AS401" s="621"/>
      <c r="AT401" s="621"/>
      <c r="AU401" s="621"/>
      <c r="AV401" s="621"/>
      <c r="AW401" s="592"/>
      <c r="AX401" s="621">
        <f>I401</f>
        <v>240</v>
      </c>
      <c r="AY401" s="621"/>
      <c r="AZ401" s="621"/>
      <c r="BA401" s="621"/>
      <c r="BB401" s="666"/>
      <c r="BC401" s="666"/>
      <c r="BD401" s="667"/>
      <c r="BE401" s="668"/>
      <c r="BF401" s="602" t="s">
        <v>90</v>
      </c>
      <c r="BG401" s="603"/>
      <c r="BH401" s="632">
        <f t="shared" si="255"/>
        <v>6.312</v>
      </c>
      <c r="BI401" s="633">
        <f t="shared" si="256"/>
        <v>20.544</v>
      </c>
      <c r="BJ401" s="633">
        <f t="shared" si="257"/>
        <v>49.776</v>
      </c>
      <c r="BK401" s="633">
        <f t="shared" si="258"/>
        <v>77.592</v>
      </c>
      <c r="BL401" s="633">
        <f t="shared" si="259"/>
        <v>38.976</v>
      </c>
      <c r="BM401" s="633">
        <f t="shared" si="260"/>
        <v>46.824</v>
      </c>
      <c r="BN401" s="605"/>
      <c r="BO401" s="605"/>
      <c r="BP401" s="605"/>
      <c r="BQ401" s="605"/>
      <c r="BR401" s="605"/>
      <c r="BS401" s="605"/>
      <c r="BT401" s="607">
        <f t="shared" si="251"/>
        <v>240.024</v>
      </c>
      <c r="BU401" s="608">
        <f t="shared" si="252"/>
        <v>-0.0240000000000009</v>
      </c>
      <c r="BV401" s="491"/>
      <c r="BW401" s="491"/>
    </row>
    <row r="402" s="490" customFormat="1" ht="33" customHeight="1" spans="1:75">
      <c r="A402" s="577">
        <v>45928</v>
      </c>
      <c r="B402" s="581" t="s">
        <v>1910</v>
      </c>
      <c r="C402" s="579" t="s">
        <v>1914</v>
      </c>
      <c r="D402" s="580">
        <v>4500180758</v>
      </c>
      <c r="E402" s="616" t="s">
        <v>1915</v>
      </c>
      <c r="F402" s="580" t="s">
        <v>1916</v>
      </c>
      <c r="G402" s="582" t="s">
        <v>81</v>
      </c>
      <c r="H402" s="578" t="s">
        <v>95</v>
      </c>
      <c r="I402" s="583">
        <v>1200</v>
      </c>
      <c r="J402" s="583">
        <v>0</v>
      </c>
      <c r="K402" s="583">
        <v>6</v>
      </c>
      <c r="L402" s="584">
        <f t="shared" si="245"/>
        <v>200</v>
      </c>
      <c r="M402" s="585">
        <v>46016</v>
      </c>
      <c r="N402" s="585">
        <v>46028</v>
      </c>
      <c r="O402" s="586"/>
      <c r="P402" s="586" t="s">
        <v>83</v>
      </c>
      <c r="Q402" s="587"/>
      <c r="R402" s="586" t="s">
        <v>1906</v>
      </c>
      <c r="S402" s="586"/>
      <c r="T402" s="586"/>
      <c r="U402" s="641" t="s">
        <v>1907</v>
      </c>
      <c r="V402" s="641"/>
      <c r="W402" s="641"/>
      <c r="X402" s="661" t="s">
        <v>1917</v>
      </c>
      <c r="Y402" s="618" t="s">
        <v>1689</v>
      </c>
      <c r="Z402" s="590">
        <v>5.6013</v>
      </c>
      <c r="AA402" s="591">
        <f t="shared" si="246"/>
        <v>6721.56</v>
      </c>
      <c r="AB402" s="619"/>
      <c r="AC402" s="582" t="s">
        <v>1909</v>
      </c>
      <c r="AD402" s="593" t="s">
        <v>89</v>
      </c>
      <c r="AE402" s="589"/>
      <c r="AF402" s="589"/>
      <c r="AG402" s="595"/>
      <c r="AH402" s="589"/>
      <c r="AI402" s="589"/>
      <c r="AJ402" s="589"/>
      <c r="AK402" s="621">
        <f>I402</f>
        <v>1200</v>
      </c>
      <c r="AL402" s="589"/>
      <c r="AM402" s="589"/>
      <c r="AN402" s="598"/>
      <c r="AO402" s="621">
        <f>I402</f>
        <v>1200</v>
      </c>
      <c r="AP402" s="621"/>
      <c r="AQ402" s="621"/>
      <c r="AR402" s="621">
        <f t="shared" si="261"/>
        <v>1200</v>
      </c>
      <c r="AS402" s="621"/>
      <c r="AT402" s="621"/>
      <c r="AU402" s="621"/>
      <c r="AV402" s="621"/>
      <c r="AW402" s="592"/>
      <c r="AX402" s="621">
        <f>I402</f>
        <v>1200</v>
      </c>
      <c r="AY402" s="621"/>
      <c r="AZ402" s="621"/>
      <c r="BA402" s="621"/>
      <c r="BB402" s="621"/>
      <c r="BC402" s="621"/>
      <c r="BD402" s="621"/>
      <c r="BE402" s="623"/>
      <c r="BF402" s="602" t="s">
        <v>90</v>
      </c>
      <c r="BG402" s="603"/>
      <c r="BH402" s="632">
        <f t="shared" si="255"/>
        <v>31.56</v>
      </c>
      <c r="BI402" s="633">
        <f t="shared" si="256"/>
        <v>102.72</v>
      </c>
      <c r="BJ402" s="633">
        <f t="shared" si="257"/>
        <v>248.88</v>
      </c>
      <c r="BK402" s="633">
        <f t="shared" si="258"/>
        <v>387.96</v>
      </c>
      <c r="BL402" s="633">
        <f t="shared" si="259"/>
        <v>194.88</v>
      </c>
      <c r="BM402" s="633">
        <f t="shared" si="260"/>
        <v>234.12</v>
      </c>
      <c r="BN402" s="605"/>
      <c r="BO402" s="605"/>
      <c r="BP402" s="605"/>
      <c r="BQ402" s="605"/>
      <c r="BR402" s="605"/>
      <c r="BS402" s="605"/>
      <c r="BT402" s="607">
        <f t="shared" si="251"/>
        <v>1200.12</v>
      </c>
      <c r="BU402" s="608">
        <f t="shared" si="252"/>
        <v>-0.119999999999891</v>
      </c>
      <c r="BV402" s="491"/>
      <c r="BW402" s="491"/>
    </row>
    <row r="403" s="490" customFormat="1" ht="33" customHeight="1" spans="1:75">
      <c r="A403" s="577">
        <v>45928</v>
      </c>
      <c r="B403" s="581" t="s">
        <v>1918</v>
      </c>
      <c r="C403" s="579" t="s">
        <v>386</v>
      </c>
      <c r="D403" s="580">
        <v>4500180717</v>
      </c>
      <c r="E403" s="616" t="s">
        <v>1919</v>
      </c>
      <c r="F403" s="580" t="s">
        <v>1920</v>
      </c>
      <c r="G403" s="582" t="s">
        <v>81</v>
      </c>
      <c r="H403" s="578" t="s">
        <v>95</v>
      </c>
      <c r="I403" s="583">
        <v>2304</v>
      </c>
      <c r="J403" s="583">
        <v>0</v>
      </c>
      <c r="K403" s="583">
        <v>6</v>
      </c>
      <c r="L403" s="584">
        <f t="shared" si="245"/>
        <v>384</v>
      </c>
      <c r="M403" s="585">
        <v>46006</v>
      </c>
      <c r="N403" s="585">
        <v>46028</v>
      </c>
      <c r="O403" s="586"/>
      <c r="P403" s="586" t="s">
        <v>83</v>
      </c>
      <c r="Q403" s="587" t="s">
        <v>196</v>
      </c>
      <c r="R403" s="586" t="s">
        <v>1906</v>
      </c>
      <c r="S403" s="586"/>
      <c r="T403" s="586"/>
      <c r="U403" s="641" t="s">
        <v>1907</v>
      </c>
      <c r="V403" s="641"/>
      <c r="W403" s="641"/>
      <c r="X403" s="661" t="s">
        <v>1917</v>
      </c>
      <c r="Y403" s="618" t="s">
        <v>1689</v>
      </c>
      <c r="Z403" s="590">
        <v>5.5938</v>
      </c>
      <c r="AA403" s="591">
        <f t="shared" si="246"/>
        <v>12888.1152</v>
      </c>
      <c r="AB403" s="619" t="s">
        <v>1921</v>
      </c>
      <c r="AC403" s="582" t="s">
        <v>1909</v>
      </c>
      <c r="AD403" s="593" t="s">
        <v>89</v>
      </c>
      <c r="AE403" s="589"/>
      <c r="AF403" s="589"/>
      <c r="AG403" s="595"/>
      <c r="AH403" s="589"/>
      <c r="AI403" s="589"/>
      <c r="AJ403" s="589"/>
      <c r="AK403" s="621">
        <f>I403</f>
        <v>2304</v>
      </c>
      <c r="AL403" s="589"/>
      <c r="AM403" s="589"/>
      <c r="AN403" s="598"/>
      <c r="AO403" s="621">
        <f>I403</f>
        <v>2304</v>
      </c>
      <c r="AP403" s="621"/>
      <c r="AQ403" s="621"/>
      <c r="AR403" s="621">
        <f t="shared" si="261"/>
        <v>2304</v>
      </c>
      <c r="AS403" s="621"/>
      <c r="AT403" s="621"/>
      <c r="AU403" s="621"/>
      <c r="AV403" s="621"/>
      <c r="AW403" s="592"/>
      <c r="AX403" s="621">
        <f>I403</f>
        <v>2304</v>
      </c>
      <c r="AY403" s="621"/>
      <c r="AZ403" s="621"/>
      <c r="BA403" s="621"/>
      <c r="BB403" s="621"/>
      <c r="BC403" s="621"/>
      <c r="BD403" s="621"/>
      <c r="BE403" s="623"/>
      <c r="BF403" s="602" t="s">
        <v>90</v>
      </c>
      <c r="BG403" s="603"/>
      <c r="BH403" s="632">
        <f t="shared" si="255"/>
        <v>60.5952</v>
      </c>
      <c r="BI403" s="633">
        <f t="shared" si="256"/>
        <v>197.2224</v>
      </c>
      <c r="BJ403" s="633">
        <f t="shared" si="257"/>
        <v>477.8496</v>
      </c>
      <c r="BK403" s="633">
        <f t="shared" si="258"/>
        <v>744.8832</v>
      </c>
      <c r="BL403" s="633">
        <f t="shared" si="259"/>
        <v>374.1696</v>
      </c>
      <c r="BM403" s="633">
        <f t="shared" si="260"/>
        <v>449.5104</v>
      </c>
      <c r="BN403" s="605"/>
      <c r="BO403" s="605"/>
      <c r="BP403" s="605"/>
      <c r="BQ403" s="605"/>
      <c r="BR403" s="605"/>
      <c r="BS403" s="605"/>
      <c r="BT403" s="607">
        <f t="shared" si="251"/>
        <v>2304.2304</v>
      </c>
      <c r="BU403" s="608">
        <f t="shared" si="252"/>
        <v>-0.230399999999918</v>
      </c>
      <c r="BV403" s="491"/>
      <c r="BW403" s="491"/>
    </row>
    <row r="404" s="490" customFormat="1" ht="33" customHeight="1" spans="1:75">
      <c r="A404" s="577">
        <v>45928</v>
      </c>
      <c r="B404" s="581" t="s">
        <v>1910</v>
      </c>
      <c r="C404" s="579" t="s">
        <v>1922</v>
      </c>
      <c r="D404" s="580">
        <v>4500180735</v>
      </c>
      <c r="E404" s="616" t="s">
        <v>1923</v>
      </c>
      <c r="F404" s="580" t="s">
        <v>1924</v>
      </c>
      <c r="G404" s="582" t="s">
        <v>81</v>
      </c>
      <c r="H404" s="578" t="s">
        <v>95</v>
      </c>
      <c r="I404" s="583">
        <v>900</v>
      </c>
      <c r="J404" s="583">
        <v>0</v>
      </c>
      <c r="K404" s="583">
        <v>6</v>
      </c>
      <c r="L404" s="584">
        <f t="shared" si="245"/>
        <v>150</v>
      </c>
      <c r="M404" s="585">
        <v>46006</v>
      </c>
      <c r="N404" s="585">
        <v>46028</v>
      </c>
      <c r="O404" s="586"/>
      <c r="P404" s="586" t="s">
        <v>83</v>
      </c>
      <c r="Q404" s="587" t="s">
        <v>504</v>
      </c>
      <c r="R404" s="586" t="s">
        <v>1906</v>
      </c>
      <c r="S404" s="586"/>
      <c r="T404" s="586"/>
      <c r="U404" s="641" t="s">
        <v>1907</v>
      </c>
      <c r="V404" s="641"/>
      <c r="W404" s="641"/>
      <c r="X404" s="661" t="s">
        <v>1925</v>
      </c>
      <c r="Y404" s="618" t="s">
        <v>1689</v>
      </c>
      <c r="Z404" s="590">
        <v>5.6013</v>
      </c>
      <c r="AA404" s="591">
        <f t="shared" si="246"/>
        <v>5041.17</v>
      </c>
      <c r="AB404" s="619"/>
      <c r="AC404" s="582" t="s">
        <v>1909</v>
      </c>
      <c r="AD404" s="593" t="s">
        <v>89</v>
      </c>
      <c r="AE404" s="589"/>
      <c r="AF404" s="589"/>
      <c r="AG404" s="595"/>
      <c r="AH404" s="589"/>
      <c r="AI404" s="589"/>
      <c r="AJ404" s="589"/>
      <c r="AK404" s="621">
        <f>I404</f>
        <v>900</v>
      </c>
      <c r="AL404" s="589"/>
      <c r="AM404" s="589"/>
      <c r="AN404" s="598"/>
      <c r="AO404" s="621">
        <f>I404</f>
        <v>900</v>
      </c>
      <c r="AP404" s="621"/>
      <c r="AQ404" s="621"/>
      <c r="AR404" s="621">
        <f t="shared" si="261"/>
        <v>900</v>
      </c>
      <c r="AS404" s="621"/>
      <c r="AT404" s="621"/>
      <c r="AU404" s="621"/>
      <c r="AV404" s="621"/>
      <c r="AW404" s="592"/>
      <c r="AX404" s="621">
        <f>I404</f>
        <v>900</v>
      </c>
      <c r="AY404" s="621"/>
      <c r="AZ404" s="621"/>
      <c r="BA404" s="621"/>
      <c r="BB404" s="621"/>
      <c r="BC404" s="621"/>
      <c r="BD404" s="621"/>
      <c r="BE404" s="623"/>
      <c r="BF404" s="602" t="s">
        <v>90</v>
      </c>
      <c r="BG404" s="603"/>
      <c r="BH404" s="632">
        <f t="shared" si="255"/>
        <v>23.67</v>
      </c>
      <c r="BI404" s="633">
        <f t="shared" si="256"/>
        <v>77.04</v>
      </c>
      <c r="BJ404" s="633">
        <f t="shared" si="257"/>
        <v>186.66</v>
      </c>
      <c r="BK404" s="633">
        <f t="shared" si="258"/>
        <v>290.97</v>
      </c>
      <c r="BL404" s="633">
        <f t="shared" si="259"/>
        <v>146.16</v>
      </c>
      <c r="BM404" s="633">
        <f t="shared" si="260"/>
        <v>175.59</v>
      </c>
      <c r="BN404" s="605"/>
      <c r="BO404" s="605"/>
      <c r="BP404" s="605"/>
      <c r="BQ404" s="605"/>
      <c r="BR404" s="605"/>
      <c r="BS404" s="605"/>
      <c r="BT404" s="607">
        <f t="shared" si="251"/>
        <v>900.09</v>
      </c>
      <c r="BU404" s="608">
        <f t="shared" si="252"/>
        <v>-0.0899999999999181</v>
      </c>
      <c r="BV404" s="491"/>
      <c r="BW404" s="491"/>
    </row>
    <row r="405" s="490" customFormat="1" ht="33" customHeight="1" spans="1:75">
      <c r="A405" s="577">
        <v>45994</v>
      </c>
      <c r="B405" s="649" t="s">
        <v>627</v>
      </c>
      <c r="C405" s="579" t="s">
        <v>628</v>
      </c>
      <c r="D405" s="580">
        <v>4500187915</v>
      </c>
      <c r="E405" s="578" t="s">
        <v>1926</v>
      </c>
      <c r="F405" s="580" t="s">
        <v>1927</v>
      </c>
      <c r="G405" s="582" t="s">
        <v>81</v>
      </c>
      <c r="H405" s="578" t="s">
        <v>95</v>
      </c>
      <c r="I405" s="583">
        <v>1002</v>
      </c>
      <c r="J405" s="583">
        <v>0</v>
      </c>
      <c r="K405" s="583">
        <v>6</v>
      </c>
      <c r="L405" s="584">
        <f t="shared" si="245"/>
        <v>167</v>
      </c>
      <c r="M405" s="585">
        <v>46027</v>
      </c>
      <c r="N405" s="585">
        <v>46023</v>
      </c>
      <c r="O405" s="586"/>
      <c r="P405" s="586" t="s">
        <v>83</v>
      </c>
      <c r="Q405" s="587"/>
      <c r="R405" s="586" t="s">
        <v>260</v>
      </c>
      <c r="S405" s="586"/>
      <c r="T405" s="586"/>
      <c r="U405" s="641" t="s">
        <v>1928</v>
      </c>
      <c r="V405" s="641"/>
      <c r="W405" s="641"/>
      <c r="X405" s="661" t="s">
        <v>1929</v>
      </c>
      <c r="Y405" s="586" t="s">
        <v>116</v>
      </c>
      <c r="Z405" s="590">
        <v>5.7753</v>
      </c>
      <c r="AA405" s="591">
        <f t="shared" si="246"/>
        <v>5786.8506</v>
      </c>
      <c r="AB405" s="619" t="s">
        <v>1930</v>
      </c>
      <c r="AC405" s="582" t="s">
        <v>81</v>
      </c>
      <c r="AD405" s="593" t="s">
        <v>89</v>
      </c>
      <c r="AE405" s="595"/>
      <c r="AF405" s="637"/>
      <c r="AG405" s="621">
        <f>I405</f>
        <v>1002</v>
      </c>
      <c r="AH405" s="598"/>
      <c r="AI405" s="621"/>
      <c r="AJ405" s="621"/>
      <c r="AK405" s="621"/>
      <c r="AL405" s="621"/>
      <c r="AM405" s="592"/>
      <c r="AN405" s="621">
        <f t="shared" ref="AN405:AN417" si="262">I405</f>
        <v>1002</v>
      </c>
      <c r="AO405" s="621"/>
      <c r="AP405" s="621"/>
      <c r="AQ405" s="621"/>
      <c r="AR405" s="621">
        <f t="shared" si="261"/>
        <v>1002</v>
      </c>
      <c r="AS405" s="621"/>
      <c r="AT405" s="621"/>
      <c r="AU405" s="621"/>
      <c r="AV405" s="618"/>
      <c r="AW405" s="592">
        <f t="shared" ref="AW405:AW417" si="263">I405</f>
        <v>1002</v>
      </c>
      <c r="AX405" s="621"/>
      <c r="AY405" s="666"/>
      <c r="AZ405" s="666"/>
      <c r="BA405" s="666"/>
      <c r="BB405" s="666"/>
      <c r="BC405" s="666"/>
      <c r="BD405" s="667"/>
      <c r="BE405" s="668"/>
      <c r="BF405" s="602" t="s">
        <v>90</v>
      </c>
      <c r="BG405" s="603"/>
      <c r="BH405" s="632">
        <f t="shared" si="255"/>
        <v>26.3526</v>
      </c>
      <c r="BI405" s="633">
        <f t="shared" si="256"/>
        <v>85.7712</v>
      </c>
      <c r="BJ405" s="633">
        <f t="shared" si="257"/>
        <v>207.8148</v>
      </c>
      <c r="BK405" s="633">
        <f t="shared" si="258"/>
        <v>323.9466</v>
      </c>
      <c r="BL405" s="633">
        <f t="shared" si="259"/>
        <v>162.7248</v>
      </c>
      <c r="BM405" s="633">
        <f t="shared" si="260"/>
        <v>195.4902</v>
      </c>
      <c r="BN405" s="605"/>
      <c r="BO405" s="605"/>
      <c r="BP405" s="605"/>
      <c r="BQ405" s="605"/>
      <c r="BR405" s="605"/>
      <c r="BS405" s="605"/>
      <c r="BT405" s="607">
        <f t="shared" si="251"/>
        <v>1002.1002</v>
      </c>
      <c r="BU405" s="608">
        <f t="shared" si="252"/>
        <v>-0.100199999999859</v>
      </c>
      <c r="BV405" s="491"/>
      <c r="BW405" s="491"/>
    </row>
    <row r="406" s="490" customFormat="1" ht="33" customHeight="1" spans="1:75">
      <c r="A406" s="577">
        <v>45999</v>
      </c>
      <c r="B406" s="649" t="s">
        <v>1931</v>
      </c>
      <c r="C406" s="579" t="s">
        <v>334</v>
      </c>
      <c r="D406" s="580">
        <v>4500188366</v>
      </c>
      <c r="E406" s="578" t="s">
        <v>1932</v>
      </c>
      <c r="F406" s="580" t="s">
        <v>1933</v>
      </c>
      <c r="G406" s="582" t="s">
        <v>1059</v>
      </c>
      <c r="H406" s="578" t="s">
        <v>123</v>
      </c>
      <c r="I406" s="583">
        <v>68</v>
      </c>
      <c r="J406" s="583">
        <v>0</v>
      </c>
      <c r="K406" s="583">
        <v>4</v>
      </c>
      <c r="L406" s="584">
        <f t="shared" si="245"/>
        <v>17</v>
      </c>
      <c r="M406" s="585">
        <v>46030</v>
      </c>
      <c r="N406" s="585">
        <v>46027</v>
      </c>
      <c r="O406" s="586" t="s">
        <v>1934</v>
      </c>
      <c r="P406" s="586" t="s">
        <v>83</v>
      </c>
      <c r="Q406" s="587" t="s">
        <v>329</v>
      </c>
      <c r="R406" s="586"/>
      <c r="S406" s="586"/>
      <c r="T406" s="586"/>
      <c r="U406" s="641" t="s">
        <v>1935</v>
      </c>
      <c r="V406" s="641" t="s">
        <v>1936</v>
      </c>
      <c r="W406" s="641"/>
      <c r="X406" s="661" t="s">
        <v>1937</v>
      </c>
      <c r="Y406" s="586" t="s">
        <v>1938</v>
      </c>
      <c r="Z406" s="590">
        <v>5.8155</v>
      </c>
      <c r="AA406" s="591">
        <f t="shared" si="246"/>
        <v>395.454</v>
      </c>
      <c r="AB406" s="619" t="s">
        <v>1939</v>
      </c>
      <c r="AC406" s="638" t="s">
        <v>1067</v>
      </c>
      <c r="AD406" s="593" t="s">
        <v>89</v>
      </c>
      <c r="AE406" s="595"/>
      <c r="AF406" s="637"/>
      <c r="AG406" s="621"/>
      <c r="AH406" s="598"/>
      <c r="AI406" s="621"/>
      <c r="AJ406" s="595">
        <f>I406</f>
        <v>68</v>
      </c>
      <c r="AK406" s="621"/>
      <c r="AL406" s="621"/>
      <c r="AM406" s="592"/>
      <c r="AN406" s="598">
        <f t="shared" si="262"/>
        <v>68</v>
      </c>
      <c r="AO406" s="621"/>
      <c r="AP406" s="621"/>
      <c r="AQ406" s="621"/>
      <c r="AR406" s="621"/>
      <c r="AS406" s="621"/>
      <c r="AT406" s="621"/>
      <c r="AU406" s="621">
        <f>I406</f>
        <v>68</v>
      </c>
      <c r="AV406" s="618"/>
      <c r="AW406" s="592">
        <f t="shared" si="263"/>
        <v>68</v>
      </c>
      <c r="AX406" s="621"/>
      <c r="AY406" s="666"/>
      <c r="AZ406" s="666"/>
      <c r="BA406" s="666"/>
      <c r="BB406" s="666"/>
      <c r="BC406" s="666"/>
      <c r="BD406" s="667"/>
      <c r="BE406" s="668"/>
      <c r="BF406" s="602" t="s">
        <v>90</v>
      </c>
      <c r="BG406" s="603"/>
      <c r="BH406" s="632"/>
      <c r="BI406" s="633">
        <f>I406</f>
        <v>68</v>
      </c>
      <c r="BJ406" s="633"/>
      <c r="BK406" s="633"/>
      <c r="BL406" s="633"/>
      <c r="BM406" s="633"/>
      <c r="BN406" s="605"/>
      <c r="BO406" s="605"/>
      <c r="BP406" s="605"/>
      <c r="BQ406" s="605"/>
      <c r="BR406" s="605"/>
      <c r="BS406" s="605"/>
      <c r="BT406" s="607">
        <f t="shared" si="251"/>
        <v>68</v>
      </c>
      <c r="BU406" s="608">
        <f t="shared" si="252"/>
        <v>0</v>
      </c>
      <c r="BV406" s="491"/>
      <c r="BW406" s="491"/>
    </row>
    <row r="407" s="490" customFormat="1" ht="33" customHeight="1" spans="1:75">
      <c r="A407" s="577">
        <v>45968</v>
      </c>
      <c r="B407" s="581" t="s">
        <v>303</v>
      </c>
      <c r="C407" s="579" t="s">
        <v>304</v>
      </c>
      <c r="D407" s="580">
        <v>4500183616</v>
      </c>
      <c r="E407" s="616" t="s">
        <v>1940</v>
      </c>
      <c r="F407" s="580" t="s">
        <v>1941</v>
      </c>
      <c r="G407" s="582" t="s">
        <v>81</v>
      </c>
      <c r="H407" s="578" t="s">
        <v>95</v>
      </c>
      <c r="I407" s="583">
        <v>384</v>
      </c>
      <c r="J407" s="583">
        <v>0</v>
      </c>
      <c r="K407" s="583">
        <v>6</v>
      </c>
      <c r="L407" s="584">
        <f t="shared" si="245"/>
        <v>64</v>
      </c>
      <c r="M407" s="585">
        <v>46031</v>
      </c>
      <c r="N407" s="585">
        <v>46027</v>
      </c>
      <c r="O407" s="586"/>
      <c r="P407" s="586" t="s">
        <v>83</v>
      </c>
      <c r="Q407" s="587" t="s">
        <v>383</v>
      </c>
      <c r="R407" s="586" t="s">
        <v>1942</v>
      </c>
      <c r="S407" s="586"/>
      <c r="T407" s="586"/>
      <c r="U407" s="641" t="s">
        <v>1943</v>
      </c>
      <c r="V407" s="641"/>
      <c r="W407" s="641"/>
      <c r="X407" s="661" t="s">
        <v>1944</v>
      </c>
      <c r="Y407" s="618" t="s">
        <v>243</v>
      </c>
      <c r="Z407" s="590">
        <v>5.7828</v>
      </c>
      <c r="AA407" s="591">
        <f t="shared" si="246"/>
        <v>2220.5952</v>
      </c>
      <c r="AB407" s="619" t="s">
        <v>1945</v>
      </c>
      <c r="AC407" s="582" t="s">
        <v>235</v>
      </c>
      <c r="AD407" s="593" t="s">
        <v>89</v>
      </c>
      <c r="AE407" s="595"/>
      <c r="AF407" s="637"/>
      <c r="AG407" s="621"/>
      <c r="AH407" s="598"/>
      <c r="AI407" s="621"/>
      <c r="AJ407" s="621">
        <f>I407</f>
        <v>384</v>
      </c>
      <c r="AK407" s="621"/>
      <c r="AL407" s="621"/>
      <c r="AM407" s="592"/>
      <c r="AN407" s="598">
        <f t="shared" si="262"/>
        <v>384</v>
      </c>
      <c r="AO407" s="621"/>
      <c r="AP407" s="621"/>
      <c r="AQ407" s="621"/>
      <c r="AR407" s="621"/>
      <c r="AS407" s="621"/>
      <c r="AT407" s="621"/>
      <c r="AU407" s="621">
        <f>I407</f>
        <v>384</v>
      </c>
      <c r="AV407" s="618"/>
      <c r="AW407" s="592">
        <f t="shared" si="263"/>
        <v>384</v>
      </c>
      <c r="AX407" s="621"/>
      <c r="AY407" s="666"/>
      <c r="AZ407" s="666"/>
      <c r="BA407" s="666"/>
      <c r="BB407" s="666"/>
      <c r="BC407" s="666"/>
      <c r="BD407" s="667"/>
      <c r="BE407" s="668"/>
      <c r="BF407" s="602" t="s">
        <v>90</v>
      </c>
      <c r="BG407" s="603"/>
      <c r="BH407" s="632">
        <f t="shared" ref="BH407:BH415" si="264">I407/100*2.63</f>
        <v>10.0992</v>
      </c>
      <c r="BI407" s="633">
        <f t="shared" ref="BI407:BI415" si="265">I407/100*8.56</f>
        <v>32.8704</v>
      </c>
      <c r="BJ407" s="633">
        <f t="shared" ref="BJ407:BJ415" si="266">I407/100*20.74</f>
        <v>79.6416</v>
      </c>
      <c r="BK407" s="633">
        <f t="shared" ref="BK407:BK415" si="267">I407/100*32.33</f>
        <v>124.1472</v>
      </c>
      <c r="BL407" s="633">
        <f t="shared" ref="BL407:BL415" si="268">I407/100*16.24</f>
        <v>62.3616</v>
      </c>
      <c r="BM407" s="633">
        <f t="shared" ref="BM407:BM415" si="269">I407/100*19.51</f>
        <v>74.9184</v>
      </c>
      <c r="BN407" s="605"/>
      <c r="BO407" s="605"/>
      <c r="BP407" s="605"/>
      <c r="BQ407" s="605"/>
      <c r="BR407" s="605"/>
      <c r="BS407" s="605"/>
      <c r="BT407" s="607">
        <f t="shared" si="251"/>
        <v>384.0384</v>
      </c>
      <c r="BU407" s="608">
        <f t="shared" si="252"/>
        <v>-0.0384000000000242</v>
      </c>
      <c r="BV407" s="491"/>
      <c r="BW407" s="491"/>
    </row>
    <row r="408" s="490" customFormat="1" ht="33" customHeight="1" spans="1:75">
      <c r="A408" s="577">
        <v>46008</v>
      </c>
      <c r="B408" s="649" t="s">
        <v>1946</v>
      </c>
      <c r="C408" s="579" t="s">
        <v>1947</v>
      </c>
      <c r="D408" s="580">
        <v>4500189283</v>
      </c>
      <c r="E408" s="578"/>
      <c r="F408" s="580" t="s">
        <v>1948</v>
      </c>
      <c r="G408" s="582" t="s">
        <v>81</v>
      </c>
      <c r="H408" s="578" t="s">
        <v>95</v>
      </c>
      <c r="I408" s="583">
        <v>504</v>
      </c>
      <c r="J408" s="583">
        <v>0</v>
      </c>
      <c r="K408" s="583">
        <v>6</v>
      </c>
      <c r="L408" s="584">
        <f t="shared" si="245"/>
        <v>84</v>
      </c>
      <c r="M408" s="585">
        <v>46043</v>
      </c>
      <c r="N408" s="585">
        <v>46039</v>
      </c>
      <c r="O408" s="586"/>
      <c r="P408" s="586" t="s">
        <v>83</v>
      </c>
      <c r="Q408" s="587" t="s">
        <v>380</v>
      </c>
      <c r="R408" s="586" t="s">
        <v>1949</v>
      </c>
      <c r="S408" s="586"/>
      <c r="T408" s="586"/>
      <c r="U408" s="641" t="s">
        <v>1950</v>
      </c>
      <c r="V408" s="641"/>
      <c r="W408" s="641"/>
      <c r="X408" s="661" t="s">
        <v>1951</v>
      </c>
      <c r="Y408" s="586" t="s">
        <v>116</v>
      </c>
      <c r="Z408" s="590">
        <v>5.8504</v>
      </c>
      <c r="AA408" s="591">
        <f t="shared" si="246"/>
        <v>2948.6016</v>
      </c>
      <c r="AB408" s="619"/>
      <c r="AC408" s="582" t="s">
        <v>235</v>
      </c>
      <c r="AD408" s="593" t="s">
        <v>89</v>
      </c>
      <c r="AE408" s="595"/>
      <c r="AF408" s="637"/>
      <c r="AG408" s="621"/>
      <c r="AH408" s="598"/>
      <c r="AI408" s="621"/>
      <c r="AJ408" s="621">
        <f>I408</f>
        <v>504</v>
      </c>
      <c r="AK408" s="621"/>
      <c r="AL408" s="621"/>
      <c r="AM408" s="592"/>
      <c r="AN408" s="598">
        <f t="shared" si="262"/>
        <v>504</v>
      </c>
      <c r="AO408" s="621"/>
      <c r="AP408" s="621"/>
      <c r="AQ408" s="621"/>
      <c r="AR408" s="621"/>
      <c r="AS408" s="621"/>
      <c r="AT408" s="621"/>
      <c r="AU408" s="621">
        <f>I408</f>
        <v>504</v>
      </c>
      <c r="AV408" s="618"/>
      <c r="AW408" s="592">
        <f t="shared" si="263"/>
        <v>504</v>
      </c>
      <c r="AX408" s="621"/>
      <c r="AY408" s="666"/>
      <c r="AZ408" s="666"/>
      <c r="BA408" s="666"/>
      <c r="BB408" s="666"/>
      <c r="BC408" s="666"/>
      <c r="BD408" s="667"/>
      <c r="BE408" s="668"/>
      <c r="BF408" s="602" t="s">
        <v>90</v>
      </c>
      <c r="BG408" s="603"/>
      <c r="BH408" s="632">
        <f t="shared" si="264"/>
        <v>13.2552</v>
      </c>
      <c r="BI408" s="633">
        <f t="shared" si="265"/>
        <v>43.1424</v>
      </c>
      <c r="BJ408" s="633">
        <f t="shared" si="266"/>
        <v>104.5296</v>
      </c>
      <c r="BK408" s="633">
        <f t="shared" si="267"/>
        <v>162.9432</v>
      </c>
      <c r="BL408" s="633">
        <f t="shared" si="268"/>
        <v>81.8496</v>
      </c>
      <c r="BM408" s="633">
        <f t="shared" si="269"/>
        <v>98.3304</v>
      </c>
      <c r="BN408" s="605"/>
      <c r="BO408" s="605"/>
      <c r="BP408" s="605"/>
      <c r="BQ408" s="605"/>
      <c r="BR408" s="605"/>
      <c r="BS408" s="605"/>
      <c r="BT408" s="607">
        <f t="shared" si="251"/>
        <v>504.0504</v>
      </c>
      <c r="BU408" s="608">
        <f t="shared" si="252"/>
        <v>-0.0504000000000246</v>
      </c>
      <c r="BV408" s="491"/>
      <c r="BW408" s="491"/>
    </row>
    <row r="409" s="490" customFormat="1" ht="33" customHeight="1" spans="1:75">
      <c r="A409" s="577">
        <v>45995</v>
      </c>
      <c r="B409" s="649" t="s">
        <v>1952</v>
      </c>
      <c r="C409" s="579" t="s">
        <v>760</v>
      </c>
      <c r="D409" s="580">
        <v>4500188043</v>
      </c>
      <c r="E409" s="578" t="s">
        <v>1953</v>
      </c>
      <c r="F409" s="580" t="s">
        <v>1954</v>
      </c>
      <c r="G409" s="582" t="s">
        <v>81</v>
      </c>
      <c r="H409" s="578" t="s">
        <v>95</v>
      </c>
      <c r="I409" s="583">
        <v>3420</v>
      </c>
      <c r="J409" s="583">
        <v>0</v>
      </c>
      <c r="K409" s="583">
        <v>6</v>
      </c>
      <c r="L409" s="584">
        <f t="shared" si="245"/>
        <v>570</v>
      </c>
      <c r="M409" s="585">
        <v>46038</v>
      </c>
      <c r="N409" s="585">
        <v>46034</v>
      </c>
      <c r="O409" s="586"/>
      <c r="P409" s="586" t="s">
        <v>83</v>
      </c>
      <c r="Q409" s="587" t="s">
        <v>299</v>
      </c>
      <c r="R409" s="586" t="s">
        <v>1955</v>
      </c>
      <c r="S409" s="586"/>
      <c r="T409" s="586"/>
      <c r="U409" s="641" t="s">
        <v>1956</v>
      </c>
      <c r="V409" s="641"/>
      <c r="W409" s="641"/>
      <c r="X409" s="661" t="s">
        <v>1957</v>
      </c>
      <c r="Y409" s="586" t="s">
        <v>765</v>
      </c>
      <c r="Z409" s="590">
        <v>5.5831</v>
      </c>
      <c r="AA409" s="591">
        <f t="shared" si="246"/>
        <v>19094.202</v>
      </c>
      <c r="AB409" s="619" t="s">
        <v>1958</v>
      </c>
      <c r="AC409" s="582" t="s">
        <v>235</v>
      </c>
      <c r="AD409" s="593" t="s">
        <v>89</v>
      </c>
      <c r="AE409" s="611"/>
      <c r="AF409" s="677"/>
      <c r="AG409" s="621"/>
      <c r="AH409" s="613"/>
      <c r="AI409" s="622"/>
      <c r="AJ409" s="621">
        <f>I409</f>
        <v>3420</v>
      </c>
      <c r="AK409" s="621"/>
      <c r="AL409" s="622"/>
      <c r="AM409" s="612"/>
      <c r="AN409" s="598">
        <f t="shared" si="262"/>
        <v>3420</v>
      </c>
      <c r="AO409" s="621"/>
      <c r="AP409" s="622"/>
      <c r="AQ409" s="622"/>
      <c r="AR409" s="621"/>
      <c r="AS409" s="622"/>
      <c r="AT409" s="622"/>
      <c r="AU409" s="621">
        <f>I409</f>
        <v>3420</v>
      </c>
      <c r="AV409" s="618"/>
      <c r="AW409" s="592">
        <f t="shared" si="263"/>
        <v>3420</v>
      </c>
      <c r="AX409" s="621"/>
      <c r="AY409" s="666"/>
      <c r="AZ409" s="666"/>
      <c r="BA409" s="666"/>
      <c r="BB409" s="666"/>
      <c r="BC409" s="666"/>
      <c r="BD409" s="667"/>
      <c r="BE409" s="668"/>
      <c r="BF409" s="602" t="s">
        <v>90</v>
      </c>
      <c r="BG409" s="603"/>
      <c r="BH409" s="632">
        <f t="shared" si="264"/>
        <v>89.946</v>
      </c>
      <c r="BI409" s="633">
        <f t="shared" si="265"/>
        <v>292.752</v>
      </c>
      <c r="BJ409" s="633">
        <f t="shared" si="266"/>
        <v>709.308</v>
      </c>
      <c r="BK409" s="633">
        <f t="shared" si="267"/>
        <v>1105.686</v>
      </c>
      <c r="BL409" s="633">
        <f t="shared" si="268"/>
        <v>555.408</v>
      </c>
      <c r="BM409" s="633">
        <f t="shared" si="269"/>
        <v>667.242</v>
      </c>
      <c r="BN409" s="624"/>
      <c r="BO409" s="624"/>
      <c r="BP409" s="624"/>
      <c r="BQ409" s="624"/>
      <c r="BR409" s="624"/>
      <c r="BS409" s="624"/>
      <c r="BT409" s="607">
        <f t="shared" si="251"/>
        <v>3420.342</v>
      </c>
      <c r="BU409" s="608">
        <f t="shared" si="252"/>
        <v>-0.342000000000098</v>
      </c>
      <c r="BV409" s="517"/>
      <c r="BW409" s="491"/>
    </row>
    <row r="410" s="490" customFormat="1" ht="33" customHeight="1" spans="1:75">
      <c r="A410" s="577">
        <v>45995</v>
      </c>
      <c r="B410" s="649" t="s">
        <v>627</v>
      </c>
      <c r="C410" s="579" t="s">
        <v>628</v>
      </c>
      <c r="D410" s="580">
        <v>4500187990</v>
      </c>
      <c r="E410" s="578" t="s">
        <v>1959</v>
      </c>
      <c r="F410" s="580" t="s">
        <v>1960</v>
      </c>
      <c r="G410" s="582" t="s">
        <v>81</v>
      </c>
      <c r="H410" s="578" t="s">
        <v>95</v>
      </c>
      <c r="I410" s="583">
        <v>1002</v>
      </c>
      <c r="J410" s="583">
        <v>0</v>
      </c>
      <c r="K410" s="583">
        <v>6</v>
      </c>
      <c r="L410" s="584">
        <f t="shared" si="245"/>
        <v>167</v>
      </c>
      <c r="M410" s="585">
        <v>46045</v>
      </c>
      <c r="N410" s="585">
        <v>46041</v>
      </c>
      <c r="O410" s="586"/>
      <c r="P410" s="586" t="s">
        <v>83</v>
      </c>
      <c r="Q410" s="587"/>
      <c r="R410" s="586" t="s">
        <v>1961</v>
      </c>
      <c r="S410" s="586"/>
      <c r="T410" s="586"/>
      <c r="U410" s="641" t="s">
        <v>1962</v>
      </c>
      <c r="V410" s="641"/>
      <c r="W410" s="641"/>
      <c r="X410" s="661" t="s">
        <v>1963</v>
      </c>
      <c r="Y410" s="586" t="s">
        <v>116</v>
      </c>
      <c r="Z410" s="590">
        <v>5.7753</v>
      </c>
      <c r="AA410" s="591">
        <f t="shared" si="246"/>
        <v>5786.8506</v>
      </c>
      <c r="AB410" s="619"/>
      <c r="AC410" s="582" t="s">
        <v>81</v>
      </c>
      <c r="AD410" s="593" t="s">
        <v>89</v>
      </c>
      <c r="AE410" s="611"/>
      <c r="AF410" s="677"/>
      <c r="AG410" s="621">
        <f>I410</f>
        <v>1002</v>
      </c>
      <c r="AH410" s="613"/>
      <c r="AI410" s="622"/>
      <c r="AJ410" s="621"/>
      <c r="AK410" s="621"/>
      <c r="AL410" s="622"/>
      <c r="AM410" s="612"/>
      <c r="AN410" s="598">
        <f t="shared" si="262"/>
        <v>1002</v>
      </c>
      <c r="AO410" s="621"/>
      <c r="AP410" s="622"/>
      <c r="AQ410" s="622"/>
      <c r="AR410" s="621">
        <f>I410</f>
        <v>1002</v>
      </c>
      <c r="AS410" s="622"/>
      <c r="AT410" s="622"/>
      <c r="AU410" s="621"/>
      <c r="AV410" s="618"/>
      <c r="AW410" s="592">
        <f t="shared" si="263"/>
        <v>1002</v>
      </c>
      <c r="AX410" s="621"/>
      <c r="AY410" s="666"/>
      <c r="AZ410" s="666"/>
      <c r="BA410" s="666"/>
      <c r="BB410" s="666"/>
      <c r="BC410" s="666"/>
      <c r="BD410" s="667"/>
      <c r="BE410" s="668"/>
      <c r="BF410" s="602" t="s">
        <v>90</v>
      </c>
      <c r="BG410" s="603"/>
      <c r="BH410" s="632">
        <f t="shared" si="264"/>
        <v>26.3526</v>
      </c>
      <c r="BI410" s="633">
        <f t="shared" si="265"/>
        <v>85.7712</v>
      </c>
      <c r="BJ410" s="633">
        <f t="shared" si="266"/>
        <v>207.8148</v>
      </c>
      <c r="BK410" s="633">
        <f t="shared" si="267"/>
        <v>323.9466</v>
      </c>
      <c r="BL410" s="633">
        <f t="shared" si="268"/>
        <v>162.7248</v>
      </c>
      <c r="BM410" s="633">
        <f t="shared" si="269"/>
        <v>195.4902</v>
      </c>
      <c r="BN410" s="624"/>
      <c r="BO410" s="624"/>
      <c r="BP410" s="624"/>
      <c r="BQ410" s="624"/>
      <c r="BR410" s="624"/>
      <c r="BS410" s="624"/>
      <c r="BT410" s="607">
        <f t="shared" si="251"/>
        <v>1002.1002</v>
      </c>
      <c r="BU410" s="608">
        <f t="shared" si="252"/>
        <v>-0.100199999999859</v>
      </c>
      <c r="BV410" s="517"/>
      <c r="BW410" s="491"/>
    </row>
    <row r="411" s="490" customFormat="1" ht="33" customHeight="1" spans="1:75">
      <c r="A411" s="577">
        <v>45944</v>
      </c>
      <c r="B411" s="581" t="s">
        <v>1964</v>
      </c>
      <c r="C411" s="579" t="s">
        <v>92</v>
      </c>
      <c r="D411" s="580">
        <v>4500181546</v>
      </c>
      <c r="E411" s="588">
        <v>84006702</v>
      </c>
      <c r="F411" s="580" t="s">
        <v>1965</v>
      </c>
      <c r="G411" s="582" t="s">
        <v>81</v>
      </c>
      <c r="H411" s="578" t="s">
        <v>95</v>
      </c>
      <c r="I411" s="583">
        <v>1800</v>
      </c>
      <c r="J411" s="583">
        <v>0</v>
      </c>
      <c r="K411" s="583">
        <v>6</v>
      </c>
      <c r="L411" s="584">
        <f t="shared" si="245"/>
        <v>300</v>
      </c>
      <c r="M411" s="585">
        <v>46027</v>
      </c>
      <c r="N411" s="585">
        <v>46023</v>
      </c>
      <c r="O411" s="586"/>
      <c r="P411" s="586" t="s">
        <v>83</v>
      </c>
      <c r="Q411" s="587" t="s">
        <v>214</v>
      </c>
      <c r="R411" s="586" t="s">
        <v>1966</v>
      </c>
      <c r="S411" s="586"/>
      <c r="T411" s="586"/>
      <c r="U411" s="641" t="s">
        <v>86</v>
      </c>
      <c r="V411" s="641"/>
      <c r="W411" s="641"/>
      <c r="X411" s="661" t="s">
        <v>1967</v>
      </c>
      <c r="Y411" s="618" t="s">
        <v>223</v>
      </c>
      <c r="Z411" s="590">
        <v>3.4652</v>
      </c>
      <c r="AA411" s="591">
        <f t="shared" si="246"/>
        <v>6237.36</v>
      </c>
      <c r="AB411" s="619"/>
      <c r="AC411" s="582" t="s">
        <v>81</v>
      </c>
      <c r="AD411" s="593" t="s">
        <v>89</v>
      </c>
      <c r="AE411" s="611"/>
      <c r="AF411" s="677"/>
      <c r="AG411" s="621">
        <f>I411</f>
        <v>1800</v>
      </c>
      <c r="AH411" s="613"/>
      <c r="AI411" s="622"/>
      <c r="AJ411" s="621"/>
      <c r="AK411" s="621"/>
      <c r="AL411" s="622"/>
      <c r="AM411" s="612"/>
      <c r="AN411" s="621">
        <f t="shared" si="262"/>
        <v>1800</v>
      </c>
      <c r="AO411" s="621"/>
      <c r="AP411" s="622"/>
      <c r="AQ411" s="622"/>
      <c r="AR411" s="621">
        <f>I411</f>
        <v>1800</v>
      </c>
      <c r="AS411" s="622"/>
      <c r="AT411" s="622"/>
      <c r="AU411" s="621"/>
      <c r="AV411" s="618"/>
      <c r="AW411" s="592">
        <f t="shared" si="263"/>
        <v>1800</v>
      </c>
      <c r="AX411" s="621"/>
      <c r="AY411" s="666"/>
      <c r="AZ411" s="666"/>
      <c r="BA411" s="666"/>
      <c r="BB411" s="666"/>
      <c r="BC411" s="666"/>
      <c r="BD411" s="667"/>
      <c r="BE411" s="668"/>
      <c r="BF411" s="602" t="s">
        <v>90</v>
      </c>
      <c r="BG411" s="603"/>
      <c r="BH411" s="632">
        <f t="shared" si="264"/>
        <v>47.34</v>
      </c>
      <c r="BI411" s="633">
        <f t="shared" si="265"/>
        <v>154.08</v>
      </c>
      <c r="BJ411" s="633">
        <f t="shared" si="266"/>
        <v>373.32</v>
      </c>
      <c r="BK411" s="633">
        <f t="shared" si="267"/>
        <v>581.94</v>
      </c>
      <c r="BL411" s="633">
        <f t="shared" si="268"/>
        <v>292.32</v>
      </c>
      <c r="BM411" s="633">
        <f t="shared" si="269"/>
        <v>351.18</v>
      </c>
      <c r="BN411" s="624"/>
      <c r="BO411" s="624"/>
      <c r="BP411" s="624"/>
      <c r="BQ411" s="624"/>
      <c r="BR411" s="624"/>
      <c r="BS411" s="624"/>
      <c r="BT411" s="607">
        <f t="shared" si="251"/>
        <v>1800.18</v>
      </c>
      <c r="BU411" s="608">
        <f t="shared" si="252"/>
        <v>-0.179999999999836</v>
      </c>
      <c r="BV411" s="517"/>
      <c r="BW411" s="491"/>
    </row>
    <row r="412" s="490" customFormat="1" ht="33" customHeight="1" spans="1:75">
      <c r="A412" s="577">
        <v>45993</v>
      </c>
      <c r="B412" s="649" t="s">
        <v>1968</v>
      </c>
      <c r="C412" s="579" t="s">
        <v>1969</v>
      </c>
      <c r="D412" s="580">
        <v>4500187657</v>
      </c>
      <c r="E412" s="578"/>
      <c r="F412" s="580" t="s">
        <v>1970</v>
      </c>
      <c r="G412" s="582" t="s">
        <v>81</v>
      </c>
      <c r="H412" s="578" t="s">
        <v>95</v>
      </c>
      <c r="I412" s="583">
        <v>204</v>
      </c>
      <c r="J412" s="583">
        <v>0</v>
      </c>
      <c r="K412" s="583">
        <v>6</v>
      </c>
      <c r="L412" s="584">
        <f t="shared" si="245"/>
        <v>34</v>
      </c>
      <c r="M412" s="585">
        <v>46051</v>
      </c>
      <c r="N412" s="585">
        <v>46048</v>
      </c>
      <c r="O412" s="586"/>
      <c r="P412" s="586" t="s">
        <v>83</v>
      </c>
      <c r="Q412" s="617" t="s">
        <v>1971</v>
      </c>
      <c r="R412" s="586" t="s">
        <v>1955</v>
      </c>
      <c r="S412" s="586"/>
      <c r="T412" s="586"/>
      <c r="U412" s="641" t="s">
        <v>1972</v>
      </c>
      <c r="V412" s="641"/>
      <c r="W412" s="641"/>
      <c r="X412" s="661" t="s">
        <v>1973</v>
      </c>
      <c r="Y412" s="586" t="s">
        <v>243</v>
      </c>
      <c r="Z412" s="590">
        <v>5.6013</v>
      </c>
      <c r="AA412" s="591">
        <f t="shared" si="246"/>
        <v>1142.6652</v>
      </c>
      <c r="AB412" s="619"/>
      <c r="AC412" s="582" t="s">
        <v>235</v>
      </c>
      <c r="AD412" s="593" t="s">
        <v>89</v>
      </c>
      <c r="AE412" s="595"/>
      <c r="AF412" s="637"/>
      <c r="AG412" s="621"/>
      <c r="AH412" s="598"/>
      <c r="AI412" s="621"/>
      <c r="AJ412" s="621">
        <f>I412</f>
        <v>204</v>
      </c>
      <c r="AK412" s="621"/>
      <c r="AL412" s="621"/>
      <c r="AM412" s="592"/>
      <c r="AN412" s="598">
        <f t="shared" si="262"/>
        <v>204</v>
      </c>
      <c r="AO412" s="621"/>
      <c r="AP412" s="621"/>
      <c r="AQ412" s="621"/>
      <c r="AR412" s="621"/>
      <c r="AS412" s="621"/>
      <c r="AT412" s="621"/>
      <c r="AU412" s="621">
        <f>I412</f>
        <v>204</v>
      </c>
      <c r="AV412" s="618"/>
      <c r="AW412" s="592">
        <f t="shared" si="263"/>
        <v>204</v>
      </c>
      <c r="AX412" s="621"/>
      <c r="AY412" s="666"/>
      <c r="AZ412" s="666"/>
      <c r="BA412" s="666"/>
      <c r="BB412" s="666"/>
      <c r="BC412" s="666"/>
      <c r="BD412" s="667"/>
      <c r="BE412" s="668"/>
      <c r="BF412" s="602" t="s">
        <v>90</v>
      </c>
      <c r="BG412" s="603"/>
      <c r="BH412" s="632">
        <f t="shared" si="264"/>
        <v>5.3652</v>
      </c>
      <c r="BI412" s="633">
        <f t="shared" si="265"/>
        <v>17.4624</v>
      </c>
      <c r="BJ412" s="633">
        <f t="shared" si="266"/>
        <v>42.3096</v>
      </c>
      <c r="BK412" s="633">
        <f t="shared" si="267"/>
        <v>65.9532</v>
      </c>
      <c r="BL412" s="633">
        <f t="shared" si="268"/>
        <v>33.1296</v>
      </c>
      <c r="BM412" s="633">
        <f t="shared" si="269"/>
        <v>39.8004</v>
      </c>
      <c r="BN412" s="605"/>
      <c r="BO412" s="605"/>
      <c r="BP412" s="605"/>
      <c r="BQ412" s="605"/>
      <c r="BR412" s="605"/>
      <c r="BS412" s="605"/>
      <c r="BT412" s="607">
        <f t="shared" si="251"/>
        <v>204.0204</v>
      </c>
      <c r="BU412" s="608">
        <f t="shared" si="252"/>
        <v>-0.0203999999999667</v>
      </c>
      <c r="BV412" s="491"/>
      <c r="BW412" s="491"/>
    </row>
    <row r="413" s="490" customFormat="1" ht="33" customHeight="1" spans="1:75">
      <c r="A413" s="577">
        <v>46020</v>
      </c>
      <c r="B413" s="649" t="s">
        <v>1477</v>
      </c>
      <c r="C413" s="579" t="s">
        <v>334</v>
      </c>
      <c r="D413" s="580">
        <v>4500190245</v>
      </c>
      <c r="E413" s="578"/>
      <c r="F413" s="580" t="s">
        <v>1974</v>
      </c>
      <c r="G413" s="582" t="s">
        <v>1621</v>
      </c>
      <c r="H413" s="578" t="s">
        <v>1622</v>
      </c>
      <c r="I413" s="583">
        <v>102</v>
      </c>
      <c r="J413" s="583">
        <v>0</v>
      </c>
      <c r="K413" s="583">
        <v>6</v>
      </c>
      <c r="L413" s="584">
        <f t="shared" si="245"/>
        <v>17</v>
      </c>
      <c r="M413" s="585">
        <v>46055</v>
      </c>
      <c r="N413" s="585">
        <f>M413-4</f>
        <v>46051</v>
      </c>
      <c r="O413" s="586"/>
      <c r="P413" s="586" t="s">
        <v>83</v>
      </c>
      <c r="Q413" s="587" t="s">
        <v>1975</v>
      </c>
      <c r="R413" s="586" t="s">
        <v>1976</v>
      </c>
      <c r="S413" s="586"/>
      <c r="T413" s="586"/>
      <c r="U413" s="641" t="s">
        <v>1977</v>
      </c>
      <c r="V413" s="641"/>
      <c r="W413" s="641"/>
      <c r="X413" s="661" t="s">
        <v>1978</v>
      </c>
      <c r="Y413" s="586" t="s">
        <v>340</v>
      </c>
      <c r="Z413" s="590">
        <v>5.8295</v>
      </c>
      <c r="AA413" s="591">
        <f t="shared" si="246"/>
        <v>594.609</v>
      </c>
      <c r="AB413" s="619"/>
      <c r="AC413" s="582" t="s">
        <v>1621</v>
      </c>
      <c r="AD413" s="593" t="s">
        <v>89</v>
      </c>
      <c r="AE413" s="595"/>
      <c r="AF413" s="637"/>
      <c r="AG413" s="621"/>
      <c r="AH413" s="598"/>
      <c r="AI413" s="621"/>
      <c r="AJ413" s="637">
        <f>I413</f>
        <v>102</v>
      </c>
      <c r="AK413" s="621"/>
      <c r="AL413" s="621"/>
      <c r="AM413" s="592"/>
      <c r="AN413" s="598">
        <f t="shared" si="262"/>
        <v>102</v>
      </c>
      <c r="AO413" s="621"/>
      <c r="AP413" s="621"/>
      <c r="AQ413" s="621"/>
      <c r="AR413" s="621"/>
      <c r="AS413" s="621"/>
      <c r="AT413" s="621"/>
      <c r="AU413" s="621">
        <f>I413</f>
        <v>102</v>
      </c>
      <c r="AV413" s="618"/>
      <c r="AW413" s="592">
        <f t="shared" si="263"/>
        <v>102</v>
      </c>
      <c r="AX413" s="621"/>
      <c r="AY413" s="666"/>
      <c r="AZ413" s="666"/>
      <c r="BA413" s="666"/>
      <c r="BB413" s="666"/>
      <c r="BC413" s="666"/>
      <c r="BD413" s="667"/>
      <c r="BE413" s="668"/>
      <c r="BF413" s="602" t="s">
        <v>90</v>
      </c>
      <c r="BG413" s="603"/>
      <c r="BH413" s="632"/>
      <c r="BI413" s="633"/>
      <c r="BJ413" s="633"/>
      <c r="BK413" s="633"/>
      <c r="BL413" s="602">
        <f>I413</f>
        <v>102</v>
      </c>
      <c r="BM413" s="602"/>
      <c r="BN413" s="605"/>
      <c r="BO413" s="605"/>
      <c r="BP413" s="605"/>
      <c r="BQ413" s="605"/>
      <c r="BR413" s="605"/>
      <c r="BS413" s="605"/>
      <c r="BT413" s="607">
        <f t="shared" si="251"/>
        <v>102</v>
      </c>
      <c r="BU413" s="608">
        <f t="shared" si="252"/>
        <v>0</v>
      </c>
      <c r="BV413" s="491"/>
      <c r="BW413" s="491"/>
    </row>
    <row r="414" s="490" customFormat="1" ht="33" customHeight="1" spans="1:75">
      <c r="A414" s="577">
        <v>46020</v>
      </c>
      <c r="B414" s="649" t="s">
        <v>1477</v>
      </c>
      <c r="C414" s="579" t="s">
        <v>334</v>
      </c>
      <c r="D414" s="580">
        <v>4500190245</v>
      </c>
      <c r="E414" s="578"/>
      <c r="F414" s="580" t="s">
        <v>1979</v>
      </c>
      <c r="G414" s="582" t="s">
        <v>1629</v>
      </c>
      <c r="H414" s="578" t="s">
        <v>1630</v>
      </c>
      <c r="I414" s="583">
        <v>102</v>
      </c>
      <c r="J414" s="583">
        <v>0</v>
      </c>
      <c r="K414" s="583">
        <v>6</v>
      </c>
      <c r="L414" s="584">
        <f t="shared" si="245"/>
        <v>17</v>
      </c>
      <c r="M414" s="585">
        <v>46055</v>
      </c>
      <c r="N414" s="585">
        <f>M414-4</f>
        <v>46051</v>
      </c>
      <c r="O414" s="586"/>
      <c r="P414" s="586" t="s">
        <v>83</v>
      </c>
      <c r="Q414" s="587" t="s">
        <v>1975</v>
      </c>
      <c r="R414" s="586" t="s">
        <v>1976</v>
      </c>
      <c r="S414" s="586"/>
      <c r="T414" s="586"/>
      <c r="U414" s="641" t="s">
        <v>1977</v>
      </c>
      <c r="V414" s="641"/>
      <c r="W414" s="641"/>
      <c r="X414" s="661" t="s">
        <v>1980</v>
      </c>
      <c r="Y414" s="586" t="s">
        <v>340</v>
      </c>
      <c r="Z414" s="590">
        <v>5.8295</v>
      </c>
      <c r="AA414" s="591">
        <f t="shared" si="246"/>
        <v>594.609</v>
      </c>
      <c r="AB414" s="619"/>
      <c r="AC414" s="582" t="s">
        <v>1629</v>
      </c>
      <c r="AD414" s="593" t="s">
        <v>89</v>
      </c>
      <c r="AE414" s="595"/>
      <c r="AF414" s="637"/>
      <c r="AG414" s="621"/>
      <c r="AH414" s="598"/>
      <c r="AI414" s="621"/>
      <c r="AJ414" s="637">
        <f>I414</f>
        <v>102</v>
      </c>
      <c r="AK414" s="621"/>
      <c r="AL414" s="621"/>
      <c r="AM414" s="592"/>
      <c r="AN414" s="598">
        <f t="shared" si="262"/>
        <v>102</v>
      </c>
      <c r="AO414" s="621"/>
      <c r="AP414" s="621"/>
      <c r="AQ414" s="621"/>
      <c r="AR414" s="621"/>
      <c r="AS414" s="621"/>
      <c r="AT414" s="621"/>
      <c r="AU414" s="621">
        <f>I414</f>
        <v>102</v>
      </c>
      <c r="AV414" s="618"/>
      <c r="AW414" s="592">
        <f t="shared" si="263"/>
        <v>102</v>
      </c>
      <c r="AX414" s="621"/>
      <c r="AY414" s="666"/>
      <c r="AZ414" s="666"/>
      <c r="BA414" s="666"/>
      <c r="BB414" s="666"/>
      <c r="BC414" s="666"/>
      <c r="BD414" s="667"/>
      <c r="BE414" s="668"/>
      <c r="BF414" s="602" t="s">
        <v>90</v>
      </c>
      <c r="BG414" s="603"/>
      <c r="BH414" s="632"/>
      <c r="BI414" s="633"/>
      <c r="BJ414" s="602">
        <f>I414</f>
        <v>102</v>
      </c>
      <c r="BK414" s="602"/>
      <c r="BL414" s="602"/>
      <c r="BM414" s="602"/>
      <c r="BN414" s="605"/>
      <c r="BO414" s="605"/>
      <c r="BP414" s="605"/>
      <c r="BQ414" s="605"/>
      <c r="BR414" s="605"/>
      <c r="BS414" s="605"/>
      <c r="BT414" s="607">
        <f t="shared" si="251"/>
        <v>102</v>
      </c>
      <c r="BU414" s="608">
        <f t="shared" si="252"/>
        <v>0</v>
      </c>
      <c r="BV414" s="491"/>
      <c r="BW414" s="491"/>
    </row>
    <row r="415" s="490" customFormat="1" ht="33" customHeight="1" spans="1:75">
      <c r="A415" s="577">
        <v>46013</v>
      </c>
      <c r="B415" s="649" t="s">
        <v>581</v>
      </c>
      <c r="C415" s="579" t="s">
        <v>246</v>
      </c>
      <c r="D415" s="580">
        <v>4500189577</v>
      </c>
      <c r="E415" s="578">
        <v>29391794</v>
      </c>
      <c r="F415" s="580" t="s">
        <v>1981</v>
      </c>
      <c r="G415" s="582" t="s">
        <v>81</v>
      </c>
      <c r="H415" s="578" t="s">
        <v>95</v>
      </c>
      <c r="I415" s="583">
        <v>756</v>
      </c>
      <c r="J415" s="583">
        <v>0</v>
      </c>
      <c r="K415" s="583">
        <v>6</v>
      </c>
      <c r="L415" s="584">
        <f t="shared" si="245"/>
        <v>126</v>
      </c>
      <c r="M415" s="585">
        <v>46062</v>
      </c>
      <c r="N415" s="585">
        <v>46057</v>
      </c>
      <c r="O415" s="586"/>
      <c r="P415" s="586" t="s">
        <v>83</v>
      </c>
      <c r="Q415" s="587" t="s">
        <v>1913</v>
      </c>
      <c r="R415" s="586" t="s">
        <v>1982</v>
      </c>
      <c r="S415" s="586"/>
      <c r="T415" s="586"/>
      <c r="U415" s="641" t="s">
        <v>86</v>
      </c>
      <c r="V415" s="641"/>
      <c r="W415" s="641"/>
      <c r="X415" s="661" t="s">
        <v>1983</v>
      </c>
      <c r="Y415" s="586" t="s">
        <v>1676</v>
      </c>
      <c r="Z415" s="590">
        <v>5.7828</v>
      </c>
      <c r="AA415" s="591">
        <f t="shared" si="246"/>
        <v>4371.7968</v>
      </c>
      <c r="AB415" s="619"/>
      <c r="AC415" s="582" t="s">
        <v>81</v>
      </c>
      <c r="AD415" s="593" t="s">
        <v>89</v>
      </c>
      <c r="AE415" s="611"/>
      <c r="AF415" s="677"/>
      <c r="AG415" s="621">
        <f>I415</f>
        <v>756</v>
      </c>
      <c r="AH415" s="613"/>
      <c r="AI415" s="622"/>
      <c r="AJ415" s="621"/>
      <c r="AK415" s="621"/>
      <c r="AL415" s="622"/>
      <c r="AM415" s="612"/>
      <c r="AN415" s="598">
        <f t="shared" si="262"/>
        <v>756</v>
      </c>
      <c r="AO415" s="666"/>
      <c r="AP415" s="622"/>
      <c r="AQ415" s="622"/>
      <c r="AR415" s="666">
        <f>I415</f>
        <v>756</v>
      </c>
      <c r="AS415" s="622"/>
      <c r="AT415" s="622"/>
      <c r="AU415" s="672"/>
      <c r="AV415" s="618"/>
      <c r="AW415" s="678">
        <f t="shared" si="263"/>
        <v>756</v>
      </c>
      <c r="AX415" s="666"/>
      <c r="AY415" s="666"/>
      <c r="AZ415" s="666"/>
      <c r="BA415" s="666"/>
      <c r="BB415" s="666"/>
      <c r="BC415" s="666"/>
      <c r="BD415" s="667"/>
      <c r="BE415" s="668"/>
      <c r="BF415" s="679" t="s">
        <v>90</v>
      </c>
      <c r="BG415" s="603"/>
      <c r="BH415" s="632">
        <f>I415/100*2.63</f>
        <v>19.8828</v>
      </c>
      <c r="BI415" s="633">
        <f>I415/100*8.56</f>
        <v>64.7136</v>
      </c>
      <c r="BJ415" s="633">
        <f>I415/100*20.74</f>
        <v>156.7944</v>
      </c>
      <c r="BK415" s="633">
        <f>I415/100*32.33</f>
        <v>244.4148</v>
      </c>
      <c r="BL415" s="633">
        <f>I415/100*16.24</f>
        <v>122.7744</v>
      </c>
      <c r="BM415" s="633">
        <f>I415/100*19.51</f>
        <v>147.4956</v>
      </c>
      <c r="BN415" s="624"/>
      <c r="BO415" s="624"/>
      <c r="BP415" s="624"/>
      <c r="BQ415" s="624"/>
      <c r="BR415" s="624"/>
      <c r="BS415" s="624"/>
      <c r="BT415" s="607">
        <f t="shared" si="251"/>
        <v>756.0756</v>
      </c>
      <c r="BU415" s="608">
        <f t="shared" si="252"/>
        <v>-0.0755999999998949</v>
      </c>
      <c r="BV415" s="517"/>
      <c r="BW415" s="491"/>
    </row>
    <row r="416" s="490" customFormat="1" ht="33" customHeight="1" spans="1:75">
      <c r="A416" s="577">
        <v>46013</v>
      </c>
      <c r="B416" s="649" t="s">
        <v>581</v>
      </c>
      <c r="C416" s="579" t="s">
        <v>246</v>
      </c>
      <c r="D416" s="580">
        <v>4500189577</v>
      </c>
      <c r="E416" s="578">
        <v>29391793</v>
      </c>
      <c r="F416" s="580" t="s">
        <v>1984</v>
      </c>
      <c r="G416" s="582" t="s">
        <v>81</v>
      </c>
      <c r="H416" s="578" t="s">
        <v>95</v>
      </c>
      <c r="I416" s="583">
        <v>444</v>
      </c>
      <c r="J416" s="583">
        <v>0</v>
      </c>
      <c r="K416" s="583">
        <v>6</v>
      </c>
      <c r="L416" s="584">
        <f t="shared" si="245"/>
        <v>74</v>
      </c>
      <c r="M416" s="585">
        <v>46062</v>
      </c>
      <c r="N416" s="585">
        <v>46057</v>
      </c>
      <c r="O416" s="586"/>
      <c r="P416" s="586" t="s">
        <v>83</v>
      </c>
      <c r="Q416" s="587" t="s">
        <v>1913</v>
      </c>
      <c r="R416" s="586" t="s">
        <v>1982</v>
      </c>
      <c r="S416" s="586"/>
      <c r="T416" s="586"/>
      <c r="U416" s="641" t="s">
        <v>86</v>
      </c>
      <c r="V416" s="641"/>
      <c r="W416" s="641"/>
      <c r="X416" s="661" t="s">
        <v>1983</v>
      </c>
      <c r="Y416" s="586" t="s">
        <v>1676</v>
      </c>
      <c r="Z416" s="590">
        <v>5.7828</v>
      </c>
      <c r="AA416" s="591">
        <f t="shared" si="246"/>
        <v>2567.5632</v>
      </c>
      <c r="AB416" s="619"/>
      <c r="AC416" s="582" t="s">
        <v>81</v>
      </c>
      <c r="AD416" s="593" t="s">
        <v>89</v>
      </c>
      <c r="AE416" s="611"/>
      <c r="AF416" s="677"/>
      <c r="AG416" s="621">
        <f>I416</f>
        <v>444</v>
      </c>
      <c r="AH416" s="613"/>
      <c r="AI416" s="622"/>
      <c r="AJ416" s="621"/>
      <c r="AK416" s="621"/>
      <c r="AL416" s="622"/>
      <c r="AM416" s="612"/>
      <c r="AN416" s="598">
        <f t="shared" si="262"/>
        <v>444</v>
      </c>
      <c r="AO416" s="666"/>
      <c r="AP416" s="622"/>
      <c r="AQ416" s="622"/>
      <c r="AR416" s="666">
        <f>I416</f>
        <v>444</v>
      </c>
      <c r="AS416" s="622"/>
      <c r="AT416" s="622"/>
      <c r="AU416" s="672"/>
      <c r="AV416" s="618"/>
      <c r="AW416" s="678">
        <f t="shared" si="263"/>
        <v>444</v>
      </c>
      <c r="AX416" s="666"/>
      <c r="AY416" s="666"/>
      <c r="AZ416" s="666"/>
      <c r="BA416" s="666"/>
      <c r="BB416" s="666"/>
      <c r="BC416" s="666"/>
      <c r="BD416" s="667"/>
      <c r="BE416" s="668"/>
      <c r="BF416" s="679" t="s">
        <v>90</v>
      </c>
      <c r="BG416" s="603"/>
      <c r="BH416" s="632">
        <f>I416/100*2.63</f>
        <v>11.6772</v>
      </c>
      <c r="BI416" s="633">
        <f>I416/100*8.56</f>
        <v>38.0064</v>
      </c>
      <c r="BJ416" s="633">
        <f>I416/100*20.74</f>
        <v>92.0856</v>
      </c>
      <c r="BK416" s="633">
        <f>I416/100*32.33</f>
        <v>143.5452</v>
      </c>
      <c r="BL416" s="633">
        <f>I416/100*16.24</f>
        <v>72.1056</v>
      </c>
      <c r="BM416" s="633">
        <f>I416/100*19.51</f>
        <v>86.6244</v>
      </c>
      <c r="BN416" s="624"/>
      <c r="BO416" s="624"/>
      <c r="BP416" s="624"/>
      <c r="BQ416" s="624"/>
      <c r="BR416" s="624"/>
      <c r="BS416" s="624"/>
      <c r="BT416" s="607">
        <f t="shared" si="251"/>
        <v>444.0444</v>
      </c>
      <c r="BU416" s="608">
        <f t="shared" si="252"/>
        <v>-0.044399999999996</v>
      </c>
      <c r="BV416" s="517"/>
      <c r="BW416" s="491"/>
    </row>
    <row r="417" s="490" customFormat="1" ht="33" customHeight="1" spans="1:75 16318:16384">
      <c r="A417" s="577">
        <v>46036</v>
      </c>
      <c r="B417" s="649" t="s">
        <v>1985</v>
      </c>
      <c r="C417" s="579" t="s">
        <v>678</v>
      </c>
      <c r="D417" s="580">
        <v>4500191314</v>
      </c>
      <c r="E417" s="578" t="s">
        <v>1986</v>
      </c>
      <c r="F417" s="580" t="s">
        <v>1987</v>
      </c>
      <c r="G417" s="582" t="s">
        <v>81</v>
      </c>
      <c r="H417" s="578" t="s">
        <v>95</v>
      </c>
      <c r="I417" s="583">
        <v>600</v>
      </c>
      <c r="J417" s="583">
        <v>0</v>
      </c>
      <c r="K417" s="583">
        <v>6</v>
      </c>
      <c r="L417" s="584">
        <f t="shared" si="245"/>
        <v>100</v>
      </c>
      <c r="M417" s="585">
        <v>46091</v>
      </c>
      <c r="N417" s="585">
        <v>46087</v>
      </c>
      <c r="O417" s="586"/>
      <c r="P417" s="586" t="s">
        <v>83</v>
      </c>
      <c r="Q417" s="587" t="s">
        <v>526</v>
      </c>
      <c r="R417" s="586" t="s">
        <v>1988</v>
      </c>
      <c r="S417" s="586"/>
      <c r="T417" s="586"/>
      <c r="U417" s="641" t="s">
        <v>86</v>
      </c>
      <c r="V417" s="641"/>
      <c r="W417" s="641"/>
      <c r="X417" s="661" t="s">
        <v>1989</v>
      </c>
      <c r="Y417" s="586" t="s">
        <v>116</v>
      </c>
      <c r="Z417" s="590">
        <v>5.7828</v>
      </c>
      <c r="AA417" s="591">
        <f t="shared" si="246"/>
        <v>3469.68</v>
      </c>
      <c r="AB417" s="619"/>
      <c r="AC417" s="582" t="s">
        <v>81</v>
      </c>
      <c r="AD417" s="593" t="s">
        <v>89</v>
      </c>
      <c r="AE417" s="595"/>
      <c r="AF417" s="637"/>
      <c r="AG417" s="621">
        <f>I417</f>
        <v>600</v>
      </c>
      <c r="AH417" s="598"/>
      <c r="AI417" s="621"/>
      <c r="AJ417" s="621"/>
      <c r="AK417" s="621"/>
      <c r="AL417" s="621"/>
      <c r="AM417" s="592"/>
      <c r="AN417" s="598">
        <f t="shared" si="262"/>
        <v>600</v>
      </c>
      <c r="AO417" s="666"/>
      <c r="AP417" s="621"/>
      <c r="AQ417" s="621"/>
      <c r="AR417" s="666">
        <f>I417</f>
        <v>600</v>
      </c>
      <c r="AS417" s="621"/>
      <c r="AT417" s="621"/>
      <c r="AU417" s="672"/>
      <c r="AV417" s="618"/>
      <c r="AW417" s="678">
        <f t="shared" si="263"/>
        <v>600</v>
      </c>
      <c r="AX417" s="666"/>
      <c r="AY417" s="666"/>
      <c r="AZ417" s="666"/>
      <c r="BA417" s="666"/>
      <c r="BB417" s="666"/>
      <c r="BC417" s="666"/>
      <c r="BD417" s="667"/>
      <c r="BE417" s="668"/>
      <c r="BF417" s="679" t="s">
        <v>90</v>
      </c>
      <c r="BG417" s="603"/>
      <c r="BH417" s="632">
        <f>I417/6</f>
        <v>100</v>
      </c>
      <c r="BI417" s="633">
        <f>I417/6</f>
        <v>100</v>
      </c>
      <c r="BJ417" s="633">
        <f>I417/6</f>
        <v>100</v>
      </c>
      <c r="BK417" s="633">
        <f>I417/6</f>
        <v>100</v>
      </c>
      <c r="BL417" s="633">
        <f>I417/6</f>
        <v>100</v>
      </c>
      <c r="BM417" s="633">
        <f>I417/6</f>
        <v>100</v>
      </c>
      <c r="BN417" s="605"/>
      <c r="BO417" s="605"/>
      <c r="BP417" s="605"/>
      <c r="BQ417" s="605"/>
      <c r="BR417" s="605"/>
      <c r="BS417" s="605"/>
      <c r="BT417" s="607">
        <f t="shared" si="251"/>
        <v>600</v>
      </c>
      <c r="BU417" s="608">
        <f t="shared" si="252"/>
        <v>0</v>
      </c>
      <c r="BV417" s="491"/>
      <c r="BW417" s="491"/>
    </row>
    <row r="418" s="490" customFormat="1" ht="34" customHeight="1" spans="1:75 16318:16384">
      <c r="A418" s="577">
        <v>46017</v>
      </c>
      <c r="B418" s="649" t="s">
        <v>1566</v>
      </c>
      <c r="C418" s="579" t="s">
        <v>140</v>
      </c>
      <c r="D418" s="580">
        <v>4500190102</v>
      </c>
      <c r="E418" s="578">
        <v>5000002099</v>
      </c>
      <c r="F418" s="580" t="s">
        <v>1990</v>
      </c>
      <c r="G418" s="582" t="s">
        <v>81</v>
      </c>
      <c r="H418" s="578" t="s">
        <v>95</v>
      </c>
      <c r="I418" s="583">
        <v>5400</v>
      </c>
      <c r="J418" s="583">
        <v>0</v>
      </c>
      <c r="K418" s="583">
        <v>6</v>
      </c>
      <c r="L418" s="584">
        <f t="shared" si="245"/>
        <v>900</v>
      </c>
      <c r="M418" s="585">
        <v>46093</v>
      </c>
      <c r="N418" s="585">
        <v>46088</v>
      </c>
      <c r="O418" s="586" t="s">
        <v>1991</v>
      </c>
      <c r="P418" s="586" t="s">
        <v>83</v>
      </c>
      <c r="Q418" s="587"/>
      <c r="R418" s="586" t="s">
        <v>1992</v>
      </c>
      <c r="S418" s="586"/>
      <c r="T418" s="586"/>
      <c r="U418" s="641" t="s">
        <v>1993</v>
      </c>
      <c r="V418" s="641"/>
      <c r="W418" s="641"/>
      <c r="X418" s="661" t="s">
        <v>1994</v>
      </c>
      <c r="Y418" s="586" t="s">
        <v>757</v>
      </c>
      <c r="Z418" s="590">
        <v>5.567</v>
      </c>
      <c r="AA418" s="591">
        <f t="shared" si="246"/>
        <v>30061.8</v>
      </c>
      <c r="AB418" s="619"/>
      <c r="AC418" s="582" t="s">
        <v>149</v>
      </c>
      <c r="AD418" s="593" t="s">
        <v>89</v>
      </c>
      <c r="AE418" s="621"/>
      <c r="AF418" s="621"/>
      <c r="AG418" s="621">
        <f>I418</f>
        <v>5400</v>
      </c>
      <c r="AH418" s="598"/>
      <c r="AI418" s="666"/>
      <c r="AJ418" s="666"/>
      <c r="AK418" s="672"/>
      <c r="AL418" s="618"/>
      <c r="AM418" s="678"/>
      <c r="AN418" s="666"/>
      <c r="AO418" s="666">
        <f>I418</f>
        <v>5400</v>
      </c>
      <c r="AP418" s="666"/>
      <c r="AQ418" s="666"/>
      <c r="AR418" s="666">
        <f>I418</f>
        <v>5400</v>
      </c>
      <c r="AS418" s="666"/>
      <c r="AT418" s="667"/>
      <c r="AU418" s="672"/>
      <c r="AV418" s="648"/>
      <c r="AW418" s="678"/>
      <c r="AX418" s="666">
        <f>I418</f>
        <v>5400</v>
      </c>
      <c r="AY418" s="666"/>
      <c r="AZ418" s="666"/>
      <c r="BA418" s="666"/>
      <c r="BB418" s="666"/>
      <c r="BC418" s="666"/>
      <c r="BD418" s="667"/>
      <c r="BE418" s="668"/>
      <c r="BF418" s="679" t="s">
        <v>407</v>
      </c>
      <c r="BG418" s="603"/>
      <c r="BH418" s="632">
        <f>I418/6</f>
        <v>900</v>
      </c>
      <c r="BI418" s="633">
        <f>I418/6</f>
        <v>900</v>
      </c>
      <c r="BJ418" s="633">
        <f>I418/6</f>
        <v>900</v>
      </c>
      <c r="BK418" s="633">
        <f>I418/6</f>
        <v>900</v>
      </c>
      <c r="BL418" s="633">
        <f>I418/6</f>
        <v>900</v>
      </c>
      <c r="BM418" s="633">
        <f>I418/6</f>
        <v>900</v>
      </c>
      <c r="BN418" s="680"/>
      <c r="BO418" s="680"/>
      <c r="BP418" s="680"/>
      <c r="BQ418" s="680"/>
      <c r="BR418" s="680"/>
      <c r="BS418" s="680"/>
      <c r="BT418" s="607">
        <f t="shared" si="251"/>
        <v>5400</v>
      </c>
      <c r="BU418" s="608">
        <f t="shared" si="252"/>
        <v>0</v>
      </c>
      <c r="BV418" s="491"/>
      <c r="BW418" s="491"/>
      <c r="XEO418" s="670"/>
      <c r="XEP418" s="490"/>
      <c r="XEQ418" s="653"/>
      <c r="XER418" s="654"/>
      <c r="XES418" s="657"/>
      <c r="XET418" s="654"/>
      <c r="XEU418" s="656"/>
      <c r="XEV418" s="656"/>
      <c r="XEW418" s="657"/>
      <c r="XEX418" s="658"/>
      <c r="XEY418" s="658"/>
      <c r="XEZ418" s="658"/>
      <c r="XFA418" s="671"/>
      <c r="XFB418" s="659"/>
      <c r="XFC418" s="659"/>
      <c r="XFD418" s="660"/>
    </row>
    <row r="419" s="490" customFormat="1" ht="33" customHeight="1" spans="1:75 16318:16384">
      <c r="A419" s="577">
        <v>46036</v>
      </c>
      <c r="B419" s="649" t="s">
        <v>1477</v>
      </c>
      <c r="C419" s="579" t="s">
        <v>334</v>
      </c>
      <c r="D419" s="580">
        <v>4500191234</v>
      </c>
      <c r="E419" s="578"/>
      <c r="F419" s="580" t="s">
        <v>1995</v>
      </c>
      <c r="G419" s="582" t="s">
        <v>1996</v>
      </c>
      <c r="H419" s="578" t="s">
        <v>1997</v>
      </c>
      <c r="I419" s="681">
        <v>102</v>
      </c>
      <c r="J419" s="583">
        <v>0</v>
      </c>
      <c r="K419" s="583">
        <v>6</v>
      </c>
      <c r="L419" s="584">
        <f t="shared" si="245"/>
        <v>17</v>
      </c>
      <c r="M419" s="585">
        <v>46097</v>
      </c>
      <c r="N419" s="585">
        <v>46093</v>
      </c>
      <c r="O419" s="586"/>
      <c r="P419" s="586" t="s">
        <v>83</v>
      </c>
      <c r="Q419" s="587" t="s">
        <v>526</v>
      </c>
      <c r="R419" s="586" t="s">
        <v>547</v>
      </c>
      <c r="S419" s="586"/>
      <c r="T419" s="586"/>
      <c r="U419" s="641" t="s">
        <v>1998</v>
      </c>
      <c r="V419" s="641"/>
      <c r="W419" s="641"/>
      <c r="X419" s="661" t="s">
        <v>1999</v>
      </c>
      <c r="Y419" s="586" t="s">
        <v>340</v>
      </c>
      <c r="Z419" s="590">
        <v>5.8295</v>
      </c>
      <c r="AA419" s="591">
        <f t="shared" si="246"/>
        <v>594.609</v>
      </c>
      <c r="AB419" s="619"/>
      <c r="AC419" s="582" t="s">
        <v>1996</v>
      </c>
      <c r="AD419" s="593" t="s">
        <v>89</v>
      </c>
      <c r="AE419" s="621"/>
      <c r="AF419" s="621"/>
      <c r="AG419" s="621"/>
      <c r="AH419" s="598"/>
      <c r="AI419" s="666"/>
      <c r="AJ419" s="666">
        <f>I419</f>
        <v>102</v>
      </c>
      <c r="AK419" s="672"/>
      <c r="AL419" s="618"/>
      <c r="AM419" s="678"/>
      <c r="AN419" s="598">
        <f>I419</f>
        <v>102</v>
      </c>
      <c r="AO419" s="666"/>
      <c r="AP419" s="666"/>
      <c r="AQ419" s="666"/>
      <c r="AR419" s="666"/>
      <c r="AS419" s="666"/>
      <c r="AT419" s="667"/>
      <c r="AU419" s="672">
        <f>I419</f>
        <v>102</v>
      </c>
      <c r="AV419" s="648"/>
      <c r="AW419" s="678">
        <f>I419</f>
        <v>102</v>
      </c>
      <c r="AX419" s="666"/>
      <c r="AY419" s="666"/>
      <c r="AZ419" s="666"/>
      <c r="BA419" s="666"/>
      <c r="BB419" s="666"/>
      <c r="BC419" s="666"/>
      <c r="BD419" s="667"/>
      <c r="BE419" s="668"/>
      <c r="BF419" s="679" t="s">
        <v>90</v>
      </c>
      <c r="BG419" s="603"/>
      <c r="BH419" s="632">
        <f>I419</f>
        <v>102</v>
      </c>
      <c r="BI419" s="633"/>
      <c r="BJ419" s="633"/>
      <c r="BK419" s="633"/>
      <c r="BL419" s="633"/>
      <c r="BM419" s="633"/>
      <c r="BN419" s="680"/>
      <c r="BO419" s="680"/>
      <c r="BP419" s="680"/>
      <c r="BQ419" s="680"/>
      <c r="BR419" s="680"/>
      <c r="BS419" s="680"/>
      <c r="BT419" s="607">
        <f t="shared" si="251"/>
        <v>102</v>
      </c>
      <c r="BU419" s="608">
        <f t="shared" si="252"/>
        <v>0</v>
      </c>
      <c r="BV419" s="491"/>
      <c r="BW419" s="491"/>
      <c r="XEO419" s="670"/>
      <c r="XEP419" s="490"/>
      <c r="XEQ419" s="653"/>
      <c r="XER419" s="654"/>
      <c r="XES419" s="657"/>
      <c r="XET419" s="654"/>
      <c r="XEU419" s="656"/>
      <c r="XEV419" s="656"/>
      <c r="XEW419" s="657"/>
      <c r="XEX419" s="658"/>
      <c r="XEY419" s="658"/>
      <c r="XEZ419" s="658"/>
      <c r="XFA419" s="671"/>
      <c r="XFB419" s="659"/>
      <c r="XFC419" s="659"/>
      <c r="XFD419" s="660"/>
    </row>
    <row r="420" s="490" customFormat="1" ht="33" customHeight="1" spans="1:75 16318:16384">
      <c r="A420" s="577">
        <v>46036</v>
      </c>
      <c r="B420" s="649" t="s">
        <v>1477</v>
      </c>
      <c r="C420" s="579" t="s">
        <v>334</v>
      </c>
      <c r="D420" s="580">
        <v>4500191234</v>
      </c>
      <c r="E420" s="578"/>
      <c r="F420" s="580" t="s">
        <v>2000</v>
      </c>
      <c r="G420" s="582" t="s">
        <v>2001</v>
      </c>
      <c r="H420" s="578" t="s">
        <v>2002</v>
      </c>
      <c r="I420" s="681">
        <v>102</v>
      </c>
      <c r="J420" s="583">
        <v>0</v>
      </c>
      <c r="K420" s="583">
        <v>6</v>
      </c>
      <c r="L420" s="584">
        <f t="shared" si="245"/>
        <v>17</v>
      </c>
      <c r="M420" s="585">
        <v>46097</v>
      </c>
      <c r="N420" s="585">
        <v>46093</v>
      </c>
      <c r="O420" s="586"/>
      <c r="P420" s="586" t="s">
        <v>83</v>
      </c>
      <c r="Q420" s="587" t="s">
        <v>526</v>
      </c>
      <c r="R420" s="586" t="s">
        <v>547</v>
      </c>
      <c r="S420" s="586"/>
      <c r="T420" s="586"/>
      <c r="U420" s="641" t="s">
        <v>1998</v>
      </c>
      <c r="V420" s="641"/>
      <c r="W420" s="641"/>
      <c r="X420" s="661" t="s">
        <v>1999</v>
      </c>
      <c r="Y420" s="586" t="s">
        <v>340</v>
      </c>
      <c r="Z420" s="590">
        <v>5.8295</v>
      </c>
      <c r="AA420" s="591">
        <f t="shared" si="246"/>
        <v>594.609</v>
      </c>
      <c r="AB420" s="619"/>
      <c r="AC420" s="582" t="s">
        <v>2001</v>
      </c>
      <c r="AD420" s="593" t="s">
        <v>89</v>
      </c>
      <c r="AE420" s="621"/>
      <c r="AF420" s="621"/>
      <c r="AG420" s="621"/>
      <c r="AH420" s="598"/>
      <c r="AI420" s="666"/>
      <c r="AJ420" s="666">
        <f>I420</f>
        <v>102</v>
      </c>
      <c r="AK420" s="672"/>
      <c r="AL420" s="618"/>
      <c r="AM420" s="678"/>
      <c r="AN420" s="598">
        <f>I420</f>
        <v>102</v>
      </c>
      <c r="AO420" s="666"/>
      <c r="AP420" s="666"/>
      <c r="AQ420" s="666"/>
      <c r="AR420" s="666"/>
      <c r="AS420" s="666"/>
      <c r="AT420" s="667"/>
      <c r="AU420" s="672">
        <f>I420</f>
        <v>102</v>
      </c>
      <c r="AV420" s="648"/>
      <c r="AW420" s="678">
        <f>I420</f>
        <v>102</v>
      </c>
      <c r="AX420" s="666"/>
      <c r="AY420" s="666"/>
      <c r="AZ420" s="666"/>
      <c r="BA420" s="666"/>
      <c r="BB420" s="666"/>
      <c r="BC420" s="666"/>
      <c r="BD420" s="667"/>
      <c r="BE420" s="668"/>
      <c r="BF420" s="679" t="s">
        <v>90</v>
      </c>
      <c r="BG420" s="603"/>
      <c r="BH420" s="632"/>
      <c r="BI420" s="633"/>
      <c r="BJ420" s="633"/>
      <c r="BK420" s="633"/>
      <c r="BL420" s="633"/>
      <c r="BM420" s="633">
        <f>I420</f>
        <v>102</v>
      </c>
      <c r="BN420" s="680"/>
      <c r="BO420" s="680"/>
      <c r="BP420" s="680"/>
      <c r="BQ420" s="680"/>
      <c r="BR420" s="680"/>
      <c r="BS420" s="680"/>
      <c r="BT420" s="607">
        <f t="shared" si="251"/>
        <v>102</v>
      </c>
      <c r="BU420" s="608">
        <f t="shared" si="252"/>
        <v>0</v>
      </c>
      <c r="BV420" s="491"/>
      <c r="BW420" s="491"/>
      <c r="XEO420" s="670"/>
      <c r="XEP420" s="490"/>
      <c r="XEQ420" s="653"/>
      <c r="XER420" s="654"/>
      <c r="XES420" s="657"/>
      <c r="XET420" s="654"/>
      <c r="XEU420" s="656"/>
      <c r="XEV420" s="656"/>
      <c r="XEW420" s="657"/>
      <c r="XEX420" s="658"/>
      <c r="XEY420" s="658"/>
      <c r="XEZ420" s="658"/>
      <c r="XFA420" s="671"/>
      <c r="XFB420" s="659"/>
      <c r="XFC420" s="659"/>
      <c r="XFD420" s="660"/>
    </row>
    <row r="421" s="490" customFormat="1" ht="34" customHeight="1" spans="1:75 16318:16384">
      <c r="A421" s="577">
        <v>46038</v>
      </c>
      <c r="B421" s="649" t="s">
        <v>1138</v>
      </c>
      <c r="C421" s="579" t="s">
        <v>1139</v>
      </c>
      <c r="D421" s="580">
        <v>4500191663</v>
      </c>
      <c r="E421" s="578"/>
      <c r="F421" s="580" t="s">
        <v>2003</v>
      </c>
      <c r="G421" s="582" t="s">
        <v>81</v>
      </c>
      <c r="H421" s="578" t="s">
        <v>95</v>
      </c>
      <c r="I421" s="583">
        <v>1002</v>
      </c>
      <c r="J421" s="583">
        <v>0</v>
      </c>
      <c r="K421" s="583">
        <v>6</v>
      </c>
      <c r="L421" s="584">
        <f t="shared" si="245"/>
        <v>167</v>
      </c>
      <c r="M421" s="585">
        <v>46097</v>
      </c>
      <c r="N421" s="585">
        <v>46093</v>
      </c>
      <c r="O421" s="586"/>
      <c r="P421" s="586" t="s">
        <v>83</v>
      </c>
      <c r="Q421" s="587" t="s">
        <v>526</v>
      </c>
      <c r="R421" s="586" t="s">
        <v>2004</v>
      </c>
      <c r="S421" s="586"/>
      <c r="T421" s="586"/>
      <c r="U421" s="641" t="s">
        <v>2005</v>
      </c>
      <c r="V421" s="641"/>
      <c r="W421" s="641" t="s">
        <v>2006</v>
      </c>
      <c r="X421" s="661" t="s">
        <v>2007</v>
      </c>
      <c r="Y421" s="586" t="s">
        <v>243</v>
      </c>
      <c r="Z421" s="590">
        <v>5.7753</v>
      </c>
      <c r="AA421" s="591">
        <f t="shared" si="246"/>
        <v>5786.8506</v>
      </c>
      <c r="AB421" s="619"/>
      <c r="AC421" s="582" t="s">
        <v>235</v>
      </c>
      <c r="AD421" s="593" t="s">
        <v>89</v>
      </c>
      <c r="AE421" s="621"/>
      <c r="AF421" s="666"/>
      <c r="AG421" s="672"/>
      <c r="AH421" s="666"/>
      <c r="AI421" s="666"/>
      <c r="AJ421" s="666">
        <f>I421</f>
        <v>1002</v>
      </c>
      <c r="AK421" s="672"/>
      <c r="AL421" s="648"/>
      <c r="AM421" s="678"/>
      <c r="AN421" s="666">
        <f>I421</f>
        <v>1002</v>
      </c>
      <c r="AO421" s="666"/>
      <c r="AP421" s="666"/>
      <c r="AQ421" s="666"/>
      <c r="AR421" s="666"/>
      <c r="AS421" s="666"/>
      <c r="AT421" s="667"/>
      <c r="AU421" s="672">
        <f>I421</f>
        <v>1002</v>
      </c>
      <c r="AV421" s="578"/>
      <c r="AW421" s="678">
        <f>I421</f>
        <v>1002</v>
      </c>
      <c r="AX421" s="666"/>
      <c r="AY421" s="666"/>
      <c r="AZ421" s="666"/>
      <c r="BA421" s="666"/>
      <c r="BB421" s="666"/>
      <c r="BC421" s="666"/>
      <c r="BD421" s="682"/>
      <c r="BE421" s="668"/>
      <c r="BF421" s="679" t="s">
        <v>90</v>
      </c>
      <c r="BG421" s="680"/>
      <c r="BH421" s="632">
        <f t="shared" ref="BH421:BH458" si="270">I421/6</f>
        <v>167</v>
      </c>
      <c r="BI421" s="633">
        <f t="shared" ref="BI421:BI458" si="271">I421/6</f>
        <v>167</v>
      </c>
      <c r="BJ421" s="633">
        <f t="shared" ref="BJ421:BJ458" si="272">I421/6</f>
        <v>167</v>
      </c>
      <c r="BK421" s="633">
        <f t="shared" ref="BK421:BK458" si="273">I421/6</f>
        <v>167</v>
      </c>
      <c r="BL421" s="633">
        <f t="shared" ref="BL421:BL458" si="274">I421/6</f>
        <v>167</v>
      </c>
      <c r="BM421" s="633">
        <f t="shared" ref="BM421:BM458" si="275">I421/6</f>
        <v>167</v>
      </c>
      <c r="BN421" s="680"/>
      <c r="BO421" s="680"/>
      <c r="BP421" s="680"/>
      <c r="BQ421" s="680"/>
      <c r="BR421" s="680"/>
      <c r="BS421" s="680"/>
      <c r="BT421" s="607">
        <f t="shared" si="251"/>
        <v>1002</v>
      </c>
      <c r="BU421" s="608">
        <f t="shared" si="252"/>
        <v>0</v>
      </c>
      <c r="BV421" s="491"/>
      <c r="BW421" s="491"/>
      <c r="XDX421" s="670"/>
      <c r="XDY421" s="490"/>
      <c r="XDZ421" s="653"/>
      <c r="XEA421" s="654"/>
      <c r="XEB421" s="657"/>
      <c r="XEC421" s="654"/>
      <c r="XED421" s="656"/>
      <c r="XEE421" s="656"/>
      <c r="XEF421" s="657"/>
      <c r="XEG421" s="658"/>
      <c r="XEH421" s="658"/>
      <c r="XEI421" s="658"/>
      <c r="XEJ421" s="671"/>
      <c r="XEK421" s="659"/>
      <c r="XEL421" s="659"/>
      <c r="XEM421" s="660"/>
      <c r="XEN421" s="660"/>
      <c r="XEO421" s="670"/>
      <c r="XEP421" s="490"/>
      <c r="XEQ421" s="653"/>
      <c r="XER421" s="654"/>
      <c r="XES421" s="657"/>
      <c r="XET421" s="654"/>
      <c r="XEU421" s="656"/>
      <c r="XEV421" s="656"/>
      <c r="XEW421" s="657"/>
      <c r="XEX421" s="658"/>
      <c r="XEY421" s="658"/>
      <c r="XEZ421" s="658"/>
      <c r="XFA421" s="671"/>
      <c r="XFB421" s="659"/>
      <c r="XFC421" s="659"/>
      <c r="XFD421" s="660"/>
    </row>
    <row r="422" s="490" customFormat="1" ht="33" customHeight="1" spans="1:75 16318:16384">
      <c r="A422" s="577">
        <v>45995</v>
      </c>
      <c r="B422" s="649" t="s">
        <v>166</v>
      </c>
      <c r="C422" s="579" t="s">
        <v>92</v>
      </c>
      <c r="D422" s="580">
        <v>4500186326</v>
      </c>
      <c r="E422" s="578">
        <v>60260744</v>
      </c>
      <c r="F422" s="580" t="s">
        <v>2008</v>
      </c>
      <c r="G422" s="582" t="s">
        <v>81</v>
      </c>
      <c r="H422" s="578" t="s">
        <v>95</v>
      </c>
      <c r="I422" s="583">
        <v>1800</v>
      </c>
      <c r="J422" s="583">
        <v>0</v>
      </c>
      <c r="K422" s="583">
        <v>6</v>
      </c>
      <c r="L422" s="584">
        <f t="shared" si="245"/>
        <v>300</v>
      </c>
      <c r="M422" s="585">
        <v>46106</v>
      </c>
      <c r="N422" s="585">
        <v>46102</v>
      </c>
      <c r="O422" s="586" t="s">
        <v>2009</v>
      </c>
      <c r="P422" s="586" t="s">
        <v>83</v>
      </c>
      <c r="Q422" s="587" t="s">
        <v>671</v>
      </c>
      <c r="R422" s="586" t="s">
        <v>1961</v>
      </c>
      <c r="S422" s="586"/>
      <c r="T422" s="586"/>
      <c r="U422" s="641" t="s">
        <v>86</v>
      </c>
      <c r="V422" s="641" t="s">
        <v>2010</v>
      </c>
      <c r="W422" s="641"/>
      <c r="X422" s="661" t="s">
        <v>2011</v>
      </c>
      <c r="Y422" s="586" t="s">
        <v>1694</v>
      </c>
      <c r="Z422" s="590">
        <v>3.4652</v>
      </c>
      <c r="AA422" s="591">
        <f t="shared" si="246"/>
        <v>6237.36</v>
      </c>
      <c r="AB422" s="619"/>
      <c r="AC422" s="582" t="s">
        <v>81</v>
      </c>
      <c r="AD422" s="593" t="s">
        <v>89</v>
      </c>
      <c r="AE422" s="595"/>
      <c r="AF422" s="637"/>
      <c r="AG422" s="621">
        <f>I422</f>
        <v>1800</v>
      </c>
      <c r="AH422" s="598"/>
      <c r="AI422" s="621"/>
      <c r="AJ422" s="621"/>
      <c r="AK422" s="621"/>
      <c r="AL422" s="621"/>
      <c r="AM422" s="592"/>
      <c r="AN422" s="598">
        <f>I422</f>
        <v>1800</v>
      </c>
      <c r="AO422" s="621"/>
      <c r="AP422" s="621"/>
      <c r="AQ422" s="621"/>
      <c r="AR422" s="621">
        <f>I422</f>
        <v>1800</v>
      </c>
      <c r="AS422" s="621"/>
      <c r="AT422" s="621"/>
      <c r="AU422" s="621"/>
      <c r="AV422" s="618"/>
      <c r="AW422" s="592">
        <f>I422</f>
        <v>1800</v>
      </c>
      <c r="AX422" s="621"/>
      <c r="AY422" s="666"/>
      <c r="AZ422" s="666"/>
      <c r="BA422" s="666"/>
      <c r="BB422" s="666"/>
      <c r="BC422" s="666"/>
      <c r="BD422" s="667"/>
      <c r="BE422" s="668"/>
      <c r="BF422" s="679" t="s">
        <v>90</v>
      </c>
      <c r="BG422" s="680"/>
      <c r="BH422" s="632">
        <f t="shared" si="270"/>
        <v>300</v>
      </c>
      <c r="BI422" s="633">
        <f t="shared" si="271"/>
        <v>300</v>
      </c>
      <c r="BJ422" s="633">
        <f t="shared" si="272"/>
        <v>300</v>
      </c>
      <c r="BK422" s="633">
        <f t="shared" si="273"/>
        <v>300</v>
      </c>
      <c r="BL422" s="633">
        <f t="shared" si="274"/>
        <v>300</v>
      </c>
      <c r="BM422" s="633">
        <f t="shared" si="275"/>
        <v>300</v>
      </c>
      <c r="BN422" s="605"/>
      <c r="BO422" s="605"/>
      <c r="BP422" s="605"/>
      <c r="BQ422" s="605"/>
      <c r="BR422" s="605"/>
      <c r="BS422" s="605"/>
      <c r="BT422" s="607">
        <f t="shared" si="251"/>
        <v>1800</v>
      </c>
      <c r="BU422" s="608">
        <f t="shared" si="252"/>
        <v>0</v>
      </c>
      <c r="BV422" s="491"/>
      <c r="BW422" s="491"/>
    </row>
    <row r="423" s="490" customFormat="1" ht="33" customHeight="1" spans="1:75 16318:16384">
      <c r="A423" s="577">
        <v>46048</v>
      </c>
      <c r="B423" s="581" t="s">
        <v>1566</v>
      </c>
      <c r="C423" s="579" t="s">
        <v>140</v>
      </c>
      <c r="D423" s="580">
        <v>4500192252</v>
      </c>
      <c r="E423" s="588">
        <v>5000002110</v>
      </c>
      <c r="F423" s="580" t="s">
        <v>2012</v>
      </c>
      <c r="G423" s="582" t="s">
        <v>1778</v>
      </c>
      <c r="H423" s="578" t="s">
        <v>1779</v>
      </c>
      <c r="I423" s="583">
        <v>3996</v>
      </c>
      <c r="J423" s="583">
        <v>0</v>
      </c>
      <c r="K423" s="583">
        <v>6</v>
      </c>
      <c r="L423" s="584">
        <f t="shared" si="245"/>
        <v>666</v>
      </c>
      <c r="M423" s="585">
        <v>46108</v>
      </c>
      <c r="N423" s="585">
        <v>46104</v>
      </c>
      <c r="O423" s="586"/>
      <c r="P423" s="586" t="s">
        <v>83</v>
      </c>
      <c r="Q423" s="587" t="s">
        <v>96</v>
      </c>
      <c r="R423" s="586" t="s">
        <v>2013</v>
      </c>
      <c r="S423" s="586"/>
      <c r="T423" s="586"/>
      <c r="U423" s="641" t="s">
        <v>2014</v>
      </c>
      <c r="V423" s="641" t="s">
        <v>2015</v>
      </c>
      <c r="W423" s="641"/>
      <c r="X423" s="661" t="s">
        <v>2016</v>
      </c>
      <c r="Y423" s="618" t="s">
        <v>757</v>
      </c>
      <c r="Z423" s="590">
        <v>6.5431</v>
      </c>
      <c r="AA423" s="591">
        <f t="shared" si="246"/>
        <v>26146.2276</v>
      </c>
      <c r="AB423" s="619"/>
      <c r="AC423" s="582" t="s">
        <v>1778</v>
      </c>
      <c r="AD423" s="593" t="s">
        <v>89</v>
      </c>
      <c r="AE423" s="621"/>
      <c r="AF423" s="621"/>
      <c r="AG423" s="621">
        <f>I423</f>
        <v>3996</v>
      </c>
      <c r="AH423" s="598"/>
      <c r="AI423" s="621"/>
      <c r="AJ423" s="621"/>
      <c r="AK423" s="621"/>
      <c r="AL423" s="618"/>
      <c r="AM423" s="592"/>
      <c r="AN423" s="621"/>
      <c r="AO423" s="666">
        <f>I423</f>
        <v>3996</v>
      </c>
      <c r="AP423" s="666"/>
      <c r="AQ423" s="666"/>
      <c r="AR423" s="666">
        <f>I423</f>
        <v>3996</v>
      </c>
      <c r="AS423" s="666"/>
      <c r="AT423" s="667"/>
      <c r="AU423" s="672"/>
      <c r="AV423" s="618"/>
      <c r="AW423" s="678"/>
      <c r="AX423" s="621">
        <f>I423</f>
        <v>3996</v>
      </c>
      <c r="AY423" s="666"/>
      <c r="AZ423" s="666"/>
      <c r="BA423" s="666"/>
      <c r="BB423" s="666"/>
      <c r="BC423" s="666"/>
      <c r="BD423" s="682"/>
      <c r="BE423" s="668"/>
      <c r="BF423" s="679" t="s">
        <v>407</v>
      </c>
      <c r="BG423" s="680"/>
      <c r="BH423" s="632">
        <f t="shared" si="270"/>
        <v>666</v>
      </c>
      <c r="BI423" s="633">
        <f t="shared" si="271"/>
        <v>666</v>
      </c>
      <c r="BJ423" s="633">
        <f t="shared" si="272"/>
        <v>666</v>
      </c>
      <c r="BK423" s="633">
        <f t="shared" si="273"/>
        <v>666</v>
      </c>
      <c r="BL423" s="633">
        <f t="shared" si="274"/>
        <v>666</v>
      </c>
      <c r="BM423" s="633">
        <f t="shared" si="275"/>
        <v>666</v>
      </c>
      <c r="BN423" s="605"/>
      <c r="BO423" s="605"/>
      <c r="BP423" s="605"/>
      <c r="BQ423" s="605"/>
      <c r="BR423" s="605"/>
      <c r="BS423" s="605"/>
      <c r="BT423" s="607">
        <f t="shared" si="251"/>
        <v>3996</v>
      </c>
      <c r="BU423" s="608">
        <f t="shared" si="252"/>
        <v>0</v>
      </c>
      <c r="BV423" s="491"/>
      <c r="BW423" s="491"/>
      <c r="XEO423" s="670"/>
      <c r="XEP423" s="652"/>
      <c r="XEQ423" s="653"/>
      <c r="XER423" s="654"/>
      <c r="XES423" s="683"/>
      <c r="XET423" s="654"/>
      <c r="XEU423" s="656"/>
      <c r="XEV423" s="656"/>
      <c r="XEW423" s="657"/>
      <c r="XEX423" s="658"/>
      <c r="XEY423" s="658"/>
      <c r="XEZ423" s="658"/>
      <c r="XFA423" s="671"/>
      <c r="XFB423" s="659"/>
      <c r="XFC423" s="659"/>
      <c r="XFD423" s="660"/>
    </row>
    <row r="424" s="490" customFormat="1" ht="34" customHeight="1" spans="1:75 16318:16384">
      <c r="A424" s="577">
        <v>46042</v>
      </c>
      <c r="B424" s="649" t="s">
        <v>2017</v>
      </c>
      <c r="C424" s="579" t="s">
        <v>237</v>
      </c>
      <c r="D424" s="580">
        <v>4500191880</v>
      </c>
      <c r="E424" s="578"/>
      <c r="F424" s="580" t="s">
        <v>2018</v>
      </c>
      <c r="G424" s="582" t="s">
        <v>81</v>
      </c>
      <c r="H424" s="578" t="s">
        <v>95</v>
      </c>
      <c r="I424" s="583">
        <v>60</v>
      </c>
      <c r="J424" s="583">
        <v>0</v>
      </c>
      <c r="K424" s="583">
        <v>6</v>
      </c>
      <c r="L424" s="584">
        <f t="shared" si="245"/>
        <v>10</v>
      </c>
      <c r="M424" s="585">
        <v>46112</v>
      </c>
      <c r="N424" s="585">
        <v>46108</v>
      </c>
      <c r="O424" s="586"/>
      <c r="P424" s="586" t="s">
        <v>83</v>
      </c>
      <c r="Q424" s="587"/>
      <c r="R424" s="586" t="s">
        <v>2019</v>
      </c>
      <c r="S424" s="586"/>
      <c r="T424" s="586"/>
      <c r="U424" s="641" t="s">
        <v>2020</v>
      </c>
      <c r="V424" s="641"/>
      <c r="W424" s="641"/>
      <c r="X424" s="661" t="s">
        <v>2021</v>
      </c>
      <c r="Y424" s="586" t="s">
        <v>243</v>
      </c>
      <c r="Z424" s="590">
        <v>5.6013</v>
      </c>
      <c r="AA424" s="591">
        <f t="shared" si="246"/>
        <v>336.078</v>
      </c>
      <c r="AB424" s="619"/>
      <c r="AC424" s="582" t="s">
        <v>235</v>
      </c>
      <c r="AD424" s="593" t="s">
        <v>89</v>
      </c>
      <c r="AE424" s="672"/>
      <c r="AF424" s="666"/>
      <c r="AG424" s="672"/>
      <c r="AH424" s="666"/>
      <c r="AI424" s="666"/>
      <c r="AJ424" s="666">
        <f>I424</f>
        <v>60</v>
      </c>
      <c r="AK424" s="672"/>
      <c r="AL424" s="578"/>
      <c r="AM424" s="678"/>
      <c r="AN424" s="666">
        <f>I424</f>
        <v>60</v>
      </c>
      <c r="AO424" s="666"/>
      <c r="AP424" s="666"/>
      <c r="AQ424" s="666"/>
      <c r="AR424" s="666"/>
      <c r="AS424" s="666"/>
      <c r="AT424" s="682"/>
      <c r="AU424" s="672">
        <f>I424</f>
        <v>60</v>
      </c>
      <c r="AV424" s="648"/>
      <c r="AW424" s="592">
        <f>I424</f>
        <v>60</v>
      </c>
      <c r="AX424" s="666"/>
      <c r="AY424" s="666"/>
      <c r="AZ424" s="666"/>
      <c r="BA424" s="666"/>
      <c r="BB424" s="666"/>
      <c r="BC424" s="666"/>
      <c r="BD424" s="682"/>
      <c r="BE424" s="684"/>
      <c r="BF424" s="679" t="s">
        <v>90</v>
      </c>
      <c r="BG424" s="680"/>
      <c r="BH424" s="632">
        <f t="shared" si="270"/>
        <v>10</v>
      </c>
      <c r="BI424" s="633">
        <f t="shared" si="271"/>
        <v>10</v>
      </c>
      <c r="BJ424" s="633">
        <f t="shared" si="272"/>
        <v>10</v>
      </c>
      <c r="BK424" s="633">
        <f t="shared" si="273"/>
        <v>10</v>
      </c>
      <c r="BL424" s="633">
        <f t="shared" si="274"/>
        <v>10</v>
      </c>
      <c r="BM424" s="633">
        <f t="shared" si="275"/>
        <v>10</v>
      </c>
      <c r="BN424" s="680"/>
      <c r="BO424" s="680"/>
      <c r="BP424" s="680"/>
      <c r="BQ424" s="680"/>
      <c r="BR424" s="680"/>
      <c r="BS424" s="680"/>
      <c r="BT424" s="607">
        <f t="shared" si="251"/>
        <v>60</v>
      </c>
      <c r="BU424" s="608">
        <f t="shared" si="252"/>
        <v>0</v>
      </c>
      <c r="BV424" s="491"/>
      <c r="BW424" s="491"/>
      <c r="XDG424" s="670"/>
      <c r="XDH424" s="490"/>
      <c r="XDI424" s="653"/>
      <c r="XDJ424" s="654"/>
      <c r="XDK424" s="657"/>
      <c r="XDL424" s="654"/>
      <c r="XDM424" s="656"/>
      <c r="XDN424" s="656"/>
      <c r="XDO424" s="657"/>
      <c r="XDP424" s="658"/>
      <c r="XDQ424" s="658"/>
      <c r="XDR424" s="658"/>
      <c r="XDS424" s="671"/>
      <c r="XDT424" s="659"/>
      <c r="XDU424" s="659"/>
      <c r="XDV424" s="660"/>
      <c r="XDW424" s="660"/>
      <c r="XDX424" s="670"/>
      <c r="XDY424" s="490"/>
      <c r="XDZ424" s="653"/>
      <c r="XEA424" s="654"/>
      <c r="XEB424" s="657"/>
      <c r="XEC424" s="654"/>
      <c r="XED424" s="656"/>
      <c r="XEE424" s="656"/>
      <c r="XEF424" s="657"/>
      <c r="XEG424" s="658"/>
      <c r="XEH424" s="658"/>
      <c r="XEI424" s="658"/>
      <c r="XEJ424" s="671"/>
      <c r="XEK424" s="659"/>
      <c r="XEL424" s="659"/>
      <c r="XEM424" s="660"/>
      <c r="XEN424" s="660"/>
      <c r="XEO424" s="670"/>
      <c r="XEP424" s="490"/>
      <c r="XEQ424" s="653"/>
      <c r="XER424" s="654"/>
      <c r="XES424" s="657"/>
      <c r="XET424" s="654"/>
      <c r="XEU424" s="656"/>
      <c r="XEV424" s="656"/>
      <c r="XEW424" s="657"/>
      <c r="XEX424" s="658"/>
      <c r="XEY424" s="658"/>
      <c r="XEZ424" s="658"/>
      <c r="XFA424" s="671"/>
      <c r="XFB424" s="659"/>
      <c r="XFC424" s="659"/>
      <c r="XFD424" s="660"/>
    </row>
    <row r="425" s="490" customFormat="1" ht="34" customHeight="1" spans="1:75 16318:16384">
      <c r="A425" s="577">
        <v>46052</v>
      </c>
      <c r="B425" s="649" t="s">
        <v>1825</v>
      </c>
      <c r="C425" s="579" t="s">
        <v>1044</v>
      </c>
      <c r="D425" s="580">
        <v>4500192711</v>
      </c>
      <c r="E425" s="588">
        <v>160646</v>
      </c>
      <c r="F425" s="580" t="s">
        <v>2022</v>
      </c>
      <c r="G425" s="582" t="s">
        <v>81</v>
      </c>
      <c r="H425" s="578" t="s">
        <v>95</v>
      </c>
      <c r="I425" s="583">
        <v>510</v>
      </c>
      <c r="J425" s="583">
        <v>0</v>
      </c>
      <c r="K425" s="583">
        <v>6</v>
      </c>
      <c r="L425" s="584">
        <f t="shared" si="245"/>
        <v>85</v>
      </c>
      <c r="M425" s="585">
        <v>46118</v>
      </c>
      <c r="N425" s="585">
        <v>46114</v>
      </c>
      <c r="O425" s="586"/>
      <c r="P425" s="586" t="s">
        <v>83</v>
      </c>
      <c r="Q425" s="673" t="s">
        <v>2023</v>
      </c>
      <c r="R425" s="586" t="s">
        <v>2024</v>
      </c>
      <c r="S425" s="586"/>
      <c r="T425" s="586"/>
      <c r="U425" s="641" t="s">
        <v>2025</v>
      </c>
      <c r="V425" s="641"/>
      <c r="W425" s="641"/>
      <c r="X425" s="661" t="s">
        <v>2026</v>
      </c>
      <c r="Y425" s="586" t="s">
        <v>975</v>
      </c>
      <c r="Z425" s="590">
        <v>5.6013</v>
      </c>
      <c r="AA425" s="591">
        <f t="shared" si="246"/>
        <v>2856.663</v>
      </c>
      <c r="AB425" s="619"/>
      <c r="AC425" s="582" t="s">
        <v>235</v>
      </c>
      <c r="AD425" s="593" t="s">
        <v>89</v>
      </c>
      <c r="AE425" s="672"/>
      <c r="AF425" s="666"/>
      <c r="AG425" s="672"/>
      <c r="AH425" s="666"/>
      <c r="AI425" s="666"/>
      <c r="AJ425" s="666">
        <f>I425</f>
        <v>510</v>
      </c>
      <c r="AK425" s="672"/>
      <c r="AL425" s="648"/>
      <c r="AM425" s="649"/>
      <c r="AN425" s="666">
        <f>I425</f>
        <v>510</v>
      </c>
      <c r="AO425" s="666"/>
      <c r="AP425" s="666"/>
      <c r="AQ425" s="666"/>
      <c r="AR425" s="666"/>
      <c r="AS425" s="666"/>
      <c r="AT425" s="682"/>
      <c r="AU425" s="592">
        <f>I425</f>
        <v>510</v>
      </c>
      <c r="AV425" s="649"/>
      <c r="AW425" s="592">
        <f>I425</f>
        <v>510</v>
      </c>
      <c r="AX425" s="649"/>
      <c r="AY425" s="649"/>
      <c r="AZ425" s="649"/>
      <c r="BA425" s="649"/>
      <c r="BB425" s="649"/>
      <c r="BC425" s="649"/>
      <c r="BD425" s="649"/>
      <c r="BE425" s="685"/>
      <c r="BF425" s="679" t="s">
        <v>90</v>
      </c>
      <c r="BG425" s="680"/>
      <c r="BH425" s="632">
        <f t="shared" si="270"/>
        <v>85</v>
      </c>
      <c r="BI425" s="633">
        <f t="shared" si="271"/>
        <v>85</v>
      </c>
      <c r="BJ425" s="633">
        <f t="shared" si="272"/>
        <v>85</v>
      </c>
      <c r="BK425" s="633">
        <f t="shared" si="273"/>
        <v>85</v>
      </c>
      <c r="BL425" s="633">
        <f t="shared" si="274"/>
        <v>85</v>
      </c>
      <c r="BM425" s="633">
        <f t="shared" si="275"/>
        <v>85</v>
      </c>
      <c r="BN425" s="680"/>
      <c r="BO425" s="680"/>
      <c r="BP425" s="680"/>
      <c r="BQ425" s="680"/>
      <c r="BR425" s="680"/>
      <c r="BS425" s="680"/>
      <c r="BT425" s="607">
        <f t="shared" si="251"/>
        <v>510</v>
      </c>
      <c r="BU425" s="608">
        <f t="shared" si="252"/>
        <v>0</v>
      </c>
      <c r="BV425" s="491"/>
      <c r="BW425" s="491"/>
      <c r="XCP425" s="670"/>
      <c r="XCQ425" s="490"/>
      <c r="XCR425" s="653"/>
      <c r="XCS425" s="654"/>
      <c r="XCT425" s="657"/>
      <c r="XCU425" s="654"/>
      <c r="XCV425" s="656"/>
      <c r="XCW425" s="656"/>
      <c r="XCX425" s="657"/>
      <c r="XCY425" s="658"/>
      <c r="XCZ425" s="658"/>
      <c r="XDA425" s="658"/>
      <c r="XDB425" s="671"/>
      <c r="XDC425" s="659"/>
      <c r="XDD425" s="659"/>
      <c r="XDE425" s="660"/>
      <c r="XDF425" s="660"/>
      <c r="XDG425" s="670"/>
      <c r="XDH425" s="490"/>
      <c r="XDI425" s="653"/>
      <c r="XDJ425" s="654"/>
      <c r="XDK425" s="657"/>
      <c r="XDL425" s="654"/>
      <c r="XDM425" s="656"/>
      <c r="XDN425" s="656"/>
      <c r="XDO425" s="657"/>
      <c r="XDP425" s="658"/>
      <c r="XDQ425" s="658"/>
      <c r="XDR425" s="658"/>
      <c r="XDS425" s="671"/>
      <c r="XDT425" s="659"/>
      <c r="XDU425" s="659"/>
      <c r="XDV425" s="660"/>
      <c r="XDW425" s="660"/>
      <c r="XDX425" s="670"/>
      <c r="XDY425" s="490"/>
      <c r="XDZ425" s="653"/>
      <c r="XEA425" s="654"/>
      <c r="XEB425" s="657"/>
      <c r="XEC425" s="654"/>
      <c r="XED425" s="656"/>
      <c r="XEE425" s="656"/>
      <c r="XEF425" s="657"/>
      <c r="XEG425" s="658"/>
      <c r="XEH425" s="658"/>
      <c r="XEI425" s="658"/>
      <c r="XEJ425" s="671"/>
      <c r="XEK425" s="659"/>
      <c r="XEL425" s="659"/>
      <c r="XEM425" s="660"/>
      <c r="XEN425" s="660"/>
      <c r="XEO425" s="670"/>
      <c r="XEP425" s="490"/>
      <c r="XEQ425" s="653"/>
      <c r="XER425" s="654"/>
      <c r="XES425" s="657"/>
      <c r="XET425" s="654"/>
      <c r="XEU425" s="656"/>
      <c r="XEV425" s="656"/>
      <c r="XEW425" s="657"/>
      <c r="XEX425" s="658"/>
      <c r="XEY425" s="658"/>
      <c r="XEZ425" s="658"/>
      <c r="XFA425" s="671"/>
      <c r="XFB425" s="659"/>
      <c r="XFC425" s="659"/>
      <c r="XFD425" s="660"/>
    </row>
    <row r="426" s="490" customFormat="1" ht="33" customHeight="1" spans="1:75 16318:16384">
      <c r="A426" s="577">
        <v>45995</v>
      </c>
      <c r="B426" s="649" t="s">
        <v>166</v>
      </c>
      <c r="C426" s="579" t="s">
        <v>92</v>
      </c>
      <c r="D426" s="580">
        <v>4500186385</v>
      </c>
      <c r="E426" s="578">
        <v>60260792</v>
      </c>
      <c r="F426" s="580" t="s">
        <v>2027</v>
      </c>
      <c r="G426" s="582" t="s">
        <v>81</v>
      </c>
      <c r="H426" s="578" t="s">
        <v>95</v>
      </c>
      <c r="I426" s="583">
        <v>1800</v>
      </c>
      <c r="J426" s="583">
        <v>0</v>
      </c>
      <c r="K426" s="583">
        <v>6</v>
      </c>
      <c r="L426" s="584">
        <f t="shared" si="245"/>
        <v>300</v>
      </c>
      <c r="M426" s="585">
        <v>46115</v>
      </c>
      <c r="N426" s="585">
        <v>46111</v>
      </c>
      <c r="O426" s="586" t="s">
        <v>2028</v>
      </c>
      <c r="P426" s="586" t="s">
        <v>83</v>
      </c>
      <c r="Q426" s="587" t="s">
        <v>2029</v>
      </c>
      <c r="R426" s="586" t="s">
        <v>1961</v>
      </c>
      <c r="S426" s="586"/>
      <c r="T426" s="586"/>
      <c r="U426" s="641" t="s">
        <v>86</v>
      </c>
      <c r="V426" s="641" t="s">
        <v>2030</v>
      </c>
      <c r="W426" s="641"/>
      <c r="X426" s="661" t="s">
        <v>2031</v>
      </c>
      <c r="Y426" s="586" t="s">
        <v>1694</v>
      </c>
      <c r="Z426" s="590">
        <v>3.3563</v>
      </c>
      <c r="AA426" s="591">
        <f t="shared" si="246"/>
        <v>6041.34</v>
      </c>
      <c r="AB426" s="619"/>
      <c r="AC426" s="582" t="s">
        <v>81</v>
      </c>
      <c r="AD426" s="593" t="s">
        <v>89</v>
      </c>
      <c r="AE426" s="595"/>
      <c r="AF426" s="637"/>
      <c r="AG426" s="621">
        <f>I426</f>
        <v>1800</v>
      </c>
      <c r="AH426" s="598"/>
      <c r="AI426" s="621"/>
      <c r="AJ426" s="621"/>
      <c r="AK426" s="621"/>
      <c r="AL426" s="621"/>
      <c r="AM426" s="592"/>
      <c r="AN426" s="598">
        <f>I426</f>
        <v>1800</v>
      </c>
      <c r="AO426" s="621"/>
      <c r="AP426" s="621"/>
      <c r="AQ426" s="621"/>
      <c r="AR426" s="621">
        <f>I426</f>
        <v>1800</v>
      </c>
      <c r="AS426" s="621"/>
      <c r="AT426" s="621"/>
      <c r="AU426" s="621"/>
      <c r="AV426" s="618"/>
      <c r="AW426" s="592">
        <f>I426</f>
        <v>1800</v>
      </c>
      <c r="AX426" s="621"/>
      <c r="AY426" s="666"/>
      <c r="AZ426" s="666"/>
      <c r="BA426" s="666"/>
      <c r="BB426" s="666"/>
      <c r="BC426" s="666"/>
      <c r="BD426" s="667"/>
      <c r="BE426" s="668"/>
      <c r="BF426" s="679" t="s">
        <v>90</v>
      </c>
      <c r="BG426" s="680"/>
      <c r="BH426" s="632">
        <f t="shared" si="270"/>
        <v>300</v>
      </c>
      <c r="BI426" s="633">
        <f t="shared" si="271"/>
        <v>300</v>
      </c>
      <c r="BJ426" s="633">
        <f t="shared" si="272"/>
        <v>300</v>
      </c>
      <c r="BK426" s="633">
        <f t="shared" si="273"/>
        <v>300</v>
      </c>
      <c r="BL426" s="633">
        <f t="shared" si="274"/>
        <v>300</v>
      </c>
      <c r="BM426" s="633">
        <f t="shared" si="275"/>
        <v>300</v>
      </c>
      <c r="BN426" s="605"/>
      <c r="BO426" s="605"/>
      <c r="BP426" s="605"/>
      <c r="BQ426" s="605"/>
      <c r="BR426" s="605"/>
      <c r="BS426" s="605"/>
      <c r="BT426" s="607">
        <f t="shared" si="251"/>
        <v>1800</v>
      </c>
      <c r="BU426" s="608">
        <f t="shared" si="252"/>
        <v>0</v>
      </c>
      <c r="BV426" s="491"/>
      <c r="BW426" s="491"/>
    </row>
    <row r="427" s="490" customFormat="1" ht="34" customHeight="1" spans="1:75 16318:16384">
      <c r="A427" s="577">
        <v>46087</v>
      </c>
      <c r="B427" s="649" t="s">
        <v>1566</v>
      </c>
      <c r="C427" s="579" t="s">
        <v>140</v>
      </c>
      <c r="D427" s="580">
        <v>4500195568</v>
      </c>
      <c r="E427" s="578">
        <v>5000002141</v>
      </c>
      <c r="F427" s="580" t="s">
        <v>2032</v>
      </c>
      <c r="G427" s="582" t="s">
        <v>81</v>
      </c>
      <c r="H427" s="578" t="s">
        <v>95</v>
      </c>
      <c r="I427" s="681">
        <v>1800</v>
      </c>
      <c r="J427" s="583">
        <v>0</v>
      </c>
      <c r="K427" s="583">
        <v>6</v>
      </c>
      <c r="L427" s="584">
        <f t="shared" si="245"/>
        <v>300</v>
      </c>
      <c r="M427" s="585">
        <v>46122</v>
      </c>
      <c r="N427" s="585">
        <v>46118</v>
      </c>
      <c r="O427" s="586" t="s">
        <v>1991</v>
      </c>
      <c r="P427" s="586" t="s">
        <v>83</v>
      </c>
      <c r="Q427" s="587"/>
      <c r="R427" s="586" t="s">
        <v>1992</v>
      </c>
      <c r="S427" s="586"/>
      <c r="T427" s="586"/>
      <c r="U427" s="641" t="s">
        <v>1993</v>
      </c>
      <c r="V427" s="641"/>
      <c r="W427" s="641"/>
      <c r="X427" s="661" t="s">
        <v>2033</v>
      </c>
      <c r="Y427" s="586" t="s">
        <v>757</v>
      </c>
      <c r="Z427" s="590">
        <v>5.5938</v>
      </c>
      <c r="AA427" s="591">
        <f t="shared" si="246"/>
        <v>10068.84</v>
      </c>
      <c r="AB427" s="619"/>
      <c r="AC427" s="582" t="s">
        <v>149</v>
      </c>
      <c r="AD427" s="593" t="s">
        <v>89</v>
      </c>
      <c r="AE427" s="672"/>
      <c r="AF427" s="666"/>
      <c r="AG427" s="672">
        <f>I427</f>
        <v>1800</v>
      </c>
      <c r="AH427" s="666"/>
      <c r="AI427" s="666"/>
      <c r="AJ427" s="666"/>
      <c r="AK427" s="672"/>
      <c r="AL427" s="648"/>
      <c r="AM427" s="649"/>
      <c r="AN427" s="666"/>
      <c r="AO427" s="666">
        <f>I427</f>
        <v>1800</v>
      </c>
      <c r="AP427" s="666"/>
      <c r="AQ427" s="666"/>
      <c r="AR427" s="666">
        <f>I427</f>
        <v>1800</v>
      </c>
      <c r="AS427" s="666"/>
      <c r="AT427" s="682"/>
      <c r="AU427" s="592"/>
      <c r="AV427" s="649"/>
      <c r="AW427" s="592"/>
      <c r="AX427" s="648">
        <f>I427</f>
        <v>1800</v>
      </c>
      <c r="AY427" s="649"/>
      <c r="AZ427" s="649"/>
      <c r="BA427" s="649"/>
      <c r="BB427" s="649"/>
      <c r="BC427" s="649"/>
      <c r="BD427" s="649"/>
      <c r="BE427" s="685"/>
      <c r="BF427" s="679" t="s">
        <v>407</v>
      </c>
      <c r="BG427" s="680"/>
      <c r="BH427" s="632">
        <f t="shared" si="270"/>
        <v>300</v>
      </c>
      <c r="BI427" s="633">
        <f t="shared" si="271"/>
        <v>300</v>
      </c>
      <c r="BJ427" s="633">
        <f t="shared" si="272"/>
        <v>300</v>
      </c>
      <c r="BK427" s="633">
        <f t="shared" si="273"/>
        <v>300</v>
      </c>
      <c r="BL427" s="633">
        <f t="shared" si="274"/>
        <v>300</v>
      </c>
      <c r="BM427" s="633">
        <f t="shared" si="275"/>
        <v>300</v>
      </c>
      <c r="BN427" s="680"/>
      <c r="BO427" s="680"/>
      <c r="BP427" s="680"/>
      <c r="BQ427" s="680"/>
      <c r="BR427" s="680"/>
      <c r="BS427" s="680"/>
      <c r="BT427" s="607">
        <f t="shared" si="251"/>
        <v>1800</v>
      </c>
      <c r="BU427" s="608">
        <f t="shared" si="252"/>
        <v>0</v>
      </c>
      <c r="BV427" s="491"/>
      <c r="BW427" s="491"/>
      <c r="XCP427" s="670"/>
      <c r="XCQ427" s="490"/>
      <c r="XCR427" s="653"/>
      <c r="XCS427" s="654"/>
      <c r="XCT427" s="657"/>
      <c r="XCU427" s="654"/>
      <c r="XCV427" s="656"/>
      <c r="XCW427" s="656"/>
      <c r="XCX427" s="657"/>
      <c r="XCY427" s="658"/>
      <c r="XCZ427" s="658"/>
      <c r="XDA427" s="658"/>
      <c r="XDB427" s="671"/>
      <c r="XDC427" s="659"/>
      <c r="XDD427" s="659"/>
      <c r="XDE427" s="660"/>
      <c r="XDF427" s="660"/>
      <c r="XDG427" s="670"/>
      <c r="XDH427" s="490"/>
      <c r="XDI427" s="653"/>
      <c r="XDJ427" s="654"/>
      <c r="XDK427" s="657"/>
      <c r="XDL427" s="654"/>
      <c r="XDM427" s="656"/>
      <c r="XDN427" s="656"/>
      <c r="XDO427" s="657"/>
      <c r="XDP427" s="658"/>
      <c r="XDQ427" s="658"/>
      <c r="XDR427" s="658"/>
      <c r="XDS427" s="671"/>
      <c r="XDT427" s="659"/>
      <c r="XDU427" s="659"/>
      <c r="XDV427" s="660"/>
      <c r="XDW427" s="660"/>
      <c r="XDX427" s="670"/>
      <c r="XDY427" s="490"/>
      <c r="XDZ427" s="653"/>
      <c r="XEA427" s="654"/>
      <c r="XEB427" s="657"/>
      <c r="XEC427" s="654"/>
      <c r="XED427" s="656"/>
      <c r="XEE427" s="656"/>
      <c r="XEF427" s="657"/>
      <c r="XEG427" s="658"/>
      <c r="XEH427" s="658"/>
      <c r="XEI427" s="658"/>
      <c r="XEJ427" s="671"/>
      <c r="XEK427" s="659"/>
      <c r="XEL427" s="659"/>
      <c r="XEM427" s="660"/>
      <c r="XEN427" s="660"/>
      <c r="XEO427" s="670"/>
      <c r="XEP427" s="490"/>
      <c r="XEQ427" s="653"/>
      <c r="XER427" s="654"/>
      <c r="XES427" s="657"/>
      <c r="XET427" s="654"/>
      <c r="XEU427" s="656"/>
      <c r="XEV427" s="656"/>
      <c r="XEW427" s="657"/>
      <c r="XEX427" s="658"/>
      <c r="XEY427" s="658"/>
      <c r="XEZ427" s="658"/>
      <c r="XFA427" s="671"/>
      <c r="XFB427" s="659"/>
      <c r="XFC427" s="659"/>
      <c r="XFD427" s="660"/>
    </row>
    <row r="428" s="490" customFormat="1" ht="34" customHeight="1" spans="1:75 16318:16384">
      <c r="A428" s="577">
        <v>46083</v>
      </c>
      <c r="B428" s="649" t="s">
        <v>1087</v>
      </c>
      <c r="C428" s="579" t="s">
        <v>1044</v>
      </c>
      <c r="D428" s="580">
        <v>4500194886</v>
      </c>
      <c r="E428" s="578">
        <v>300609379</v>
      </c>
      <c r="F428" s="580" t="s">
        <v>2034</v>
      </c>
      <c r="G428" s="582" t="s">
        <v>969</v>
      </c>
      <c r="H428" s="578" t="s">
        <v>970</v>
      </c>
      <c r="I428" s="583">
        <v>320</v>
      </c>
      <c r="J428" s="583">
        <v>0</v>
      </c>
      <c r="K428" s="583">
        <v>4</v>
      </c>
      <c r="L428" s="584">
        <f t="shared" si="245"/>
        <v>80</v>
      </c>
      <c r="M428" s="585">
        <v>46129</v>
      </c>
      <c r="N428" s="585">
        <v>46125</v>
      </c>
      <c r="O428" s="586"/>
      <c r="P428" s="586" t="s">
        <v>83</v>
      </c>
      <c r="Q428" s="587" t="s">
        <v>96</v>
      </c>
      <c r="R428" s="586" t="s">
        <v>2035</v>
      </c>
      <c r="S428" s="586"/>
      <c r="T428" s="586"/>
      <c r="U428" s="641" t="s">
        <v>2036</v>
      </c>
      <c r="V428" s="641"/>
      <c r="W428" s="641"/>
      <c r="X428" s="661" t="s">
        <v>2037</v>
      </c>
      <c r="Y428" s="586" t="s">
        <v>2038</v>
      </c>
      <c r="Z428" s="590">
        <v>5.8612</v>
      </c>
      <c r="AA428" s="591">
        <f t="shared" si="246"/>
        <v>1875.584</v>
      </c>
      <c r="AB428" s="619"/>
      <c r="AC428" s="582" t="s">
        <v>976</v>
      </c>
      <c r="AD428" s="593" t="s">
        <v>89</v>
      </c>
      <c r="AE428" s="672"/>
      <c r="AF428" s="666"/>
      <c r="AG428" s="672"/>
      <c r="AH428" s="666"/>
      <c r="AI428" s="666"/>
      <c r="AJ428" s="666">
        <f>I428</f>
        <v>320</v>
      </c>
      <c r="AK428" s="672"/>
      <c r="AL428" s="648"/>
      <c r="AM428" s="649"/>
      <c r="AN428" s="666">
        <f>I428</f>
        <v>320</v>
      </c>
      <c r="AO428" s="666"/>
      <c r="AP428" s="666"/>
      <c r="AQ428" s="666"/>
      <c r="AR428" s="666"/>
      <c r="AS428" s="666"/>
      <c r="AT428" s="682"/>
      <c r="AU428" s="592">
        <f>I428</f>
        <v>320</v>
      </c>
      <c r="AV428" s="649"/>
      <c r="AW428" s="592">
        <f>I428</f>
        <v>320</v>
      </c>
      <c r="AX428" s="649"/>
      <c r="AY428" s="649"/>
      <c r="AZ428" s="649"/>
      <c r="BA428" s="649"/>
      <c r="BB428" s="649"/>
      <c r="BC428" s="649"/>
      <c r="BD428" s="649"/>
      <c r="BE428" s="685"/>
      <c r="BF428" s="679" t="s">
        <v>90</v>
      </c>
      <c r="BG428" s="680"/>
      <c r="BH428" s="662">
        <f t="shared" si="270"/>
        <v>53.3333333333333</v>
      </c>
      <c r="BI428" s="605">
        <f t="shared" si="271"/>
        <v>53.3333333333333</v>
      </c>
      <c r="BJ428" s="605">
        <f t="shared" si="272"/>
        <v>53.3333333333333</v>
      </c>
      <c r="BK428" s="605">
        <f t="shared" si="273"/>
        <v>53.3333333333333</v>
      </c>
      <c r="BL428" s="605">
        <f t="shared" si="274"/>
        <v>53.3333333333333</v>
      </c>
      <c r="BM428" s="605">
        <f t="shared" si="275"/>
        <v>53.3333333333333</v>
      </c>
      <c r="BN428" s="605"/>
      <c r="BO428" s="605"/>
      <c r="BP428" s="605"/>
      <c r="BQ428" s="605"/>
      <c r="BR428" s="605"/>
      <c r="BS428" s="605"/>
      <c r="BT428" s="607">
        <f t="shared" si="251"/>
        <v>320</v>
      </c>
      <c r="BU428" s="608">
        <f t="shared" si="252"/>
        <v>0</v>
      </c>
      <c r="BV428" s="491"/>
      <c r="BW428" s="491"/>
      <c r="XCP428" s="670"/>
      <c r="XCQ428" s="490"/>
      <c r="XCR428" s="653"/>
      <c r="XCS428" s="654"/>
      <c r="XCT428" s="657"/>
      <c r="XCU428" s="654"/>
      <c r="XCV428" s="656"/>
      <c r="XCW428" s="656"/>
      <c r="XCX428" s="657"/>
      <c r="XCY428" s="658"/>
      <c r="XCZ428" s="658"/>
      <c r="XDA428" s="658"/>
      <c r="XDB428" s="671"/>
      <c r="XDC428" s="659"/>
      <c r="XDD428" s="659"/>
      <c r="XDE428" s="660"/>
      <c r="XDF428" s="660"/>
      <c r="XDG428" s="670"/>
      <c r="XDH428" s="490"/>
      <c r="XDI428" s="653"/>
      <c r="XDJ428" s="654"/>
      <c r="XDK428" s="657"/>
      <c r="XDL428" s="654"/>
      <c r="XDM428" s="656"/>
      <c r="XDN428" s="656"/>
      <c r="XDO428" s="657"/>
      <c r="XDP428" s="658"/>
      <c r="XDQ428" s="658"/>
      <c r="XDR428" s="658"/>
      <c r="XDS428" s="671"/>
      <c r="XDT428" s="659"/>
      <c r="XDU428" s="659"/>
      <c r="XDV428" s="660"/>
      <c r="XDW428" s="660"/>
      <c r="XDX428" s="670"/>
      <c r="XDY428" s="490"/>
      <c r="XDZ428" s="653"/>
      <c r="XEA428" s="654"/>
      <c r="XEB428" s="657"/>
      <c r="XEC428" s="654"/>
      <c r="XED428" s="656"/>
      <c r="XEE428" s="656"/>
      <c r="XEF428" s="657"/>
      <c r="XEG428" s="658"/>
      <c r="XEH428" s="658"/>
      <c r="XEI428" s="658"/>
      <c r="XEJ428" s="671"/>
      <c r="XEK428" s="659"/>
      <c r="XEL428" s="659"/>
      <c r="XEM428" s="660"/>
      <c r="XEN428" s="660"/>
      <c r="XEO428" s="670"/>
      <c r="XEP428" s="490"/>
      <c r="XEQ428" s="653"/>
      <c r="XER428" s="654"/>
      <c r="XES428" s="657"/>
      <c r="XET428" s="654"/>
      <c r="XEU428" s="656"/>
      <c r="XEV428" s="656"/>
      <c r="XEW428" s="657"/>
      <c r="XEX428" s="658"/>
      <c r="XEY428" s="658"/>
      <c r="XEZ428" s="658"/>
      <c r="XFA428" s="671"/>
      <c r="XFB428" s="659"/>
      <c r="XFC428" s="659"/>
      <c r="XFD428" s="660"/>
    </row>
    <row r="429" s="490" customFormat="1" ht="34" customHeight="1" spans="1:75 16318:16384">
      <c r="A429" s="577">
        <v>46092</v>
      </c>
      <c r="B429" s="649" t="s">
        <v>2039</v>
      </c>
      <c r="C429" s="579" t="s">
        <v>892</v>
      </c>
      <c r="D429" s="580">
        <v>4500195950</v>
      </c>
      <c r="E429" s="578" t="s">
        <v>2040</v>
      </c>
      <c r="F429" s="580" t="s">
        <v>2041</v>
      </c>
      <c r="G429" s="582" t="s">
        <v>81</v>
      </c>
      <c r="H429" s="578" t="s">
        <v>95</v>
      </c>
      <c r="I429" s="681">
        <v>720</v>
      </c>
      <c r="J429" s="583">
        <v>0</v>
      </c>
      <c r="K429" s="583">
        <v>6</v>
      </c>
      <c r="L429" s="584">
        <f t="shared" si="245"/>
        <v>120</v>
      </c>
      <c r="M429" s="585">
        <v>46132</v>
      </c>
      <c r="N429" s="585">
        <v>46128</v>
      </c>
      <c r="O429" s="586"/>
      <c r="P429" s="586" t="s">
        <v>83</v>
      </c>
      <c r="Q429" s="587" t="s">
        <v>2042</v>
      </c>
      <c r="R429" s="586" t="s">
        <v>2043</v>
      </c>
      <c r="S429" s="586"/>
      <c r="T429" s="586"/>
      <c r="U429" s="641" t="s">
        <v>2044</v>
      </c>
      <c r="V429" s="641"/>
      <c r="W429" s="641"/>
      <c r="X429" s="661" t="s">
        <v>2045</v>
      </c>
      <c r="Y429" s="586" t="s">
        <v>2046</v>
      </c>
      <c r="Z429" s="590">
        <v>5.9216</v>
      </c>
      <c r="AA429" s="591">
        <f t="shared" si="246"/>
        <v>4263.552</v>
      </c>
      <c r="AB429" s="619"/>
      <c r="AC429" s="582" t="s">
        <v>235</v>
      </c>
      <c r="AD429" s="593" t="s">
        <v>89</v>
      </c>
      <c r="AE429" s="672"/>
      <c r="AF429" s="666"/>
      <c r="AG429" s="672"/>
      <c r="AH429" s="666"/>
      <c r="AI429" s="666"/>
      <c r="AJ429" s="666">
        <f>I429</f>
        <v>720</v>
      </c>
      <c r="AK429" s="672"/>
      <c r="AL429" s="648"/>
      <c r="AM429" s="649"/>
      <c r="AN429" s="666">
        <f>I429</f>
        <v>720</v>
      </c>
      <c r="AO429" s="666"/>
      <c r="AP429" s="666"/>
      <c r="AQ429" s="666"/>
      <c r="AR429" s="666"/>
      <c r="AS429" s="666"/>
      <c r="AT429" s="682"/>
      <c r="AU429" s="592">
        <f>I429</f>
        <v>720</v>
      </c>
      <c r="AV429" s="649"/>
      <c r="AW429" s="592">
        <f>I429</f>
        <v>720</v>
      </c>
      <c r="AX429" s="649"/>
      <c r="AY429" s="649"/>
      <c r="AZ429" s="649"/>
      <c r="BA429" s="649"/>
      <c r="BB429" s="649"/>
      <c r="BC429" s="649"/>
      <c r="BD429" s="649"/>
      <c r="BE429" s="685"/>
      <c r="BF429" s="679" t="s">
        <v>90</v>
      </c>
      <c r="BG429" s="680"/>
      <c r="BH429" s="632">
        <f t="shared" si="270"/>
        <v>120</v>
      </c>
      <c r="BI429" s="633">
        <f t="shared" si="271"/>
        <v>120</v>
      </c>
      <c r="BJ429" s="633">
        <f t="shared" si="272"/>
        <v>120</v>
      </c>
      <c r="BK429" s="633">
        <f t="shared" si="273"/>
        <v>120</v>
      </c>
      <c r="BL429" s="633">
        <f t="shared" si="274"/>
        <v>120</v>
      </c>
      <c r="BM429" s="633">
        <f t="shared" si="275"/>
        <v>120</v>
      </c>
      <c r="BN429" s="680"/>
      <c r="BO429" s="680"/>
      <c r="BP429" s="680"/>
      <c r="BQ429" s="680"/>
      <c r="BR429" s="680"/>
      <c r="BS429" s="680"/>
      <c r="BT429" s="607">
        <f t="shared" si="251"/>
        <v>720</v>
      </c>
      <c r="BU429" s="608">
        <f t="shared" si="252"/>
        <v>0</v>
      </c>
      <c r="BV429" s="491"/>
      <c r="BW429" s="491"/>
      <c r="XCP429" s="670"/>
      <c r="XCQ429" s="490"/>
      <c r="XCR429" s="653"/>
      <c r="XCS429" s="654"/>
      <c r="XCT429" s="657"/>
      <c r="XCU429" s="654"/>
      <c r="XCV429" s="656"/>
      <c r="XCW429" s="656"/>
      <c r="XCX429" s="657"/>
      <c r="XCY429" s="658"/>
      <c r="XCZ429" s="658"/>
      <c r="XDA429" s="658"/>
      <c r="XDB429" s="671"/>
      <c r="XDC429" s="659"/>
      <c r="XDD429" s="659"/>
      <c r="XDE429" s="660"/>
      <c r="XDF429" s="660"/>
      <c r="XDG429" s="670"/>
      <c r="XDH429" s="490"/>
      <c r="XDI429" s="653"/>
      <c r="XDJ429" s="654"/>
      <c r="XDK429" s="657"/>
      <c r="XDL429" s="654"/>
      <c r="XDM429" s="656"/>
      <c r="XDN429" s="656"/>
      <c r="XDO429" s="657"/>
      <c r="XDP429" s="658"/>
      <c r="XDQ429" s="658"/>
      <c r="XDR429" s="658"/>
      <c r="XDS429" s="671"/>
      <c r="XDT429" s="659"/>
      <c r="XDU429" s="659"/>
      <c r="XDV429" s="660"/>
      <c r="XDW429" s="660"/>
      <c r="XDX429" s="670"/>
      <c r="XDY429" s="490"/>
      <c r="XDZ429" s="653"/>
      <c r="XEA429" s="654"/>
      <c r="XEB429" s="657"/>
      <c r="XEC429" s="654"/>
      <c r="XED429" s="656"/>
      <c r="XEE429" s="656"/>
      <c r="XEF429" s="657"/>
      <c r="XEG429" s="658"/>
      <c r="XEH429" s="658"/>
      <c r="XEI429" s="658"/>
      <c r="XEJ429" s="671"/>
      <c r="XEK429" s="659"/>
      <c r="XEL429" s="659"/>
      <c r="XEM429" s="660"/>
      <c r="XEN429" s="660"/>
      <c r="XEO429" s="670"/>
      <c r="XEP429" s="490"/>
      <c r="XEQ429" s="653"/>
      <c r="XER429" s="654"/>
      <c r="XES429" s="657"/>
      <c r="XET429" s="654"/>
      <c r="XEU429" s="656"/>
      <c r="XEV429" s="656"/>
      <c r="XEW429" s="657"/>
      <c r="XEX429" s="658"/>
      <c r="XEY429" s="658"/>
      <c r="XEZ429" s="658"/>
      <c r="XFA429" s="671"/>
      <c r="XFB429" s="659"/>
      <c r="XFC429" s="659"/>
      <c r="XFD429" s="660"/>
    </row>
    <row r="430" s="490" customFormat="1" ht="34" customHeight="1" spans="1:75 16318:16384">
      <c r="A430" s="577">
        <v>46092</v>
      </c>
      <c r="B430" s="649" t="s">
        <v>1434</v>
      </c>
      <c r="C430" s="579" t="s">
        <v>926</v>
      </c>
      <c r="D430" s="580">
        <v>4500196119</v>
      </c>
      <c r="E430" s="578" t="s">
        <v>2047</v>
      </c>
      <c r="F430" s="580" t="s">
        <v>2048</v>
      </c>
      <c r="G430" s="582" t="s">
        <v>81</v>
      </c>
      <c r="H430" s="578" t="s">
        <v>95</v>
      </c>
      <c r="I430" s="681">
        <v>120</v>
      </c>
      <c r="J430" s="583">
        <v>0</v>
      </c>
      <c r="K430" s="583">
        <v>6</v>
      </c>
      <c r="L430" s="584">
        <f t="shared" si="245"/>
        <v>20</v>
      </c>
      <c r="M430" s="585">
        <v>46132</v>
      </c>
      <c r="N430" s="585">
        <v>46128</v>
      </c>
      <c r="O430" s="586"/>
      <c r="P430" s="586" t="s">
        <v>83</v>
      </c>
      <c r="Q430" s="587" t="s">
        <v>860</v>
      </c>
      <c r="R430" s="586" t="s">
        <v>2043</v>
      </c>
      <c r="S430" s="586"/>
      <c r="T430" s="586"/>
      <c r="U430" s="641" t="s">
        <v>2044</v>
      </c>
      <c r="V430" s="641"/>
      <c r="W430" s="641"/>
      <c r="X430" s="661" t="s">
        <v>2045</v>
      </c>
      <c r="Y430" s="586" t="s">
        <v>2046</v>
      </c>
      <c r="Z430" s="590">
        <v>5.9216</v>
      </c>
      <c r="AA430" s="591">
        <f t="shared" si="246"/>
        <v>710.592</v>
      </c>
      <c r="AB430" s="619"/>
      <c r="AC430" s="582" t="s">
        <v>235</v>
      </c>
      <c r="AD430" s="593" t="s">
        <v>89</v>
      </c>
      <c r="AE430" s="672"/>
      <c r="AF430" s="666"/>
      <c r="AG430" s="672"/>
      <c r="AH430" s="666"/>
      <c r="AI430" s="666"/>
      <c r="AJ430" s="666">
        <f>I430</f>
        <v>120</v>
      </c>
      <c r="AK430" s="672"/>
      <c r="AL430" s="648"/>
      <c r="AM430" s="649"/>
      <c r="AN430" s="666">
        <f>I430</f>
        <v>120</v>
      </c>
      <c r="AO430" s="666"/>
      <c r="AP430" s="666"/>
      <c r="AQ430" s="666"/>
      <c r="AR430" s="666"/>
      <c r="AS430" s="666"/>
      <c r="AT430" s="682"/>
      <c r="AU430" s="592">
        <f>I430</f>
        <v>120</v>
      </c>
      <c r="AV430" s="649"/>
      <c r="AW430" s="592">
        <f>I430</f>
        <v>120</v>
      </c>
      <c r="AX430" s="649"/>
      <c r="AY430" s="649"/>
      <c r="AZ430" s="649"/>
      <c r="BA430" s="649"/>
      <c r="BB430" s="649"/>
      <c r="BC430" s="649"/>
      <c r="BD430" s="649"/>
      <c r="BE430" s="685"/>
      <c r="BF430" s="679" t="s">
        <v>90</v>
      </c>
      <c r="BG430" s="680"/>
      <c r="BH430" s="632">
        <f t="shared" si="270"/>
        <v>20</v>
      </c>
      <c r="BI430" s="633">
        <f t="shared" si="271"/>
        <v>20</v>
      </c>
      <c r="BJ430" s="633">
        <f t="shared" si="272"/>
        <v>20</v>
      </c>
      <c r="BK430" s="633">
        <f t="shared" si="273"/>
        <v>20</v>
      </c>
      <c r="BL430" s="633">
        <f t="shared" si="274"/>
        <v>20</v>
      </c>
      <c r="BM430" s="633">
        <f t="shared" si="275"/>
        <v>20</v>
      </c>
      <c r="BN430" s="680"/>
      <c r="BO430" s="680"/>
      <c r="BP430" s="680"/>
      <c r="BQ430" s="680"/>
      <c r="BR430" s="680"/>
      <c r="BS430" s="680"/>
      <c r="BT430" s="607">
        <f t="shared" si="251"/>
        <v>120</v>
      </c>
      <c r="BU430" s="608">
        <f t="shared" si="252"/>
        <v>0</v>
      </c>
      <c r="BV430" s="491"/>
      <c r="BW430" s="491"/>
      <c r="XCP430" s="670"/>
      <c r="XCQ430" s="490"/>
      <c r="XCR430" s="653"/>
      <c r="XCS430" s="654"/>
      <c r="XCT430" s="657"/>
      <c r="XCU430" s="654"/>
      <c r="XCV430" s="656"/>
      <c r="XCW430" s="656"/>
      <c r="XCX430" s="657"/>
      <c r="XCY430" s="658"/>
      <c r="XCZ430" s="658"/>
      <c r="XDA430" s="658"/>
      <c r="XDB430" s="671"/>
      <c r="XDC430" s="659"/>
      <c r="XDD430" s="659"/>
      <c r="XDE430" s="660"/>
      <c r="XDF430" s="660"/>
      <c r="XDG430" s="670"/>
      <c r="XDH430" s="490"/>
      <c r="XDI430" s="653"/>
      <c r="XDJ430" s="654"/>
      <c r="XDK430" s="657"/>
      <c r="XDL430" s="654"/>
      <c r="XDM430" s="656"/>
      <c r="XDN430" s="656"/>
      <c r="XDO430" s="657"/>
      <c r="XDP430" s="658"/>
      <c r="XDQ430" s="658"/>
      <c r="XDR430" s="658"/>
      <c r="XDS430" s="671"/>
      <c r="XDT430" s="659"/>
      <c r="XDU430" s="659"/>
      <c r="XDV430" s="660"/>
      <c r="XDW430" s="660"/>
      <c r="XDX430" s="670"/>
      <c r="XDY430" s="490"/>
      <c r="XDZ430" s="653"/>
      <c r="XEA430" s="654"/>
      <c r="XEB430" s="657"/>
      <c r="XEC430" s="654"/>
      <c r="XED430" s="656"/>
      <c r="XEE430" s="656"/>
      <c r="XEF430" s="657"/>
      <c r="XEG430" s="658"/>
      <c r="XEH430" s="658"/>
      <c r="XEI430" s="658"/>
      <c r="XEJ430" s="671"/>
      <c r="XEK430" s="659"/>
      <c r="XEL430" s="659"/>
      <c r="XEM430" s="660"/>
      <c r="XEN430" s="660"/>
      <c r="XEO430" s="670"/>
      <c r="XEP430" s="490"/>
      <c r="XEQ430" s="653"/>
      <c r="XER430" s="654"/>
      <c r="XES430" s="657"/>
      <c r="XET430" s="654"/>
      <c r="XEU430" s="656"/>
      <c r="XEV430" s="656"/>
      <c r="XEW430" s="657"/>
      <c r="XEX430" s="658"/>
      <c r="XEY430" s="658"/>
      <c r="XEZ430" s="658"/>
      <c r="XFA430" s="671"/>
      <c r="XFB430" s="659"/>
      <c r="XFC430" s="659"/>
      <c r="XFD430" s="660"/>
    </row>
    <row r="431" s="490" customFormat="1" ht="34" customHeight="1" spans="1:75 16318:16384">
      <c r="A431" s="577">
        <v>46101</v>
      </c>
      <c r="B431" s="581" t="s">
        <v>2049</v>
      </c>
      <c r="C431" s="579" t="s">
        <v>140</v>
      </c>
      <c r="D431" s="580">
        <v>4500197253</v>
      </c>
      <c r="E431" s="588">
        <v>5000002150</v>
      </c>
      <c r="F431" s="580" t="s">
        <v>2050</v>
      </c>
      <c r="G431" s="582" t="s">
        <v>1778</v>
      </c>
      <c r="H431" s="578" t="s">
        <v>1779</v>
      </c>
      <c r="I431" s="583">
        <v>2700</v>
      </c>
      <c r="J431" s="583">
        <v>0</v>
      </c>
      <c r="K431" s="583">
        <v>6</v>
      </c>
      <c r="L431" s="584">
        <f t="shared" si="245"/>
        <v>450</v>
      </c>
      <c r="M431" s="585">
        <v>46132</v>
      </c>
      <c r="N431" s="585">
        <v>46128</v>
      </c>
      <c r="O431" s="586" t="s">
        <v>1991</v>
      </c>
      <c r="P431" s="586" t="s">
        <v>83</v>
      </c>
      <c r="Q431" s="587" t="s">
        <v>880</v>
      </c>
      <c r="R431" s="586" t="s">
        <v>2051</v>
      </c>
      <c r="S431" s="586"/>
      <c r="T431" s="586"/>
      <c r="U431" s="641" t="s">
        <v>2052</v>
      </c>
      <c r="V431" s="641"/>
      <c r="W431" s="641"/>
      <c r="X431" s="661" t="s">
        <v>2053</v>
      </c>
      <c r="Y431" s="618" t="s">
        <v>2054</v>
      </c>
      <c r="Z431" s="686">
        <v>6.5652</v>
      </c>
      <c r="AA431" s="591">
        <f t="shared" si="246"/>
        <v>17726.04</v>
      </c>
      <c r="AB431" s="619"/>
      <c r="AC431" s="582" t="s">
        <v>1778</v>
      </c>
      <c r="AD431" s="593" t="s">
        <v>89</v>
      </c>
      <c r="AE431" s="687"/>
      <c r="AF431" s="687"/>
      <c r="AG431" s="621">
        <f>I431</f>
        <v>2700</v>
      </c>
      <c r="AH431" s="688"/>
      <c r="AI431" s="687"/>
      <c r="AJ431" s="621"/>
      <c r="AK431" s="621"/>
      <c r="AL431" s="689"/>
      <c r="AM431" s="690"/>
      <c r="AN431" s="621"/>
      <c r="AO431" s="666">
        <f>I431</f>
        <v>2700</v>
      </c>
      <c r="AP431" s="691"/>
      <c r="AQ431" s="691"/>
      <c r="AR431" s="666">
        <f>I431</f>
        <v>2700</v>
      </c>
      <c r="AS431" s="691"/>
      <c r="AT431" s="692"/>
      <c r="AU431" s="672"/>
      <c r="AV431" s="618"/>
      <c r="AW431" s="678"/>
      <c r="AX431" s="621">
        <f>I431</f>
        <v>2700</v>
      </c>
      <c r="AY431" s="666"/>
      <c r="AZ431" s="666"/>
      <c r="BA431" s="666"/>
      <c r="BB431" s="666"/>
      <c r="BC431" s="666"/>
      <c r="BD431" s="682"/>
      <c r="BE431" s="668"/>
      <c r="BF431" s="679" t="s">
        <v>407</v>
      </c>
      <c r="BG431" s="680"/>
      <c r="BH431" s="632">
        <f t="shared" si="270"/>
        <v>450</v>
      </c>
      <c r="BI431" s="633">
        <f t="shared" si="271"/>
        <v>450</v>
      </c>
      <c r="BJ431" s="633">
        <f t="shared" si="272"/>
        <v>450</v>
      </c>
      <c r="BK431" s="633">
        <f t="shared" si="273"/>
        <v>450</v>
      </c>
      <c r="BL431" s="633">
        <f t="shared" si="274"/>
        <v>450</v>
      </c>
      <c r="BM431" s="633">
        <f t="shared" si="275"/>
        <v>450</v>
      </c>
      <c r="BN431" s="693"/>
      <c r="BO431" s="693"/>
      <c r="BP431" s="693"/>
      <c r="BQ431" s="693"/>
      <c r="BR431" s="693"/>
      <c r="BS431" s="693"/>
      <c r="BT431" s="607">
        <f t="shared" si="251"/>
        <v>2700</v>
      </c>
      <c r="BU431" s="608">
        <f t="shared" si="252"/>
        <v>0</v>
      </c>
      <c r="BV431" s="694"/>
      <c r="BW431" s="491"/>
      <c r="XCP431" s="670"/>
      <c r="XCQ431" s="490"/>
      <c r="XCR431" s="653"/>
      <c r="XCS431" s="654"/>
      <c r="XCT431" s="657"/>
      <c r="XCU431" s="654"/>
      <c r="XCV431" s="656"/>
      <c r="XCW431" s="656"/>
      <c r="XCX431" s="657"/>
      <c r="XCY431" s="658"/>
      <c r="XCZ431" s="658"/>
      <c r="XDA431" s="658"/>
      <c r="XDB431" s="671"/>
      <c r="XDC431" s="659"/>
      <c r="XDD431" s="659"/>
      <c r="XDE431" s="660"/>
      <c r="XDF431" s="660"/>
      <c r="XDG431" s="670"/>
      <c r="XDH431" s="490"/>
      <c r="XDI431" s="653"/>
      <c r="XDJ431" s="654"/>
      <c r="XDK431" s="657"/>
      <c r="XDL431" s="654"/>
      <c r="XDM431" s="656"/>
      <c r="XDN431" s="656"/>
      <c r="XDO431" s="657"/>
      <c r="XDP431" s="658"/>
      <c r="XDQ431" s="658"/>
      <c r="XDR431" s="658"/>
      <c r="XDS431" s="671"/>
      <c r="XDT431" s="659"/>
      <c r="XDU431" s="659"/>
      <c r="XDV431" s="660"/>
      <c r="XDW431" s="660"/>
      <c r="XDX431" s="670"/>
      <c r="XDY431" s="490"/>
      <c r="XDZ431" s="653"/>
      <c r="XEA431" s="654"/>
      <c r="XEB431" s="657"/>
      <c r="XEC431" s="654"/>
      <c r="XED431" s="656"/>
      <c r="XEE431" s="656"/>
      <c r="XEF431" s="657"/>
      <c r="XEG431" s="658"/>
      <c r="XEH431" s="658"/>
      <c r="XEI431" s="658"/>
      <c r="XEJ431" s="671"/>
      <c r="XEK431" s="659"/>
      <c r="XEL431" s="659"/>
      <c r="XEM431" s="660"/>
      <c r="XEN431" s="660"/>
      <c r="XEO431" s="670"/>
      <c r="XEP431" s="490"/>
      <c r="XEQ431" s="653"/>
      <c r="XER431" s="654"/>
      <c r="XES431" s="657"/>
      <c r="XET431" s="654"/>
      <c r="XEU431" s="656"/>
      <c r="XEV431" s="656"/>
      <c r="XEW431" s="657"/>
      <c r="XEX431" s="658"/>
      <c r="XEY431" s="658"/>
      <c r="XEZ431" s="658"/>
      <c r="XFA431" s="671"/>
      <c r="XFB431" s="659"/>
      <c r="XFC431" s="659"/>
      <c r="XFD431" s="660"/>
    </row>
    <row r="432" s="490" customFormat="1" ht="34" customHeight="1" spans="1:75 16318:16384">
      <c r="A432" s="577">
        <v>46101</v>
      </c>
      <c r="B432" s="578" t="s">
        <v>2055</v>
      </c>
      <c r="C432" s="579" t="s">
        <v>92</v>
      </c>
      <c r="D432" s="580">
        <v>4500197840</v>
      </c>
      <c r="E432" s="581">
        <v>1764235</v>
      </c>
      <c r="F432" s="580" t="s">
        <v>2056</v>
      </c>
      <c r="G432" s="582" t="s">
        <v>81</v>
      </c>
      <c r="H432" s="578" t="s">
        <v>82</v>
      </c>
      <c r="I432" s="583">
        <v>360</v>
      </c>
      <c r="J432" s="583">
        <v>0</v>
      </c>
      <c r="K432" s="583">
        <v>6</v>
      </c>
      <c r="L432" s="584">
        <f t="shared" si="245"/>
        <v>60</v>
      </c>
      <c r="M432" s="585">
        <v>46142</v>
      </c>
      <c r="N432" s="585">
        <v>46139</v>
      </c>
      <c r="O432" s="586"/>
      <c r="P432" s="586" t="s">
        <v>83</v>
      </c>
      <c r="Q432" s="587" t="s">
        <v>2057</v>
      </c>
      <c r="R432" s="586" t="s">
        <v>896</v>
      </c>
      <c r="S432" s="586"/>
      <c r="T432" s="586"/>
      <c r="U432" s="586" t="s">
        <v>86</v>
      </c>
      <c r="V432" s="586" t="s">
        <v>2058</v>
      </c>
      <c r="W432" s="586"/>
      <c r="X432" s="588" t="s">
        <v>2059</v>
      </c>
      <c r="Y432" s="589" t="s">
        <v>2060</v>
      </c>
      <c r="Z432" s="686">
        <v>3.4415</v>
      </c>
      <c r="AA432" s="591">
        <f t="shared" si="246"/>
        <v>1238.94</v>
      </c>
      <c r="AB432" s="592"/>
      <c r="AC432" s="582" t="s">
        <v>81</v>
      </c>
      <c r="AD432" s="593" t="s">
        <v>89</v>
      </c>
      <c r="AE432" s="695"/>
      <c r="AF432" s="695"/>
      <c r="AG432" s="595">
        <f>I432</f>
        <v>360</v>
      </c>
      <c r="AH432" s="690"/>
      <c r="AI432" s="690"/>
      <c r="AJ432" s="592"/>
      <c r="AK432" s="592"/>
      <c r="AL432" s="690"/>
      <c r="AM432" s="688"/>
      <c r="AN432" s="598">
        <f t="shared" ref="AN432:AN456" si="276">I432</f>
        <v>360</v>
      </c>
      <c r="AO432" s="592"/>
      <c r="AP432" s="696"/>
      <c r="AQ432" s="690"/>
      <c r="AR432" s="592">
        <f>I432</f>
        <v>360</v>
      </c>
      <c r="AS432" s="690"/>
      <c r="AT432" s="690"/>
      <c r="AU432" s="592"/>
      <c r="AV432" s="592"/>
      <c r="AW432" s="592">
        <f t="shared" ref="AW432:AW456" si="277">I432</f>
        <v>360</v>
      </c>
      <c r="AX432" s="592"/>
      <c r="AY432" s="600"/>
      <c r="AZ432" s="649"/>
      <c r="BA432" s="649"/>
      <c r="BB432" s="649"/>
      <c r="BC432" s="649"/>
      <c r="BD432" s="649"/>
      <c r="BE432" s="685"/>
      <c r="BF432" s="679" t="s">
        <v>90</v>
      </c>
      <c r="BG432" s="680"/>
      <c r="BH432" s="632">
        <f t="shared" si="270"/>
        <v>60</v>
      </c>
      <c r="BI432" s="633">
        <f t="shared" si="271"/>
        <v>60</v>
      </c>
      <c r="BJ432" s="633">
        <f t="shared" si="272"/>
        <v>60</v>
      </c>
      <c r="BK432" s="633">
        <f t="shared" si="273"/>
        <v>60</v>
      </c>
      <c r="BL432" s="633">
        <f t="shared" si="274"/>
        <v>60</v>
      </c>
      <c r="BM432" s="633">
        <f t="shared" si="275"/>
        <v>60</v>
      </c>
      <c r="BN432" s="697"/>
      <c r="BO432" s="697"/>
      <c r="BP432" s="697"/>
      <c r="BQ432" s="697"/>
      <c r="BR432" s="697"/>
      <c r="BS432" s="697"/>
      <c r="BT432" s="607">
        <f t="shared" si="251"/>
        <v>360</v>
      </c>
      <c r="BU432" s="608">
        <f t="shared" si="252"/>
        <v>0</v>
      </c>
      <c r="BV432" s="694"/>
      <c r="BW432" s="491"/>
      <c r="XCP432" s="670"/>
      <c r="XCQ432" s="490"/>
      <c r="XCR432" s="653"/>
      <c r="XCS432" s="654"/>
      <c r="XCT432" s="657"/>
      <c r="XCU432" s="654"/>
      <c r="XCV432" s="656"/>
      <c r="XCW432" s="656"/>
      <c r="XCX432" s="657"/>
      <c r="XCY432" s="658"/>
      <c r="XCZ432" s="658"/>
      <c r="XDA432" s="658"/>
      <c r="XDB432" s="671"/>
      <c r="XDC432" s="659"/>
      <c r="XDD432" s="659"/>
      <c r="XDE432" s="660"/>
      <c r="XDF432" s="660"/>
      <c r="XDG432" s="670"/>
      <c r="XDH432" s="490"/>
      <c r="XDI432" s="653"/>
      <c r="XDJ432" s="654"/>
      <c r="XDK432" s="657"/>
      <c r="XDL432" s="654"/>
      <c r="XDM432" s="656"/>
      <c r="XDN432" s="656"/>
      <c r="XDO432" s="657"/>
      <c r="XDP432" s="658"/>
      <c r="XDQ432" s="658"/>
      <c r="XDR432" s="658"/>
      <c r="XDS432" s="671"/>
      <c r="XDT432" s="659"/>
      <c r="XDU432" s="659"/>
      <c r="XDV432" s="660"/>
      <c r="XDW432" s="660"/>
      <c r="XDX432" s="670"/>
      <c r="XDY432" s="490"/>
      <c r="XDZ432" s="653"/>
      <c r="XEA432" s="654"/>
      <c r="XEB432" s="657"/>
      <c r="XEC432" s="654"/>
      <c r="XED432" s="656"/>
      <c r="XEE432" s="656"/>
      <c r="XEF432" s="657"/>
      <c r="XEG432" s="658"/>
      <c r="XEH432" s="658"/>
      <c r="XEI432" s="658"/>
      <c r="XEJ432" s="671"/>
      <c r="XEK432" s="659"/>
      <c r="XEL432" s="659"/>
      <c r="XEM432" s="660"/>
      <c r="XEN432" s="660"/>
      <c r="XEO432" s="670"/>
      <c r="XEP432" s="490"/>
      <c r="XEQ432" s="653"/>
      <c r="XER432" s="654"/>
      <c r="XES432" s="657"/>
      <c r="XET432" s="654"/>
      <c r="XEU432" s="656"/>
      <c r="XEV432" s="656"/>
      <c r="XEW432" s="657"/>
      <c r="XEX432" s="658"/>
      <c r="XEY432" s="658"/>
      <c r="XEZ432" s="658"/>
      <c r="XFA432" s="671"/>
      <c r="XFB432" s="659"/>
      <c r="XFC432" s="659"/>
      <c r="XFD432" s="660"/>
    </row>
    <row r="433" s="490" customFormat="1" ht="34" customHeight="1" spans="1:75 16318:16384">
      <c r="A433" s="577">
        <v>46101</v>
      </c>
      <c r="B433" s="578" t="s">
        <v>2055</v>
      </c>
      <c r="C433" s="579" t="s">
        <v>92</v>
      </c>
      <c r="D433" s="580">
        <v>4500197840</v>
      </c>
      <c r="E433" s="581">
        <v>1764236</v>
      </c>
      <c r="F433" s="580" t="s">
        <v>2061</v>
      </c>
      <c r="G433" s="582" t="s">
        <v>81</v>
      </c>
      <c r="H433" s="578" t="s">
        <v>82</v>
      </c>
      <c r="I433" s="583">
        <v>240</v>
      </c>
      <c r="J433" s="583">
        <v>0</v>
      </c>
      <c r="K433" s="583">
        <v>6</v>
      </c>
      <c r="L433" s="584">
        <f t="shared" si="245"/>
        <v>40</v>
      </c>
      <c r="M433" s="585">
        <v>46142</v>
      </c>
      <c r="N433" s="585">
        <v>46139</v>
      </c>
      <c r="O433" s="586"/>
      <c r="P433" s="586" t="s">
        <v>83</v>
      </c>
      <c r="Q433" s="587" t="s">
        <v>2057</v>
      </c>
      <c r="R433" s="586" t="s">
        <v>896</v>
      </c>
      <c r="S433" s="586"/>
      <c r="T433" s="586"/>
      <c r="U433" s="586" t="s">
        <v>86</v>
      </c>
      <c r="V433" s="586" t="s">
        <v>2058</v>
      </c>
      <c r="W433" s="586"/>
      <c r="X433" s="588" t="s">
        <v>2059</v>
      </c>
      <c r="Y433" s="589" t="s">
        <v>2060</v>
      </c>
      <c r="Z433" s="686">
        <v>3.4415</v>
      </c>
      <c r="AA433" s="591">
        <f t="shared" si="246"/>
        <v>825.96</v>
      </c>
      <c r="AB433" s="592"/>
      <c r="AC433" s="582" t="s">
        <v>81</v>
      </c>
      <c r="AD433" s="593" t="s">
        <v>89</v>
      </c>
      <c r="AE433" s="695"/>
      <c r="AF433" s="695"/>
      <c r="AG433" s="595">
        <f>I433</f>
        <v>240</v>
      </c>
      <c r="AH433" s="690"/>
      <c r="AI433" s="690"/>
      <c r="AJ433" s="592"/>
      <c r="AK433" s="592"/>
      <c r="AL433" s="690"/>
      <c r="AM433" s="688"/>
      <c r="AN433" s="598">
        <f t="shared" si="276"/>
        <v>240</v>
      </c>
      <c r="AO433" s="592"/>
      <c r="AP433" s="696"/>
      <c r="AQ433" s="690"/>
      <c r="AR433" s="592">
        <f>I433</f>
        <v>240</v>
      </c>
      <c r="AS433" s="690"/>
      <c r="AT433" s="690"/>
      <c r="AU433" s="592"/>
      <c r="AV433" s="592"/>
      <c r="AW433" s="592">
        <f t="shared" si="277"/>
        <v>240</v>
      </c>
      <c r="AX433" s="592"/>
      <c r="AY433" s="600"/>
      <c r="AZ433" s="649"/>
      <c r="BA433" s="649"/>
      <c r="BB433" s="649"/>
      <c r="BC433" s="649"/>
      <c r="BD433" s="649"/>
      <c r="BE433" s="685"/>
      <c r="BF433" s="679" t="s">
        <v>90</v>
      </c>
      <c r="BG433" s="680"/>
      <c r="BH433" s="632">
        <f t="shared" si="270"/>
        <v>40</v>
      </c>
      <c r="BI433" s="633">
        <f t="shared" si="271"/>
        <v>40</v>
      </c>
      <c r="BJ433" s="633">
        <f t="shared" si="272"/>
        <v>40</v>
      </c>
      <c r="BK433" s="633">
        <f t="shared" si="273"/>
        <v>40</v>
      </c>
      <c r="BL433" s="633">
        <f t="shared" si="274"/>
        <v>40</v>
      </c>
      <c r="BM433" s="633">
        <f t="shared" si="275"/>
        <v>40</v>
      </c>
      <c r="BN433" s="697"/>
      <c r="BO433" s="697"/>
      <c r="BP433" s="697"/>
      <c r="BQ433" s="697"/>
      <c r="BR433" s="697"/>
      <c r="BS433" s="697"/>
      <c r="BT433" s="607">
        <f t="shared" si="251"/>
        <v>240</v>
      </c>
      <c r="BU433" s="608">
        <f t="shared" si="252"/>
        <v>0</v>
      </c>
      <c r="BV433" s="694"/>
      <c r="BW433" s="491"/>
      <c r="XCP433" s="670"/>
      <c r="XCQ433" s="490"/>
      <c r="XCR433" s="653"/>
      <c r="XCS433" s="654"/>
      <c r="XCT433" s="657"/>
      <c r="XCU433" s="654"/>
      <c r="XCV433" s="656"/>
      <c r="XCW433" s="656"/>
      <c r="XCX433" s="657"/>
      <c r="XCY433" s="658"/>
      <c r="XCZ433" s="658"/>
      <c r="XDA433" s="658"/>
      <c r="XDB433" s="671"/>
      <c r="XDC433" s="659"/>
      <c r="XDD433" s="659"/>
      <c r="XDE433" s="660"/>
      <c r="XDF433" s="660"/>
      <c r="XDG433" s="670"/>
      <c r="XDH433" s="490"/>
      <c r="XDI433" s="653"/>
      <c r="XDJ433" s="654"/>
      <c r="XDK433" s="657"/>
      <c r="XDL433" s="654"/>
      <c r="XDM433" s="656"/>
      <c r="XDN433" s="656"/>
      <c r="XDO433" s="657"/>
      <c r="XDP433" s="658"/>
      <c r="XDQ433" s="658"/>
      <c r="XDR433" s="658"/>
      <c r="XDS433" s="671"/>
      <c r="XDT433" s="659"/>
      <c r="XDU433" s="659"/>
      <c r="XDV433" s="660"/>
      <c r="XDW433" s="660"/>
      <c r="XDX433" s="670"/>
      <c r="XDY433" s="490"/>
      <c r="XDZ433" s="653"/>
      <c r="XEA433" s="654"/>
      <c r="XEB433" s="657"/>
      <c r="XEC433" s="654"/>
      <c r="XED433" s="656"/>
      <c r="XEE433" s="656"/>
      <c r="XEF433" s="657"/>
      <c r="XEG433" s="658"/>
      <c r="XEH433" s="658"/>
      <c r="XEI433" s="658"/>
      <c r="XEJ433" s="671"/>
      <c r="XEK433" s="659"/>
      <c r="XEL433" s="659"/>
      <c r="XEM433" s="660"/>
      <c r="XEN433" s="660"/>
      <c r="XEO433" s="670"/>
      <c r="XEP433" s="490"/>
      <c r="XEQ433" s="653"/>
      <c r="XER433" s="654"/>
      <c r="XES433" s="657"/>
      <c r="XET433" s="654"/>
      <c r="XEU433" s="656"/>
      <c r="XEV433" s="656"/>
      <c r="XEW433" s="657"/>
      <c r="XEX433" s="658"/>
      <c r="XEY433" s="658"/>
      <c r="XEZ433" s="658"/>
      <c r="XFA433" s="671"/>
      <c r="XFB433" s="659"/>
      <c r="XFC433" s="659"/>
      <c r="XFD433" s="660"/>
    </row>
    <row r="434" s="490" customFormat="1" ht="34" customHeight="1" spans="1:75 16318:16384">
      <c r="A434" s="577">
        <v>46090</v>
      </c>
      <c r="B434" s="649" t="s">
        <v>236</v>
      </c>
      <c r="C434" s="579" t="s">
        <v>237</v>
      </c>
      <c r="D434" s="580">
        <v>4500195747</v>
      </c>
      <c r="E434" s="578"/>
      <c r="F434" s="580" t="s">
        <v>2062</v>
      </c>
      <c r="G434" s="582" t="s">
        <v>81</v>
      </c>
      <c r="H434" s="578" t="s">
        <v>95</v>
      </c>
      <c r="I434" s="681">
        <v>120</v>
      </c>
      <c r="J434" s="583">
        <v>0</v>
      </c>
      <c r="K434" s="583">
        <v>6</v>
      </c>
      <c r="L434" s="584">
        <f t="shared" si="245"/>
        <v>20</v>
      </c>
      <c r="M434" s="585">
        <v>46142</v>
      </c>
      <c r="N434" s="585">
        <v>46139</v>
      </c>
      <c r="O434" s="586"/>
      <c r="P434" s="586" t="s">
        <v>83</v>
      </c>
      <c r="Q434" s="673" t="s">
        <v>2063</v>
      </c>
      <c r="R434" s="586" t="s">
        <v>2043</v>
      </c>
      <c r="S434" s="586"/>
      <c r="T434" s="586"/>
      <c r="U434" s="641" t="s">
        <v>2064</v>
      </c>
      <c r="V434" s="641"/>
      <c r="W434" s="641"/>
      <c r="X434" s="661" t="s">
        <v>2065</v>
      </c>
      <c r="Y434" s="586" t="s">
        <v>243</v>
      </c>
      <c r="Z434" s="590">
        <v>5.7828</v>
      </c>
      <c r="AA434" s="591">
        <f t="shared" si="246"/>
        <v>693.936</v>
      </c>
      <c r="AB434" s="619"/>
      <c r="AC434" s="582" t="s">
        <v>235</v>
      </c>
      <c r="AD434" s="593" t="s">
        <v>89</v>
      </c>
      <c r="AE434" s="698"/>
      <c r="AF434" s="691"/>
      <c r="AG434" s="672"/>
      <c r="AH434" s="691"/>
      <c r="AI434" s="691"/>
      <c r="AJ434" s="666">
        <f>I434</f>
        <v>120</v>
      </c>
      <c r="AK434" s="672"/>
      <c r="AL434" s="699"/>
      <c r="AM434" s="700"/>
      <c r="AN434" s="666">
        <f t="shared" si="276"/>
        <v>120</v>
      </c>
      <c r="AO434" s="666"/>
      <c r="AP434" s="691"/>
      <c r="AQ434" s="691"/>
      <c r="AR434" s="666"/>
      <c r="AS434" s="691"/>
      <c r="AT434" s="701"/>
      <c r="AU434" s="592">
        <f>I434</f>
        <v>120</v>
      </c>
      <c r="AV434" s="649"/>
      <c r="AW434" s="592">
        <f t="shared" si="277"/>
        <v>120</v>
      </c>
      <c r="AX434" s="649"/>
      <c r="AY434" s="649"/>
      <c r="AZ434" s="649"/>
      <c r="BA434" s="649"/>
      <c r="BB434" s="649"/>
      <c r="BC434" s="649"/>
      <c r="BD434" s="649"/>
      <c r="BE434" s="685"/>
      <c r="BF434" s="679" t="s">
        <v>90</v>
      </c>
      <c r="BG434" s="680"/>
      <c r="BH434" s="632">
        <f t="shared" si="270"/>
        <v>20</v>
      </c>
      <c r="BI434" s="633">
        <f t="shared" si="271"/>
        <v>20</v>
      </c>
      <c r="BJ434" s="633">
        <f t="shared" si="272"/>
        <v>20</v>
      </c>
      <c r="BK434" s="633">
        <f t="shared" si="273"/>
        <v>20</v>
      </c>
      <c r="BL434" s="633">
        <f t="shared" si="274"/>
        <v>20</v>
      </c>
      <c r="BM434" s="633">
        <f t="shared" si="275"/>
        <v>20</v>
      </c>
      <c r="BN434" s="697"/>
      <c r="BO434" s="697"/>
      <c r="BP434" s="697"/>
      <c r="BQ434" s="697"/>
      <c r="BR434" s="697"/>
      <c r="BS434" s="697"/>
      <c r="BT434" s="607">
        <f t="shared" si="251"/>
        <v>120</v>
      </c>
      <c r="BU434" s="608">
        <f t="shared" si="252"/>
        <v>0</v>
      </c>
      <c r="BV434" s="694"/>
      <c r="BW434" s="491"/>
      <c r="XCP434" s="670"/>
      <c r="XCQ434" s="490"/>
      <c r="XCR434" s="653"/>
      <c r="XCS434" s="654"/>
      <c r="XCT434" s="657"/>
      <c r="XCU434" s="654"/>
      <c r="XCV434" s="656"/>
      <c r="XCW434" s="656"/>
      <c r="XCX434" s="657"/>
      <c r="XCY434" s="658"/>
      <c r="XCZ434" s="658"/>
      <c r="XDA434" s="658"/>
      <c r="XDB434" s="671"/>
      <c r="XDC434" s="659"/>
      <c r="XDD434" s="659"/>
      <c r="XDE434" s="660"/>
      <c r="XDF434" s="660"/>
      <c r="XDG434" s="670"/>
      <c r="XDH434" s="490"/>
      <c r="XDI434" s="653"/>
      <c r="XDJ434" s="654"/>
      <c r="XDK434" s="657"/>
      <c r="XDL434" s="654"/>
      <c r="XDM434" s="656"/>
      <c r="XDN434" s="656"/>
      <c r="XDO434" s="657"/>
      <c r="XDP434" s="658"/>
      <c r="XDQ434" s="658"/>
      <c r="XDR434" s="658"/>
      <c r="XDS434" s="671"/>
      <c r="XDT434" s="659"/>
      <c r="XDU434" s="659"/>
      <c r="XDV434" s="660"/>
      <c r="XDW434" s="660"/>
      <c r="XDX434" s="670"/>
      <c r="XDY434" s="490"/>
      <c r="XDZ434" s="653"/>
      <c r="XEA434" s="654"/>
      <c r="XEB434" s="657"/>
      <c r="XEC434" s="654"/>
      <c r="XED434" s="656"/>
      <c r="XEE434" s="656"/>
      <c r="XEF434" s="657"/>
      <c r="XEG434" s="658"/>
      <c r="XEH434" s="658"/>
      <c r="XEI434" s="658"/>
      <c r="XEJ434" s="671"/>
      <c r="XEK434" s="659"/>
      <c r="XEL434" s="659"/>
      <c r="XEM434" s="660"/>
      <c r="XEN434" s="660"/>
      <c r="XEO434" s="670"/>
      <c r="XEP434" s="490"/>
      <c r="XEQ434" s="653"/>
      <c r="XER434" s="654"/>
      <c r="XES434" s="657"/>
      <c r="XET434" s="654"/>
      <c r="XEU434" s="656"/>
      <c r="XEV434" s="656"/>
      <c r="XEW434" s="657"/>
      <c r="XEX434" s="658"/>
      <c r="XEY434" s="658"/>
      <c r="XEZ434" s="658"/>
      <c r="XFA434" s="671"/>
      <c r="XFB434" s="659"/>
      <c r="XFC434" s="659"/>
      <c r="XFD434" s="660"/>
    </row>
    <row r="435" s="490" customFormat="1" ht="34" customHeight="1" spans="1:75 16318:16384">
      <c r="A435" s="577">
        <v>46105</v>
      </c>
      <c r="B435" s="578" t="s">
        <v>2066</v>
      </c>
      <c r="C435" s="579" t="s">
        <v>2067</v>
      </c>
      <c r="D435" s="580">
        <v>4500198237</v>
      </c>
      <c r="E435" s="581"/>
      <c r="F435" s="580" t="s">
        <v>2068</v>
      </c>
      <c r="G435" s="582" t="s">
        <v>81</v>
      </c>
      <c r="H435" s="578" t="s">
        <v>82</v>
      </c>
      <c r="I435" s="583">
        <v>120</v>
      </c>
      <c r="J435" s="583">
        <v>0</v>
      </c>
      <c r="K435" s="583">
        <v>6</v>
      </c>
      <c r="L435" s="584">
        <f t="shared" ref="L435:L458" si="278">I435/K435</f>
        <v>20</v>
      </c>
      <c r="M435" s="585">
        <v>46148</v>
      </c>
      <c r="N435" s="585">
        <v>46144</v>
      </c>
      <c r="O435" s="586"/>
      <c r="P435" s="586" t="s">
        <v>83</v>
      </c>
      <c r="Q435" s="587" t="s">
        <v>96</v>
      </c>
      <c r="R435" s="586" t="s">
        <v>870</v>
      </c>
      <c r="S435" s="586"/>
      <c r="T435" s="586"/>
      <c r="U435" s="586" t="s">
        <v>2069</v>
      </c>
      <c r="V435" s="586"/>
      <c r="W435" s="586"/>
      <c r="X435" s="588" t="s">
        <v>2070</v>
      </c>
      <c r="Y435" s="589" t="s">
        <v>1004</v>
      </c>
      <c r="Z435" s="686">
        <v>5.7358</v>
      </c>
      <c r="AA435" s="591">
        <f t="shared" si="246"/>
        <v>688.296</v>
      </c>
      <c r="AB435" s="592"/>
      <c r="AC435" s="582" t="s">
        <v>81</v>
      </c>
      <c r="AD435" s="593" t="s">
        <v>89</v>
      </c>
      <c r="AE435" s="695"/>
      <c r="AF435" s="695"/>
      <c r="AG435" s="595">
        <f>I435</f>
        <v>120</v>
      </c>
      <c r="AH435" s="690"/>
      <c r="AI435" s="690"/>
      <c r="AJ435" s="592"/>
      <c r="AK435" s="592"/>
      <c r="AL435" s="690"/>
      <c r="AM435" s="688"/>
      <c r="AN435" s="598">
        <f t="shared" si="276"/>
        <v>120</v>
      </c>
      <c r="AO435" s="592"/>
      <c r="AP435" s="696"/>
      <c r="AQ435" s="690"/>
      <c r="AR435" s="592">
        <f>I435</f>
        <v>120</v>
      </c>
      <c r="AS435" s="690"/>
      <c r="AT435" s="690"/>
      <c r="AU435" s="592"/>
      <c r="AV435" s="592"/>
      <c r="AW435" s="592">
        <f t="shared" si="277"/>
        <v>120</v>
      </c>
      <c r="AX435" s="592"/>
      <c r="AY435" s="600"/>
      <c r="AZ435" s="649"/>
      <c r="BA435" s="649"/>
      <c r="BB435" s="649"/>
      <c r="BC435" s="649"/>
      <c r="BD435" s="649"/>
      <c r="BE435" s="685"/>
      <c r="BF435" s="679" t="s">
        <v>90</v>
      </c>
      <c r="BG435" s="680"/>
      <c r="BH435" s="632">
        <f t="shared" si="270"/>
        <v>20</v>
      </c>
      <c r="BI435" s="633">
        <f t="shared" si="271"/>
        <v>20</v>
      </c>
      <c r="BJ435" s="633">
        <f t="shared" si="272"/>
        <v>20</v>
      </c>
      <c r="BK435" s="633">
        <f t="shared" si="273"/>
        <v>20</v>
      </c>
      <c r="BL435" s="633">
        <f t="shared" si="274"/>
        <v>20</v>
      </c>
      <c r="BM435" s="633">
        <f t="shared" si="275"/>
        <v>20</v>
      </c>
      <c r="BN435" s="697"/>
      <c r="BO435" s="697"/>
      <c r="BP435" s="697"/>
      <c r="BQ435" s="697"/>
      <c r="BR435" s="697"/>
      <c r="BS435" s="697"/>
      <c r="BT435" s="607">
        <f t="shared" si="251"/>
        <v>120</v>
      </c>
      <c r="BU435" s="608">
        <f t="shared" si="252"/>
        <v>0</v>
      </c>
      <c r="BV435" s="694"/>
      <c r="BW435" s="491"/>
      <c r="XCP435" s="670"/>
      <c r="XCQ435" s="490"/>
      <c r="XCR435" s="653"/>
      <c r="XCS435" s="654"/>
      <c r="XCT435" s="657"/>
      <c r="XCU435" s="654"/>
      <c r="XCV435" s="656"/>
      <c r="XCW435" s="656"/>
      <c r="XCX435" s="657"/>
      <c r="XCY435" s="658"/>
      <c r="XCZ435" s="658"/>
      <c r="XDA435" s="658"/>
      <c r="XDB435" s="671"/>
      <c r="XDC435" s="659"/>
      <c r="XDD435" s="659"/>
      <c r="XDE435" s="660"/>
      <c r="XDF435" s="660"/>
      <c r="XDG435" s="670"/>
      <c r="XDH435" s="490"/>
      <c r="XDI435" s="653"/>
      <c r="XDJ435" s="654"/>
      <c r="XDK435" s="657"/>
      <c r="XDL435" s="654"/>
      <c r="XDM435" s="656"/>
      <c r="XDN435" s="656"/>
      <c r="XDO435" s="657"/>
      <c r="XDP435" s="658"/>
      <c r="XDQ435" s="658"/>
      <c r="XDR435" s="658"/>
      <c r="XDS435" s="671"/>
      <c r="XDT435" s="659"/>
      <c r="XDU435" s="659"/>
      <c r="XDV435" s="660"/>
      <c r="XDW435" s="660"/>
      <c r="XDX435" s="670"/>
      <c r="XDY435" s="490"/>
      <c r="XDZ435" s="653"/>
      <c r="XEA435" s="654"/>
      <c r="XEB435" s="657"/>
      <c r="XEC435" s="654"/>
      <c r="XED435" s="656"/>
      <c r="XEE435" s="656"/>
      <c r="XEF435" s="657"/>
      <c r="XEG435" s="658"/>
      <c r="XEH435" s="658"/>
      <c r="XEI435" s="658"/>
      <c r="XEJ435" s="671"/>
      <c r="XEK435" s="659"/>
      <c r="XEL435" s="659"/>
      <c r="XEM435" s="660"/>
      <c r="XEN435" s="660"/>
      <c r="XEO435" s="670"/>
      <c r="XEP435" s="490"/>
      <c r="XEQ435" s="653"/>
      <c r="XER435" s="654"/>
      <c r="XES435" s="657"/>
      <c r="XET435" s="654"/>
      <c r="XEU435" s="656"/>
      <c r="XEV435" s="656"/>
      <c r="XEW435" s="657"/>
      <c r="XEX435" s="658"/>
      <c r="XEY435" s="658"/>
      <c r="XEZ435" s="658"/>
      <c r="XFA435" s="671"/>
      <c r="XFB435" s="659"/>
      <c r="XFC435" s="659"/>
      <c r="XFD435" s="660"/>
    </row>
    <row r="436" s="490" customFormat="1" ht="33" customHeight="1" spans="1:75 16318:16384">
      <c r="A436" s="577">
        <v>46114</v>
      </c>
      <c r="B436" s="649" t="s">
        <v>2071</v>
      </c>
      <c r="C436" s="579" t="s">
        <v>967</v>
      </c>
      <c r="D436" s="580">
        <v>4500199666</v>
      </c>
      <c r="E436" s="588">
        <v>20173</v>
      </c>
      <c r="F436" s="580" t="s">
        <v>2072</v>
      </c>
      <c r="G436" s="582" t="s">
        <v>81</v>
      </c>
      <c r="H436" s="578" t="s">
        <v>95</v>
      </c>
      <c r="I436" s="583">
        <v>960</v>
      </c>
      <c r="J436" s="583">
        <v>0</v>
      </c>
      <c r="K436" s="583">
        <v>6</v>
      </c>
      <c r="L436" s="584">
        <f t="shared" si="278"/>
        <v>160</v>
      </c>
      <c r="M436" s="585">
        <v>46148</v>
      </c>
      <c r="N436" s="585">
        <v>46144</v>
      </c>
      <c r="O436" s="586"/>
      <c r="P436" s="586" t="s">
        <v>83</v>
      </c>
      <c r="Q436" s="587" t="s">
        <v>2073</v>
      </c>
      <c r="R436" s="586" t="s">
        <v>933</v>
      </c>
      <c r="S436" s="586"/>
      <c r="T436" s="586"/>
      <c r="U436" s="641" t="s">
        <v>2074</v>
      </c>
      <c r="V436" s="641"/>
      <c r="W436" s="641"/>
      <c r="X436" s="661" t="s">
        <v>2075</v>
      </c>
      <c r="Y436" s="586" t="s">
        <v>2038</v>
      </c>
      <c r="Z436" s="590">
        <v>5.9216</v>
      </c>
      <c r="AA436" s="591">
        <f t="shared" ref="AA436:AA499" si="279">Z436*I436</f>
        <v>5684.736</v>
      </c>
      <c r="AB436" s="619"/>
      <c r="AC436" s="582" t="s">
        <v>235</v>
      </c>
      <c r="AD436" s="593" t="s">
        <v>89</v>
      </c>
      <c r="AE436" s="695"/>
      <c r="AF436" s="702"/>
      <c r="AG436" s="621"/>
      <c r="AH436" s="688"/>
      <c r="AI436" s="687"/>
      <c r="AJ436" s="592">
        <f>I436</f>
        <v>960</v>
      </c>
      <c r="AK436" s="592"/>
      <c r="AL436" s="687"/>
      <c r="AM436" s="690"/>
      <c r="AN436" s="598">
        <f t="shared" si="276"/>
        <v>960</v>
      </c>
      <c r="AO436" s="592"/>
      <c r="AP436" s="687"/>
      <c r="AQ436" s="687"/>
      <c r="AR436" s="592"/>
      <c r="AS436" s="687"/>
      <c r="AT436" s="687"/>
      <c r="AU436" s="592">
        <f>I436</f>
        <v>960</v>
      </c>
      <c r="AV436" s="618"/>
      <c r="AW436" s="592">
        <f t="shared" si="277"/>
        <v>960</v>
      </c>
      <c r="AX436" s="621"/>
      <c r="AY436" s="666"/>
      <c r="AZ436" s="666"/>
      <c r="BA436" s="666"/>
      <c r="BB436" s="666"/>
      <c r="BC436" s="666"/>
      <c r="BD436" s="667"/>
      <c r="BE436" s="668"/>
      <c r="BF436" s="679" t="s">
        <v>90</v>
      </c>
      <c r="BG436" s="680"/>
      <c r="BH436" s="632">
        <f t="shared" si="270"/>
        <v>160</v>
      </c>
      <c r="BI436" s="633">
        <f t="shared" si="271"/>
        <v>160</v>
      </c>
      <c r="BJ436" s="633">
        <f t="shared" si="272"/>
        <v>160</v>
      </c>
      <c r="BK436" s="633">
        <f t="shared" si="273"/>
        <v>160</v>
      </c>
      <c r="BL436" s="633">
        <f t="shared" si="274"/>
        <v>160</v>
      </c>
      <c r="BM436" s="633">
        <f t="shared" si="275"/>
        <v>160</v>
      </c>
      <c r="BN436" s="693"/>
      <c r="BO436" s="693"/>
      <c r="BP436" s="693"/>
      <c r="BQ436" s="693"/>
      <c r="BR436" s="693"/>
      <c r="BS436" s="693"/>
      <c r="BT436" s="607">
        <f t="shared" si="251"/>
        <v>960</v>
      </c>
      <c r="BU436" s="608">
        <f t="shared" si="252"/>
        <v>0</v>
      </c>
      <c r="BV436" s="694"/>
      <c r="BW436" s="491"/>
    </row>
    <row r="437" s="490" customFormat="1" ht="33" customHeight="1" spans="1:75 16318:16384">
      <c r="A437" s="577">
        <v>46113</v>
      </c>
      <c r="B437" s="578" t="s">
        <v>254</v>
      </c>
      <c r="C437" s="579" t="s">
        <v>255</v>
      </c>
      <c r="D437" s="580">
        <v>4500199674</v>
      </c>
      <c r="E437" s="634">
        <v>21629666</v>
      </c>
      <c r="F437" s="580" t="s">
        <v>2076</v>
      </c>
      <c r="G437" s="582" t="s">
        <v>81</v>
      </c>
      <c r="H437" s="578" t="s">
        <v>82</v>
      </c>
      <c r="I437" s="583">
        <v>1428</v>
      </c>
      <c r="J437" s="583">
        <v>0</v>
      </c>
      <c r="K437" s="583">
        <v>6</v>
      </c>
      <c r="L437" s="584">
        <f t="shared" si="278"/>
        <v>238</v>
      </c>
      <c r="M437" s="585">
        <v>46153</v>
      </c>
      <c r="N437" s="585">
        <v>46149</v>
      </c>
      <c r="O437" s="586"/>
      <c r="P437" s="586" t="s">
        <v>83</v>
      </c>
      <c r="Q437" s="587" t="s">
        <v>2077</v>
      </c>
      <c r="R437" s="586" t="s">
        <v>2078</v>
      </c>
      <c r="S437" s="586"/>
      <c r="T437" s="586"/>
      <c r="U437" s="586" t="s">
        <v>2079</v>
      </c>
      <c r="V437" s="586"/>
      <c r="W437" s="586"/>
      <c r="X437" s="588" t="s">
        <v>2080</v>
      </c>
      <c r="Y437" s="589" t="s">
        <v>2081</v>
      </c>
      <c r="Z437" s="686">
        <v>5.7281</v>
      </c>
      <c r="AA437" s="591">
        <f t="shared" si="279"/>
        <v>8179.7268</v>
      </c>
      <c r="AB437" s="592"/>
      <c r="AC437" s="582" t="s">
        <v>81</v>
      </c>
      <c r="AD437" s="593" t="s">
        <v>89</v>
      </c>
      <c r="AE437" s="695"/>
      <c r="AF437" s="695"/>
      <c r="AG437" s="595">
        <f>I437</f>
        <v>1428</v>
      </c>
      <c r="AH437" s="690"/>
      <c r="AI437" s="690"/>
      <c r="AJ437" s="592"/>
      <c r="AK437" s="592"/>
      <c r="AL437" s="690"/>
      <c r="AM437" s="688"/>
      <c r="AN437" s="598">
        <f t="shared" si="276"/>
        <v>1428</v>
      </c>
      <c r="AO437" s="592"/>
      <c r="AP437" s="696"/>
      <c r="AQ437" s="690"/>
      <c r="AR437" s="592">
        <f>I437</f>
        <v>1428</v>
      </c>
      <c r="AS437" s="690"/>
      <c r="AT437" s="690"/>
      <c r="AU437" s="592"/>
      <c r="AV437" s="592"/>
      <c r="AW437" s="592">
        <f t="shared" si="277"/>
        <v>1428</v>
      </c>
      <c r="AX437" s="592"/>
      <c r="AY437" s="600"/>
      <c r="AZ437" s="666"/>
      <c r="BA437" s="666"/>
      <c r="BB437" s="666"/>
      <c r="BC437" s="666"/>
      <c r="BD437" s="667"/>
      <c r="BE437" s="668"/>
      <c r="BF437" s="679" t="s">
        <v>90</v>
      </c>
      <c r="BG437" s="680"/>
      <c r="BH437" s="632">
        <f t="shared" si="270"/>
        <v>238</v>
      </c>
      <c r="BI437" s="633">
        <f t="shared" si="271"/>
        <v>238</v>
      </c>
      <c r="BJ437" s="633">
        <f t="shared" si="272"/>
        <v>238</v>
      </c>
      <c r="BK437" s="633">
        <f t="shared" si="273"/>
        <v>238</v>
      </c>
      <c r="BL437" s="633">
        <f t="shared" si="274"/>
        <v>238</v>
      </c>
      <c r="BM437" s="633">
        <f t="shared" si="275"/>
        <v>238</v>
      </c>
      <c r="BN437" s="693"/>
      <c r="BO437" s="693"/>
      <c r="BP437" s="693"/>
      <c r="BQ437" s="693"/>
      <c r="BR437" s="693"/>
      <c r="BS437" s="693"/>
      <c r="BT437" s="607">
        <f t="shared" si="251"/>
        <v>1428</v>
      </c>
      <c r="BU437" s="608">
        <f t="shared" si="252"/>
        <v>0</v>
      </c>
      <c r="BV437" s="694"/>
      <c r="BW437" s="491"/>
    </row>
    <row r="438" s="490" customFormat="1" ht="33" customHeight="1" spans="1:75 16318:16384">
      <c r="A438" s="577">
        <v>46113</v>
      </c>
      <c r="B438" s="578" t="s">
        <v>245</v>
      </c>
      <c r="C438" s="579" t="s">
        <v>246</v>
      </c>
      <c r="D438" s="580">
        <v>4500199690</v>
      </c>
      <c r="E438" s="634">
        <v>21629667</v>
      </c>
      <c r="F438" s="580" t="s">
        <v>2082</v>
      </c>
      <c r="G438" s="582" t="s">
        <v>81</v>
      </c>
      <c r="H438" s="578" t="s">
        <v>82</v>
      </c>
      <c r="I438" s="583">
        <v>72</v>
      </c>
      <c r="J438" s="583">
        <v>0</v>
      </c>
      <c r="K438" s="583">
        <v>6</v>
      </c>
      <c r="L438" s="584">
        <f t="shared" si="278"/>
        <v>12</v>
      </c>
      <c r="M438" s="585">
        <v>46153</v>
      </c>
      <c r="N438" s="585">
        <v>46149</v>
      </c>
      <c r="O438" s="586"/>
      <c r="P438" s="586" t="s">
        <v>83</v>
      </c>
      <c r="Q438" s="587" t="s">
        <v>2077</v>
      </c>
      <c r="R438" s="586" t="s">
        <v>2078</v>
      </c>
      <c r="S438" s="586"/>
      <c r="T438" s="586"/>
      <c r="U438" s="586" t="s">
        <v>2079</v>
      </c>
      <c r="V438" s="586"/>
      <c r="W438" s="586"/>
      <c r="X438" s="588" t="s">
        <v>2083</v>
      </c>
      <c r="Y438" s="589" t="s">
        <v>2081</v>
      </c>
      <c r="Z438" s="686">
        <v>5.7358</v>
      </c>
      <c r="AA438" s="591">
        <f t="shared" si="279"/>
        <v>412.9776</v>
      </c>
      <c r="AB438" s="592"/>
      <c r="AC438" s="582" t="s">
        <v>81</v>
      </c>
      <c r="AD438" s="593" t="s">
        <v>89</v>
      </c>
      <c r="AE438" s="695"/>
      <c r="AF438" s="695"/>
      <c r="AG438" s="595">
        <f>I438</f>
        <v>72</v>
      </c>
      <c r="AH438" s="690"/>
      <c r="AI438" s="690"/>
      <c r="AJ438" s="592"/>
      <c r="AK438" s="592"/>
      <c r="AL438" s="690"/>
      <c r="AM438" s="688"/>
      <c r="AN438" s="598">
        <f t="shared" si="276"/>
        <v>72</v>
      </c>
      <c r="AO438" s="592"/>
      <c r="AP438" s="696"/>
      <c r="AQ438" s="690"/>
      <c r="AR438" s="592">
        <f>I438</f>
        <v>72</v>
      </c>
      <c r="AS438" s="690"/>
      <c r="AT438" s="690"/>
      <c r="AU438" s="592"/>
      <c r="AV438" s="592"/>
      <c r="AW438" s="592">
        <f t="shared" si="277"/>
        <v>72</v>
      </c>
      <c r="AX438" s="592"/>
      <c r="AY438" s="600"/>
      <c r="AZ438" s="666"/>
      <c r="BA438" s="666"/>
      <c r="BB438" s="666"/>
      <c r="BC438" s="666"/>
      <c r="BD438" s="667"/>
      <c r="BE438" s="668"/>
      <c r="BF438" s="679" t="s">
        <v>90</v>
      </c>
      <c r="BG438" s="680"/>
      <c r="BH438" s="632">
        <f t="shared" si="270"/>
        <v>12</v>
      </c>
      <c r="BI438" s="633">
        <f t="shared" si="271"/>
        <v>12</v>
      </c>
      <c r="BJ438" s="633">
        <f t="shared" si="272"/>
        <v>12</v>
      </c>
      <c r="BK438" s="633">
        <f t="shared" si="273"/>
        <v>12</v>
      </c>
      <c r="BL438" s="633">
        <f t="shared" si="274"/>
        <v>12</v>
      </c>
      <c r="BM438" s="633">
        <f t="shared" si="275"/>
        <v>12</v>
      </c>
      <c r="BN438" s="693"/>
      <c r="BO438" s="693"/>
      <c r="BP438" s="693"/>
      <c r="BQ438" s="693"/>
      <c r="BR438" s="693"/>
      <c r="BS438" s="693"/>
      <c r="BT438" s="607">
        <f t="shared" si="251"/>
        <v>72</v>
      </c>
      <c r="BU438" s="608">
        <f t="shared" si="252"/>
        <v>0</v>
      </c>
      <c r="BV438" s="694"/>
      <c r="BW438" s="491"/>
    </row>
    <row r="439" s="490" customFormat="1" ht="34" customHeight="1" spans="1:75 16318:16384">
      <c r="A439" s="577">
        <v>46106</v>
      </c>
      <c r="B439" s="578" t="s">
        <v>2084</v>
      </c>
      <c r="C439" s="579" t="s">
        <v>2085</v>
      </c>
      <c r="D439" s="580">
        <v>4500198430</v>
      </c>
      <c r="E439" s="581" t="s">
        <v>2086</v>
      </c>
      <c r="F439" s="580" t="s">
        <v>2087</v>
      </c>
      <c r="G439" s="582" t="s">
        <v>969</v>
      </c>
      <c r="H439" s="578" t="s">
        <v>970</v>
      </c>
      <c r="I439" s="583">
        <v>540</v>
      </c>
      <c r="J439" s="583">
        <v>0</v>
      </c>
      <c r="K439" s="583">
        <v>4</v>
      </c>
      <c r="L439" s="584">
        <f t="shared" si="278"/>
        <v>135</v>
      </c>
      <c r="M439" s="585">
        <v>46156</v>
      </c>
      <c r="N439" s="585">
        <v>46153</v>
      </c>
      <c r="O439" s="586"/>
      <c r="P439" s="586" t="s">
        <v>83</v>
      </c>
      <c r="Q439" s="587" t="s">
        <v>948</v>
      </c>
      <c r="R439" s="586" t="s">
        <v>954</v>
      </c>
      <c r="S439" s="586"/>
      <c r="T439" s="586"/>
      <c r="U439" s="586" t="s">
        <v>2088</v>
      </c>
      <c r="V439" s="586"/>
      <c r="W439" s="586"/>
      <c r="X439" s="588" t="s">
        <v>2089</v>
      </c>
      <c r="Y439" s="589" t="s">
        <v>2090</v>
      </c>
      <c r="Z439" s="686">
        <v>5.8612</v>
      </c>
      <c r="AA439" s="591">
        <f t="shared" si="279"/>
        <v>3165.048</v>
      </c>
      <c r="AB439" s="592"/>
      <c r="AC439" s="582" t="s">
        <v>976</v>
      </c>
      <c r="AD439" s="593" t="s">
        <v>89</v>
      </c>
      <c r="AE439" s="695"/>
      <c r="AF439" s="695"/>
      <c r="AG439" s="595"/>
      <c r="AH439" s="690"/>
      <c r="AI439" s="690"/>
      <c r="AJ439" s="592">
        <f>I439</f>
        <v>540</v>
      </c>
      <c r="AK439" s="592"/>
      <c r="AL439" s="690"/>
      <c r="AM439" s="688"/>
      <c r="AN439" s="598">
        <f t="shared" si="276"/>
        <v>540</v>
      </c>
      <c r="AO439" s="592"/>
      <c r="AP439" s="696"/>
      <c r="AQ439" s="690"/>
      <c r="AR439" s="592"/>
      <c r="AS439" s="690"/>
      <c r="AT439" s="690"/>
      <c r="AU439" s="592">
        <f>I439</f>
        <v>540</v>
      </c>
      <c r="AV439" s="592"/>
      <c r="AW439" s="592">
        <f t="shared" si="277"/>
        <v>540</v>
      </c>
      <c r="AX439" s="592"/>
      <c r="AY439" s="600"/>
      <c r="AZ439" s="649"/>
      <c r="BA439" s="649"/>
      <c r="BB439" s="649"/>
      <c r="BC439" s="649"/>
      <c r="BD439" s="649"/>
      <c r="BE439" s="685"/>
      <c r="BF439" s="679" t="s">
        <v>90</v>
      </c>
      <c r="BG439" s="680"/>
      <c r="BH439" s="632">
        <f t="shared" si="270"/>
        <v>90</v>
      </c>
      <c r="BI439" s="633">
        <f t="shared" si="271"/>
        <v>90</v>
      </c>
      <c r="BJ439" s="633">
        <f t="shared" si="272"/>
        <v>90</v>
      </c>
      <c r="BK439" s="633">
        <f t="shared" si="273"/>
        <v>90</v>
      </c>
      <c r="BL439" s="633">
        <f t="shared" si="274"/>
        <v>90</v>
      </c>
      <c r="BM439" s="633">
        <f t="shared" si="275"/>
        <v>90</v>
      </c>
      <c r="BN439" s="693"/>
      <c r="BO439" s="693"/>
      <c r="BP439" s="693"/>
      <c r="BQ439" s="693"/>
      <c r="BR439" s="693"/>
      <c r="BS439" s="693"/>
      <c r="BT439" s="607">
        <f t="shared" si="251"/>
        <v>540</v>
      </c>
      <c r="BU439" s="608">
        <f t="shared" si="252"/>
        <v>0</v>
      </c>
      <c r="BV439" s="694"/>
      <c r="BW439" s="491"/>
      <c r="XCP439" s="670"/>
      <c r="XCQ439" s="490"/>
      <c r="XCR439" s="653"/>
      <c r="XCS439" s="654"/>
      <c r="XCT439" s="657"/>
      <c r="XCU439" s="654"/>
      <c r="XCV439" s="656"/>
      <c r="XCW439" s="656"/>
      <c r="XCX439" s="657"/>
      <c r="XCY439" s="658"/>
      <c r="XCZ439" s="658"/>
      <c r="XDA439" s="658"/>
      <c r="XDB439" s="671"/>
      <c r="XDC439" s="659"/>
      <c r="XDD439" s="659"/>
      <c r="XDE439" s="660"/>
      <c r="XDF439" s="660"/>
      <c r="XDG439" s="670"/>
      <c r="XDH439" s="490"/>
      <c r="XDI439" s="653"/>
      <c r="XDJ439" s="654"/>
      <c r="XDK439" s="657"/>
      <c r="XDL439" s="654"/>
      <c r="XDM439" s="656"/>
      <c r="XDN439" s="656"/>
      <c r="XDO439" s="657"/>
      <c r="XDP439" s="658"/>
      <c r="XDQ439" s="658"/>
      <c r="XDR439" s="658"/>
      <c r="XDS439" s="671"/>
      <c r="XDT439" s="659"/>
      <c r="XDU439" s="659"/>
      <c r="XDV439" s="660"/>
      <c r="XDW439" s="660"/>
      <c r="XDX439" s="670"/>
      <c r="XDY439" s="490"/>
      <c r="XDZ439" s="653"/>
      <c r="XEA439" s="654"/>
      <c r="XEB439" s="657"/>
      <c r="XEC439" s="654"/>
      <c r="XED439" s="656"/>
      <c r="XEE439" s="656"/>
      <c r="XEF439" s="657"/>
      <c r="XEG439" s="658"/>
      <c r="XEH439" s="658"/>
      <c r="XEI439" s="658"/>
      <c r="XEJ439" s="671"/>
      <c r="XEK439" s="659"/>
      <c r="XEL439" s="659"/>
      <c r="XEM439" s="660"/>
      <c r="XEN439" s="660"/>
      <c r="XEO439" s="670"/>
      <c r="XEP439" s="490"/>
      <c r="XEQ439" s="653"/>
      <c r="XER439" s="654"/>
      <c r="XES439" s="657"/>
      <c r="XET439" s="654"/>
      <c r="XEU439" s="656"/>
      <c r="XEV439" s="656"/>
      <c r="XEW439" s="657"/>
      <c r="XEX439" s="658"/>
      <c r="XEY439" s="658"/>
      <c r="XEZ439" s="658"/>
      <c r="XFA439" s="671"/>
      <c r="XFB439" s="659"/>
      <c r="XFC439" s="659"/>
      <c r="XFD439" s="660"/>
    </row>
    <row r="440" s="490" customFormat="1" ht="34" customHeight="1" spans="1:75 16318:16384">
      <c r="A440" s="577">
        <v>46101</v>
      </c>
      <c r="B440" s="578" t="s">
        <v>2091</v>
      </c>
      <c r="C440" s="579" t="s">
        <v>967</v>
      </c>
      <c r="D440" s="580">
        <v>4500197359</v>
      </c>
      <c r="E440" s="581">
        <v>28058</v>
      </c>
      <c r="F440" s="580" t="s">
        <v>2092</v>
      </c>
      <c r="G440" s="582" t="s">
        <v>969</v>
      </c>
      <c r="H440" s="578" t="s">
        <v>970</v>
      </c>
      <c r="I440" s="583">
        <v>360</v>
      </c>
      <c r="J440" s="583">
        <v>0</v>
      </c>
      <c r="K440" s="583">
        <v>4</v>
      </c>
      <c r="L440" s="584">
        <f t="shared" si="278"/>
        <v>90</v>
      </c>
      <c r="M440" s="585">
        <v>46161</v>
      </c>
      <c r="N440" s="585">
        <v>46157</v>
      </c>
      <c r="O440" s="586"/>
      <c r="P440" s="586" t="s">
        <v>83</v>
      </c>
      <c r="Q440" s="587" t="s">
        <v>2093</v>
      </c>
      <c r="R440" s="586" t="s">
        <v>933</v>
      </c>
      <c r="S440" s="586"/>
      <c r="T440" s="586"/>
      <c r="U440" s="586" t="s">
        <v>2094</v>
      </c>
      <c r="V440" s="586"/>
      <c r="W440" s="586"/>
      <c r="X440" s="588" t="s">
        <v>2095</v>
      </c>
      <c r="Y440" s="589" t="s">
        <v>975</v>
      </c>
      <c r="Z440" s="686">
        <v>5.8612</v>
      </c>
      <c r="AA440" s="591">
        <f t="shared" si="279"/>
        <v>2110.032</v>
      </c>
      <c r="AB440" s="592"/>
      <c r="AC440" s="582" t="s">
        <v>976</v>
      </c>
      <c r="AD440" s="593" t="s">
        <v>89</v>
      </c>
      <c r="AE440" s="695"/>
      <c r="AF440" s="695"/>
      <c r="AG440" s="595"/>
      <c r="AH440" s="690"/>
      <c r="AI440" s="690"/>
      <c r="AJ440" s="592">
        <f>I440</f>
        <v>360</v>
      </c>
      <c r="AK440" s="592"/>
      <c r="AL440" s="690"/>
      <c r="AM440" s="688"/>
      <c r="AN440" s="598">
        <f t="shared" si="276"/>
        <v>360</v>
      </c>
      <c r="AO440" s="592"/>
      <c r="AP440" s="696"/>
      <c r="AQ440" s="690"/>
      <c r="AR440" s="592"/>
      <c r="AS440" s="690"/>
      <c r="AT440" s="690"/>
      <c r="AU440" s="592">
        <f>I440</f>
        <v>360</v>
      </c>
      <c r="AV440" s="592"/>
      <c r="AW440" s="592">
        <f t="shared" si="277"/>
        <v>360</v>
      </c>
      <c r="AX440" s="592"/>
      <c r="AY440" s="600"/>
      <c r="AZ440" s="649"/>
      <c r="BA440" s="649"/>
      <c r="BB440" s="649"/>
      <c r="BC440" s="649"/>
      <c r="BD440" s="649"/>
      <c r="BE440" s="685"/>
      <c r="BF440" s="679" t="s">
        <v>90</v>
      </c>
      <c r="BG440" s="680"/>
      <c r="BH440" s="632">
        <f t="shared" si="270"/>
        <v>60</v>
      </c>
      <c r="BI440" s="633">
        <f t="shared" si="271"/>
        <v>60</v>
      </c>
      <c r="BJ440" s="633">
        <f t="shared" si="272"/>
        <v>60</v>
      </c>
      <c r="BK440" s="633">
        <f t="shared" si="273"/>
        <v>60</v>
      </c>
      <c r="BL440" s="633">
        <f t="shared" si="274"/>
        <v>60</v>
      </c>
      <c r="BM440" s="633">
        <f t="shared" si="275"/>
        <v>60</v>
      </c>
      <c r="BN440" s="693"/>
      <c r="BO440" s="693"/>
      <c r="BP440" s="693"/>
      <c r="BQ440" s="693"/>
      <c r="BR440" s="693"/>
      <c r="BS440" s="693"/>
      <c r="BT440" s="607">
        <f t="shared" si="251"/>
        <v>360</v>
      </c>
      <c r="BU440" s="608">
        <f t="shared" si="252"/>
        <v>0</v>
      </c>
      <c r="BV440" s="694"/>
      <c r="BW440" s="491"/>
      <c r="XCP440" s="670"/>
      <c r="XCQ440" s="490"/>
      <c r="XCR440" s="653"/>
      <c r="XCS440" s="654"/>
      <c r="XCT440" s="657"/>
      <c r="XCU440" s="654"/>
      <c r="XCV440" s="656"/>
      <c r="XCW440" s="656"/>
      <c r="XCX440" s="657"/>
      <c r="XCY440" s="658"/>
      <c r="XCZ440" s="658"/>
      <c r="XDA440" s="658"/>
      <c r="XDB440" s="671"/>
      <c r="XDC440" s="659"/>
      <c r="XDD440" s="659"/>
      <c r="XDE440" s="660"/>
      <c r="XDF440" s="660"/>
      <c r="XDG440" s="670"/>
      <c r="XDH440" s="490"/>
      <c r="XDI440" s="653"/>
      <c r="XDJ440" s="654"/>
      <c r="XDK440" s="657"/>
      <c r="XDL440" s="654"/>
      <c r="XDM440" s="656"/>
      <c r="XDN440" s="656"/>
      <c r="XDO440" s="657"/>
      <c r="XDP440" s="658"/>
      <c r="XDQ440" s="658"/>
      <c r="XDR440" s="658"/>
      <c r="XDS440" s="671"/>
      <c r="XDT440" s="659"/>
      <c r="XDU440" s="659"/>
      <c r="XDV440" s="660"/>
      <c r="XDW440" s="660"/>
      <c r="XDX440" s="670"/>
      <c r="XDY440" s="490"/>
      <c r="XDZ440" s="653"/>
      <c r="XEA440" s="654"/>
      <c r="XEB440" s="657"/>
      <c r="XEC440" s="654"/>
      <c r="XED440" s="656"/>
      <c r="XEE440" s="656"/>
      <c r="XEF440" s="657"/>
      <c r="XEG440" s="658"/>
      <c r="XEH440" s="658"/>
      <c r="XEI440" s="658"/>
      <c r="XEJ440" s="671"/>
      <c r="XEK440" s="659"/>
      <c r="XEL440" s="659"/>
      <c r="XEM440" s="660"/>
      <c r="XEN440" s="660"/>
      <c r="XEO440" s="670"/>
      <c r="XEP440" s="490"/>
      <c r="XEQ440" s="653"/>
      <c r="XER440" s="654"/>
      <c r="XES440" s="657"/>
      <c r="XET440" s="654"/>
      <c r="XEU440" s="656"/>
      <c r="XEV440" s="656"/>
      <c r="XEW440" s="657"/>
      <c r="XEX440" s="658"/>
      <c r="XEY440" s="658"/>
      <c r="XEZ440" s="658"/>
      <c r="XFA440" s="671"/>
      <c r="XFB440" s="659"/>
      <c r="XFC440" s="659"/>
      <c r="XFD440" s="660"/>
    </row>
    <row r="441" s="491" customFormat="1" ht="33" customHeight="1" spans="1:75 16318:16384">
      <c r="A441" s="577">
        <v>46120</v>
      </c>
      <c r="B441" s="578" t="s">
        <v>263</v>
      </c>
      <c r="C441" s="579" t="s">
        <v>264</v>
      </c>
      <c r="D441" s="580">
        <v>4500200402</v>
      </c>
      <c r="E441" s="581" t="s">
        <v>2096</v>
      </c>
      <c r="F441" s="580" t="s">
        <v>2097</v>
      </c>
      <c r="G441" s="582" t="s">
        <v>81</v>
      </c>
      <c r="H441" s="578" t="s">
        <v>82</v>
      </c>
      <c r="I441" s="583">
        <v>900</v>
      </c>
      <c r="J441" s="583">
        <v>0</v>
      </c>
      <c r="K441" s="583">
        <v>6</v>
      </c>
      <c r="L441" s="584">
        <f t="shared" si="278"/>
        <v>150</v>
      </c>
      <c r="M441" s="585">
        <v>46162</v>
      </c>
      <c r="N441" s="585">
        <v>46158</v>
      </c>
      <c r="O441" s="586"/>
      <c r="P441" s="586" t="s">
        <v>83</v>
      </c>
      <c r="Q441" s="587" t="s">
        <v>990</v>
      </c>
      <c r="R441" s="586" t="s">
        <v>1009</v>
      </c>
      <c r="S441" s="586"/>
      <c r="T441" s="586"/>
      <c r="U441" s="586" t="s">
        <v>2098</v>
      </c>
      <c r="V441" s="586"/>
      <c r="W441" s="586"/>
      <c r="X441" s="588" t="s">
        <v>2099</v>
      </c>
      <c r="Y441" s="589" t="s">
        <v>243</v>
      </c>
      <c r="Z441" s="686">
        <v>5.9216</v>
      </c>
      <c r="AA441" s="591">
        <f t="shared" si="279"/>
        <v>5329.44</v>
      </c>
      <c r="AB441" s="592"/>
      <c r="AC441" s="582" t="s">
        <v>235</v>
      </c>
      <c r="AD441" s="593" t="s">
        <v>89</v>
      </c>
      <c r="AE441" s="592"/>
      <c r="AF441" s="592"/>
      <c r="AG441" s="592"/>
      <c r="AH441" s="592"/>
      <c r="AI441" s="592"/>
      <c r="AJ441" s="666">
        <f>I441</f>
        <v>900</v>
      </c>
      <c r="AK441" s="672"/>
      <c r="AL441" s="648"/>
      <c r="AM441" s="648"/>
      <c r="AN441" s="592">
        <f t="shared" si="276"/>
        <v>900</v>
      </c>
      <c r="AO441" s="666"/>
      <c r="AP441" s="666"/>
      <c r="AQ441" s="666"/>
      <c r="AR441" s="666"/>
      <c r="AS441" s="666"/>
      <c r="AT441" s="682"/>
      <c r="AU441" s="672">
        <f>I441</f>
        <v>900</v>
      </c>
      <c r="AV441" s="648"/>
      <c r="AW441" s="592">
        <f t="shared" si="277"/>
        <v>900</v>
      </c>
      <c r="AX441" s="648"/>
      <c r="AY441" s="648"/>
      <c r="AZ441" s="648"/>
      <c r="BA441" s="648"/>
      <c r="BB441" s="648"/>
      <c r="BC441" s="648"/>
      <c r="BD441" s="648"/>
      <c r="BE441" s="703"/>
      <c r="BF441" s="679" t="s">
        <v>90</v>
      </c>
      <c r="BG441" s="680"/>
      <c r="BH441" s="704">
        <f t="shared" si="270"/>
        <v>150</v>
      </c>
      <c r="BI441" s="705">
        <f t="shared" si="271"/>
        <v>150</v>
      </c>
      <c r="BJ441" s="705">
        <f t="shared" si="272"/>
        <v>150</v>
      </c>
      <c r="BK441" s="705">
        <f t="shared" si="273"/>
        <v>150</v>
      </c>
      <c r="BL441" s="705">
        <f t="shared" si="274"/>
        <v>150</v>
      </c>
      <c r="BM441" s="705">
        <f t="shared" si="275"/>
        <v>150</v>
      </c>
      <c r="BN441" s="680"/>
      <c r="BO441" s="680"/>
      <c r="BP441" s="680"/>
      <c r="BQ441" s="680"/>
      <c r="BR441" s="680"/>
      <c r="BS441" s="680"/>
      <c r="BT441" s="607">
        <f t="shared" si="251"/>
        <v>900</v>
      </c>
      <c r="BU441" s="608">
        <f t="shared" si="252"/>
        <v>0</v>
      </c>
      <c r="XDX441" s="670"/>
      <c r="XDY441" s="657"/>
      <c r="XDZ441" s="653"/>
      <c r="XEA441" s="654"/>
      <c r="XEB441" s="652"/>
      <c r="XEC441" s="654"/>
      <c r="XED441" s="656"/>
      <c r="XEE441" s="657"/>
      <c r="XEF441" s="658"/>
      <c r="XEG441" s="658"/>
      <c r="XEH441" s="658"/>
      <c r="XEI441" s="671"/>
      <c r="XEJ441" s="659"/>
      <c r="XEK441" s="659"/>
      <c r="XEL441" s="660"/>
      <c r="XEM441" s="660"/>
      <c r="XEO441" s="670"/>
      <c r="XEP441" s="657"/>
      <c r="XEQ441" s="653"/>
      <c r="XER441" s="654"/>
      <c r="XES441" s="652"/>
      <c r="XET441" s="654"/>
      <c r="XEU441" s="656"/>
      <c r="XEV441" s="657"/>
      <c r="XEW441" s="658"/>
      <c r="XEX441" s="658"/>
      <c r="XEY441" s="658"/>
      <c r="XEZ441" s="671"/>
      <c r="XFA441" s="659"/>
      <c r="XFB441" s="659"/>
      <c r="XFC441" s="660"/>
      <c r="XFD441" s="660"/>
    </row>
    <row r="442" s="491" customFormat="1" ht="33" customHeight="1" spans="1:75 16318:16384">
      <c r="A442" s="577">
        <v>46115</v>
      </c>
      <c r="B442" s="578" t="s">
        <v>999</v>
      </c>
      <c r="C442" s="579" t="s">
        <v>2100</v>
      </c>
      <c r="D442" s="580">
        <v>4500199774</v>
      </c>
      <c r="E442" s="581" t="s">
        <v>2096</v>
      </c>
      <c r="F442" s="580" t="s">
        <v>2101</v>
      </c>
      <c r="G442" s="582" t="s">
        <v>81</v>
      </c>
      <c r="H442" s="578" t="s">
        <v>82</v>
      </c>
      <c r="I442" s="583">
        <v>444</v>
      </c>
      <c r="J442" s="583">
        <v>0</v>
      </c>
      <c r="K442" s="583">
        <v>6</v>
      </c>
      <c r="L442" s="584">
        <f t="shared" si="278"/>
        <v>74</v>
      </c>
      <c r="M442" s="585">
        <v>46155</v>
      </c>
      <c r="N442" s="585">
        <v>46151</v>
      </c>
      <c r="O442" s="586"/>
      <c r="P442" s="586" t="s">
        <v>83</v>
      </c>
      <c r="Q442" s="587" t="s">
        <v>1047</v>
      </c>
      <c r="R442" s="586" t="s">
        <v>984</v>
      </c>
      <c r="S442" s="586"/>
      <c r="T442" s="586"/>
      <c r="U442" s="586" t="s">
        <v>2102</v>
      </c>
      <c r="V442" s="586"/>
      <c r="W442" s="586"/>
      <c r="X442" s="588" t="s">
        <v>2103</v>
      </c>
      <c r="Y442" s="589" t="s">
        <v>1004</v>
      </c>
      <c r="Z442" s="686">
        <v>5.7358</v>
      </c>
      <c r="AA442" s="591">
        <f t="shared" si="279"/>
        <v>2546.6952</v>
      </c>
      <c r="AB442" s="592"/>
      <c r="AC442" s="582" t="s">
        <v>81</v>
      </c>
      <c r="AD442" s="593" t="s">
        <v>89</v>
      </c>
      <c r="AE442" s="595"/>
      <c r="AF442" s="592"/>
      <c r="AG442" s="592">
        <f>I442</f>
        <v>444</v>
      </c>
      <c r="AH442" s="598"/>
      <c r="AI442" s="592"/>
      <c r="AJ442" s="592"/>
      <c r="AK442" s="592"/>
      <c r="AL442" s="592"/>
      <c r="AM442" s="592"/>
      <c r="AN442" s="592">
        <f t="shared" si="276"/>
        <v>444</v>
      </c>
      <c r="AO442" s="592"/>
      <c r="AP442" s="666"/>
      <c r="AQ442" s="666"/>
      <c r="AR442" s="666">
        <f>I442</f>
        <v>444</v>
      </c>
      <c r="AS442" s="666"/>
      <c r="AT442" s="667"/>
      <c r="AU442" s="672"/>
      <c r="AV442" s="648"/>
      <c r="AW442" s="592">
        <f t="shared" si="277"/>
        <v>444</v>
      </c>
      <c r="AX442" s="666"/>
      <c r="AY442" s="666"/>
      <c r="AZ442" s="666"/>
      <c r="BA442" s="666"/>
      <c r="BB442" s="666"/>
      <c r="BC442" s="666"/>
      <c r="BD442" s="682"/>
      <c r="BE442" s="668"/>
      <c r="BF442" s="679" t="s">
        <v>90</v>
      </c>
      <c r="BG442" s="680"/>
      <c r="BH442" s="704">
        <f t="shared" si="270"/>
        <v>74</v>
      </c>
      <c r="BI442" s="705">
        <f t="shared" si="271"/>
        <v>74</v>
      </c>
      <c r="BJ442" s="705">
        <f t="shared" si="272"/>
        <v>74</v>
      </c>
      <c r="BK442" s="705">
        <f t="shared" si="273"/>
        <v>74</v>
      </c>
      <c r="BL442" s="705">
        <f t="shared" si="274"/>
        <v>74</v>
      </c>
      <c r="BM442" s="705">
        <f t="shared" si="275"/>
        <v>74</v>
      </c>
      <c r="BN442" s="680"/>
      <c r="BO442" s="680"/>
      <c r="BP442" s="680"/>
      <c r="BQ442" s="680"/>
      <c r="BR442" s="680"/>
      <c r="BS442" s="680"/>
      <c r="BT442" s="607">
        <f t="shared" si="251"/>
        <v>444</v>
      </c>
      <c r="BU442" s="608">
        <f t="shared" si="252"/>
        <v>0</v>
      </c>
      <c r="XEO442" s="670"/>
      <c r="XEP442" s="657"/>
      <c r="XEQ442" s="653"/>
      <c r="XER442" s="654"/>
      <c r="XES442" s="652"/>
      <c r="XET442" s="654"/>
      <c r="XEU442" s="656"/>
      <c r="XEV442" s="657"/>
      <c r="XEW442" s="658"/>
      <c r="XEX442" s="658"/>
      <c r="XEY442" s="658"/>
      <c r="XEZ442" s="671"/>
      <c r="XFA442" s="659"/>
      <c r="XFB442" s="659"/>
      <c r="XFC442" s="660"/>
      <c r="XFD442" s="660"/>
    </row>
    <row r="443" s="490" customFormat="1" ht="33" customHeight="1" spans="1:75 16318:16384">
      <c r="A443" s="577">
        <v>46125</v>
      </c>
      <c r="B443" s="578" t="s">
        <v>685</v>
      </c>
      <c r="C443" s="579" t="s">
        <v>686</v>
      </c>
      <c r="D443" s="580">
        <v>4500201649</v>
      </c>
      <c r="E443" s="581" t="s">
        <v>2104</v>
      </c>
      <c r="F443" s="580" t="s">
        <v>2105</v>
      </c>
      <c r="G443" s="582" t="s">
        <v>81</v>
      </c>
      <c r="H443" s="578" t="s">
        <v>95</v>
      </c>
      <c r="I443" s="583">
        <v>600</v>
      </c>
      <c r="J443" s="583">
        <v>0</v>
      </c>
      <c r="K443" s="583">
        <v>6</v>
      </c>
      <c r="L443" s="584">
        <f t="shared" si="278"/>
        <v>100</v>
      </c>
      <c r="M443" s="585">
        <v>46162</v>
      </c>
      <c r="N443" s="585">
        <v>46158</v>
      </c>
      <c r="O443" s="586"/>
      <c r="P443" s="586" t="s">
        <v>83</v>
      </c>
      <c r="Q443" s="587" t="s">
        <v>2106</v>
      </c>
      <c r="R443" s="586" t="s">
        <v>2107</v>
      </c>
      <c r="S443" s="586"/>
      <c r="T443" s="586"/>
      <c r="U443" s="586" t="s">
        <v>2108</v>
      </c>
      <c r="V443" s="586"/>
      <c r="W443" s="586"/>
      <c r="X443" s="588" t="s">
        <v>2109</v>
      </c>
      <c r="Y443" s="589" t="s">
        <v>116</v>
      </c>
      <c r="Z443" s="686">
        <v>5.7358</v>
      </c>
      <c r="AA443" s="591">
        <f t="shared" si="279"/>
        <v>3441.48</v>
      </c>
      <c r="AB443" s="592"/>
      <c r="AC443" s="582" t="s">
        <v>81</v>
      </c>
      <c r="AD443" s="593" t="s">
        <v>89</v>
      </c>
      <c r="AE443" s="595"/>
      <c r="AF443" s="595"/>
      <c r="AG443" s="595">
        <f>I443</f>
        <v>600</v>
      </c>
      <c r="AH443" s="592"/>
      <c r="AI443" s="592"/>
      <c r="AJ443" s="592"/>
      <c r="AK443" s="592"/>
      <c r="AL443" s="592"/>
      <c r="AM443" s="598"/>
      <c r="AN443" s="598">
        <f t="shared" si="276"/>
        <v>600</v>
      </c>
      <c r="AO443" s="592"/>
      <c r="AP443" s="619"/>
      <c r="AQ443" s="592"/>
      <c r="AR443" s="592">
        <f>I443</f>
        <v>600</v>
      </c>
      <c r="AS443" s="592"/>
      <c r="AT443" s="592"/>
      <c r="AU443" s="592"/>
      <c r="AV443" s="618"/>
      <c r="AW443" s="592">
        <f t="shared" si="277"/>
        <v>600</v>
      </c>
      <c r="AX443" s="592"/>
      <c r="AY443" s="600"/>
      <c r="AZ443" s="666"/>
      <c r="BA443" s="666"/>
      <c r="BB443" s="666"/>
      <c r="BC443" s="666"/>
      <c r="BD443" s="667"/>
      <c r="BE443" s="668"/>
      <c r="BF443" s="679" t="s">
        <v>90</v>
      </c>
      <c r="BG443" s="680"/>
      <c r="BH443" s="632">
        <f t="shared" si="270"/>
        <v>100</v>
      </c>
      <c r="BI443" s="633">
        <f t="shared" si="271"/>
        <v>100</v>
      </c>
      <c r="BJ443" s="633">
        <f t="shared" si="272"/>
        <v>100</v>
      </c>
      <c r="BK443" s="633">
        <f t="shared" si="273"/>
        <v>100</v>
      </c>
      <c r="BL443" s="633">
        <f t="shared" si="274"/>
        <v>100</v>
      </c>
      <c r="BM443" s="633">
        <f t="shared" si="275"/>
        <v>100</v>
      </c>
      <c r="BN443" s="605"/>
      <c r="BO443" s="605"/>
      <c r="BP443" s="605"/>
      <c r="BQ443" s="605"/>
      <c r="BR443" s="605"/>
      <c r="BS443" s="605"/>
      <c r="BT443" s="607">
        <f t="shared" si="251"/>
        <v>600</v>
      </c>
      <c r="BU443" s="608">
        <f t="shared" si="252"/>
        <v>0</v>
      </c>
      <c r="BV443" s="491"/>
      <c r="BW443" s="491"/>
    </row>
    <row r="444" s="490" customFormat="1" ht="34" customHeight="1" spans="1:75 16318:16384">
      <c r="A444" s="577">
        <v>46107</v>
      </c>
      <c r="B444" s="578" t="s">
        <v>987</v>
      </c>
      <c r="C444" s="579" t="s">
        <v>334</v>
      </c>
      <c r="D444" s="580">
        <v>4500198544</v>
      </c>
      <c r="E444" s="581">
        <v>5251219675</v>
      </c>
      <c r="F444" s="580" t="s">
        <v>2110</v>
      </c>
      <c r="G444" s="582" t="s">
        <v>81</v>
      </c>
      <c r="H444" s="578" t="s">
        <v>2111</v>
      </c>
      <c r="I444" s="583">
        <v>3786</v>
      </c>
      <c r="J444" s="583">
        <v>0</v>
      </c>
      <c r="K444" s="583">
        <v>6</v>
      </c>
      <c r="L444" s="584">
        <f t="shared" si="278"/>
        <v>631</v>
      </c>
      <c r="M444" s="585">
        <v>46163</v>
      </c>
      <c r="N444" s="585">
        <v>46160</v>
      </c>
      <c r="O444" s="586"/>
      <c r="P444" s="586" t="s">
        <v>83</v>
      </c>
      <c r="Q444" s="587" t="s">
        <v>96</v>
      </c>
      <c r="R444" s="586" t="s">
        <v>1127</v>
      </c>
      <c r="S444" s="586"/>
      <c r="T444" s="586"/>
      <c r="U444" s="586" t="s">
        <v>2112</v>
      </c>
      <c r="V444" s="586"/>
      <c r="W444" s="586" t="s">
        <v>992</v>
      </c>
      <c r="X444" s="588" t="s">
        <v>2113</v>
      </c>
      <c r="Y444" s="589" t="s">
        <v>340</v>
      </c>
      <c r="Z444" s="686">
        <v>5.903</v>
      </c>
      <c r="AA444" s="591">
        <f t="shared" si="279"/>
        <v>22348.758</v>
      </c>
      <c r="AB444" s="592"/>
      <c r="AC444" s="582" t="s">
        <v>235</v>
      </c>
      <c r="AD444" s="593" t="s">
        <v>89</v>
      </c>
      <c r="AE444" s="595"/>
      <c r="AF444" s="595"/>
      <c r="AG444" s="595"/>
      <c r="AH444" s="592"/>
      <c r="AI444" s="592"/>
      <c r="AJ444" s="592">
        <f>I444</f>
        <v>3786</v>
      </c>
      <c r="AK444" s="592"/>
      <c r="AL444" s="592"/>
      <c r="AM444" s="598"/>
      <c r="AN444" s="598">
        <f t="shared" si="276"/>
        <v>3786</v>
      </c>
      <c r="AO444" s="592"/>
      <c r="AP444" s="619"/>
      <c r="AQ444" s="592"/>
      <c r="AR444" s="592"/>
      <c r="AS444" s="592"/>
      <c r="AT444" s="592"/>
      <c r="AU444" s="592">
        <f>I444</f>
        <v>3786</v>
      </c>
      <c r="AV444" s="592"/>
      <c r="AW444" s="592">
        <f t="shared" si="277"/>
        <v>3786</v>
      </c>
      <c r="AX444" s="592"/>
      <c r="AY444" s="600"/>
      <c r="AZ444" s="649"/>
      <c r="BA444" s="649"/>
      <c r="BB444" s="649"/>
      <c r="BC444" s="649"/>
      <c r="BD444" s="649"/>
      <c r="BE444" s="685"/>
      <c r="BF444" s="679" t="s">
        <v>90</v>
      </c>
      <c r="BG444" s="680"/>
      <c r="BH444" s="632">
        <f t="shared" si="270"/>
        <v>631</v>
      </c>
      <c r="BI444" s="633">
        <f t="shared" si="271"/>
        <v>631</v>
      </c>
      <c r="BJ444" s="633">
        <f t="shared" si="272"/>
        <v>631</v>
      </c>
      <c r="BK444" s="633">
        <f t="shared" si="273"/>
        <v>631</v>
      </c>
      <c r="BL444" s="633">
        <f t="shared" si="274"/>
        <v>631</v>
      </c>
      <c r="BM444" s="633">
        <f t="shared" si="275"/>
        <v>631</v>
      </c>
      <c r="BN444" s="605"/>
      <c r="BO444" s="605"/>
      <c r="BP444" s="605"/>
      <c r="BQ444" s="605"/>
      <c r="BR444" s="605"/>
      <c r="BS444" s="605"/>
      <c r="BT444" s="607">
        <f t="shared" si="251"/>
        <v>3786</v>
      </c>
      <c r="BU444" s="608">
        <f t="shared" si="252"/>
        <v>0</v>
      </c>
      <c r="BV444" s="491"/>
      <c r="BW444" s="491"/>
      <c r="XCP444" s="670"/>
      <c r="XCQ444" s="490"/>
      <c r="XCR444" s="653"/>
      <c r="XCS444" s="654"/>
      <c r="XCT444" s="657"/>
      <c r="XCU444" s="654"/>
      <c r="XCV444" s="656"/>
      <c r="XCW444" s="656"/>
      <c r="XCX444" s="657"/>
      <c r="XCY444" s="658"/>
      <c r="XCZ444" s="658"/>
      <c r="XDA444" s="658"/>
      <c r="XDB444" s="671"/>
      <c r="XDC444" s="659"/>
      <c r="XDD444" s="659"/>
      <c r="XDE444" s="660"/>
      <c r="XDF444" s="660"/>
      <c r="XDG444" s="670"/>
      <c r="XDH444" s="490"/>
      <c r="XDI444" s="653"/>
      <c r="XDJ444" s="654"/>
      <c r="XDK444" s="657"/>
      <c r="XDL444" s="654"/>
      <c r="XDM444" s="656"/>
      <c r="XDN444" s="656"/>
      <c r="XDO444" s="657"/>
      <c r="XDP444" s="658"/>
      <c r="XDQ444" s="658"/>
      <c r="XDR444" s="658"/>
      <c r="XDS444" s="671"/>
      <c r="XDT444" s="659"/>
      <c r="XDU444" s="659"/>
      <c r="XDV444" s="660"/>
      <c r="XDW444" s="660"/>
      <c r="XDX444" s="670"/>
      <c r="XDY444" s="490"/>
      <c r="XDZ444" s="653"/>
      <c r="XEA444" s="654"/>
      <c r="XEB444" s="657"/>
      <c r="XEC444" s="654"/>
      <c r="XED444" s="656"/>
      <c r="XEE444" s="656"/>
      <c r="XEF444" s="657"/>
      <c r="XEG444" s="658"/>
      <c r="XEH444" s="658"/>
      <c r="XEI444" s="658"/>
      <c r="XEJ444" s="671"/>
      <c r="XEK444" s="659"/>
      <c r="XEL444" s="659"/>
      <c r="XEM444" s="660"/>
      <c r="XEN444" s="660"/>
      <c r="XEO444" s="670"/>
      <c r="XEP444" s="490"/>
      <c r="XEQ444" s="653"/>
      <c r="XER444" s="654"/>
      <c r="XES444" s="657"/>
      <c r="XET444" s="654"/>
      <c r="XEU444" s="656"/>
      <c r="XEV444" s="656"/>
      <c r="XEW444" s="657"/>
      <c r="XEX444" s="658"/>
      <c r="XEY444" s="658"/>
      <c r="XEZ444" s="658"/>
      <c r="XFA444" s="671"/>
      <c r="XFB444" s="659"/>
      <c r="XFC444" s="659"/>
      <c r="XFD444" s="660"/>
    </row>
    <row r="445" s="490" customFormat="1" ht="34" customHeight="1" spans="1:75 16318:16384">
      <c r="A445" s="577">
        <v>46107</v>
      </c>
      <c r="B445" s="578" t="s">
        <v>2114</v>
      </c>
      <c r="C445" s="579" t="s">
        <v>2085</v>
      </c>
      <c r="D445" s="580">
        <v>4500198652</v>
      </c>
      <c r="E445" s="581" t="s">
        <v>2115</v>
      </c>
      <c r="F445" s="580" t="s">
        <v>2116</v>
      </c>
      <c r="G445" s="582" t="s">
        <v>81</v>
      </c>
      <c r="H445" s="578" t="s">
        <v>82</v>
      </c>
      <c r="I445" s="583">
        <v>564</v>
      </c>
      <c r="J445" s="583">
        <v>0</v>
      </c>
      <c r="K445" s="583">
        <v>6</v>
      </c>
      <c r="L445" s="584">
        <f t="shared" si="278"/>
        <v>94</v>
      </c>
      <c r="M445" s="585">
        <v>46160</v>
      </c>
      <c r="N445" s="585">
        <v>46156</v>
      </c>
      <c r="O445" s="586"/>
      <c r="P445" s="586" t="s">
        <v>83</v>
      </c>
      <c r="Q445" s="587" t="s">
        <v>942</v>
      </c>
      <c r="R445" s="586" t="s">
        <v>2117</v>
      </c>
      <c r="S445" s="586"/>
      <c r="T445" s="586"/>
      <c r="U445" s="586" t="s">
        <v>2074</v>
      </c>
      <c r="V445" s="586"/>
      <c r="W445" s="586"/>
      <c r="X445" s="588" t="s">
        <v>2118</v>
      </c>
      <c r="Y445" s="589" t="s">
        <v>2038</v>
      </c>
      <c r="Z445" s="686">
        <v>5.9216</v>
      </c>
      <c r="AA445" s="591">
        <f t="shared" si="279"/>
        <v>3339.7824</v>
      </c>
      <c r="AB445" s="592"/>
      <c r="AC445" s="582" t="s">
        <v>235</v>
      </c>
      <c r="AD445" s="593" t="s">
        <v>89</v>
      </c>
      <c r="AE445" s="595"/>
      <c r="AF445" s="595"/>
      <c r="AG445" s="595"/>
      <c r="AH445" s="592"/>
      <c r="AI445" s="592"/>
      <c r="AJ445" s="592">
        <f>I445</f>
        <v>564</v>
      </c>
      <c r="AK445" s="592"/>
      <c r="AL445" s="592"/>
      <c r="AM445" s="598"/>
      <c r="AN445" s="598">
        <f t="shared" si="276"/>
        <v>564</v>
      </c>
      <c r="AO445" s="592"/>
      <c r="AP445" s="619"/>
      <c r="AQ445" s="592"/>
      <c r="AR445" s="592"/>
      <c r="AS445" s="592"/>
      <c r="AT445" s="592"/>
      <c r="AU445" s="592">
        <f>I445</f>
        <v>564</v>
      </c>
      <c r="AV445" s="592"/>
      <c r="AW445" s="592">
        <f t="shared" si="277"/>
        <v>564</v>
      </c>
      <c r="AX445" s="592"/>
      <c r="AY445" s="600"/>
      <c r="AZ445" s="649"/>
      <c r="BA445" s="649"/>
      <c r="BB445" s="649"/>
      <c r="BC445" s="649"/>
      <c r="BD445" s="649"/>
      <c r="BE445" s="685"/>
      <c r="BF445" s="679" t="s">
        <v>90</v>
      </c>
      <c r="BG445" s="680"/>
      <c r="BH445" s="632">
        <f t="shared" si="270"/>
        <v>94</v>
      </c>
      <c r="BI445" s="633">
        <f t="shared" si="271"/>
        <v>94</v>
      </c>
      <c r="BJ445" s="633">
        <f t="shared" si="272"/>
        <v>94</v>
      </c>
      <c r="BK445" s="633">
        <f t="shared" si="273"/>
        <v>94</v>
      </c>
      <c r="BL445" s="633">
        <f t="shared" si="274"/>
        <v>94</v>
      </c>
      <c r="BM445" s="633">
        <f t="shared" si="275"/>
        <v>94</v>
      </c>
      <c r="BN445" s="605"/>
      <c r="BO445" s="605"/>
      <c r="BP445" s="605"/>
      <c r="BQ445" s="605"/>
      <c r="BR445" s="605"/>
      <c r="BS445" s="605"/>
      <c r="BT445" s="607">
        <f t="shared" si="251"/>
        <v>564</v>
      </c>
      <c r="BU445" s="608">
        <f t="shared" si="252"/>
        <v>0</v>
      </c>
      <c r="BV445" s="491"/>
      <c r="BW445" s="491"/>
      <c r="XCP445" s="670"/>
      <c r="XCQ445" s="490"/>
      <c r="XCR445" s="653"/>
      <c r="XCS445" s="654"/>
      <c r="XCT445" s="657"/>
      <c r="XCU445" s="654"/>
      <c r="XCV445" s="656"/>
      <c r="XCW445" s="656"/>
      <c r="XCX445" s="657"/>
      <c r="XCY445" s="658"/>
      <c r="XCZ445" s="658"/>
      <c r="XDA445" s="658"/>
      <c r="XDB445" s="671"/>
      <c r="XDC445" s="659"/>
      <c r="XDD445" s="659"/>
      <c r="XDE445" s="660"/>
      <c r="XDF445" s="660"/>
      <c r="XDG445" s="670"/>
      <c r="XDH445" s="490"/>
      <c r="XDI445" s="653"/>
      <c r="XDJ445" s="654"/>
      <c r="XDK445" s="657"/>
      <c r="XDL445" s="654"/>
      <c r="XDM445" s="656"/>
      <c r="XDN445" s="656"/>
      <c r="XDO445" s="657"/>
      <c r="XDP445" s="658"/>
      <c r="XDQ445" s="658"/>
      <c r="XDR445" s="658"/>
      <c r="XDS445" s="671"/>
      <c r="XDT445" s="659"/>
      <c r="XDU445" s="659"/>
      <c r="XDV445" s="660"/>
      <c r="XDW445" s="660"/>
      <c r="XDX445" s="670"/>
      <c r="XDY445" s="490"/>
      <c r="XDZ445" s="653"/>
      <c r="XEA445" s="654"/>
      <c r="XEB445" s="657"/>
      <c r="XEC445" s="654"/>
      <c r="XED445" s="656"/>
      <c r="XEE445" s="656"/>
      <c r="XEF445" s="657"/>
      <c r="XEG445" s="658"/>
      <c r="XEH445" s="658"/>
      <c r="XEI445" s="658"/>
      <c r="XEJ445" s="671"/>
      <c r="XEK445" s="659"/>
      <c r="XEL445" s="659"/>
      <c r="XEM445" s="660"/>
      <c r="XEN445" s="660"/>
      <c r="XEO445" s="670"/>
      <c r="XEP445" s="490"/>
      <c r="XEQ445" s="653"/>
      <c r="XER445" s="654"/>
      <c r="XES445" s="657"/>
      <c r="XET445" s="654"/>
      <c r="XEU445" s="656"/>
      <c r="XEV445" s="656"/>
      <c r="XEW445" s="657"/>
      <c r="XEX445" s="658"/>
      <c r="XEY445" s="658"/>
      <c r="XEZ445" s="658"/>
      <c r="XFA445" s="671"/>
      <c r="XFB445" s="659"/>
      <c r="XFC445" s="659"/>
      <c r="XFD445" s="660"/>
    </row>
    <row r="446" s="490" customFormat="1" ht="33" customHeight="1" spans="1:75 16318:16384">
      <c r="A446" s="577">
        <v>45995</v>
      </c>
      <c r="B446" s="649" t="s">
        <v>166</v>
      </c>
      <c r="C446" s="579" t="s">
        <v>92</v>
      </c>
      <c r="D446" s="580">
        <v>4500186375</v>
      </c>
      <c r="E446" s="578">
        <v>60260879</v>
      </c>
      <c r="F446" s="580" t="s">
        <v>2119</v>
      </c>
      <c r="G446" s="582" t="s">
        <v>81</v>
      </c>
      <c r="H446" s="578" t="s">
        <v>95</v>
      </c>
      <c r="I446" s="583">
        <v>1800</v>
      </c>
      <c r="J446" s="583">
        <v>0</v>
      </c>
      <c r="K446" s="583">
        <v>6</v>
      </c>
      <c r="L446" s="584">
        <f t="shared" si="278"/>
        <v>300</v>
      </c>
      <c r="M446" s="585">
        <v>46164</v>
      </c>
      <c r="N446" s="585">
        <v>46160</v>
      </c>
      <c r="O446" s="586" t="s">
        <v>2120</v>
      </c>
      <c r="P446" s="586" t="s">
        <v>83</v>
      </c>
      <c r="Q446" s="587" t="s">
        <v>2121</v>
      </c>
      <c r="R446" s="586" t="s">
        <v>1961</v>
      </c>
      <c r="S446" s="586"/>
      <c r="T446" s="586"/>
      <c r="U446" s="641" t="s">
        <v>86</v>
      </c>
      <c r="V446" s="641" t="s">
        <v>2122</v>
      </c>
      <c r="W446" s="641"/>
      <c r="X446" s="661" t="s">
        <v>2123</v>
      </c>
      <c r="Y446" s="586" t="s">
        <v>1694</v>
      </c>
      <c r="Z446" s="590">
        <v>3.4652</v>
      </c>
      <c r="AA446" s="591">
        <f t="shared" si="279"/>
        <v>6237.36</v>
      </c>
      <c r="AB446" s="619"/>
      <c r="AC446" s="582" t="s">
        <v>81</v>
      </c>
      <c r="AD446" s="593" t="s">
        <v>89</v>
      </c>
      <c r="AE446" s="595"/>
      <c r="AF446" s="637"/>
      <c r="AG446" s="621">
        <f>I446</f>
        <v>1800</v>
      </c>
      <c r="AH446" s="598"/>
      <c r="AI446" s="621"/>
      <c r="AJ446" s="621"/>
      <c r="AK446" s="621"/>
      <c r="AL446" s="621"/>
      <c r="AM446" s="592"/>
      <c r="AN446" s="598">
        <f t="shared" si="276"/>
        <v>1800</v>
      </c>
      <c r="AO446" s="621"/>
      <c r="AP446" s="621"/>
      <c r="AQ446" s="621"/>
      <c r="AR446" s="621">
        <f>I446</f>
        <v>1800</v>
      </c>
      <c r="AS446" s="621"/>
      <c r="AT446" s="621"/>
      <c r="AU446" s="621"/>
      <c r="AV446" s="618"/>
      <c r="AW446" s="592">
        <f t="shared" si="277"/>
        <v>1800</v>
      </c>
      <c r="AX446" s="621"/>
      <c r="AY446" s="666"/>
      <c r="AZ446" s="666"/>
      <c r="BA446" s="666"/>
      <c r="BB446" s="666"/>
      <c r="BC446" s="666"/>
      <c r="BD446" s="667"/>
      <c r="BE446" s="668"/>
      <c r="BF446" s="679" t="s">
        <v>90</v>
      </c>
      <c r="BG446" s="680"/>
      <c r="BH446" s="632">
        <f t="shared" si="270"/>
        <v>300</v>
      </c>
      <c r="BI446" s="633">
        <f t="shared" si="271"/>
        <v>300</v>
      </c>
      <c r="BJ446" s="633">
        <f t="shared" si="272"/>
        <v>300</v>
      </c>
      <c r="BK446" s="633">
        <f t="shared" si="273"/>
        <v>300</v>
      </c>
      <c r="BL446" s="633">
        <f t="shared" si="274"/>
        <v>300</v>
      </c>
      <c r="BM446" s="633">
        <f t="shared" si="275"/>
        <v>300</v>
      </c>
      <c r="BN446" s="605"/>
      <c r="BO446" s="605"/>
      <c r="BP446" s="605"/>
      <c r="BQ446" s="605"/>
      <c r="BR446" s="605"/>
      <c r="BS446" s="605"/>
      <c r="BT446" s="607">
        <f t="shared" si="251"/>
        <v>1800</v>
      </c>
      <c r="BU446" s="608">
        <f t="shared" si="252"/>
        <v>0</v>
      </c>
      <c r="BV446" s="491"/>
      <c r="BW446" s="491"/>
    </row>
    <row r="447" s="491" customFormat="1" ht="33" customHeight="1" spans="1:75 16318:16384">
      <c r="A447" s="577">
        <v>46119</v>
      </c>
      <c r="B447" s="578" t="s">
        <v>1818</v>
      </c>
      <c r="C447" s="579" t="s">
        <v>1819</v>
      </c>
      <c r="D447" s="580">
        <v>4500200425</v>
      </c>
      <c r="E447" s="581" t="s">
        <v>2096</v>
      </c>
      <c r="F447" s="580" t="s">
        <v>2124</v>
      </c>
      <c r="G447" s="582" t="s">
        <v>81</v>
      </c>
      <c r="H447" s="578" t="s">
        <v>82</v>
      </c>
      <c r="I447" s="583">
        <v>300</v>
      </c>
      <c r="J447" s="583">
        <v>0</v>
      </c>
      <c r="K447" s="583">
        <v>6</v>
      </c>
      <c r="L447" s="584">
        <f t="shared" si="278"/>
        <v>50</v>
      </c>
      <c r="M447" s="585">
        <v>46167</v>
      </c>
      <c r="N447" s="585">
        <v>46163</v>
      </c>
      <c r="O447" s="586"/>
      <c r="P447" s="586" t="s">
        <v>83</v>
      </c>
      <c r="Q447" s="587" t="s">
        <v>961</v>
      </c>
      <c r="R447" s="586" t="s">
        <v>2125</v>
      </c>
      <c r="S447" s="586"/>
      <c r="T447" s="586"/>
      <c r="U447" s="586" t="s">
        <v>86</v>
      </c>
      <c r="V447" s="586"/>
      <c r="W447" s="586"/>
      <c r="X447" s="588" t="s">
        <v>2126</v>
      </c>
      <c r="Y447" s="589" t="s">
        <v>1823</v>
      </c>
      <c r="Z447" s="686">
        <v>5.7358</v>
      </c>
      <c r="AA447" s="591">
        <f t="shared" si="279"/>
        <v>1720.74</v>
      </c>
      <c r="AB447" s="592"/>
      <c r="AC447" s="582" t="s">
        <v>81</v>
      </c>
      <c r="AD447" s="593" t="s">
        <v>89</v>
      </c>
      <c r="AE447" s="592"/>
      <c r="AF447" s="592"/>
      <c r="AG447" s="672">
        <f>I447</f>
        <v>300</v>
      </c>
      <c r="AH447" s="592"/>
      <c r="AI447" s="592"/>
      <c r="AJ447" s="666"/>
      <c r="AK447" s="672"/>
      <c r="AL447" s="648"/>
      <c r="AM447" s="648"/>
      <c r="AN447" s="592">
        <f t="shared" si="276"/>
        <v>300</v>
      </c>
      <c r="AO447" s="648"/>
      <c r="AP447" s="666"/>
      <c r="AQ447" s="666"/>
      <c r="AR447" s="648">
        <f>I447</f>
        <v>300</v>
      </c>
      <c r="AS447" s="666"/>
      <c r="AT447" s="682"/>
      <c r="AU447" s="672"/>
      <c r="AV447" s="648"/>
      <c r="AW447" s="592">
        <f t="shared" si="277"/>
        <v>300</v>
      </c>
      <c r="AX447" s="648"/>
      <c r="AY447" s="648"/>
      <c r="AZ447" s="648"/>
      <c r="BA447" s="648"/>
      <c r="BB447" s="648"/>
      <c r="BC447" s="648"/>
      <c r="BD447" s="648"/>
      <c r="BE447" s="703"/>
      <c r="BF447" s="679" t="s">
        <v>90</v>
      </c>
      <c r="BG447" s="680"/>
      <c r="BH447" s="704">
        <f t="shared" si="270"/>
        <v>50</v>
      </c>
      <c r="BI447" s="705">
        <f t="shared" si="271"/>
        <v>50</v>
      </c>
      <c r="BJ447" s="705">
        <f t="shared" si="272"/>
        <v>50</v>
      </c>
      <c r="BK447" s="705">
        <f t="shared" si="273"/>
        <v>50</v>
      </c>
      <c r="BL447" s="705">
        <f t="shared" si="274"/>
        <v>50</v>
      </c>
      <c r="BM447" s="705">
        <f t="shared" si="275"/>
        <v>50</v>
      </c>
      <c r="BN447" s="680"/>
      <c r="BO447" s="680"/>
      <c r="BP447" s="680"/>
      <c r="BQ447" s="680"/>
      <c r="BR447" s="680"/>
      <c r="BS447" s="680"/>
      <c r="BT447" s="607">
        <f t="shared" si="251"/>
        <v>300</v>
      </c>
      <c r="BU447" s="608">
        <f t="shared" si="252"/>
        <v>0</v>
      </c>
      <c r="XDX447" s="670"/>
      <c r="XDY447" s="657"/>
      <c r="XDZ447" s="653"/>
      <c r="XEA447" s="654"/>
      <c r="XEB447" s="652"/>
      <c r="XEC447" s="654"/>
      <c r="XED447" s="656"/>
      <c r="XEE447" s="657"/>
      <c r="XEF447" s="658"/>
      <c r="XEG447" s="658"/>
      <c r="XEH447" s="658"/>
      <c r="XEI447" s="671"/>
      <c r="XEJ447" s="659"/>
      <c r="XEK447" s="659"/>
      <c r="XEL447" s="660"/>
      <c r="XEM447" s="660"/>
      <c r="XEO447" s="670"/>
      <c r="XEP447" s="657"/>
      <c r="XEQ447" s="653"/>
      <c r="XER447" s="654"/>
      <c r="XES447" s="652"/>
      <c r="XET447" s="654"/>
      <c r="XEU447" s="656"/>
      <c r="XEV447" s="657"/>
      <c r="XEW447" s="658"/>
      <c r="XEX447" s="658"/>
      <c r="XEY447" s="658"/>
      <c r="XEZ447" s="671"/>
      <c r="XFA447" s="659"/>
      <c r="XFB447" s="659"/>
      <c r="XFC447" s="660"/>
      <c r="XFD447" s="660"/>
    </row>
    <row r="448" s="490" customFormat="1" ht="33" customHeight="1" spans="1:75 16318:16384">
      <c r="A448" s="577">
        <v>46111</v>
      </c>
      <c r="B448" s="578" t="s">
        <v>2127</v>
      </c>
      <c r="C448" s="579" t="s">
        <v>2128</v>
      </c>
      <c r="D448" s="580">
        <v>4500199289</v>
      </c>
      <c r="E448" s="581" t="s">
        <v>2129</v>
      </c>
      <c r="F448" s="580" t="s">
        <v>2130</v>
      </c>
      <c r="G448" s="582" t="s">
        <v>81</v>
      </c>
      <c r="H448" s="578" t="s">
        <v>82</v>
      </c>
      <c r="I448" s="583">
        <v>600</v>
      </c>
      <c r="J448" s="583">
        <v>0</v>
      </c>
      <c r="K448" s="583">
        <v>6</v>
      </c>
      <c r="L448" s="584">
        <f t="shared" si="278"/>
        <v>100</v>
      </c>
      <c r="M448" s="585">
        <v>46162</v>
      </c>
      <c r="N448" s="585">
        <v>46158</v>
      </c>
      <c r="O448" s="586"/>
      <c r="P448" s="586" t="s">
        <v>83</v>
      </c>
      <c r="Q448" s="617" t="s">
        <v>990</v>
      </c>
      <c r="R448" s="586" t="s">
        <v>2131</v>
      </c>
      <c r="S448" s="586"/>
      <c r="T448" s="586"/>
      <c r="U448" s="586" t="s">
        <v>2132</v>
      </c>
      <c r="V448" s="586"/>
      <c r="W448" s="586"/>
      <c r="X448" s="588" t="s">
        <v>2133</v>
      </c>
      <c r="Y448" s="589" t="s">
        <v>243</v>
      </c>
      <c r="Z448" s="686">
        <v>5.9216</v>
      </c>
      <c r="AA448" s="591">
        <f t="shared" si="279"/>
        <v>3552.96</v>
      </c>
      <c r="AB448" s="592"/>
      <c r="AC448" s="582" t="s">
        <v>235</v>
      </c>
      <c r="AD448" s="593" t="s">
        <v>89</v>
      </c>
      <c r="AE448" s="595"/>
      <c r="AF448" s="595"/>
      <c r="AG448" s="595"/>
      <c r="AH448" s="592"/>
      <c r="AI448" s="592"/>
      <c r="AJ448" s="592">
        <f>I448</f>
        <v>600</v>
      </c>
      <c r="AK448" s="592"/>
      <c r="AL448" s="592"/>
      <c r="AM448" s="598"/>
      <c r="AN448" s="598">
        <f t="shared" si="276"/>
        <v>600</v>
      </c>
      <c r="AO448" s="592"/>
      <c r="AP448" s="619"/>
      <c r="AQ448" s="592"/>
      <c r="AR448" s="592"/>
      <c r="AS448" s="592"/>
      <c r="AT448" s="592"/>
      <c r="AU448" s="592">
        <f>I448</f>
        <v>600</v>
      </c>
      <c r="AV448" s="592"/>
      <c r="AW448" s="592">
        <f t="shared" si="277"/>
        <v>600</v>
      </c>
      <c r="AX448" s="592"/>
      <c r="AY448" s="600"/>
      <c r="AZ448" s="666"/>
      <c r="BA448" s="666"/>
      <c r="BB448" s="666"/>
      <c r="BC448" s="666"/>
      <c r="BD448" s="667"/>
      <c r="BE448" s="668"/>
      <c r="BF448" s="679" t="s">
        <v>90</v>
      </c>
      <c r="BG448" s="680"/>
      <c r="BH448" s="632">
        <f t="shared" si="270"/>
        <v>100</v>
      </c>
      <c r="BI448" s="633">
        <f t="shared" si="271"/>
        <v>100</v>
      </c>
      <c r="BJ448" s="633">
        <f t="shared" si="272"/>
        <v>100</v>
      </c>
      <c r="BK448" s="633">
        <f t="shared" si="273"/>
        <v>100</v>
      </c>
      <c r="BL448" s="633">
        <f t="shared" si="274"/>
        <v>100</v>
      </c>
      <c r="BM448" s="633">
        <f t="shared" si="275"/>
        <v>100</v>
      </c>
      <c r="BN448" s="605"/>
      <c r="BO448" s="605"/>
      <c r="BP448" s="605"/>
      <c r="BQ448" s="605"/>
      <c r="BR448" s="605"/>
      <c r="BS448" s="605"/>
      <c r="BT448" s="607">
        <f t="shared" si="251"/>
        <v>600</v>
      </c>
      <c r="BU448" s="608">
        <f t="shared" si="252"/>
        <v>0</v>
      </c>
      <c r="BV448" s="491"/>
      <c r="BW448" s="491"/>
    </row>
    <row r="449" s="490" customFormat="1" ht="33" customHeight="1" spans="1:75 16335:16384">
      <c r="A449" s="577">
        <v>46115</v>
      </c>
      <c r="B449" s="649" t="s">
        <v>1851</v>
      </c>
      <c r="C449" s="579" t="s">
        <v>334</v>
      </c>
      <c r="D449" s="580">
        <v>4500199969</v>
      </c>
      <c r="E449" s="578">
        <v>62106764</v>
      </c>
      <c r="F449" s="580" t="s">
        <v>2134</v>
      </c>
      <c r="G449" s="582" t="s">
        <v>81</v>
      </c>
      <c r="H449" s="578" t="s">
        <v>95</v>
      </c>
      <c r="I449" s="583">
        <v>2004</v>
      </c>
      <c r="J449" s="583">
        <v>0</v>
      </c>
      <c r="K449" s="583">
        <v>6</v>
      </c>
      <c r="L449" s="584">
        <f t="shared" si="278"/>
        <v>334</v>
      </c>
      <c r="M449" s="585">
        <v>46167</v>
      </c>
      <c r="N449" s="585">
        <v>46163</v>
      </c>
      <c r="O449" s="586"/>
      <c r="P449" s="586" t="s">
        <v>83</v>
      </c>
      <c r="Q449" s="587" t="s">
        <v>1081</v>
      </c>
      <c r="R449" s="586" t="s">
        <v>1100</v>
      </c>
      <c r="S449" s="586"/>
      <c r="T449" s="586"/>
      <c r="U449" s="641" t="s">
        <v>2135</v>
      </c>
      <c r="V449" s="641" t="s">
        <v>2136</v>
      </c>
      <c r="W449" s="641"/>
      <c r="X449" s="661" t="s">
        <v>2137</v>
      </c>
      <c r="Y449" s="586" t="s">
        <v>243</v>
      </c>
      <c r="Z449" s="590">
        <v>5.914</v>
      </c>
      <c r="AA449" s="591">
        <f t="shared" si="279"/>
        <v>11851.656</v>
      </c>
      <c r="AB449" s="619"/>
      <c r="AC449" s="582" t="s">
        <v>235</v>
      </c>
      <c r="AD449" s="593" t="s">
        <v>89</v>
      </c>
      <c r="AE449" s="595"/>
      <c r="AF449" s="637"/>
      <c r="AG449" s="621"/>
      <c r="AH449" s="598"/>
      <c r="AI449" s="621"/>
      <c r="AJ449" s="592">
        <f>I449</f>
        <v>2004</v>
      </c>
      <c r="AK449" s="592"/>
      <c r="AL449" s="621"/>
      <c r="AM449" s="592"/>
      <c r="AN449" s="598">
        <f t="shared" si="276"/>
        <v>2004</v>
      </c>
      <c r="AO449" s="592"/>
      <c r="AP449" s="621"/>
      <c r="AQ449" s="621"/>
      <c r="AR449" s="592"/>
      <c r="AS449" s="621"/>
      <c r="AT449" s="621"/>
      <c r="AU449" s="592">
        <f>I449</f>
        <v>2004</v>
      </c>
      <c r="AV449" s="618"/>
      <c r="AW449" s="592">
        <f t="shared" si="277"/>
        <v>2004</v>
      </c>
      <c r="AX449" s="621"/>
      <c r="AY449" s="666"/>
      <c r="AZ449" s="666"/>
      <c r="BA449" s="666"/>
      <c r="BB449" s="666"/>
      <c r="BC449" s="666"/>
      <c r="BD449" s="667"/>
      <c r="BE449" s="668"/>
      <c r="BF449" s="679" t="s">
        <v>90</v>
      </c>
      <c r="BG449" s="680"/>
      <c r="BH449" s="632">
        <f t="shared" si="270"/>
        <v>334</v>
      </c>
      <c r="BI449" s="633">
        <f t="shared" si="271"/>
        <v>334</v>
      </c>
      <c r="BJ449" s="633">
        <f t="shared" si="272"/>
        <v>334</v>
      </c>
      <c r="BK449" s="633">
        <f t="shared" si="273"/>
        <v>334</v>
      </c>
      <c r="BL449" s="633">
        <f t="shared" si="274"/>
        <v>334</v>
      </c>
      <c r="BM449" s="633">
        <f t="shared" si="275"/>
        <v>334</v>
      </c>
      <c r="BN449" s="605"/>
      <c r="BO449" s="605"/>
      <c r="BP449" s="605"/>
      <c r="BQ449" s="605"/>
      <c r="BR449" s="605"/>
      <c r="BS449" s="605"/>
      <c r="BT449" s="607">
        <f t="shared" si="251"/>
        <v>2004</v>
      </c>
      <c r="BU449" s="608">
        <f t="shared" si="252"/>
        <v>0</v>
      </c>
      <c r="BV449" s="491"/>
      <c r="BW449" s="491"/>
    </row>
    <row r="450" s="490" customFormat="1" ht="33" customHeight="1" spans="1:75 16335:16384">
      <c r="A450" s="577">
        <v>46129</v>
      </c>
      <c r="B450" s="578" t="s">
        <v>2138</v>
      </c>
      <c r="C450" s="579" t="s">
        <v>2085</v>
      </c>
      <c r="D450" s="580">
        <v>4500202308</v>
      </c>
      <c r="E450" s="634">
        <v>5200009645</v>
      </c>
      <c r="F450" s="580" t="s">
        <v>2139</v>
      </c>
      <c r="G450" s="582" t="s">
        <v>2140</v>
      </c>
      <c r="H450" s="578" t="s">
        <v>970</v>
      </c>
      <c r="I450" s="583">
        <v>1136</v>
      </c>
      <c r="J450" s="583">
        <v>0</v>
      </c>
      <c r="K450" s="583">
        <v>4</v>
      </c>
      <c r="L450" s="584">
        <f t="shared" si="278"/>
        <v>284</v>
      </c>
      <c r="M450" s="585">
        <v>46171</v>
      </c>
      <c r="N450" s="585">
        <v>46167</v>
      </c>
      <c r="O450" s="586" t="s">
        <v>2141</v>
      </c>
      <c r="P450" s="586" t="s">
        <v>83</v>
      </c>
      <c r="Q450" s="587" t="s">
        <v>1030</v>
      </c>
      <c r="R450" s="586" t="s">
        <v>1037</v>
      </c>
      <c r="S450" s="586"/>
      <c r="T450" s="586"/>
      <c r="U450" s="586" t="s">
        <v>2142</v>
      </c>
      <c r="V450" s="586"/>
      <c r="W450" s="586"/>
      <c r="X450" s="588" t="s">
        <v>2143</v>
      </c>
      <c r="Y450" s="589" t="s">
        <v>2144</v>
      </c>
      <c r="Z450" s="686">
        <v>5.8701</v>
      </c>
      <c r="AA450" s="591">
        <f t="shared" si="279"/>
        <v>6668.4336</v>
      </c>
      <c r="AB450" s="592"/>
      <c r="AC450" s="582" t="s">
        <v>976</v>
      </c>
      <c r="AD450" s="593" t="s">
        <v>89</v>
      </c>
      <c r="AE450" s="595"/>
      <c r="AF450" s="595"/>
      <c r="AG450" s="595"/>
      <c r="AH450" s="592"/>
      <c r="AI450" s="592"/>
      <c r="AJ450" s="592">
        <f>I450</f>
        <v>1136</v>
      </c>
      <c r="AK450" s="592"/>
      <c r="AL450" s="592"/>
      <c r="AM450" s="598"/>
      <c r="AN450" s="598">
        <f t="shared" si="276"/>
        <v>1136</v>
      </c>
      <c r="AO450" s="592"/>
      <c r="AP450" s="619"/>
      <c r="AQ450" s="592"/>
      <c r="AR450" s="592"/>
      <c r="AS450" s="592"/>
      <c r="AT450" s="592"/>
      <c r="AU450" s="592">
        <f>I450</f>
        <v>1136</v>
      </c>
      <c r="AV450" s="618"/>
      <c r="AW450" s="592">
        <f t="shared" si="277"/>
        <v>1136</v>
      </c>
      <c r="AX450" s="592"/>
      <c r="AY450" s="600"/>
      <c r="AZ450" s="666"/>
      <c r="BA450" s="666"/>
      <c r="BB450" s="666"/>
      <c r="BC450" s="666"/>
      <c r="BD450" s="667"/>
      <c r="BE450" s="668"/>
      <c r="BF450" s="679" t="s">
        <v>90</v>
      </c>
      <c r="BG450" s="680"/>
      <c r="BH450" s="632">
        <f t="shared" si="270"/>
        <v>189.333333333333</v>
      </c>
      <c r="BI450" s="633">
        <f t="shared" si="271"/>
        <v>189.333333333333</v>
      </c>
      <c r="BJ450" s="633">
        <f t="shared" si="272"/>
        <v>189.333333333333</v>
      </c>
      <c r="BK450" s="633">
        <f t="shared" si="273"/>
        <v>189.333333333333</v>
      </c>
      <c r="BL450" s="633">
        <f t="shared" si="274"/>
        <v>189.333333333333</v>
      </c>
      <c r="BM450" s="633">
        <f t="shared" si="275"/>
        <v>189.333333333333</v>
      </c>
      <c r="BN450" s="605"/>
      <c r="BO450" s="605"/>
      <c r="BP450" s="605"/>
      <c r="BQ450" s="605"/>
      <c r="BR450" s="605"/>
      <c r="BS450" s="605"/>
      <c r="BT450" s="607">
        <f t="shared" si="251"/>
        <v>1136</v>
      </c>
      <c r="BU450" s="608">
        <f t="shared" si="252"/>
        <v>0</v>
      </c>
      <c r="BV450" s="491"/>
      <c r="BW450" s="491"/>
    </row>
    <row r="451" s="491" customFormat="1" ht="33" customHeight="1" spans="1:75 16335:16384">
      <c r="A451" s="577">
        <v>46121</v>
      </c>
      <c r="B451" s="578" t="s">
        <v>1012</v>
      </c>
      <c r="C451" s="579" t="s">
        <v>2145</v>
      </c>
      <c r="D451" s="580">
        <v>4500200650</v>
      </c>
      <c r="E451" s="581" t="s">
        <v>2146</v>
      </c>
      <c r="F451" s="580" t="s">
        <v>2147</v>
      </c>
      <c r="G451" s="582" t="s">
        <v>1016</v>
      </c>
      <c r="H451" s="578" t="s">
        <v>95</v>
      </c>
      <c r="I451" s="583">
        <v>4000</v>
      </c>
      <c r="J451" s="583">
        <v>0</v>
      </c>
      <c r="K451" s="583">
        <v>1</v>
      </c>
      <c r="L451" s="584">
        <f t="shared" si="278"/>
        <v>4000</v>
      </c>
      <c r="M451" s="585">
        <v>46167</v>
      </c>
      <c r="N451" s="585">
        <v>46163</v>
      </c>
      <c r="O451" s="586"/>
      <c r="P451" s="586" t="s">
        <v>83</v>
      </c>
      <c r="Q451" s="587" t="s">
        <v>1008</v>
      </c>
      <c r="R451" s="586" t="s">
        <v>1018</v>
      </c>
      <c r="S451" s="586"/>
      <c r="T451" s="586"/>
      <c r="U451" s="586" t="s">
        <v>1019</v>
      </c>
      <c r="V451" s="586"/>
      <c r="W451" s="586"/>
      <c r="X451" s="588" t="s">
        <v>2148</v>
      </c>
      <c r="Y451" s="589" t="s">
        <v>2149</v>
      </c>
      <c r="Z451" s="686">
        <v>5.9798</v>
      </c>
      <c r="AA451" s="591">
        <f t="shared" si="279"/>
        <v>23919.2</v>
      </c>
      <c r="AB451" s="592"/>
      <c r="AC451" s="582" t="s">
        <v>1016</v>
      </c>
      <c r="AD451" s="593" t="s">
        <v>89</v>
      </c>
      <c r="AE451" s="592"/>
      <c r="AF451" s="666"/>
      <c r="AG451" s="672">
        <f t="shared" ref="AG451:AG456" si="280">I451</f>
        <v>4000</v>
      </c>
      <c r="AH451" s="666"/>
      <c r="AI451" s="666"/>
      <c r="AJ451" s="666"/>
      <c r="AK451" s="672"/>
      <c r="AL451" s="648"/>
      <c r="AM451" s="648"/>
      <c r="AN451" s="592">
        <f t="shared" si="276"/>
        <v>4000</v>
      </c>
      <c r="AO451" s="648"/>
      <c r="AP451" s="648"/>
      <c r="AQ451" s="648"/>
      <c r="AR451" s="648">
        <f t="shared" ref="AR451:AR459" si="281">I451</f>
        <v>4000</v>
      </c>
      <c r="AS451" s="648"/>
      <c r="AT451" s="648"/>
      <c r="AU451" s="648"/>
      <c r="AV451" s="648"/>
      <c r="AW451" s="592">
        <f t="shared" si="277"/>
        <v>4000</v>
      </c>
      <c r="AX451" s="648"/>
      <c r="AY451" s="648"/>
      <c r="AZ451" s="648"/>
      <c r="BA451" s="648"/>
      <c r="BB451" s="648"/>
      <c r="BC451" s="648"/>
      <c r="BD451" s="648"/>
      <c r="BE451" s="703"/>
      <c r="BF451" s="679" t="s">
        <v>90</v>
      </c>
      <c r="BG451" s="680"/>
      <c r="BH451" s="704">
        <f t="shared" si="270"/>
        <v>666.666666666667</v>
      </c>
      <c r="BI451" s="705">
        <f t="shared" si="271"/>
        <v>666.666666666667</v>
      </c>
      <c r="BJ451" s="705">
        <f t="shared" si="272"/>
        <v>666.666666666667</v>
      </c>
      <c r="BK451" s="705">
        <f t="shared" si="273"/>
        <v>666.666666666667</v>
      </c>
      <c r="BL451" s="705">
        <f t="shared" si="274"/>
        <v>666.666666666667</v>
      </c>
      <c r="BM451" s="705">
        <f t="shared" si="275"/>
        <v>666.666666666667</v>
      </c>
      <c r="BN451" s="680"/>
      <c r="BO451" s="680"/>
      <c r="BP451" s="680"/>
      <c r="BQ451" s="680"/>
      <c r="BR451" s="680"/>
      <c r="BS451" s="680"/>
      <c r="BT451" s="607">
        <f t="shared" ref="BT451:BT514" si="282">SUM(BH451:BS451)</f>
        <v>4000</v>
      </c>
      <c r="BU451" s="608">
        <f t="shared" ref="BU451:BU514" si="283">I451-BT451</f>
        <v>0</v>
      </c>
      <c r="XDG451" s="670"/>
      <c r="XDH451" s="657"/>
      <c r="XDI451" s="653"/>
      <c r="XDJ451" s="654"/>
      <c r="XDK451" s="652"/>
      <c r="XDL451" s="654"/>
      <c r="XDM451" s="656"/>
      <c r="XDN451" s="657"/>
      <c r="XDO451" s="658"/>
      <c r="XDP451" s="658"/>
      <c r="XDQ451" s="658"/>
      <c r="XDR451" s="671"/>
      <c r="XDS451" s="659"/>
      <c r="XDT451" s="659"/>
      <c r="XDU451" s="660"/>
      <c r="XDV451" s="660"/>
      <c r="XDX451" s="670"/>
      <c r="XDY451" s="657"/>
      <c r="XDZ451" s="653"/>
      <c r="XEA451" s="654"/>
      <c r="XEB451" s="652"/>
      <c r="XEC451" s="654"/>
      <c r="XED451" s="656"/>
      <c r="XEE451" s="657"/>
      <c r="XEF451" s="658"/>
      <c r="XEG451" s="658"/>
      <c r="XEH451" s="658"/>
      <c r="XEI451" s="671"/>
      <c r="XEJ451" s="659"/>
      <c r="XEK451" s="659"/>
      <c r="XEL451" s="660"/>
      <c r="XEM451" s="660"/>
      <c r="XEO451" s="670"/>
      <c r="XEP451" s="657"/>
      <c r="XEQ451" s="653"/>
      <c r="XER451" s="654"/>
      <c r="XES451" s="652"/>
      <c r="XET451" s="654"/>
      <c r="XEU451" s="656"/>
      <c r="XEV451" s="657"/>
      <c r="XEW451" s="658"/>
      <c r="XEX451" s="658"/>
      <c r="XEY451" s="658"/>
      <c r="XEZ451" s="671"/>
      <c r="XFA451" s="659"/>
      <c r="XFB451" s="659"/>
      <c r="XFC451" s="660"/>
      <c r="XFD451" s="660"/>
    </row>
    <row r="452" s="490" customFormat="1" ht="33" customHeight="1" spans="1:75 16335:16384">
      <c r="A452" s="577">
        <v>46126</v>
      </c>
      <c r="B452" s="578" t="s">
        <v>254</v>
      </c>
      <c r="C452" s="579" t="s">
        <v>255</v>
      </c>
      <c r="D452" s="580">
        <v>4500197999</v>
      </c>
      <c r="E452" s="581">
        <v>21689158</v>
      </c>
      <c r="F452" s="580" t="s">
        <v>2150</v>
      </c>
      <c r="G452" s="582" t="s">
        <v>81</v>
      </c>
      <c r="H452" s="578" t="s">
        <v>95</v>
      </c>
      <c r="I452" s="583">
        <v>1440</v>
      </c>
      <c r="J452" s="583">
        <v>0</v>
      </c>
      <c r="K452" s="583">
        <v>6</v>
      </c>
      <c r="L452" s="584">
        <f t="shared" si="278"/>
        <v>240</v>
      </c>
      <c r="M452" s="585">
        <v>46174</v>
      </c>
      <c r="N452" s="610">
        <f>M452-4</f>
        <v>46170</v>
      </c>
      <c r="O452" s="586"/>
      <c r="P452" s="586" t="s">
        <v>83</v>
      </c>
      <c r="Q452" s="587" t="s">
        <v>2151</v>
      </c>
      <c r="R452" s="586" t="s">
        <v>2152</v>
      </c>
      <c r="S452" s="586"/>
      <c r="T452" s="586"/>
      <c r="U452" s="586" t="s">
        <v>2153</v>
      </c>
      <c r="V452" s="586"/>
      <c r="W452" s="586"/>
      <c r="X452" s="588" t="s">
        <v>2154</v>
      </c>
      <c r="Y452" s="589" t="s">
        <v>2081</v>
      </c>
      <c r="Z452" s="686">
        <v>6.3086</v>
      </c>
      <c r="AA452" s="591">
        <f t="shared" si="279"/>
        <v>9084.384</v>
      </c>
      <c r="AB452" s="592"/>
      <c r="AC452" s="582" t="s">
        <v>81</v>
      </c>
      <c r="AD452" s="593" t="s">
        <v>89</v>
      </c>
      <c r="AE452" s="595"/>
      <c r="AF452" s="595"/>
      <c r="AG452" s="595">
        <f t="shared" si="280"/>
        <v>1440</v>
      </c>
      <c r="AH452" s="592"/>
      <c r="AI452" s="592"/>
      <c r="AJ452" s="592"/>
      <c r="AK452" s="592"/>
      <c r="AL452" s="592"/>
      <c r="AM452" s="598"/>
      <c r="AN452" s="598">
        <f t="shared" si="276"/>
        <v>1440</v>
      </c>
      <c r="AO452" s="592"/>
      <c r="AP452" s="619"/>
      <c r="AQ452" s="592"/>
      <c r="AR452" s="592">
        <f t="shared" si="281"/>
        <v>1440</v>
      </c>
      <c r="AS452" s="592"/>
      <c r="AT452" s="592"/>
      <c r="AU452" s="592"/>
      <c r="AV452" s="618"/>
      <c r="AW452" s="592">
        <f t="shared" si="277"/>
        <v>1440</v>
      </c>
      <c r="AX452" s="592"/>
      <c r="AY452" s="600"/>
      <c r="AZ452" s="666"/>
      <c r="BA452" s="666"/>
      <c r="BB452" s="666"/>
      <c r="BC452" s="666"/>
      <c r="BD452" s="667"/>
      <c r="BE452" s="668"/>
      <c r="BF452" s="679" t="s">
        <v>90</v>
      </c>
      <c r="BG452" s="680"/>
      <c r="BH452" s="632">
        <f t="shared" si="270"/>
        <v>240</v>
      </c>
      <c r="BI452" s="633">
        <f t="shared" si="271"/>
        <v>240</v>
      </c>
      <c r="BJ452" s="633">
        <f t="shared" si="272"/>
        <v>240</v>
      </c>
      <c r="BK452" s="633">
        <f t="shared" si="273"/>
        <v>240</v>
      </c>
      <c r="BL452" s="633">
        <f t="shared" si="274"/>
        <v>240</v>
      </c>
      <c r="BM452" s="633">
        <f t="shared" si="275"/>
        <v>240</v>
      </c>
      <c r="BN452" s="605"/>
      <c r="BO452" s="605"/>
      <c r="BP452" s="605"/>
      <c r="BQ452" s="605"/>
      <c r="BR452" s="605"/>
      <c r="BS452" s="605"/>
      <c r="BT452" s="607">
        <f t="shared" si="282"/>
        <v>1440</v>
      </c>
      <c r="BU452" s="608">
        <f t="shared" si="283"/>
        <v>0</v>
      </c>
      <c r="BV452" s="491"/>
      <c r="BW452" s="491"/>
    </row>
    <row r="453" s="490" customFormat="1" ht="33" customHeight="1" spans="1:75 16335:16384">
      <c r="A453" s="577">
        <v>46126</v>
      </c>
      <c r="B453" s="578" t="s">
        <v>245</v>
      </c>
      <c r="C453" s="579" t="s">
        <v>246</v>
      </c>
      <c r="D453" s="580">
        <v>4500198000</v>
      </c>
      <c r="E453" s="581">
        <v>21689163</v>
      </c>
      <c r="F453" s="580" t="s">
        <v>2155</v>
      </c>
      <c r="G453" s="582" t="s">
        <v>81</v>
      </c>
      <c r="H453" s="578" t="s">
        <v>95</v>
      </c>
      <c r="I453" s="583">
        <v>60</v>
      </c>
      <c r="J453" s="583">
        <v>0</v>
      </c>
      <c r="K453" s="583">
        <v>6</v>
      </c>
      <c r="L453" s="584">
        <f t="shared" si="278"/>
        <v>10</v>
      </c>
      <c r="M453" s="585">
        <v>46174</v>
      </c>
      <c r="N453" s="610">
        <f>M453-4</f>
        <v>46170</v>
      </c>
      <c r="O453" s="586"/>
      <c r="P453" s="586" t="s">
        <v>83</v>
      </c>
      <c r="Q453" s="587" t="s">
        <v>2151</v>
      </c>
      <c r="R453" s="586" t="s">
        <v>2152</v>
      </c>
      <c r="S453" s="586"/>
      <c r="T453" s="586"/>
      <c r="U453" s="586" t="s">
        <v>2153</v>
      </c>
      <c r="V453" s="586"/>
      <c r="W453" s="586"/>
      <c r="X453" s="588" t="s">
        <v>2156</v>
      </c>
      <c r="Y453" s="589" t="s">
        <v>2081</v>
      </c>
      <c r="Z453" s="686">
        <v>6.3162</v>
      </c>
      <c r="AA453" s="591">
        <f t="shared" si="279"/>
        <v>378.972</v>
      </c>
      <c r="AB453" s="592"/>
      <c r="AC453" s="582" t="s">
        <v>81</v>
      </c>
      <c r="AD453" s="593" t="s">
        <v>89</v>
      </c>
      <c r="AE453" s="595"/>
      <c r="AF453" s="595"/>
      <c r="AG453" s="595">
        <f t="shared" si="280"/>
        <v>60</v>
      </c>
      <c r="AH453" s="592"/>
      <c r="AI453" s="592"/>
      <c r="AJ453" s="592"/>
      <c r="AK453" s="592"/>
      <c r="AL453" s="592"/>
      <c r="AM453" s="598"/>
      <c r="AN453" s="598">
        <f t="shared" si="276"/>
        <v>60</v>
      </c>
      <c r="AO453" s="592"/>
      <c r="AP453" s="619"/>
      <c r="AQ453" s="592"/>
      <c r="AR453" s="592">
        <f t="shared" si="281"/>
        <v>60</v>
      </c>
      <c r="AS453" s="592"/>
      <c r="AT453" s="592"/>
      <c r="AU453" s="592"/>
      <c r="AV453" s="618"/>
      <c r="AW453" s="592">
        <f t="shared" si="277"/>
        <v>60</v>
      </c>
      <c r="AX453" s="592"/>
      <c r="AY453" s="600"/>
      <c r="AZ453" s="666"/>
      <c r="BA453" s="666"/>
      <c r="BB453" s="666"/>
      <c r="BC453" s="666"/>
      <c r="BD453" s="667"/>
      <c r="BE453" s="668"/>
      <c r="BF453" s="679" t="s">
        <v>90</v>
      </c>
      <c r="BG453" s="680"/>
      <c r="BH453" s="632">
        <f t="shared" si="270"/>
        <v>10</v>
      </c>
      <c r="BI453" s="633">
        <f t="shared" si="271"/>
        <v>10</v>
      </c>
      <c r="BJ453" s="633">
        <f t="shared" si="272"/>
        <v>10</v>
      </c>
      <c r="BK453" s="633">
        <f t="shared" si="273"/>
        <v>10</v>
      </c>
      <c r="BL453" s="633">
        <f t="shared" si="274"/>
        <v>10</v>
      </c>
      <c r="BM453" s="633">
        <f t="shared" si="275"/>
        <v>10</v>
      </c>
      <c r="BN453" s="605"/>
      <c r="BO453" s="605"/>
      <c r="BP453" s="605"/>
      <c r="BQ453" s="605"/>
      <c r="BR453" s="605"/>
      <c r="BS453" s="605"/>
      <c r="BT453" s="607">
        <f t="shared" si="282"/>
        <v>60</v>
      </c>
      <c r="BU453" s="608">
        <f t="shared" si="283"/>
        <v>0</v>
      </c>
      <c r="BV453" s="491"/>
      <c r="BW453" s="491"/>
    </row>
    <row r="454" s="491" customFormat="1" ht="33" customHeight="1" spans="1:75 16335:16384">
      <c r="A454" s="577">
        <v>46121</v>
      </c>
      <c r="B454" s="578" t="s">
        <v>2157</v>
      </c>
      <c r="C454" s="579" t="s">
        <v>1556</v>
      </c>
      <c r="D454" s="580">
        <v>4500200490</v>
      </c>
      <c r="E454" s="581" t="s">
        <v>2096</v>
      </c>
      <c r="F454" s="580" t="s">
        <v>2158</v>
      </c>
      <c r="G454" s="582" t="s">
        <v>81</v>
      </c>
      <c r="H454" s="578" t="s">
        <v>82</v>
      </c>
      <c r="I454" s="583">
        <v>960</v>
      </c>
      <c r="J454" s="583">
        <v>0</v>
      </c>
      <c r="K454" s="583">
        <v>6</v>
      </c>
      <c r="L454" s="584">
        <f t="shared" si="278"/>
        <v>160</v>
      </c>
      <c r="M454" s="585">
        <v>46175</v>
      </c>
      <c r="N454" s="585">
        <v>46171</v>
      </c>
      <c r="O454" s="586"/>
      <c r="P454" s="586" t="s">
        <v>83</v>
      </c>
      <c r="Q454" s="587" t="s">
        <v>2121</v>
      </c>
      <c r="R454" s="586" t="s">
        <v>1072</v>
      </c>
      <c r="S454" s="586"/>
      <c r="T454" s="586"/>
      <c r="U454" s="586" t="s">
        <v>86</v>
      </c>
      <c r="V454" s="586"/>
      <c r="W454" s="586"/>
      <c r="X454" s="588" t="s">
        <v>2159</v>
      </c>
      <c r="Y454" s="589" t="s">
        <v>356</v>
      </c>
      <c r="Z454" s="686">
        <v>5.9216</v>
      </c>
      <c r="AA454" s="591">
        <f t="shared" si="279"/>
        <v>5684.736</v>
      </c>
      <c r="AB454" s="592"/>
      <c r="AC454" s="582" t="s">
        <v>81</v>
      </c>
      <c r="AD454" s="593" t="s">
        <v>89</v>
      </c>
      <c r="AE454" s="592"/>
      <c r="AF454" s="666"/>
      <c r="AG454" s="672">
        <f t="shared" si="280"/>
        <v>960</v>
      </c>
      <c r="AH454" s="666"/>
      <c r="AI454" s="666"/>
      <c r="AJ454" s="666"/>
      <c r="AK454" s="672"/>
      <c r="AL454" s="648"/>
      <c r="AM454" s="648"/>
      <c r="AN454" s="592">
        <f t="shared" si="276"/>
        <v>960</v>
      </c>
      <c r="AO454" s="648"/>
      <c r="AP454" s="648"/>
      <c r="AQ454" s="648"/>
      <c r="AR454" s="648">
        <f t="shared" si="281"/>
        <v>960</v>
      </c>
      <c r="AS454" s="648"/>
      <c r="AT454" s="648"/>
      <c r="AU454" s="672"/>
      <c r="AV454" s="648"/>
      <c r="AW454" s="592">
        <f t="shared" si="277"/>
        <v>960</v>
      </c>
      <c r="AX454" s="648"/>
      <c r="AY454" s="648"/>
      <c r="AZ454" s="648"/>
      <c r="BA454" s="648"/>
      <c r="BB454" s="648"/>
      <c r="BC454" s="648"/>
      <c r="BD454" s="648"/>
      <c r="BE454" s="703"/>
      <c r="BF454" s="679" t="s">
        <v>90</v>
      </c>
      <c r="BG454" s="680"/>
      <c r="BH454" s="704">
        <f t="shared" si="270"/>
        <v>160</v>
      </c>
      <c r="BI454" s="705">
        <f t="shared" si="271"/>
        <v>160</v>
      </c>
      <c r="BJ454" s="705">
        <f t="shared" si="272"/>
        <v>160</v>
      </c>
      <c r="BK454" s="705">
        <f t="shared" si="273"/>
        <v>160</v>
      </c>
      <c r="BL454" s="705">
        <f t="shared" si="274"/>
        <v>160</v>
      </c>
      <c r="BM454" s="705">
        <f t="shared" si="275"/>
        <v>160</v>
      </c>
      <c r="BN454" s="680"/>
      <c r="BO454" s="680"/>
      <c r="BP454" s="680"/>
      <c r="BQ454" s="680"/>
      <c r="BR454" s="680"/>
      <c r="BS454" s="680"/>
      <c r="BT454" s="607">
        <f t="shared" si="282"/>
        <v>960</v>
      </c>
      <c r="BU454" s="608">
        <f t="shared" si="283"/>
        <v>0</v>
      </c>
      <c r="XDG454" s="670"/>
      <c r="XDH454" s="657"/>
      <c r="XDI454" s="653"/>
      <c r="XDJ454" s="654"/>
      <c r="XDK454" s="652"/>
      <c r="XDL454" s="654"/>
      <c r="XDM454" s="656"/>
      <c r="XDN454" s="657"/>
      <c r="XDO454" s="658"/>
      <c r="XDP454" s="658"/>
      <c r="XDQ454" s="658"/>
      <c r="XDR454" s="671"/>
      <c r="XDS454" s="659"/>
      <c r="XDT454" s="659"/>
      <c r="XDU454" s="660"/>
      <c r="XDV454" s="660"/>
      <c r="XDX454" s="670"/>
      <c r="XDY454" s="657"/>
      <c r="XDZ454" s="653"/>
      <c r="XEA454" s="654"/>
      <c r="XEB454" s="652"/>
      <c r="XEC454" s="654"/>
      <c r="XED454" s="656"/>
      <c r="XEE454" s="657"/>
      <c r="XEF454" s="658"/>
      <c r="XEG454" s="658"/>
      <c r="XEH454" s="658"/>
      <c r="XEI454" s="671"/>
      <c r="XEJ454" s="659"/>
      <c r="XEK454" s="659"/>
      <c r="XEL454" s="660"/>
      <c r="XEM454" s="660"/>
      <c r="XEO454" s="670"/>
      <c r="XEP454" s="657"/>
      <c r="XEQ454" s="653"/>
      <c r="XER454" s="654"/>
      <c r="XES454" s="652"/>
      <c r="XET454" s="654"/>
      <c r="XEU454" s="656"/>
      <c r="XEV454" s="657"/>
      <c r="XEW454" s="658"/>
      <c r="XEX454" s="658"/>
      <c r="XEY454" s="658"/>
      <c r="XEZ454" s="671"/>
      <c r="XFA454" s="659"/>
      <c r="XFB454" s="659"/>
      <c r="XFC454" s="660"/>
      <c r="XFD454" s="660"/>
    </row>
    <row r="455" s="491" customFormat="1" ht="33" customHeight="1" spans="1:75 16335:16384">
      <c r="A455" s="577">
        <v>46133</v>
      </c>
      <c r="B455" s="578" t="s">
        <v>1453</v>
      </c>
      <c r="C455" s="579" t="s">
        <v>92</v>
      </c>
      <c r="D455" s="580">
        <v>4500203028</v>
      </c>
      <c r="E455" s="581">
        <v>384837308</v>
      </c>
      <c r="F455" s="580" t="s">
        <v>2160</v>
      </c>
      <c r="G455" s="582" t="s">
        <v>81</v>
      </c>
      <c r="H455" s="578" t="s">
        <v>82</v>
      </c>
      <c r="I455" s="583">
        <v>1500</v>
      </c>
      <c r="J455" s="583">
        <v>0</v>
      </c>
      <c r="K455" s="583">
        <v>6</v>
      </c>
      <c r="L455" s="584">
        <f t="shared" si="278"/>
        <v>250</v>
      </c>
      <c r="M455" s="585">
        <v>46175</v>
      </c>
      <c r="N455" s="585">
        <v>46171</v>
      </c>
      <c r="O455" s="586" t="s">
        <v>2161</v>
      </c>
      <c r="P455" s="586" t="s">
        <v>83</v>
      </c>
      <c r="Q455" s="587" t="s">
        <v>2162</v>
      </c>
      <c r="R455" s="586" t="s">
        <v>1100</v>
      </c>
      <c r="S455" s="586"/>
      <c r="T455" s="586"/>
      <c r="U455" s="586" t="s">
        <v>2163</v>
      </c>
      <c r="V455" s="586"/>
      <c r="W455" s="586"/>
      <c r="X455" s="588" t="s">
        <v>2164</v>
      </c>
      <c r="Y455" s="589" t="s">
        <v>223</v>
      </c>
      <c r="Z455" s="686">
        <v>3.5418</v>
      </c>
      <c r="AA455" s="591">
        <f t="shared" si="279"/>
        <v>5312.7</v>
      </c>
      <c r="AB455" s="592"/>
      <c r="AC455" s="582" t="s">
        <v>235</v>
      </c>
      <c r="AD455" s="593" t="s">
        <v>89</v>
      </c>
      <c r="AE455" s="592"/>
      <c r="AF455" s="666"/>
      <c r="AG455" s="672">
        <f t="shared" si="280"/>
        <v>1500</v>
      </c>
      <c r="AH455" s="592"/>
      <c r="AI455" s="666"/>
      <c r="AJ455" s="666"/>
      <c r="AK455" s="672"/>
      <c r="AL455" s="648"/>
      <c r="AM455" s="592"/>
      <c r="AN455" s="592">
        <f t="shared" si="276"/>
        <v>1500</v>
      </c>
      <c r="AO455" s="648"/>
      <c r="AP455" s="648"/>
      <c r="AQ455" s="648"/>
      <c r="AR455" s="592">
        <f t="shared" si="281"/>
        <v>1500</v>
      </c>
      <c r="AS455" s="648"/>
      <c r="AT455" s="648"/>
      <c r="AU455" s="648"/>
      <c r="AV455" s="667"/>
      <c r="AW455" s="592">
        <f t="shared" si="277"/>
        <v>1500</v>
      </c>
      <c r="AX455" s="706"/>
      <c r="AY455" s="707"/>
      <c r="AZ455" s="707"/>
      <c r="BA455" s="707"/>
      <c r="BB455" s="707"/>
      <c r="BC455" s="707"/>
      <c r="BD455" s="648"/>
      <c r="BE455" s="703"/>
      <c r="BF455" s="679" t="s">
        <v>90</v>
      </c>
      <c r="BG455" s="680"/>
      <c r="BH455" s="708">
        <f t="shared" si="270"/>
        <v>250</v>
      </c>
      <c r="BI455" s="644">
        <f t="shared" si="271"/>
        <v>250</v>
      </c>
      <c r="BJ455" s="644">
        <f t="shared" si="272"/>
        <v>250</v>
      </c>
      <c r="BK455" s="644">
        <f t="shared" si="273"/>
        <v>250</v>
      </c>
      <c r="BL455" s="644">
        <f t="shared" si="274"/>
        <v>250</v>
      </c>
      <c r="BM455" s="644">
        <f t="shared" si="275"/>
        <v>250</v>
      </c>
      <c r="BN455" s="680"/>
      <c r="BO455" s="680"/>
      <c r="BP455" s="680"/>
      <c r="BQ455" s="680"/>
      <c r="BR455" s="680"/>
      <c r="BS455" s="680"/>
      <c r="BT455" s="607">
        <f t="shared" si="282"/>
        <v>1500</v>
      </c>
      <c r="BU455" s="608">
        <f t="shared" si="283"/>
        <v>0</v>
      </c>
      <c r="XDG455" s="670"/>
      <c r="XDH455" s="657"/>
      <c r="XDI455" s="653"/>
      <c r="XDJ455" s="654"/>
      <c r="XDK455" s="652"/>
      <c r="XDL455" s="654"/>
      <c r="XDM455" s="656"/>
      <c r="XDN455" s="657"/>
      <c r="XDO455" s="658"/>
      <c r="XDP455" s="658"/>
      <c r="XDQ455" s="658"/>
      <c r="XDR455" s="671"/>
      <c r="XDS455" s="659"/>
      <c r="XDT455" s="659"/>
      <c r="XDU455" s="660"/>
      <c r="XDV455" s="660"/>
      <c r="XDX455" s="670"/>
      <c r="XDY455" s="657"/>
      <c r="XDZ455" s="653"/>
      <c r="XEA455" s="654"/>
      <c r="XEB455" s="652"/>
      <c r="XEC455" s="654"/>
      <c r="XED455" s="656"/>
      <c r="XEE455" s="657"/>
      <c r="XEF455" s="658"/>
      <c r="XEG455" s="658"/>
      <c r="XEH455" s="658"/>
      <c r="XEI455" s="671"/>
      <c r="XEJ455" s="659"/>
      <c r="XEK455" s="659"/>
      <c r="XEL455" s="660"/>
      <c r="XEM455" s="660"/>
      <c r="XEO455" s="670"/>
      <c r="XEP455" s="657"/>
      <c r="XEQ455" s="653"/>
      <c r="XER455" s="654"/>
      <c r="XES455" s="652"/>
      <c r="XET455" s="654"/>
      <c r="XEU455" s="656"/>
      <c r="XEV455" s="657"/>
      <c r="XEW455" s="658"/>
      <c r="XEX455" s="658"/>
      <c r="XEY455" s="658"/>
      <c r="XEZ455" s="671"/>
      <c r="XFA455" s="659"/>
      <c r="XFB455" s="659"/>
      <c r="XFC455" s="660"/>
      <c r="XFD455" s="660"/>
    </row>
    <row r="456" s="491" customFormat="1" ht="33" customHeight="1" spans="1:75 16335:16384">
      <c r="A456" s="577">
        <v>46133</v>
      </c>
      <c r="B456" s="578" t="s">
        <v>1453</v>
      </c>
      <c r="C456" s="579" t="s">
        <v>92</v>
      </c>
      <c r="D456" s="580">
        <v>4500203028</v>
      </c>
      <c r="E456" s="581">
        <v>384837309</v>
      </c>
      <c r="F456" s="580" t="s">
        <v>2165</v>
      </c>
      <c r="G456" s="582" t="s">
        <v>81</v>
      </c>
      <c r="H456" s="578" t="s">
        <v>82</v>
      </c>
      <c r="I456" s="583">
        <v>1500</v>
      </c>
      <c r="J456" s="583">
        <v>0</v>
      </c>
      <c r="K456" s="583">
        <v>6</v>
      </c>
      <c r="L456" s="584">
        <f t="shared" si="278"/>
        <v>250</v>
      </c>
      <c r="M456" s="585">
        <v>46175</v>
      </c>
      <c r="N456" s="585">
        <v>46171</v>
      </c>
      <c r="O456" s="586" t="s">
        <v>2161</v>
      </c>
      <c r="P456" s="586" t="s">
        <v>83</v>
      </c>
      <c r="Q456" s="587" t="s">
        <v>2162</v>
      </c>
      <c r="R456" s="586" t="s">
        <v>1100</v>
      </c>
      <c r="S456" s="586"/>
      <c r="T456" s="586"/>
      <c r="U456" s="586" t="s">
        <v>2166</v>
      </c>
      <c r="V456" s="586"/>
      <c r="W456" s="586"/>
      <c r="X456" s="588" t="s">
        <v>2164</v>
      </c>
      <c r="Y456" s="589" t="s">
        <v>223</v>
      </c>
      <c r="Z456" s="686">
        <v>3.5418</v>
      </c>
      <c r="AA456" s="591">
        <f t="shared" si="279"/>
        <v>5312.7</v>
      </c>
      <c r="AB456" s="592"/>
      <c r="AC456" s="582" t="s">
        <v>235</v>
      </c>
      <c r="AD456" s="593" t="s">
        <v>89</v>
      </c>
      <c r="AE456" s="592"/>
      <c r="AF456" s="666"/>
      <c r="AG456" s="672">
        <f t="shared" si="280"/>
        <v>1500</v>
      </c>
      <c r="AH456" s="592"/>
      <c r="AI456" s="666"/>
      <c r="AJ456" s="666"/>
      <c r="AK456" s="672"/>
      <c r="AL456" s="648"/>
      <c r="AM456" s="592"/>
      <c r="AN456" s="592">
        <f t="shared" si="276"/>
        <v>1500</v>
      </c>
      <c r="AO456" s="648"/>
      <c r="AP456" s="648"/>
      <c r="AQ456" s="648"/>
      <c r="AR456" s="592">
        <f t="shared" si="281"/>
        <v>1500</v>
      </c>
      <c r="AS456" s="648"/>
      <c r="AT456" s="648"/>
      <c r="AU456" s="648"/>
      <c r="AV456" s="667"/>
      <c r="AW456" s="592">
        <f t="shared" si="277"/>
        <v>1500</v>
      </c>
      <c r="AX456" s="706"/>
      <c r="AY456" s="707"/>
      <c r="AZ456" s="707"/>
      <c r="BA456" s="707"/>
      <c r="BB456" s="707"/>
      <c r="BC456" s="707"/>
      <c r="BD456" s="648"/>
      <c r="BE456" s="703"/>
      <c r="BF456" s="679" t="s">
        <v>90</v>
      </c>
      <c r="BG456" s="680"/>
      <c r="BH456" s="708">
        <f t="shared" si="270"/>
        <v>250</v>
      </c>
      <c r="BI456" s="644">
        <f t="shared" si="271"/>
        <v>250</v>
      </c>
      <c r="BJ456" s="644">
        <f t="shared" si="272"/>
        <v>250</v>
      </c>
      <c r="BK456" s="644">
        <f t="shared" si="273"/>
        <v>250</v>
      </c>
      <c r="BL456" s="644">
        <f t="shared" si="274"/>
        <v>250</v>
      </c>
      <c r="BM456" s="644">
        <f t="shared" si="275"/>
        <v>250</v>
      </c>
      <c r="BN456" s="680"/>
      <c r="BO456" s="680"/>
      <c r="BP456" s="680"/>
      <c r="BQ456" s="680"/>
      <c r="BR456" s="680"/>
      <c r="BS456" s="680"/>
      <c r="BT456" s="607">
        <f t="shared" si="282"/>
        <v>1500</v>
      </c>
      <c r="BU456" s="608">
        <f t="shared" si="283"/>
        <v>0</v>
      </c>
      <c r="XDG456" s="670"/>
      <c r="XDH456" s="657"/>
      <c r="XDI456" s="653"/>
      <c r="XDJ456" s="654"/>
      <c r="XDK456" s="652"/>
      <c r="XDL456" s="654"/>
      <c r="XDM456" s="656"/>
      <c r="XDN456" s="657"/>
      <c r="XDO456" s="658"/>
      <c r="XDP456" s="658"/>
      <c r="XDQ456" s="658"/>
      <c r="XDR456" s="671"/>
      <c r="XDS456" s="659"/>
      <c r="XDT456" s="659"/>
      <c r="XDU456" s="660"/>
      <c r="XDV456" s="660"/>
      <c r="XDX456" s="670"/>
      <c r="XDY456" s="657"/>
      <c r="XDZ456" s="653"/>
      <c r="XEA456" s="654"/>
      <c r="XEB456" s="652"/>
      <c r="XEC456" s="654"/>
      <c r="XED456" s="656"/>
      <c r="XEE456" s="657"/>
      <c r="XEF456" s="658"/>
      <c r="XEG456" s="658"/>
      <c r="XEH456" s="658"/>
      <c r="XEI456" s="671"/>
      <c r="XEJ456" s="659"/>
      <c r="XEK456" s="659"/>
      <c r="XEL456" s="660"/>
      <c r="XEM456" s="660"/>
      <c r="XEO456" s="670"/>
      <c r="XEP456" s="657"/>
      <c r="XEQ456" s="653"/>
      <c r="XER456" s="654"/>
      <c r="XES456" s="652"/>
      <c r="XET456" s="654"/>
      <c r="XEU456" s="656"/>
      <c r="XEV456" s="657"/>
      <c r="XEW456" s="658"/>
      <c r="XEX456" s="658"/>
      <c r="XEY456" s="658"/>
      <c r="XEZ456" s="671"/>
      <c r="XFA456" s="659"/>
      <c r="XFB456" s="659"/>
      <c r="XFC456" s="660"/>
      <c r="XFD456" s="660"/>
    </row>
    <row r="457" s="491" customFormat="1" ht="33" customHeight="1" spans="1:75 16335:16384">
      <c r="A457" s="577">
        <v>46129</v>
      </c>
      <c r="B457" s="578" t="s">
        <v>1918</v>
      </c>
      <c r="C457" s="709" t="s">
        <v>386</v>
      </c>
      <c r="D457" s="580">
        <v>4500202382</v>
      </c>
      <c r="E457" s="581" t="s">
        <v>2096</v>
      </c>
      <c r="F457" s="580" t="s">
        <v>2167</v>
      </c>
      <c r="G457" s="582" t="s">
        <v>81</v>
      </c>
      <c r="H457" s="578" t="s">
        <v>82</v>
      </c>
      <c r="I457" s="583">
        <v>2400</v>
      </c>
      <c r="J457" s="583">
        <v>0</v>
      </c>
      <c r="K457" s="583">
        <v>6</v>
      </c>
      <c r="L457" s="584">
        <f t="shared" si="278"/>
        <v>400</v>
      </c>
      <c r="M457" s="585">
        <v>46171</v>
      </c>
      <c r="N457" s="585">
        <v>46167</v>
      </c>
      <c r="O457" s="586" t="s">
        <v>2168</v>
      </c>
      <c r="P457" s="586" t="s">
        <v>83</v>
      </c>
      <c r="Q457" s="587"/>
      <c r="R457" s="586" t="s">
        <v>1127</v>
      </c>
      <c r="S457" s="586"/>
      <c r="T457" s="586"/>
      <c r="U457" s="586" t="s">
        <v>2169</v>
      </c>
      <c r="V457" s="586"/>
      <c r="W457" s="586"/>
      <c r="X457" s="588" t="s">
        <v>2170</v>
      </c>
      <c r="Y457" s="589" t="s">
        <v>356</v>
      </c>
      <c r="Z457" s="686">
        <v>5.7281</v>
      </c>
      <c r="AA457" s="591">
        <f t="shared" si="279"/>
        <v>13747.44</v>
      </c>
      <c r="AB457" s="592"/>
      <c r="AC457" s="582" t="s">
        <v>1909</v>
      </c>
      <c r="AD457" s="593" t="s">
        <v>89</v>
      </c>
      <c r="AE457" s="592"/>
      <c r="AF457" s="666"/>
      <c r="AG457" s="672"/>
      <c r="AH457" s="592"/>
      <c r="AI457" s="666"/>
      <c r="AJ457" s="666"/>
      <c r="AK457" s="672">
        <f>I457</f>
        <v>2400</v>
      </c>
      <c r="AL457" s="648"/>
      <c r="AM457" s="592"/>
      <c r="AN457" s="648"/>
      <c r="AO457" s="592">
        <f>I457</f>
        <v>2400</v>
      </c>
      <c r="AP457" s="648"/>
      <c r="AQ457" s="648"/>
      <c r="AR457" s="621">
        <f t="shared" si="281"/>
        <v>2400</v>
      </c>
      <c r="AS457" s="648"/>
      <c r="AT457" s="648"/>
      <c r="AU457" s="648"/>
      <c r="AV457" s="621"/>
      <c r="AW457" s="592"/>
      <c r="AX457" s="706">
        <f>I457</f>
        <v>2400</v>
      </c>
      <c r="AY457" s="707"/>
      <c r="AZ457" s="707"/>
      <c r="BA457" s="707"/>
      <c r="BB457" s="707"/>
      <c r="BC457" s="707"/>
      <c r="BD457" s="648"/>
      <c r="BE457" s="703"/>
      <c r="BF457" s="679" t="s">
        <v>90</v>
      </c>
      <c r="BG457" s="680"/>
      <c r="BH457" s="708">
        <f t="shared" si="270"/>
        <v>400</v>
      </c>
      <c r="BI457" s="644">
        <f t="shared" si="271"/>
        <v>400</v>
      </c>
      <c r="BJ457" s="644">
        <f t="shared" si="272"/>
        <v>400</v>
      </c>
      <c r="BK457" s="644">
        <f t="shared" si="273"/>
        <v>400</v>
      </c>
      <c r="BL457" s="644">
        <f t="shared" si="274"/>
        <v>400</v>
      </c>
      <c r="BM457" s="644">
        <f t="shared" si="275"/>
        <v>400</v>
      </c>
      <c r="BN457" s="680"/>
      <c r="BO457" s="680"/>
      <c r="BP457" s="680"/>
      <c r="BQ457" s="680"/>
      <c r="BR457" s="680"/>
      <c r="BS457" s="680"/>
      <c r="BT457" s="607">
        <f t="shared" si="282"/>
        <v>2400</v>
      </c>
      <c r="BU457" s="608">
        <f t="shared" si="283"/>
        <v>0</v>
      </c>
      <c r="XDG457" s="670"/>
      <c r="XDH457" s="657"/>
      <c r="XDI457" s="653"/>
      <c r="XDJ457" s="654"/>
      <c r="XDK457" s="652"/>
      <c r="XDL457" s="654"/>
      <c r="XDM457" s="656"/>
      <c r="XDN457" s="657"/>
      <c r="XDO457" s="658"/>
      <c r="XDP457" s="658"/>
      <c r="XDQ457" s="658"/>
      <c r="XDR457" s="671"/>
      <c r="XDS457" s="659"/>
      <c r="XDT457" s="659"/>
      <c r="XDU457" s="660"/>
      <c r="XDV457" s="660"/>
      <c r="XDX457" s="670"/>
      <c r="XDY457" s="657"/>
      <c r="XDZ457" s="653"/>
      <c r="XEA457" s="654"/>
      <c r="XEB457" s="652"/>
      <c r="XEC457" s="654"/>
      <c r="XED457" s="656"/>
      <c r="XEE457" s="657"/>
      <c r="XEF457" s="658"/>
      <c r="XEG457" s="658"/>
      <c r="XEH457" s="658"/>
      <c r="XEI457" s="671"/>
      <c r="XEJ457" s="659"/>
      <c r="XEK457" s="659"/>
      <c r="XEL457" s="660"/>
      <c r="XEM457" s="660"/>
      <c r="XEO457" s="670"/>
      <c r="XEP457" s="657"/>
      <c r="XEQ457" s="653"/>
      <c r="XER457" s="654"/>
      <c r="XES457" s="652"/>
      <c r="XET457" s="654"/>
      <c r="XEU457" s="656"/>
      <c r="XEV457" s="657"/>
      <c r="XEW457" s="658"/>
      <c r="XEX457" s="658"/>
      <c r="XEY457" s="658"/>
      <c r="XEZ457" s="671"/>
      <c r="XFA457" s="659"/>
      <c r="XFB457" s="659"/>
      <c r="XFC457" s="660"/>
      <c r="XFD457" s="660"/>
    </row>
    <row r="458" s="491" customFormat="1" ht="33" customHeight="1" spans="1:75 16335:16384">
      <c r="A458" s="577">
        <v>46129</v>
      </c>
      <c r="B458" s="578" t="s">
        <v>1910</v>
      </c>
      <c r="C458" s="579" t="s">
        <v>2171</v>
      </c>
      <c r="D458" s="580">
        <v>4500202631</v>
      </c>
      <c r="E458" s="581" t="s">
        <v>2096</v>
      </c>
      <c r="F458" s="580" t="s">
        <v>2172</v>
      </c>
      <c r="G458" s="582" t="s">
        <v>81</v>
      </c>
      <c r="H458" s="578" t="s">
        <v>82</v>
      </c>
      <c r="I458" s="583">
        <v>1200</v>
      </c>
      <c r="J458" s="583">
        <v>0</v>
      </c>
      <c r="K458" s="583">
        <v>6</v>
      </c>
      <c r="L458" s="584">
        <f t="shared" si="278"/>
        <v>200</v>
      </c>
      <c r="M458" s="585">
        <v>46171</v>
      </c>
      <c r="N458" s="585">
        <v>46167</v>
      </c>
      <c r="O458" s="586" t="s">
        <v>2168</v>
      </c>
      <c r="P458" s="586" t="s">
        <v>83</v>
      </c>
      <c r="Q458" s="587"/>
      <c r="R458" s="586" t="s">
        <v>1127</v>
      </c>
      <c r="S458" s="586"/>
      <c r="T458" s="586"/>
      <c r="U458" s="586" t="s">
        <v>2169</v>
      </c>
      <c r="V458" s="586"/>
      <c r="W458" s="586"/>
      <c r="X458" s="588" t="s">
        <v>2173</v>
      </c>
      <c r="Y458" s="589" t="s">
        <v>356</v>
      </c>
      <c r="Z458" s="686">
        <v>5.914</v>
      </c>
      <c r="AA458" s="591">
        <f t="shared" si="279"/>
        <v>7096.8</v>
      </c>
      <c r="AB458" s="592"/>
      <c r="AC458" s="582" t="s">
        <v>1909</v>
      </c>
      <c r="AD458" s="593" t="s">
        <v>89</v>
      </c>
      <c r="AE458" s="592"/>
      <c r="AF458" s="666"/>
      <c r="AG458" s="672"/>
      <c r="AH458" s="592"/>
      <c r="AI458" s="666"/>
      <c r="AJ458" s="666"/>
      <c r="AK458" s="672">
        <f>I458</f>
        <v>1200</v>
      </c>
      <c r="AL458" s="648"/>
      <c r="AM458" s="592"/>
      <c r="AN458" s="648"/>
      <c r="AO458" s="592">
        <f>I458</f>
        <v>1200</v>
      </c>
      <c r="AP458" s="648"/>
      <c r="AQ458" s="648"/>
      <c r="AR458" s="621">
        <f t="shared" si="281"/>
        <v>1200</v>
      </c>
      <c r="AS458" s="648"/>
      <c r="AT458" s="648"/>
      <c r="AU458" s="648"/>
      <c r="AV458" s="621"/>
      <c r="AW458" s="592"/>
      <c r="AX458" s="706">
        <f>I458</f>
        <v>1200</v>
      </c>
      <c r="AY458" s="707"/>
      <c r="AZ458" s="707"/>
      <c r="BA458" s="707"/>
      <c r="BB458" s="707"/>
      <c r="BC458" s="707"/>
      <c r="BD458" s="648"/>
      <c r="BE458" s="703"/>
      <c r="BF458" s="679" t="s">
        <v>90</v>
      </c>
      <c r="BG458" s="680"/>
      <c r="BH458" s="708">
        <f t="shared" si="270"/>
        <v>200</v>
      </c>
      <c r="BI458" s="644">
        <f t="shared" si="271"/>
        <v>200</v>
      </c>
      <c r="BJ458" s="644">
        <f t="shared" si="272"/>
        <v>200</v>
      </c>
      <c r="BK458" s="644">
        <f t="shared" si="273"/>
        <v>200</v>
      </c>
      <c r="BL458" s="644">
        <f t="shared" si="274"/>
        <v>200</v>
      </c>
      <c r="BM458" s="644">
        <f t="shared" si="275"/>
        <v>200</v>
      </c>
      <c r="BN458" s="680"/>
      <c r="BO458" s="680"/>
      <c r="BP458" s="680"/>
      <c r="BQ458" s="680"/>
      <c r="BR458" s="680"/>
      <c r="BS458" s="680"/>
      <c r="BT458" s="607">
        <f t="shared" si="282"/>
        <v>1200</v>
      </c>
      <c r="BU458" s="608">
        <f t="shared" si="283"/>
        <v>0</v>
      </c>
      <c r="XDG458" s="670"/>
      <c r="XDH458" s="657"/>
      <c r="XDI458" s="653"/>
      <c r="XDJ458" s="654"/>
      <c r="XDK458" s="652"/>
      <c r="XDL458" s="654"/>
      <c r="XDM458" s="656"/>
      <c r="XDN458" s="657"/>
      <c r="XDO458" s="658"/>
      <c r="XDP458" s="658"/>
      <c r="XDQ458" s="658"/>
      <c r="XDR458" s="671"/>
      <c r="XDS458" s="659"/>
      <c r="XDT458" s="659"/>
      <c r="XDU458" s="660"/>
      <c r="XDV458" s="660"/>
      <c r="XDX458" s="670"/>
      <c r="XDY458" s="657"/>
      <c r="XDZ458" s="653"/>
      <c r="XEA458" s="654"/>
      <c r="XEB458" s="652"/>
      <c r="XEC458" s="654"/>
      <c r="XED458" s="656"/>
      <c r="XEE458" s="657"/>
      <c r="XEF458" s="658"/>
      <c r="XEG458" s="658"/>
      <c r="XEH458" s="658"/>
      <c r="XEI458" s="671"/>
      <c r="XEJ458" s="659"/>
      <c r="XEK458" s="659"/>
      <c r="XEL458" s="660"/>
      <c r="XEM458" s="660"/>
      <c r="XEO458" s="670"/>
      <c r="XEP458" s="657"/>
      <c r="XEQ458" s="653"/>
      <c r="XER458" s="654"/>
      <c r="XES458" s="652"/>
      <c r="XET458" s="654"/>
      <c r="XEU458" s="656"/>
      <c r="XEV458" s="657"/>
      <c r="XEW458" s="658"/>
      <c r="XEX458" s="658"/>
      <c r="XEY458" s="658"/>
      <c r="XEZ458" s="671"/>
      <c r="XFA458" s="659"/>
      <c r="XFB458" s="659"/>
      <c r="XFC458" s="660"/>
      <c r="XFD458" s="660"/>
    </row>
    <row r="459" s="491" customFormat="1" ht="33" customHeight="1" spans="1:75 16335:16384">
      <c r="A459" s="577">
        <v>46129</v>
      </c>
      <c r="B459" s="578" t="s">
        <v>1910</v>
      </c>
      <c r="C459" s="579" t="s">
        <v>1922</v>
      </c>
      <c r="D459" s="580">
        <v>4500202591</v>
      </c>
      <c r="E459" s="581" t="s">
        <v>2096</v>
      </c>
      <c r="F459" s="580" t="s">
        <v>2174</v>
      </c>
      <c r="G459" s="582" t="s">
        <v>81</v>
      </c>
      <c r="H459" s="578" t="s">
        <v>82</v>
      </c>
      <c r="I459" s="583">
        <v>720</v>
      </c>
      <c r="J459" s="583">
        <v>0</v>
      </c>
      <c r="K459" s="583">
        <v>6</v>
      </c>
      <c r="L459" s="584">
        <f t="shared" ref="L446:L478" si="284">I459/K459</f>
        <v>120</v>
      </c>
      <c r="M459" s="585">
        <v>46178</v>
      </c>
      <c r="N459" s="585">
        <v>46174</v>
      </c>
      <c r="O459" s="586" t="s">
        <v>2168</v>
      </c>
      <c r="P459" s="586" t="s">
        <v>83</v>
      </c>
      <c r="Q459" s="587"/>
      <c r="R459" s="586" t="s">
        <v>1100</v>
      </c>
      <c r="S459" s="586"/>
      <c r="T459" s="586"/>
      <c r="U459" s="586" t="s">
        <v>2169</v>
      </c>
      <c r="V459" s="586"/>
      <c r="W459" s="586"/>
      <c r="X459" s="588" t="s">
        <v>2175</v>
      </c>
      <c r="Y459" s="589" t="s">
        <v>356</v>
      </c>
      <c r="Z459" s="686">
        <v>5.9216</v>
      </c>
      <c r="AA459" s="591">
        <f t="shared" si="279"/>
        <v>4263.552</v>
      </c>
      <c r="AB459" s="592"/>
      <c r="AC459" s="582" t="s">
        <v>1909</v>
      </c>
      <c r="AD459" s="593" t="s">
        <v>89</v>
      </c>
      <c r="AE459" s="592"/>
      <c r="AF459" s="666"/>
      <c r="AG459" s="672"/>
      <c r="AH459" s="592"/>
      <c r="AI459" s="666"/>
      <c r="AJ459" s="666"/>
      <c r="AK459" s="672">
        <f>I459</f>
        <v>720</v>
      </c>
      <c r="AL459" s="648"/>
      <c r="AM459" s="592"/>
      <c r="AN459" s="648"/>
      <c r="AO459" s="592">
        <f>I459</f>
        <v>720</v>
      </c>
      <c r="AP459" s="648"/>
      <c r="AQ459" s="648"/>
      <c r="AR459" s="621">
        <f t="shared" si="281"/>
        <v>720</v>
      </c>
      <c r="AS459" s="648"/>
      <c r="AT459" s="648"/>
      <c r="AU459" s="592"/>
      <c r="AV459" s="667"/>
      <c r="AW459" s="592"/>
      <c r="AX459" s="706">
        <f>I459</f>
        <v>720</v>
      </c>
      <c r="AY459" s="707"/>
      <c r="AZ459" s="707"/>
      <c r="BA459" s="707"/>
      <c r="BB459" s="707"/>
      <c r="BC459" s="707"/>
      <c r="BD459" s="648"/>
      <c r="BE459" s="703"/>
      <c r="BF459" s="679" t="s">
        <v>90</v>
      </c>
      <c r="BG459" s="680"/>
      <c r="BH459" s="708">
        <f t="shared" ref="BH446:BH479" si="285">I459/6</f>
        <v>120</v>
      </c>
      <c r="BI459" s="644">
        <f t="shared" ref="BI446:BI479" si="286">I459/6</f>
        <v>120</v>
      </c>
      <c r="BJ459" s="644">
        <f t="shared" ref="BJ446:BJ479" si="287">I459/6</f>
        <v>120</v>
      </c>
      <c r="BK459" s="644">
        <f t="shared" ref="BK446:BK479" si="288">I459/6</f>
        <v>120</v>
      </c>
      <c r="BL459" s="644">
        <f t="shared" ref="BL446:BL479" si="289">I459/6</f>
        <v>120</v>
      </c>
      <c r="BM459" s="644">
        <f t="shared" ref="BM446:BM479" si="290">I459/6</f>
        <v>120</v>
      </c>
      <c r="BN459" s="680"/>
      <c r="BO459" s="680"/>
      <c r="BP459" s="680"/>
      <c r="BQ459" s="680"/>
      <c r="BR459" s="680"/>
      <c r="BS459" s="680"/>
      <c r="BT459" s="607">
        <f t="shared" si="282"/>
        <v>720</v>
      </c>
      <c r="BU459" s="608">
        <f t="shared" si="283"/>
        <v>0</v>
      </c>
      <c r="XDG459" s="670"/>
      <c r="XDH459" s="657"/>
      <c r="XDI459" s="653"/>
      <c r="XDJ459" s="654"/>
      <c r="XDK459" s="652"/>
      <c r="XDL459" s="654"/>
      <c r="XDM459" s="656"/>
      <c r="XDN459" s="657"/>
      <c r="XDO459" s="658"/>
      <c r="XDP459" s="658"/>
      <c r="XDQ459" s="658"/>
      <c r="XDR459" s="671"/>
      <c r="XDS459" s="659"/>
      <c r="XDT459" s="659"/>
      <c r="XDU459" s="660"/>
      <c r="XDV459" s="660"/>
      <c r="XDX459" s="670"/>
      <c r="XDY459" s="657"/>
      <c r="XDZ459" s="653"/>
      <c r="XEA459" s="654"/>
      <c r="XEB459" s="652"/>
      <c r="XEC459" s="654"/>
      <c r="XED459" s="656"/>
      <c r="XEE459" s="657"/>
      <c r="XEF459" s="658"/>
      <c r="XEG459" s="658"/>
      <c r="XEH459" s="658"/>
      <c r="XEI459" s="671"/>
      <c r="XEJ459" s="659"/>
      <c r="XEK459" s="659"/>
      <c r="XEL459" s="660"/>
      <c r="XEM459" s="660"/>
      <c r="XEO459" s="670"/>
      <c r="XEP459" s="657"/>
      <c r="XEQ459" s="653"/>
      <c r="XER459" s="654"/>
      <c r="XES459" s="652"/>
      <c r="XET459" s="654"/>
      <c r="XEU459" s="656"/>
      <c r="XEV459" s="657"/>
      <c r="XEW459" s="658"/>
      <c r="XEX459" s="658"/>
      <c r="XEY459" s="658"/>
      <c r="XEZ459" s="671"/>
      <c r="XFA459" s="659"/>
      <c r="XFB459" s="659"/>
      <c r="XFC459" s="660"/>
      <c r="XFD459" s="660"/>
    </row>
    <row r="460" s="490" customFormat="1" ht="33" customHeight="1" spans="1:75 16335:16384">
      <c r="A460" s="577">
        <v>46094</v>
      </c>
      <c r="B460" s="578" t="s">
        <v>2176</v>
      </c>
      <c r="C460" s="579" t="s">
        <v>2177</v>
      </c>
      <c r="D460" s="580">
        <v>4500196050</v>
      </c>
      <c r="E460" s="581">
        <v>874168</v>
      </c>
      <c r="F460" s="580" t="s">
        <v>2178</v>
      </c>
      <c r="G460" s="582" t="s">
        <v>81</v>
      </c>
      <c r="H460" s="578" t="s">
        <v>82</v>
      </c>
      <c r="I460" s="583">
        <v>1104</v>
      </c>
      <c r="J460" s="583">
        <v>0</v>
      </c>
      <c r="K460" s="583">
        <v>6</v>
      </c>
      <c r="L460" s="584">
        <f t="shared" si="284"/>
        <v>184</v>
      </c>
      <c r="M460" s="585">
        <v>46181</v>
      </c>
      <c r="N460" s="585">
        <v>46177</v>
      </c>
      <c r="O460" s="586" t="s">
        <v>2179</v>
      </c>
      <c r="P460" s="586" t="s">
        <v>83</v>
      </c>
      <c r="Q460" s="587" t="s">
        <v>2180</v>
      </c>
      <c r="R460" s="586" t="s">
        <v>933</v>
      </c>
      <c r="S460" s="586"/>
      <c r="T460" s="586"/>
      <c r="U460" s="586" t="s">
        <v>2181</v>
      </c>
      <c r="V460" s="586"/>
      <c r="W460" s="586" t="s">
        <v>2182</v>
      </c>
      <c r="X460" s="588" t="s">
        <v>2183</v>
      </c>
      <c r="Y460" s="589" t="s">
        <v>2184</v>
      </c>
      <c r="Z460" s="686">
        <v>5.7281</v>
      </c>
      <c r="AA460" s="591">
        <f t="shared" si="279"/>
        <v>6323.8224</v>
      </c>
      <c r="AB460" s="592"/>
      <c r="AC460" s="582" t="s">
        <v>235</v>
      </c>
      <c r="AD460" s="593" t="s">
        <v>89</v>
      </c>
      <c r="AE460" s="595"/>
      <c r="AF460" s="595"/>
      <c r="AG460" s="595"/>
      <c r="AH460" s="592"/>
      <c r="AI460" s="592"/>
      <c r="AJ460" s="592">
        <f>I460</f>
        <v>1104</v>
      </c>
      <c r="AK460" s="592"/>
      <c r="AL460" s="592"/>
      <c r="AM460" s="598"/>
      <c r="AN460" s="598">
        <f t="shared" ref="AN460:AN514" si="291">I460</f>
        <v>1104</v>
      </c>
      <c r="AO460" s="592"/>
      <c r="AP460" s="619"/>
      <c r="AQ460" s="592"/>
      <c r="AR460" s="592"/>
      <c r="AS460" s="592"/>
      <c r="AT460" s="592"/>
      <c r="AU460" s="592">
        <f>I460</f>
        <v>1104</v>
      </c>
      <c r="AV460" s="592"/>
      <c r="AW460" s="592">
        <f t="shared" ref="AW460:AW514" si="292">I460</f>
        <v>1104</v>
      </c>
      <c r="AX460" s="592"/>
      <c r="AY460" s="600"/>
      <c r="AZ460" s="666"/>
      <c r="BA460" s="666"/>
      <c r="BB460" s="666"/>
      <c r="BC460" s="666"/>
      <c r="BD460" s="667"/>
      <c r="BE460" s="668"/>
      <c r="BF460" s="679" t="s">
        <v>90</v>
      </c>
      <c r="BG460" s="680"/>
      <c r="BH460" s="632">
        <f t="shared" si="285"/>
        <v>184</v>
      </c>
      <c r="BI460" s="633">
        <f t="shared" si="286"/>
        <v>184</v>
      </c>
      <c r="BJ460" s="633">
        <f t="shared" si="287"/>
        <v>184</v>
      </c>
      <c r="BK460" s="633">
        <f t="shared" si="288"/>
        <v>184</v>
      </c>
      <c r="BL460" s="633">
        <f t="shared" si="289"/>
        <v>184</v>
      </c>
      <c r="BM460" s="633">
        <f t="shared" si="290"/>
        <v>184</v>
      </c>
      <c r="BN460" s="605"/>
      <c r="BO460" s="605"/>
      <c r="BP460" s="605"/>
      <c r="BQ460" s="605"/>
      <c r="BR460" s="605"/>
      <c r="BS460" s="605"/>
      <c r="BT460" s="607">
        <f t="shared" si="282"/>
        <v>1104</v>
      </c>
      <c r="BU460" s="608">
        <f t="shared" si="283"/>
        <v>0</v>
      </c>
      <c r="BV460" s="491"/>
      <c r="BW460" s="491"/>
    </row>
    <row r="461" s="490" customFormat="1" ht="33" customHeight="1" spans="1:75 16335:16384">
      <c r="A461" s="577">
        <v>46136</v>
      </c>
      <c r="B461" s="578" t="s">
        <v>2185</v>
      </c>
      <c r="C461" s="579" t="s">
        <v>175</v>
      </c>
      <c r="D461" s="580">
        <v>4500203892</v>
      </c>
      <c r="E461" s="634">
        <v>85061</v>
      </c>
      <c r="F461" s="580" t="s">
        <v>2186</v>
      </c>
      <c r="G461" s="582" t="s">
        <v>81</v>
      </c>
      <c r="H461" s="578" t="s">
        <v>82</v>
      </c>
      <c r="I461" s="583">
        <v>2004</v>
      </c>
      <c r="J461" s="583">
        <v>0</v>
      </c>
      <c r="K461" s="583">
        <v>6</v>
      </c>
      <c r="L461" s="584">
        <f t="shared" si="284"/>
        <v>334</v>
      </c>
      <c r="M461" s="585">
        <v>46185</v>
      </c>
      <c r="N461" s="585">
        <v>46181</v>
      </c>
      <c r="O461" s="586"/>
      <c r="P461" s="586" t="s">
        <v>83</v>
      </c>
      <c r="Q461" s="587" t="s">
        <v>1150</v>
      </c>
      <c r="R461" s="586" t="s">
        <v>2187</v>
      </c>
      <c r="S461" s="586"/>
      <c r="T461" s="586"/>
      <c r="U461" s="586" t="s">
        <v>2188</v>
      </c>
      <c r="V461" s="586"/>
      <c r="W461" s="586" t="s">
        <v>2189</v>
      </c>
      <c r="X461" s="588" t="s">
        <v>2190</v>
      </c>
      <c r="Y461" s="589" t="s">
        <v>356</v>
      </c>
      <c r="Z461" s="686">
        <v>5.914</v>
      </c>
      <c r="AA461" s="591">
        <f t="shared" si="279"/>
        <v>11851.656</v>
      </c>
      <c r="AB461" s="592"/>
      <c r="AC461" s="582" t="s">
        <v>81</v>
      </c>
      <c r="AD461" s="593" t="s">
        <v>89</v>
      </c>
      <c r="AE461" s="595"/>
      <c r="AF461" s="595"/>
      <c r="AG461" s="595">
        <f>I461</f>
        <v>2004</v>
      </c>
      <c r="AH461" s="592"/>
      <c r="AI461" s="592"/>
      <c r="AJ461" s="592"/>
      <c r="AK461" s="592"/>
      <c r="AL461" s="592"/>
      <c r="AM461" s="598"/>
      <c r="AN461" s="598">
        <f t="shared" si="291"/>
        <v>2004</v>
      </c>
      <c r="AO461" s="592"/>
      <c r="AP461" s="619"/>
      <c r="AQ461" s="592"/>
      <c r="AR461" s="592">
        <f>I461</f>
        <v>2004</v>
      </c>
      <c r="AS461" s="592"/>
      <c r="AT461" s="592"/>
      <c r="AU461" s="592"/>
      <c r="AV461" s="618"/>
      <c r="AW461" s="592">
        <f t="shared" si="292"/>
        <v>2004</v>
      </c>
      <c r="AX461" s="592"/>
      <c r="AY461" s="600"/>
      <c r="AZ461" s="666"/>
      <c r="BA461" s="666"/>
      <c r="BB461" s="666"/>
      <c r="BC461" s="666"/>
      <c r="BD461" s="667"/>
      <c r="BE461" s="668"/>
      <c r="BF461" s="679" t="s">
        <v>90</v>
      </c>
      <c r="BG461" s="680"/>
      <c r="BH461" s="632">
        <f t="shared" si="285"/>
        <v>334</v>
      </c>
      <c r="BI461" s="633">
        <f t="shared" si="286"/>
        <v>334</v>
      </c>
      <c r="BJ461" s="633">
        <f t="shared" si="287"/>
        <v>334</v>
      </c>
      <c r="BK461" s="633">
        <f t="shared" si="288"/>
        <v>334</v>
      </c>
      <c r="BL461" s="633">
        <f t="shared" si="289"/>
        <v>334</v>
      </c>
      <c r="BM461" s="633">
        <f t="shared" si="290"/>
        <v>334</v>
      </c>
      <c r="BN461" s="605"/>
      <c r="BO461" s="605"/>
      <c r="BP461" s="605"/>
      <c r="BQ461" s="605"/>
      <c r="BR461" s="605"/>
      <c r="BS461" s="605"/>
      <c r="BT461" s="607">
        <f t="shared" si="282"/>
        <v>2004</v>
      </c>
      <c r="BU461" s="608">
        <f t="shared" si="283"/>
        <v>0</v>
      </c>
      <c r="BV461" s="491"/>
      <c r="BW461" s="491"/>
    </row>
    <row r="462" s="490" customFormat="1" ht="33" customHeight="1" spans="1:75 16335:16384">
      <c r="A462" s="577">
        <v>46094</v>
      </c>
      <c r="B462" s="578" t="s">
        <v>2176</v>
      </c>
      <c r="C462" s="579" t="s">
        <v>2177</v>
      </c>
      <c r="D462" s="580">
        <v>4500196004</v>
      </c>
      <c r="E462" s="581">
        <v>874166</v>
      </c>
      <c r="F462" s="580" t="s">
        <v>2191</v>
      </c>
      <c r="G462" s="582" t="s">
        <v>81</v>
      </c>
      <c r="H462" s="578" t="s">
        <v>82</v>
      </c>
      <c r="I462" s="583">
        <v>1158</v>
      </c>
      <c r="J462" s="583">
        <v>0</v>
      </c>
      <c r="K462" s="583">
        <v>6</v>
      </c>
      <c r="L462" s="584">
        <f t="shared" si="284"/>
        <v>193</v>
      </c>
      <c r="M462" s="585">
        <v>46181</v>
      </c>
      <c r="N462" s="585">
        <v>46177</v>
      </c>
      <c r="O462" s="586" t="s">
        <v>2179</v>
      </c>
      <c r="P462" s="586" t="s">
        <v>83</v>
      </c>
      <c r="Q462" s="587"/>
      <c r="R462" s="586" t="s">
        <v>933</v>
      </c>
      <c r="S462" s="586"/>
      <c r="T462" s="586"/>
      <c r="U462" s="586" t="s">
        <v>2192</v>
      </c>
      <c r="V462" s="586"/>
      <c r="W462" s="586" t="s">
        <v>2182</v>
      </c>
      <c r="X462" s="588" t="s">
        <v>2193</v>
      </c>
      <c r="Y462" s="589" t="s">
        <v>2184</v>
      </c>
      <c r="Z462" s="686">
        <v>6.3086</v>
      </c>
      <c r="AA462" s="591">
        <f t="shared" si="279"/>
        <v>7305.3588</v>
      </c>
      <c r="AB462" s="592"/>
      <c r="AC462" s="582" t="s">
        <v>235</v>
      </c>
      <c r="AD462" s="593" t="s">
        <v>89</v>
      </c>
      <c r="AE462" s="595"/>
      <c r="AF462" s="595"/>
      <c r="AG462" s="595"/>
      <c r="AH462" s="592"/>
      <c r="AI462" s="592"/>
      <c r="AJ462" s="592">
        <f>I462</f>
        <v>1158</v>
      </c>
      <c r="AK462" s="592"/>
      <c r="AL462" s="592"/>
      <c r="AM462" s="598"/>
      <c r="AN462" s="598">
        <f t="shared" si="291"/>
        <v>1158</v>
      </c>
      <c r="AO462" s="592"/>
      <c r="AP462" s="619"/>
      <c r="AQ462" s="592"/>
      <c r="AR462" s="592"/>
      <c r="AS462" s="592"/>
      <c r="AT462" s="592"/>
      <c r="AU462" s="592">
        <f>I462</f>
        <v>1158</v>
      </c>
      <c r="AV462" s="592"/>
      <c r="AW462" s="592">
        <f t="shared" si="292"/>
        <v>1158</v>
      </c>
      <c r="AX462" s="592"/>
      <c r="AY462" s="600"/>
      <c r="AZ462" s="666"/>
      <c r="BA462" s="666"/>
      <c r="BB462" s="666"/>
      <c r="BC462" s="666"/>
      <c r="BD462" s="667"/>
      <c r="BE462" s="668"/>
      <c r="BF462" s="679" t="s">
        <v>90</v>
      </c>
      <c r="BG462" s="680"/>
      <c r="BH462" s="632">
        <f t="shared" si="285"/>
        <v>193</v>
      </c>
      <c r="BI462" s="633">
        <f t="shared" si="286"/>
        <v>193</v>
      </c>
      <c r="BJ462" s="633">
        <f t="shared" si="287"/>
        <v>193</v>
      </c>
      <c r="BK462" s="633">
        <f t="shared" si="288"/>
        <v>193</v>
      </c>
      <c r="BL462" s="633">
        <f t="shared" si="289"/>
        <v>193</v>
      </c>
      <c r="BM462" s="633">
        <f t="shared" si="290"/>
        <v>193</v>
      </c>
      <c r="BN462" s="605"/>
      <c r="BO462" s="605"/>
      <c r="BP462" s="605"/>
      <c r="BQ462" s="605"/>
      <c r="BR462" s="605"/>
      <c r="BS462" s="605"/>
      <c r="BT462" s="607">
        <f t="shared" si="282"/>
        <v>1158</v>
      </c>
      <c r="BU462" s="608">
        <f t="shared" si="283"/>
        <v>0</v>
      </c>
      <c r="BV462" s="491"/>
      <c r="BW462" s="491"/>
    </row>
    <row r="463" s="490" customFormat="1" ht="33" customHeight="1" spans="1:75 16335:16384">
      <c r="A463" s="577">
        <v>46094</v>
      </c>
      <c r="B463" s="578" t="s">
        <v>2176</v>
      </c>
      <c r="C463" s="579" t="s">
        <v>2177</v>
      </c>
      <c r="D463" s="580">
        <v>4500195886</v>
      </c>
      <c r="E463" s="581">
        <v>874155</v>
      </c>
      <c r="F463" s="580" t="s">
        <v>2194</v>
      </c>
      <c r="G463" s="582" t="s">
        <v>81</v>
      </c>
      <c r="H463" s="578" t="s">
        <v>82</v>
      </c>
      <c r="I463" s="583">
        <v>1248</v>
      </c>
      <c r="J463" s="583">
        <v>0</v>
      </c>
      <c r="K463" s="583">
        <v>6</v>
      </c>
      <c r="L463" s="584">
        <f t="shared" si="284"/>
        <v>208</v>
      </c>
      <c r="M463" s="585">
        <v>46181</v>
      </c>
      <c r="N463" s="585">
        <v>46177</v>
      </c>
      <c r="O463" s="586" t="s">
        <v>2179</v>
      </c>
      <c r="P463" s="586" t="s">
        <v>83</v>
      </c>
      <c r="Q463" s="587" t="s">
        <v>1116</v>
      </c>
      <c r="R463" s="586" t="s">
        <v>933</v>
      </c>
      <c r="S463" s="586"/>
      <c r="T463" s="586"/>
      <c r="U463" s="586" t="s">
        <v>2195</v>
      </c>
      <c r="V463" s="586"/>
      <c r="W463" s="586" t="s">
        <v>2182</v>
      </c>
      <c r="X463" s="588" t="s">
        <v>2196</v>
      </c>
      <c r="Y463" s="589" t="s">
        <v>2184</v>
      </c>
      <c r="Z463" s="686">
        <v>6.1607</v>
      </c>
      <c r="AA463" s="591">
        <f t="shared" si="279"/>
        <v>7688.5536</v>
      </c>
      <c r="AB463" s="592"/>
      <c r="AC463" s="582" t="s">
        <v>235</v>
      </c>
      <c r="AD463" s="593" t="s">
        <v>89</v>
      </c>
      <c r="AE463" s="595"/>
      <c r="AF463" s="595"/>
      <c r="AG463" s="595"/>
      <c r="AH463" s="592"/>
      <c r="AI463" s="592"/>
      <c r="AJ463" s="592">
        <f>I463</f>
        <v>1248</v>
      </c>
      <c r="AK463" s="592"/>
      <c r="AL463" s="592"/>
      <c r="AM463" s="598"/>
      <c r="AN463" s="598">
        <f t="shared" si="291"/>
        <v>1248</v>
      </c>
      <c r="AO463" s="592"/>
      <c r="AP463" s="619"/>
      <c r="AQ463" s="592"/>
      <c r="AR463" s="592"/>
      <c r="AS463" s="592"/>
      <c r="AT463" s="592"/>
      <c r="AU463" s="592">
        <f>I463</f>
        <v>1248</v>
      </c>
      <c r="AV463" s="592"/>
      <c r="AW463" s="592">
        <f t="shared" si="292"/>
        <v>1248</v>
      </c>
      <c r="AX463" s="592"/>
      <c r="AY463" s="600"/>
      <c r="AZ463" s="666"/>
      <c r="BA463" s="666"/>
      <c r="BB463" s="666"/>
      <c r="BC463" s="666"/>
      <c r="BD463" s="667"/>
      <c r="BE463" s="668"/>
      <c r="BF463" s="679" t="s">
        <v>90</v>
      </c>
      <c r="BG463" s="680"/>
      <c r="BH463" s="632">
        <f t="shared" si="285"/>
        <v>208</v>
      </c>
      <c r="BI463" s="633">
        <f t="shared" si="286"/>
        <v>208</v>
      </c>
      <c r="BJ463" s="633">
        <f t="shared" si="287"/>
        <v>208</v>
      </c>
      <c r="BK463" s="633">
        <f t="shared" si="288"/>
        <v>208</v>
      </c>
      <c r="BL463" s="633">
        <f t="shared" si="289"/>
        <v>208</v>
      </c>
      <c r="BM463" s="633">
        <f t="shared" si="290"/>
        <v>208</v>
      </c>
      <c r="BN463" s="605"/>
      <c r="BO463" s="605"/>
      <c r="BP463" s="605"/>
      <c r="BQ463" s="605"/>
      <c r="BR463" s="605"/>
      <c r="BS463" s="605"/>
      <c r="BT463" s="607">
        <f t="shared" si="282"/>
        <v>1248</v>
      </c>
      <c r="BU463" s="608">
        <f t="shared" si="283"/>
        <v>0</v>
      </c>
      <c r="BV463" s="491"/>
      <c r="BW463" s="491"/>
    </row>
    <row r="464" s="491" customFormat="1" ht="33" customHeight="1" spans="1:75 16335:16384">
      <c r="A464" s="577">
        <v>46119</v>
      </c>
      <c r="B464" s="578" t="s">
        <v>999</v>
      </c>
      <c r="C464" s="579" t="s">
        <v>2100</v>
      </c>
      <c r="D464" s="580">
        <v>4500199821</v>
      </c>
      <c r="E464" s="581" t="s">
        <v>2096</v>
      </c>
      <c r="F464" s="580" t="s">
        <v>2197</v>
      </c>
      <c r="G464" s="582" t="s">
        <v>81</v>
      </c>
      <c r="H464" s="578" t="s">
        <v>82</v>
      </c>
      <c r="I464" s="583">
        <v>252</v>
      </c>
      <c r="J464" s="583">
        <v>0</v>
      </c>
      <c r="K464" s="583">
        <v>6</v>
      </c>
      <c r="L464" s="584">
        <f t="shared" si="284"/>
        <v>42</v>
      </c>
      <c r="M464" s="585">
        <v>46188</v>
      </c>
      <c r="N464" s="585">
        <v>46184</v>
      </c>
      <c r="O464" s="586"/>
      <c r="P464" s="586" t="s">
        <v>83</v>
      </c>
      <c r="Q464" s="587" t="s">
        <v>2198</v>
      </c>
      <c r="R464" s="586" t="s">
        <v>984</v>
      </c>
      <c r="S464" s="586"/>
      <c r="T464" s="586"/>
      <c r="U464" s="586" t="s">
        <v>2199</v>
      </c>
      <c r="V464" s="586"/>
      <c r="W464" s="586"/>
      <c r="X464" s="588" t="s">
        <v>2200</v>
      </c>
      <c r="Y464" s="589" t="s">
        <v>1004</v>
      </c>
      <c r="Z464" s="686">
        <v>5.7358</v>
      </c>
      <c r="AA464" s="591">
        <f t="shared" si="279"/>
        <v>1445.4216</v>
      </c>
      <c r="AB464" s="592"/>
      <c r="AC464" s="582" t="s">
        <v>81</v>
      </c>
      <c r="AD464" s="593" t="s">
        <v>89</v>
      </c>
      <c r="AE464" s="592"/>
      <c r="AF464" s="592"/>
      <c r="AG464" s="592">
        <f>I464</f>
        <v>252</v>
      </c>
      <c r="AH464" s="592"/>
      <c r="AI464" s="592"/>
      <c r="AJ464" s="666"/>
      <c r="AK464" s="672"/>
      <c r="AL464" s="648"/>
      <c r="AM464" s="648"/>
      <c r="AN464" s="592">
        <f t="shared" si="291"/>
        <v>252</v>
      </c>
      <c r="AO464" s="666"/>
      <c r="AP464" s="666"/>
      <c r="AQ464" s="666"/>
      <c r="AR464" s="666">
        <f>I464</f>
        <v>252</v>
      </c>
      <c r="AS464" s="666"/>
      <c r="AT464" s="682"/>
      <c r="AU464" s="592"/>
      <c r="AV464" s="648"/>
      <c r="AW464" s="592">
        <f t="shared" si="292"/>
        <v>252</v>
      </c>
      <c r="AX464" s="648"/>
      <c r="AY464" s="648"/>
      <c r="AZ464" s="648"/>
      <c r="BA464" s="648"/>
      <c r="BB464" s="648"/>
      <c r="BC464" s="648"/>
      <c r="BD464" s="648"/>
      <c r="BE464" s="703"/>
      <c r="BF464" s="679" t="s">
        <v>90</v>
      </c>
      <c r="BG464" s="680"/>
      <c r="BH464" s="710">
        <f t="shared" si="285"/>
        <v>42</v>
      </c>
      <c r="BI464" s="711">
        <f t="shared" si="286"/>
        <v>42</v>
      </c>
      <c r="BJ464" s="711">
        <f t="shared" si="287"/>
        <v>42</v>
      </c>
      <c r="BK464" s="711">
        <f t="shared" si="288"/>
        <v>42</v>
      </c>
      <c r="BL464" s="711">
        <f t="shared" si="289"/>
        <v>42</v>
      </c>
      <c r="BM464" s="711">
        <f t="shared" si="290"/>
        <v>42</v>
      </c>
      <c r="BN464" s="680"/>
      <c r="BO464" s="680"/>
      <c r="BP464" s="680"/>
      <c r="BQ464" s="680"/>
      <c r="BR464" s="680"/>
      <c r="BS464" s="680"/>
      <c r="BT464" s="607">
        <f t="shared" si="282"/>
        <v>252</v>
      </c>
      <c r="BU464" s="608">
        <f t="shared" si="283"/>
        <v>0</v>
      </c>
      <c r="XDX464" s="670"/>
      <c r="XDY464" s="657"/>
      <c r="XDZ464" s="653"/>
      <c r="XEA464" s="654"/>
      <c r="XEB464" s="652"/>
      <c r="XEC464" s="654"/>
      <c r="XED464" s="656"/>
      <c r="XEE464" s="657"/>
      <c r="XEF464" s="658"/>
      <c r="XEG464" s="658"/>
      <c r="XEH464" s="658"/>
      <c r="XEI464" s="671"/>
      <c r="XEJ464" s="659"/>
      <c r="XEK464" s="659"/>
      <c r="XEL464" s="660"/>
      <c r="XEM464" s="660"/>
      <c r="XEO464" s="670"/>
      <c r="XEP464" s="657"/>
      <c r="XEQ464" s="653"/>
      <c r="XER464" s="654"/>
      <c r="XES464" s="652"/>
      <c r="XET464" s="654"/>
      <c r="XEU464" s="656"/>
      <c r="XEV464" s="657"/>
      <c r="XEW464" s="658"/>
      <c r="XEX464" s="658"/>
      <c r="XEY464" s="658"/>
      <c r="XEZ464" s="671"/>
      <c r="XFA464" s="659"/>
      <c r="XFB464" s="659"/>
      <c r="XFC464" s="660"/>
      <c r="XFD464" s="660"/>
    </row>
    <row r="465" s="491" customFormat="1" ht="33" customHeight="1" spans="1:75 16318:16384">
      <c r="A465" s="577">
        <v>46140</v>
      </c>
      <c r="B465" s="578" t="s">
        <v>2201</v>
      </c>
      <c r="C465" s="579" t="s">
        <v>237</v>
      </c>
      <c r="D465" s="580">
        <v>4500204440</v>
      </c>
      <c r="E465" s="581"/>
      <c r="F465" s="580" t="s">
        <v>2202</v>
      </c>
      <c r="G465" s="582" t="s">
        <v>81</v>
      </c>
      <c r="H465" s="578" t="s">
        <v>82</v>
      </c>
      <c r="I465" s="583">
        <v>180</v>
      </c>
      <c r="J465" s="583">
        <v>0</v>
      </c>
      <c r="K465" s="583">
        <v>6</v>
      </c>
      <c r="L465" s="584">
        <f t="shared" si="284"/>
        <v>30</v>
      </c>
      <c r="M465" s="585">
        <v>46188</v>
      </c>
      <c r="N465" s="585">
        <v>46185</v>
      </c>
      <c r="O465" s="586"/>
      <c r="P465" s="586" t="s">
        <v>83</v>
      </c>
      <c r="Q465" s="587" t="s">
        <v>2203</v>
      </c>
      <c r="R465" s="586" t="s">
        <v>1237</v>
      </c>
      <c r="S465" s="586"/>
      <c r="T465" s="586"/>
      <c r="U465" s="586" t="s">
        <v>2204</v>
      </c>
      <c r="V465" s="586"/>
      <c r="W465" s="586"/>
      <c r="X465" s="588" t="s">
        <v>2205</v>
      </c>
      <c r="Y465" s="589" t="s">
        <v>1137</v>
      </c>
      <c r="Z465" s="686">
        <v>5.9216</v>
      </c>
      <c r="AA465" s="591">
        <f t="shared" si="279"/>
        <v>1065.888</v>
      </c>
      <c r="AB465" s="592"/>
      <c r="AC465" s="582" t="s">
        <v>235</v>
      </c>
      <c r="AD465" s="593" t="s">
        <v>89</v>
      </c>
      <c r="AE465" s="592"/>
      <c r="AF465" s="592"/>
      <c r="AG465" s="592"/>
      <c r="AH465" s="592"/>
      <c r="AI465" s="592"/>
      <c r="AJ465" s="666">
        <f>I465</f>
        <v>180</v>
      </c>
      <c r="AK465" s="672"/>
      <c r="AL465" s="648"/>
      <c r="AM465" s="648"/>
      <c r="AN465" s="598">
        <f t="shared" si="291"/>
        <v>180</v>
      </c>
      <c r="AO465" s="666"/>
      <c r="AP465" s="666"/>
      <c r="AQ465" s="666"/>
      <c r="AR465" s="666"/>
      <c r="AS465" s="666"/>
      <c r="AT465" s="682"/>
      <c r="AU465" s="592">
        <f>I465</f>
        <v>180</v>
      </c>
      <c r="AV465" s="648"/>
      <c r="AW465" s="592">
        <f t="shared" si="292"/>
        <v>180</v>
      </c>
      <c r="AX465" s="648"/>
      <c r="AY465" s="648"/>
      <c r="AZ465" s="648"/>
      <c r="BA465" s="648"/>
      <c r="BB465" s="648"/>
      <c r="BC465" s="648"/>
      <c r="BD465" s="648"/>
      <c r="BE465" s="703"/>
      <c r="BF465" s="679" t="s">
        <v>90</v>
      </c>
      <c r="BG465" s="680"/>
      <c r="BH465" s="710">
        <f t="shared" si="285"/>
        <v>30</v>
      </c>
      <c r="BI465" s="711">
        <f t="shared" si="286"/>
        <v>30</v>
      </c>
      <c r="BJ465" s="711">
        <f t="shared" si="287"/>
        <v>30</v>
      </c>
      <c r="BK465" s="711">
        <f t="shared" si="288"/>
        <v>30</v>
      </c>
      <c r="BL465" s="711">
        <f t="shared" si="289"/>
        <v>30</v>
      </c>
      <c r="BM465" s="711">
        <f t="shared" si="290"/>
        <v>30</v>
      </c>
      <c r="BN465" s="680"/>
      <c r="BO465" s="680"/>
      <c r="BP465" s="680"/>
      <c r="BQ465" s="680"/>
      <c r="BR465" s="680"/>
      <c r="BS465" s="680"/>
      <c r="BT465" s="607">
        <f t="shared" si="282"/>
        <v>180</v>
      </c>
      <c r="BU465" s="608">
        <f t="shared" si="283"/>
        <v>0</v>
      </c>
      <c r="XDX465" s="670"/>
      <c r="XDY465" s="657"/>
      <c r="XDZ465" s="653"/>
      <c r="XEA465" s="654"/>
      <c r="XEB465" s="652"/>
      <c r="XEC465" s="654"/>
      <c r="XED465" s="656"/>
      <c r="XEE465" s="657"/>
      <c r="XEF465" s="658"/>
      <c r="XEG465" s="658"/>
      <c r="XEH465" s="658"/>
      <c r="XEI465" s="671"/>
      <c r="XEJ465" s="659"/>
      <c r="XEK465" s="659"/>
      <c r="XEL465" s="660"/>
      <c r="XEM465" s="660"/>
      <c r="XEO465" s="670"/>
      <c r="XEP465" s="657"/>
      <c r="XEQ465" s="653"/>
      <c r="XER465" s="654"/>
      <c r="XES465" s="652"/>
      <c r="XET465" s="654"/>
      <c r="XEU465" s="656"/>
      <c r="XEV465" s="657"/>
      <c r="XEW465" s="658"/>
      <c r="XEX465" s="658"/>
      <c r="XEY465" s="658"/>
      <c r="XEZ465" s="671"/>
      <c r="XFA465" s="659"/>
      <c r="XFB465" s="659"/>
      <c r="XFC465" s="660"/>
      <c r="XFD465" s="660"/>
    </row>
    <row r="466" s="491" customFormat="1" ht="33" customHeight="1" spans="1:75 16318:16384">
      <c r="A466" s="577">
        <v>46132</v>
      </c>
      <c r="B466" s="578" t="s">
        <v>1851</v>
      </c>
      <c r="C466" s="579" t="s">
        <v>334</v>
      </c>
      <c r="D466" s="580">
        <v>4500202901</v>
      </c>
      <c r="E466" s="581" t="s">
        <v>2096</v>
      </c>
      <c r="F466" s="580" t="s">
        <v>2206</v>
      </c>
      <c r="G466" s="582" t="s">
        <v>81</v>
      </c>
      <c r="H466" s="578" t="s">
        <v>82</v>
      </c>
      <c r="I466" s="583">
        <v>1002</v>
      </c>
      <c r="J466" s="583">
        <v>0</v>
      </c>
      <c r="K466" s="583">
        <v>6</v>
      </c>
      <c r="L466" s="584">
        <f t="shared" si="284"/>
        <v>167</v>
      </c>
      <c r="M466" s="585">
        <v>46191</v>
      </c>
      <c r="N466" s="585">
        <v>46188</v>
      </c>
      <c r="O466" s="586"/>
      <c r="P466" s="586" t="s">
        <v>83</v>
      </c>
      <c r="Q466" s="587" t="s">
        <v>1380</v>
      </c>
      <c r="R466" s="586" t="s">
        <v>1249</v>
      </c>
      <c r="S466" s="586"/>
      <c r="T466" s="586"/>
      <c r="U466" s="586" t="s">
        <v>2207</v>
      </c>
      <c r="V466" s="586" t="s">
        <v>2208</v>
      </c>
      <c r="W466" s="586"/>
      <c r="X466" s="588" t="s">
        <v>2209</v>
      </c>
      <c r="Y466" s="589" t="s">
        <v>243</v>
      </c>
      <c r="Z466" s="686">
        <v>5.914</v>
      </c>
      <c r="AA466" s="591">
        <f t="shared" si="279"/>
        <v>5925.828</v>
      </c>
      <c r="AB466" s="592"/>
      <c r="AC466" s="582" t="s">
        <v>235</v>
      </c>
      <c r="AD466" s="593" t="s">
        <v>89</v>
      </c>
      <c r="AE466" s="592"/>
      <c r="AF466" s="666"/>
      <c r="AG466" s="672"/>
      <c r="AH466" s="592"/>
      <c r="AI466" s="666"/>
      <c r="AJ466" s="666">
        <f>I466</f>
        <v>1002</v>
      </c>
      <c r="AK466" s="672"/>
      <c r="AL466" s="648"/>
      <c r="AM466" s="592"/>
      <c r="AN466" s="592">
        <f t="shared" si="291"/>
        <v>1002</v>
      </c>
      <c r="AO466" s="592"/>
      <c r="AP466" s="648"/>
      <c r="AQ466" s="648"/>
      <c r="AR466" s="592"/>
      <c r="AS466" s="648"/>
      <c r="AT466" s="648"/>
      <c r="AU466" s="592">
        <f>I466</f>
        <v>1002</v>
      </c>
      <c r="AV466" s="667"/>
      <c r="AW466" s="592">
        <f t="shared" si="292"/>
        <v>1002</v>
      </c>
      <c r="AX466" s="706"/>
      <c r="AY466" s="707"/>
      <c r="AZ466" s="707"/>
      <c r="BA466" s="707"/>
      <c r="BB466" s="707"/>
      <c r="BC466" s="707"/>
      <c r="BD466" s="648"/>
      <c r="BE466" s="703"/>
      <c r="BF466" s="679" t="s">
        <v>90</v>
      </c>
      <c r="BG466" s="680"/>
      <c r="BH466" s="708">
        <f t="shared" si="285"/>
        <v>167</v>
      </c>
      <c r="BI466" s="644">
        <f t="shared" si="286"/>
        <v>167</v>
      </c>
      <c r="BJ466" s="644">
        <f t="shared" si="287"/>
        <v>167</v>
      </c>
      <c r="BK466" s="644">
        <f t="shared" si="288"/>
        <v>167</v>
      </c>
      <c r="BL466" s="644">
        <f t="shared" si="289"/>
        <v>167</v>
      </c>
      <c r="BM466" s="644">
        <f t="shared" si="290"/>
        <v>167</v>
      </c>
      <c r="BN466" s="680"/>
      <c r="BO466" s="680"/>
      <c r="BP466" s="680"/>
      <c r="BQ466" s="680"/>
      <c r="BR466" s="680"/>
      <c r="BS466" s="680"/>
      <c r="BT466" s="607">
        <f t="shared" si="282"/>
        <v>1002</v>
      </c>
      <c r="BU466" s="608">
        <f t="shared" si="283"/>
        <v>0</v>
      </c>
      <c r="XDG466" s="670"/>
      <c r="XDH466" s="657"/>
      <c r="XDI466" s="653"/>
      <c r="XDJ466" s="654"/>
      <c r="XDK466" s="652"/>
      <c r="XDL466" s="654"/>
      <c r="XDM466" s="656"/>
      <c r="XDN466" s="657"/>
      <c r="XDO466" s="658"/>
      <c r="XDP466" s="658"/>
      <c r="XDQ466" s="658"/>
      <c r="XDR466" s="671"/>
      <c r="XDS466" s="659"/>
      <c r="XDT466" s="659"/>
      <c r="XDU466" s="660"/>
      <c r="XDV466" s="660"/>
      <c r="XDX466" s="670"/>
      <c r="XDY466" s="657"/>
      <c r="XDZ466" s="653"/>
      <c r="XEA466" s="654"/>
      <c r="XEB466" s="652"/>
      <c r="XEC466" s="654"/>
      <c r="XED466" s="656"/>
      <c r="XEE466" s="657"/>
      <c r="XEF466" s="658"/>
      <c r="XEG466" s="658"/>
      <c r="XEH466" s="658"/>
      <c r="XEI466" s="671"/>
      <c r="XEJ466" s="659"/>
      <c r="XEK466" s="659"/>
      <c r="XEL466" s="660"/>
      <c r="XEM466" s="660"/>
      <c r="XEO466" s="670"/>
      <c r="XEP466" s="657"/>
      <c r="XEQ466" s="653"/>
      <c r="XER466" s="654"/>
      <c r="XES466" s="652"/>
      <c r="XET466" s="654"/>
      <c r="XEU466" s="656"/>
      <c r="XEV466" s="657"/>
      <c r="XEW466" s="658"/>
      <c r="XEX466" s="658"/>
      <c r="XEY466" s="658"/>
      <c r="XEZ466" s="671"/>
      <c r="XFA466" s="659"/>
      <c r="XFB466" s="659"/>
      <c r="XFC466" s="660"/>
      <c r="XFD466" s="660"/>
    </row>
    <row r="467" s="491" customFormat="1" ht="33" customHeight="1" spans="1:75 16318:16384">
      <c r="A467" s="577">
        <v>46133</v>
      </c>
      <c r="B467" s="578" t="s">
        <v>2210</v>
      </c>
      <c r="C467" s="579" t="s">
        <v>2085</v>
      </c>
      <c r="D467" s="580">
        <v>4500202539</v>
      </c>
      <c r="E467" s="634">
        <v>308701</v>
      </c>
      <c r="F467" s="580" t="s">
        <v>2211</v>
      </c>
      <c r="G467" s="582" t="s">
        <v>81</v>
      </c>
      <c r="H467" s="578" t="s">
        <v>82</v>
      </c>
      <c r="I467" s="583">
        <v>576</v>
      </c>
      <c r="J467" s="583">
        <v>0</v>
      </c>
      <c r="K467" s="583">
        <v>6</v>
      </c>
      <c r="L467" s="584">
        <f t="shared" si="284"/>
        <v>96</v>
      </c>
      <c r="M467" s="585">
        <v>46191</v>
      </c>
      <c r="N467" s="585">
        <v>46188</v>
      </c>
      <c r="O467" s="586"/>
      <c r="P467" s="586" t="s">
        <v>83</v>
      </c>
      <c r="Q467" s="639" t="s">
        <v>1113</v>
      </c>
      <c r="R467" s="586" t="s">
        <v>2212</v>
      </c>
      <c r="S467" s="586"/>
      <c r="T467" s="586"/>
      <c r="U467" s="586" t="s">
        <v>2036</v>
      </c>
      <c r="V467" s="586"/>
      <c r="W467" s="586"/>
      <c r="X467" s="588" t="s">
        <v>2213</v>
      </c>
      <c r="Y467" s="589" t="s">
        <v>975</v>
      </c>
      <c r="Z467" s="686">
        <v>5.7358</v>
      </c>
      <c r="AA467" s="591">
        <f t="shared" si="279"/>
        <v>3303.8208</v>
      </c>
      <c r="AB467" s="592"/>
      <c r="AC467" s="582" t="s">
        <v>235</v>
      </c>
      <c r="AD467" s="593" t="s">
        <v>89</v>
      </c>
      <c r="AE467" s="592"/>
      <c r="AF467" s="666"/>
      <c r="AG467" s="672"/>
      <c r="AH467" s="592"/>
      <c r="AI467" s="666"/>
      <c r="AJ467" s="666">
        <f>I467</f>
        <v>576</v>
      </c>
      <c r="AK467" s="672"/>
      <c r="AL467" s="648"/>
      <c r="AM467" s="592"/>
      <c r="AN467" s="592">
        <f t="shared" si="291"/>
        <v>576</v>
      </c>
      <c r="AO467" s="592"/>
      <c r="AP467" s="648"/>
      <c r="AQ467" s="648"/>
      <c r="AR467" s="592"/>
      <c r="AS467" s="648"/>
      <c r="AT467" s="648"/>
      <c r="AU467" s="592">
        <f>I467</f>
        <v>576</v>
      </c>
      <c r="AV467" s="667"/>
      <c r="AW467" s="592">
        <f t="shared" si="292"/>
        <v>576</v>
      </c>
      <c r="AX467" s="706"/>
      <c r="AY467" s="707"/>
      <c r="AZ467" s="707"/>
      <c r="BA467" s="707"/>
      <c r="BB467" s="707"/>
      <c r="BC467" s="707"/>
      <c r="BD467" s="648"/>
      <c r="BE467" s="703"/>
      <c r="BF467" s="679" t="s">
        <v>90</v>
      </c>
      <c r="BG467" s="680"/>
      <c r="BH467" s="708">
        <f t="shared" si="285"/>
        <v>96</v>
      </c>
      <c r="BI467" s="644">
        <f t="shared" si="286"/>
        <v>96</v>
      </c>
      <c r="BJ467" s="644">
        <f t="shared" si="287"/>
        <v>96</v>
      </c>
      <c r="BK467" s="644">
        <f t="shared" si="288"/>
        <v>96</v>
      </c>
      <c r="BL467" s="644">
        <f t="shared" si="289"/>
        <v>96</v>
      </c>
      <c r="BM467" s="644">
        <f t="shared" si="290"/>
        <v>96</v>
      </c>
      <c r="BN467" s="680"/>
      <c r="BO467" s="680"/>
      <c r="BP467" s="680"/>
      <c r="BQ467" s="680"/>
      <c r="BR467" s="680"/>
      <c r="BS467" s="680"/>
      <c r="BT467" s="607">
        <f t="shared" si="282"/>
        <v>576</v>
      </c>
      <c r="BU467" s="608">
        <f t="shared" si="283"/>
        <v>0</v>
      </c>
      <c r="XDG467" s="670"/>
      <c r="XDH467" s="657"/>
      <c r="XDI467" s="653"/>
      <c r="XDJ467" s="654"/>
      <c r="XDK467" s="652"/>
      <c r="XDL467" s="654"/>
      <c r="XDM467" s="656"/>
      <c r="XDN467" s="657"/>
      <c r="XDO467" s="658"/>
      <c r="XDP467" s="658"/>
      <c r="XDQ467" s="658"/>
      <c r="XDR467" s="671"/>
      <c r="XDS467" s="659"/>
      <c r="XDT467" s="659"/>
      <c r="XDU467" s="660"/>
      <c r="XDV467" s="660"/>
      <c r="XDX467" s="670"/>
      <c r="XDY467" s="657"/>
      <c r="XDZ467" s="653"/>
      <c r="XEA467" s="654"/>
      <c r="XEB467" s="652"/>
      <c r="XEC467" s="654"/>
      <c r="XED467" s="656"/>
      <c r="XEE467" s="657"/>
      <c r="XEF467" s="658"/>
      <c r="XEG467" s="658"/>
      <c r="XEH467" s="658"/>
      <c r="XEI467" s="671"/>
      <c r="XEJ467" s="659"/>
      <c r="XEK467" s="659"/>
      <c r="XEL467" s="660"/>
      <c r="XEM467" s="660"/>
      <c r="XEO467" s="670"/>
      <c r="XEP467" s="657"/>
      <c r="XEQ467" s="653"/>
      <c r="XER467" s="654"/>
      <c r="XES467" s="652"/>
      <c r="XET467" s="654"/>
      <c r="XEU467" s="656"/>
      <c r="XEV467" s="657"/>
      <c r="XEW467" s="658"/>
      <c r="XEX467" s="658"/>
      <c r="XEY467" s="658"/>
      <c r="XEZ467" s="671"/>
      <c r="XFA467" s="659"/>
      <c r="XFB467" s="659"/>
      <c r="XFC467" s="660"/>
      <c r="XFD467" s="660"/>
    </row>
    <row r="468" s="490" customFormat="1" ht="33" customHeight="1" spans="1:75 16318:16384">
      <c r="A468" s="577">
        <v>46108</v>
      </c>
      <c r="B468" s="578" t="s">
        <v>2214</v>
      </c>
      <c r="C468" s="579" t="s">
        <v>1044</v>
      </c>
      <c r="D468" s="580">
        <v>4500197002</v>
      </c>
      <c r="E468" s="581">
        <v>300609410</v>
      </c>
      <c r="F468" s="580" t="s">
        <v>2215</v>
      </c>
      <c r="G468" s="582" t="s">
        <v>969</v>
      </c>
      <c r="H468" s="578" t="s">
        <v>970</v>
      </c>
      <c r="I468" s="583">
        <v>320</v>
      </c>
      <c r="J468" s="583">
        <v>0</v>
      </c>
      <c r="K468" s="583">
        <v>4</v>
      </c>
      <c r="L468" s="584">
        <f t="shared" si="284"/>
        <v>80</v>
      </c>
      <c r="M468" s="585">
        <v>46192</v>
      </c>
      <c r="N468" s="712">
        <v>46188</v>
      </c>
      <c r="O468" s="586"/>
      <c r="P468" s="586" t="s">
        <v>83</v>
      </c>
      <c r="Q468" s="587"/>
      <c r="R468" s="586" t="s">
        <v>2212</v>
      </c>
      <c r="S468" s="586"/>
      <c r="T468" s="586"/>
      <c r="U468" s="586" t="s">
        <v>2216</v>
      </c>
      <c r="V468" s="586"/>
      <c r="W468" s="586"/>
      <c r="X468" s="588" t="s">
        <v>2217</v>
      </c>
      <c r="Y468" s="589" t="s">
        <v>1684</v>
      </c>
      <c r="Z468" s="686">
        <v>5.8612</v>
      </c>
      <c r="AA468" s="591">
        <f t="shared" si="279"/>
        <v>1875.584</v>
      </c>
      <c r="AB468" s="592"/>
      <c r="AC468" s="582" t="s">
        <v>976</v>
      </c>
      <c r="AD468" s="593" t="s">
        <v>89</v>
      </c>
      <c r="AE468" s="595"/>
      <c r="AF468" s="595"/>
      <c r="AG468" s="595"/>
      <c r="AH468" s="592"/>
      <c r="AI468" s="592"/>
      <c r="AJ468" s="592">
        <f>I468</f>
        <v>320</v>
      </c>
      <c r="AK468" s="592"/>
      <c r="AL468" s="592"/>
      <c r="AM468" s="598"/>
      <c r="AN468" s="598">
        <f t="shared" si="291"/>
        <v>320</v>
      </c>
      <c r="AO468" s="592"/>
      <c r="AP468" s="619"/>
      <c r="AQ468" s="592"/>
      <c r="AR468" s="592"/>
      <c r="AS468" s="592"/>
      <c r="AT468" s="592"/>
      <c r="AU468" s="592">
        <f>I468</f>
        <v>320</v>
      </c>
      <c r="AV468" s="592"/>
      <c r="AW468" s="592">
        <f t="shared" si="292"/>
        <v>320</v>
      </c>
      <c r="AX468" s="592"/>
      <c r="AY468" s="600"/>
      <c r="AZ468" s="666"/>
      <c r="BA468" s="666"/>
      <c r="BB468" s="666"/>
      <c r="BC468" s="666"/>
      <c r="BD468" s="667"/>
      <c r="BE468" s="668"/>
      <c r="BF468" s="679" t="s">
        <v>90</v>
      </c>
      <c r="BG468" s="680"/>
      <c r="BH468" s="632">
        <f t="shared" si="285"/>
        <v>53.3333333333333</v>
      </c>
      <c r="BI468" s="633">
        <f t="shared" si="286"/>
        <v>53.3333333333333</v>
      </c>
      <c r="BJ468" s="633">
        <f t="shared" si="287"/>
        <v>53.3333333333333</v>
      </c>
      <c r="BK468" s="633">
        <f t="shared" si="288"/>
        <v>53.3333333333333</v>
      </c>
      <c r="BL468" s="633">
        <f t="shared" si="289"/>
        <v>53.3333333333333</v>
      </c>
      <c r="BM468" s="633">
        <f t="shared" si="290"/>
        <v>53.3333333333333</v>
      </c>
      <c r="BN468" s="605"/>
      <c r="BO468" s="605"/>
      <c r="BP468" s="605"/>
      <c r="BQ468" s="605"/>
      <c r="BR468" s="605"/>
      <c r="BS468" s="605"/>
      <c r="BT468" s="607">
        <f t="shared" si="282"/>
        <v>320</v>
      </c>
      <c r="BU468" s="608">
        <f t="shared" si="283"/>
        <v>0</v>
      </c>
      <c r="BV468" s="491"/>
      <c r="BW468" s="491"/>
    </row>
    <row r="469" s="491" customFormat="1" ht="33" customHeight="1" spans="1:75 16318:16384">
      <c r="A469" s="577">
        <v>46121</v>
      </c>
      <c r="B469" s="578" t="s">
        <v>263</v>
      </c>
      <c r="C469" s="579" t="s">
        <v>264</v>
      </c>
      <c r="D469" s="580">
        <v>4500200614</v>
      </c>
      <c r="E469" s="581" t="s">
        <v>2096</v>
      </c>
      <c r="F469" s="580" t="s">
        <v>2218</v>
      </c>
      <c r="G469" s="582" t="s">
        <v>81</v>
      </c>
      <c r="H469" s="578" t="s">
        <v>82</v>
      </c>
      <c r="I469" s="583">
        <v>600</v>
      </c>
      <c r="J469" s="583">
        <v>0</v>
      </c>
      <c r="K469" s="583">
        <v>6</v>
      </c>
      <c r="L469" s="584">
        <f t="shared" si="284"/>
        <v>100</v>
      </c>
      <c r="M469" s="585">
        <v>46195</v>
      </c>
      <c r="N469" s="713">
        <v>46191</v>
      </c>
      <c r="O469" s="586"/>
      <c r="P469" s="586" t="s">
        <v>83</v>
      </c>
      <c r="Q469" s="587"/>
      <c r="R469" s="586" t="s">
        <v>2187</v>
      </c>
      <c r="S469" s="586"/>
      <c r="T469" s="586"/>
      <c r="U469" s="586" t="s">
        <v>2219</v>
      </c>
      <c r="V469" s="586"/>
      <c r="W469" s="586"/>
      <c r="X469" s="588" t="s">
        <v>2220</v>
      </c>
      <c r="Y469" s="589" t="s">
        <v>243</v>
      </c>
      <c r="Z469" s="686">
        <v>5.9216</v>
      </c>
      <c r="AA469" s="591">
        <f t="shared" si="279"/>
        <v>3552.96</v>
      </c>
      <c r="AB469" s="592"/>
      <c r="AC469" s="582" t="s">
        <v>235</v>
      </c>
      <c r="AD469" s="593" t="s">
        <v>89</v>
      </c>
      <c r="AE469" s="592"/>
      <c r="AF469" s="666"/>
      <c r="AG469" s="672"/>
      <c r="AH469" s="666"/>
      <c r="AI469" s="666"/>
      <c r="AJ469" s="666">
        <f>I469</f>
        <v>600</v>
      </c>
      <c r="AK469" s="672"/>
      <c r="AL469" s="648"/>
      <c r="AM469" s="648"/>
      <c r="AN469" s="592">
        <f t="shared" si="291"/>
        <v>600</v>
      </c>
      <c r="AO469" s="648"/>
      <c r="AP469" s="648"/>
      <c r="AQ469" s="648"/>
      <c r="AR469" s="648"/>
      <c r="AS469" s="648"/>
      <c r="AT469" s="648"/>
      <c r="AU469" s="672">
        <f>I469</f>
        <v>600</v>
      </c>
      <c r="AV469" s="648"/>
      <c r="AW469" s="592">
        <f t="shared" si="292"/>
        <v>600</v>
      </c>
      <c r="AX469" s="648"/>
      <c r="AY469" s="648"/>
      <c r="AZ469" s="648"/>
      <c r="BA469" s="648"/>
      <c r="BB469" s="648"/>
      <c r="BC469" s="648"/>
      <c r="BD469" s="648"/>
      <c r="BE469" s="703"/>
      <c r="BF469" s="679" t="s">
        <v>90</v>
      </c>
      <c r="BG469" s="680"/>
      <c r="BH469" s="710">
        <f t="shared" si="285"/>
        <v>100</v>
      </c>
      <c r="BI469" s="711">
        <f t="shared" si="286"/>
        <v>100</v>
      </c>
      <c r="BJ469" s="711">
        <f t="shared" si="287"/>
        <v>100</v>
      </c>
      <c r="BK469" s="711">
        <f t="shared" si="288"/>
        <v>100</v>
      </c>
      <c r="BL469" s="711">
        <f t="shared" si="289"/>
        <v>100</v>
      </c>
      <c r="BM469" s="711">
        <f t="shared" si="290"/>
        <v>100</v>
      </c>
      <c r="BN469" s="680"/>
      <c r="BO469" s="680"/>
      <c r="BP469" s="680"/>
      <c r="BQ469" s="680"/>
      <c r="BR469" s="680"/>
      <c r="BS469" s="680"/>
      <c r="BT469" s="607">
        <f t="shared" si="282"/>
        <v>600</v>
      </c>
      <c r="BU469" s="608">
        <f t="shared" si="283"/>
        <v>0</v>
      </c>
      <c r="XDG469" s="670"/>
      <c r="XDH469" s="657"/>
      <c r="XDI469" s="653"/>
      <c r="XDJ469" s="654"/>
      <c r="XDK469" s="652"/>
      <c r="XDL469" s="654"/>
      <c r="XDM469" s="656"/>
      <c r="XDN469" s="657"/>
      <c r="XDO469" s="658"/>
      <c r="XDP469" s="658"/>
      <c r="XDQ469" s="658"/>
      <c r="XDR469" s="671"/>
      <c r="XDS469" s="659"/>
      <c r="XDT469" s="659"/>
      <c r="XDU469" s="660"/>
      <c r="XDV469" s="660"/>
      <c r="XDX469" s="670"/>
      <c r="XDY469" s="657"/>
      <c r="XDZ469" s="653"/>
      <c r="XEA469" s="654"/>
      <c r="XEB469" s="652"/>
      <c r="XEC469" s="654"/>
      <c r="XED469" s="656"/>
      <c r="XEE469" s="657"/>
      <c r="XEF469" s="658"/>
      <c r="XEG469" s="658"/>
      <c r="XEH469" s="658"/>
      <c r="XEI469" s="671"/>
      <c r="XEJ469" s="659"/>
      <c r="XEK469" s="659"/>
      <c r="XEL469" s="660"/>
      <c r="XEM469" s="660"/>
      <c r="XEO469" s="670"/>
      <c r="XEP469" s="657"/>
      <c r="XEQ469" s="653"/>
      <c r="XER469" s="654"/>
      <c r="XES469" s="652"/>
      <c r="XET469" s="654"/>
      <c r="XEU469" s="656"/>
      <c r="XEV469" s="657"/>
      <c r="XEW469" s="658"/>
      <c r="XEX469" s="658"/>
      <c r="XEY469" s="658"/>
      <c r="XEZ469" s="671"/>
      <c r="XFA469" s="659"/>
      <c r="XFB469" s="659"/>
      <c r="XFC469" s="660"/>
      <c r="XFD469" s="660"/>
    </row>
    <row r="470" s="490" customFormat="1" ht="33" customHeight="1" spans="1:75 16318:16384">
      <c r="A470" s="577">
        <v>46154</v>
      </c>
      <c r="B470" s="578" t="s">
        <v>999</v>
      </c>
      <c r="C470" s="579" t="s">
        <v>2100</v>
      </c>
      <c r="D470" s="580">
        <v>4500206680</v>
      </c>
      <c r="E470" s="581" t="s">
        <v>2096</v>
      </c>
      <c r="F470" s="580" t="s">
        <v>2221</v>
      </c>
      <c r="G470" s="582" t="s">
        <v>81</v>
      </c>
      <c r="H470" s="578" t="s">
        <v>82</v>
      </c>
      <c r="I470" s="583">
        <v>252</v>
      </c>
      <c r="J470" s="583">
        <v>0</v>
      </c>
      <c r="K470" s="583">
        <v>6</v>
      </c>
      <c r="L470" s="584">
        <f t="shared" si="284"/>
        <v>42</v>
      </c>
      <c r="M470" s="585">
        <v>46195</v>
      </c>
      <c r="N470" s="585">
        <v>46191</v>
      </c>
      <c r="O470" s="586"/>
      <c r="P470" s="586" t="s">
        <v>83</v>
      </c>
      <c r="Q470" s="587" t="s">
        <v>2180</v>
      </c>
      <c r="R470" s="586" t="s">
        <v>2222</v>
      </c>
      <c r="S470" s="586"/>
      <c r="T470" s="586"/>
      <c r="U470" s="586" t="s">
        <v>2223</v>
      </c>
      <c r="V470" s="586"/>
      <c r="W470" s="586"/>
      <c r="X470" s="588" t="s">
        <v>2224</v>
      </c>
      <c r="Y470" s="589" t="s">
        <v>675</v>
      </c>
      <c r="Z470" s="686">
        <v>5.7358</v>
      </c>
      <c r="AA470" s="591">
        <f t="shared" si="279"/>
        <v>1445.4216</v>
      </c>
      <c r="AB470" s="592"/>
      <c r="AC470" s="582" t="s">
        <v>81</v>
      </c>
      <c r="AD470" s="593" t="s">
        <v>89</v>
      </c>
      <c r="AE470" s="595"/>
      <c r="AF470" s="592"/>
      <c r="AG470" s="592">
        <f>I470</f>
        <v>252</v>
      </c>
      <c r="AH470" s="598"/>
      <c r="AI470" s="592"/>
      <c r="AJ470" s="592"/>
      <c r="AK470" s="592"/>
      <c r="AL470" s="618"/>
      <c r="AM470" s="592"/>
      <c r="AN470" s="592">
        <f t="shared" si="291"/>
        <v>252</v>
      </c>
      <c r="AO470" s="600"/>
      <c r="AP470" s="666"/>
      <c r="AQ470" s="666"/>
      <c r="AR470" s="666">
        <f>I470</f>
        <v>252</v>
      </c>
      <c r="AS470" s="666"/>
      <c r="AT470" s="667"/>
      <c r="AU470" s="672"/>
      <c r="AV470" s="578"/>
      <c r="AW470" s="592">
        <f t="shared" si="292"/>
        <v>252</v>
      </c>
      <c r="AX470" s="666"/>
      <c r="AY470" s="666"/>
      <c r="AZ470" s="666"/>
      <c r="BA470" s="666"/>
      <c r="BB470" s="666"/>
      <c r="BC470" s="666"/>
      <c r="BD470" s="682"/>
      <c r="BE470" s="668"/>
      <c r="BF470" s="679" t="s">
        <v>90</v>
      </c>
      <c r="BG470" s="680"/>
      <c r="BH470" s="708">
        <f t="shared" si="285"/>
        <v>42</v>
      </c>
      <c r="BI470" s="644">
        <f t="shared" si="286"/>
        <v>42</v>
      </c>
      <c r="BJ470" s="644">
        <f t="shared" si="287"/>
        <v>42</v>
      </c>
      <c r="BK470" s="644">
        <f t="shared" si="288"/>
        <v>42</v>
      </c>
      <c r="BL470" s="644">
        <f t="shared" si="289"/>
        <v>42</v>
      </c>
      <c r="BM470" s="644">
        <f t="shared" si="290"/>
        <v>42</v>
      </c>
      <c r="BN470" s="680"/>
      <c r="BO470" s="680"/>
      <c r="BP470" s="680"/>
      <c r="BQ470" s="680"/>
      <c r="BR470" s="680"/>
      <c r="BS470" s="680"/>
      <c r="BT470" s="607">
        <f t="shared" si="282"/>
        <v>252</v>
      </c>
      <c r="BU470" s="608">
        <f t="shared" si="283"/>
        <v>0</v>
      </c>
      <c r="BV470" s="491"/>
      <c r="BW470" s="491"/>
      <c r="XEO470" s="670"/>
      <c r="XEP470" s="657"/>
      <c r="XEQ470" s="653"/>
      <c r="XER470" s="654"/>
      <c r="XES470" s="652"/>
      <c r="XET470" s="654"/>
      <c r="XEU470" s="656"/>
      <c r="XEV470" s="657"/>
      <c r="XEW470" s="658"/>
      <c r="XEX470" s="658"/>
      <c r="XEY470" s="658"/>
      <c r="XEZ470" s="671"/>
      <c r="XFA470" s="659"/>
      <c r="XFB470" s="659"/>
      <c r="XFC470" s="660"/>
      <c r="XFD470" s="660"/>
    </row>
    <row r="471" s="490" customFormat="1" ht="33" customHeight="1" spans="1:75 16318:16384">
      <c r="A471" s="577">
        <v>46094</v>
      </c>
      <c r="B471" s="578" t="s">
        <v>2225</v>
      </c>
      <c r="C471" s="579" t="s">
        <v>441</v>
      </c>
      <c r="D471" s="580">
        <v>4500196154</v>
      </c>
      <c r="E471" s="581">
        <v>874089</v>
      </c>
      <c r="F471" s="580" t="s">
        <v>2226</v>
      </c>
      <c r="G471" s="582" t="s">
        <v>81</v>
      </c>
      <c r="H471" s="578" t="s">
        <v>82</v>
      </c>
      <c r="I471" s="583">
        <v>468</v>
      </c>
      <c r="J471" s="583">
        <v>0</v>
      </c>
      <c r="K471" s="583">
        <v>6</v>
      </c>
      <c r="L471" s="584">
        <f t="shared" si="284"/>
        <v>78</v>
      </c>
      <c r="M471" s="585">
        <v>46198</v>
      </c>
      <c r="N471" s="585">
        <v>46195</v>
      </c>
      <c r="O471" s="586" t="s">
        <v>2227</v>
      </c>
      <c r="P471" s="586" t="s">
        <v>83</v>
      </c>
      <c r="Q471" s="587"/>
      <c r="R471" s="586" t="s">
        <v>933</v>
      </c>
      <c r="S471" s="586"/>
      <c r="T471" s="586"/>
      <c r="U471" s="586" t="s">
        <v>2228</v>
      </c>
      <c r="V471" s="586"/>
      <c r="W471" s="586" t="s">
        <v>2229</v>
      </c>
      <c r="X471" s="588" t="s">
        <v>2230</v>
      </c>
      <c r="Y471" s="589" t="s">
        <v>2184</v>
      </c>
      <c r="Z471" s="686">
        <v>6.3162</v>
      </c>
      <c r="AA471" s="591">
        <f t="shared" si="279"/>
        <v>2955.9816</v>
      </c>
      <c r="AB471" s="592"/>
      <c r="AC471" s="582" t="s">
        <v>235</v>
      </c>
      <c r="AD471" s="593" t="s">
        <v>89</v>
      </c>
      <c r="AE471" s="595"/>
      <c r="AF471" s="595"/>
      <c r="AG471" s="595"/>
      <c r="AH471" s="592"/>
      <c r="AI471" s="592"/>
      <c r="AJ471" s="592">
        <f>I471</f>
        <v>468</v>
      </c>
      <c r="AK471" s="592"/>
      <c r="AL471" s="592"/>
      <c r="AM471" s="598"/>
      <c r="AN471" s="598">
        <f t="shared" si="291"/>
        <v>468</v>
      </c>
      <c r="AO471" s="592"/>
      <c r="AP471" s="619"/>
      <c r="AQ471" s="592"/>
      <c r="AR471" s="592"/>
      <c r="AS471" s="592"/>
      <c r="AT471" s="592"/>
      <c r="AU471" s="592">
        <f>I471</f>
        <v>468</v>
      </c>
      <c r="AV471" s="592"/>
      <c r="AW471" s="592">
        <f t="shared" si="292"/>
        <v>468</v>
      </c>
      <c r="AX471" s="592"/>
      <c r="AY471" s="600"/>
      <c r="AZ471" s="666"/>
      <c r="BA471" s="666"/>
      <c r="BB471" s="666"/>
      <c r="BC471" s="666"/>
      <c r="BD471" s="667"/>
      <c r="BE471" s="668"/>
      <c r="BF471" s="679" t="s">
        <v>90</v>
      </c>
      <c r="BG471" s="680"/>
      <c r="BH471" s="632">
        <f t="shared" si="285"/>
        <v>78</v>
      </c>
      <c r="BI471" s="633">
        <f t="shared" si="286"/>
        <v>78</v>
      </c>
      <c r="BJ471" s="633">
        <f t="shared" si="287"/>
        <v>78</v>
      </c>
      <c r="BK471" s="633">
        <f t="shared" si="288"/>
        <v>78</v>
      </c>
      <c r="BL471" s="633">
        <f t="shared" si="289"/>
        <v>78</v>
      </c>
      <c r="BM471" s="633">
        <f t="shared" si="290"/>
        <v>78</v>
      </c>
      <c r="BN471" s="605"/>
      <c r="BO471" s="605"/>
      <c r="BP471" s="605"/>
      <c r="BQ471" s="605"/>
      <c r="BR471" s="605"/>
      <c r="BS471" s="605"/>
      <c r="BT471" s="607">
        <f t="shared" si="282"/>
        <v>468</v>
      </c>
      <c r="BU471" s="608">
        <f t="shared" si="283"/>
        <v>0</v>
      </c>
      <c r="BV471" s="491"/>
      <c r="BW471" s="491"/>
    </row>
    <row r="472" s="490" customFormat="1" ht="34" customHeight="1" spans="1:75 16318:16384">
      <c r="A472" s="577">
        <v>46105</v>
      </c>
      <c r="B472" s="578" t="s">
        <v>724</v>
      </c>
      <c r="C472" s="579" t="s">
        <v>2100</v>
      </c>
      <c r="D472" s="580">
        <v>4500198079</v>
      </c>
      <c r="E472" s="581" t="s">
        <v>2231</v>
      </c>
      <c r="F472" s="580" t="s">
        <v>2232</v>
      </c>
      <c r="G472" s="582" t="s">
        <v>81</v>
      </c>
      <c r="H472" s="578" t="s">
        <v>82</v>
      </c>
      <c r="I472" s="583">
        <v>696</v>
      </c>
      <c r="J472" s="583">
        <v>0</v>
      </c>
      <c r="K472" s="583">
        <v>6</v>
      </c>
      <c r="L472" s="584">
        <f t="shared" si="284"/>
        <v>116</v>
      </c>
      <c r="M472" s="714">
        <v>46203</v>
      </c>
      <c r="N472" s="715">
        <v>46199</v>
      </c>
      <c r="O472" s="716"/>
      <c r="P472" s="586" t="s">
        <v>83</v>
      </c>
      <c r="Q472" s="587" t="s">
        <v>1157</v>
      </c>
      <c r="R472" s="586" t="s">
        <v>845</v>
      </c>
      <c r="S472" s="586"/>
      <c r="T472" s="586"/>
      <c r="U472" s="586" t="s">
        <v>2233</v>
      </c>
      <c r="V472" s="586"/>
      <c r="W472" s="586" t="s">
        <v>2234</v>
      </c>
      <c r="X472" s="588" t="s">
        <v>2235</v>
      </c>
      <c r="Y472" s="589" t="s">
        <v>2236</v>
      </c>
      <c r="Z472" s="686">
        <v>5.9216</v>
      </c>
      <c r="AA472" s="591">
        <f t="shared" si="279"/>
        <v>4121.4336</v>
      </c>
      <c r="AB472" s="592"/>
      <c r="AC472" s="582" t="s">
        <v>81</v>
      </c>
      <c r="AD472" s="593" t="s">
        <v>89</v>
      </c>
      <c r="AE472" s="595"/>
      <c r="AF472" s="595"/>
      <c r="AG472" s="595">
        <f t="shared" ref="AG472:AG477" si="293">I472</f>
        <v>696</v>
      </c>
      <c r="AH472" s="592"/>
      <c r="AI472" s="592"/>
      <c r="AJ472" s="592"/>
      <c r="AK472" s="592"/>
      <c r="AL472" s="592"/>
      <c r="AM472" s="598"/>
      <c r="AN472" s="598">
        <f t="shared" si="291"/>
        <v>696</v>
      </c>
      <c r="AO472" s="592"/>
      <c r="AP472" s="619"/>
      <c r="AQ472" s="592"/>
      <c r="AR472" s="592">
        <f t="shared" ref="AR472:AR477" si="294">I472</f>
        <v>696</v>
      </c>
      <c r="AS472" s="592"/>
      <c r="AT472" s="592"/>
      <c r="AU472" s="592"/>
      <c r="AV472" s="592"/>
      <c r="AW472" s="592">
        <f t="shared" si="292"/>
        <v>696</v>
      </c>
      <c r="AX472" s="592"/>
      <c r="AY472" s="600"/>
      <c r="AZ472" s="649"/>
      <c r="BA472" s="649"/>
      <c r="BB472" s="649"/>
      <c r="BC472" s="649"/>
      <c r="BD472" s="649"/>
      <c r="BE472" s="685"/>
      <c r="BF472" s="679" t="s">
        <v>90</v>
      </c>
      <c r="BG472" s="680"/>
      <c r="BH472" s="632">
        <f t="shared" si="285"/>
        <v>116</v>
      </c>
      <c r="BI472" s="633">
        <f t="shared" si="286"/>
        <v>116</v>
      </c>
      <c r="BJ472" s="633">
        <f t="shared" si="287"/>
        <v>116</v>
      </c>
      <c r="BK472" s="633">
        <f t="shared" si="288"/>
        <v>116</v>
      </c>
      <c r="BL472" s="633">
        <f t="shared" si="289"/>
        <v>116</v>
      </c>
      <c r="BM472" s="633">
        <f t="shared" si="290"/>
        <v>116</v>
      </c>
      <c r="BN472" s="680"/>
      <c r="BO472" s="680"/>
      <c r="BP472" s="680"/>
      <c r="BQ472" s="680"/>
      <c r="BR472" s="680"/>
      <c r="BS472" s="680"/>
      <c r="BT472" s="607">
        <f t="shared" si="282"/>
        <v>696</v>
      </c>
      <c r="BU472" s="608">
        <f t="shared" si="283"/>
        <v>0</v>
      </c>
      <c r="BV472" s="491"/>
      <c r="BW472" s="491"/>
      <c r="XCP472" s="670"/>
      <c r="XCQ472" s="490"/>
      <c r="XCR472" s="653"/>
      <c r="XCS472" s="654"/>
      <c r="XCT472" s="657"/>
      <c r="XCU472" s="654"/>
      <c r="XCV472" s="656"/>
      <c r="XCW472" s="656"/>
      <c r="XCX472" s="657"/>
      <c r="XCY472" s="658"/>
      <c r="XCZ472" s="658"/>
      <c r="XDA472" s="658"/>
      <c r="XDB472" s="671"/>
      <c r="XDC472" s="659"/>
      <c r="XDD472" s="659"/>
      <c r="XDE472" s="660"/>
      <c r="XDF472" s="660"/>
      <c r="XDG472" s="670"/>
      <c r="XDH472" s="490"/>
      <c r="XDI472" s="653"/>
      <c r="XDJ472" s="654"/>
      <c r="XDK472" s="657"/>
      <c r="XDL472" s="654"/>
      <c r="XDM472" s="656"/>
      <c r="XDN472" s="656"/>
      <c r="XDO472" s="657"/>
      <c r="XDP472" s="658"/>
      <c r="XDQ472" s="658"/>
      <c r="XDR472" s="658"/>
      <c r="XDS472" s="671"/>
      <c r="XDT472" s="659"/>
      <c r="XDU472" s="659"/>
      <c r="XDV472" s="660"/>
      <c r="XDW472" s="660"/>
      <c r="XDX472" s="670"/>
      <c r="XDY472" s="490"/>
      <c r="XDZ472" s="653"/>
      <c r="XEA472" s="654"/>
      <c r="XEB472" s="657"/>
      <c r="XEC472" s="654"/>
      <c r="XED472" s="656"/>
      <c r="XEE472" s="656"/>
      <c r="XEF472" s="657"/>
      <c r="XEG472" s="658"/>
      <c r="XEH472" s="658"/>
      <c r="XEI472" s="658"/>
      <c r="XEJ472" s="671"/>
      <c r="XEK472" s="659"/>
      <c r="XEL472" s="659"/>
      <c r="XEM472" s="660"/>
      <c r="XEN472" s="660"/>
      <c r="XEO472" s="670"/>
      <c r="XEP472" s="490"/>
      <c r="XEQ472" s="653"/>
      <c r="XER472" s="654"/>
      <c r="XES472" s="657"/>
      <c r="XET472" s="654"/>
      <c r="XEU472" s="656"/>
      <c r="XEV472" s="656"/>
      <c r="XEW472" s="657"/>
      <c r="XEX472" s="658"/>
      <c r="XEY472" s="658"/>
      <c r="XEZ472" s="658"/>
      <c r="XFA472" s="671"/>
      <c r="XFB472" s="659"/>
      <c r="XFC472" s="659"/>
      <c r="XFD472" s="660"/>
    </row>
    <row r="473" s="490" customFormat="1" ht="34" customHeight="1" spans="1:75 16318:16384">
      <c r="A473" s="577">
        <v>46105</v>
      </c>
      <c r="B473" s="578" t="s">
        <v>724</v>
      </c>
      <c r="C473" s="579" t="s">
        <v>2100</v>
      </c>
      <c r="D473" s="580">
        <v>4500198067</v>
      </c>
      <c r="E473" s="581" t="s">
        <v>2237</v>
      </c>
      <c r="F473" s="580" t="s">
        <v>2238</v>
      </c>
      <c r="G473" s="582" t="s">
        <v>81</v>
      </c>
      <c r="H473" s="578" t="s">
        <v>82</v>
      </c>
      <c r="I473" s="583">
        <v>1800</v>
      </c>
      <c r="J473" s="583">
        <v>0</v>
      </c>
      <c r="K473" s="583">
        <v>6</v>
      </c>
      <c r="L473" s="584">
        <f t="shared" si="284"/>
        <v>300</v>
      </c>
      <c r="M473" s="714">
        <v>46203</v>
      </c>
      <c r="N473" s="715">
        <v>46199</v>
      </c>
      <c r="O473" s="716"/>
      <c r="P473" s="586" t="s">
        <v>83</v>
      </c>
      <c r="Q473" s="587" t="s">
        <v>1157</v>
      </c>
      <c r="R473" s="586" t="s">
        <v>845</v>
      </c>
      <c r="S473" s="586"/>
      <c r="T473" s="586"/>
      <c r="U473" s="586" t="s">
        <v>2239</v>
      </c>
      <c r="V473" s="586"/>
      <c r="W473" s="586" t="s">
        <v>2234</v>
      </c>
      <c r="X473" s="588" t="s">
        <v>2240</v>
      </c>
      <c r="Y473" s="589" t="s">
        <v>2236</v>
      </c>
      <c r="Z473" s="686">
        <v>5.914</v>
      </c>
      <c r="AA473" s="591">
        <f t="shared" si="279"/>
        <v>10645.2</v>
      </c>
      <c r="AB473" s="592"/>
      <c r="AC473" s="582" t="s">
        <v>81</v>
      </c>
      <c r="AD473" s="593" t="s">
        <v>89</v>
      </c>
      <c r="AE473" s="595"/>
      <c r="AF473" s="595"/>
      <c r="AG473" s="595">
        <f t="shared" si="293"/>
        <v>1800</v>
      </c>
      <c r="AH473" s="592"/>
      <c r="AI473" s="592"/>
      <c r="AJ473" s="592"/>
      <c r="AK473" s="592"/>
      <c r="AL473" s="592"/>
      <c r="AM473" s="598"/>
      <c r="AN473" s="598">
        <f t="shared" si="291"/>
        <v>1800</v>
      </c>
      <c r="AO473" s="592"/>
      <c r="AP473" s="619"/>
      <c r="AQ473" s="592"/>
      <c r="AR473" s="592">
        <f t="shared" si="294"/>
        <v>1800</v>
      </c>
      <c r="AS473" s="592"/>
      <c r="AT473" s="592"/>
      <c r="AU473" s="592"/>
      <c r="AV473" s="592"/>
      <c r="AW473" s="592">
        <f t="shared" si="292"/>
        <v>1800</v>
      </c>
      <c r="AX473" s="592"/>
      <c r="AY473" s="600"/>
      <c r="AZ473" s="649"/>
      <c r="BA473" s="649"/>
      <c r="BB473" s="649"/>
      <c r="BC473" s="649"/>
      <c r="BD473" s="649"/>
      <c r="BE473" s="685"/>
      <c r="BF473" s="679" t="s">
        <v>90</v>
      </c>
      <c r="BG473" s="680"/>
      <c r="BH473" s="632">
        <f t="shared" si="285"/>
        <v>300</v>
      </c>
      <c r="BI473" s="633">
        <f t="shared" si="286"/>
        <v>300</v>
      </c>
      <c r="BJ473" s="633">
        <f t="shared" si="287"/>
        <v>300</v>
      </c>
      <c r="BK473" s="633">
        <f t="shared" si="288"/>
        <v>300</v>
      </c>
      <c r="BL473" s="633">
        <f t="shared" si="289"/>
        <v>300</v>
      </c>
      <c r="BM473" s="633">
        <f t="shared" si="290"/>
        <v>300</v>
      </c>
      <c r="BN473" s="680"/>
      <c r="BO473" s="680"/>
      <c r="BP473" s="680"/>
      <c r="BQ473" s="680"/>
      <c r="BR473" s="680"/>
      <c r="BS473" s="680"/>
      <c r="BT473" s="607">
        <f t="shared" si="282"/>
        <v>1800</v>
      </c>
      <c r="BU473" s="608">
        <f t="shared" si="283"/>
        <v>0</v>
      </c>
      <c r="BV473" s="491"/>
      <c r="BW473" s="491"/>
      <c r="XCP473" s="670"/>
      <c r="XCQ473" s="490"/>
      <c r="XCR473" s="653"/>
      <c r="XCS473" s="654"/>
      <c r="XCT473" s="657"/>
      <c r="XCU473" s="654"/>
      <c r="XCV473" s="656"/>
      <c r="XCW473" s="656"/>
      <c r="XCX473" s="657"/>
      <c r="XCY473" s="658"/>
      <c r="XCZ473" s="658"/>
      <c r="XDA473" s="658"/>
      <c r="XDB473" s="671"/>
      <c r="XDC473" s="659"/>
      <c r="XDD473" s="659"/>
      <c r="XDE473" s="660"/>
      <c r="XDF473" s="660"/>
      <c r="XDG473" s="670"/>
      <c r="XDH473" s="490"/>
      <c r="XDI473" s="653"/>
      <c r="XDJ473" s="654"/>
      <c r="XDK473" s="657"/>
      <c r="XDL473" s="654"/>
      <c r="XDM473" s="656"/>
      <c r="XDN473" s="656"/>
      <c r="XDO473" s="657"/>
      <c r="XDP473" s="658"/>
      <c r="XDQ473" s="658"/>
      <c r="XDR473" s="658"/>
      <c r="XDS473" s="671"/>
      <c r="XDT473" s="659"/>
      <c r="XDU473" s="659"/>
      <c r="XDV473" s="660"/>
      <c r="XDW473" s="660"/>
      <c r="XDX473" s="670"/>
      <c r="XDY473" s="490"/>
      <c r="XDZ473" s="653"/>
      <c r="XEA473" s="654"/>
      <c r="XEB473" s="657"/>
      <c r="XEC473" s="654"/>
      <c r="XED473" s="656"/>
      <c r="XEE473" s="656"/>
      <c r="XEF473" s="657"/>
      <c r="XEG473" s="658"/>
      <c r="XEH473" s="658"/>
      <c r="XEI473" s="658"/>
      <c r="XEJ473" s="671"/>
      <c r="XEK473" s="659"/>
      <c r="XEL473" s="659"/>
      <c r="XEM473" s="660"/>
      <c r="XEN473" s="660"/>
      <c r="XEO473" s="670"/>
      <c r="XEP473" s="490"/>
      <c r="XEQ473" s="653"/>
      <c r="XER473" s="654"/>
      <c r="XES473" s="657"/>
      <c r="XET473" s="654"/>
      <c r="XEU473" s="656"/>
      <c r="XEV473" s="656"/>
      <c r="XEW473" s="657"/>
      <c r="XEX473" s="658"/>
      <c r="XEY473" s="658"/>
      <c r="XEZ473" s="658"/>
      <c r="XFA473" s="671"/>
      <c r="XFB473" s="659"/>
      <c r="XFC473" s="659"/>
      <c r="XFD473" s="660"/>
    </row>
    <row r="474" s="490" customFormat="1" ht="33" customHeight="1" spans="1:75 16318:16384">
      <c r="A474" s="717">
        <v>46169</v>
      </c>
      <c r="B474" s="718" t="s">
        <v>1586</v>
      </c>
      <c r="C474" s="719" t="s">
        <v>92</v>
      </c>
      <c r="D474" s="720">
        <v>4500207784</v>
      </c>
      <c r="E474" s="721">
        <v>1906233</v>
      </c>
      <c r="F474" s="720" t="s">
        <v>2241</v>
      </c>
      <c r="G474" s="722" t="s">
        <v>81</v>
      </c>
      <c r="H474" s="718" t="s">
        <v>82</v>
      </c>
      <c r="I474" s="723">
        <v>444</v>
      </c>
      <c r="J474" s="723">
        <v>0</v>
      </c>
      <c r="K474" s="723">
        <v>6</v>
      </c>
      <c r="L474" s="724">
        <f t="shared" si="284"/>
        <v>74</v>
      </c>
      <c r="M474" s="712">
        <v>46203</v>
      </c>
      <c r="N474" s="712">
        <v>46199</v>
      </c>
      <c r="O474" s="725"/>
      <c r="P474" s="586" t="s">
        <v>83</v>
      </c>
      <c r="Q474" s="726"/>
      <c r="R474" s="725" t="s">
        <v>1461</v>
      </c>
      <c r="S474" s="725"/>
      <c r="T474" s="725"/>
      <c r="U474" s="725" t="s">
        <v>86</v>
      </c>
      <c r="V474" s="725" t="s">
        <v>2242</v>
      </c>
      <c r="W474" s="725"/>
      <c r="X474" s="727" t="s">
        <v>2243</v>
      </c>
      <c r="Y474" s="728" t="s">
        <v>1591</v>
      </c>
      <c r="Z474" s="729">
        <v>3.6457</v>
      </c>
      <c r="AA474" s="730">
        <f t="shared" si="279"/>
        <v>1618.6908</v>
      </c>
      <c r="AB474" s="731"/>
      <c r="AC474" s="582" t="s">
        <v>81</v>
      </c>
      <c r="AD474" s="732" t="s">
        <v>89</v>
      </c>
      <c r="AE474" s="733"/>
      <c r="AF474" s="733"/>
      <c r="AG474" s="733">
        <f t="shared" si="293"/>
        <v>444</v>
      </c>
      <c r="AH474" s="731"/>
      <c r="AI474" s="731"/>
      <c r="AJ474" s="731"/>
      <c r="AK474" s="731"/>
      <c r="AL474" s="731"/>
      <c r="AM474" s="734"/>
      <c r="AN474" s="734">
        <f t="shared" si="291"/>
        <v>444</v>
      </c>
      <c r="AO474" s="731"/>
      <c r="AP474" s="735"/>
      <c r="AQ474" s="731"/>
      <c r="AR474" s="731">
        <f t="shared" si="294"/>
        <v>444</v>
      </c>
      <c r="AS474" s="731"/>
      <c r="AT474" s="731"/>
      <c r="AU474" s="731"/>
      <c r="AV474" s="736"/>
      <c r="AW474" s="731">
        <f t="shared" si="292"/>
        <v>444</v>
      </c>
      <c r="AX474" s="731"/>
      <c r="AY474" s="737"/>
      <c r="AZ474" s="738"/>
      <c r="BA474" s="738"/>
      <c r="BB474" s="738"/>
      <c r="BC474" s="738"/>
      <c r="BD474" s="739"/>
      <c r="BE474" s="740"/>
      <c r="BF474" s="679" t="s">
        <v>90</v>
      </c>
      <c r="BG474" s="680"/>
      <c r="BH474" s="632">
        <f t="shared" si="285"/>
        <v>74</v>
      </c>
      <c r="BI474" s="633">
        <f t="shared" si="286"/>
        <v>74</v>
      </c>
      <c r="BJ474" s="633">
        <f t="shared" si="287"/>
        <v>74</v>
      </c>
      <c r="BK474" s="633">
        <f t="shared" si="288"/>
        <v>74</v>
      </c>
      <c r="BL474" s="633">
        <f t="shared" si="289"/>
        <v>74</v>
      </c>
      <c r="BM474" s="633">
        <f t="shared" si="290"/>
        <v>74</v>
      </c>
      <c r="BN474" s="605"/>
      <c r="BO474" s="605"/>
      <c r="BP474" s="605"/>
      <c r="BQ474" s="605"/>
      <c r="BR474" s="605"/>
      <c r="BS474" s="605"/>
      <c r="BT474" s="607">
        <f t="shared" si="282"/>
        <v>444</v>
      </c>
      <c r="BU474" s="608">
        <f t="shared" si="283"/>
        <v>0</v>
      </c>
      <c r="BV474" s="491"/>
      <c r="BW474" s="491"/>
    </row>
    <row r="475" s="490" customFormat="1" ht="33" customHeight="1" spans="1:75 16318:16384">
      <c r="A475" s="717">
        <v>46169</v>
      </c>
      <c r="B475" s="718" t="s">
        <v>1586</v>
      </c>
      <c r="C475" s="719" t="s">
        <v>92</v>
      </c>
      <c r="D475" s="720">
        <v>4500207784</v>
      </c>
      <c r="E475" s="741"/>
      <c r="F475" s="720" t="s">
        <v>2244</v>
      </c>
      <c r="G475" s="722" t="s">
        <v>81</v>
      </c>
      <c r="H475" s="718" t="s">
        <v>82</v>
      </c>
      <c r="I475" s="723">
        <v>96</v>
      </c>
      <c r="J475" s="723">
        <v>0</v>
      </c>
      <c r="K475" s="723">
        <v>6</v>
      </c>
      <c r="L475" s="724">
        <f t="shared" si="284"/>
        <v>16</v>
      </c>
      <c r="M475" s="712">
        <v>46203</v>
      </c>
      <c r="N475" s="712">
        <v>46199</v>
      </c>
      <c r="O475" s="725"/>
      <c r="P475" s="586" t="s">
        <v>83</v>
      </c>
      <c r="Q475" s="726"/>
      <c r="R475" s="725" t="s">
        <v>1461</v>
      </c>
      <c r="S475" s="725"/>
      <c r="T475" s="725"/>
      <c r="U475" s="725" t="s">
        <v>86</v>
      </c>
      <c r="V475" s="725" t="s">
        <v>2242</v>
      </c>
      <c r="W475" s="725"/>
      <c r="X475" s="727" t="s">
        <v>2243</v>
      </c>
      <c r="Y475" s="728" t="s">
        <v>1591</v>
      </c>
      <c r="Z475" s="729">
        <v>3.6457</v>
      </c>
      <c r="AA475" s="730">
        <f t="shared" si="279"/>
        <v>349.9872</v>
      </c>
      <c r="AB475" s="731"/>
      <c r="AC475" s="582" t="s">
        <v>81</v>
      </c>
      <c r="AD475" s="732" t="s">
        <v>89</v>
      </c>
      <c r="AE475" s="733"/>
      <c r="AF475" s="733"/>
      <c r="AG475" s="733">
        <f t="shared" si="293"/>
        <v>96</v>
      </c>
      <c r="AH475" s="731"/>
      <c r="AI475" s="731"/>
      <c r="AJ475" s="731"/>
      <c r="AK475" s="731"/>
      <c r="AL475" s="731"/>
      <c r="AM475" s="734"/>
      <c r="AN475" s="734">
        <f t="shared" si="291"/>
        <v>96</v>
      </c>
      <c r="AO475" s="731"/>
      <c r="AP475" s="735"/>
      <c r="AQ475" s="731"/>
      <c r="AR475" s="731">
        <f t="shared" si="294"/>
        <v>96</v>
      </c>
      <c r="AS475" s="731"/>
      <c r="AT475" s="731"/>
      <c r="AU475" s="731"/>
      <c r="AV475" s="736"/>
      <c r="AW475" s="731">
        <f t="shared" si="292"/>
        <v>96</v>
      </c>
      <c r="AX475" s="731"/>
      <c r="AY475" s="737"/>
      <c r="AZ475" s="738"/>
      <c r="BA475" s="738"/>
      <c r="BB475" s="738"/>
      <c r="BC475" s="738"/>
      <c r="BD475" s="739"/>
      <c r="BE475" s="740"/>
      <c r="BF475" s="679" t="s">
        <v>90</v>
      </c>
      <c r="BG475" s="680"/>
      <c r="BH475" s="632">
        <f t="shared" si="285"/>
        <v>16</v>
      </c>
      <c r="BI475" s="633">
        <f t="shared" si="286"/>
        <v>16</v>
      </c>
      <c r="BJ475" s="633">
        <f t="shared" si="287"/>
        <v>16</v>
      </c>
      <c r="BK475" s="633">
        <f t="shared" si="288"/>
        <v>16</v>
      </c>
      <c r="BL475" s="633">
        <f t="shared" si="289"/>
        <v>16</v>
      </c>
      <c r="BM475" s="633">
        <f t="shared" si="290"/>
        <v>16</v>
      </c>
      <c r="BN475" s="605"/>
      <c r="BO475" s="605"/>
      <c r="BP475" s="605"/>
      <c r="BQ475" s="605"/>
      <c r="BR475" s="605"/>
      <c r="BS475" s="605"/>
      <c r="BT475" s="607">
        <f t="shared" si="282"/>
        <v>96</v>
      </c>
      <c r="BU475" s="608">
        <f t="shared" si="283"/>
        <v>0</v>
      </c>
      <c r="BV475" s="491"/>
      <c r="BW475" s="491"/>
    </row>
    <row r="476" s="490" customFormat="1" ht="33" customHeight="1" spans="1:75 16318:16384">
      <c r="A476" s="717">
        <v>46169</v>
      </c>
      <c r="B476" s="718" t="s">
        <v>1586</v>
      </c>
      <c r="C476" s="719" t="s">
        <v>92</v>
      </c>
      <c r="D476" s="720">
        <v>4500207784</v>
      </c>
      <c r="E476" s="721">
        <v>1906224</v>
      </c>
      <c r="F476" s="720" t="s">
        <v>2245</v>
      </c>
      <c r="G476" s="722" t="s">
        <v>81</v>
      </c>
      <c r="H476" s="718" t="s">
        <v>82</v>
      </c>
      <c r="I476" s="723">
        <v>960</v>
      </c>
      <c r="J476" s="723">
        <v>0</v>
      </c>
      <c r="K476" s="723">
        <v>6</v>
      </c>
      <c r="L476" s="724">
        <f t="shared" si="284"/>
        <v>160</v>
      </c>
      <c r="M476" s="712">
        <v>46203</v>
      </c>
      <c r="N476" s="712">
        <v>46199</v>
      </c>
      <c r="O476" s="725"/>
      <c r="P476" s="586" t="s">
        <v>83</v>
      </c>
      <c r="Q476" s="726"/>
      <c r="R476" s="725" t="s">
        <v>1461</v>
      </c>
      <c r="S476" s="725"/>
      <c r="T476" s="725"/>
      <c r="U476" s="725" t="s">
        <v>86</v>
      </c>
      <c r="V476" s="725" t="s">
        <v>2242</v>
      </c>
      <c r="W476" s="725"/>
      <c r="X476" s="727" t="s">
        <v>2243</v>
      </c>
      <c r="Y476" s="728" t="s">
        <v>1591</v>
      </c>
      <c r="Z476" s="729">
        <v>3.6457</v>
      </c>
      <c r="AA476" s="730">
        <f t="shared" si="279"/>
        <v>3499.872</v>
      </c>
      <c r="AB476" s="731"/>
      <c r="AC476" s="582" t="s">
        <v>81</v>
      </c>
      <c r="AD476" s="732" t="s">
        <v>89</v>
      </c>
      <c r="AE476" s="733"/>
      <c r="AF476" s="733"/>
      <c r="AG476" s="733">
        <f t="shared" si="293"/>
        <v>960</v>
      </c>
      <c r="AH476" s="731"/>
      <c r="AI476" s="731"/>
      <c r="AJ476" s="731"/>
      <c r="AK476" s="731"/>
      <c r="AL476" s="731"/>
      <c r="AM476" s="734"/>
      <c r="AN476" s="734">
        <f t="shared" si="291"/>
        <v>960</v>
      </c>
      <c r="AO476" s="731"/>
      <c r="AP476" s="735"/>
      <c r="AQ476" s="731"/>
      <c r="AR476" s="731">
        <f t="shared" si="294"/>
        <v>960</v>
      </c>
      <c r="AS476" s="731"/>
      <c r="AT476" s="731"/>
      <c r="AU476" s="731"/>
      <c r="AV476" s="736"/>
      <c r="AW476" s="731">
        <f t="shared" si="292"/>
        <v>960</v>
      </c>
      <c r="AX476" s="731"/>
      <c r="AY476" s="737"/>
      <c r="AZ476" s="738"/>
      <c r="BA476" s="738"/>
      <c r="BB476" s="738"/>
      <c r="BC476" s="738"/>
      <c r="BD476" s="739"/>
      <c r="BE476" s="740"/>
      <c r="BF476" s="679" t="s">
        <v>90</v>
      </c>
      <c r="BG476" s="680"/>
      <c r="BH476" s="632">
        <f t="shared" si="285"/>
        <v>160</v>
      </c>
      <c r="BI476" s="633">
        <f t="shared" si="286"/>
        <v>160</v>
      </c>
      <c r="BJ476" s="633">
        <f t="shared" si="287"/>
        <v>160</v>
      </c>
      <c r="BK476" s="633">
        <f t="shared" si="288"/>
        <v>160</v>
      </c>
      <c r="BL476" s="633">
        <f t="shared" si="289"/>
        <v>160</v>
      </c>
      <c r="BM476" s="633">
        <f t="shared" si="290"/>
        <v>160</v>
      </c>
      <c r="BN476" s="605"/>
      <c r="BO476" s="605"/>
      <c r="BP476" s="605"/>
      <c r="BQ476" s="605"/>
      <c r="BR476" s="605"/>
      <c r="BS476" s="605"/>
      <c r="BT476" s="607">
        <f t="shared" si="282"/>
        <v>960</v>
      </c>
      <c r="BU476" s="608">
        <f t="shared" si="283"/>
        <v>0</v>
      </c>
      <c r="BV476" s="491"/>
      <c r="BW476" s="491"/>
    </row>
    <row r="477" s="490" customFormat="1" ht="33" customHeight="1" spans="1:75 16318:16384">
      <c r="A477" s="577">
        <v>46157</v>
      </c>
      <c r="B477" s="581" t="s">
        <v>2246</v>
      </c>
      <c r="C477" s="579" t="s">
        <v>725</v>
      </c>
      <c r="D477" s="580">
        <v>4500206895</v>
      </c>
      <c r="E477" s="588" t="s">
        <v>2096</v>
      </c>
      <c r="F477" s="580" t="s">
        <v>2247</v>
      </c>
      <c r="G477" s="582" t="s">
        <v>616</v>
      </c>
      <c r="H477" s="578" t="s">
        <v>617</v>
      </c>
      <c r="I477" s="583">
        <v>120</v>
      </c>
      <c r="J477" s="583">
        <v>0</v>
      </c>
      <c r="K477" s="583">
        <v>4</v>
      </c>
      <c r="L477" s="584">
        <f t="shared" ref="L477:L488" si="295">I477/K477</f>
        <v>30</v>
      </c>
      <c r="M477" s="585">
        <v>46195</v>
      </c>
      <c r="N477" s="585">
        <v>46204</v>
      </c>
      <c r="O477" s="586"/>
      <c r="P477" s="586" t="s">
        <v>83</v>
      </c>
      <c r="Q477" s="636"/>
      <c r="R477" s="586" t="s">
        <v>2248</v>
      </c>
      <c r="S477" s="586"/>
      <c r="T477" s="586"/>
      <c r="U477" s="586" t="s">
        <v>2249</v>
      </c>
      <c r="V477" s="586"/>
      <c r="W477" s="586"/>
      <c r="X477" s="588" t="s">
        <v>2250</v>
      </c>
      <c r="Y477" s="618" t="s">
        <v>2251</v>
      </c>
      <c r="Z477" s="590">
        <v>5.9551</v>
      </c>
      <c r="AA477" s="591">
        <f t="shared" si="279"/>
        <v>714.612</v>
      </c>
      <c r="AB477" s="619"/>
      <c r="AC477" s="582" t="s">
        <v>2252</v>
      </c>
      <c r="AD477" s="592" t="s">
        <v>89</v>
      </c>
      <c r="AE477" s="595"/>
      <c r="AF477" s="595"/>
      <c r="AG477" s="621">
        <f t="shared" si="293"/>
        <v>120</v>
      </c>
      <c r="AH477" s="598"/>
      <c r="AI477" s="621"/>
      <c r="AJ477" s="621"/>
      <c r="AK477" s="621"/>
      <c r="AL477" s="621"/>
      <c r="AM477" s="592"/>
      <c r="AN477" s="621">
        <f t="shared" si="291"/>
        <v>120</v>
      </c>
      <c r="AO477" s="621"/>
      <c r="AP477" s="621"/>
      <c r="AQ477" s="621"/>
      <c r="AR477" s="621">
        <f t="shared" si="294"/>
        <v>120</v>
      </c>
      <c r="AS477" s="621"/>
      <c r="AT477" s="621"/>
      <c r="AU477" s="621"/>
      <c r="AV477" s="618"/>
      <c r="AW477" s="678">
        <f t="shared" si="292"/>
        <v>120</v>
      </c>
      <c r="AX477" s="618"/>
      <c r="AY477" s="637"/>
      <c r="AZ477" s="618"/>
      <c r="BA477" s="618"/>
      <c r="BB477" s="618"/>
      <c r="BC477" s="618"/>
      <c r="BD477" s="682"/>
      <c r="BE477" s="668"/>
      <c r="BF477" s="679" t="s">
        <v>90</v>
      </c>
      <c r="BG477" s="680"/>
      <c r="BH477" s="708">
        <f>I477</f>
        <v>120</v>
      </c>
      <c r="BI477" s="644"/>
      <c r="BJ477" s="644"/>
      <c r="BK477" s="644"/>
      <c r="BL477" s="644"/>
      <c r="BM477" s="644"/>
      <c r="BN477" s="680"/>
      <c r="BO477" s="680"/>
      <c r="BP477" s="680"/>
      <c r="BQ477" s="680"/>
      <c r="BR477" s="680"/>
      <c r="BS477" s="680"/>
      <c r="BT477" s="607">
        <f t="shared" si="282"/>
        <v>120</v>
      </c>
      <c r="BU477" s="608">
        <f t="shared" si="283"/>
        <v>0</v>
      </c>
      <c r="BV477" s="491"/>
      <c r="BW477" s="491"/>
      <c r="XEO477" s="670"/>
      <c r="XEP477" s="652"/>
      <c r="XEQ477" s="653"/>
      <c r="XER477" s="654"/>
      <c r="XES477" s="683"/>
      <c r="XET477" s="654"/>
      <c r="XEU477" s="656"/>
      <c r="XEV477" s="657"/>
      <c r="XEW477" s="658"/>
      <c r="XEX477" s="658"/>
      <c r="XEY477" s="658"/>
      <c r="XEZ477" s="671"/>
      <c r="XFA477" s="659"/>
      <c r="XFB477" s="659"/>
      <c r="XFC477" s="660"/>
      <c r="XFD477" s="660"/>
    </row>
    <row r="478" s="490" customFormat="1" ht="33" customHeight="1" spans="1:75 16318:16384">
      <c r="A478" s="577">
        <v>46157</v>
      </c>
      <c r="B478" s="581" t="s">
        <v>2246</v>
      </c>
      <c r="C478" s="579" t="s">
        <v>725</v>
      </c>
      <c r="D478" s="580">
        <v>4500206895</v>
      </c>
      <c r="E478" s="588" t="s">
        <v>2096</v>
      </c>
      <c r="F478" s="580" t="s">
        <v>2253</v>
      </c>
      <c r="G478" s="582" t="s">
        <v>122</v>
      </c>
      <c r="H478" s="578" t="s">
        <v>123</v>
      </c>
      <c r="I478" s="583">
        <v>120</v>
      </c>
      <c r="J478" s="583">
        <v>0</v>
      </c>
      <c r="K478" s="583">
        <v>4</v>
      </c>
      <c r="L478" s="584">
        <f t="shared" si="295"/>
        <v>30</v>
      </c>
      <c r="M478" s="585">
        <v>46195</v>
      </c>
      <c r="N478" s="585">
        <v>46204</v>
      </c>
      <c r="O478" s="586"/>
      <c r="P478" s="586" t="s">
        <v>83</v>
      </c>
      <c r="Q478" s="636"/>
      <c r="R478" s="586" t="s">
        <v>2248</v>
      </c>
      <c r="S478" s="586"/>
      <c r="T478" s="586"/>
      <c r="U478" s="586" t="s">
        <v>2249</v>
      </c>
      <c r="V478" s="586"/>
      <c r="W478" s="586"/>
      <c r="X478" s="588" t="s">
        <v>2250</v>
      </c>
      <c r="Y478" s="618" t="s">
        <v>2251</v>
      </c>
      <c r="Z478" s="590">
        <v>5.9551</v>
      </c>
      <c r="AA478" s="591">
        <f t="shared" si="279"/>
        <v>714.612</v>
      </c>
      <c r="AB478" s="619"/>
      <c r="AC478" s="582" t="s">
        <v>2254</v>
      </c>
      <c r="AD478" s="592" t="s">
        <v>89</v>
      </c>
      <c r="AE478" s="595"/>
      <c r="AF478" s="595"/>
      <c r="AG478" s="621">
        <f t="shared" ref="AG478:AG485" si="296">I478</f>
        <v>120</v>
      </c>
      <c r="AH478" s="598"/>
      <c r="AI478" s="621"/>
      <c r="AJ478" s="621"/>
      <c r="AK478" s="621"/>
      <c r="AL478" s="621"/>
      <c r="AM478" s="592"/>
      <c r="AN478" s="621">
        <f t="shared" si="291"/>
        <v>120</v>
      </c>
      <c r="AO478" s="621"/>
      <c r="AP478" s="621"/>
      <c r="AQ478" s="621"/>
      <c r="AR478" s="621">
        <f t="shared" ref="AR478:AR485" si="297">I478</f>
        <v>120</v>
      </c>
      <c r="AS478" s="621"/>
      <c r="AT478" s="621"/>
      <c r="AU478" s="621"/>
      <c r="AV478" s="618"/>
      <c r="AW478" s="678">
        <f t="shared" si="292"/>
        <v>120</v>
      </c>
      <c r="AX478" s="618"/>
      <c r="AY478" s="637"/>
      <c r="AZ478" s="618"/>
      <c r="BA478" s="618"/>
      <c r="BB478" s="618"/>
      <c r="BC478" s="618"/>
      <c r="BD478" s="682"/>
      <c r="BE478" s="668"/>
      <c r="BF478" s="679" t="s">
        <v>90</v>
      </c>
      <c r="BG478" s="680"/>
      <c r="BH478" s="708"/>
      <c r="BI478" s="644">
        <f>I478</f>
        <v>120</v>
      </c>
      <c r="BJ478" s="644"/>
      <c r="BK478" s="644"/>
      <c r="BL478" s="644"/>
      <c r="BM478" s="644"/>
      <c r="BN478" s="680"/>
      <c r="BO478" s="680"/>
      <c r="BP478" s="680"/>
      <c r="BQ478" s="680"/>
      <c r="BR478" s="680"/>
      <c r="BS478" s="680"/>
      <c r="BT478" s="607">
        <f t="shared" si="282"/>
        <v>120</v>
      </c>
      <c r="BU478" s="608">
        <f t="shared" si="283"/>
        <v>0</v>
      </c>
      <c r="BV478" s="491"/>
      <c r="BW478" s="491"/>
      <c r="XEO478" s="670"/>
      <c r="XEP478" s="652"/>
      <c r="XEQ478" s="653"/>
      <c r="XER478" s="654"/>
      <c r="XES478" s="683"/>
      <c r="XET478" s="654"/>
      <c r="XEU478" s="656"/>
      <c r="XEV478" s="657"/>
      <c r="XEW478" s="658"/>
      <c r="XEX478" s="658"/>
      <c r="XEY478" s="658"/>
      <c r="XEZ478" s="671"/>
      <c r="XFA478" s="659"/>
      <c r="XFB478" s="659"/>
      <c r="XFC478" s="660"/>
      <c r="XFD478" s="660"/>
    </row>
    <row r="479" s="490" customFormat="1" ht="33" customHeight="1" spans="1:75 16318:16384">
      <c r="A479" s="577">
        <v>46157</v>
      </c>
      <c r="B479" s="581" t="s">
        <v>2246</v>
      </c>
      <c r="C479" s="579" t="s">
        <v>725</v>
      </c>
      <c r="D479" s="580">
        <v>4500206895</v>
      </c>
      <c r="E479" s="616" t="s">
        <v>2096</v>
      </c>
      <c r="F479" s="580" t="s">
        <v>2255</v>
      </c>
      <c r="G479" s="582" t="s">
        <v>624</v>
      </c>
      <c r="H479" s="578" t="s">
        <v>625</v>
      </c>
      <c r="I479" s="583">
        <v>120</v>
      </c>
      <c r="J479" s="583">
        <v>0</v>
      </c>
      <c r="K479" s="583">
        <v>4</v>
      </c>
      <c r="L479" s="584">
        <f t="shared" si="295"/>
        <v>30</v>
      </c>
      <c r="M479" s="585">
        <v>46195</v>
      </c>
      <c r="N479" s="585">
        <v>46204</v>
      </c>
      <c r="O479" s="586"/>
      <c r="P479" s="586" t="s">
        <v>83</v>
      </c>
      <c r="Q479" s="587"/>
      <c r="R479" s="586" t="s">
        <v>2248</v>
      </c>
      <c r="S479" s="586"/>
      <c r="T479" s="586"/>
      <c r="U479" s="586" t="s">
        <v>2249</v>
      </c>
      <c r="V479" s="586"/>
      <c r="W479" s="586"/>
      <c r="X479" s="588" t="s">
        <v>2250</v>
      </c>
      <c r="Y479" s="618" t="s">
        <v>2251</v>
      </c>
      <c r="Z479" s="590">
        <v>6.1868</v>
      </c>
      <c r="AA479" s="591">
        <f t="shared" si="279"/>
        <v>742.416</v>
      </c>
      <c r="AB479" s="619"/>
      <c r="AC479" s="582" t="s">
        <v>2256</v>
      </c>
      <c r="AD479" s="593" t="s">
        <v>89</v>
      </c>
      <c r="AE479" s="595"/>
      <c r="AF479" s="595"/>
      <c r="AG479" s="621">
        <f t="shared" si="296"/>
        <v>120</v>
      </c>
      <c r="AH479" s="598"/>
      <c r="AI479" s="621"/>
      <c r="AJ479" s="621"/>
      <c r="AK479" s="621"/>
      <c r="AL479" s="621"/>
      <c r="AM479" s="592"/>
      <c r="AN479" s="621">
        <f t="shared" si="291"/>
        <v>120</v>
      </c>
      <c r="AO479" s="621"/>
      <c r="AP479" s="621"/>
      <c r="AQ479" s="621"/>
      <c r="AR479" s="621">
        <f t="shared" si="297"/>
        <v>120</v>
      </c>
      <c r="AS479" s="621"/>
      <c r="AT479" s="621"/>
      <c r="AU479" s="621"/>
      <c r="AV479" s="618"/>
      <c r="AW479" s="678">
        <f t="shared" si="292"/>
        <v>120</v>
      </c>
      <c r="AX479" s="618"/>
      <c r="AY479" s="637"/>
      <c r="AZ479" s="618"/>
      <c r="BA479" s="618"/>
      <c r="BB479" s="618"/>
      <c r="BC479" s="618"/>
      <c r="BD479" s="682"/>
      <c r="BE479" s="668"/>
      <c r="BF479" s="679" t="s">
        <v>90</v>
      </c>
      <c r="BG479" s="680"/>
      <c r="BH479" s="708"/>
      <c r="BI479" s="644"/>
      <c r="BJ479" s="644">
        <f>I479</f>
        <v>120</v>
      </c>
      <c r="BK479" s="644"/>
      <c r="BL479" s="644"/>
      <c r="BM479" s="644"/>
      <c r="BN479" s="680"/>
      <c r="BO479" s="680"/>
      <c r="BP479" s="680"/>
      <c r="BQ479" s="680"/>
      <c r="BR479" s="680"/>
      <c r="BS479" s="680"/>
      <c r="BT479" s="607">
        <f t="shared" si="282"/>
        <v>120</v>
      </c>
      <c r="BU479" s="608">
        <f t="shared" si="283"/>
        <v>0</v>
      </c>
      <c r="BV479" s="491"/>
      <c r="BW479" s="491"/>
      <c r="XEO479" s="670"/>
      <c r="XEP479" s="652"/>
      <c r="XEQ479" s="653"/>
      <c r="XER479" s="654"/>
      <c r="XES479" s="655"/>
      <c r="XET479" s="654"/>
      <c r="XEU479" s="656"/>
      <c r="XEV479" s="657"/>
      <c r="XEW479" s="658"/>
      <c r="XEX479" s="658"/>
      <c r="XEY479" s="658"/>
      <c r="XEZ479" s="671"/>
      <c r="XFA479" s="659"/>
      <c r="XFB479" s="659"/>
      <c r="XFC479" s="660"/>
      <c r="XFD479" s="660"/>
    </row>
    <row r="480" s="490" customFormat="1" ht="33" customHeight="1" spans="1:75 16318:16384">
      <c r="A480" s="577">
        <v>46157</v>
      </c>
      <c r="B480" s="649" t="s">
        <v>2246</v>
      </c>
      <c r="C480" s="579" t="s">
        <v>725</v>
      </c>
      <c r="D480" s="580">
        <v>4500206895</v>
      </c>
      <c r="E480" s="578" t="s">
        <v>2096</v>
      </c>
      <c r="F480" s="580" t="s">
        <v>2257</v>
      </c>
      <c r="G480" s="582" t="s">
        <v>2001</v>
      </c>
      <c r="H480" s="578" t="s">
        <v>2002</v>
      </c>
      <c r="I480" s="681">
        <v>120</v>
      </c>
      <c r="J480" s="583">
        <v>0</v>
      </c>
      <c r="K480" s="583">
        <v>6</v>
      </c>
      <c r="L480" s="584">
        <f t="shared" si="295"/>
        <v>20</v>
      </c>
      <c r="M480" s="585">
        <v>46195</v>
      </c>
      <c r="N480" s="585">
        <v>46204</v>
      </c>
      <c r="O480" s="586"/>
      <c r="P480" s="586" t="s">
        <v>83</v>
      </c>
      <c r="Q480" s="587"/>
      <c r="R480" s="586" t="s">
        <v>2248</v>
      </c>
      <c r="S480" s="586"/>
      <c r="T480" s="586"/>
      <c r="U480" s="586" t="s">
        <v>2249</v>
      </c>
      <c r="V480" s="641"/>
      <c r="W480" s="641"/>
      <c r="X480" s="588" t="s">
        <v>2250</v>
      </c>
      <c r="Y480" s="586" t="s">
        <v>2251</v>
      </c>
      <c r="Z480" s="590">
        <v>5.8295</v>
      </c>
      <c r="AA480" s="591">
        <f t="shared" si="279"/>
        <v>699.54</v>
      </c>
      <c r="AB480" s="619"/>
      <c r="AC480" s="582" t="s">
        <v>2258</v>
      </c>
      <c r="AD480" s="593" t="s">
        <v>89</v>
      </c>
      <c r="AE480" s="621"/>
      <c r="AF480" s="666"/>
      <c r="AG480" s="621">
        <f t="shared" si="296"/>
        <v>120</v>
      </c>
      <c r="AH480" s="598"/>
      <c r="AI480" s="666"/>
      <c r="AJ480" s="621"/>
      <c r="AK480" s="621"/>
      <c r="AL480" s="648"/>
      <c r="AM480" s="678"/>
      <c r="AN480" s="621">
        <f t="shared" si="291"/>
        <v>120</v>
      </c>
      <c r="AO480" s="621"/>
      <c r="AP480" s="666"/>
      <c r="AQ480" s="666"/>
      <c r="AR480" s="621">
        <f t="shared" si="297"/>
        <v>120</v>
      </c>
      <c r="AS480" s="666"/>
      <c r="AT480" s="667"/>
      <c r="AU480" s="621"/>
      <c r="AV480" s="618"/>
      <c r="AW480" s="678">
        <f t="shared" si="292"/>
        <v>120</v>
      </c>
      <c r="AX480" s="618"/>
      <c r="AY480" s="637"/>
      <c r="AZ480" s="618"/>
      <c r="BA480" s="618"/>
      <c r="BB480" s="618"/>
      <c r="BC480" s="618"/>
      <c r="BD480" s="682"/>
      <c r="BE480" s="668"/>
      <c r="BF480" s="679" t="s">
        <v>90</v>
      </c>
      <c r="BG480" s="680"/>
      <c r="BH480" s="708"/>
      <c r="BI480" s="644"/>
      <c r="BJ480" s="644"/>
      <c r="BK480" s="644"/>
      <c r="BL480" s="644"/>
      <c r="BM480" s="644">
        <f>I480</f>
        <v>120</v>
      </c>
      <c r="BN480" s="680"/>
      <c r="BO480" s="680"/>
      <c r="BP480" s="680"/>
      <c r="BQ480" s="680"/>
      <c r="BR480" s="680"/>
      <c r="BS480" s="680"/>
      <c r="BT480" s="607">
        <f t="shared" si="282"/>
        <v>120</v>
      </c>
      <c r="BU480" s="608">
        <f t="shared" si="283"/>
        <v>0</v>
      </c>
      <c r="BV480" s="491"/>
      <c r="BW480" s="491"/>
      <c r="XDX480" s="670"/>
      <c r="XDY480" s="490"/>
      <c r="XDZ480" s="653"/>
      <c r="XEA480" s="654"/>
      <c r="XEB480" s="657"/>
      <c r="XEC480" s="654"/>
      <c r="XED480" s="656"/>
      <c r="XEE480" s="656"/>
      <c r="XEF480" s="657"/>
      <c r="XEG480" s="658"/>
      <c r="XEH480" s="658"/>
      <c r="XEI480" s="658"/>
      <c r="XEJ480" s="671"/>
      <c r="XEK480" s="659"/>
      <c r="XEL480" s="659"/>
      <c r="XEM480" s="660"/>
      <c r="XEN480" s="660"/>
      <c r="XEO480" s="670"/>
      <c r="XEP480" s="490"/>
      <c r="XEQ480" s="653"/>
      <c r="XER480" s="654"/>
      <c r="XES480" s="657"/>
      <c r="XET480" s="654"/>
      <c r="XEU480" s="656"/>
      <c r="XEV480" s="657"/>
      <c r="XEW480" s="742"/>
      <c r="XEX480" s="658"/>
      <c r="XEY480" s="658"/>
      <c r="XEZ480" s="671"/>
      <c r="XFA480" s="659"/>
      <c r="XFB480" s="659"/>
      <c r="XFC480" s="660"/>
      <c r="XFD480" s="660"/>
    </row>
    <row r="481" s="490" customFormat="1" ht="33" customHeight="1" spans="1:75 16301:16384">
      <c r="A481" s="577">
        <v>46157</v>
      </c>
      <c r="B481" s="581" t="s">
        <v>2246</v>
      </c>
      <c r="C481" s="579" t="s">
        <v>725</v>
      </c>
      <c r="D481" s="580">
        <v>4500206895</v>
      </c>
      <c r="E481" s="588" t="s">
        <v>2096</v>
      </c>
      <c r="F481" s="580" t="s">
        <v>2259</v>
      </c>
      <c r="G481" s="582" t="s">
        <v>616</v>
      </c>
      <c r="H481" s="578" t="s">
        <v>617</v>
      </c>
      <c r="I481" s="583">
        <v>132</v>
      </c>
      <c r="J481" s="583">
        <v>0</v>
      </c>
      <c r="K481" s="583">
        <v>4</v>
      </c>
      <c r="L481" s="584">
        <f t="shared" si="295"/>
        <v>33</v>
      </c>
      <c r="M481" s="585">
        <v>46195</v>
      </c>
      <c r="N481" s="585">
        <v>46204</v>
      </c>
      <c r="O481" s="586"/>
      <c r="P481" s="586" t="s">
        <v>83</v>
      </c>
      <c r="Q481" s="636"/>
      <c r="R481" s="586" t="s">
        <v>2248</v>
      </c>
      <c r="S481" s="586"/>
      <c r="T481" s="586"/>
      <c r="U481" s="586" t="s">
        <v>2249</v>
      </c>
      <c r="V481" s="586"/>
      <c r="W481" s="586"/>
      <c r="X481" s="588" t="s">
        <v>2250</v>
      </c>
      <c r="Y481" s="618" t="s">
        <v>2251</v>
      </c>
      <c r="Z481" s="590">
        <v>6.1868</v>
      </c>
      <c r="AA481" s="591">
        <f t="shared" si="279"/>
        <v>816.6576</v>
      </c>
      <c r="AB481" s="619"/>
      <c r="AC481" s="582" t="s">
        <v>2252</v>
      </c>
      <c r="AD481" s="592" t="s">
        <v>89</v>
      </c>
      <c r="AE481" s="629"/>
      <c r="AF481" s="621"/>
      <c r="AG481" s="621">
        <f t="shared" si="296"/>
        <v>132</v>
      </c>
      <c r="AH481" s="621"/>
      <c r="AI481" s="621"/>
      <c r="AJ481" s="621"/>
      <c r="AK481" s="621"/>
      <c r="AL481" s="618"/>
      <c r="AM481" s="678"/>
      <c r="AN481" s="621">
        <f t="shared" si="291"/>
        <v>132</v>
      </c>
      <c r="AO481" s="621"/>
      <c r="AP481" s="618"/>
      <c r="AQ481" s="618"/>
      <c r="AR481" s="621">
        <f t="shared" si="297"/>
        <v>132</v>
      </c>
      <c r="AS481" s="618"/>
      <c r="AT481" s="682"/>
      <c r="AU481" s="621"/>
      <c r="AV481" s="618"/>
      <c r="AW481" s="678">
        <f t="shared" si="292"/>
        <v>132</v>
      </c>
      <c r="AX481" s="618"/>
      <c r="AY481" s="637"/>
      <c r="AZ481" s="618"/>
      <c r="BA481" s="618"/>
      <c r="BB481" s="618"/>
      <c r="BC481" s="618"/>
      <c r="BD481" s="649"/>
      <c r="BE481" s="685"/>
      <c r="BF481" s="679" t="s">
        <v>90</v>
      </c>
      <c r="BG481" s="680"/>
      <c r="BH481" s="708">
        <f>I481</f>
        <v>132</v>
      </c>
      <c r="BI481" s="644"/>
      <c r="BJ481" s="644"/>
      <c r="BK481" s="644"/>
      <c r="BL481" s="644"/>
      <c r="BM481" s="644"/>
      <c r="BN481" s="680"/>
      <c r="BO481" s="680"/>
      <c r="BP481" s="680"/>
      <c r="BQ481" s="680"/>
      <c r="BR481" s="680"/>
      <c r="BS481" s="680"/>
      <c r="BT481" s="607">
        <f t="shared" si="282"/>
        <v>132</v>
      </c>
      <c r="BU481" s="608">
        <f t="shared" si="283"/>
        <v>0</v>
      </c>
      <c r="BV481" s="491"/>
      <c r="BW481" s="491"/>
      <c r="XDX481" s="670"/>
      <c r="XDY481" s="652"/>
      <c r="XDZ481" s="653"/>
      <c r="XEA481" s="654"/>
      <c r="XEB481" s="683"/>
      <c r="XEC481" s="654"/>
      <c r="XED481" s="656"/>
      <c r="XEE481" s="657"/>
      <c r="XEF481" s="658"/>
      <c r="XEG481" s="658"/>
      <c r="XEH481" s="658"/>
      <c r="XEI481" s="671"/>
      <c r="XEJ481" s="659"/>
      <c r="XEK481" s="659"/>
      <c r="XEL481" s="660"/>
      <c r="XEM481" s="660"/>
      <c r="XEN481" s="743"/>
      <c r="XEO481" s="670"/>
      <c r="XEP481" s="652"/>
      <c r="XEQ481" s="653"/>
      <c r="XER481" s="654"/>
      <c r="XES481" s="683"/>
      <c r="XET481" s="654"/>
      <c r="XEU481" s="656"/>
      <c r="XEV481" s="657"/>
      <c r="XEW481" s="658"/>
      <c r="XEX481" s="658"/>
      <c r="XEY481" s="658"/>
      <c r="XEZ481" s="671"/>
      <c r="XFA481" s="659"/>
      <c r="XFB481" s="659"/>
      <c r="XFC481" s="660"/>
      <c r="XFD481" s="660"/>
    </row>
    <row r="482" s="490" customFormat="1" ht="33" customHeight="1" spans="1:75 16301:16384">
      <c r="A482" s="577">
        <v>46157</v>
      </c>
      <c r="B482" s="581" t="s">
        <v>2246</v>
      </c>
      <c r="C482" s="579" t="s">
        <v>725</v>
      </c>
      <c r="D482" s="580">
        <v>4500206895</v>
      </c>
      <c r="E482" s="588" t="s">
        <v>2096</v>
      </c>
      <c r="F482" s="580" t="s">
        <v>2260</v>
      </c>
      <c r="G482" s="582" t="s">
        <v>122</v>
      </c>
      <c r="H482" s="578" t="s">
        <v>123</v>
      </c>
      <c r="I482" s="583">
        <v>132</v>
      </c>
      <c r="J482" s="583">
        <v>0</v>
      </c>
      <c r="K482" s="583">
        <v>4</v>
      </c>
      <c r="L482" s="584">
        <f t="shared" si="295"/>
        <v>33</v>
      </c>
      <c r="M482" s="585">
        <v>46195</v>
      </c>
      <c r="N482" s="585">
        <v>46204</v>
      </c>
      <c r="O482" s="586"/>
      <c r="P482" s="586" t="s">
        <v>83</v>
      </c>
      <c r="Q482" s="636"/>
      <c r="R482" s="586" t="s">
        <v>2248</v>
      </c>
      <c r="S482" s="586"/>
      <c r="T482" s="586"/>
      <c r="U482" s="586" t="s">
        <v>2249</v>
      </c>
      <c r="V482" s="586"/>
      <c r="W482" s="586"/>
      <c r="X482" s="588" t="s">
        <v>2250</v>
      </c>
      <c r="Y482" s="618" t="s">
        <v>2251</v>
      </c>
      <c r="Z482" s="590">
        <v>6.1868</v>
      </c>
      <c r="AA482" s="591">
        <f t="shared" si="279"/>
        <v>816.6576</v>
      </c>
      <c r="AB482" s="619"/>
      <c r="AC482" s="582" t="s">
        <v>2254</v>
      </c>
      <c r="AD482" s="592" t="s">
        <v>89</v>
      </c>
      <c r="AE482" s="629"/>
      <c r="AF482" s="621"/>
      <c r="AG482" s="621">
        <f t="shared" si="296"/>
        <v>132</v>
      </c>
      <c r="AH482" s="621"/>
      <c r="AI482" s="621"/>
      <c r="AJ482" s="621"/>
      <c r="AK482" s="621"/>
      <c r="AL482" s="618"/>
      <c r="AM482" s="678"/>
      <c r="AN482" s="621">
        <f t="shared" si="291"/>
        <v>132</v>
      </c>
      <c r="AO482" s="621"/>
      <c r="AP482" s="618"/>
      <c r="AQ482" s="618"/>
      <c r="AR482" s="621">
        <f t="shared" si="297"/>
        <v>132</v>
      </c>
      <c r="AS482" s="618"/>
      <c r="AT482" s="682"/>
      <c r="AU482" s="621"/>
      <c r="AV482" s="618"/>
      <c r="AW482" s="678">
        <f t="shared" si="292"/>
        <v>132</v>
      </c>
      <c r="AX482" s="618"/>
      <c r="AY482" s="637"/>
      <c r="AZ482" s="618"/>
      <c r="BA482" s="618"/>
      <c r="BB482" s="618"/>
      <c r="BC482" s="618"/>
      <c r="BD482" s="649"/>
      <c r="BE482" s="685"/>
      <c r="BF482" s="679" t="s">
        <v>90</v>
      </c>
      <c r="BG482" s="680"/>
      <c r="BH482" s="708"/>
      <c r="BI482" s="644">
        <f>I482</f>
        <v>132</v>
      </c>
      <c r="BJ482" s="644"/>
      <c r="BK482" s="644"/>
      <c r="BL482" s="644"/>
      <c r="BM482" s="644"/>
      <c r="BN482" s="680"/>
      <c r="BO482" s="680"/>
      <c r="BP482" s="680"/>
      <c r="BQ482" s="680"/>
      <c r="BR482" s="680"/>
      <c r="BS482" s="680"/>
      <c r="BT482" s="607">
        <f t="shared" si="282"/>
        <v>132</v>
      </c>
      <c r="BU482" s="608">
        <f t="shared" si="283"/>
        <v>0</v>
      </c>
      <c r="BV482" s="491"/>
      <c r="BW482" s="491"/>
      <c r="XDX482" s="670"/>
      <c r="XDY482" s="652"/>
      <c r="XDZ482" s="653"/>
      <c r="XEA482" s="654"/>
      <c r="XEB482" s="683"/>
      <c r="XEC482" s="654"/>
      <c r="XED482" s="656"/>
      <c r="XEE482" s="657"/>
      <c r="XEF482" s="658"/>
      <c r="XEG482" s="658"/>
      <c r="XEH482" s="658"/>
      <c r="XEI482" s="671"/>
      <c r="XEJ482" s="659"/>
      <c r="XEK482" s="659"/>
      <c r="XEL482" s="660"/>
      <c r="XEM482" s="660"/>
      <c r="XEN482" s="743"/>
      <c r="XEO482" s="670"/>
      <c r="XEP482" s="652"/>
      <c r="XEQ482" s="653"/>
      <c r="XER482" s="654"/>
      <c r="XES482" s="683"/>
      <c r="XET482" s="654"/>
      <c r="XEU482" s="656"/>
      <c r="XEV482" s="657"/>
      <c r="XEW482" s="658"/>
      <c r="XEX482" s="658"/>
      <c r="XEY482" s="658"/>
      <c r="XEZ482" s="671"/>
      <c r="XFA482" s="659"/>
      <c r="XFB482" s="659"/>
      <c r="XFC482" s="660"/>
      <c r="XFD482" s="660"/>
    </row>
    <row r="483" s="490" customFormat="1" ht="33" customHeight="1" spans="1:75 16301:16384">
      <c r="A483" s="577">
        <v>46157</v>
      </c>
      <c r="B483" s="581" t="s">
        <v>2246</v>
      </c>
      <c r="C483" s="579" t="s">
        <v>725</v>
      </c>
      <c r="D483" s="580">
        <v>4500206895</v>
      </c>
      <c r="E483" s="616" t="s">
        <v>2096</v>
      </c>
      <c r="F483" s="580" t="s">
        <v>2261</v>
      </c>
      <c r="G483" s="582" t="s">
        <v>624</v>
      </c>
      <c r="H483" s="578" t="s">
        <v>625</v>
      </c>
      <c r="I483" s="583">
        <v>132</v>
      </c>
      <c r="J483" s="583">
        <v>0</v>
      </c>
      <c r="K483" s="583">
        <v>4</v>
      </c>
      <c r="L483" s="584">
        <f t="shared" si="295"/>
        <v>33</v>
      </c>
      <c r="M483" s="585">
        <v>46195</v>
      </c>
      <c r="N483" s="585">
        <v>46204</v>
      </c>
      <c r="O483" s="586"/>
      <c r="P483" s="586" t="s">
        <v>83</v>
      </c>
      <c r="Q483" s="587"/>
      <c r="R483" s="586" t="s">
        <v>2248</v>
      </c>
      <c r="S483" s="586"/>
      <c r="T483" s="586"/>
      <c r="U483" s="586" t="s">
        <v>2249</v>
      </c>
      <c r="V483" s="586"/>
      <c r="W483" s="586"/>
      <c r="X483" s="588" t="s">
        <v>2250</v>
      </c>
      <c r="Y483" s="618" t="s">
        <v>2251</v>
      </c>
      <c r="Z483" s="590">
        <v>6.1868</v>
      </c>
      <c r="AA483" s="591">
        <f t="shared" si="279"/>
        <v>816.6576</v>
      </c>
      <c r="AB483" s="619"/>
      <c r="AC483" s="582" t="s">
        <v>2256</v>
      </c>
      <c r="AD483" s="593" t="s">
        <v>89</v>
      </c>
      <c r="AE483" s="629"/>
      <c r="AF483" s="592"/>
      <c r="AG483" s="621">
        <f t="shared" si="296"/>
        <v>132</v>
      </c>
      <c r="AH483" s="621"/>
      <c r="AI483" s="621"/>
      <c r="AJ483" s="621"/>
      <c r="AK483" s="621"/>
      <c r="AL483" s="618"/>
      <c r="AM483" s="678"/>
      <c r="AN483" s="621">
        <f t="shared" si="291"/>
        <v>132</v>
      </c>
      <c r="AO483" s="621"/>
      <c r="AP483" s="618"/>
      <c r="AQ483" s="618"/>
      <c r="AR483" s="621">
        <f t="shared" si="297"/>
        <v>132</v>
      </c>
      <c r="AS483" s="618"/>
      <c r="AT483" s="682"/>
      <c r="AU483" s="621"/>
      <c r="AV483" s="618"/>
      <c r="AW483" s="678">
        <f t="shared" si="292"/>
        <v>132</v>
      </c>
      <c r="AX483" s="618"/>
      <c r="AY483" s="637"/>
      <c r="AZ483" s="618"/>
      <c r="BA483" s="618"/>
      <c r="BB483" s="618"/>
      <c r="BC483" s="618"/>
      <c r="BD483" s="649"/>
      <c r="BE483" s="685"/>
      <c r="BF483" s="679" t="s">
        <v>90</v>
      </c>
      <c r="BG483" s="680"/>
      <c r="BH483" s="708"/>
      <c r="BI483" s="644"/>
      <c r="BJ483" s="644">
        <f>I483</f>
        <v>132</v>
      </c>
      <c r="BK483" s="644"/>
      <c r="BL483" s="644"/>
      <c r="BM483" s="644"/>
      <c r="BN483" s="680"/>
      <c r="BO483" s="680"/>
      <c r="BP483" s="680"/>
      <c r="BQ483" s="680"/>
      <c r="BR483" s="680"/>
      <c r="BS483" s="680"/>
      <c r="BT483" s="607">
        <f t="shared" si="282"/>
        <v>132</v>
      </c>
      <c r="BU483" s="608">
        <f t="shared" si="283"/>
        <v>0</v>
      </c>
      <c r="BV483" s="491"/>
      <c r="BW483" s="491"/>
      <c r="XDX483" s="670"/>
      <c r="XDY483" s="652"/>
      <c r="XDZ483" s="653"/>
      <c r="XEA483" s="654"/>
      <c r="XEB483" s="655"/>
      <c r="XEC483" s="654"/>
      <c r="XED483" s="656"/>
      <c r="XEE483" s="657"/>
      <c r="XEF483" s="658"/>
      <c r="XEG483" s="658"/>
      <c r="XEH483" s="658"/>
      <c r="XEI483" s="671"/>
      <c r="XEJ483" s="659"/>
      <c r="XEK483" s="659"/>
      <c r="XEL483" s="660"/>
      <c r="XEM483" s="660"/>
      <c r="XEN483" s="491"/>
      <c r="XEO483" s="670"/>
      <c r="XEP483" s="652"/>
      <c r="XEQ483" s="653"/>
      <c r="XER483" s="654"/>
      <c r="XES483" s="655"/>
      <c r="XET483" s="654"/>
      <c r="XEU483" s="656"/>
      <c r="XEV483" s="657"/>
      <c r="XEW483" s="658"/>
      <c r="XEX483" s="658"/>
      <c r="XEY483" s="658"/>
      <c r="XEZ483" s="671"/>
      <c r="XFA483" s="659"/>
      <c r="XFB483" s="659"/>
      <c r="XFC483" s="660"/>
      <c r="XFD483" s="660"/>
    </row>
    <row r="484" s="490" customFormat="1" ht="33" customHeight="1" spans="1:75 16301:16384">
      <c r="A484" s="577">
        <v>46157</v>
      </c>
      <c r="B484" s="649" t="s">
        <v>2246</v>
      </c>
      <c r="C484" s="579" t="s">
        <v>725</v>
      </c>
      <c r="D484" s="580">
        <v>4500206895</v>
      </c>
      <c r="E484" s="578" t="s">
        <v>2096</v>
      </c>
      <c r="F484" s="580" t="s">
        <v>2262</v>
      </c>
      <c r="G484" s="582" t="s">
        <v>2001</v>
      </c>
      <c r="H484" s="578" t="s">
        <v>2002</v>
      </c>
      <c r="I484" s="681">
        <v>132</v>
      </c>
      <c r="J484" s="583">
        <v>0</v>
      </c>
      <c r="K484" s="583">
        <v>6</v>
      </c>
      <c r="L484" s="584">
        <f t="shared" si="295"/>
        <v>22</v>
      </c>
      <c r="M484" s="585">
        <v>46195</v>
      </c>
      <c r="N484" s="585">
        <v>46204</v>
      </c>
      <c r="O484" s="586"/>
      <c r="P484" s="586" t="s">
        <v>83</v>
      </c>
      <c r="Q484" s="587"/>
      <c r="R484" s="586" t="s">
        <v>2248</v>
      </c>
      <c r="S484" s="586"/>
      <c r="T484" s="586"/>
      <c r="U484" s="586" t="s">
        <v>2249</v>
      </c>
      <c r="V484" s="641"/>
      <c r="W484" s="641"/>
      <c r="X484" s="588" t="s">
        <v>2250</v>
      </c>
      <c r="Y484" s="586" t="s">
        <v>2251</v>
      </c>
      <c r="Z484" s="590">
        <v>5.8295</v>
      </c>
      <c r="AA484" s="591">
        <f t="shared" si="279"/>
        <v>769.494</v>
      </c>
      <c r="AB484" s="619"/>
      <c r="AC484" s="582" t="s">
        <v>2258</v>
      </c>
      <c r="AD484" s="593" t="s">
        <v>89</v>
      </c>
      <c r="AE484" s="672"/>
      <c r="AF484" s="666"/>
      <c r="AG484" s="621">
        <f t="shared" si="296"/>
        <v>132</v>
      </c>
      <c r="AH484" s="666"/>
      <c r="AI484" s="666"/>
      <c r="AJ484" s="621"/>
      <c r="AK484" s="621"/>
      <c r="AL484" s="578"/>
      <c r="AM484" s="678"/>
      <c r="AN484" s="621">
        <f t="shared" si="291"/>
        <v>132</v>
      </c>
      <c r="AO484" s="621"/>
      <c r="AP484" s="666"/>
      <c r="AQ484" s="666"/>
      <c r="AR484" s="621">
        <f t="shared" si="297"/>
        <v>132</v>
      </c>
      <c r="AS484" s="666"/>
      <c r="AT484" s="682"/>
      <c r="AU484" s="621"/>
      <c r="AV484" s="618"/>
      <c r="AW484" s="678">
        <f t="shared" si="292"/>
        <v>132</v>
      </c>
      <c r="AX484" s="618"/>
      <c r="AY484" s="637"/>
      <c r="AZ484" s="618"/>
      <c r="BA484" s="618"/>
      <c r="BB484" s="618"/>
      <c r="BC484" s="618"/>
      <c r="BD484" s="649"/>
      <c r="BE484" s="685"/>
      <c r="BF484" s="679" t="s">
        <v>90</v>
      </c>
      <c r="BG484" s="680"/>
      <c r="BH484" s="708"/>
      <c r="BI484" s="644"/>
      <c r="BJ484" s="644"/>
      <c r="BK484" s="644"/>
      <c r="BL484" s="644"/>
      <c r="BM484" s="644">
        <f>I484</f>
        <v>132</v>
      </c>
      <c r="BN484" s="680"/>
      <c r="BO484" s="680"/>
      <c r="BP484" s="680"/>
      <c r="BQ484" s="680"/>
      <c r="BR484" s="680"/>
      <c r="BS484" s="680"/>
      <c r="BT484" s="607">
        <f t="shared" si="282"/>
        <v>132</v>
      </c>
      <c r="BU484" s="608">
        <f t="shared" si="283"/>
        <v>0</v>
      </c>
      <c r="BV484" s="491"/>
      <c r="BW484" s="491"/>
      <c r="XDG484" s="670"/>
      <c r="XDH484" s="490"/>
      <c r="XDI484" s="653"/>
      <c r="XDJ484" s="654"/>
      <c r="XDK484" s="657"/>
      <c r="XDL484" s="654"/>
      <c r="XDM484" s="656"/>
      <c r="XDN484" s="656"/>
      <c r="XDO484" s="657"/>
      <c r="XDP484" s="658"/>
      <c r="XDQ484" s="658"/>
      <c r="XDR484" s="658"/>
      <c r="XDS484" s="671"/>
      <c r="XDT484" s="659"/>
      <c r="XDU484" s="659"/>
      <c r="XDV484" s="660"/>
      <c r="XDW484" s="660"/>
      <c r="XDX484" s="670"/>
      <c r="XDY484" s="490"/>
      <c r="XDZ484" s="653"/>
      <c r="XEA484" s="654"/>
      <c r="XEB484" s="657"/>
      <c r="XEC484" s="654"/>
      <c r="XED484" s="656"/>
      <c r="XEE484" s="657"/>
      <c r="XEF484" s="742"/>
      <c r="XEG484" s="658"/>
      <c r="XEH484" s="658"/>
      <c r="XEI484" s="671"/>
      <c r="XEJ484" s="659"/>
      <c r="XEK484" s="659"/>
      <c r="XEL484" s="660"/>
      <c r="XEM484" s="660"/>
      <c r="XEN484" s="491"/>
      <c r="XEO484" s="670"/>
      <c r="XEP484" s="490"/>
      <c r="XEQ484" s="653"/>
      <c r="XER484" s="654"/>
      <c r="XES484" s="657"/>
      <c r="XET484" s="654"/>
      <c r="XEU484" s="656"/>
      <c r="XEV484" s="657"/>
      <c r="XEW484" s="742"/>
      <c r="XEX484" s="658"/>
      <c r="XEY484" s="658"/>
      <c r="XEZ484" s="671"/>
      <c r="XFA484" s="659"/>
      <c r="XFB484" s="659"/>
      <c r="XFC484" s="660"/>
      <c r="XFD484" s="660"/>
    </row>
    <row r="485" s="490" customFormat="1" ht="33" customHeight="1" spans="1:75 16301:16384">
      <c r="A485" s="577">
        <v>46156</v>
      </c>
      <c r="B485" s="578" t="s">
        <v>1863</v>
      </c>
      <c r="C485" s="579" t="s">
        <v>92</v>
      </c>
      <c r="D485" s="580">
        <v>4500207067</v>
      </c>
      <c r="E485" s="634">
        <v>70089438</v>
      </c>
      <c r="F485" s="580" t="s">
        <v>2263</v>
      </c>
      <c r="G485" s="582" t="s">
        <v>81</v>
      </c>
      <c r="H485" s="578" t="s">
        <v>82</v>
      </c>
      <c r="I485" s="583">
        <v>360</v>
      </c>
      <c r="J485" s="583">
        <v>0</v>
      </c>
      <c r="K485" s="583">
        <v>6</v>
      </c>
      <c r="L485" s="584">
        <f t="shared" si="295"/>
        <v>60</v>
      </c>
      <c r="M485" s="585">
        <v>46205</v>
      </c>
      <c r="N485" s="585">
        <v>46202</v>
      </c>
      <c r="O485" s="586"/>
      <c r="P485" s="586" t="s">
        <v>83</v>
      </c>
      <c r="Q485" s="587"/>
      <c r="R485" s="586" t="s">
        <v>1158</v>
      </c>
      <c r="S485" s="586"/>
      <c r="T485" s="586"/>
      <c r="U485" s="648" t="s">
        <v>86</v>
      </c>
      <c r="V485" s="586" t="s">
        <v>2264</v>
      </c>
      <c r="W485" s="586"/>
      <c r="X485" s="588" t="s">
        <v>2265</v>
      </c>
      <c r="Y485" s="589" t="s">
        <v>439</v>
      </c>
      <c r="Z485" s="686">
        <v>3.4415</v>
      </c>
      <c r="AA485" s="591">
        <f t="shared" si="279"/>
        <v>1238.94</v>
      </c>
      <c r="AB485" s="592"/>
      <c r="AC485" s="582" t="s">
        <v>81</v>
      </c>
      <c r="AD485" s="593" t="s">
        <v>89</v>
      </c>
      <c r="AE485" s="595"/>
      <c r="AF485" s="595"/>
      <c r="AG485" s="595">
        <f t="shared" si="296"/>
        <v>360</v>
      </c>
      <c r="AH485" s="592"/>
      <c r="AI485" s="592"/>
      <c r="AJ485" s="592"/>
      <c r="AK485" s="592"/>
      <c r="AL485" s="592"/>
      <c r="AM485" s="598"/>
      <c r="AN485" s="598">
        <f t="shared" si="291"/>
        <v>360</v>
      </c>
      <c r="AO485" s="592"/>
      <c r="AP485" s="619"/>
      <c r="AQ485" s="592"/>
      <c r="AR485" s="592">
        <f t="shared" si="297"/>
        <v>360</v>
      </c>
      <c r="AS485" s="592"/>
      <c r="AT485" s="592"/>
      <c r="AU485" s="592"/>
      <c r="AV485" s="618"/>
      <c r="AW485" s="592">
        <f t="shared" si="292"/>
        <v>360</v>
      </c>
      <c r="AX485" s="592"/>
      <c r="AY485" s="600"/>
      <c r="AZ485" s="666"/>
      <c r="BA485" s="666"/>
      <c r="BB485" s="666"/>
      <c r="BC485" s="666"/>
      <c r="BD485" s="667"/>
      <c r="BE485" s="668"/>
      <c r="BF485" s="679" t="s">
        <v>90</v>
      </c>
      <c r="BG485" s="680"/>
      <c r="BH485" s="708">
        <f t="shared" ref="BH485:BH500" si="298">I485/6</f>
        <v>60</v>
      </c>
      <c r="BI485" s="644">
        <f t="shared" ref="BI485:BI500" si="299">I485/6</f>
        <v>60</v>
      </c>
      <c r="BJ485" s="644">
        <f t="shared" ref="BJ485:BJ500" si="300">I485/6</f>
        <v>60</v>
      </c>
      <c r="BK485" s="644">
        <f t="shared" ref="BK485:BK500" si="301">I485/6</f>
        <v>60</v>
      </c>
      <c r="BL485" s="644">
        <f t="shared" ref="BL485:BL500" si="302">I485/6</f>
        <v>60</v>
      </c>
      <c r="BM485" s="644">
        <f t="shared" ref="BM485:BM500" si="303">I485/6</f>
        <v>60</v>
      </c>
      <c r="BN485" s="605"/>
      <c r="BO485" s="605"/>
      <c r="BP485" s="605"/>
      <c r="BQ485" s="605"/>
      <c r="BR485" s="605"/>
      <c r="BS485" s="605"/>
      <c r="BT485" s="607">
        <f t="shared" si="282"/>
        <v>360</v>
      </c>
      <c r="BU485" s="608">
        <f t="shared" si="283"/>
        <v>0</v>
      </c>
      <c r="BV485" s="491"/>
      <c r="BW485" s="491"/>
    </row>
    <row r="486" s="490" customFormat="1" ht="33" customHeight="1" spans="1:75 16301:16384">
      <c r="A486" s="577">
        <v>46153</v>
      </c>
      <c r="B486" s="578" t="s">
        <v>1241</v>
      </c>
      <c r="C486" s="579" t="s">
        <v>1185</v>
      </c>
      <c r="D486" s="580">
        <v>4500206390</v>
      </c>
      <c r="E486" s="581" t="s">
        <v>2266</v>
      </c>
      <c r="F486" s="580" t="s">
        <v>2267</v>
      </c>
      <c r="G486" s="582" t="s">
        <v>81</v>
      </c>
      <c r="H486" s="578" t="s">
        <v>82</v>
      </c>
      <c r="I486" s="583">
        <v>114</v>
      </c>
      <c r="J486" s="583">
        <v>0</v>
      </c>
      <c r="K486" s="583">
        <v>6</v>
      </c>
      <c r="L486" s="584">
        <f t="shared" si="295"/>
        <v>19</v>
      </c>
      <c r="M486" s="585">
        <v>46206</v>
      </c>
      <c r="N486" s="585">
        <v>46202</v>
      </c>
      <c r="O486" s="586"/>
      <c r="P486" s="586" t="s">
        <v>83</v>
      </c>
      <c r="Q486" s="587"/>
      <c r="R486" s="586" t="s">
        <v>1381</v>
      </c>
      <c r="S486" s="586"/>
      <c r="T486" s="586"/>
      <c r="U486" s="586" t="s">
        <v>2268</v>
      </c>
      <c r="V486" s="586"/>
      <c r="W486" s="586"/>
      <c r="X486" s="588" t="s">
        <v>2269</v>
      </c>
      <c r="Y486" s="589" t="s">
        <v>1245</v>
      </c>
      <c r="Z486" s="686">
        <v>5.7358</v>
      </c>
      <c r="AA486" s="591">
        <f t="shared" si="279"/>
        <v>653.8812</v>
      </c>
      <c r="AB486" s="592"/>
      <c r="AC486" s="582" t="s">
        <v>235</v>
      </c>
      <c r="AD486" s="593" t="s">
        <v>89</v>
      </c>
      <c r="AE486" s="595"/>
      <c r="AF486" s="595"/>
      <c r="AG486" s="595"/>
      <c r="AH486" s="592"/>
      <c r="AI486" s="592"/>
      <c r="AJ486" s="592">
        <f>I486</f>
        <v>114</v>
      </c>
      <c r="AK486" s="592"/>
      <c r="AL486" s="592"/>
      <c r="AM486" s="598"/>
      <c r="AN486" s="598">
        <f t="shared" si="291"/>
        <v>114</v>
      </c>
      <c r="AO486" s="592"/>
      <c r="AP486" s="619"/>
      <c r="AQ486" s="592"/>
      <c r="AR486" s="592"/>
      <c r="AS486" s="592"/>
      <c r="AT486" s="592"/>
      <c r="AU486" s="592">
        <f>I486</f>
        <v>114</v>
      </c>
      <c r="AV486" s="618"/>
      <c r="AW486" s="592">
        <f t="shared" si="292"/>
        <v>114</v>
      </c>
      <c r="AX486" s="592"/>
      <c r="AY486" s="600"/>
      <c r="AZ486" s="666"/>
      <c r="BA486" s="666"/>
      <c r="BB486" s="666"/>
      <c r="BC486" s="666"/>
      <c r="BD486" s="667"/>
      <c r="BE486" s="668"/>
      <c r="BF486" s="679" t="s">
        <v>90</v>
      </c>
      <c r="BG486" s="680"/>
      <c r="BH486" s="708">
        <f t="shared" si="298"/>
        <v>19</v>
      </c>
      <c r="BI486" s="644">
        <f t="shared" si="299"/>
        <v>19</v>
      </c>
      <c r="BJ486" s="644">
        <f t="shared" si="300"/>
        <v>19</v>
      </c>
      <c r="BK486" s="644">
        <f t="shared" si="301"/>
        <v>19</v>
      </c>
      <c r="BL486" s="644">
        <f t="shared" si="302"/>
        <v>19</v>
      </c>
      <c r="BM486" s="644">
        <f t="shared" si="303"/>
        <v>19</v>
      </c>
      <c r="BN486" s="605"/>
      <c r="BO486" s="605"/>
      <c r="BP486" s="605"/>
      <c r="BQ486" s="605"/>
      <c r="BR486" s="605"/>
      <c r="BS486" s="605"/>
      <c r="BT486" s="607">
        <f t="shared" si="282"/>
        <v>114</v>
      </c>
      <c r="BU486" s="608">
        <f t="shared" si="283"/>
        <v>0</v>
      </c>
      <c r="BV486" s="491"/>
      <c r="BW486" s="491"/>
    </row>
    <row r="487" s="490" customFormat="1" ht="33" customHeight="1" spans="1:75 16301:16384">
      <c r="A487" s="577">
        <v>46163</v>
      </c>
      <c r="B487" s="578" t="s">
        <v>2270</v>
      </c>
      <c r="C487" s="579" t="s">
        <v>669</v>
      </c>
      <c r="D487" s="580">
        <v>4500207968</v>
      </c>
      <c r="E487" s="581" t="s">
        <v>2096</v>
      </c>
      <c r="F487" s="580" t="s">
        <v>2271</v>
      </c>
      <c r="G487" s="582" t="s">
        <v>81</v>
      </c>
      <c r="H487" s="578" t="s">
        <v>82</v>
      </c>
      <c r="I487" s="583">
        <v>252</v>
      </c>
      <c r="J487" s="583">
        <v>0</v>
      </c>
      <c r="K487" s="583">
        <v>6</v>
      </c>
      <c r="L487" s="584">
        <f t="shared" si="295"/>
        <v>42</v>
      </c>
      <c r="M487" s="585">
        <v>46209</v>
      </c>
      <c r="N487" s="585">
        <v>46205</v>
      </c>
      <c r="O487" s="586"/>
      <c r="P487" s="586" t="s">
        <v>83</v>
      </c>
      <c r="Q487" s="587" t="s">
        <v>2272</v>
      </c>
      <c r="R487" s="586" t="s">
        <v>2273</v>
      </c>
      <c r="S487" s="586"/>
      <c r="T487" s="586"/>
      <c r="U487" s="586" t="s">
        <v>2274</v>
      </c>
      <c r="V487" s="586"/>
      <c r="W487" s="586"/>
      <c r="X487" s="588" t="s">
        <v>2275</v>
      </c>
      <c r="Y487" s="589" t="s">
        <v>1004</v>
      </c>
      <c r="Z487" s="686">
        <v>5.7358</v>
      </c>
      <c r="AA487" s="591">
        <f t="shared" si="279"/>
        <v>1445.4216</v>
      </c>
      <c r="AB487" s="592"/>
      <c r="AC487" s="582" t="s">
        <v>81</v>
      </c>
      <c r="AD487" s="593" t="s">
        <v>89</v>
      </c>
      <c r="AE487" s="595"/>
      <c r="AF487" s="595"/>
      <c r="AG487" s="595">
        <f>I487</f>
        <v>252</v>
      </c>
      <c r="AH487" s="592"/>
      <c r="AI487" s="592"/>
      <c r="AJ487" s="592"/>
      <c r="AK487" s="592"/>
      <c r="AL487" s="592"/>
      <c r="AM487" s="598"/>
      <c r="AN487" s="598">
        <f t="shared" si="291"/>
        <v>252</v>
      </c>
      <c r="AO487" s="592"/>
      <c r="AP487" s="619"/>
      <c r="AQ487" s="592"/>
      <c r="AR487" s="592">
        <f>I487</f>
        <v>252</v>
      </c>
      <c r="AS487" s="592"/>
      <c r="AT487" s="592"/>
      <c r="AU487" s="592"/>
      <c r="AV487" s="618"/>
      <c r="AW487" s="592">
        <f t="shared" si="292"/>
        <v>252</v>
      </c>
      <c r="AX487" s="592"/>
      <c r="AY487" s="600"/>
      <c r="AZ487" s="666"/>
      <c r="BA487" s="666"/>
      <c r="BB487" s="666"/>
      <c r="BC487" s="666"/>
      <c r="BD487" s="667"/>
      <c r="BE487" s="668"/>
      <c r="BF487" s="679" t="s">
        <v>90</v>
      </c>
      <c r="BG487" s="680"/>
      <c r="BH487" s="632">
        <f t="shared" si="298"/>
        <v>42</v>
      </c>
      <c r="BI487" s="633">
        <f t="shared" si="299"/>
        <v>42</v>
      </c>
      <c r="BJ487" s="633">
        <f t="shared" si="300"/>
        <v>42</v>
      </c>
      <c r="BK487" s="633">
        <f t="shared" si="301"/>
        <v>42</v>
      </c>
      <c r="BL487" s="633">
        <f t="shared" si="302"/>
        <v>42</v>
      </c>
      <c r="BM487" s="633">
        <f t="shared" si="303"/>
        <v>42</v>
      </c>
      <c r="BN487" s="605"/>
      <c r="BO487" s="605"/>
      <c r="BP487" s="605"/>
      <c r="BQ487" s="605"/>
      <c r="BR487" s="605"/>
      <c r="BS487" s="605"/>
      <c r="BT487" s="607">
        <f t="shared" si="282"/>
        <v>252</v>
      </c>
      <c r="BU487" s="608">
        <f t="shared" si="283"/>
        <v>0</v>
      </c>
      <c r="BV487" s="491"/>
      <c r="BW487" s="491"/>
    </row>
    <row r="488" s="491" customFormat="1" ht="33" customHeight="1" spans="1:75 16301:16384">
      <c r="A488" s="577">
        <v>46148</v>
      </c>
      <c r="B488" s="578" t="s">
        <v>1851</v>
      </c>
      <c r="C488" s="579" t="s">
        <v>334</v>
      </c>
      <c r="D488" s="580">
        <v>4500205041</v>
      </c>
      <c r="E488" s="634">
        <v>62110212</v>
      </c>
      <c r="F488" s="580" t="s">
        <v>2276</v>
      </c>
      <c r="G488" s="582" t="s">
        <v>81</v>
      </c>
      <c r="H488" s="578" t="s">
        <v>82</v>
      </c>
      <c r="I488" s="583">
        <v>96</v>
      </c>
      <c r="J488" s="583">
        <v>0</v>
      </c>
      <c r="K488" s="583">
        <v>6</v>
      </c>
      <c r="L488" s="584">
        <f>IF(K488=0,"",I488/K488)</f>
        <v>16</v>
      </c>
      <c r="M488" s="585">
        <v>46195</v>
      </c>
      <c r="N488" s="585">
        <v>46209</v>
      </c>
      <c r="O488" s="586"/>
      <c r="P488" s="586" t="s">
        <v>83</v>
      </c>
      <c r="Q488" s="587" t="s">
        <v>2277</v>
      </c>
      <c r="R488" s="586" t="s">
        <v>2278</v>
      </c>
      <c r="S488" s="586"/>
      <c r="T488" s="586"/>
      <c r="U488" s="586" t="s">
        <v>2279</v>
      </c>
      <c r="V488" s="586" t="s">
        <v>2280</v>
      </c>
      <c r="W488" s="586"/>
      <c r="X488" s="588" t="s">
        <v>2281</v>
      </c>
      <c r="Y488" s="589" t="s">
        <v>243</v>
      </c>
      <c r="Z488" s="686">
        <v>5.9216</v>
      </c>
      <c r="AA488" s="591">
        <f t="shared" si="279"/>
        <v>568.4736</v>
      </c>
      <c r="AB488" s="592"/>
      <c r="AC488" s="582" t="s">
        <v>235</v>
      </c>
      <c r="AD488" s="593" t="s">
        <v>89</v>
      </c>
      <c r="AE488" s="592"/>
      <c r="AF488" s="666"/>
      <c r="AG488" s="672"/>
      <c r="AH488" s="592"/>
      <c r="AI488" s="666"/>
      <c r="AJ488" s="592">
        <f>I488</f>
        <v>96</v>
      </c>
      <c r="AK488" s="672"/>
      <c r="AL488" s="648"/>
      <c r="AM488" s="592"/>
      <c r="AN488" s="598">
        <f t="shared" si="291"/>
        <v>96</v>
      </c>
      <c r="AO488" s="648"/>
      <c r="AP488" s="648"/>
      <c r="AQ488" s="648"/>
      <c r="AR488" s="648"/>
      <c r="AS488" s="648"/>
      <c r="AT488" s="648"/>
      <c r="AU488" s="592">
        <f>I488</f>
        <v>96</v>
      </c>
      <c r="AV488" s="578"/>
      <c r="AW488" s="592">
        <f t="shared" si="292"/>
        <v>96</v>
      </c>
      <c r="AX488" s="706"/>
      <c r="AY488" s="706"/>
      <c r="AZ488" s="706"/>
      <c r="BA488" s="706"/>
      <c r="BB488" s="706"/>
      <c r="BC488" s="706"/>
      <c r="BD488" s="682"/>
      <c r="BE488" s="668"/>
      <c r="BF488" s="679" t="s">
        <v>90</v>
      </c>
      <c r="BG488" s="680"/>
      <c r="BH488" s="744">
        <f t="shared" si="298"/>
        <v>16</v>
      </c>
      <c r="BI488" s="680">
        <f t="shared" si="299"/>
        <v>16</v>
      </c>
      <c r="BJ488" s="680">
        <f t="shared" si="300"/>
        <v>16</v>
      </c>
      <c r="BK488" s="680">
        <f t="shared" si="301"/>
        <v>16</v>
      </c>
      <c r="BL488" s="680">
        <f t="shared" si="302"/>
        <v>16</v>
      </c>
      <c r="BM488" s="680">
        <f t="shared" si="303"/>
        <v>16</v>
      </c>
      <c r="BN488" s="680"/>
      <c r="BO488" s="680"/>
      <c r="BP488" s="680"/>
      <c r="BQ488" s="680"/>
      <c r="BR488" s="680"/>
      <c r="BS488" s="680"/>
      <c r="BT488" s="607">
        <f t="shared" si="282"/>
        <v>96</v>
      </c>
      <c r="BU488" s="608">
        <f t="shared" si="283"/>
        <v>0</v>
      </c>
      <c r="XDG488" s="670"/>
      <c r="XDH488" s="657"/>
      <c r="XDI488" s="653"/>
      <c r="XDJ488" s="654"/>
      <c r="XDK488" s="652"/>
      <c r="XDL488" s="654"/>
      <c r="XDM488" s="656"/>
      <c r="XDN488" s="657"/>
      <c r="XDO488" s="658"/>
      <c r="XDP488" s="658"/>
      <c r="XDQ488" s="658"/>
      <c r="XDR488" s="671"/>
      <c r="XDS488" s="659"/>
      <c r="XDT488" s="659"/>
      <c r="XDU488" s="660"/>
      <c r="XDV488" s="660"/>
      <c r="XDX488" s="670"/>
      <c r="XDY488" s="657"/>
      <c r="XDZ488" s="653"/>
      <c r="XEA488" s="654"/>
      <c r="XEB488" s="652"/>
      <c r="XEC488" s="654"/>
      <c r="XED488" s="656"/>
      <c r="XEE488" s="657"/>
      <c r="XEF488" s="658"/>
      <c r="XEG488" s="658"/>
      <c r="XEH488" s="658"/>
      <c r="XEI488" s="671"/>
      <c r="XEJ488" s="659"/>
      <c r="XEK488" s="659"/>
      <c r="XEL488" s="660"/>
      <c r="XEM488" s="660"/>
      <c r="XEO488" s="670"/>
      <c r="XEP488" s="657"/>
      <c r="XEQ488" s="653"/>
      <c r="XER488" s="654"/>
      <c r="XES488" s="652"/>
      <c r="XET488" s="654"/>
      <c r="XEU488" s="656"/>
      <c r="XEV488" s="657"/>
      <c r="XEW488" s="658"/>
      <c r="XEX488" s="658"/>
      <c r="XEY488" s="658"/>
      <c r="XEZ488" s="671"/>
      <c r="XFA488" s="659"/>
      <c r="XFB488" s="659"/>
      <c r="XFC488" s="660"/>
      <c r="XFD488" s="660"/>
    </row>
    <row r="489" s="490" customFormat="1" ht="33" customHeight="1" spans="1:75 16301:16384">
      <c r="A489" s="717">
        <v>46164</v>
      </c>
      <c r="B489" s="718" t="s">
        <v>2071</v>
      </c>
      <c r="C489" s="719" t="s">
        <v>967</v>
      </c>
      <c r="D489" s="720">
        <v>4500208747</v>
      </c>
      <c r="E489" s="741">
        <v>20176</v>
      </c>
      <c r="F489" s="720" t="s">
        <v>2282</v>
      </c>
      <c r="G489" s="722" t="s">
        <v>81</v>
      </c>
      <c r="H489" s="718" t="s">
        <v>82</v>
      </c>
      <c r="I489" s="723">
        <v>960</v>
      </c>
      <c r="J489" s="723">
        <v>0</v>
      </c>
      <c r="K489" s="723">
        <v>6</v>
      </c>
      <c r="L489" s="724">
        <f t="shared" ref="L489:L529" si="304">I489/K489</f>
        <v>160</v>
      </c>
      <c r="M489" s="712">
        <v>46213</v>
      </c>
      <c r="N489" s="712">
        <v>46209</v>
      </c>
      <c r="O489" s="725"/>
      <c r="P489" s="586" t="s">
        <v>83</v>
      </c>
      <c r="Q489" s="745" t="s">
        <v>1236</v>
      </c>
      <c r="R489" s="586" t="s">
        <v>1461</v>
      </c>
      <c r="S489" s="725"/>
      <c r="T489" s="725"/>
      <c r="U489" s="725" t="s">
        <v>2283</v>
      </c>
      <c r="V489" s="725"/>
      <c r="W489" s="725"/>
      <c r="X489" s="727" t="s">
        <v>2284</v>
      </c>
      <c r="Y489" s="728" t="s">
        <v>2038</v>
      </c>
      <c r="Z489" s="729">
        <v>6.0761</v>
      </c>
      <c r="AA489" s="730">
        <f t="shared" si="279"/>
        <v>5833.056</v>
      </c>
      <c r="AB489" s="731"/>
      <c r="AC489" s="582" t="s">
        <v>235</v>
      </c>
      <c r="AD489" s="732" t="s">
        <v>89</v>
      </c>
      <c r="AE489" s="733"/>
      <c r="AF489" s="733"/>
      <c r="AG489" s="733"/>
      <c r="AH489" s="731"/>
      <c r="AI489" s="731"/>
      <c r="AJ489" s="592">
        <f>I489</f>
        <v>960</v>
      </c>
      <c r="AK489" s="731"/>
      <c r="AL489" s="731"/>
      <c r="AM489" s="734"/>
      <c r="AN489" s="598">
        <f t="shared" si="291"/>
        <v>960</v>
      </c>
      <c r="AO489" s="731"/>
      <c r="AP489" s="735"/>
      <c r="AQ489" s="731"/>
      <c r="AR489" s="731"/>
      <c r="AS489" s="731"/>
      <c r="AT489" s="731"/>
      <c r="AU489" s="592">
        <f>I489</f>
        <v>960</v>
      </c>
      <c r="AV489" s="736"/>
      <c r="AW489" s="592">
        <f t="shared" si="292"/>
        <v>960</v>
      </c>
      <c r="AX489" s="731"/>
      <c r="AY489" s="737"/>
      <c r="AZ489" s="738"/>
      <c r="BA489" s="738"/>
      <c r="BB489" s="738"/>
      <c r="BC489" s="738"/>
      <c r="BD489" s="739"/>
      <c r="BE489" s="740"/>
      <c r="BF489" s="679" t="s">
        <v>90</v>
      </c>
      <c r="BG489" s="680"/>
      <c r="BH489" s="632">
        <f t="shared" si="298"/>
        <v>160</v>
      </c>
      <c r="BI489" s="633">
        <f t="shared" si="299"/>
        <v>160</v>
      </c>
      <c r="BJ489" s="633">
        <f t="shared" si="300"/>
        <v>160</v>
      </c>
      <c r="BK489" s="633">
        <f t="shared" si="301"/>
        <v>160</v>
      </c>
      <c r="BL489" s="633">
        <f t="shared" si="302"/>
        <v>160</v>
      </c>
      <c r="BM489" s="633">
        <f t="shared" si="303"/>
        <v>160</v>
      </c>
      <c r="BN489" s="605"/>
      <c r="BO489" s="605"/>
      <c r="BP489" s="605"/>
      <c r="BQ489" s="605"/>
      <c r="BR489" s="605"/>
      <c r="BS489" s="605"/>
      <c r="BT489" s="607">
        <f t="shared" si="282"/>
        <v>960</v>
      </c>
      <c r="BU489" s="608">
        <f t="shared" si="283"/>
        <v>0</v>
      </c>
      <c r="BV489" s="491"/>
      <c r="BW489" s="491"/>
    </row>
    <row r="490" s="490" customFormat="1" ht="33" customHeight="1" spans="1:75 16301:16384">
      <c r="A490" s="577">
        <v>46105</v>
      </c>
      <c r="B490" s="578" t="s">
        <v>724</v>
      </c>
      <c r="C490" s="579" t="s">
        <v>2100</v>
      </c>
      <c r="D490" s="580">
        <v>4500198128</v>
      </c>
      <c r="E490" s="581" t="s">
        <v>2231</v>
      </c>
      <c r="F490" s="580" t="s">
        <v>2285</v>
      </c>
      <c r="G490" s="582" t="s">
        <v>81</v>
      </c>
      <c r="H490" s="578" t="s">
        <v>82</v>
      </c>
      <c r="I490" s="583">
        <v>558</v>
      </c>
      <c r="J490" s="583">
        <v>0</v>
      </c>
      <c r="K490" s="583">
        <v>6</v>
      </c>
      <c r="L490" s="584">
        <f t="shared" si="304"/>
        <v>93</v>
      </c>
      <c r="M490" s="714">
        <v>46216</v>
      </c>
      <c r="N490" s="715">
        <f>M490-4</f>
        <v>46212</v>
      </c>
      <c r="O490" s="716"/>
      <c r="P490" s="586" t="s">
        <v>83</v>
      </c>
      <c r="Q490" s="648" t="s">
        <v>96</v>
      </c>
      <c r="R490" s="586" t="s">
        <v>845</v>
      </c>
      <c r="S490" s="586"/>
      <c r="T490" s="586"/>
      <c r="U490" s="586" t="s">
        <v>2233</v>
      </c>
      <c r="V490" s="586"/>
      <c r="W490" s="586" t="s">
        <v>2234</v>
      </c>
      <c r="X490" s="588" t="s">
        <v>2286</v>
      </c>
      <c r="Y490" s="589" t="s">
        <v>1004</v>
      </c>
      <c r="Z490" s="686">
        <v>5.9216</v>
      </c>
      <c r="AA490" s="591">
        <f t="shared" si="279"/>
        <v>3304.2528</v>
      </c>
      <c r="AB490" s="592"/>
      <c r="AC490" s="582" t="s">
        <v>81</v>
      </c>
      <c r="AD490" s="593" t="s">
        <v>89</v>
      </c>
      <c r="AE490" s="595"/>
      <c r="AF490" s="595"/>
      <c r="AG490" s="592">
        <f>I490</f>
        <v>558</v>
      </c>
      <c r="AH490" s="592"/>
      <c r="AI490" s="592"/>
      <c r="AJ490" s="592"/>
      <c r="AK490" s="592"/>
      <c r="AL490" s="592"/>
      <c r="AM490" s="592"/>
      <c r="AN490" s="592">
        <f t="shared" si="291"/>
        <v>558</v>
      </c>
      <c r="AO490" s="592"/>
      <c r="AP490" s="592"/>
      <c r="AQ490" s="592"/>
      <c r="AR490" s="592">
        <f>I490</f>
        <v>558</v>
      </c>
      <c r="AS490" s="592"/>
      <c r="AT490" s="592"/>
      <c r="AU490" s="592"/>
      <c r="AV490" s="592"/>
      <c r="AW490" s="592">
        <f t="shared" si="292"/>
        <v>558</v>
      </c>
      <c r="AX490" s="592"/>
      <c r="AY490" s="600"/>
      <c r="AZ490" s="666"/>
      <c r="BA490" s="666"/>
      <c r="BB490" s="666"/>
      <c r="BC490" s="666"/>
      <c r="BD490" s="667"/>
      <c r="BE490" s="668"/>
      <c r="BF490" s="679" t="s">
        <v>90</v>
      </c>
      <c r="BG490" s="680"/>
      <c r="BH490" s="632">
        <f t="shared" si="298"/>
        <v>93</v>
      </c>
      <c r="BI490" s="633">
        <f t="shared" si="299"/>
        <v>93</v>
      </c>
      <c r="BJ490" s="633">
        <f t="shared" si="300"/>
        <v>93</v>
      </c>
      <c r="BK490" s="633">
        <f t="shared" si="301"/>
        <v>93</v>
      </c>
      <c r="BL490" s="633">
        <f t="shared" si="302"/>
        <v>93</v>
      </c>
      <c r="BM490" s="633">
        <f t="shared" si="303"/>
        <v>93</v>
      </c>
      <c r="BN490" s="605"/>
      <c r="BO490" s="605"/>
      <c r="BP490" s="605"/>
      <c r="BQ490" s="605"/>
      <c r="BR490" s="605"/>
      <c r="BS490" s="605"/>
      <c r="BT490" s="607">
        <f t="shared" si="282"/>
        <v>558</v>
      </c>
      <c r="BU490" s="608">
        <f t="shared" si="283"/>
        <v>0</v>
      </c>
      <c r="BV490" s="491"/>
      <c r="BW490" s="491"/>
    </row>
    <row r="491" s="490" customFormat="1" ht="33" customHeight="1" spans="1:75 16301:16384">
      <c r="A491" s="577">
        <v>46105</v>
      </c>
      <c r="B491" s="578" t="s">
        <v>724</v>
      </c>
      <c r="C491" s="579" t="s">
        <v>2100</v>
      </c>
      <c r="D491" s="580">
        <v>4500198108</v>
      </c>
      <c r="E491" s="581" t="s">
        <v>2237</v>
      </c>
      <c r="F491" s="580" t="s">
        <v>2287</v>
      </c>
      <c r="G491" s="582" t="s">
        <v>81</v>
      </c>
      <c r="H491" s="578" t="s">
        <v>82</v>
      </c>
      <c r="I491" s="583">
        <v>1440</v>
      </c>
      <c r="J491" s="583">
        <v>0</v>
      </c>
      <c r="K491" s="583">
        <v>6</v>
      </c>
      <c r="L491" s="584">
        <f t="shared" si="304"/>
        <v>240</v>
      </c>
      <c r="M491" s="714">
        <v>46216</v>
      </c>
      <c r="N491" s="715">
        <f>M491-4</f>
        <v>46212</v>
      </c>
      <c r="O491" s="716"/>
      <c r="P491" s="586" t="s">
        <v>83</v>
      </c>
      <c r="Q491" s="648"/>
      <c r="R491" s="586" t="s">
        <v>845</v>
      </c>
      <c r="S491" s="586"/>
      <c r="T491" s="586"/>
      <c r="U491" s="586" t="s">
        <v>2233</v>
      </c>
      <c r="V491" s="586"/>
      <c r="W491" s="586" t="s">
        <v>2234</v>
      </c>
      <c r="X491" s="588" t="s">
        <v>2288</v>
      </c>
      <c r="Y491" s="589" t="s">
        <v>1004</v>
      </c>
      <c r="Z491" s="686">
        <v>5.7281</v>
      </c>
      <c r="AA491" s="591">
        <f t="shared" si="279"/>
        <v>8248.464</v>
      </c>
      <c r="AB491" s="592"/>
      <c r="AC491" s="582" t="s">
        <v>81</v>
      </c>
      <c r="AD491" s="593" t="s">
        <v>89</v>
      </c>
      <c r="AE491" s="595"/>
      <c r="AF491" s="595"/>
      <c r="AG491" s="595">
        <f>I491</f>
        <v>1440</v>
      </c>
      <c r="AH491" s="592"/>
      <c r="AI491" s="592"/>
      <c r="AJ491" s="592"/>
      <c r="AK491" s="592"/>
      <c r="AL491" s="592"/>
      <c r="AM491" s="598"/>
      <c r="AN491" s="598">
        <f t="shared" si="291"/>
        <v>1440</v>
      </c>
      <c r="AO491" s="592"/>
      <c r="AP491" s="619"/>
      <c r="AQ491" s="592"/>
      <c r="AR491" s="592">
        <f>I491</f>
        <v>1440</v>
      </c>
      <c r="AS491" s="592"/>
      <c r="AT491" s="592"/>
      <c r="AU491" s="592"/>
      <c r="AV491" s="592"/>
      <c r="AW491" s="592">
        <f t="shared" si="292"/>
        <v>1440</v>
      </c>
      <c r="AX491" s="592"/>
      <c r="AY491" s="600"/>
      <c r="AZ491" s="666"/>
      <c r="BA491" s="666"/>
      <c r="BB491" s="666"/>
      <c r="BC491" s="666"/>
      <c r="BD491" s="667"/>
      <c r="BE491" s="668"/>
      <c r="BF491" s="679" t="s">
        <v>90</v>
      </c>
      <c r="BG491" s="680"/>
      <c r="BH491" s="632">
        <f t="shared" si="298"/>
        <v>240</v>
      </c>
      <c r="BI491" s="633">
        <f t="shared" si="299"/>
        <v>240</v>
      </c>
      <c r="BJ491" s="633">
        <f t="shared" si="300"/>
        <v>240</v>
      </c>
      <c r="BK491" s="633">
        <f t="shared" si="301"/>
        <v>240</v>
      </c>
      <c r="BL491" s="633">
        <f t="shared" si="302"/>
        <v>240</v>
      </c>
      <c r="BM491" s="633">
        <f t="shared" si="303"/>
        <v>240</v>
      </c>
      <c r="BN491" s="605"/>
      <c r="BO491" s="605"/>
      <c r="BP491" s="605"/>
      <c r="BQ491" s="605"/>
      <c r="BR491" s="605"/>
      <c r="BS491" s="605"/>
      <c r="BT491" s="607">
        <f t="shared" si="282"/>
        <v>1440</v>
      </c>
      <c r="BU491" s="608">
        <f t="shared" si="283"/>
        <v>0</v>
      </c>
      <c r="BV491" s="491"/>
      <c r="BW491" s="491"/>
    </row>
    <row r="492" s="490" customFormat="1" ht="34" customHeight="1" spans="1:75 16301:16384">
      <c r="A492" s="746">
        <v>46188</v>
      </c>
      <c r="B492" s="492" t="s">
        <v>1453</v>
      </c>
      <c r="C492" s="747" t="s">
        <v>92</v>
      </c>
      <c r="D492" s="748">
        <v>4500209889</v>
      </c>
      <c r="E492" s="679">
        <v>385090501</v>
      </c>
      <c r="F492" s="748" t="s">
        <v>2289</v>
      </c>
      <c r="G492" s="749" t="s">
        <v>81</v>
      </c>
      <c r="H492" s="679" t="s">
        <v>82</v>
      </c>
      <c r="I492" s="750">
        <v>3336</v>
      </c>
      <c r="J492" s="750">
        <v>0</v>
      </c>
      <c r="K492" s="750">
        <v>6</v>
      </c>
      <c r="L492" s="751">
        <f t="shared" si="304"/>
        <v>556</v>
      </c>
      <c r="M492" s="715">
        <v>46218</v>
      </c>
      <c r="N492" s="715">
        <v>46214</v>
      </c>
      <c r="O492" s="752" t="s">
        <v>2290</v>
      </c>
      <c r="P492" s="586" t="s">
        <v>83</v>
      </c>
      <c r="Q492" s="680"/>
      <c r="R492" s="752" t="s">
        <v>2291</v>
      </c>
      <c r="S492" s="753"/>
      <c r="T492" s="753"/>
      <c r="U492" s="752" t="s">
        <v>2292</v>
      </c>
      <c r="V492" s="754" t="s">
        <v>2293</v>
      </c>
      <c r="W492" s="755" t="s">
        <v>2294</v>
      </c>
      <c r="X492" s="756" t="s">
        <v>2295</v>
      </c>
      <c r="Y492" s="752" t="s">
        <v>223</v>
      </c>
      <c r="Z492" s="757">
        <v>3.6342</v>
      </c>
      <c r="AA492" s="758">
        <f t="shared" si="279"/>
        <v>12123.6912</v>
      </c>
      <c r="AB492" s="759"/>
      <c r="AC492" s="582" t="s">
        <v>81</v>
      </c>
      <c r="AD492" s="760" t="s">
        <v>89</v>
      </c>
      <c r="AE492" s="576"/>
      <c r="AF492" s="761"/>
      <c r="AG492" s="608">
        <f>I492</f>
        <v>3336</v>
      </c>
      <c r="AH492" s="761"/>
      <c r="AI492" s="761"/>
      <c r="AJ492" s="633"/>
      <c r="AK492" s="644"/>
      <c r="AL492" s="762"/>
      <c r="AM492" s="650"/>
      <c r="AN492" s="680">
        <f t="shared" si="291"/>
        <v>3336</v>
      </c>
      <c r="AO492" s="492"/>
      <c r="AP492" s="762"/>
      <c r="AQ492" s="762"/>
      <c r="AR492" s="680">
        <f>I492</f>
        <v>3336</v>
      </c>
      <c r="AS492" s="762"/>
      <c r="AT492" s="762"/>
      <c r="AU492" s="492"/>
      <c r="AV492" s="679"/>
      <c r="AW492" s="680">
        <f t="shared" si="292"/>
        <v>3336</v>
      </c>
      <c r="AX492" s="633"/>
      <c r="AY492" s="633"/>
      <c r="AZ492" s="633"/>
      <c r="BA492" s="633"/>
      <c r="BB492" s="633"/>
      <c r="BC492" s="633"/>
      <c r="BD492" s="607"/>
      <c r="BE492" s="608"/>
      <c r="BF492" s="763" t="s">
        <v>90</v>
      </c>
      <c r="BG492" s="680"/>
      <c r="BH492" s="680">
        <f t="shared" si="298"/>
        <v>556</v>
      </c>
      <c r="BI492" s="680">
        <f t="shared" si="299"/>
        <v>556</v>
      </c>
      <c r="BJ492" s="680">
        <f t="shared" si="300"/>
        <v>556</v>
      </c>
      <c r="BK492" s="680">
        <f t="shared" si="301"/>
        <v>556</v>
      </c>
      <c r="BL492" s="680">
        <f t="shared" si="302"/>
        <v>556</v>
      </c>
      <c r="BM492" s="680">
        <f t="shared" si="303"/>
        <v>556</v>
      </c>
      <c r="BN492" s="764"/>
      <c r="BO492" s="764"/>
      <c r="BP492" s="764"/>
      <c r="BQ492" s="764"/>
      <c r="BR492" s="764"/>
      <c r="BS492" s="764"/>
      <c r="BT492" s="680">
        <f t="shared" si="282"/>
        <v>3336</v>
      </c>
      <c r="BU492" s="680">
        <f t="shared" si="283"/>
        <v>0</v>
      </c>
      <c r="BV492" s="517"/>
      <c r="BW492" s="491"/>
      <c r="BX492" s="490"/>
      <c r="XBY492" s="670"/>
      <c r="XBZ492" s="490"/>
      <c r="XCA492" s="653"/>
      <c r="XCB492" s="654"/>
      <c r="XCC492" s="657"/>
      <c r="XCD492" s="654"/>
      <c r="XCE492" s="656"/>
      <c r="XCF492" s="656"/>
      <c r="XCG492" s="657"/>
      <c r="XCH492" s="658"/>
      <c r="XCI492" s="658"/>
      <c r="XCJ492" s="658"/>
      <c r="XCK492" s="671"/>
      <c r="XCL492" s="659"/>
      <c r="XCM492" s="659"/>
      <c r="XCN492" s="660"/>
      <c r="XCO492" s="660"/>
      <c r="XCP492" s="670"/>
      <c r="XCQ492" s="490"/>
      <c r="XCR492" s="653"/>
      <c r="XCS492" s="654"/>
      <c r="XCT492" s="657"/>
      <c r="XCU492" s="654"/>
      <c r="XCV492" s="656"/>
      <c r="XCW492" s="656"/>
      <c r="XCX492" s="657"/>
      <c r="XCY492" s="658"/>
      <c r="XCZ492" s="658"/>
      <c r="XDA492" s="658"/>
      <c r="XDB492" s="671"/>
      <c r="XDC492" s="659"/>
      <c r="XDD492" s="659"/>
      <c r="XDE492" s="660"/>
      <c r="XDF492" s="660"/>
      <c r="XDG492" s="670"/>
      <c r="XDH492" s="490"/>
      <c r="XDI492" s="653"/>
      <c r="XDJ492" s="654"/>
      <c r="XDK492" s="657"/>
      <c r="XDL492" s="654"/>
      <c r="XDM492" s="656"/>
      <c r="XDN492" s="656"/>
      <c r="XDO492" s="657"/>
      <c r="XDP492" s="658"/>
      <c r="XDQ492" s="658"/>
      <c r="XDR492" s="658"/>
      <c r="XDS492" s="671"/>
      <c r="XDT492" s="659"/>
      <c r="XDU492" s="659"/>
      <c r="XDV492" s="660"/>
      <c r="XDW492" s="660"/>
      <c r="XDX492" s="670"/>
      <c r="XDY492" s="490"/>
      <c r="XDZ492" s="653"/>
      <c r="XEA492" s="654"/>
      <c r="XEB492" s="657"/>
      <c r="XEC492" s="654"/>
      <c r="XED492" s="656"/>
      <c r="XEE492" s="656"/>
      <c r="XEF492" s="657"/>
      <c r="XEG492" s="658"/>
      <c r="XEH492" s="658"/>
      <c r="XEI492" s="658"/>
      <c r="XEJ492" s="671"/>
      <c r="XEK492" s="659"/>
      <c r="XEL492" s="659"/>
      <c r="XEM492" s="660"/>
      <c r="XEN492" s="660"/>
      <c r="XEO492" s="670"/>
      <c r="XEP492" s="490"/>
      <c r="XEQ492" s="653"/>
      <c r="XER492" s="654"/>
      <c r="XES492" s="657"/>
      <c r="XET492" s="654"/>
      <c r="XEU492" s="656"/>
      <c r="XEV492" s="657"/>
      <c r="XEW492" s="658"/>
      <c r="XEX492" s="658"/>
      <c r="XEY492" s="658"/>
      <c r="XEZ492" s="671"/>
      <c r="XFA492" s="659"/>
      <c r="XFB492" s="659"/>
      <c r="XFC492" s="660"/>
      <c r="XFD492" s="660"/>
    </row>
    <row r="493" s="490" customFormat="1" ht="34" customHeight="1" spans="1:75 16301:16384">
      <c r="A493" s="746">
        <v>46188</v>
      </c>
      <c r="B493" s="492" t="s">
        <v>1453</v>
      </c>
      <c r="C493" s="747" t="s">
        <v>92</v>
      </c>
      <c r="D493" s="748">
        <v>4500209889</v>
      </c>
      <c r="E493" s="679">
        <v>385090601</v>
      </c>
      <c r="F493" s="748" t="s">
        <v>2296</v>
      </c>
      <c r="G493" s="749" t="s">
        <v>81</v>
      </c>
      <c r="H493" s="679" t="s">
        <v>82</v>
      </c>
      <c r="I493" s="750">
        <v>3336</v>
      </c>
      <c r="J493" s="750">
        <v>0</v>
      </c>
      <c r="K493" s="750">
        <v>6</v>
      </c>
      <c r="L493" s="751">
        <f t="shared" si="304"/>
        <v>556</v>
      </c>
      <c r="M493" s="715">
        <v>46218</v>
      </c>
      <c r="N493" s="715">
        <v>46214</v>
      </c>
      <c r="O493" s="752" t="s">
        <v>2290</v>
      </c>
      <c r="P493" s="586" t="s">
        <v>83</v>
      </c>
      <c r="Q493" s="680"/>
      <c r="R493" s="752" t="s">
        <v>2291</v>
      </c>
      <c r="S493" s="753"/>
      <c r="T493" s="753"/>
      <c r="U493" s="752" t="s">
        <v>2292</v>
      </c>
      <c r="V493" s="754" t="s">
        <v>2293</v>
      </c>
      <c r="W493" s="755" t="s">
        <v>2294</v>
      </c>
      <c r="X493" s="756" t="s">
        <v>2295</v>
      </c>
      <c r="Y493" s="752" t="s">
        <v>223</v>
      </c>
      <c r="Z493" s="757">
        <v>3.6342</v>
      </c>
      <c r="AA493" s="758">
        <f t="shared" si="279"/>
        <v>12123.6912</v>
      </c>
      <c r="AB493" s="759"/>
      <c r="AC493" s="582" t="s">
        <v>81</v>
      </c>
      <c r="AD493" s="760" t="s">
        <v>89</v>
      </c>
      <c r="AE493" s="576"/>
      <c r="AF493" s="761"/>
      <c r="AG493" s="608">
        <f>I493</f>
        <v>3336</v>
      </c>
      <c r="AH493" s="761"/>
      <c r="AI493" s="761"/>
      <c r="AJ493" s="633"/>
      <c r="AK493" s="644"/>
      <c r="AL493" s="762"/>
      <c r="AM493" s="650"/>
      <c r="AN493" s="680">
        <f t="shared" si="291"/>
        <v>3336</v>
      </c>
      <c r="AO493" s="492"/>
      <c r="AP493" s="762"/>
      <c r="AQ493" s="762"/>
      <c r="AR493" s="680">
        <f>I493</f>
        <v>3336</v>
      </c>
      <c r="AS493" s="762"/>
      <c r="AT493" s="762"/>
      <c r="AU493" s="492"/>
      <c r="AV493" s="679"/>
      <c r="AW493" s="680">
        <f t="shared" si="292"/>
        <v>3336</v>
      </c>
      <c r="AX493" s="633"/>
      <c r="AY493" s="633"/>
      <c r="AZ493" s="633"/>
      <c r="BA493" s="633"/>
      <c r="BB493" s="633"/>
      <c r="BC493" s="633"/>
      <c r="BD493" s="607"/>
      <c r="BE493" s="608"/>
      <c r="BF493" s="763" t="s">
        <v>90</v>
      </c>
      <c r="BG493" s="680"/>
      <c r="BH493" s="680">
        <f t="shared" si="298"/>
        <v>556</v>
      </c>
      <c r="BI493" s="680">
        <f t="shared" si="299"/>
        <v>556</v>
      </c>
      <c r="BJ493" s="680">
        <f t="shared" si="300"/>
        <v>556</v>
      </c>
      <c r="BK493" s="680">
        <f t="shared" si="301"/>
        <v>556</v>
      </c>
      <c r="BL493" s="680">
        <f t="shared" si="302"/>
        <v>556</v>
      </c>
      <c r="BM493" s="680">
        <f t="shared" si="303"/>
        <v>556</v>
      </c>
      <c r="BN493" s="764"/>
      <c r="BO493" s="764"/>
      <c r="BP493" s="764"/>
      <c r="BQ493" s="764"/>
      <c r="BR493" s="764"/>
      <c r="BS493" s="764"/>
      <c r="BT493" s="680">
        <f t="shared" si="282"/>
        <v>3336</v>
      </c>
      <c r="BU493" s="680">
        <f t="shared" si="283"/>
        <v>0</v>
      </c>
      <c r="BV493" s="517"/>
      <c r="BW493" s="491"/>
      <c r="BX493" s="490"/>
      <c r="XBY493" s="670"/>
      <c r="XBZ493" s="490"/>
      <c r="XCA493" s="653"/>
      <c r="XCB493" s="654"/>
      <c r="XCC493" s="657"/>
      <c r="XCD493" s="654"/>
      <c r="XCE493" s="656"/>
      <c r="XCF493" s="656"/>
      <c r="XCG493" s="657"/>
      <c r="XCH493" s="658"/>
      <c r="XCI493" s="658"/>
      <c r="XCJ493" s="658"/>
      <c r="XCK493" s="671"/>
      <c r="XCL493" s="659"/>
      <c r="XCM493" s="659"/>
      <c r="XCN493" s="660"/>
      <c r="XCO493" s="660"/>
      <c r="XCP493" s="670"/>
      <c r="XCQ493" s="490"/>
      <c r="XCR493" s="653"/>
      <c r="XCS493" s="654"/>
      <c r="XCT493" s="657"/>
      <c r="XCU493" s="654"/>
      <c r="XCV493" s="656"/>
      <c r="XCW493" s="656"/>
      <c r="XCX493" s="657"/>
      <c r="XCY493" s="658"/>
      <c r="XCZ493" s="658"/>
      <c r="XDA493" s="658"/>
      <c r="XDB493" s="671"/>
      <c r="XDC493" s="659"/>
      <c r="XDD493" s="659"/>
      <c r="XDE493" s="660"/>
      <c r="XDF493" s="660"/>
      <c r="XDG493" s="670"/>
      <c r="XDH493" s="490"/>
      <c r="XDI493" s="653"/>
      <c r="XDJ493" s="654"/>
      <c r="XDK493" s="657"/>
      <c r="XDL493" s="654"/>
      <c r="XDM493" s="656"/>
      <c r="XDN493" s="656"/>
      <c r="XDO493" s="657"/>
      <c r="XDP493" s="658"/>
      <c r="XDQ493" s="658"/>
      <c r="XDR493" s="658"/>
      <c r="XDS493" s="671"/>
      <c r="XDT493" s="659"/>
      <c r="XDU493" s="659"/>
      <c r="XDV493" s="660"/>
      <c r="XDW493" s="660"/>
      <c r="XDX493" s="670"/>
      <c r="XDY493" s="490"/>
      <c r="XDZ493" s="653"/>
      <c r="XEA493" s="654"/>
      <c r="XEB493" s="657"/>
      <c r="XEC493" s="654"/>
      <c r="XED493" s="656"/>
      <c r="XEE493" s="656"/>
      <c r="XEF493" s="657"/>
      <c r="XEG493" s="658"/>
      <c r="XEH493" s="658"/>
      <c r="XEI493" s="658"/>
      <c r="XEJ493" s="671"/>
      <c r="XEK493" s="659"/>
      <c r="XEL493" s="659"/>
      <c r="XEM493" s="660"/>
      <c r="XEN493" s="660"/>
      <c r="XEO493" s="670"/>
      <c r="XEP493" s="490"/>
      <c r="XEQ493" s="653"/>
      <c r="XER493" s="654"/>
      <c r="XES493" s="657"/>
      <c r="XET493" s="654"/>
      <c r="XEU493" s="656"/>
      <c r="XEV493" s="657"/>
      <c r="XEW493" s="658"/>
      <c r="XEX493" s="658"/>
      <c r="XEY493" s="658"/>
      <c r="XEZ493" s="671"/>
      <c r="XFA493" s="659"/>
      <c r="XFB493" s="659"/>
      <c r="XFC493" s="660"/>
      <c r="XFD493" s="660"/>
    </row>
    <row r="494" s="490" customFormat="1" ht="33" customHeight="1" spans="1:75 16301:16384">
      <c r="A494" s="577">
        <v>46108</v>
      </c>
      <c r="B494" s="578" t="s">
        <v>1087</v>
      </c>
      <c r="C494" s="579" t="s">
        <v>1044</v>
      </c>
      <c r="D494" s="580">
        <v>4500198940</v>
      </c>
      <c r="E494" s="581">
        <v>300609419</v>
      </c>
      <c r="F494" s="580" t="s">
        <v>2297</v>
      </c>
      <c r="G494" s="582" t="s">
        <v>969</v>
      </c>
      <c r="H494" s="578" t="s">
        <v>970</v>
      </c>
      <c r="I494" s="583">
        <v>320</v>
      </c>
      <c r="J494" s="583">
        <v>0</v>
      </c>
      <c r="K494" s="583">
        <v>4</v>
      </c>
      <c r="L494" s="584">
        <f t="shared" si="304"/>
        <v>80</v>
      </c>
      <c r="M494" s="713">
        <v>46218</v>
      </c>
      <c r="N494" s="713">
        <v>46214</v>
      </c>
      <c r="O494" s="586"/>
      <c r="P494" s="586" t="s">
        <v>83</v>
      </c>
      <c r="Q494" s="648" t="s">
        <v>2298</v>
      </c>
      <c r="R494" s="586" t="s">
        <v>2278</v>
      </c>
      <c r="S494" s="586"/>
      <c r="T494" s="765"/>
      <c r="U494" s="765" t="s">
        <v>2299</v>
      </c>
      <c r="V494" s="586"/>
      <c r="W494" s="586"/>
      <c r="X494" s="588" t="s">
        <v>2300</v>
      </c>
      <c r="Y494" s="589" t="s">
        <v>1684</v>
      </c>
      <c r="Z494" s="686">
        <v>5.8612</v>
      </c>
      <c r="AA494" s="591">
        <f t="shared" si="279"/>
        <v>1875.584</v>
      </c>
      <c r="AB494" s="592"/>
      <c r="AC494" s="582" t="s">
        <v>976</v>
      </c>
      <c r="AD494" s="593" t="s">
        <v>89</v>
      </c>
      <c r="AE494" s="595"/>
      <c r="AF494" s="595"/>
      <c r="AG494" s="595"/>
      <c r="AH494" s="592"/>
      <c r="AI494" s="592"/>
      <c r="AJ494" s="592">
        <f>I494</f>
        <v>320</v>
      </c>
      <c r="AK494" s="592"/>
      <c r="AL494" s="592"/>
      <c r="AM494" s="598"/>
      <c r="AN494" s="598">
        <f t="shared" si="291"/>
        <v>320</v>
      </c>
      <c r="AO494" s="592"/>
      <c r="AP494" s="619"/>
      <c r="AQ494" s="592"/>
      <c r="AR494" s="592"/>
      <c r="AS494" s="592"/>
      <c r="AT494" s="592"/>
      <c r="AU494" s="592">
        <f>I494</f>
        <v>320</v>
      </c>
      <c r="AV494" s="618"/>
      <c r="AW494" s="592">
        <f t="shared" si="292"/>
        <v>320</v>
      </c>
      <c r="AX494" s="592"/>
      <c r="AY494" s="600"/>
      <c r="AZ494" s="666"/>
      <c r="BA494" s="666"/>
      <c r="BB494" s="666"/>
      <c r="BC494" s="666"/>
      <c r="BD494" s="667"/>
      <c r="BE494" s="668"/>
      <c r="BF494" s="679" t="s">
        <v>90</v>
      </c>
      <c r="BG494" s="680"/>
      <c r="BH494" s="632">
        <f t="shared" si="298"/>
        <v>53.3333333333333</v>
      </c>
      <c r="BI494" s="633">
        <f t="shared" si="299"/>
        <v>53.3333333333333</v>
      </c>
      <c r="BJ494" s="633">
        <f t="shared" si="300"/>
        <v>53.3333333333333</v>
      </c>
      <c r="BK494" s="633">
        <f t="shared" si="301"/>
        <v>53.3333333333333</v>
      </c>
      <c r="BL494" s="633">
        <f t="shared" si="302"/>
        <v>53.3333333333333</v>
      </c>
      <c r="BM494" s="633">
        <f t="shared" si="303"/>
        <v>53.3333333333333</v>
      </c>
      <c r="BN494" s="605"/>
      <c r="BO494" s="605"/>
      <c r="BP494" s="605"/>
      <c r="BQ494" s="605"/>
      <c r="BR494" s="605"/>
      <c r="BS494" s="605"/>
      <c r="BT494" s="607">
        <f t="shared" si="282"/>
        <v>320</v>
      </c>
      <c r="BU494" s="608">
        <f t="shared" si="283"/>
        <v>0</v>
      </c>
      <c r="BV494" s="491"/>
      <c r="BW494" s="491"/>
    </row>
    <row r="495" s="490" customFormat="1" ht="33" customHeight="1" spans="1:75 16301:16384">
      <c r="A495" s="717">
        <v>46171</v>
      </c>
      <c r="B495" s="718" t="s">
        <v>2301</v>
      </c>
      <c r="C495" s="719" t="s">
        <v>92</v>
      </c>
      <c r="D495" s="720">
        <v>4500209889</v>
      </c>
      <c r="E495" s="741">
        <v>385090401</v>
      </c>
      <c r="F495" s="720" t="s">
        <v>2302</v>
      </c>
      <c r="G495" s="722" t="s">
        <v>81</v>
      </c>
      <c r="H495" s="718" t="s">
        <v>82</v>
      </c>
      <c r="I495" s="723">
        <v>3336</v>
      </c>
      <c r="J495" s="723">
        <v>0</v>
      </c>
      <c r="K495" s="723">
        <v>6</v>
      </c>
      <c r="L495" s="724">
        <f t="shared" si="304"/>
        <v>556</v>
      </c>
      <c r="M495" s="766">
        <v>46218</v>
      </c>
      <c r="N495" s="766">
        <v>46214</v>
      </c>
      <c r="O495" s="767" t="s">
        <v>2290</v>
      </c>
      <c r="P495" s="586" t="s">
        <v>83</v>
      </c>
      <c r="Q495" s="745"/>
      <c r="R495" s="752" t="s">
        <v>2291</v>
      </c>
      <c r="S495" s="725"/>
      <c r="T495" s="725"/>
      <c r="U495" s="725" t="s">
        <v>2292</v>
      </c>
      <c r="V495" s="754" t="s">
        <v>2293</v>
      </c>
      <c r="W495" s="755" t="s">
        <v>2294</v>
      </c>
      <c r="X495" s="727" t="s">
        <v>2303</v>
      </c>
      <c r="Y495" s="728" t="s">
        <v>2304</v>
      </c>
      <c r="Z495" s="757">
        <v>3.6342</v>
      </c>
      <c r="AA495" s="730">
        <f t="shared" si="279"/>
        <v>12123.6912</v>
      </c>
      <c r="AB495" s="731"/>
      <c r="AC495" s="722" t="s">
        <v>81</v>
      </c>
      <c r="AD495" s="732" t="s">
        <v>89</v>
      </c>
      <c r="AE495" s="768"/>
      <c r="AF495" s="769"/>
      <c r="AG495" s="608">
        <f>I495</f>
        <v>3336</v>
      </c>
      <c r="AH495" s="769"/>
      <c r="AI495" s="769"/>
      <c r="AJ495" s="731"/>
      <c r="AK495" s="731"/>
      <c r="AL495" s="769"/>
      <c r="AM495" s="770"/>
      <c r="AN495" s="680">
        <f t="shared" si="291"/>
        <v>3336</v>
      </c>
      <c r="AO495" s="731"/>
      <c r="AP495" s="771"/>
      <c r="AQ495" s="769"/>
      <c r="AR495" s="680">
        <f>I495</f>
        <v>3336</v>
      </c>
      <c r="AS495" s="772"/>
      <c r="AT495" s="773"/>
      <c r="AU495" s="774"/>
      <c r="AV495" s="718"/>
      <c r="AW495" s="680">
        <f t="shared" si="292"/>
        <v>3336</v>
      </c>
      <c r="AX495" s="738"/>
      <c r="AY495" s="738"/>
      <c r="AZ495" s="738"/>
      <c r="BA495" s="738"/>
      <c r="BB495" s="738"/>
      <c r="BC495" s="738"/>
      <c r="BD495" s="775"/>
      <c r="BE495" s="740"/>
      <c r="BF495" s="763" t="s">
        <v>90</v>
      </c>
      <c r="BG495" s="776"/>
      <c r="BH495" s="777">
        <f t="shared" si="298"/>
        <v>556</v>
      </c>
      <c r="BI495" s="778">
        <f t="shared" si="299"/>
        <v>556</v>
      </c>
      <c r="BJ495" s="778">
        <f t="shared" si="300"/>
        <v>556</v>
      </c>
      <c r="BK495" s="778">
        <f t="shared" si="301"/>
        <v>556</v>
      </c>
      <c r="BL495" s="778">
        <f t="shared" si="302"/>
        <v>556</v>
      </c>
      <c r="BM495" s="778">
        <f t="shared" si="303"/>
        <v>556</v>
      </c>
      <c r="BN495" s="779"/>
      <c r="BO495" s="779"/>
      <c r="BP495" s="779"/>
      <c r="BQ495" s="779"/>
      <c r="BR495" s="779"/>
      <c r="BS495" s="779"/>
      <c r="BT495" s="780">
        <f t="shared" si="282"/>
        <v>3336</v>
      </c>
      <c r="BU495" s="781">
        <f t="shared" si="283"/>
        <v>0</v>
      </c>
      <c r="BV495" s="517"/>
      <c r="BW495" s="491"/>
      <c r="XEO495" s="717"/>
      <c r="XEP495" s="718"/>
      <c r="XEQ495" s="719"/>
      <c r="XER495" s="720"/>
      <c r="XES495" s="741"/>
      <c r="XET495" s="720"/>
      <c r="XEU495" s="722"/>
      <c r="XEV495" s="718"/>
      <c r="XEW495" s="723"/>
      <c r="XEX495" s="723"/>
      <c r="XEY495" s="723"/>
      <c r="XEZ495" s="724"/>
      <c r="XFA495" s="712"/>
      <c r="XFB495" s="712"/>
      <c r="XFC495" s="725"/>
      <c r="XFD495" s="725"/>
    </row>
    <row r="496" s="490" customFormat="1" ht="34" customHeight="1" spans="1:75 16301:16384">
      <c r="A496" s="746">
        <v>46188</v>
      </c>
      <c r="B496" s="492" t="s">
        <v>1477</v>
      </c>
      <c r="C496" s="747" t="s">
        <v>334</v>
      </c>
      <c r="D496" s="748">
        <v>4500212375</v>
      </c>
      <c r="E496" s="679"/>
      <c r="F496" s="748" t="s">
        <v>2305</v>
      </c>
      <c r="G496" s="749" t="s">
        <v>81</v>
      </c>
      <c r="H496" s="679" t="s">
        <v>82</v>
      </c>
      <c r="I496" s="750">
        <v>240</v>
      </c>
      <c r="J496" s="750">
        <v>0</v>
      </c>
      <c r="K496" s="750">
        <v>6</v>
      </c>
      <c r="L496" s="751">
        <f t="shared" si="304"/>
        <v>40</v>
      </c>
      <c r="M496" s="715">
        <v>46223</v>
      </c>
      <c r="N496" s="715">
        <v>46219</v>
      </c>
      <c r="O496" s="752"/>
      <c r="P496" s="586" t="s">
        <v>83</v>
      </c>
      <c r="Q496" s="680" t="s">
        <v>2306</v>
      </c>
      <c r="R496" s="752" t="s">
        <v>1333</v>
      </c>
      <c r="S496" s="752"/>
      <c r="T496" s="752"/>
      <c r="U496" s="755" t="s">
        <v>2307</v>
      </c>
      <c r="V496" s="755"/>
      <c r="W496" s="755" t="s">
        <v>2294</v>
      </c>
      <c r="X496" s="756" t="s">
        <v>2308</v>
      </c>
      <c r="Y496" s="752" t="s">
        <v>340</v>
      </c>
      <c r="Z496" s="757">
        <v>6.0761</v>
      </c>
      <c r="AA496" s="758">
        <f t="shared" si="279"/>
        <v>1458.264</v>
      </c>
      <c r="AB496" s="759"/>
      <c r="AC496" s="782" t="s">
        <v>235</v>
      </c>
      <c r="AD496" s="760" t="s">
        <v>89</v>
      </c>
      <c r="AE496" s="608"/>
      <c r="AF496" s="633"/>
      <c r="AG496" s="608"/>
      <c r="AH496" s="633"/>
      <c r="AI496" s="633"/>
      <c r="AJ496" s="633">
        <f>I496</f>
        <v>240</v>
      </c>
      <c r="AK496" s="644"/>
      <c r="AL496" s="492"/>
      <c r="AM496" s="644"/>
      <c r="AN496" s="680">
        <f t="shared" si="291"/>
        <v>240</v>
      </c>
      <c r="AO496" s="492"/>
      <c r="AP496" s="492"/>
      <c r="AQ496" s="492"/>
      <c r="AR496" s="492"/>
      <c r="AS496" s="492"/>
      <c r="AT496" s="492"/>
      <c r="AU496" s="680">
        <f>I496</f>
        <v>240</v>
      </c>
      <c r="AV496" s="679"/>
      <c r="AW496" s="680">
        <f t="shared" si="292"/>
        <v>240</v>
      </c>
      <c r="AX496" s="633"/>
      <c r="AY496" s="633"/>
      <c r="AZ496" s="633"/>
      <c r="BA496" s="633"/>
      <c r="BB496" s="633"/>
      <c r="BC496" s="633"/>
      <c r="BD496" s="607"/>
      <c r="BE496" s="608"/>
      <c r="BF496" s="763" t="s">
        <v>90</v>
      </c>
      <c r="BG496" s="680"/>
      <c r="BH496" s="680">
        <f t="shared" si="298"/>
        <v>40</v>
      </c>
      <c r="BI496" s="680">
        <f t="shared" si="299"/>
        <v>40</v>
      </c>
      <c r="BJ496" s="680">
        <f t="shared" si="300"/>
        <v>40</v>
      </c>
      <c r="BK496" s="680">
        <f t="shared" si="301"/>
        <v>40</v>
      </c>
      <c r="BL496" s="680">
        <f t="shared" si="302"/>
        <v>40</v>
      </c>
      <c r="BM496" s="680">
        <f t="shared" si="303"/>
        <v>40</v>
      </c>
      <c r="BN496" s="680"/>
      <c r="BO496" s="680"/>
      <c r="BP496" s="680"/>
      <c r="BQ496" s="680"/>
      <c r="BR496" s="680"/>
      <c r="BS496" s="680"/>
      <c r="BT496" s="680">
        <f t="shared" si="282"/>
        <v>240</v>
      </c>
      <c r="BU496" s="680">
        <f t="shared" si="283"/>
        <v>0</v>
      </c>
      <c r="BV496" s="491"/>
      <c r="BW496" s="491"/>
      <c r="BX496" s="490"/>
      <c r="XBY496" s="670"/>
      <c r="XBZ496" s="490"/>
      <c r="XCA496" s="653"/>
      <c r="XCB496" s="654"/>
      <c r="XCC496" s="657"/>
      <c r="XCD496" s="654"/>
      <c r="XCE496" s="656"/>
      <c r="XCF496" s="656"/>
      <c r="XCG496" s="657"/>
      <c r="XCH496" s="658"/>
      <c r="XCI496" s="658"/>
      <c r="XCJ496" s="658"/>
      <c r="XCK496" s="671"/>
      <c r="XCL496" s="659"/>
      <c r="XCM496" s="659"/>
      <c r="XCN496" s="660"/>
      <c r="XCO496" s="660"/>
      <c r="XCP496" s="670"/>
      <c r="XCQ496" s="490"/>
      <c r="XCR496" s="653"/>
      <c r="XCS496" s="654"/>
      <c r="XCT496" s="657"/>
      <c r="XCU496" s="654"/>
      <c r="XCV496" s="656"/>
      <c r="XCW496" s="656"/>
      <c r="XCX496" s="657"/>
      <c r="XCY496" s="658"/>
      <c r="XCZ496" s="658"/>
      <c r="XDA496" s="658"/>
      <c r="XDB496" s="671"/>
      <c r="XDC496" s="659"/>
      <c r="XDD496" s="659"/>
      <c r="XDE496" s="660"/>
      <c r="XDF496" s="660"/>
      <c r="XDG496" s="670"/>
      <c r="XDH496" s="490"/>
      <c r="XDI496" s="653"/>
      <c r="XDJ496" s="654"/>
      <c r="XDK496" s="657"/>
      <c r="XDL496" s="654"/>
      <c r="XDM496" s="656"/>
      <c r="XDN496" s="656"/>
      <c r="XDO496" s="657"/>
      <c r="XDP496" s="658"/>
      <c r="XDQ496" s="658"/>
      <c r="XDR496" s="658"/>
      <c r="XDS496" s="671"/>
      <c r="XDT496" s="659"/>
      <c r="XDU496" s="659"/>
      <c r="XDV496" s="660"/>
      <c r="XDW496" s="660"/>
      <c r="XDX496" s="670"/>
      <c r="XDY496" s="490"/>
      <c r="XDZ496" s="653"/>
      <c r="XEA496" s="654"/>
      <c r="XEB496" s="657"/>
      <c r="XEC496" s="654"/>
      <c r="XED496" s="656"/>
      <c r="XEE496" s="656"/>
      <c r="XEF496" s="657"/>
      <c r="XEG496" s="658"/>
      <c r="XEH496" s="658"/>
      <c r="XEI496" s="658"/>
      <c r="XEJ496" s="671"/>
      <c r="XEK496" s="659"/>
      <c r="XEL496" s="659"/>
      <c r="XEM496" s="660"/>
      <c r="XEN496" s="660"/>
      <c r="XEO496" s="670"/>
      <c r="XEP496" s="490"/>
      <c r="XEQ496" s="653"/>
      <c r="XER496" s="654"/>
      <c r="XES496" s="657"/>
      <c r="XET496" s="654"/>
      <c r="XEU496" s="656"/>
      <c r="XEV496" s="657"/>
      <c r="XEW496" s="658"/>
      <c r="XEX496" s="658"/>
      <c r="XEY496" s="658"/>
      <c r="XEZ496" s="671"/>
      <c r="XFA496" s="659"/>
      <c r="XFB496" s="659"/>
      <c r="XFC496" s="660"/>
      <c r="XFD496" s="660"/>
    </row>
    <row r="497" s="490" customFormat="1" ht="33" customHeight="1" spans="1:75 16367:16384">
      <c r="A497" s="783">
        <v>46176</v>
      </c>
      <c r="B497" s="784" t="s">
        <v>1131</v>
      </c>
      <c r="C497" s="785" t="s">
        <v>334</v>
      </c>
      <c r="D497" s="786">
        <v>4500210563</v>
      </c>
      <c r="E497" s="787"/>
      <c r="F497" s="786" t="s">
        <v>2309</v>
      </c>
      <c r="G497" s="788" t="s">
        <v>81</v>
      </c>
      <c r="H497" s="784" t="s">
        <v>82</v>
      </c>
      <c r="I497" s="789">
        <v>702</v>
      </c>
      <c r="J497" s="789">
        <v>0</v>
      </c>
      <c r="K497" s="789">
        <v>6</v>
      </c>
      <c r="L497" s="790">
        <f t="shared" si="304"/>
        <v>117</v>
      </c>
      <c r="M497" s="791">
        <v>46218</v>
      </c>
      <c r="N497" s="792">
        <v>46224</v>
      </c>
      <c r="O497" s="793"/>
      <c r="P497" s="586" t="s">
        <v>83</v>
      </c>
      <c r="Q497" s="794" t="s">
        <v>1374</v>
      </c>
      <c r="R497" s="765" t="s">
        <v>2310</v>
      </c>
      <c r="S497" s="795"/>
      <c r="T497" s="795"/>
      <c r="U497" s="755" t="s">
        <v>2311</v>
      </c>
      <c r="V497" s="793"/>
      <c r="W497" s="796"/>
      <c r="X497" s="797" t="s">
        <v>2312</v>
      </c>
      <c r="Y497" s="798" t="s">
        <v>243</v>
      </c>
      <c r="Z497" s="799">
        <v>6.0761</v>
      </c>
      <c r="AA497" s="800">
        <f t="shared" si="279"/>
        <v>4265.4222</v>
      </c>
      <c r="AB497" s="801"/>
      <c r="AC497" s="782" t="s">
        <v>235</v>
      </c>
      <c r="AD497" s="802" t="s">
        <v>89</v>
      </c>
      <c r="AE497" s="803"/>
      <c r="AF497" s="803"/>
      <c r="AG497" s="803"/>
      <c r="AH497" s="804"/>
      <c r="AI497" s="804"/>
      <c r="AJ497" s="805">
        <f>I497</f>
        <v>702</v>
      </c>
      <c r="AK497" s="801"/>
      <c r="AL497" s="804"/>
      <c r="AM497" s="806"/>
      <c r="AN497" s="807">
        <f t="shared" si="291"/>
        <v>702</v>
      </c>
      <c r="AO497" s="801"/>
      <c r="AP497" s="808"/>
      <c r="AQ497" s="804"/>
      <c r="AR497" s="801"/>
      <c r="AS497" s="804"/>
      <c r="AT497" s="804"/>
      <c r="AU497" s="805">
        <f>I497</f>
        <v>702</v>
      </c>
      <c r="AV497" s="809"/>
      <c r="AW497" s="805">
        <f t="shared" si="292"/>
        <v>702</v>
      </c>
      <c r="AX497" s="810"/>
      <c r="AY497" s="810"/>
      <c r="AZ497" s="810"/>
      <c r="BA497" s="810"/>
      <c r="BB497" s="810"/>
      <c r="BC497" s="810"/>
      <c r="BD497" s="811"/>
      <c r="BE497" s="812"/>
      <c r="BF497" s="813" t="s">
        <v>90</v>
      </c>
      <c r="BG497" s="814"/>
      <c r="BH497" s="815">
        <f t="shared" si="298"/>
        <v>117</v>
      </c>
      <c r="BI497" s="816">
        <f t="shared" si="299"/>
        <v>117</v>
      </c>
      <c r="BJ497" s="816">
        <f t="shared" si="300"/>
        <v>117</v>
      </c>
      <c r="BK497" s="816">
        <f t="shared" si="301"/>
        <v>117</v>
      </c>
      <c r="BL497" s="816">
        <f t="shared" si="302"/>
        <v>117</v>
      </c>
      <c r="BM497" s="816">
        <f t="shared" si="303"/>
        <v>117</v>
      </c>
      <c r="BN497" s="817"/>
      <c r="BO497" s="817"/>
      <c r="BP497" s="817"/>
      <c r="BQ497" s="817"/>
      <c r="BR497" s="817"/>
      <c r="BS497" s="817"/>
      <c r="BT497" s="818">
        <f t="shared" si="282"/>
        <v>702</v>
      </c>
      <c r="BU497" s="819">
        <f t="shared" si="283"/>
        <v>0</v>
      </c>
      <c r="BV497" s="820"/>
      <c r="BW497" s="491"/>
    </row>
    <row r="498" s="490" customFormat="1" ht="33" customHeight="1" spans="1:75 16367:16384">
      <c r="A498" s="746">
        <v>46183</v>
      </c>
      <c r="B498" s="492" t="s">
        <v>999</v>
      </c>
      <c r="C498" s="747" t="s">
        <v>725</v>
      </c>
      <c r="D498" s="748">
        <v>4500211508</v>
      </c>
      <c r="E498" s="748"/>
      <c r="F498" s="749" t="s">
        <v>2313</v>
      </c>
      <c r="G498" s="750" t="s">
        <v>616</v>
      </c>
      <c r="H498" s="821" t="s">
        <v>617</v>
      </c>
      <c r="I498" s="750">
        <v>252</v>
      </c>
      <c r="J498" s="751">
        <v>0</v>
      </c>
      <c r="K498" s="750">
        <v>4</v>
      </c>
      <c r="L498" s="751">
        <f t="shared" si="304"/>
        <v>63</v>
      </c>
      <c r="M498" s="715">
        <v>46226</v>
      </c>
      <c r="N498" s="822">
        <v>46230</v>
      </c>
      <c r="O498" s="680"/>
      <c r="P498" s="586" t="s">
        <v>83</v>
      </c>
      <c r="Q498" s="752"/>
      <c r="R498" s="755" t="s">
        <v>1411</v>
      </c>
      <c r="S498" s="755"/>
      <c r="T498" s="755"/>
      <c r="U498" s="755" t="s">
        <v>2314</v>
      </c>
      <c r="V498" s="756"/>
      <c r="W498" s="823" t="s">
        <v>2294</v>
      </c>
      <c r="X498" s="756" t="s">
        <v>2315</v>
      </c>
      <c r="Y498" s="758" t="s">
        <v>2316</v>
      </c>
      <c r="Z498" s="759">
        <v>5.9551</v>
      </c>
      <c r="AA498" s="749">
        <f t="shared" si="279"/>
        <v>1500.6852</v>
      </c>
      <c r="AB498" s="760"/>
      <c r="AC498" s="749" t="s">
        <v>2252</v>
      </c>
      <c r="AD498" s="605" t="s">
        <v>89</v>
      </c>
      <c r="AE498" s="824"/>
      <c r="AF498" s="825"/>
      <c r="AG498" s="824">
        <f t="shared" ref="AG498:AG503" si="305">I498</f>
        <v>252</v>
      </c>
      <c r="AH498" s="826"/>
      <c r="AI498" s="826"/>
      <c r="AJ498" s="680"/>
      <c r="AK498" s="644"/>
      <c r="AL498" s="826"/>
      <c r="AM498" s="827"/>
      <c r="AN498" s="825">
        <f t="shared" si="291"/>
        <v>252</v>
      </c>
      <c r="AO498" s="633"/>
      <c r="AP498" s="827"/>
      <c r="AQ498" s="827"/>
      <c r="AR498" s="823">
        <f t="shared" ref="AR498:AR504" si="306">I498</f>
        <v>252</v>
      </c>
      <c r="AS498" s="828"/>
      <c r="AT498" s="829"/>
      <c r="AU498" s="603"/>
      <c r="AV498" s="633"/>
      <c r="AW498" s="633">
        <f t="shared" si="292"/>
        <v>252</v>
      </c>
      <c r="AX498" s="602"/>
      <c r="AY498" s="602"/>
      <c r="AZ498" s="602"/>
      <c r="BA498" s="602"/>
      <c r="BB498" s="607"/>
      <c r="BC498" s="608"/>
      <c r="BD498" s="492"/>
      <c r="BE498" s="492"/>
      <c r="BF498" s="679" t="s">
        <v>90</v>
      </c>
      <c r="BG498" s="680"/>
      <c r="BH498" s="680">
        <f>I498</f>
        <v>252</v>
      </c>
      <c r="BI498" s="680"/>
      <c r="BJ498" s="680"/>
      <c r="BK498" s="680"/>
      <c r="BL498" s="680"/>
      <c r="BM498" s="680"/>
      <c r="BN498" s="830"/>
      <c r="BO498" s="830"/>
      <c r="BP498" s="830"/>
      <c r="BQ498" s="830"/>
      <c r="BR498" s="830"/>
      <c r="BS498" s="830"/>
      <c r="BT498" s="680">
        <f t="shared" si="282"/>
        <v>252</v>
      </c>
      <c r="BU498" s="680">
        <f t="shared" si="283"/>
        <v>0</v>
      </c>
      <c r="BV498" s="831"/>
      <c r="BW498" s="491"/>
      <c r="BX498" s="490"/>
      <c r="XEM498" s="670"/>
      <c r="XEN498" s="490"/>
      <c r="XEO498" s="653"/>
      <c r="XEP498" s="654"/>
      <c r="XEQ498" s="654"/>
      <c r="XER498" s="656"/>
      <c r="XES498" s="658"/>
      <c r="XET498" s="658"/>
      <c r="XEU498" s="658"/>
      <c r="XEV498" s="671"/>
      <c r="XEW498" s="659"/>
      <c r="XEX498" s="659"/>
      <c r="XEY498" s="660"/>
      <c r="XEZ498" s="660"/>
      <c r="XFA498" s="491"/>
      <c r="XFB498" s="660"/>
      <c r="XFC498" s="660"/>
      <c r="XFD498" s="832"/>
    </row>
    <row r="499" s="490" customFormat="1" ht="33" customHeight="1" spans="1:75 16367:16384">
      <c r="A499" s="746">
        <v>46183</v>
      </c>
      <c r="B499" s="492" t="s">
        <v>999</v>
      </c>
      <c r="C499" s="747" t="s">
        <v>725</v>
      </c>
      <c r="D499" s="748">
        <v>4500211508</v>
      </c>
      <c r="E499" s="748"/>
      <c r="F499" s="749" t="s">
        <v>2317</v>
      </c>
      <c r="G499" s="750" t="s">
        <v>122</v>
      </c>
      <c r="H499" s="821" t="s">
        <v>123</v>
      </c>
      <c r="I499" s="750">
        <v>252</v>
      </c>
      <c r="J499" s="751">
        <v>0</v>
      </c>
      <c r="K499" s="750">
        <v>4</v>
      </c>
      <c r="L499" s="751">
        <f t="shared" si="304"/>
        <v>63</v>
      </c>
      <c r="M499" s="715">
        <v>46226</v>
      </c>
      <c r="N499" s="822">
        <v>46230</v>
      </c>
      <c r="O499" s="680"/>
      <c r="P499" s="586" t="s">
        <v>83</v>
      </c>
      <c r="Q499" s="752"/>
      <c r="R499" s="755" t="s">
        <v>1411</v>
      </c>
      <c r="S499" s="755"/>
      <c r="T499" s="755"/>
      <c r="U499" s="755" t="s">
        <v>2314</v>
      </c>
      <c r="V499" s="756"/>
      <c r="W499" s="823" t="s">
        <v>2294</v>
      </c>
      <c r="X499" s="756" t="s">
        <v>2315</v>
      </c>
      <c r="Y499" s="758" t="s">
        <v>2316</v>
      </c>
      <c r="Z499" s="759">
        <v>5.9551</v>
      </c>
      <c r="AA499" s="749">
        <f t="shared" si="279"/>
        <v>1500.6852</v>
      </c>
      <c r="AB499" s="760"/>
      <c r="AC499" s="749" t="s">
        <v>2254</v>
      </c>
      <c r="AD499" s="605" t="s">
        <v>89</v>
      </c>
      <c r="AE499" s="824"/>
      <c r="AF499" s="825"/>
      <c r="AG499" s="824">
        <f t="shared" si="305"/>
        <v>252</v>
      </c>
      <c r="AH499" s="826"/>
      <c r="AI499" s="826"/>
      <c r="AJ499" s="680"/>
      <c r="AK499" s="644"/>
      <c r="AL499" s="826"/>
      <c r="AM499" s="827"/>
      <c r="AN499" s="825">
        <f t="shared" si="291"/>
        <v>252</v>
      </c>
      <c r="AO499" s="633"/>
      <c r="AP499" s="827"/>
      <c r="AQ499" s="827"/>
      <c r="AR499" s="823">
        <f t="shared" si="306"/>
        <v>252</v>
      </c>
      <c r="AS499" s="828"/>
      <c r="AT499" s="829"/>
      <c r="AU499" s="603"/>
      <c r="AV499" s="633"/>
      <c r="AW499" s="633">
        <f t="shared" si="292"/>
        <v>252</v>
      </c>
      <c r="AX499" s="602"/>
      <c r="AY499" s="602"/>
      <c r="AZ499" s="602"/>
      <c r="BA499" s="602"/>
      <c r="BB499" s="607"/>
      <c r="BC499" s="608"/>
      <c r="BD499" s="492"/>
      <c r="BE499" s="492"/>
      <c r="BF499" s="679" t="s">
        <v>90</v>
      </c>
      <c r="BG499" s="680"/>
      <c r="BH499" s="680"/>
      <c r="BI499" s="680">
        <f>I499</f>
        <v>252</v>
      </c>
      <c r="BJ499" s="680"/>
      <c r="BK499" s="680"/>
      <c r="BL499" s="680"/>
      <c r="BM499" s="680"/>
      <c r="BN499" s="830"/>
      <c r="BO499" s="830"/>
      <c r="BP499" s="830"/>
      <c r="BQ499" s="830"/>
      <c r="BR499" s="830"/>
      <c r="BS499" s="830"/>
      <c r="BT499" s="680">
        <f t="shared" si="282"/>
        <v>252</v>
      </c>
      <c r="BU499" s="680">
        <f t="shared" si="283"/>
        <v>0</v>
      </c>
      <c r="BV499" s="831"/>
      <c r="BW499" s="491"/>
      <c r="BX499" s="490"/>
      <c r="XEM499" s="670"/>
      <c r="XEN499" s="490"/>
      <c r="XEO499" s="653"/>
      <c r="XEP499" s="654"/>
      <c r="XEQ499" s="654"/>
      <c r="XER499" s="656"/>
      <c r="XES499" s="658"/>
      <c r="XET499" s="658"/>
      <c r="XEU499" s="658"/>
      <c r="XEV499" s="671"/>
      <c r="XEW499" s="659"/>
      <c r="XEX499" s="659"/>
      <c r="XEY499" s="660"/>
      <c r="XEZ499" s="660"/>
      <c r="XFA499" s="491"/>
      <c r="XFB499" s="660"/>
      <c r="XFC499" s="660"/>
      <c r="XFD499" s="832"/>
    </row>
    <row r="500" s="490" customFormat="1" ht="33" customHeight="1" spans="1:75 16367:16384">
      <c r="A500" s="746">
        <v>46183</v>
      </c>
      <c r="B500" s="492" t="s">
        <v>999</v>
      </c>
      <c r="C500" s="747" t="s">
        <v>725</v>
      </c>
      <c r="D500" s="748">
        <v>4500211508</v>
      </c>
      <c r="E500" s="748"/>
      <c r="F500" s="749" t="s">
        <v>2318</v>
      </c>
      <c r="G500" s="750" t="s">
        <v>624</v>
      </c>
      <c r="H500" s="821" t="s">
        <v>625</v>
      </c>
      <c r="I500" s="750">
        <v>252</v>
      </c>
      <c r="J500" s="751">
        <v>0</v>
      </c>
      <c r="K500" s="750">
        <v>4</v>
      </c>
      <c r="L500" s="751">
        <f t="shared" si="304"/>
        <v>63</v>
      </c>
      <c r="M500" s="715">
        <v>46226</v>
      </c>
      <c r="N500" s="822">
        <v>46230</v>
      </c>
      <c r="O500" s="680"/>
      <c r="P500" s="586" t="s">
        <v>83</v>
      </c>
      <c r="Q500" s="752"/>
      <c r="R500" s="755" t="s">
        <v>1411</v>
      </c>
      <c r="S500" s="755"/>
      <c r="T500" s="755"/>
      <c r="U500" s="755" t="s">
        <v>2314</v>
      </c>
      <c r="V500" s="756"/>
      <c r="W500" s="823" t="s">
        <v>2294</v>
      </c>
      <c r="X500" s="756" t="s">
        <v>2315</v>
      </c>
      <c r="Y500" s="758" t="s">
        <v>2316</v>
      </c>
      <c r="Z500" s="759">
        <v>5.9551</v>
      </c>
      <c r="AA500" s="749">
        <f t="shared" ref="AA500:AA505" si="307">Z500*I500</f>
        <v>1500.6852</v>
      </c>
      <c r="AB500" s="760"/>
      <c r="AC500" s="749" t="s">
        <v>2256</v>
      </c>
      <c r="AD500" s="605" t="s">
        <v>89</v>
      </c>
      <c r="AE500" s="824"/>
      <c r="AF500" s="825"/>
      <c r="AG500" s="824">
        <f t="shared" si="305"/>
        <v>252</v>
      </c>
      <c r="AH500" s="826"/>
      <c r="AI500" s="826"/>
      <c r="AJ500" s="680"/>
      <c r="AK500" s="644"/>
      <c r="AL500" s="826"/>
      <c r="AM500" s="827"/>
      <c r="AN500" s="825">
        <f t="shared" si="291"/>
        <v>252</v>
      </c>
      <c r="AO500" s="633"/>
      <c r="AP500" s="827"/>
      <c r="AQ500" s="827"/>
      <c r="AR500" s="823">
        <f t="shared" si="306"/>
        <v>252</v>
      </c>
      <c r="AS500" s="828"/>
      <c r="AT500" s="829"/>
      <c r="AU500" s="603"/>
      <c r="AV500" s="633"/>
      <c r="AW500" s="633">
        <f t="shared" si="292"/>
        <v>252</v>
      </c>
      <c r="AX500" s="602"/>
      <c r="AY500" s="602"/>
      <c r="AZ500" s="602"/>
      <c r="BA500" s="602"/>
      <c r="BB500" s="607"/>
      <c r="BC500" s="608"/>
      <c r="BD500" s="492"/>
      <c r="BE500" s="492"/>
      <c r="BF500" s="679" t="s">
        <v>90</v>
      </c>
      <c r="BG500" s="680"/>
      <c r="BH500" s="680"/>
      <c r="BI500" s="680"/>
      <c r="BJ500" s="680">
        <f>I500</f>
        <v>252</v>
      </c>
      <c r="BK500" s="680"/>
      <c r="BL500" s="680"/>
      <c r="BM500" s="680"/>
      <c r="BN500" s="830"/>
      <c r="BO500" s="830"/>
      <c r="BP500" s="830"/>
      <c r="BQ500" s="830"/>
      <c r="BR500" s="830"/>
      <c r="BS500" s="830"/>
      <c r="BT500" s="680">
        <f t="shared" si="282"/>
        <v>252</v>
      </c>
      <c r="BU500" s="680">
        <f t="shared" si="283"/>
        <v>0</v>
      </c>
      <c r="BV500" s="831"/>
      <c r="BW500" s="491"/>
      <c r="BX500" s="490"/>
      <c r="XEM500" s="670"/>
      <c r="XEN500" s="490"/>
      <c r="XEO500" s="653"/>
      <c r="XEP500" s="654"/>
      <c r="XEQ500" s="654"/>
      <c r="XER500" s="656"/>
      <c r="XES500" s="658"/>
      <c r="XET500" s="658"/>
      <c r="XEU500" s="658"/>
      <c r="XEV500" s="671"/>
      <c r="XEW500" s="659"/>
      <c r="XEX500" s="659"/>
      <c r="XEY500" s="660"/>
      <c r="XEZ500" s="660"/>
      <c r="XFA500" s="491"/>
      <c r="XFB500" s="660"/>
      <c r="XFC500" s="660"/>
      <c r="XFD500" s="832"/>
    </row>
    <row r="501" s="490" customFormat="1" ht="33" customHeight="1" spans="1:75 16367:16384">
      <c r="A501" s="746">
        <v>46182</v>
      </c>
      <c r="B501" s="492" t="s">
        <v>1818</v>
      </c>
      <c r="C501" s="747" t="s">
        <v>1819</v>
      </c>
      <c r="D501" s="748">
        <v>4500211372</v>
      </c>
      <c r="E501" s="748"/>
      <c r="F501" s="749" t="s">
        <v>2319</v>
      </c>
      <c r="G501" s="749" t="s">
        <v>81</v>
      </c>
      <c r="H501" s="821" t="s">
        <v>82</v>
      </c>
      <c r="I501" s="750">
        <v>300</v>
      </c>
      <c r="J501" s="751">
        <v>0</v>
      </c>
      <c r="K501" s="750">
        <v>6</v>
      </c>
      <c r="L501" s="751">
        <f t="shared" si="304"/>
        <v>50</v>
      </c>
      <c r="M501" s="715">
        <v>46230</v>
      </c>
      <c r="N501" s="715">
        <v>46226</v>
      </c>
      <c r="O501" s="680"/>
      <c r="P501" s="586" t="s">
        <v>83</v>
      </c>
      <c r="Q501" s="752"/>
      <c r="R501" s="755" t="s">
        <v>2320</v>
      </c>
      <c r="S501" s="755"/>
      <c r="T501" s="755"/>
      <c r="U501" s="755" t="s">
        <v>86</v>
      </c>
      <c r="V501" s="756"/>
      <c r="W501" s="752" t="s">
        <v>2294</v>
      </c>
      <c r="X501" s="756" t="s">
        <v>2321</v>
      </c>
      <c r="Y501" s="758" t="s">
        <v>1823</v>
      </c>
      <c r="Z501" s="759">
        <v>6.0761</v>
      </c>
      <c r="AA501" s="758">
        <f t="shared" si="307"/>
        <v>1822.83</v>
      </c>
      <c r="AB501" s="760"/>
      <c r="AC501" s="749" t="s">
        <v>81</v>
      </c>
      <c r="AD501" s="605" t="s">
        <v>89</v>
      </c>
      <c r="AE501" s="824"/>
      <c r="AF501" s="825"/>
      <c r="AG501" s="833">
        <f t="shared" si="305"/>
        <v>300</v>
      </c>
      <c r="AH501" s="826"/>
      <c r="AI501" s="826"/>
      <c r="AJ501" s="680"/>
      <c r="AK501" s="644"/>
      <c r="AL501" s="826"/>
      <c r="AM501" s="827"/>
      <c r="AN501" s="825">
        <f t="shared" si="291"/>
        <v>300</v>
      </c>
      <c r="AO501" s="633"/>
      <c r="AP501" s="827"/>
      <c r="AQ501" s="827"/>
      <c r="AR501" s="644">
        <f t="shared" si="306"/>
        <v>300</v>
      </c>
      <c r="AS501" s="828"/>
      <c r="AT501" s="829"/>
      <c r="AU501" s="603"/>
      <c r="AV501" s="633"/>
      <c r="AW501" s="633">
        <f t="shared" si="292"/>
        <v>300</v>
      </c>
      <c r="AX501" s="602"/>
      <c r="AY501" s="602"/>
      <c r="AZ501" s="602"/>
      <c r="BA501" s="602"/>
      <c r="BB501" s="607"/>
      <c r="BC501" s="608"/>
      <c r="BD501" s="492"/>
      <c r="BE501" s="492"/>
      <c r="BF501" s="679" t="s">
        <v>90</v>
      </c>
      <c r="BG501" s="680"/>
      <c r="BH501" s="633">
        <f>I501/6</f>
        <v>50</v>
      </c>
      <c r="BI501" s="633">
        <f>I501/6</f>
        <v>50</v>
      </c>
      <c r="BJ501" s="633">
        <f>I501/6</f>
        <v>50</v>
      </c>
      <c r="BK501" s="633">
        <f>I501/6</f>
        <v>50</v>
      </c>
      <c r="BL501" s="633">
        <f>I501/6</f>
        <v>50</v>
      </c>
      <c r="BM501" s="633">
        <f>I501/6</f>
        <v>50</v>
      </c>
      <c r="BN501" s="834"/>
      <c r="BO501" s="834"/>
      <c r="BP501" s="834"/>
      <c r="BQ501" s="834"/>
      <c r="BR501" s="834"/>
      <c r="BS501" s="834"/>
      <c r="BT501" s="607">
        <f t="shared" si="282"/>
        <v>300</v>
      </c>
      <c r="BU501" s="608">
        <f t="shared" si="283"/>
        <v>0</v>
      </c>
      <c r="BV501" s="831"/>
      <c r="BW501" s="491"/>
      <c r="BX501" s="490"/>
      <c r="XEM501" s="670"/>
      <c r="XEN501" s="490"/>
      <c r="XEO501" s="653"/>
      <c r="XEP501" s="654"/>
      <c r="XEQ501" s="654"/>
      <c r="XER501" s="656"/>
      <c r="XES501" s="658"/>
      <c r="XET501" s="658"/>
      <c r="XEU501" s="658"/>
      <c r="XEV501" s="671"/>
      <c r="XEW501" s="659"/>
      <c r="XEX501" s="659"/>
      <c r="XEY501" s="660"/>
      <c r="XEZ501" s="660"/>
      <c r="XFA501" s="491"/>
      <c r="XFB501" s="660"/>
      <c r="XFC501" s="660"/>
      <c r="XFD501" s="832"/>
    </row>
    <row r="502" s="490" customFormat="1" ht="33" customHeight="1" spans="1:75 16367:16384">
      <c r="A502" s="746">
        <v>46183</v>
      </c>
      <c r="B502" s="492" t="s">
        <v>999</v>
      </c>
      <c r="C502" s="747" t="s">
        <v>725</v>
      </c>
      <c r="D502" s="748">
        <v>4500211508</v>
      </c>
      <c r="E502" s="748"/>
      <c r="F502" s="749" t="s">
        <v>2322</v>
      </c>
      <c r="G502" s="750" t="s">
        <v>2001</v>
      </c>
      <c r="H502" s="821" t="s">
        <v>2002</v>
      </c>
      <c r="I502" s="750">
        <v>252</v>
      </c>
      <c r="J502" s="751">
        <v>0</v>
      </c>
      <c r="K502" s="750">
        <v>6</v>
      </c>
      <c r="L502" s="751">
        <f t="shared" si="304"/>
        <v>42</v>
      </c>
      <c r="M502" s="715">
        <v>46226</v>
      </c>
      <c r="N502" s="822">
        <v>46230</v>
      </c>
      <c r="O502" s="680"/>
      <c r="P502" s="586" t="s">
        <v>83</v>
      </c>
      <c r="Q502" s="752"/>
      <c r="R502" s="755" t="s">
        <v>1411</v>
      </c>
      <c r="S502" s="755"/>
      <c r="T502" s="755"/>
      <c r="U502" s="755" t="s">
        <v>2314</v>
      </c>
      <c r="V502" s="756"/>
      <c r="W502" s="823" t="s">
        <v>2294</v>
      </c>
      <c r="X502" s="756" t="s">
        <v>2315</v>
      </c>
      <c r="Y502" s="758" t="s">
        <v>2316</v>
      </c>
      <c r="Z502" s="759">
        <v>5.648</v>
      </c>
      <c r="AA502" s="749">
        <f t="shared" si="307"/>
        <v>1423.296</v>
      </c>
      <c r="AB502" s="760"/>
      <c r="AC502" s="749" t="s">
        <v>2258</v>
      </c>
      <c r="AD502" s="605" t="s">
        <v>89</v>
      </c>
      <c r="AE502" s="824"/>
      <c r="AF502" s="825"/>
      <c r="AG502" s="824">
        <f t="shared" si="305"/>
        <v>252</v>
      </c>
      <c r="AH502" s="826"/>
      <c r="AI502" s="826"/>
      <c r="AJ502" s="680"/>
      <c r="AK502" s="644"/>
      <c r="AL502" s="826"/>
      <c r="AM502" s="827"/>
      <c r="AN502" s="825">
        <f t="shared" si="291"/>
        <v>252</v>
      </c>
      <c r="AO502" s="633"/>
      <c r="AP502" s="827"/>
      <c r="AQ502" s="827"/>
      <c r="AR502" s="823">
        <f t="shared" si="306"/>
        <v>252</v>
      </c>
      <c r="AS502" s="828"/>
      <c r="AT502" s="829"/>
      <c r="AU502" s="603"/>
      <c r="AV502" s="633"/>
      <c r="AW502" s="633">
        <f t="shared" si="292"/>
        <v>252</v>
      </c>
      <c r="AX502" s="602"/>
      <c r="AY502" s="602"/>
      <c r="AZ502" s="602"/>
      <c r="BA502" s="602"/>
      <c r="BB502" s="607"/>
      <c r="BC502" s="608"/>
      <c r="BD502" s="492"/>
      <c r="BE502" s="492"/>
      <c r="BF502" s="679" t="s">
        <v>90</v>
      </c>
      <c r="BG502" s="680"/>
      <c r="BH502" s="680"/>
      <c r="BI502" s="680"/>
      <c r="BJ502" s="680"/>
      <c r="BK502" s="680"/>
      <c r="BL502" s="680"/>
      <c r="BM502" s="680">
        <f>I502</f>
        <v>252</v>
      </c>
      <c r="BN502" s="830"/>
      <c r="BO502" s="830"/>
      <c r="BP502" s="830"/>
      <c r="BQ502" s="830"/>
      <c r="BR502" s="830"/>
      <c r="BS502" s="830"/>
      <c r="BT502" s="680">
        <f t="shared" si="282"/>
        <v>252</v>
      </c>
      <c r="BU502" s="680">
        <f t="shared" si="283"/>
        <v>0</v>
      </c>
      <c r="BV502" s="831"/>
      <c r="BW502" s="491"/>
      <c r="BX502" s="490"/>
      <c r="XEM502" s="670"/>
      <c r="XEN502" s="490"/>
      <c r="XEO502" s="653"/>
      <c r="XEP502" s="654"/>
      <c r="XEQ502" s="654"/>
      <c r="XER502" s="656"/>
      <c r="XES502" s="658"/>
      <c r="XET502" s="658"/>
      <c r="XEU502" s="658"/>
      <c r="XEV502" s="671"/>
      <c r="XEW502" s="659"/>
      <c r="XEX502" s="659"/>
      <c r="XEY502" s="660"/>
      <c r="XEZ502" s="660"/>
      <c r="XFA502" s="491"/>
      <c r="XFB502" s="660"/>
      <c r="XFC502" s="660"/>
      <c r="XFD502" s="832"/>
    </row>
    <row r="503" s="492" customFormat="1" ht="33" customHeight="1" spans="1:75 16367:16384">
      <c r="A503" s="746">
        <v>46209</v>
      </c>
      <c r="B503" s="679" t="s">
        <v>2323</v>
      </c>
      <c r="C503" s="747" t="s">
        <v>255</v>
      </c>
      <c r="D503" s="748">
        <v>4500210834</v>
      </c>
      <c r="E503" s="835">
        <v>21967794</v>
      </c>
      <c r="F503" s="748" t="s">
        <v>2324</v>
      </c>
      <c r="G503" s="749" t="s">
        <v>81</v>
      </c>
      <c r="H503" s="821" t="s">
        <v>82</v>
      </c>
      <c r="I503" s="750">
        <v>1500</v>
      </c>
      <c r="J503" s="750">
        <v>0</v>
      </c>
      <c r="K503" s="750">
        <v>6</v>
      </c>
      <c r="L503" s="751">
        <f t="shared" si="304"/>
        <v>250</v>
      </c>
      <c r="M503" s="822">
        <v>46237</v>
      </c>
      <c r="N503" s="822">
        <f>M503-4</f>
        <v>46233</v>
      </c>
      <c r="O503" s="752" t="s">
        <v>2325</v>
      </c>
      <c r="P503" s="586" t="s">
        <v>83</v>
      </c>
      <c r="Q503" s="752" t="s">
        <v>2326</v>
      </c>
      <c r="R503" s="752" t="s">
        <v>2327</v>
      </c>
      <c r="S503" s="752"/>
      <c r="T503" s="752"/>
      <c r="U503" s="752" t="s">
        <v>2328</v>
      </c>
      <c r="V503" s="752"/>
      <c r="W503" s="752" t="s">
        <v>2294</v>
      </c>
      <c r="X503" s="836" t="s">
        <v>2329</v>
      </c>
      <c r="Y503" s="837" t="s">
        <v>2330</v>
      </c>
      <c r="Z503" s="838">
        <v>6.4732</v>
      </c>
      <c r="AA503" s="758">
        <f t="shared" si="307"/>
        <v>9709.8</v>
      </c>
      <c r="AB503" s="644"/>
      <c r="AC503" s="839" t="s">
        <v>81</v>
      </c>
      <c r="AD503" s="760" t="s">
        <v>89</v>
      </c>
      <c r="AE503" s="833"/>
      <c r="AF503" s="644"/>
      <c r="AG503" s="824">
        <f t="shared" si="305"/>
        <v>1500</v>
      </c>
      <c r="AH503" s="840"/>
      <c r="AI503" s="841"/>
      <c r="AJ503" s="644"/>
      <c r="AK503" s="644"/>
      <c r="AL503" s="842"/>
      <c r="AM503" s="841"/>
      <c r="AN503" s="825">
        <f t="shared" si="291"/>
        <v>1500</v>
      </c>
      <c r="AO503" s="843"/>
      <c r="AP503" s="844"/>
      <c r="AQ503" s="844"/>
      <c r="AR503" s="824">
        <f t="shared" si="306"/>
        <v>1500</v>
      </c>
      <c r="AS503" s="844"/>
      <c r="AT503" s="845"/>
      <c r="AU503" s="608"/>
      <c r="AV503" s="679"/>
      <c r="AW503" s="644">
        <f t="shared" si="292"/>
        <v>1500</v>
      </c>
      <c r="AX503" s="602"/>
      <c r="AY503" s="633"/>
      <c r="AZ503" s="633"/>
      <c r="BA503" s="633"/>
      <c r="BB503" s="633"/>
      <c r="BC503" s="633"/>
      <c r="BD503" s="607"/>
      <c r="BE503" s="608"/>
      <c r="BF503" s="679" t="s">
        <v>90</v>
      </c>
      <c r="BG503" s="492"/>
      <c r="BH503" s="680">
        <f>I503/6</f>
        <v>250</v>
      </c>
      <c r="BI503" s="680">
        <f>I503/6</f>
        <v>250</v>
      </c>
      <c r="BJ503" s="680">
        <f>I503/6</f>
        <v>250</v>
      </c>
      <c r="BK503" s="680">
        <f>I503/6</f>
        <v>250</v>
      </c>
      <c r="BL503" s="680">
        <f>I503/6</f>
        <v>250</v>
      </c>
      <c r="BM503" s="680">
        <f>I503/6</f>
        <v>250</v>
      </c>
      <c r="BN503" s="846"/>
      <c r="BO503" s="846"/>
      <c r="BP503" s="846"/>
      <c r="BQ503" s="846"/>
      <c r="BR503" s="846"/>
      <c r="BS503" s="846"/>
      <c r="BT503" s="680">
        <f t="shared" si="282"/>
        <v>1500</v>
      </c>
      <c r="BU503" s="680">
        <f t="shared" si="283"/>
        <v>0</v>
      </c>
      <c r="BV503" s="847"/>
      <c r="XEO503" s="746"/>
      <c r="XEP503" s="679"/>
      <c r="XEQ503" s="747"/>
      <c r="XER503" s="748"/>
      <c r="XES503" s="821"/>
      <c r="XET503" s="748"/>
      <c r="XEU503" s="749"/>
      <c r="XEV503" s="821"/>
      <c r="XEW503" s="750"/>
      <c r="XEX503" s="750"/>
      <c r="XEY503" s="750"/>
      <c r="XEZ503" s="751"/>
      <c r="XFA503" s="715"/>
      <c r="XFB503" s="715"/>
      <c r="XFC503" s="752"/>
      <c r="XFD503" s="752"/>
    </row>
    <row r="504" s="490" customFormat="1" ht="33" customHeight="1" spans="1:75 16367:16384">
      <c r="A504" s="746">
        <v>46196</v>
      </c>
      <c r="B504" s="679" t="s">
        <v>1946</v>
      </c>
      <c r="C504" s="747" t="s">
        <v>1947</v>
      </c>
      <c r="D504" s="748">
        <v>4500213430</v>
      </c>
      <c r="E504" s="821" t="s">
        <v>2096</v>
      </c>
      <c r="F504" s="748" t="s">
        <v>2331</v>
      </c>
      <c r="G504" s="749" t="s">
        <v>81</v>
      </c>
      <c r="H504" s="821" t="s">
        <v>82</v>
      </c>
      <c r="I504" s="750">
        <v>504</v>
      </c>
      <c r="J504" s="750">
        <v>0</v>
      </c>
      <c r="K504" s="750">
        <v>6</v>
      </c>
      <c r="L504" s="751">
        <f t="shared" si="304"/>
        <v>84</v>
      </c>
      <c r="M504" s="715">
        <v>46231</v>
      </c>
      <c r="N504" s="715">
        <v>46227</v>
      </c>
      <c r="O504" s="752"/>
      <c r="P504" s="586" t="s">
        <v>83</v>
      </c>
      <c r="Q504" s="680" t="s">
        <v>1490</v>
      </c>
      <c r="R504" s="752" t="s">
        <v>2332</v>
      </c>
      <c r="S504" s="752"/>
      <c r="T504" s="752"/>
      <c r="U504" s="752" t="s">
        <v>2333</v>
      </c>
      <c r="V504" s="752"/>
      <c r="W504" s="752" t="s">
        <v>2294</v>
      </c>
      <c r="X504" s="836" t="s">
        <v>2334</v>
      </c>
      <c r="Y504" s="837" t="s">
        <v>116</v>
      </c>
      <c r="Z504" s="838">
        <v>6.1472</v>
      </c>
      <c r="AA504" s="758">
        <f t="shared" si="307"/>
        <v>3098.1888</v>
      </c>
      <c r="AB504" s="644"/>
      <c r="AC504" s="582" t="s">
        <v>235</v>
      </c>
      <c r="AD504" s="605" t="s">
        <v>89</v>
      </c>
      <c r="AE504" s="833"/>
      <c r="AF504" s="833"/>
      <c r="AG504" s="833"/>
      <c r="AH504" s="841"/>
      <c r="AI504" s="841"/>
      <c r="AJ504" s="644">
        <f>I504</f>
        <v>504</v>
      </c>
      <c r="AK504" s="644"/>
      <c r="AL504" s="841"/>
      <c r="AM504" s="840"/>
      <c r="AN504" s="825">
        <f t="shared" si="291"/>
        <v>504</v>
      </c>
      <c r="AO504" s="644"/>
      <c r="AP504" s="848"/>
      <c r="AQ504" s="841"/>
      <c r="AR504" s="644">
        <f t="shared" si="306"/>
        <v>504</v>
      </c>
      <c r="AS504" s="841"/>
      <c r="AT504" s="841"/>
      <c r="AU504" s="644"/>
      <c r="AV504" s="602"/>
      <c r="AW504" s="633">
        <f t="shared" si="292"/>
        <v>504</v>
      </c>
      <c r="AX504" s="633"/>
      <c r="AY504" s="633"/>
      <c r="AZ504" s="633"/>
      <c r="BA504" s="633"/>
      <c r="BB504" s="633"/>
      <c r="BC504" s="633"/>
      <c r="BD504" s="823"/>
      <c r="BE504" s="608"/>
      <c r="BF504" s="679" t="s">
        <v>90</v>
      </c>
      <c r="BG504" s="680"/>
      <c r="BH504" s="633">
        <f>I504/6</f>
        <v>84</v>
      </c>
      <c r="BI504" s="633">
        <f>I504/6</f>
        <v>84</v>
      </c>
      <c r="BJ504" s="633">
        <f>I504/6</f>
        <v>84</v>
      </c>
      <c r="BK504" s="633">
        <f>I504/6</f>
        <v>84</v>
      </c>
      <c r="BL504" s="633">
        <f>I504/6</f>
        <v>84</v>
      </c>
      <c r="BM504" s="633">
        <f>I504/6</f>
        <v>84</v>
      </c>
      <c r="BN504" s="849"/>
      <c r="BO504" s="849"/>
      <c r="BP504" s="849"/>
      <c r="BQ504" s="849"/>
      <c r="BR504" s="849"/>
      <c r="BS504" s="849"/>
      <c r="BT504" s="607">
        <f t="shared" si="282"/>
        <v>504</v>
      </c>
      <c r="BU504" s="608">
        <f t="shared" si="283"/>
        <v>0</v>
      </c>
      <c r="BV504" s="820"/>
      <c r="BW504" s="491"/>
    </row>
    <row r="505" s="490" customFormat="1" ht="33" customHeight="1" spans="1:75 16367:16384">
      <c r="A505" s="746">
        <v>46185</v>
      </c>
      <c r="B505" s="492" t="s">
        <v>2335</v>
      </c>
      <c r="C505" s="747" t="s">
        <v>237</v>
      </c>
      <c r="D505" s="748">
        <v>4500212151</v>
      </c>
      <c r="E505" s="748"/>
      <c r="F505" s="749" t="s">
        <v>2336</v>
      </c>
      <c r="G505" s="750" t="s">
        <v>81</v>
      </c>
      <c r="H505" s="821" t="s">
        <v>82</v>
      </c>
      <c r="I505" s="750">
        <v>240</v>
      </c>
      <c r="J505" s="751">
        <v>0</v>
      </c>
      <c r="K505" s="750">
        <v>6</v>
      </c>
      <c r="L505" s="751">
        <f t="shared" si="304"/>
        <v>40</v>
      </c>
      <c r="M505" s="715">
        <v>46233</v>
      </c>
      <c r="N505" s="715">
        <v>46230</v>
      </c>
      <c r="O505" s="680"/>
      <c r="P505" s="586" t="s">
        <v>83</v>
      </c>
      <c r="Q505" s="752" t="s">
        <v>1468</v>
      </c>
      <c r="R505" s="755" t="s">
        <v>1505</v>
      </c>
      <c r="S505" s="755"/>
      <c r="T505" s="755"/>
      <c r="U505" s="755" t="s">
        <v>2337</v>
      </c>
      <c r="V505" s="756"/>
      <c r="W505" s="752"/>
      <c r="X505" s="756" t="s">
        <v>2338</v>
      </c>
      <c r="Y505" s="758" t="s">
        <v>2339</v>
      </c>
      <c r="Z505" s="759">
        <v>6.0761</v>
      </c>
      <c r="AA505" s="749">
        <f t="shared" si="307"/>
        <v>1458.264</v>
      </c>
      <c r="AB505" s="760"/>
      <c r="AC505" s="749" t="s">
        <v>235</v>
      </c>
      <c r="AD505" s="605" t="s">
        <v>89</v>
      </c>
      <c r="AE505" s="824"/>
      <c r="AF505" s="825"/>
      <c r="AG505" s="824"/>
      <c r="AH505" s="826"/>
      <c r="AI505" s="826"/>
      <c r="AJ505" s="680">
        <f>I505</f>
        <v>240</v>
      </c>
      <c r="AK505" s="644"/>
      <c r="AL505" s="826"/>
      <c r="AM505" s="827"/>
      <c r="AN505" s="825">
        <f t="shared" si="291"/>
        <v>240</v>
      </c>
      <c r="AO505" s="633"/>
      <c r="AP505" s="827"/>
      <c r="AQ505" s="827"/>
      <c r="AR505" s="823"/>
      <c r="AS505" s="828"/>
      <c r="AT505" s="829"/>
      <c r="AU505" s="603">
        <f>I505</f>
        <v>240</v>
      </c>
      <c r="AV505" s="633"/>
      <c r="AW505" s="633">
        <f t="shared" si="292"/>
        <v>240</v>
      </c>
      <c r="AX505" s="602"/>
      <c r="AY505" s="602"/>
      <c r="AZ505" s="602"/>
      <c r="BA505" s="602"/>
      <c r="BB505" s="607"/>
      <c r="BC505" s="608"/>
      <c r="BD505" s="492"/>
      <c r="BE505" s="492"/>
      <c r="BF505" s="679" t="s">
        <v>90</v>
      </c>
      <c r="BG505" s="680"/>
      <c r="BH505" s="680">
        <f>I505/6</f>
        <v>40</v>
      </c>
      <c r="BI505" s="680">
        <f>I505/6</f>
        <v>40</v>
      </c>
      <c r="BJ505" s="680">
        <f>I505/6</f>
        <v>40</v>
      </c>
      <c r="BK505" s="680">
        <f>I505/6</f>
        <v>40</v>
      </c>
      <c r="BL505" s="680">
        <f>I505/6</f>
        <v>40</v>
      </c>
      <c r="BM505" s="680">
        <f>I505/6</f>
        <v>40</v>
      </c>
      <c r="BN505" s="830"/>
      <c r="BO505" s="830"/>
      <c r="BP505" s="830"/>
      <c r="BQ505" s="830"/>
      <c r="BR505" s="830"/>
      <c r="BS505" s="830"/>
      <c r="BT505" s="680">
        <f t="shared" si="282"/>
        <v>240</v>
      </c>
      <c r="BU505" s="680">
        <f t="shared" si="283"/>
        <v>0</v>
      </c>
      <c r="BV505" s="831"/>
      <c r="BW505" s="491"/>
      <c r="BX505" s="490"/>
      <c r="XEM505" s="670"/>
      <c r="XEN505" s="490"/>
      <c r="XEO505" s="653"/>
      <c r="XEP505" s="654"/>
      <c r="XEQ505" s="654"/>
      <c r="XER505" s="656"/>
      <c r="XES505" s="658"/>
      <c r="XET505" s="658"/>
      <c r="XEU505" s="658"/>
      <c r="XEV505" s="671"/>
      <c r="XEW505" s="659"/>
      <c r="XEX505" s="659"/>
      <c r="XEY505" s="660"/>
      <c r="XEZ505" s="660"/>
      <c r="XFA505" s="491"/>
      <c r="XFB505" s="660"/>
      <c r="XFC505" s="660"/>
      <c r="XFD505" s="832"/>
    </row>
    <row r="506" s="490" customFormat="1" ht="33" customHeight="1" spans="1:75 16367:16384">
      <c r="A506" s="746">
        <v>46183</v>
      </c>
      <c r="B506" s="492" t="s">
        <v>999</v>
      </c>
      <c r="C506" s="747" t="s">
        <v>725</v>
      </c>
      <c r="D506" s="748">
        <v>4500211610</v>
      </c>
      <c r="E506" s="748"/>
      <c r="F506" s="749" t="s">
        <v>2340</v>
      </c>
      <c r="G506" s="750" t="s">
        <v>81</v>
      </c>
      <c r="H506" s="821" t="s">
        <v>82</v>
      </c>
      <c r="I506" s="750">
        <v>420</v>
      </c>
      <c r="J506" s="751">
        <v>0</v>
      </c>
      <c r="K506" s="750">
        <v>6</v>
      </c>
      <c r="L506" s="751">
        <f t="shared" si="304"/>
        <v>70</v>
      </c>
      <c r="M506" s="715">
        <v>46231</v>
      </c>
      <c r="N506" s="822">
        <v>46238</v>
      </c>
      <c r="O506" s="725"/>
      <c r="P506" s="586" t="s">
        <v>83</v>
      </c>
      <c r="Q506" s="752"/>
      <c r="R506" s="755" t="s">
        <v>2341</v>
      </c>
      <c r="S506" s="755"/>
      <c r="T506" s="755"/>
      <c r="U506" s="755" t="s">
        <v>2342</v>
      </c>
      <c r="V506" s="756"/>
      <c r="W506" s="752"/>
      <c r="X506" s="756" t="s">
        <v>2343</v>
      </c>
      <c r="Y506" s="758" t="s">
        <v>2316</v>
      </c>
      <c r="Z506" s="759">
        <v>5.8854</v>
      </c>
      <c r="AA506" s="749">
        <f t="shared" ref="AA500:AA517" si="308">Z506*I506</f>
        <v>2471.868</v>
      </c>
      <c r="AB506" s="760"/>
      <c r="AC506" s="749" t="s">
        <v>81</v>
      </c>
      <c r="AD506" s="605" t="s">
        <v>89</v>
      </c>
      <c r="AE506" s="824"/>
      <c r="AF506" s="825"/>
      <c r="AG506" s="824">
        <f>I506</f>
        <v>420</v>
      </c>
      <c r="AH506" s="826"/>
      <c r="AI506" s="826"/>
      <c r="AJ506" s="680"/>
      <c r="AK506" s="644"/>
      <c r="AL506" s="826"/>
      <c r="AM506" s="827"/>
      <c r="AN506" s="825">
        <f t="shared" si="291"/>
        <v>420</v>
      </c>
      <c r="AO506" s="633"/>
      <c r="AP506" s="827"/>
      <c r="AQ506" s="827"/>
      <c r="AR506" s="823">
        <f>I506</f>
        <v>420</v>
      </c>
      <c r="AS506" s="828"/>
      <c r="AT506" s="829"/>
      <c r="AU506" s="603"/>
      <c r="AV506" s="633"/>
      <c r="AW506" s="633">
        <f t="shared" si="292"/>
        <v>420</v>
      </c>
      <c r="AX506" s="602"/>
      <c r="AY506" s="602"/>
      <c r="AZ506" s="602"/>
      <c r="BA506" s="602"/>
      <c r="BB506" s="607"/>
      <c r="BC506" s="608"/>
      <c r="BD506" s="492"/>
      <c r="BE506" s="492"/>
      <c r="BF506" s="679" t="s">
        <v>90</v>
      </c>
      <c r="BG506" s="680"/>
      <c r="BH506" s="680">
        <f t="shared" ref="BH503:BH518" si="309">I506/6</f>
        <v>70</v>
      </c>
      <c r="BI506" s="680">
        <f t="shared" ref="BI503:BI518" si="310">I506/6</f>
        <v>70</v>
      </c>
      <c r="BJ506" s="680">
        <f t="shared" ref="BJ503:BJ518" si="311">I506/6</f>
        <v>70</v>
      </c>
      <c r="BK506" s="680">
        <f t="shared" ref="BK503:BK518" si="312">I506/6</f>
        <v>70</v>
      </c>
      <c r="BL506" s="680">
        <f t="shared" ref="BL503:BL518" si="313">I506/6</f>
        <v>70</v>
      </c>
      <c r="BM506" s="680">
        <f t="shared" ref="BM503:BM518" si="314">I506/6</f>
        <v>70</v>
      </c>
      <c r="BN506" s="830"/>
      <c r="BO506" s="830"/>
      <c r="BP506" s="830"/>
      <c r="BQ506" s="830"/>
      <c r="BR506" s="830"/>
      <c r="BS506" s="830"/>
      <c r="BT506" s="680">
        <f t="shared" si="282"/>
        <v>420</v>
      </c>
      <c r="BU506" s="680">
        <f t="shared" si="283"/>
        <v>0</v>
      </c>
      <c r="BV506" s="831"/>
      <c r="BW506" s="491"/>
      <c r="BX506" s="490"/>
      <c r="XEM506" s="670"/>
      <c r="XEN506" s="490"/>
      <c r="XEO506" s="653"/>
      <c r="XEP506" s="654"/>
      <c r="XEQ506" s="654"/>
      <c r="XER506" s="656"/>
      <c r="XES506" s="658"/>
      <c r="XET506" s="658"/>
      <c r="XEU506" s="658"/>
      <c r="XEV506" s="671"/>
      <c r="XEW506" s="659"/>
      <c r="XEX506" s="659"/>
      <c r="XEY506" s="660"/>
      <c r="XEZ506" s="660"/>
      <c r="XFA506" s="491"/>
      <c r="XFB506" s="660"/>
      <c r="XFC506" s="660"/>
      <c r="XFD506" s="832"/>
    </row>
    <row r="507" s="490" customFormat="1" ht="33" customHeight="1" spans="1:75 16367:16384">
      <c r="A507" s="746">
        <v>46171</v>
      </c>
      <c r="B507" s="679" t="s">
        <v>2344</v>
      </c>
      <c r="C507" s="747" t="s">
        <v>2345</v>
      </c>
      <c r="D507" s="748">
        <v>4500209304</v>
      </c>
      <c r="E507" s="821" t="s">
        <v>2096</v>
      </c>
      <c r="F507" s="748" t="s">
        <v>2346</v>
      </c>
      <c r="G507" s="749" t="s">
        <v>81</v>
      </c>
      <c r="H507" s="821" t="s">
        <v>82</v>
      </c>
      <c r="I507" s="750">
        <v>150</v>
      </c>
      <c r="J507" s="750">
        <v>0</v>
      </c>
      <c r="K507" s="750">
        <v>6</v>
      </c>
      <c r="L507" s="751">
        <f t="shared" si="304"/>
        <v>25</v>
      </c>
      <c r="M507" s="715">
        <v>46241</v>
      </c>
      <c r="N507" s="715">
        <v>46237</v>
      </c>
      <c r="O507" s="752"/>
      <c r="P507" s="586" t="s">
        <v>83</v>
      </c>
      <c r="Q507" s="680" t="s">
        <v>1488</v>
      </c>
      <c r="R507" s="752" t="s">
        <v>2278</v>
      </c>
      <c r="S507" s="752"/>
      <c r="T507" s="752"/>
      <c r="U507" s="752" t="s">
        <v>2347</v>
      </c>
      <c r="V507" s="752"/>
      <c r="W507" s="752"/>
      <c r="X507" s="850" t="s">
        <v>2348</v>
      </c>
      <c r="Y507" s="837" t="s">
        <v>1004</v>
      </c>
      <c r="Z507" s="838">
        <v>5.8854</v>
      </c>
      <c r="AA507" s="758">
        <f t="shared" si="308"/>
        <v>882.81</v>
      </c>
      <c r="AB507" s="644"/>
      <c r="AC507" s="749" t="s">
        <v>81</v>
      </c>
      <c r="AD507" s="760" t="s">
        <v>89</v>
      </c>
      <c r="AE507" s="833"/>
      <c r="AF507" s="833"/>
      <c r="AG507" s="833">
        <f>I507</f>
        <v>150</v>
      </c>
      <c r="AH507" s="841"/>
      <c r="AI507" s="841"/>
      <c r="AJ507" s="644"/>
      <c r="AK507" s="644"/>
      <c r="AL507" s="841"/>
      <c r="AM507" s="840"/>
      <c r="AN507" s="825">
        <f t="shared" si="291"/>
        <v>150</v>
      </c>
      <c r="AO507" s="644"/>
      <c r="AP507" s="848"/>
      <c r="AQ507" s="841"/>
      <c r="AR507" s="644">
        <f>I507</f>
        <v>150</v>
      </c>
      <c r="AS507" s="841"/>
      <c r="AT507" s="841"/>
      <c r="AU507" s="644"/>
      <c r="AV507" s="602"/>
      <c r="AW507" s="633">
        <f t="shared" si="292"/>
        <v>150</v>
      </c>
      <c r="AX507" s="633"/>
      <c r="AY507" s="633"/>
      <c r="AZ507" s="633"/>
      <c r="BA507" s="633"/>
      <c r="BB507" s="633"/>
      <c r="BC507" s="633"/>
      <c r="BD507" s="823"/>
      <c r="BE507" s="608"/>
      <c r="BF507" s="851" t="s">
        <v>90</v>
      </c>
      <c r="BG507" s="680"/>
      <c r="BH507" s="633">
        <f t="shared" si="309"/>
        <v>25</v>
      </c>
      <c r="BI507" s="633">
        <f t="shared" si="310"/>
        <v>25</v>
      </c>
      <c r="BJ507" s="633">
        <f t="shared" si="311"/>
        <v>25</v>
      </c>
      <c r="BK507" s="633">
        <f t="shared" si="312"/>
        <v>25</v>
      </c>
      <c r="BL507" s="633">
        <f t="shared" si="313"/>
        <v>25</v>
      </c>
      <c r="BM507" s="633">
        <f t="shared" si="314"/>
        <v>25</v>
      </c>
      <c r="BN507" s="849"/>
      <c r="BO507" s="849"/>
      <c r="BP507" s="849"/>
      <c r="BQ507" s="849"/>
      <c r="BR507" s="849"/>
      <c r="BS507" s="849"/>
      <c r="BT507" s="607">
        <f t="shared" si="282"/>
        <v>150</v>
      </c>
      <c r="BU507" s="608">
        <f t="shared" si="283"/>
        <v>0</v>
      </c>
      <c r="BV507" s="820"/>
      <c r="BW507" s="491"/>
    </row>
    <row r="508" s="490" customFormat="1" ht="33" customHeight="1" spans="1:75 16367:16384">
      <c r="A508" s="746">
        <v>46181</v>
      </c>
      <c r="B508" s="679" t="s">
        <v>724</v>
      </c>
      <c r="C508" s="747" t="s">
        <v>725</v>
      </c>
      <c r="D508" s="748">
        <v>4500211021</v>
      </c>
      <c r="E508" s="821" t="s">
        <v>2349</v>
      </c>
      <c r="F508" s="748" t="s">
        <v>2350</v>
      </c>
      <c r="G508" s="749" t="s">
        <v>81</v>
      </c>
      <c r="H508" s="821" t="s">
        <v>82</v>
      </c>
      <c r="I508" s="750">
        <v>3360</v>
      </c>
      <c r="J508" s="750">
        <v>0</v>
      </c>
      <c r="K508" s="750">
        <v>6</v>
      </c>
      <c r="L508" s="751">
        <f t="shared" si="304"/>
        <v>560</v>
      </c>
      <c r="M508" s="715">
        <v>46241</v>
      </c>
      <c r="N508" s="715">
        <v>46237</v>
      </c>
      <c r="O508" s="752"/>
      <c r="P508" s="586" t="s">
        <v>83</v>
      </c>
      <c r="Q508" s="680"/>
      <c r="R508" s="752" t="s">
        <v>2351</v>
      </c>
      <c r="S508" s="752"/>
      <c r="T508" s="752"/>
      <c r="U508" s="752" t="s">
        <v>2352</v>
      </c>
      <c r="V508" s="752"/>
      <c r="W508" s="752" t="s">
        <v>2353</v>
      </c>
      <c r="X508" s="836" t="s">
        <v>2354</v>
      </c>
      <c r="Y508" s="837" t="s">
        <v>1004</v>
      </c>
      <c r="Z508" s="838">
        <v>5.8663</v>
      </c>
      <c r="AA508" s="758">
        <f t="shared" si="308"/>
        <v>19710.768</v>
      </c>
      <c r="AB508" s="644"/>
      <c r="AC508" s="749" t="s">
        <v>81</v>
      </c>
      <c r="AD508" s="605" t="s">
        <v>89</v>
      </c>
      <c r="AE508" s="833"/>
      <c r="AF508" s="833"/>
      <c r="AG508" s="833">
        <f>I508</f>
        <v>3360</v>
      </c>
      <c r="AH508" s="852"/>
      <c r="AI508" s="852"/>
      <c r="AJ508" s="644"/>
      <c r="AK508" s="644"/>
      <c r="AL508" s="852"/>
      <c r="AM508" s="853"/>
      <c r="AN508" s="825">
        <f t="shared" si="291"/>
        <v>3360</v>
      </c>
      <c r="AO508" s="644"/>
      <c r="AP508" s="854"/>
      <c r="AQ508" s="852"/>
      <c r="AR508" s="644">
        <f>I508</f>
        <v>3360</v>
      </c>
      <c r="AS508" s="852"/>
      <c r="AT508" s="852"/>
      <c r="AU508" s="644"/>
      <c r="AV508" s="602"/>
      <c r="AW508" s="633">
        <f t="shared" si="292"/>
        <v>3360</v>
      </c>
      <c r="AX508" s="633"/>
      <c r="AY508" s="633"/>
      <c r="AZ508" s="633"/>
      <c r="BA508" s="633"/>
      <c r="BB508" s="633"/>
      <c r="BC508" s="633"/>
      <c r="BD508" s="823"/>
      <c r="BE508" s="608"/>
      <c r="BF508" s="679" t="s">
        <v>90</v>
      </c>
      <c r="BG508" s="680"/>
      <c r="BH508" s="633">
        <f t="shared" si="309"/>
        <v>560</v>
      </c>
      <c r="BI508" s="633">
        <f t="shared" si="310"/>
        <v>560</v>
      </c>
      <c r="BJ508" s="633">
        <f t="shared" si="311"/>
        <v>560</v>
      </c>
      <c r="BK508" s="633">
        <f t="shared" si="312"/>
        <v>560</v>
      </c>
      <c r="BL508" s="633">
        <f t="shared" si="313"/>
        <v>560</v>
      </c>
      <c r="BM508" s="633">
        <f t="shared" si="314"/>
        <v>560</v>
      </c>
      <c r="BN508" s="834"/>
      <c r="BO508" s="834"/>
      <c r="BP508" s="834"/>
      <c r="BQ508" s="834"/>
      <c r="BR508" s="834"/>
      <c r="BS508" s="834"/>
      <c r="BT508" s="607">
        <f t="shared" si="282"/>
        <v>3360</v>
      </c>
      <c r="BU508" s="608">
        <f t="shared" si="283"/>
        <v>0</v>
      </c>
      <c r="BV508" s="831"/>
      <c r="BW508" s="491"/>
    </row>
    <row r="509" s="490" customFormat="1" ht="33" customHeight="1" spans="1:75 16367:16384">
      <c r="A509" s="746">
        <v>46181</v>
      </c>
      <c r="B509" s="679" t="s">
        <v>724</v>
      </c>
      <c r="C509" s="747" t="s">
        <v>725</v>
      </c>
      <c r="D509" s="748">
        <v>4500211044</v>
      </c>
      <c r="E509" s="821" t="s">
        <v>2355</v>
      </c>
      <c r="F509" s="748" t="s">
        <v>2356</v>
      </c>
      <c r="G509" s="749" t="s">
        <v>81</v>
      </c>
      <c r="H509" s="821" t="s">
        <v>82</v>
      </c>
      <c r="I509" s="750">
        <v>1308</v>
      </c>
      <c r="J509" s="750">
        <v>0</v>
      </c>
      <c r="K509" s="750">
        <v>6</v>
      </c>
      <c r="L509" s="751">
        <f t="shared" si="304"/>
        <v>218</v>
      </c>
      <c r="M509" s="715">
        <v>46241</v>
      </c>
      <c r="N509" s="715">
        <v>46237</v>
      </c>
      <c r="O509" s="752"/>
      <c r="P509" s="586" t="s">
        <v>83</v>
      </c>
      <c r="Q509" s="680"/>
      <c r="R509" s="752" t="s">
        <v>2351</v>
      </c>
      <c r="S509" s="752"/>
      <c r="T509" s="752"/>
      <c r="U509" s="752" t="s">
        <v>2357</v>
      </c>
      <c r="V509" s="752"/>
      <c r="W509" s="752" t="s">
        <v>2353</v>
      </c>
      <c r="X509" s="850" t="s">
        <v>2358</v>
      </c>
      <c r="Y509" s="837" t="s">
        <v>1004</v>
      </c>
      <c r="Z509" s="838">
        <v>5.8776</v>
      </c>
      <c r="AA509" s="758">
        <f t="shared" si="308"/>
        <v>7687.9008</v>
      </c>
      <c r="AB509" s="644"/>
      <c r="AC509" s="749" t="s">
        <v>81</v>
      </c>
      <c r="AD509" s="605" t="s">
        <v>89</v>
      </c>
      <c r="AE509" s="833"/>
      <c r="AF509" s="833"/>
      <c r="AG509" s="833">
        <f>I509</f>
        <v>1308</v>
      </c>
      <c r="AH509" s="852"/>
      <c r="AI509" s="852"/>
      <c r="AJ509" s="644"/>
      <c r="AK509" s="644"/>
      <c r="AL509" s="852"/>
      <c r="AM509" s="853"/>
      <c r="AN509" s="825">
        <f t="shared" si="291"/>
        <v>1308</v>
      </c>
      <c r="AO509" s="644"/>
      <c r="AP509" s="854"/>
      <c r="AQ509" s="852"/>
      <c r="AR509" s="644">
        <f>I509</f>
        <v>1308</v>
      </c>
      <c r="AS509" s="852"/>
      <c r="AT509" s="852"/>
      <c r="AU509" s="644"/>
      <c r="AV509" s="602"/>
      <c r="AW509" s="633">
        <f t="shared" si="292"/>
        <v>1308</v>
      </c>
      <c r="AX509" s="633"/>
      <c r="AY509" s="633"/>
      <c r="AZ509" s="633"/>
      <c r="BA509" s="633"/>
      <c r="BB509" s="633"/>
      <c r="BC509" s="633"/>
      <c r="BD509" s="823"/>
      <c r="BE509" s="608"/>
      <c r="BF509" s="679" t="s">
        <v>90</v>
      </c>
      <c r="BG509" s="680"/>
      <c r="BH509" s="633">
        <f t="shared" si="309"/>
        <v>218</v>
      </c>
      <c r="BI509" s="633">
        <f t="shared" si="310"/>
        <v>218</v>
      </c>
      <c r="BJ509" s="633">
        <f t="shared" si="311"/>
        <v>218</v>
      </c>
      <c r="BK509" s="633">
        <f t="shared" si="312"/>
        <v>218</v>
      </c>
      <c r="BL509" s="633">
        <f t="shared" si="313"/>
        <v>218</v>
      </c>
      <c r="BM509" s="633">
        <f t="shared" si="314"/>
        <v>218</v>
      </c>
      <c r="BN509" s="834"/>
      <c r="BO509" s="834"/>
      <c r="BP509" s="834"/>
      <c r="BQ509" s="834"/>
      <c r="BR509" s="834"/>
      <c r="BS509" s="834"/>
      <c r="BT509" s="607">
        <f t="shared" si="282"/>
        <v>1308</v>
      </c>
      <c r="BU509" s="608">
        <f t="shared" si="283"/>
        <v>0</v>
      </c>
      <c r="BV509" s="831"/>
      <c r="BW509" s="491"/>
    </row>
    <row r="510" s="490" customFormat="1" ht="33" customHeight="1" spans="1:75 16367:16384">
      <c r="A510" s="746">
        <v>46204</v>
      </c>
      <c r="B510" s="679" t="s">
        <v>2359</v>
      </c>
      <c r="C510" s="747" t="s">
        <v>2360</v>
      </c>
      <c r="D510" s="748" t="s">
        <v>2361</v>
      </c>
      <c r="E510" s="821" t="s">
        <v>2096</v>
      </c>
      <c r="F510" s="748" t="s">
        <v>2362</v>
      </c>
      <c r="G510" s="749" t="s">
        <v>81</v>
      </c>
      <c r="H510" s="821" t="s">
        <v>82</v>
      </c>
      <c r="I510" s="750">
        <v>504</v>
      </c>
      <c r="J510" s="750">
        <v>0</v>
      </c>
      <c r="K510" s="750">
        <v>6</v>
      </c>
      <c r="L510" s="751">
        <f t="shared" si="304"/>
        <v>84</v>
      </c>
      <c r="M510" s="715">
        <v>46241</v>
      </c>
      <c r="N510" s="715">
        <v>46237</v>
      </c>
      <c r="O510" s="752"/>
      <c r="P510" s="586" t="s">
        <v>83</v>
      </c>
      <c r="Q510" s="680" t="s">
        <v>1633</v>
      </c>
      <c r="R510" s="752" t="s">
        <v>2363</v>
      </c>
      <c r="S510" s="752"/>
      <c r="T510" s="752"/>
      <c r="U510" s="752" t="s">
        <v>2364</v>
      </c>
      <c r="V510" s="752"/>
      <c r="W510" s="752" t="s">
        <v>2294</v>
      </c>
      <c r="X510" s="836" t="s">
        <v>2365</v>
      </c>
      <c r="Y510" s="855" t="s">
        <v>2366</v>
      </c>
      <c r="Z510" s="838">
        <v>6.0761</v>
      </c>
      <c r="AA510" s="758">
        <f t="shared" si="308"/>
        <v>3062.3544</v>
      </c>
      <c r="AB510" s="644"/>
      <c r="AC510" s="749" t="s">
        <v>235</v>
      </c>
      <c r="AD510" s="605" t="s">
        <v>89</v>
      </c>
      <c r="AE510" s="833"/>
      <c r="AF510" s="833"/>
      <c r="AG510" s="833"/>
      <c r="AH510" s="841"/>
      <c r="AI510" s="841"/>
      <c r="AJ510" s="644">
        <f>I510</f>
        <v>504</v>
      </c>
      <c r="AK510" s="644"/>
      <c r="AL510" s="841"/>
      <c r="AM510" s="840"/>
      <c r="AN510" s="825">
        <f t="shared" si="291"/>
        <v>504</v>
      </c>
      <c r="AO510" s="644"/>
      <c r="AP510" s="848"/>
      <c r="AQ510" s="841"/>
      <c r="AR510" s="644"/>
      <c r="AS510" s="841"/>
      <c r="AT510" s="841"/>
      <c r="AU510" s="644">
        <f>I510</f>
        <v>504</v>
      </c>
      <c r="AV510" s="602"/>
      <c r="AW510" s="633">
        <f t="shared" si="292"/>
        <v>504</v>
      </c>
      <c r="AX510" s="633"/>
      <c r="AY510" s="633"/>
      <c r="AZ510" s="633"/>
      <c r="BA510" s="633"/>
      <c r="BB510" s="633"/>
      <c r="BC510" s="633"/>
      <c r="BD510" s="823"/>
      <c r="BE510" s="608"/>
      <c r="BF510" s="679" t="s">
        <v>90</v>
      </c>
      <c r="BG510" s="680"/>
      <c r="BH510" s="633">
        <f t="shared" si="309"/>
        <v>84</v>
      </c>
      <c r="BI510" s="633">
        <f t="shared" si="310"/>
        <v>84</v>
      </c>
      <c r="BJ510" s="633">
        <f t="shared" si="311"/>
        <v>84</v>
      </c>
      <c r="BK510" s="633">
        <f t="shared" si="312"/>
        <v>84</v>
      </c>
      <c r="BL510" s="633">
        <f t="shared" si="313"/>
        <v>84</v>
      </c>
      <c r="BM510" s="633">
        <f t="shared" si="314"/>
        <v>84</v>
      </c>
      <c r="BN510" s="849"/>
      <c r="BO510" s="849"/>
      <c r="BP510" s="849"/>
      <c r="BQ510" s="849"/>
      <c r="BR510" s="849"/>
      <c r="BS510" s="849"/>
      <c r="BT510" s="607">
        <f t="shared" si="282"/>
        <v>504</v>
      </c>
      <c r="BU510" s="608">
        <f t="shared" si="283"/>
        <v>0</v>
      </c>
      <c r="BV510" s="820"/>
      <c r="BW510" s="491"/>
    </row>
    <row r="511" s="490" customFormat="1" ht="33" customHeight="1" spans="1:75 16367:16384">
      <c r="A511" s="746">
        <v>46204</v>
      </c>
      <c r="B511" s="679" t="s">
        <v>2367</v>
      </c>
      <c r="C511" s="747" t="s">
        <v>92</v>
      </c>
      <c r="D511" s="748" t="s">
        <v>2368</v>
      </c>
      <c r="E511" s="821" t="s">
        <v>2369</v>
      </c>
      <c r="F511" s="748" t="s">
        <v>2370</v>
      </c>
      <c r="G511" s="749" t="s">
        <v>1016</v>
      </c>
      <c r="H511" s="821" t="s">
        <v>95</v>
      </c>
      <c r="I511" s="750">
        <v>780</v>
      </c>
      <c r="J511" s="750">
        <v>0</v>
      </c>
      <c r="K511" s="750">
        <v>1</v>
      </c>
      <c r="L511" s="751">
        <f t="shared" si="304"/>
        <v>780</v>
      </c>
      <c r="M511" s="715">
        <v>46245</v>
      </c>
      <c r="N511" s="715">
        <v>46241</v>
      </c>
      <c r="O511" s="752"/>
      <c r="P511" s="586" t="s">
        <v>83</v>
      </c>
      <c r="Q511" s="680"/>
      <c r="R511" s="752" t="s">
        <v>2363</v>
      </c>
      <c r="S511" s="752"/>
      <c r="T511" s="752"/>
      <c r="U511" s="752" t="s">
        <v>86</v>
      </c>
      <c r="V511" s="752"/>
      <c r="W511" s="752" t="s">
        <v>2294</v>
      </c>
      <c r="X511" s="850" t="s">
        <v>2371</v>
      </c>
      <c r="Y511" s="837" t="s">
        <v>2372</v>
      </c>
      <c r="Z511" s="838">
        <v>3.4755</v>
      </c>
      <c r="AA511" s="758">
        <f t="shared" si="308"/>
        <v>2710.89</v>
      </c>
      <c r="AB511" s="644"/>
      <c r="AC511" s="582" t="s">
        <v>1016</v>
      </c>
      <c r="AD511" s="605" t="s">
        <v>89</v>
      </c>
      <c r="AE511" s="833"/>
      <c r="AF511" s="833"/>
      <c r="AG511" s="833">
        <f>I511</f>
        <v>780</v>
      </c>
      <c r="AH511" s="841"/>
      <c r="AI511" s="841"/>
      <c r="AJ511" s="644"/>
      <c r="AK511" s="644"/>
      <c r="AL511" s="841"/>
      <c r="AM511" s="840"/>
      <c r="AN511" s="825">
        <f t="shared" si="291"/>
        <v>780</v>
      </c>
      <c r="AO511" s="644"/>
      <c r="AP511" s="848"/>
      <c r="AQ511" s="841"/>
      <c r="AR511" s="644">
        <f>I511</f>
        <v>780</v>
      </c>
      <c r="AS511" s="841"/>
      <c r="AT511" s="841"/>
      <c r="AU511" s="644"/>
      <c r="AV511" s="602"/>
      <c r="AW511" s="633">
        <f t="shared" si="292"/>
        <v>780</v>
      </c>
      <c r="AX511" s="633"/>
      <c r="AY511" s="633"/>
      <c r="AZ511" s="633"/>
      <c r="BA511" s="633"/>
      <c r="BB511" s="633"/>
      <c r="BC511" s="633"/>
      <c r="BD511" s="823"/>
      <c r="BE511" s="608"/>
      <c r="BF511" s="679" t="s">
        <v>90</v>
      </c>
      <c r="BG511" s="680"/>
      <c r="BH511" s="633">
        <f t="shared" si="309"/>
        <v>130</v>
      </c>
      <c r="BI511" s="633">
        <f t="shared" si="310"/>
        <v>130</v>
      </c>
      <c r="BJ511" s="633">
        <f t="shared" si="311"/>
        <v>130</v>
      </c>
      <c r="BK511" s="633">
        <f t="shared" si="312"/>
        <v>130</v>
      </c>
      <c r="BL511" s="633">
        <f t="shared" si="313"/>
        <v>130</v>
      </c>
      <c r="BM511" s="633">
        <f t="shared" si="314"/>
        <v>130</v>
      </c>
      <c r="BN511" s="849"/>
      <c r="BO511" s="849"/>
      <c r="BP511" s="849"/>
      <c r="BQ511" s="849"/>
      <c r="BR511" s="849"/>
      <c r="BS511" s="849"/>
      <c r="BT511" s="607">
        <f t="shared" si="282"/>
        <v>780</v>
      </c>
      <c r="BU511" s="608">
        <f t="shared" si="283"/>
        <v>0</v>
      </c>
      <c r="BV511" s="820"/>
      <c r="BW511" s="491"/>
    </row>
    <row r="512" s="490" customFormat="1" ht="33" customHeight="1" spans="1:75 16367:16384">
      <c r="A512" s="746">
        <v>46204</v>
      </c>
      <c r="B512" s="679" t="s">
        <v>2367</v>
      </c>
      <c r="C512" s="747" t="s">
        <v>92</v>
      </c>
      <c r="D512" s="748" t="s">
        <v>2368</v>
      </c>
      <c r="E512" s="821" t="s">
        <v>2373</v>
      </c>
      <c r="F512" s="748" t="s">
        <v>2374</v>
      </c>
      <c r="G512" s="749" t="s">
        <v>1016</v>
      </c>
      <c r="H512" s="821" t="s">
        <v>95</v>
      </c>
      <c r="I512" s="750">
        <v>420</v>
      </c>
      <c r="J512" s="750">
        <v>0</v>
      </c>
      <c r="K512" s="750">
        <v>1</v>
      </c>
      <c r="L512" s="751">
        <f t="shared" si="304"/>
        <v>420</v>
      </c>
      <c r="M512" s="715">
        <v>46245</v>
      </c>
      <c r="N512" s="715">
        <v>46241</v>
      </c>
      <c r="O512" s="752"/>
      <c r="P512" s="586" t="s">
        <v>83</v>
      </c>
      <c r="Q512" s="680"/>
      <c r="R512" s="752" t="s">
        <v>2363</v>
      </c>
      <c r="S512" s="752"/>
      <c r="T512" s="752"/>
      <c r="U512" s="752" t="s">
        <v>86</v>
      </c>
      <c r="V512" s="752"/>
      <c r="W512" s="752" t="s">
        <v>2294</v>
      </c>
      <c r="X512" s="850" t="s">
        <v>2371</v>
      </c>
      <c r="Y512" s="837" t="s">
        <v>2372</v>
      </c>
      <c r="Z512" s="838">
        <v>3.4755</v>
      </c>
      <c r="AA512" s="758">
        <f t="shared" si="308"/>
        <v>1459.71</v>
      </c>
      <c r="AB512" s="644"/>
      <c r="AC512" s="582" t="s">
        <v>1016</v>
      </c>
      <c r="AD512" s="605" t="s">
        <v>89</v>
      </c>
      <c r="AE512" s="833"/>
      <c r="AF512" s="833"/>
      <c r="AG512" s="833">
        <f>I512</f>
        <v>420</v>
      </c>
      <c r="AH512" s="841"/>
      <c r="AI512" s="841"/>
      <c r="AJ512" s="644"/>
      <c r="AK512" s="644"/>
      <c r="AL512" s="841"/>
      <c r="AM512" s="840"/>
      <c r="AN512" s="825">
        <f t="shared" si="291"/>
        <v>420</v>
      </c>
      <c r="AO512" s="644"/>
      <c r="AP512" s="848"/>
      <c r="AQ512" s="841"/>
      <c r="AR512" s="644">
        <f>I512</f>
        <v>420</v>
      </c>
      <c r="AS512" s="841"/>
      <c r="AT512" s="841"/>
      <c r="AU512" s="644"/>
      <c r="AV512" s="602"/>
      <c r="AW512" s="633">
        <f t="shared" si="292"/>
        <v>420</v>
      </c>
      <c r="AX512" s="633"/>
      <c r="AY512" s="633"/>
      <c r="AZ512" s="633"/>
      <c r="BA512" s="633"/>
      <c r="BB512" s="633"/>
      <c r="BC512" s="633"/>
      <c r="BD512" s="823"/>
      <c r="BE512" s="608"/>
      <c r="BF512" s="679" t="s">
        <v>90</v>
      </c>
      <c r="BG512" s="680"/>
      <c r="BH512" s="633">
        <f t="shared" si="309"/>
        <v>70</v>
      </c>
      <c r="BI512" s="633">
        <f t="shared" si="310"/>
        <v>70</v>
      </c>
      <c r="BJ512" s="633">
        <f t="shared" si="311"/>
        <v>70</v>
      </c>
      <c r="BK512" s="633">
        <f t="shared" si="312"/>
        <v>70</v>
      </c>
      <c r="BL512" s="633">
        <f t="shared" si="313"/>
        <v>70</v>
      </c>
      <c r="BM512" s="633">
        <f t="shared" si="314"/>
        <v>70</v>
      </c>
      <c r="BN512" s="849"/>
      <c r="BO512" s="849"/>
      <c r="BP512" s="849"/>
      <c r="BQ512" s="849"/>
      <c r="BR512" s="849"/>
      <c r="BS512" s="849"/>
      <c r="BT512" s="607">
        <f t="shared" si="282"/>
        <v>420</v>
      </c>
      <c r="BU512" s="608">
        <f t="shared" si="283"/>
        <v>0</v>
      </c>
      <c r="BV512" s="820"/>
      <c r="BW512" s="491"/>
    </row>
    <row r="513" s="490" customFormat="1" ht="33" customHeight="1" spans="1:75 16301:16384">
      <c r="A513" s="746">
        <v>46184</v>
      </c>
      <c r="B513" s="492" t="s">
        <v>1910</v>
      </c>
      <c r="C513" s="747" t="s">
        <v>2375</v>
      </c>
      <c r="D513" s="748">
        <v>4500211330</v>
      </c>
      <c r="E513" s="748"/>
      <c r="F513" s="749" t="s">
        <v>2376</v>
      </c>
      <c r="G513" s="750" t="s">
        <v>81</v>
      </c>
      <c r="H513" s="821" t="s">
        <v>82</v>
      </c>
      <c r="I513" s="750">
        <v>300</v>
      </c>
      <c r="J513" s="751">
        <v>0</v>
      </c>
      <c r="K513" s="750">
        <v>6</v>
      </c>
      <c r="L513" s="751">
        <f t="shared" si="304"/>
        <v>50</v>
      </c>
      <c r="M513" s="822">
        <v>46248</v>
      </c>
      <c r="N513" s="822">
        <v>46245</v>
      </c>
      <c r="O513" s="679"/>
      <c r="P513" s="586" t="s">
        <v>83</v>
      </c>
      <c r="Q513" s="752"/>
      <c r="R513" s="755" t="s">
        <v>2377</v>
      </c>
      <c r="S513" s="755"/>
      <c r="T513" s="755"/>
      <c r="U513" s="755" t="s">
        <v>2378</v>
      </c>
      <c r="V513" s="756"/>
      <c r="W513" s="752"/>
      <c r="X513" s="856" t="s">
        <v>2379</v>
      </c>
      <c r="Y513" s="758" t="s">
        <v>356</v>
      </c>
      <c r="Z513" s="759">
        <v>6.0761</v>
      </c>
      <c r="AA513" s="749">
        <f t="shared" si="308"/>
        <v>1822.83</v>
      </c>
      <c r="AB513" s="760"/>
      <c r="AC513" s="749" t="s">
        <v>81</v>
      </c>
      <c r="AD513" s="605" t="s">
        <v>89</v>
      </c>
      <c r="AE513" s="824"/>
      <c r="AF513" s="825"/>
      <c r="AG513" s="824">
        <f>I513</f>
        <v>300</v>
      </c>
      <c r="AH513" s="826"/>
      <c r="AI513" s="826"/>
      <c r="AJ513" s="680"/>
      <c r="AK513" s="644"/>
      <c r="AL513" s="826"/>
      <c r="AM513" s="827"/>
      <c r="AN513" s="825">
        <f t="shared" si="291"/>
        <v>300</v>
      </c>
      <c r="AO513" s="633"/>
      <c r="AP513" s="827"/>
      <c r="AQ513" s="827"/>
      <c r="AR513" s="824">
        <f>I513</f>
        <v>300</v>
      </c>
      <c r="AS513" s="828"/>
      <c r="AT513" s="829"/>
      <c r="AU513" s="603"/>
      <c r="AV513" s="633"/>
      <c r="AW513" s="644">
        <f t="shared" si="292"/>
        <v>300</v>
      </c>
      <c r="AX513" s="602"/>
      <c r="AY513" s="602"/>
      <c r="AZ513" s="602"/>
      <c r="BA513" s="602"/>
      <c r="BB513" s="607"/>
      <c r="BC513" s="608"/>
      <c r="BD513" s="492"/>
      <c r="BE513" s="492"/>
      <c r="BF513" s="679" t="s">
        <v>90</v>
      </c>
      <c r="BG513" s="680"/>
      <c r="BH513" s="680">
        <f t="shared" si="309"/>
        <v>50</v>
      </c>
      <c r="BI513" s="680">
        <f t="shared" si="310"/>
        <v>50</v>
      </c>
      <c r="BJ513" s="680">
        <f t="shared" si="311"/>
        <v>50</v>
      </c>
      <c r="BK513" s="680">
        <f t="shared" si="312"/>
        <v>50</v>
      </c>
      <c r="BL513" s="680">
        <f t="shared" si="313"/>
        <v>50</v>
      </c>
      <c r="BM513" s="680">
        <f t="shared" si="314"/>
        <v>50</v>
      </c>
      <c r="BN513" s="830"/>
      <c r="BO513" s="830"/>
      <c r="BP513" s="830"/>
      <c r="BQ513" s="830"/>
      <c r="BR513" s="830"/>
      <c r="BS513" s="830"/>
      <c r="BT513" s="680">
        <f t="shared" si="282"/>
        <v>300</v>
      </c>
      <c r="BU513" s="680">
        <f t="shared" si="283"/>
        <v>0</v>
      </c>
      <c r="BV513" s="831"/>
      <c r="BW513" s="491"/>
      <c r="BX513" s="490"/>
      <c r="XEM513" s="670"/>
      <c r="XEN513" s="490"/>
      <c r="XEO513" s="653"/>
      <c r="XEP513" s="654"/>
      <c r="XEQ513" s="654"/>
      <c r="XER513" s="656"/>
      <c r="XES513" s="658"/>
      <c r="XET513" s="658"/>
      <c r="XEU513" s="658"/>
      <c r="XEV513" s="671"/>
      <c r="XEW513" s="659"/>
      <c r="XEX513" s="659"/>
      <c r="XEY513" s="660"/>
      <c r="XEZ513" s="660"/>
      <c r="XFA513" s="491"/>
      <c r="XFB513" s="660"/>
      <c r="XFC513" s="660"/>
      <c r="XFD513" s="832"/>
    </row>
    <row r="514" s="490" customFormat="1" ht="33" customHeight="1" spans="1:75 16301:16384">
      <c r="A514" s="857">
        <v>46184</v>
      </c>
      <c r="B514" s="858" t="s">
        <v>1910</v>
      </c>
      <c r="C514" s="859" t="s">
        <v>2380</v>
      </c>
      <c r="D514" s="860">
        <v>4500211382</v>
      </c>
      <c r="E514" s="860"/>
      <c r="F514" s="839" t="s">
        <v>2381</v>
      </c>
      <c r="G514" s="861" t="s">
        <v>81</v>
      </c>
      <c r="H514" s="862" t="s">
        <v>82</v>
      </c>
      <c r="I514" s="861">
        <v>180</v>
      </c>
      <c r="J514" s="863">
        <v>0</v>
      </c>
      <c r="K514" s="861">
        <v>6</v>
      </c>
      <c r="L514" s="863">
        <f t="shared" si="304"/>
        <v>30</v>
      </c>
      <c r="M514" s="864">
        <v>46248</v>
      </c>
      <c r="N514" s="864">
        <v>46245</v>
      </c>
      <c r="O514" s="763"/>
      <c r="P514" s="586" t="s">
        <v>83</v>
      </c>
      <c r="Q514" s="767"/>
      <c r="R514" s="865" t="s">
        <v>2377</v>
      </c>
      <c r="S514" s="865"/>
      <c r="T514" s="865"/>
      <c r="U514" s="865" t="s">
        <v>2382</v>
      </c>
      <c r="V514" s="866"/>
      <c r="W514" s="767"/>
      <c r="X514" s="867" t="s">
        <v>2383</v>
      </c>
      <c r="Y514" s="868" t="s">
        <v>356</v>
      </c>
      <c r="Z514" s="869">
        <v>6.0761</v>
      </c>
      <c r="AA514" s="839">
        <f t="shared" si="308"/>
        <v>1093.698</v>
      </c>
      <c r="AB514" s="870"/>
      <c r="AC514" s="839" t="s">
        <v>81</v>
      </c>
      <c r="AD514" s="871" t="s">
        <v>89</v>
      </c>
      <c r="AE514" s="872"/>
      <c r="AF514" s="873"/>
      <c r="AG514" s="872">
        <f>I514</f>
        <v>180</v>
      </c>
      <c r="AH514" s="874"/>
      <c r="AI514" s="874"/>
      <c r="AJ514" s="776"/>
      <c r="AK514" s="875"/>
      <c r="AL514" s="874"/>
      <c r="AM514" s="876"/>
      <c r="AN514" s="873">
        <f t="shared" si="291"/>
        <v>180</v>
      </c>
      <c r="AO514" s="778"/>
      <c r="AP514" s="876"/>
      <c r="AQ514" s="876"/>
      <c r="AR514" s="872">
        <f>I514</f>
        <v>180</v>
      </c>
      <c r="AS514" s="877"/>
      <c r="AT514" s="878"/>
      <c r="AU514" s="879"/>
      <c r="AV514" s="778"/>
      <c r="AW514" s="875">
        <f t="shared" si="292"/>
        <v>180</v>
      </c>
      <c r="AX514" s="880"/>
      <c r="AY514" s="880"/>
      <c r="AZ514" s="880"/>
      <c r="BA514" s="880"/>
      <c r="BB514" s="780"/>
      <c r="BC514" s="781"/>
      <c r="BD514" s="858"/>
      <c r="BE514" s="858"/>
      <c r="BF514" s="763" t="s">
        <v>90</v>
      </c>
      <c r="BG514" s="776"/>
      <c r="BH514" s="776">
        <f t="shared" si="309"/>
        <v>30</v>
      </c>
      <c r="BI514" s="776">
        <f t="shared" si="310"/>
        <v>30</v>
      </c>
      <c r="BJ514" s="776">
        <f t="shared" si="311"/>
        <v>30</v>
      </c>
      <c r="BK514" s="776">
        <f t="shared" si="312"/>
        <v>30</v>
      </c>
      <c r="BL514" s="776">
        <f t="shared" si="313"/>
        <v>30</v>
      </c>
      <c r="BM514" s="776">
        <f t="shared" si="314"/>
        <v>30</v>
      </c>
      <c r="BN514" s="881"/>
      <c r="BO514" s="881"/>
      <c r="BP514" s="881"/>
      <c r="BQ514" s="881"/>
      <c r="BR514" s="881"/>
      <c r="BS514" s="881"/>
      <c r="BT514" s="776">
        <f t="shared" si="282"/>
        <v>180</v>
      </c>
      <c r="BU514" s="776">
        <f t="shared" si="283"/>
        <v>0</v>
      </c>
      <c r="BV514" s="831"/>
      <c r="BW514" s="491"/>
      <c r="BX514" s="490"/>
      <c r="XEM514" s="670"/>
      <c r="XEN514" s="490"/>
      <c r="XEO514" s="653"/>
      <c r="XEP514" s="654"/>
      <c r="XEQ514" s="654"/>
      <c r="XER514" s="656"/>
      <c r="XES514" s="658"/>
      <c r="XET514" s="658"/>
      <c r="XEU514" s="658"/>
      <c r="XEV514" s="671"/>
      <c r="XEW514" s="659"/>
      <c r="XEX514" s="659"/>
      <c r="XEY514" s="660"/>
      <c r="XEZ514" s="660"/>
      <c r="XFA514" s="491"/>
      <c r="XFB514" s="660"/>
      <c r="XFC514" s="660"/>
      <c r="XFD514" s="832"/>
    </row>
    <row r="515" s="490" customFormat="1" ht="33" customHeight="1" spans="1:75 16301:16384">
      <c r="A515" s="746">
        <v>46142</v>
      </c>
      <c r="B515" s="679" t="s">
        <v>1918</v>
      </c>
      <c r="C515" s="747" t="s">
        <v>2384</v>
      </c>
      <c r="D515" s="748">
        <v>4500204716</v>
      </c>
      <c r="E515" s="821" t="s">
        <v>2096</v>
      </c>
      <c r="F515" s="748" t="s">
        <v>2385</v>
      </c>
      <c r="G515" s="749" t="s">
        <v>81</v>
      </c>
      <c r="H515" s="821" t="s">
        <v>82</v>
      </c>
      <c r="I515" s="750">
        <v>1800</v>
      </c>
      <c r="J515" s="750">
        <v>0</v>
      </c>
      <c r="K515" s="750">
        <v>6</v>
      </c>
      <c r="L515" s="751">
        <f t="shared" si="304"/>
        <v>300</v>
      </c>
      <c r="M515" s="822">
        <v>46246</v>
      </c>
      <c r="N515" s="822">
        <v>46242</v>
      </c>
      <c r="O515" s="752" t="s">
        <v>2168</v>
      </c>
      <c r="P515" s="586" t="s">
        <v>83</v>
      </c>
      <c r="Q515" s="752"/>
      <c r="R515" s="752" t="s">
        <v>2386</v>
      </c>
      <c r="S515" s="752"/>
      <c r="T515" s="752"/>
      <c r="U515" s="752" t="s">
        <v>2169</v>
      </c>
      <c r="V515" s="752"/>
      <c r="W515" s="752"/>
      <c r="X515" s="836" t="s">
        <v>2387</v>
      </c>
      <c r="Y515" s="837" t="s">
        <v>356</v>
      </c>
      <c r="Z515" s="838">
        <v>5.914</v>
      </c>
      <c r="AA515" s="758">
        <f t="shared" si="308"/>
        <v>10645.2</v>
      </c>
      <c r="AB515" s="644"/>
      <c r="AC515" s="749" t="s">
        <v>1909</v>
      </c>
      <c r="AD515" s="760" t="s">
        <v>89</v>
      </c>
      <c r="AE515" s="833"/>
      <c r="AF515" s="833"/>
      <c r="AG515" s="833"/>
      <c r="AH515" s="644"/>
      <c r="AI515" s="644"/>
      <c r="AJ515" s="644"/>
      <c r="AK515" s="644">
        <f>I515</f>
        <v>1800</v>
      </c>
      <c r="AL515" s="644"/>
      <c r="AM515" s="825"/>
      <c r="AN515" s="825"/>
      <c r="AO515" s="644">
        <f>I515</f>
        <v>1800</v>
      </c>
      <c r="AP515" s="759"/>
      <c r="AQ515" s="644"/>
      <c r="AR515" s="644"/>
      <c r="AS515" s="644"/>
      <c r="AT515" s="644"/>
      <c r="AU515" s="644"/>
      <c r="AV515" s="602">
        <f>I515</f>
        <v>1800</v>
      </c>
      <c r="AW515" s="644"/>
      <c r="AX515" s="644">
        <f>I515</f>
        <v>1800</v>
      </c>
      <c r="AY515" s="843"/>
      <c r="AZ515" s="633"/>
      <c r="BA515" s="633"/>
      <c r="BB515" s="633"/>
      <c r="BC515" s="633"/>
      <c r="BD515" s="823"/>
      <c r="BE515" s="608"/>
      <c r="BF515" s="679" t="s">
        <v>90</v>
      </c>
      <c r="BG515" s="680"/>
      <c r="BH515" s="633">
        <f t="shared" si="309"/>
        <v>300</v>
      </c>
      <c r="BI515" s="633">
        <f t="shared" si="310"/>
        <v>300</v>
      </c>
      <c r="BJ515" s="633">
        <f t="shared" si="311"/>
        <v>300</v>
      </c>
      <c r="BK515" s="633">
        <f t="shared" si="312"/>
        <v>300</v>
      </c>
      <c r="BL515" s="633">
        <f t="shared" si="313"/>
        <v>300</v>
      </c>
      <c r="BM515" s="633">
        <f t="shared" si="314"/>
        <v>300</v>
      </c>
      <c r="BN515" s="605"/>
      <c r="BO515" s="605"/>
      <c r="BP515" s="605"/>
      <c r="BQ515" s="605"/>
      <c r="BR515" s="605"/>
      <c r="BS515" s="605"/>
      <c r="BT515" s="607">
        <f>SUM(BH515:BS515)</f>
        <v>1800</v>
      </c>
      <c r="BU515" s="608">
        <f>I515-BT515</f>
        <v>0</v>
      </c>
      <c r="BV515" s="491"/>
      <c r="BW515" s="491"/>
    </row>
    <row r="516" s="490" customFormat="1" ht="33" customHeight="1" spans="1:75 16301:16384">
      <c r="A516" s="746">
        <v>46142</v>
      </c>
      <c r="B516" s="679" t="s">
        <v>1910</v>
      </c>
      <c r="C516" s="747" t="s">
        <v>1922</v>
      </c>
      <c r="D516" s="748">
        <v>4500204719</v>
      </c>
      <c r="E516" s="821" t="s">
        <v>2096</v>
      </c>
      <c r="F516" s="748" t="s">
        <v>2388</v>
      </c>
      <c r="G516" s="749" t="s">
        <v>81</v>
      </c>
      <c r="H516" s="821" t="s">
        <v>82</v>
      </c>
      <c r="I516" s="750">
        <v>720</v>
      </c>
      <c r="J516" s="750">
        <v>0</v>
      </c>
      <c r="K516" s="750">
        <v>6</v>
      </c>
      <c r="L516" s="751">
        <f t="shared" si="304"/>
        <v>120</v>
      </c>
      <c r="M516" s="822">
        <v>46246</v>
      </c>
      <c r="N516" s="822">
        <f>M516-4</f>
        <v>46242</v>
      </c>
      <c r="O516" s="752" t="s">
        <v>2168</v>
      </c>
      <c r="P516" s="586" t="s">
        <v>83</v>
      </c>
      <c r="Q516" s="752"/>
      <c r="R516" s="752" t="s">
        <v>2386</v>
      </c>
      <c r="S516" s="752"/>
      <c r="T516" s="752"/>
      <c r="U516" s="752" t="s">
        <v>2169</v>
      </c>
      <c r="V516" s="752"/>
      <c r="W516" s="752"/>
      <c r="X516" s="850" t="s">
        <v>2389</v>
      </c>
      <c r="Y516" s="837" t="s">
        <v>356</v>
      </c>
      <c r="Z516" s="838">
        <v>5.9216</v>
      </c>
      <c r="AA516" s="758">
        <f t="shared" si="308"/>
        <v>4263.552</v>
      </c>
      <c r="AB516" s="644"/>
      <c r="AC516" s="749" t="s">
        <v>1909</v>
      </c>
      <c r="AD516" s="760" t="s">
        <v>89</v>
      </c>
      <c r="AE516" s="833"/>
      <c r="AF516" s="833"/>
      <c r="AG516" s="833"/>
      <c r="AH516" s="644"/>
      <c r="AI516" s="644"/>
      <c r="AJ516" s="644"/>
      <c r="AK516" s="644">
        <f>I516</f>
        <v>720</v>
      </c>
      <c r="AL516" s="644"/>
      <c r="AM516" s="825"/>
      <c r="AN516" s="825"/>
      <c r="AO516" s="644">
        <f>I516</f>
        <v>720</v>
      </c>
      <c r="AP516" s="759"/>
      <c r="AQ516" s="644"/>
      <c r="AR516" s="644"/>
      <c r="AS516" s="644"/>
      <c r="AT516" s="644"/>
      <c r="AU516" s="644"/>
      <c r="AV516" s="602">
        <f>I516</f>
        <v>720</v>
      </c>
      <c r="AW516" s="644"/>
      <c r="AX516" s="644">
        <f>I516</f>
        <v>720</v>
      </c>
      <c r="AY516" s="843"/>
      <c r="AZ516" s="633"/>
      <c r="BA516" s="633"/>
      <c r="BB516" s="633"/>
      <c r="BC516" s="633"/>
      <c r="BD516" s="823"/>
      <c r="BE516" s="608"/>
      <c r="BF516" s="679" t="s">
        <v>90</v>
      </c>
      <c r="BG516" s="680"/>
      <c r="BH516" s="633">
        <f t="shared" si="309"/>
        <v>120</v>
      </c>
      <c r="BI516" s="633">
        <f t="shared" si="310"/>
        <v>120</v>
      </c>
      <c r="BJ516" s="633">
        <f t="shared" si="311"/>
        <v>120</v>
      </c>
      <c r="BK516" s="633">
        <f t="shared" si="312"/>
        <v>120</v>
      </c>
      <c r="BL516" s="633">
        <f t="shared" si="313"/>
        <v>120</v>
      </c>
      <c r="BM516" s="633">
        <f t="shared" si="314"/>
        <v>120</v>
      </c>
      <c r="BN516" s="605"/>
      <c r="BO516" s="605"/>
      <c r="BP516" s="605"/>
      <c r="BQ516" s="605"/>
      <c r="BR516" s="605"/>
      <c r="BS516" s="605"/>
      <c r="BT516" s="607">
        <f>SUM(BH516:BS516)</f>
        <v>720</v>
      </c>
      <c r="BU516" s="608">
        <f>I516-BT516</f>
        <v>0</v>
      </c>
      <c r="BV516" s="491"/>
      <c r="BW516" s="491"/>
    </row>
    <row r="517" s="490" customFormat="1" ht="33" customHeight="1" spans="1:75 16301:16384">
      <c r="A517" s="746">
        <v>46142</v>
      </c>
      <c r="B517" s="679" t="s">
        <v>1910</v>
      </c>
      <c r="C517" s="747" t="s">
        <v>2171</v>
      </c>
      <c r="D517" s="748">
        <v>4500204723</v>
      </c>
      <c r="E517" s="821" t="s">
        <v>2096</v>
      </c>
      <c r="F517" s="748" t="s">
        <v>2390</v>
      </c>
      <c r="G517" s="749" t="s">
        <v>81</v>
      </c>
      <c r="H517" s="821" t="s">
        <v>82</v>
      </c>
      <c r="I517" s="750">
        <v>1200</v>
      </c>
      <c r="J517" s="750">
        <v>0</v>
      </c>
      <c r="K517" s="750">
        <v>6</v>
      </c>
      <c r="L517" s="751">
        <f t="shared" si="304"/>
        <v>200</v>
      </c>
      <c r="M517" s="822">
        <v>46246</v>
      </c>
      <c r="N517" s="822">
        <f>M517-4</f>
        <v>46242</v>
      </c>
      <c r="O517" s="752" t="s">
        <v>2168</v>
      </c>
      <c r="P517" s="586" t="s">
        <v>83</v>
      </c>
      <c r="Q517" s="752"/>
      <c r="R517" s="752" t="s">
        <v>2386</v>
      </c>
      <c r="S517" s="752"/>
      <c r="T517" s="752"/>
      <c r="U517" s="752" t="s">
        <v>2169</v>
      </c>
      <c r="V517" s="752"/>
      <c r="W517" s="752"/>
      <c r="X517" s="850" t="s">
        <v>2391</v>
      </c>
      <c r="Y517" s="837" t="s">
        <v>356</v>
      </c>
      <c r="Z517" s="838">
        <v>5.914</v>
      </c>
      <c r="AA517" s="758">
        <f t="shared" si="308"/>
        <v>7096.8</v>
      </c>
      <c r="AB517" s="644"/>
      <c r="AC517" s="749" t="s">
        <v>1909</v>
      </c>
      <c r="AD517" s="760" t="s">
        <v>89</v>
      </c>
      <c r="AE517" s="833"/>
      <c r="AF517" s="833"/>
      <c r="AG517" s="833"/>
      <c r="AH517" s="644"/>
      <c r="AI517" s="644"/>
      <c r="AJ517" s="644"/>
      <c r="AK517" s="644">
        <f>I517</f>
        <v>1200</v>
      </c>
      <c r="AL517" s="644"/>
      <c r="AM517" s="825"/>
      <c r="AN517" s="825"/>
      <c r="AO517" s="644">
        <f>I517</f>
        <v>1200</v>
      </c>
      <c r="AP517" s="759"/>
      <c r="AQ517" s="644"/>
      <c r="AR517" s="644"/>
      <c r="AS517" s="644"/>
      <c r="AT517" s="644"/>
      <c r="AU517" s="644"/>
      <c r="AV517" s="602">
        <f>I517</f>
        <v>1200</v>
      </c>
      <c r="AW517" s="644"/>
      <c r="AX517" s="644">
        <f>I517</f>
        <v>1200</v>
      </c>
      <c r="AY517" s="843"/>
      <c r="AZ517" s="633"/>
      <c r="BA517" s="633"/>
      <c r="BB517" s="633"/>
      <c r="BC517" s="633"/>
      <c r="BD517" s="823"/>
      <c r="BE517" s="608"/>
      <c r="BF517" s="679" t="s">
        <v>90</v>
      </c>
      <c r="BG517" s="680"/>
      <c r="BH517" s="633">
        <f t="shared" si="309"/>
        <v>200</v>
      </c>
      <c r="BI517" s="633">
        <f t="shared" si="310"/>
        <v>200</v>
      </c>
      <c r="BJ517" s="633">
        <f t="shared" si="311"/>
        <v>200</v>
      </c>
      <c r="BK517" s="633">
        <f t="shared" si="312"/>
        <v>200</v>
      </c>
      <c r="BL517" s="633">
        <f t="shared" si="313"/>
        <v>200</v>
      </c>
      <c r="BM517" s="633">
        <f t="shared" si="314"/>
        <v>200</v>
      </c>
      <c r="BN517" s="605"/>
      <c r="BO517" s="605"/>
      <c r="BP517" s="605"/>
      <c r="BQ517" s="605"/>
      <c r="BR517" s="605"/>
      <c r="BS517" s="605"/>
      <c r="BT517" s="607">
        <f>SUM(BH517:BS517)</f>
        <v>1200</v>
      </c>
      <c r="BU517" s="608">
        <f>I517-BT517</f>
        <v>0</v>
      </c>
      <c r="BV517" s="491"/>
      <c r="BW517" s="491"/>
    </row>
    <row r="518" s="493" customFormat="1" ht="33" customHeight="1" spans="1:75 16301:16384">
      <c r="A518" s="882">
        <v>46224</v>
      </c>
      <c r="B518" s="883"/>
      <c r="C518" s="884"/>
      <c r="D518" s="885" t="s">
        <v>2392</v>
      </c>
      <c r="E518" s="886"/>
      <c r="F518" s="885" t="s">
        <v>2393</v>
      </c>
      <c r="G518" s="887" t="s">
        <v>81</v>
      </c>
      <c r="H518" s="886" t="s">
        <v>82</v>
      </c>
      <c r="I518" s="888">
        <v>180</v>
      </c>
      <c r="J518" s="888">
        <v>0</v>
      </c>
      <c r="K518" s="888">
        <v>6</v>
      </c>
      <c r="L518" s="889">
        <f t="shared" si="304"/>
        <v>30</v>
      </c>
      <c r="M518" s="890">
        <v>46247</v>
      </c>
      <c r="N518" s="890">
        <v>46244</v>
      </c>
      <c r="O518" s="891"/>
      <c r="P518" s="891"/>
      <c r="Q518" s="173"/>
      <c r="R518" s="891" t="s">
        <v>1576</v>
      </c>
      <c r="S518" s="891"/>
      <c r="T518" s="891"/>
      <c r="U518" s="891" t="s">
        <v>86</v>
      </c>
      <c r="V518" s="891" t="s">
        <v>86</v>
      </c>
      <c r="W518" s="891"/>
      <c r="X518" s="892" t="s">
        <v>2394</v>
      </c>
      <c r="Y518" s="893" t="s">
        <v>2395</v>
      </c>
      <c r="Z518" s="894"/>
      <c r="AA518" s="895"/>
      <c r="AB518" s="896"/>
      <c r="AC518" s="897" t="s">
        <v>81</v>
      </c>
      <c r="AD518" s="898" t="s">
        <v>89</v>
      </c>
      <c r="AE518" s="899"/>
      <c r="AF518" s="899"/>
      <c r="AG518" s="899">
        <f>I518</f>
        <v>180</v>
      </c>
      <c r="AH518" s="900"/>
      <c r="AI518" s="900"/>
      <c r="AJ518" s="896"/>
      <c r="AK518" s="896"/>
      <c r="AL518" s="900"/>
      <c r="AM518" s="901"/>
      <c r="AN518" s="902">
        <f>I518</f>
        <v>180</v>
      </c>
      <c r="AO518" s="896"/>
      <c r="AP518" s="903"/>
      <c r="AQ518" s="900"/>
      <c r="AR518" s="896">
        <f>I518</f>
        <v>180</v>
      </c>
      <c r="AS518" s="900"/>
      <c r="AT518" s="900"/>
      <c r="AU518" s="896"/>
      <c r="AV518" s="904"/>
      <c r="AW518" s="896">
        <f>I518</f>
        <v>180</v>
      </c>
      <c r="AX518" s="896"/>
      <c r="AY518" s="905"/>
      <c r="AZ518" s="906"/>
      <c r="BA518" s="906"/>
      <c r="BB518" s="906"/>
      <c r="BC518" s="906"/>
      <c r="BD518" s="907"/>
      <c r="BE518" s="908"/>
      <c r="BF518" s="904" t="s">
        <v>90</v>
      </c>
      <c r="BG518" s="496"/>
      <c r="BH518" s="496">
        <f t="shared" si="309"/>
        <v>30</v>
      </c>
      <c r="BI518" s="496">
        <f t="shared" si="310"/>
        <v>30</v>
      </c>
      <c r="BJ518" s="496">
        <f t="shared" si="311"/>
        <v>30</v>
      </c>
      <c r="BK518" s="496">
        <f t="shared" si="312"/>
        <v>30</v>
      </c>
      <c r="BL518" s="496">
        <f t="shared" si="313"/>
        <v>30</v>
      </c>
      <c r="BM518" s="496">
        <f t="shared" si="314"/>
        <v>30</v>
      </c>
      <c r="BN518" s="909"/>
      <c r="BO518" s="909"/>
      <c r="BP518" s="909"/>
      <c r="BQ518" s="909"/>
      <c r="BR518" s="909"/>
      <c r="BS518" s="909"/>
      <c r="BT518" s="496">
        <f>SUM(BH518:BM518)</f>
        <v>180</v>
      </c>
      <c r="BU518" s="496">
        <f>I518-BT518</f>
        <v>0</v>
      </c>
      <c r="BV518" s="909"/>
      <c r="BW518" s="496"/>
    </row>
    <row r="519" s="494" customFormat="1" ht="33" customHeight="1" spans="1:75 16301:16384">
      <c r="A519" s="882">
        <v>46174</v>
      </c>
      <c r="B519" s="494" t="s">
        <v>1477</v>
      </c>
      <c r="C519" s="884" t="s">
        <v>334</v>
      </c>
      <c r="D519" s="885">
        <v>4500210229</v>
      </c>
      <c r="E519" s="748"/>
      <c r="F519" s="887" t="s">
        <v>2396</v>
      </c>
      <c r="G519" s="910" t="s">
        <v>1996</v>
      </c>
      <c r="H519" s="886" t="s">
        <v>2397</v>
      </c>
      <c r="I519" s="888">
        <v>36</v>
      </c>
      <c r="J519" s="889">
        <v>0</v>
      </c>
      <c r="K519" s="888">
        <v>6</v>
      </c>
      <c r="L519" s="889">
        <f t="shared" si="304"/>
        <v>6</v>
      </c>
      <c r="M519" s="911">
        <v>46251</v>
      </c>
      <c r="N519" s="911">
        <v>46247</v>
      </c>
      <c r="O519" s="496"/>
      <c r="P519" s="891"/>
      <c r="Q519" s="173"/>
      <c r="R519" s="912" t="s">
        <v>2398</v>
      </c>
      <c r="S519" s="912"/>
      <c r="T519" s="912"/>
      <c r="U519" s="912" t="s">
        <v>2399</v>
      </c>
      <c r="V519" s="913"/>
      <c r="W519" s="891" t="s">
        <v>2294</v>
      </c>
      <c r="X519" s="914" t="s">
        <v>2400</v>
      </c>
      <c r="Y519" s="895" t="s">
        <v>340</v>
      </c>
      <c r="Z519" s="915">
        <v>5.8295</v>
      </c>
      <c r="AA519" s="887">
        <f t="shared" ref="AA517:AA529" si="315">Z519*I519</f>
        <v>209.862</v>
      </c>
      <c r="AB519" s="898"/>
      <c r="AC519" s="887" t="s">
        <v>1996</v>
      </c>
      <c r="AD519" s="906" t="s">
        <v>89</v>
      </c>
      <c r="AE519" s="608"/>
      <c r="AF519" s="825"/>
      <c r="AG519" s="906"/>
      <c r="AH519" s="844"/>
      <c r="AI519" s="916"/>
      <c r="AJ519" s="496">
        <f>I519</f>
        <v>36</v>
      </c>
      <c r="AK519" s="917"/>
      <c r="AL519" s="844"/>
      <c r="AM519" s="844"/>
      <c r="AN519" s="918">
        <f t="shared" ref="AN516:AN529" si="316">I519</f>
        <v>36</v>
      </c>
      <c r="AO519" s="906"/>
      <c r="AP519" s="844"/>
      <c r="AQ519" s="844"/>
      <c r="AR519" s="907"/>
      <c r="AS519" s="916"/>
      <c r="AT519" s="851"/>
      <c r="AU519" s="917">
        <f>I519</f>
        <v>36</v>
      </c>
      <c r="AV519" s="906"/>
      <c r="AW519" s="906">
        <f t="shared" ref="AW516:AW529" si="317">I519</f>
        <v>36</v>
      </c>
      <c r="AX519" s="906"/>
      <c r="AY519" s="906"/>
      <c r="AZ519" s="906"/>
      <c r="BA519" s="906"/>
      <c r="BB519" s="919"/>
      <c r="BC519" s="908"/>
      <c r="BD519" s="494"/>
      <c r="BE519" s="494"/>
      <c r="BF519" s="920" t="s">
        <v>90</v>
      </c>
      <c r="BG519" s="496"/>
      <c r="BH519" s="496">
        <f>I519</f>
        <v>36</v>
      </c>
      <c r="BI519" s="496"/>
      <c r="BJ519" s="496"/>
      <c r="BK519" s="496"/>
      <c r="BL519" s="496"/>
      <c r="BM519" s="496"/>
      <c r="BN519" s="846"/>
      <c r="BO519" s="846"/>
      <c r="BP519" s="846"/>
      <c r="BQ519" s="846"/>
      <c r="BR519" s="846"/>
      <c r="BS519" s="846"/>
      <c r="BT519" s="496">
        <f t="shared" ref="BT517:BT529" si="318">SUM(BH519:BS519)</f>
        <v>36</v>
      </c>
      <c r="BU519" s="496">
        <f t="shared" ref="BU515:BU529" si="319">I519-BT519</f>
        <v>0</v>
      </c>
      <c r="BV519" s="846"/>
      <c r="BW519" s="496"/>
      <c r="BX519" s="494"/>
      <c r="XDV519" s="882"/>
      <c r="XDW519" s="494"/>
      <c r="XDX519" s="884"/>
      <c r="XDY519" s="885"/>
      <c r="XDZ519" s="883"/>
      <c r="XEA519" s="885"/>
      <c r="XEB519" s="887"/>
      <c r="XEC519" s="887"/>
      <c r="XED519" s="883"/>
      <c r="XEE519" s="888"/>
      <c r="XEF519" s="888"/>
      <c r="XEG519" s="888"/>
      <c r="XEH519" s="889"/>
      <c r="XEI519" s="890"/>
      <c r="XEJ519" s="890"/>
      <c r="XEK519" s="891"/>
      <c r="XEL519" s="891"/>
      <c r="XEM519" s="882"/>
      <c r="XEN519" s="494"/>
      <c r="XEO519" s="884"/>
      <c r="XEP519" s="885"/>
      <c r="XEQ519" s="885"/>
      <c r="XER519" s="887"/>
      <c r="XES519" s="910"/>
      <c r="XET519" s="888"/>
      <c r="XEU519" s="888"/>
      <c r="XEV519" s="889"/>
      <c r="XEW519" s="890"/>
      <c r="XEX519" s="890"/>
      <c r="XEY519" s="891"/>
      <c r="XEZ519" s="891"/>
      <c r="XFA519" s="496"/>
      <c r="XFB519" s="891"/>
      <c r="XFC519" s="891"/>
      <c r="XFD519" s="912"/>
    </row>
    <row r="520" s="493" customFormat="1" ht="33" customHeight="1" spans="1:75 16301:16384">
      <c r="A520" s="921">
        <v>46174</v>
      </c>
      <c r="B520" s="922" t="s">
        <v>1477</v>
      </c>
      <c r="C520" s="923" t="s">
        <v>334</v>
      </c>
      <c r="D520" s="924">
        <v>4500210229</v>
      </c>
      <c r="E520" s="925"/>
      <c r="F520" s="926" t="s">
        <v>2401</v>
      </c>
      <c r="G520" s="927" t="s">
        <v>2402</v>
      </c>
      <c r="H520" s="928" t="s">
        <v>2403</v>
      </c>
      <c r="I520" s="929">
        <v>36</v>
      </c>
      <c r="J520" s="930">
        <v>0</v>
      </c>
      <c r="K520" s="929">
        <v>6</v>
      </c>
      <c r="L520" s="930">
        <f t="shared" si="304"/>
        <v>6</v>
      </c>
      <c r="M520" s="931">
        <v>46251</v>
      </c>
      <c r="N520" s="931">
        <v>46247</v>
      </c>
      <c r="O520" s="932"/>
      <c r="P520" s="933"/>
      <c r="Q520" s="934"/>
      <c r="R520" s="935" t="s">
        <v>2398</v>
      </c>
      <c r="S520" s="935"/>
      <c r="T520" s="935"/>
      <c r="U520" s="912" t="s">
        <v>2399</v>
      </c>
      <c r="V520" s="936"/>
      <c r="W520" s="933" t="s">
        <v>2294</v>
      </c>
      <c r="X520" s="914" t="s">
        <v>2400</v>
      </c>
      <c r="Y520" s="937" t="s">
        <v>340</v>
      </c>
      <c r="Z520" s="938">
        <v>6.1252</v>
      </c>
      <c r="AA520" s="926">
        <f t="shared" si="315"/>
        <v>220.5072</v>
      </c>
      <c r="AB520" s="939"/>
      <c r="AC520" s="940" t="s">
        <v>2402</v>
      </c>
      <c r="AD520" s="941" t="s">
        <v>89</v>
      </c>
      <c r="AE520" s="819"/>
      <c r="AF520" s="942"/>
      <c r="AG520" s="941"/>
      <c r="AH520" s="943"/>
      <c r="AI520" s="944"/>
      <c r="AJ520" s="932">
        <f>I520</f>
        <v>36</v>
      </c>
      <c r="AK520" s="945"/>
      <c r="AL520" s="943"/>
      <c r="AM520" s="943"/>
      <c r="AN520" s="946">
        <f t="shared" si="316"/>
        <v>36</v>
      </c>
      <c r="AO520" s="941"/>
      <c r="AP520" s="943"/>
      <c r="AQ520" s="943"/>
      <c r="AR520" s="947"/>
      <c r="AS520" s="944"/>
      <c r="AT520" s="948"/>
      <c r="AU520" s="945">
        <f>I520</f>
        <v>36</v>
      </c>
      <c r="AV520" s="941"/>
      <c r="AW520" s="941">
        <f t="shared" si="317"/>
        <v>36</v>
      </c>
      <c r="AX520" s="941"/>
      <c r="AY520" s="941"/>
      <c r="AZ520" s="941"/>
      <c r="BA520" s="941"/>
      <c r="BB520" s="949"/>
      <c r="BC520" s="950"/>
      <c r="BD520" s="922"/>
      <c r="BE520" s="922"/>
      <c r="BF520" s="951" t="s">
        <v>90</v>
      </c>
      <c r="BG520" s="932"/>
      <c r="BH520" s="932"/>
      <c r="BI520" s="932">
        <f>I520</f>
        <v>36</v>
      </c>
      <c r="BJ520" s="932"/>
      <c r="BK520" s="932"/>
      <c r="BL520" s="932"/>
      <c r="BM520" s="932"/>
      <c r="BN520" s="952"/>
      <c r="BO520" s="952"/>
      <c r="BP520" s="952"/>
      <c r="BQ520" s="952"/>
      <c r="BR520" s="952"/>
      <c r="BS520" s="952"/>
      <c r="BT520" s="932">
        <f t="shared" si="318"/>
        <v>36</v>
      </c>
      <c r="BU520" s="932">
        <f t="shared" si="319"/>
        <v>0</v>
      </c>
      <c r="BV520" s="820"/>
      <c r="BW520" s="953"/>
      <c r="BX520" s="493"/>
      <c r="XDV520" s="954"/>
      <c r="XDW520" s="493"/>
      <c r="XDX520" s="955"/>
      <c r="XDY520" s="956"/>
      <c r="XDZ520" s="957"/>
      <c r="XEA520" s="956"/>
      <c r="XEB520" s="958"/>
      <c r="XEC520" s="958"/>
      <c r="XED520" s="957"/>
      <c r="XEE520" s="959"/>
      <c r="XEF520" s="959"/>
      <c r="XEG520" s="959"/>
      <c r="XEH520" s="960"/>
      <c r="XEI520" s="961"/>
      <c r="XEJ520" s="961"/>
      <c r="XEK520" s="962"/>
      <c r="XEL520" s="962"/>
      <c r="XEM520" s="954"/>
      <c r="XEN520" s="493"/>
      <c r="XEO520" s="955"/>
      <c r="XEP520" s="956"/>
      <c r="XEQ520" s="956"/>
      <c r="XER520" s="958"/>
      <c r="XES520" s="963"/>
      <c r="XET520" s="959"/>
      <c r="XEU520" s="959"/>
      <c r="XEV520" s="960"/>
      <c r="XEW520" s="961"/>
      <c r="XEX520" s="961"/>
      <c r="XEY520" s="962"/>
      <c r="XEZ520" s="962"/>
      <c r="XFA520" s="953"/>
      <c r="XFB520" s="962"/>
      <c r="XFC520" s="962"/>
      <c r="XFD520" s="964"/>
    </row>
    <row r="521" s="493" customFormat="1" ht="33" customHeight="1" spans="1:75 16301:16384">
      <c r="A521" s="882">
        <v>46174</v>
      </c>
      <c r="B521" s="494" t="s">
        <v>1477</v>
      </c>
      <c r="C521" s="884" t="s">
        <v>334</v>
      </c>
      <c r="D521" s="885">
        <v>4500210229</v>
      </c>
      <c r="E521" s="748"/>
      <c r="F521" s="887" t="s">
        <v>2404</v>
      </c>
      <c r="G521" s="888" t="s">
        <v>1629</v>
      </c>
      <c r="H521" s="928" t="s">
        <v>2405</v>
      </c>
      <c r="I521" s="888">
        <v>36</v>
      </c>
      <c r="J521" s="889">
        <v>0</v>
      </c>
      <c r="K521" s="888">
        <v>6</v>
      </c>
      <c r="L521" s="889">
        <f t="shared" si="304"/>
        <v>6</v>
      </c>
      <c r="M521" s="911">
        <v>46251</v>
      </c>
      <c r="N521" s="911">
        <v>46247</v>
      </c>
      <c r="O521" s="496"/>
      <c r="P521" s="891"/>
      <c r="Q521" s="173"/>
      <c r="R521" s="935" t="s">
        <v>2398</v>
      </c>
      <c r="S521" s="912"/>
      <c r="T521" s="912"/>
      <c r="U521" s="912" t="s">
        <v>2399</v>
      </c>
      <c r="V521" s="913"/>
      <c r="W521" s="891" t="s">
        <v>2294</v>
      </c>
      <c r="X521" s="914" t="s">
        <v>2400</v>
      </c>
      <c r="Y521" s="895" t="s">
        <v>340</v>
      </c>
      <c r="Z521" s="915">
        <v>5.8295</v>
      </c>
      <c r="AA521" s="887">
        <f t="shared" si="315"/>
        <v>209.862</v>
      </c>
      <c r="AB521" s="898"/>
      <c r="AC521" s="887" t="s">
        <v>1629</v>
      </c>
      <c r="AD521" s="965" t="s">
        <v>89</v>
      </c>
      <c r="AE521" s="824"/>
      <c r="AF521" s="825"/>
      <c r="AG521" s="966"/>
      <c r="AH521" s="967"/>
      <c r="AI521" s="967"/>
      <c r="AJ521" s="496">
        <f>I521</f>
        <v>36</v>
      </c>
      <c r="AK521" s="896"/>
      <c r="AL521" s="967"/>
      <c r="AM521" s="844"/>
      <c r="AN521" s="918">
        <f t="shared" si="316"/>
        <v>36</v>
      </c>
      <c r="AO521" s="906"/>
      <c r="AP521" s="844"/>
      <c r="AQ521" s="844"/>
      <c r="AR521" s="907"/>
      <c r="AS521" s="916"/>
      <c r="AT521" s="842"/>
      <c r="AU521" s="917">
        <f>I521</f>
        <v>36</v>
      </c>
      <c r="AV521" s="906"/>
      <c r="AW521" s="906">
        <f t="shared" si="317"/>
        <v>36</v>
      </c>
      <c r="AX521" s="904"/>
      <c r="AY521" s="904"/>
      <c r="AZ521" s="904"/>
      <c r="BA521" s="904"/>
      <c r="BB521" s="919"/>
      <c r="BC521" s="908"/>
      <c r="BD521" s="494"/>
      <c r="BE521" s="494"/>
      <c r="BF521" s="920" t="s">
        <v>90</v>
      </c>
      <c r="BG521" s="496"/>
      <c r="BH521" s="496"/>
      <c r="BI521" s="496"/>
      <c r="BJ521" s="496">
        <f>I521</f>
        <v>36</v>
      </c>
      <c r="BK521" s="496"/>
      <c r="BL521" s="496"/>
      <c r="BM521" s="496"/>
      <c r="BN521" s="846"/>
      <c r="BO521" s="846"/>
      <c r="BP521" s="846"/>
      <c r="BQ521" s="846"/>
      <c r="BR521" s="846"/>
      <c r="BS521" s="846"/>
      <c r="BT521" s="496">
        <f t="shared" si="318"/>
        <v>36</v>
      </c>
      <c r="BU521" s="496">
        <f t="shared" si="319"/>
        <v>0</v>
      </c>
      <c r="BV521" s="820"/>
      <c r="BW521" s="953"/>
      <c r="BX521" s="493"/>
      <c r="XEM521" s="954"/>
      <c r="XEN521" s="493"/>
      <c r="XEO521" s="955"/>
      <c r="XEP521" s="956"/>
      <c r="XEQ521" s="956"/>
      <c r="XER521" s="958"/>
      <c r="XES521" s="959"/>
      <c r="XET521" s="959"/>
      <c r="XEU521" s="959"/>
      <c r="XEV521" s="960"/>
      <c r="XEW521" s="961"/>
      <c r="XEX521" s="961"/>
      <c r="XEY521" s="962"/>
      <c r="XEZ521" s="962"/>
      <c r="XFA521" s="953"/>
      <c r="XFB521" s="962"/>
      <c r="XFC521" s="962"/>
      <c r="XFD521" s="964"/>
    </row>
    <row r="522" s="493" customFormat="1" ht="33" customHeight="1" spans="1:75 16301:16384">
      <c r="A522" s="882">
        <v>46217</v>
      </c>
      <c r="B522" s="968" t="s">
        <v>2301</v>
      </c>
      <c r="C522" s="969" t="s">
        <v>92</v>
      </c>
      <c r="D522" s="970" t="s">
        <v>2406</v>
      </c>
      <c r="E522" s="969" t="s">
        <v>2407</v>
      </c>
      <c r="F522" s="971" t="s">
        <v>2408</v>
      </c>
      <c r="G522" s="969" t="s">
        <v>81</v>
      </c>
      <c r="H522" s="886" t="s">
        <v>82</v>
      </c>
      <c r="I522" s="969">
        <v>3000</v>
      </c>
      <c r="J522" s="969">
        <v>0</v>
      </c>
      <c r="K522" s="969">
        <v>6</v>
      </c>
      <c r="L522" s="889">
        <f t="shared" si="304"/>
        <v>500</v>
      </c>
      <c r="M522" s="972">
        <v>46254</v>
      </c>
      <c r="N522" s="972">
        <v>46251</v>
      </c>
      <c r="O522" s="891"/>
      <c r="P522" s="891"/>
      <c r="Q522" s="973"/>
      <c r="R522" s="891" t="s">
        <v>2409</v>
      </c>
      <c r="S522" s="891"/>
      <c r="T522" s="891"/>
      <c r="U522" s="891" t="s">
        <v>2410</v>
      </c>
      <c r="V522" s="891" t="s">
        <v>2411</v>
      </c>
      <c r="W522" s="891"/>
      <c r="X522" s="969" t="s">
        <v>2412</v>
      </c>
      <c r="Y522" s="969" t="s">
        <v>2413</v>
      </c>
      <c r="Z522" s="969">
        <v>3.6342</v>
      </c>
      <c r="AA522" s="895">
        <f t="shared" si="315"/>
        <v>10902.6</v>
      </c>
      <c r="AB522" s="896"/>
      <c r="AC522" s="974" t="s">
        <v>81</v>
      </c>
      <c r="AD522" s="965" t="s">
        <v>89</v>
      </c>
      <c r="AE522" s="899"/>
      <c r="AF522" s="899"/>
      <c r="AG522" s="966">
        <f>I522</f>
        <v>3000</v>
      </c>
      <c r="AH522" s="900"/>
      <c r="AI522" s="900"/>
      <c r="AJ522" s="896"/>
      <c r="AK522" s="896"/>
      <c r="AL522" s="900"/>
      <c r="AM522" s="901"/>
      <c r="AN522" s="902">
        <f t="shared" si="316"/>
        <v>3000</v>
      </c>
      <c r="AO522" s="896"/>
      <c r="AP522" s="903"/>
      <c r="AQ522" s="900"/>
      <c r="AR522" s="966">
        <f>I522</f>
        <v>3000</v>
      </c>
      <c r="AS522" s="900"/>
      <c r="AT522" s="900"/>
      <c r="AU522" s="896"/>
      <c r="AV522" s="904"/>
      <c r="AW522" s="896">
        <f t="shared" si="317"/>
        <v>3000</v>
      </c>
      <c r="AX522" s="906"/>
      <c r="AY522" s="906"/>
      <c r="AZ522" s="906"/>
      <c r="BA522" s="906"/>
      <c r="BB522" s="906"/>
      <c r="BC522" s="906"/>
      <c r="BD522" s="907"/>
      <c r="BE522" s="908"/>
      <c r="BF522" s="920" t="s">
        <v>90</v>
      </c>
      <c r="BG522" s="496"/>
      <c r="BH522" s="906">
        <f t="shared" ref="BH522:BH531" si="320">I522/6</f>
        <v>500</v>
      </c>
      <c r="BI522" s="906">
        <f t="shared" ref="BI522:BI531" si="321">I522/6</f>
        <v>500</v>
      </c>
      <c r="BJ522" s="906">
        <f t="shared" ref="BJ522:BJ531" si="322">I522/6</f>
        <v>500</v>
      </c>
      <c r="BK522" s="906">
        <f t="shared" ref="BK522:BK531" si="323">I522/6</f>
        <v>500</v>
      </c>
      <c r="BL522" s="906">
        <f t="shared" ref="BL522:BL531" si="324">I522/6</f>
        <v>500</v>
      </c>
      <c r="BM522" s="906">
        <f t="shared" ref="BM522:BM531" si="325">I522/6</f>
        <v>500</v>
      </c>
      <c r="BN522" s="975"/>
      <c r="BO522" s="975"/>
      <c r="BP522" s="975"/>
      <c r="BQ522" s="975"/>
      <c r="BR522" s="975"/>
      <c r="BS522" s="975"/>
      <c r="BT522" s="919">
        <f t="shared" si="318"/>
        <v>3000</v>
      </c>
      <c r="BU522" s="908">
        <f t="shared" si="319"/>
        <v>0</v>
      </c>
      <c r="BV522" s="976"/>
      <c r="BW522" s="953"/>
    </row>
    <row r="523" s="495" customFormat="1" ht="33" customHeight="1" spans="1:75 16301:16384">
      <c r="A523" s="882">
        <v>46169</v>
      </c>
      <c r="B523" s="920" t="s">
        <v>166</v>
      </c>
      <c r="C523" s="977" t="s">
        <v>92</v>
      </c>
      <c r="D523" s="978">
        <v>4500208072</v>
      </c>
      <c r="E523" s="979">
        <v>60295774</v>
      </c>
      <c r="F523" s="978" t="s">
        <v>2414</v>
      </c>
      <c r="G523" s="897" t="s">
        <v>81</v>
      </c>
      <c r="H523" s="886" t="s">
        <v>82</v>
      </c>
      <c r="I523" s="980">
        <v>5502</v>
      </c>
      <c r="J523" s="980">
        <v>0</v>
      </c>
      <c r="K523" s="980">
        <v>6</v>
      </c>
      <c r="L523" s="981">
        <f t="shared" si="304"/>
        <v>917</v>
      </c>
      <c r="M523" s="911">
        <v>46255</v>
      </c>
      <c r="N523" s="911">
        <v>46251</v>
      </c>
      <c r="O523" s="982"/>
      <c r="P523" s="982"/>
      <c r="Q523" s="973"/>
      <c r="R523" s="983" t="s">
        <v>2415</v>
      </c>
      <c r="S523" s="982"/>
      <c r="T523" s="982"/>
      <c r="U523" s="982" t="s">
        <v>86</v>
      </c>
      <c r="V523" s="891" t="s">
        <v>2416</v>
      </c>
      <c r="W523" s="982"/>
      <c r="X523" s="984" t="s">
        <v>2417</v>
      </c>
      <c r="Y523" s="985" t="s">
        <v>439</v>
      </c>
      <c r="Z523" s="986">
        <v>3.5319</v>
      </c>
      <c r="AA523" s="987">
        <f t="shared" si="315"/>
        <v>19432.5138</v>
      </c>
      <c r="AB523" s="650"/>
      <c r="AC523" s="897" t="s">
        <v>81</v>
      </c>
      <c r="AD523" s="898" t="s">
        <v>89</v>
      </c>
      <c r="AE523" s="988"/>
      <c r="AF523" s="988"/>
      <c r="AG523" s="988">
        <f>I523</f>
        <v>5502</v>
      </c>
      <c r="AH523" s="989"/>
      <c r="AI523" s="989"/>
      <c r="AJ523" s="650"/>
      <c r="AK523" s="650"/>
      <c r="AL523" s="989"/>
      <c r="AM523" s="990"/>
      <c r="AN523" s="918">
        <f t="shared" si="316"/>
        <v>5502</v>
      </c>
      <c r="AO523" s="650"/>
      <c r="AP523" s="991"/>
      <c r="AQ523" s="989"/>
      <c r="AR523" s="650">
        <f>I523</f>
        <v>5502</v>
      </c>
      <c r="AS523" s="989"/>
      <c r="AT523" s="989"/>
      <c r="AU523" s="650"/>
      <c r="AV523" s="992"/>
      <c r="AW523" s="906">
        <f t="shared" si="317"/>
        <v>5502</v>
      </c>
      <c r="AX523" s="906"/>
      <c r="AY523" s="906"/>
      <c r="AZ523" s="761"/>
      <c r="BA523" s="761"/>
      <c r="BB523" s="761"/>
      <c r="BC523" s="761"/>
      <c r="BD523" s="993"/>
      <c r="BE523" s="576"/>
      <c r="BF523" s="920" t="s">
        <v>90</v>
      </c>
      <c r="BG523" s="764"/>
      <c r="BH523" s="761">
        <f t="shared" si="320"/>
        <v>917</v>
      </c>
      <c r="BI523" s="761">
        <f t="shared" si="321"/>
        <v>917</v>
      </c>
      <c r="BJ523" s="761">
        <f t="shared" si="322"/>
        <v>917</v>
      </c>
      <c r="BK523" s="761">
        <f t="shared" si="323"/>
        <v>917</v>
      </c>
      <c r="BL523" s="761">
        <f t="shared" si="324"/>
        <v>917</v>
      </c>
      <c r="BM523" s="761">
        <f t="shared" si="325"/>
        <v>917</v>
      </c>
      <c r="BN523" s="994"/>
      <c r="BO523" s="994"/>
      <c r="BP523" s="994"/>
      <c r="BQ523" s="994"/>
      <c r="BR523" s="994"/>
      <c r="BS523" s="994"/>
      <c r="BT523" s="575">
        <f t="shared" si="318"/>
        <v>5502</v>
      </c>
      <c r="BU523" s="576">
        <f t="shared" si="319"/>
        <v>0</v>
      </c>
      <c r="BV523" s="995"/>
      <c r="BW523" s="517"/>
    </row>
    <row r="524" s="493" customFormat="1" ht="33" customHeight="1" spans="1:75 16301:16384">
      <c r="A524" s="882">
        <v>46205</v>
      </c>
      <c r="B524" s="883" t="s">
        <v>2246</v>
      </c>
      <c r="C524" s="884" t="s">
        <v>725</v>
      </c>
      <c r="D524" s="885" t="s">
        <v>2418</v>
      </c>
      <c r="E524" s="886" t="s">
        <v>2096</v>
      </c>
      <c r="F524" s="885" t="s">
        <v>2419</v>
      </c>
      <c r="G524" s="887" t="s">
        <v>81</v>
      </c>
      <c r="H524" s="886" t="s">
        <v>82</v>
      </c>
      <c r="I524" s="888">
        <v>300</v>
      </c>
      <c r="J524" s="888">
        <v>0</v>
      </c>
      <c r="K524" s="888">
        <v>6</v>
      </c>
      <c r="L524" s="889">
        <f t="shared" si="304"/>
        <v>50</v>
      </c>
      <c r="M524" s="890">
        <v>46255</v>
      </c>
      <c r="N524" s="996">
        <v>46260</v>
      </c>
      <c r="O524" s="173"/>
      <c r="P524" s="891"/>
      <c r="Q524" s="973"/>
      <c r="R524" s="891" t="s">
        <v>1456</v>
      </c>
      <c r="S524" s="891"/>
      <c r="T524" s="891"/>
      <c r="U524" s="891" t="s">
        <v>2420</v>
      </c>
      <c r="V524" s="891"/>
      <c r="W524" s="891" t="s">
        <v>2294</v>
      </c>
      <c r="X524" s="997" t="s">
        <v>2421</v>
      </c>
      <c r="Y524" s="893" t="s">
        <v>2422</v>
      </c>
      <c r="Z524" s="894">
        <v>6.0761</v>
      </c>
      <c r="AA524" s="895">
        <f t="shared" si="315"/>
        <v>1822.83</v>
      </c>
      <c r="AB524" s="896"/>
      <c r="AC524" s="897" t="s">
        <v>81</v>
      </c>
      <c r="AD524" s="965" t="s">
        <v>89</v>
      </c>
      <c r="AE524" s="899"/>
      <c r="AF524" s="899"/>
      <c r="AG524" s="899">
        <f>I524</f>
        <v>300</v>
      </c>
      <c r="AH524" s="998"/>
      <c r="AI524" s="998"/>
      <c r="AJ524" s="896"/>
      <c r="AK524" s="896"/>
      <c r="AL524" s="998"/>
      <c r="AM524" s="999"/>
      <c r="AN524" s="918">
        <f t="shared" si="316"/>
        <v>300</v>
      </c>
      <c r="AO524" s="896"/>
      <c r="AP524" s="1000"/>
      <c r="AQ524" s="998"/>
      <c r="AR524" s="896">
        <f>I524</f>
        <v>300</v>
      </c>
      <c r="AS524" s="998"/>
      <c r="AT524" s="998"/>
      <c r="AU524" s="917"/>
      <c r="AV524" s="904"/>
      <c r="AW524" s="906">
        <f t="shared" si="317"/>
        <v>300</v>
      </c>
      <c r="AX524" s="906"/>
      <c r="AY524" s="906"/>
      <c r="AZ524" s="906"/>
      <c r="BA524" s="906"/>
      <c r="BB524" s="906"/>
      <c r="BC524" s="906"/>
      <c r="BD524" s="907"/>
      <c r="BE524" s="908"/>
      <c r="BF524" s="920" t="s">
        <v>90</v>
      </c>
      <c r="BG524" s="496"/>
      <c r="BH524" s="906">
        <f t="shared" si="320"/>
        <v>50</v>
      </c>
      <c r="BI524" s="906">
        <f t="shared" si="321"/>
        <v>50</v>
      </c>
      <c r="BJ524" s="906">
        <f t="shared" si="322"/>
        <v>50</v>
      </c>
      <c r="BK524" s="906">
        <f t="shared" si="323"/>
        <v>50</v>
      </c>
      <c r="BL524" s="906">
        <f t="shared" si="324"/>
        <v>50</v>
      </c>
      <c r="BM524" s="906">
        <f t="shared" si="325"/>
        <v>50</v>
      </c>
      <c r="BN524" s="1001"/>
      <c r="BO524" s="1001"/>
      <c r="BP524" s="1001"/>
      <c r="BQ524" s="1001"/>
      <c r="BR524" s="1001"/>
      <c r="BS524" s="1001"/>
      <c r="BT524" s="919">
        <f t="shared" si="318"/>
        <v>300</v>
      </c>
      <c r="BU524" s="908">
        <f t="shared" si="319"/>
        <v>0</v>
      </c>
      <c r="BV524" s="1002"/>
      <c r="BW524" s="953"/>
    </row>
    <row r="525" s="493" customFormat="1" ht="33" customHeight="1" spans="1:75 16301:16384">
      <c r="A525" s="882">
        <v>46216</v>
      </c>
      <c r="B525" s="968" t="s">
        <v>2423</v>
      </c>
      <c r="C525" s="969" t="s">
        <v>1185</v>
      </c>
      <c r="D525" s="970" t="s">
        <v>2424</v>
      </c>
      <c r="E525" s="969" t="s">
        <v>2425</v>
      </c>
      <c r="F525" s="971" t="s">
        <v>2426</v>
      </c>
      <c r="G525" s="969" t="s">
        <v>81</v>
      </c>
      <c r="H525" s="886" t="s">
        <v>82</v>
      </c>
      <c r="I525" s="969">
        <v>504</v>
      </c>
      <c r="J525" s="969">
        <v>0</v>
      </c>
      <c r="K525" s="969">
        <v>6</v>
      </c>
      <c r="L525" s="889">
        <f t="shared" si="304"/>
        <v>84</v>
      </c>
      <c r="M525" s="972">
        <v>46255</v>
      </c>
      <c r="N525" s="1003">
        <v>46261</v>
      </c>
      <c r="O525" s="1004"/>
      <c r="P525" s="891"/>
      <c r="Q525" s="973"/>
      <c r="R525" s="891" t="s">
        <v>2427</v>
      </c>
      <c r="S525" s="891"/>
      <c r="T525" s="891"/>
      <c r="U525" s="891" t="s">
        <v>2428</v>
      </c>
      <c r="V525" s="891"/>
      <c r="W525" s="891"/>
      <c r="X525" s="969" t="s">
        <v>2429</v>
      </c>
      <c r="Y525" s="969" t="s">
        <v>2430</v>
      </c>
      <c r="Z525" s="969">
        <v>5.8854</v>
      </c>
      <c r="AA525" s="895">
        <f t="shared" si="315"/>
        <v>2966.2416</v>
      </c>
      <c r="AB525" s="896"/>
      <c r="AC525" s="887" t="s">
        <v>235</v>
      </c>
      <c r="AD525" s="965" t="s">
        <v>89</v>
      </c>
      <c r="AE525" s="899"/>
      <c r="AF525" s="899"/>
      <c r="AG525" s="966"/>
      <c r="AH525" s="900"/>
      <c r="AI525" s="900"/>
      <c r="AJ525" s="896">
        <f>I525</f>
        <v>504</v>
      </c>
      <c r="AK525" s="896"/>
      <c r="AL525" s="900"/>
      <c r="AM525" s="901"/>
      <c r="AN525" s="902">
        <f t="shared" si="316"/>
        <v>504</v>
      </c>
      <c r="AO525" s="896"/>
      <c r="AP525" s="903"/>
      <c r="AQ525" s="900"/>
      <c r="AR525" s="966"/>
      <c r="AS525" s="900"/>
      <c r="AT525" s="900"/>
      <c r="AU525" s="896">
        <f>I525</f>
        <v>504</v>
      </c>
      <c r="AV525" s="904"/>
      <c r="AW525" s="896">
        <f t="shared" si="317"/>
        <v>504</v>
      </c>
      <c r="AX525" s="906"/>
      <c r="AY525" s="906"/>
      <c r="AZ525" s="906"/>
      <c r="BA525" s="906"/>
      <c r="BB525" s="906"/>
      <c r="BC525" s="906"/>
      <c r="BD525" s="907"/>
      <c r="BE525" s="908"/>
      <c r="BF525" s="920" t="s">
        <v>90</v>
      </c>
      <c r="BG525" s="496"/>
      <c r="BH525" s="906">
        <f t="shared" si="320"/>
        <v>84</v>
      </c>
      <c r="BI525" s="906">
        <f t="shared" si="321"/>
        <v>84</v>
      </c>
      <c r="BJ525" s="906">
        <f t="shared" si="322"/>
        <v>84</v>
      </c>
      <c r="BK525" s="906">
        <f t="shared" si="323"/>
        <v>84</v>
      </c>
      <c r="BL525" s="906">
        <f t="shared" si="324"/>
        <v>84</v>
      </c>
      <c r="BM525" s="906">
        <f t="shared" si="325"/>
        <v>84</v>
      </c>
      <c r="BN525" s="975"/>
      <c r="BO525" s="975"/>
      <c r="BP525" s="975"/>
      <c r="BQ525" s="975"/>
      <c r="BR525" s="975"/>
      <c r="BS525" s="975"/>
      <c r="BT525" s="919">
        <f t="shared" si="318"/>
        <v>504</v>
      </c>
      <c r="BU525" s="908">
        <f t="shared" si="319"/>
        <v>0</v>
      </c>
      <c r="BV525" s="976"/>
      <c r="BW525" s="953"/>
    </row>
    <row r="526" s="493" customFormat="1" ht="34" customHeight="1" spans="1:75 16301:16384">
      <c r="A526" s="882">
        <v>46188</v>
      </c>
      <c r="B526" s="494" t="s">
        <v>999</v>
      </c>
      <c r="C526" s="884" t="s">
        <v>725</v>
      </c>
      <c r="D526" s="885">
        <v>4500212262</v>
      </c>
      <c r="E526" s="883"/>
      <c r="F526" s="885" t="s">
        <v>2431</v>
      </c>
      <c r="G526" s="887" t="s">
        <v>81</v>
      </c>
      <c r="H526" s="883" t="s">
        <v>82</v>
      </c>
      <c r="I526" s="888">
        <v>348</v>
      </c>
      <c r="J526" s="888">
        <v>0</v>
      </c>
      <c r="K526" s="888">
        <v>6</v>
      </c>
      <c r="L526" s="889">
        <f>I526/K526</f>
        <v>58</v>
      </c>
      <c r="M526" s="1005">
        <v>46258</v>
      </c>
      <c r="N526" s="996">
        <v>46265</v>
      </c>
      <c r="O526" s="173"/>
      <c r="P526" s="891"/>
      <c r="Q526" s="973"/>
      <c r="R526" s="891" t="s">
        <v>1456</v>
      </c>
      <c r="S526" s="891"/>
      <c r="T526" s="891"/>
      <c r="U526" s="912" t="s">
        <v>2432</v>
      </c>
      <c r="V526" s="912"/>
      <c r="W526" s="912" t="s">
        <v>2294</v>
      </c>
      <c r="X526" s="913" t="s">
        <v>2433</v>
      </c>
      <c r="Y526" s="891" t="s">
        <v>2316</v>
      </c>
      <c r="Z526" s="1006">
        <v>5.8854</v>
      </c>
      <c r="AA526" s="895">
        <f>Z526*I526</f>
        <v>2048.1192</v>
      </c>
      <c r="AB526" s="915"/>
      <c r="AC526" s="897" t="s">
        <v>81</v>
      </c>
      <c r="AD526" s="898" t="s">
        <v>89</v>
      </c>
      <c r="AE526" s="576"/>
      <c r="AF526" s="761"/>
      <c r="AG526" s="899">
        <f>I526</f>
        <v>348</v>
      </c>
      <c r="AH526" s="1007"/>
      <c r="AI526" s="1007"/>
      <c r="AJ526" s="906"/>
      <c r="AK526" s="896"/>
      <c r="AL526" s="1008"/>
      <c r="AM526" s="989"/>
      <c r="AN526" s="496">
        <f>I526</f>
        <v>348</v>
      </c>
      <c r="AO526" s="494"/>
      <c r="AP526" s="1008"/>
      <c r="AQ526" s="1008"/>
      <c r="AR526" s="896">
        <f>I526</f>
        <v>348</v>
      </c>
      <c r="AS526" s="1008"/>
      <c r="AT526" s="1008"/>
      <c r="AU526" s="494"/>
      <c r="AV526" s="883"/>
      <c r="AW526" s="906">
        <f>I526</f>
        <v>348</v>
      </c>
      <c r="AX526" s="906"/>
      <c r="AY526" s="906"/>
      <c r="AZ526" s="906"/>
      <c r="BA526" s="906"/>
      <c r="BB526" s="906"/>
      <c r="BC526" s="906"/>
      <c r="BD526" s="919"/>
      <c r="BE526" s="908"/>
      <c r="BF526" s="1009" t="s">
        <v>90</v>
      </c>
      <c r="BG526" s="496"/>
      <c r="BH526" s="496">
        <f>I526/6</f>
        <v>58</v>
      </c>
      <c r="BI526" s="496">
        <f>I526/6</f>
        <v>58</v>
      </c>
      <c r="BJ526" s="496">
        <f>I526/6</f>
        <v>58</v>
      </c>
      <c r="BK526" s="496">
        <f>I526/6</f>
        <v>58</v>
      </c>
      <c r="BL526" s="496">
        <f>I526/6</f>
        <v>58</v>
      </c>
      <c r="BM526" s="496">
        <f>I526/6</f>
        <v>58</v>
      </c>
      <c r="BN526" s="1010"/>
      <c r="BO526" s="1010"/>
      <c r="BP526" s="1010"/>
      <c r="BQ526" s="1010"/>
      <c r="BR526" s="1010"/>
      <c r="BS526" s="1010"/>
      <c r="BT526" s="496">
        <f>SUM(BH526:BS526)</f>
        <v>348</v>
      </c>
      <c r="BU526" s="496">
        <f>I526-BT526</f>
        <v>0</v>
      </c>
      <c r="BV526" s="995"/>
      <c r="BW526" s="953"/>
      <c r="BX526" s="493"/>
      <c r="XBY526" s="954"/>
      <c r="XBZ526" s="493"/>
      <c r="XCA526" s="955"/>
      <c r="XCB526" s="956"/>
      <c r="XCC526" s="957"/>
      <c r="XCD526" s="956"/>
      <c r="XCE526" s="958"/>
      <c r="XCF526" s="958"/>
      <c r="XCG526" s="957"/>
      <c r="XCH526" s="959"/>
      <c r="XCI526" s="959"/>
      <c r="XCJ526" s="959"/>
      <c r="XCK526" s="960"/>
      <c r="XCL526" s="961"/>
      <c r="XCM526" s="961"/>
      <c r="XCN526" s="962"/>
      <c r="XCO526" s="962"/>
      <c r="XCP526" s="954"/>
      <c r="XCQ526" s="493"/>
      <c r="XCR526" s="955"/>
      <c r="XCS526" s="956"/>
      <c r="XCT526" s="957"/>
      <c r="XCU526" s="956"/>
      <c r="XCV526" s="958"/>
      <c r="XCW526" s="958"/>
      <c r="XCX526" s="957"/>
      <c r="XCY526" s="959"/>
      <c r="XCZ526" s="959"/>
      <c r="XDA526" s="959"/>
      <c r="XDB526" s="960"/>
      <c r="XDC526" s="961"/>
      <c r="XDD526" s="961"/>
      <c r="XDE526" s="962"/>
      <c r="XDF526" s="962"/>
      <c r="XDG526" s="954"/>
      <c r="XDH526" s="493"/>
      <c r="XDI526" s="955"/>
      <c r="XDJ526" s="956"/>
      <c r="XDK526" s="957"/>
      <c r="XDL526" s="956"/>
      <c r="XDM526" s="958"/>
      <c r="XDN526" s="958"/>
      <c r="XDO526" s="957"/>
      <c r="XDP526" s="959"/>
      <c r="XDQ526" s="959"/>
      <c r="XDR526" s="959"/>
      <c r="XDS526" s="960"/>
      <c r="XDT526" s="961"/>
      <c r="XDU526" s="961"/>
      <c r="XDV526" s="962"/>
      <c r="XDW526" s="962"/>
      <c r="XDX526" s="954"/>
      <c r="XDY526" s="493"/>
      <c r="XDZ526" s="955"/>
      <c r="XEA526" s="956"/>
      <c r="XEB526" s="957"/>
      <c r="XEC526" s="956"/>
      <c r="XED526" s="958"/>
      <c r="XEE526" s="958"/>
      <c r="XEF526" s="957"/>
      <c r="XEG526" s="959"/>
      <c r="XEH526" s="959"/>
      <c r="XEI526" s="959"/>
      <c r="XEJ526" s="960"/>
      <c r="XEK526" s="961"/>
      <c r="XEL526" s="961"/>
      <c r="XEM526" s="962"/>
      <c r="XEN526" s="962"/>
      <c r="XEO526" s="954"/>
      <c r="XEP526" s="493"/>
      <c r="XEQ526" s="955"/>
      <c r="XER526" s="956"/>
      <c r="XES526" s="957"/>
      <c r="XET526" s="956"/>
      <c r="XEU526" s="958"/>
      <c r="XEV526" s="957"/>
      <c r="XEW526" s="959"/>
      <c r="XEX526" s="959"/>
      <c r="XEY526" s="959"/>
      <c r="XEZ526" s="960"/>
      <c r="XFA526" s="961"/>
      <c r="XFB526" s="961"/>
      <c r="XFC526" s="962"/>
      <c r="XFD526" s="962"/>
    </row>
    <row r="527" s="493" customFormat="1" ht="33" customHeight="1" spans="1:75 16301:16384">
      <c r="A527" s="1011">
        <v>46185</v>
      </c>
      <c r="B527" s="1012" t="s">
        <v>1863</v>
      </c>
      <c r="C527" s="1013" t="s">
        <v>92</v>
      </c>
      <c r="D527" s="1014">
        <v>4500211444</v>
      </c>
      <c r="E527" s="1014">
        <v>70089440</v>
      </c>
      <c r="F527" s="974" t="s">
        <v>2434</v>
      </c>
      <c r="G527" s="1015" t="s">
        <v>81</v>
      </c>
      <c r="H527" s="1016" t="s">
        <v>82</v>
      </c>
      <c r="I527" s="1015">
        <v>360</v>
      </c>
      <c r="J527" s="1017">
        <v>0</v>
      </c>
      <c r="K527" s="1015">
        <v>6</v>
      </c>
      <c r="L527" s="1017">
        <f>I527/K527</f>
        <v>60</v>
      </c>
      <c r="M527" s="1018">
        <v>46268</v>
      </c>
      <c r="N527" s="1018">
        <v>46265</v>
      </c>
      <c r="O527" s="1019"/>
      <c r="P527" s="1020"/>
      <c r="Q527" s="1021"/>
      <c r="R527" s="1022" t="s">
        <v>2351</v>
      </c>
      <c r="S527" s="1022"/>
      <c r="T527" s="1022"/>
      <c r="U527" s="1022" t="s">
        <v>86</v>
      </c>
      <c r="V527" s="1023" t="s">
        <v>2435</v>
      </c>
      <c r="W527" s="1020"/>
      <c r="X527" s="1023" t="s">
        <v>2436</v>
      </c>
      <c r="Y527" s="1024" t="s">
        <v>1866</v>
      </c>
      <c r="Z527" s="1025">
        <v>3.5312</v>
      </c>
      <c r="AA527" s="974">
        <f>Z527*I527</f>
        <v>1271.232</v>
      </c>
      <c r="AB527" s="1026"/>
      <c r="AC527" s="1027" t="s">
        <v>81</v>
      </c>
      <c r="AD527" s="1028" t="s">
        <v>89</v>
      </c>
      <c r="AE527" s="966"/>
      <c r="AF527" s="496"/>
      <c r="AG527" s="1029">
        <f>I527</f>
        <v>360</v>
      </c>
      <c r="AH527" s="1030"/>
      <c r="AI527" s="1031"/>
      <c r="AJ527" s="1032"/>
      <c r="AK527" s="1033"/>
      <c r="AL527" s="1031"/>
      <c r="AM527" s="1031"/>
      <c r="AN527" s="1034">
        <f>I527</f>
        <v>360</v>
      </c>
      <c r="AO527" s="1035"/>
      <c r="AP527" s="1036"/>
      <c r="AQ527" s="1036"/>
      <c r="AR527" s="1032">
        <f>I527</f>
        <v>360</v>
      </c>
      <c r="AS527" s="1037"/>
      <c r="AT527" s="1038"/>
      <c r="AU527" s="1012"/>
      <c r="AV527" s="1039"/>
      <c r="AW527" s="1040">
        <f>I527</f>
        <v>360</v>
      </c>
      <c r="AX527" s="1012"/>
      <c r="AY527" s="1012"/>
      <c r="AZ527" s="1019"/>
      <c r="BA527" s="1012"/>
      <c r="BB527" s="1012"/>
      <c r="BC527" s="1012"/>
      <c r="BD527" s="1019"/>
      <c r="BE527" s="1019"/>
      <c r="BF527" s="1009" t="s">
        <v>90</v>
      </c>
      <c r="BG527" s="1019"/>
      <c r="BH527" s="1019">
        <f>I527/6</f>
        <v>60</v>
      </c>
      <c r="BI527" s="1019">
        <f>I527/6</f>
        <v>60</v>
      </c>
      <c r="BJ527" s="1019">
        <f>I527/6</f>
        <v>60</v>
      </c>
      <c r="BK527" s="1019">
        <f>I527/6</f>
        <v>60</v>
      </c>
      <c r="BL527" s="1019">
        <f>I527/6</f>
        <v>60</v>
      </c>
      <c r="BM527" s="1019">
        <f>I527/6</f>
        <v>60</v>
      </c>
      <c r="BN527" s="1041"/>
      <c r="BO527" s="1041"/>
      <c r="BP527" s="1041"/>
      <c r="BQ527" s="1041"/>
      <c r="BR527" s="1041"/>
      <c r="BS527" s="1041"/>
      <c r="BT527" s="1019">
        <f>SUM(BH527:BS527)</f>
        <v>360</v>
      </c>
      <c r="BU527" s="1019">
        <f>I527-BT527</f>
        <v>0</v>
      </c>
      <c r="BV527" s="976"/>
      <c r="BW527" s="953"/>
      <c r="BX527" s="493"/>
      <c r="XDV527" s="954"/>
      <c r="XDW527" s="493"/>
      <c r="XDX527" s="955"/>
      <c r="XDY527" s="956"/>
      <c r="XDZ527" s="956"/>
      <c r="XEA527" s="958"/>
      <c r="XEB527" s="959"/>
      <c r="XEC527" s="959"/>
      <c r="XED527" s="959"/>
      <c r="XEE527" s="960"/>
      <c r="XEF527" s="961"/>
      <c r="XEG527" s="961"/>
      <c r="XEH527" s="962"/>
      <c r="XEI527" s="962"/>
      <c r="XEJ527" s="953"/>
      <c r="XEK527" s="962"/>
      <c r="XEL527" s="962"/>
      <c r="XEM527" s="964"/>
      <c r="XEN527" s="964"/>
      <c r="XEO527" s="954"/>
      <c r="XEP527" s="493"/>
      <c r="XEQ527" s="955"/>
      <c r="XER527" s="956"/>
      <c r="XES527" s="956"/>
      <c r="XET527" s="958"/>
      <c r="XEU527" s="959"/>
      <c r="XEV527" s="959"/>
      <c r="XEW527" s="959"/>
      <c r="XEX527" s="960"/>
      <c r="XEY527" s="959"/>
      <c r="XEZ527" s="960"/>
      <c r="XFA527" s="961"/>
      <c r="XFB527" s="961"/>
      <c r="XFC527" s="953"/>
      <c r="XFD527" s="962"/>
    </row>
    <row r="528" s="493" customFormat="1" ht="33" customHeight="1" spans="1:75 16301:16384">
      <c r="A528" s="882">
        <v>46231</v>
      </c>
      <c r="B528" s="496" t="s">
        <v>2437</v>
      </c>
      <c r="C528" s="884" t="s">
        <v>686</v>
      </c>
      <c r="D528" s="885">
        <v>4500218035</v>
      </c>
      <c r="E528" s="885" t="s">
        <v>2438</v>
      </c>
      <c r="F528" s="887" t="s">
        <v>2439</v>
      </c>
      <c r="G528" s="888" t="s">
        <v>81</v>
      </c>
      <c r="H528" s="886" t="s">
        <v>82</v>
      </c>
      <c r="I528" s="888">
        <v>600</v>
      </c>
      <c r="J528" s="889">
        <v>0</v>
      </c>
      <c r="K528" s="888">
        <v>6</v>
      </c>
      <c r="L528" s="889">
        <f>I528/K528</f>
        <v>100</v>
      </c>
      <c r="M528" s="890">
        <v>46268</v>
      </c>
      <c r="N528" s="890">
        <v>46265</v>
      </c>
      <c r="O528" s="496"/>
      <c r="P528" s="891"/>
      <c r="Q528" s="173"/>
      <c r="R528" s="912" t="s">
        <v>1612</v>
      </c>
      <c r="S528" s="912"/>
      <c r="T528" s="912"/>
      <c r="U528" s="912" t="s">
        <v>2440</v>
      </c>
      <c r="V528" s="913"/>
      <c r="W528" s="891"/>
      <c r="X528" s="913" t="s">
        <v>2441</v>
      </c>
      <c r="Y528" s="895" t="s">
        <v>116</v>
      </c>
      <c r="Z528" s="915">
        <v>6.0761</v>
      </c>
      <c r="AA528" s="887">
        <f>Z528*I528</f>
        <v>3645.66</v>
      </c>
      <c r="AB528" s="898"/>
      <c r="AC528" s="1027" t="s">
        <v>81</v>
      </c>
      <c r="AD528" s="965" t="s">
        <v>89</v>
      </c>
      <c r="AE528" s="1042"/>
      <c r="AF528" s="1043"/>
      <c r="AG528" s="966">
        <f>I528</f>
        <v>600</v>
      </c>
      <c r="AH528" s="1044"/>
      <c r="AI528" s="1045"/>
      <c r="AJ528" s="907"/>
      <c r="AK528" s="917"/>
      <c r="AL528" s="1046"/>
      <c r="AM528" s="1045"/>
      <c r="AN528" s="918">
        <f>I528</f>
        <v>600</v>
      </c>
      <c r="AO528" s="904"/>
      <c r="AP528" s="1047"/>
      <c r="AQ528" s="1048"/>
      <c r="AR528" s="907">
        <f>I528</f>
        <v>600</v>
      </c>
      <c r="AS528" s="1049"/>
      <c r="AT528" s="1050"/>
      <c r="AU528" s="496"/>
      <c r="AV528" s="883"/>
      <c r="AW528" s="906">
        <f>I528</f>
        <v>600</v>
      </c>
      <c r="AX528" s="496"/>
      <c r="AY528" s="496"/>
      <c r="AZ528" s="496"/>
      <c r="BA528" s="496"/>
      <c r="BB528" s="496"/>
      <c r="BC528" s="496"/>
      <c r="BD528" s="496"/>
      <c r="BE528" s="496"/>
      <c r="BF528" s="920" t="s">
        <v>90</v>
      </c>
      <c r="BG528" s="496"/>
      <c r="BH528" s="496">
        <f>I528/6</f>
        <v>100</v>
      </c>
      <c r="BI528" s="496">
        <f>I528/6</f>
        <v>100</v>
      </c>
      <c r="BJ528" s="496">
        <f>I528/6</f>
        <v>100</v>
      </c>
      <c r="BK528" s="496">
        <f>I528/6</f>
        <v>100</v>
      </c>
      <c r="BL528" s="496">
        <f>I528/6</f>
        <v>100</v>
      </c>
      <c r="BM528" s="496">
        <f>I528/6</f>
        <v>100</v>
      </c>
      <c r="BN528" s="1051"/>
      <c r="BO528" s="1041"/>
      <c r="BP528" s="1041"/>
      <c r="BQ528" s="1041"/>
      <c r="BR528" s="1041"/>
      <c r="BS528" s="1052"/>
      <c r="BT528" s="496">
        <f>SUM(BH528:BS528)</f>
        <v>600</v>
      </c>
      <c r="BU528" s="496">
        <f>I528-BT528</f>
        <v>0</v>
      </c>
      <c r="BV528" s="976"/>
      <c r="BW528" s="953"/>
      <c r="XDV528" s="954"/>
      <c r="XDW528" s="493"/>
      <c r="XDX528" s="955"/>
      <c r="XDY528" s="956"/>
      <c r="XDZ528" s="956"/>
      <c r="XEA528" s="958"/>
      <c r="XEB528" s="959"/>
      <c r="XEC528" s="959"/>
      <c r="XED528" s="959"/>
      <c r="XEE528" s="960"/>
      <c r="XEF528" s="961"/>
      <c r="XEG528" s="961"/>
      <c r="XEH528" s="962"/>
      <c r="XEI528" s="962"/>
      <c r="XEJ528" s="953"/>
      <c r="XEK528" s="962"/>
      <c r="XEL528" s="962"/>
      <c r="XEM528" s="964"/>
      <c r="XEN528" s="964"/>
      <c r="XEO528" s="954"/>
      <c r="XEP528" s="493"/>
      <c r="XEQ528" s="955"/>
      <c r="XER528" s="956"/>
      <c r="XES528" s="956"/>
      <c r="XET528" s="958"/>
      <c r="XEU528" s="959"/>
      <c r="XEV528" s="959"/>
      <c r="XEW528" s="959"/>
      <c r="XEX528" s="960"/>
      <c r="XEY528" s="959"/>
      <c r="XEZ528" s="960"/>
      <c r="XFA528" s="961"/>
      <c r="XFB528" s="961"/>
      <c r="XFC528" s="953"/>
      <c r="XFD528" s="962"/>
    </row>
    <row r="529" s="493" customFormat="1" ht="33" customHeight="1" spans="1:75 16333:16384">
      <c r="A529" s="921">
        <v>46185</v>
      </c>
      <c r="B529" s="922" t="s">
        <v>1586</v>
      </c>
      <c r="C529" s="923" t="s">
        <v>92</v>
      </c>
      <c r="D529" s="924">
        <v>4500211833</v>
      </c>
      <c r="E529" s="924">
        <v>1906228</v>
      </c>
      <c r="F529" s="926" t="s">
        <v>2442</v>
      </c>
      <c r="G529" s="929" t="s">
        <v>81</v>
      </c>
      <c r="H529" s="928" t="s">
        <v>82</v>
      </c>
      <c r="I529" s="929">
        <v>960</v>
      </c>
      <c r="J529" s="930">
        <v>0</v>
      </c>
      <c r="K529" s="929">
        <v>6</v>
      </c>
      <c r="L529" s="930">
        <f t="shared" ref="L529:L554" si="326">I529/K529</f>
        <v>160</v>
      </c>
      <c r="M529" s="1053">
        <v>46269</v>
      </c>
      <c r="N529" s="1053">
        <v>46265</v>
      </c>
      <c r="O529" s="932"/>
      <c r="P529" s="933"/>
      <c r="Q529" s="934"/>
      <c r="R529" s="935" t="s">
        <v>1418</v>
      </c>
      <c r="S529" s="935"/>
      <c r="T529" s="935"/>
      <c r="U529" s="935" t="s">
        <v>86</v>
      </c>
      <c r="V529" s="928" t="s">
        <v>2443</v>
      </c>
      <c r="W529" s="933" t="s">
        <v>2444</v>
      </c>
      <c r="X529" s="936" t="s">
        <v>2445</v>
      </c>
      <c r="Y529" s="937" t="s">
        <v>1591</v>
      </c>
      <c r="Z529" s="938">
        <v>3.6457</v>
      </c>
      <c r="AA529" s="926">
        <f t="shared" ref="AA529:AA557" si="327">Z529*I529</f>
        <v>3499.872</v>
      </c>
      <c r="AB529" s="939"/>
      <c r="AC529" s="1054" t="s">
        <v>81</v>
      </c>
      <c r="AD529" s="1055" t="s">
        <v>89</v>
      </c>
      <c r="AE529" s="966"/>
      <c r="AF529" s="496"/>
      <c r="AG529" s="1056">
        <f>I529</f>
        <v>960</v>
      </c>
      <c r="AH529" s="1030"/>
      <c r="AI529" s="1031"/>
      <c r="AJ529" s="947"/>
      <c r="AK529" s="945"/>
      <c r="AL529" s="1031"/>
      <c r="AM529" s="1031"/>
      <c r="AN529" s="946">
        <f t="shared" ref="AN529:AN554" si="328">I529</f>
        <v>960</v>
      </c>
      <c r="AO529" s="1057"/>
      <c r="AP529" s="1036"/>
      <c r="AQ529" s="1036"/>
      <c r="AR529" s="949">
        <f>I529</f>
        <v>960</v>
      </c>
      <c r="AS529" s="1037"/>
      <c r="AT529" s="1038"/>
      <c r="AU529" s="922"/>
      <c r="AV529" s="1058"/>
      <c r="AW529" s="941">
        <f t="shared" ref="AW529:AW554" si="329">I529</f>
        <v>960</v>
      </c>
      <c r="AX529" s="922"/>
      <c r="AY529" s="922"/>
      <c r="AZ529" s="932"/>
      <c r="BA529" s="922"/>
      <c r="BB529" s="922"/>
      <c r="BC529" s="922"/>
      <c r="BD529" s="932"/>
      <c r="BE529" s="932"/>
      <c r="BF529" s="951" t="s">
        <v>90</v>
      </c>
      <c r="BG529" s="932"/>
      <c r="BH529" s="932">
        <f t="shared" si="320"/>
        <v>160</v>
      </c>
      <c r="BI529" s="932">
        <f t="shared" si="321"/>
        <v>160</v>
      </c>
      <c r="BJ529" s="932">
        <f t="shared" si="322"/>
        <v>160</v>
      </c>
      <c r="BK529" s="932">
        <f t="shared" si="323"/>
        <v>160</v>
      </c>
      <c r="BL529" s="932">
        <f t="shared" si="324"/>
        <v>160</v>
      </c>
      <c r="BM529" s="932">
        <f t="shared" si="325"/>
        <v>160</v>
      </c>
      <c r="BN529" s="1041"/>
      <c r="BO529" s="1041"/>
      <c r="BP529" s="1041"/>
      <c r="BQ529" s="1041"/>
      <c r="BR529" s="1041"/>
      <c r="BS529" s="1041"/>
      <c r="BT529" s="932">
        <f t="shared" ref="BT529:BT557" si="330">SUM(BH529:BS529)</f>
        <v>960</v>
      </c>
      <c r="BU529" s="932">
        <f t="shared" ref="BU529:BU557" si="331">I529-BT529</f>
        <v>0</v>
      </c>
      <c r="BV529" s="976"/>
      <c r="BW529" s="953"/>
      <c r="BX529" s="493"/>
      <c r="XDV529" s="954"/>
      <c r="XDW529" s="493"/>
      <c r="XDX529" s="955"/>
      <c r="XDY529" s="956"/>
      <c r="XDZ529" s="956"/>
      <c r="XEA529" s="958"/>
      <c r="XEB529" s="959"/>
      <c r="XEC529" s="959"/>
      <c r="XED529" s="959"/>
      <c r="XEE529" s="960"/>
      <c r="XEF529" s="961"/>
      <c r="XEG529" s="961"/>
      <c r="XEH529" s="962"/>
      <c r="XEI529" s="962"/>
      <c r="XEJ529" s="953"/>
      <c r="XEK529" s="962"/>
      <c r="XEL529" s="962"/>
      <c r="XEM529" s="964"/>
      <c r="XEN529" s="964"/>
      <c r="XEO529" s="954"/>
      <c r="XEP529" s="493"/>
      <c r="XEQ529" s="955"/>
      <c r="XER529" s="956"/>
      <c r="XES529" s="956"/>
      <c r="XET529" s="958"/>
      <c r="XEU529" s="959"/>
      <c r="XEV529" s="959"/>
      <c r="XEW529" s="959"/>
      <c r="XEX529" s="960"/>
      <c r="XEY529" s="959"/>
      <c r="XEZ529" s="960"/>
      <c r="XFA529" s="961"/>
      <c r="XFB529" s="961"/>
      <c r="XFC529" s="953"/>
      <c r="XFD529" s="962"/>
    </row>
    <row r="530" s="493" customFormat="1" ht="33" customHeight="1" spans="1:75 16333:16384">
      <c r="A530" s="882">
        <v>46185</v>
      </c>
      <c r="B530" s="494" t="s">
        <v>1586</v>
      </c>
      <c r="C530" s="884" t="s">
        <v>92</v>
      </c>
      <c r="D530" s="885">
        <v>4500211833</v>
      </c>
      <c r="E530" s="885">
        <v>1906202</v>
      </c>
      <c r="F530" s="887" t="s">
        <v>2446</v>
      </c>
      <c r="G530" s="888" t="s">
        <v>81</v>
      </c>
      <c r="H530" s="886" t="s">
        <v>82</v>
      </c>
      <c r="I530" s="888">
        <v>96</v>
      </c>
      <c r="J530" s="889">
        <v>0</v>
      </c>
      <c r="K530" s="888">
        <v>6</v>
      </c>
      <c r="L530" s="889">
        <f t="shared" si="326"/>
        <v>16</v>
      </c>
      <c r="M530" s="890">
        <v>46269</v>
      </c>
      <c r="N530" s="890">
        <v>46265</v>
      </c>
      <c r="O530" s="496"/>
      <c r="P530" s="891"/>
      <c r="Q530" s="173"/>
      <c r="R530" s="912" t="s">
        <v>1418</v>
      </c>
      <c r="S530" s="912"/>
      <c r="T530" s="912"/>
      <c r="U530" s="912" t="s">
        <v>86</v>
      </c>
      <c r="V530" s="928" t="s">
        <v>2443</v>
      </c>
      <c r="W530" s="891" t="s">
        <v>2444</v>
      </c>
      <c r="X530" s="913" t="s">
        <v>2445</v>
      </c>
      <c r="Y530" s="895" t="s">
        <v>1591</v>
      </c>
      <c r="Z530" s="915">
        <v>3.5313</v>
      </c>
      <c r="AA530" s="887">
        <f t="shared" si="327"/>
        <v>339.0048</v>
      </c>
      <c r="AB530" s="898"/>
      <c r="AC530" s="897" t="s">
        <v>81</v>
      </c>
      <c r="AD530" s="965" t="s">
        <v>89</v>
      </c>
      <c r="AE530" s="966"/>
      <c r="AF530" s="496"/>
      <c r="AG530" s="896">
        <f>I530</f>
        <v>96</v>
      </c>
      <c r="AH530" s="1030"/>
      <c r="AI530" s="1031"/>
      <c r="AJ530" s="907"/>
      <c r="AK530" s="917"/>
      <c r="AL530" s="1031"/>
      <c r="AM530" s="1031"/>
      <c r="AN530" s="918">
        <f t="shared" si="328"/>
        <v>96</v>
      </c>
      <c r="AO530" s="904"/>
      <c r="AP530" s="1036"/>
      <c r="AQ530" s="1036"/>
      <c r="AR530" s="919">
        <f>I530</f>
        <v>96</v>
      </c>
      <c r="AS530" s="1037"/>
      <c r="AT530" s="1038"/>
      <c r="AU530" s="494"/>
      <c r="AV530" s="883"/>
      <c r="AW530" s="906">
        <f t="shared" si="329"/>
        <v>96</v>
      </c>
      <c r="AX530" s="494"/>
      <c r="AY530" s="494"/>
      <c r="AZ530" s="496"/>
      <c r="BA530" s="494"/>
      <c r="BB530" s="494"/>
      <c r="BC530" s="494"/>
      <c r="BD530" s="496"/>
      <c r="BE530" s="496"/>
      <c r="BF530" s="920" t="s">
        <v>90</v>
      </c>
      <c r="BG530" s="496"/>
      <c r="BH530" s="496">
        <f t="shared" si="320"/>
        <v>16</v>
      </c>
      <c r="BI530" s="496">
        <f t="shared" si="321"/>
        <v>16</v>
      </c>
      <c r="BJ530" s="496">
        <f t="shared" si="322"/>
        <v>16</v>
      </c>
      <c r="BK530" s="496">
        <f t="shared" si="323"/>
        <v>16</v>
      </c>
      <c r="BL530" s="496">
        <f t="shared" si="324"/>
        <v>16</v>
      </c>
      <c r="BM530" s="496">
        <f t="shared" si="325"/>
        <v>16</v>
      </c>
      <c r="BN530" s="1041"/>
      <c r="BO530" s="1041"/>
      <c r="BP530" s="1041"/>
      <c r="BQ530" s="1041"/>
      <c r="BR530" s="1041"/>
      <c r="BS530" s="1041"/>
      <c r="BT530" s="496">
        <f t="shared" si="330"/>
        <v>96</v>
      </c>
      <c r="BU530" s="496">
        <f t="shared" si="331"/>
        <v>0</v>
      </c>
      <c r="BV530" s="976"/>
      <c r="BW530" s="953"/>
      <c r="BX530" s="493"/>
      <c r="XDV530" s="954"/>
      <c r="XDW530" s="493"/>
      <c r="XDX530" s="955"/>
      <c r="XDY530" s="956"/>
      <c r="XDZ530" s="956"/>
      <c r="XEA530" s="958"/>
      <c r="XEB530" s="959"/>
      <c r="XEC530" s="959"/>
      <c r="XED530" s="959"/>
      <c r="XEE530" s="960"/>
      <c r="XEF530" s="961"/>
      <c r="XEG530" s="961"/>
      <c r="XEH530" s="962"/>
      <c r="XEI530" s="962"/>
      <c r="XEJ530" s="953"/>
      <c r="XEK530" s="962"/>
      <c r="XEL530" s="962"/>
      <c r="XEM530" s="964"/>
      <c r="XEN530" s="964"/>
      <c r="XEO530" s="954"/>
      <c r="XEP530" s="493"/>
      <c r="XEQ530" s="955"/>
      <c r="XER530" s="956"/>
      <c r="XES530" s="956"/>
      <c r="XET530" s="958"/>
      <c r="XEU530" s="959"/>
      <c r="XEV530" s="959"/>
      <c r="XEW530" s="959"/>
      <c r="XEX530" s="960"/>
      <c r="XEY530" s="959"/>
      <c r="XEZ530" s="960"/>
      <c r="XFA530" s="961"/>
      <c r="XFB530" s="961"/>
      <c r="XFC530" s="953"/>
      <c r="XFD530" s="962"/>
    </row>
    <row r="531" s="493" customFormat="1" ht="33" customHeight="1" spans="1:75 16333:16384">
      <c r="A531" s="882">
        <v>46185</v>
      </c>
      <c r="B531" s="494" t="s">
        <v>1586</v>
      </c>
      <c r="C531" s="884" t="s">
        <v>92</v>
      </c>
      <c r="D531" s="885">
        <v>4500211833</v>
      </c>
      <c r="E531" s="885">
        <v>1906227</v>
      </c>
      <c r="F531" s="887" t="s">
        <v>2447</v>
      </c>
      <c r="G531" s="888" t="s">
        <v>81</v>
      </c>
      <c r="H531" s="886" t="s">
        <v>82</v>
      </c>
      <c r="I531" s="888">
        <v>444</v>
      </c>
      <c r="J531" s="889">
        <v>0</v>
      </c>
      <c r="K531" s="888">
        <v>6</v>
      </c>
      <c r="L531" s="889">
        <f t="shared" si="326"/>
        <v>74</v>
      </c>
      <c r="M531" s="890">
        <v>46269</v>
      </c>
      <c r="N531" s="890">
        <v>46265</v>
      </c>
      <c r="O531" s="496"/>
      <c r="P531" s="891"/>
      <c r="Q531" s="173"/>
      <c r="R531" s="912" t="s">
        <v>1418</v>
      </c>
      <c r="S531" s="912"/>
      <c r="T531" s="912"/>
      <c r="U531" s="912" t="s">
        <v>86</v>
      </c>
      <c r="V531" s="928" t="s">
        <v>2443</v>
      </c>
      <c r="W531" s="891" t="s">
        <v>2444</v>
      </c>
      <c r="X531" s="913" t="s">
        <v>2445</v>
      </c>
      <c r="Y531" s="895" t="s">
        <v>1591</v>
      </c>
      <c r="Z531" s="915">
        <v>3.5312</v>
      </c>
      <c r="AA531" s="887">
        <f t="shared" si="327"/>
        <v>1567.8528</v>
      </c>
      <c r="AB531" s="898"/>
      <c r="AC531" s="897" t="s">
        <v>81</v>
      </c>
      <c r="AD531" s="965" t="s">
        <v>89</v>
      </c>
      <c r="AE531" s="966"/>
      <c r="AF531" s="496"/>
      <c r="AG531" s="896">
        <f>I531</f>
        <v>444</v>
      </c>
      <c r="AH531" s="1030"/>
      <c r="AI531" s="1031"/>
      <c r="AJ531" s="907"/>
      <c r="AK531" s="917"/>
      <c r="AL531" s="1031"/>
      <c r="AM531" s="1031"/>
      <c r="AN531" s="904">
        <f t="shared" si="328"/>
        <v>444</v>
      </c>
      <c r="AO531" s="904"/>
      <c r="AP531" s="1036"/>
      <c r="AQ531" s="1036"/>
      <c r="AR531" s="919">
        <f>I531</f>
        <v>444</v>
      </c>
      <c r="AS531" s="1037"/>
      <c r="AT531" s="1038"/>
      <c r="AU531" s="494"/>
      <c r="AV531" s="883"/>
      <c r="AW531" s="906">
        <f t="shared" si="329"/>
        <v>444</v>
      </c>
      <c r="AX531" s="494"/>
      <c r="AY531" s="494"/>
      <c r="AZ531" s="496"/>
      <c r="BA531" s="494"/>
      <c r="BB531" s="494"/>
      <c r="BC531" s="494"/>
      <c r="BD531" s="496"/>
      <c r="BE531" s="496"/>
      <c r="BF531" s="920" t="s">
        <v>90</v>
      </c>
      <c r="BG531" s="496"/>
      <c r="BH531" s="496">
        <f t="shared" si="320"/>
        <v>74</v>
      </c>
      <c r="BI531" s="496">
        <f t="shared" si="321"/>
        <v>74</v>
      </c>
      <c r="BJ531" s="496">
        <f t="shared" si="322"/>
        <v>74</v>
      </c>
      <c r="BK531" s="496">
        <f t="shared" si="323"/>
        <v>74</v>
      </c>
      <c r="BL531" s="496">
        <f t="shared" si="324"/>
        <v>74</v>
      </c>
      <c r="BM531" s="496">
        <f t="shared" si="325"/>
        <v>74</v>
      </c>
      <c r="BN531" s="1041"/>
      <c r="BO531" s="1041"/>
      <c r="BP531" s="1041"/>
      <c r="BQ531" s="1041"/>
      <c r="BR531" s="1041"/>
      <c r="BS531" s="1041"/>
      <c r="BT531" s="496">
        <f t="shared" si="330"/>
        <v>444</v>
      </c>
      <c r="BU531" s="496">
        <f t="shared" si="331"/>
        <v>0</v>
      </c>
      <c r="BV531" s="976"/>
      <c r="BW531" s="953"/>
      <c r="BX531" s="493"/>
      <c r="XDV531" s="954"/>
      <c r="XDW531" s="493"/>
      <c r="XDX531" s="955"/>
      <c r="XDY531" s="956"/>
      <c r="XDZ531" s="956"/>
      <c r="XEA531" s="958"/>
      <c r="XEB531" s="959"/>
      <c r="XEC531" s="959"/>
      <c r="XED531" s="959"/>
      <c r="XEE531" s="960"/>
      <c r="XEF531" s="961"/>
      <c r="XEG531" s="961"/>
      <c r="XEH531" s="962"/>
      <c r="XEI531" s="962"/>
      <c r="XEJ531" s="953"/>
      <c r="XEK531" s="962"/>
      <c r="XEL531" s="962"/>
      <c r="XEM531" s="964"/>
      <c r="XEN531" s="964"/>
      <c r="XEO531" s="954"/>
      <c r="XEP531" s="493"/>
      <c r="XEQ531" s="955"/>
      <c r="XER531" s="956"/>
      <c r="XES531" s="956"/>
      <c r="XET531" s="958"/>
      <c r="XEU531" s="959"/>
      <c r="XEV531" s="959"/>
      <c r="XEW531" s="959"/>
      <c r="XEX531" s="960"/>
      <c r="XEY531" s="959"/>
      <c r="XEZ531" s="960"/>
      <c r="XFA531" s="961"/>
      <c r="XFB531" s="961"/>
      <c r="XFC531" s="953"/>
      <c r="XFD531" s="962"/>
    </row>
    <row r="532" s="493" customFormat="1" ht="33" customHeight="1" spans="1:75 16333:16384">
      <c r="A532" s="882">
        <v>46227</v>
      </c>
      <c r="B532" s="883" t="s">
        <v>1276</v>
      </c>
      <c r="C532" s="884" t="s">
        <v>359</v>
      </c>
      <c r="D532" s="885" t="s">
        <v>2448</v>
      </c>
      <c r="E532" s="886" t="s">
        <v>2449</v>
      </c>
      <c r="F532" s="885" t="s">
        <v>2450</v>
      </c>
      <c r="G532" s="887" t="s">
        <v>1059</v>
      </c>
      <c r="H532" s="1059" t="s">
        <v>123</v>
      </c>
      <c r="I532" s="888">
        <v>4</v>
      </c>
      <c r="J532" s="888">
        <v>0</v>
      </c>
      <c r="K532" s="888">
        <v>4</v>
      </c>
      <c r="L532" s="1060">
        <f t="shared" si="326"/>
        <v>1</v>
      </c>
      <c r="M532" s="890">
        <v>46269</v>
      </c>
      <c r="N532" s="890">
        <v>46265</v>
      </c>
      <c r="O532" s="891" t="s">
        <v>2451</v>
      </c>
      <c r="P532" s="891"/>
      <c r="Q532" s="496"/>
      <c r="R532" s="891" t="s">
        <v>1569</v>
      </c>
      <c r="S532" s="891"/>
      <c r="T532" s="891"/>
      <c r="U532" s="891" t="s">
        <v>86</v>
      </c>
      <c r="V532" s="891" t="s">
        <v>2452</v>
      </c>
      <c r="W532" s="891"/>
      <c r="X532" s="997" t="s">
        <v>2453</v>
      </c>
      <c r="Y532" s="893" t="s">
        <v>287</v>
      </c>
      <c r="Z532" s="894">
        <v>6.3481</v>
      </c>
      <c r="AA532" s="1061">
        <f t="shared" si="327"/>
        <v>25.3924</v>
      </c>
      <c r="AB532" s="896"/>
      <c r="AC532" s="1062" t="s">
        <v>1067</v>
      </c>
      <c r="AD532" s="965" t="s">
        <v>89</v>
      </c>
      <c r="AE532" s="899"/>
      <c r="AF532" s="899"/>
      <c r="AG532" s="899"/>
      <c r="AH532" s="900"/>
      <c r="AI532" s="900"/>
      <c r="AJ532" s="896">
        <f>I532</f>
        <v>4</v>
      </c>
      <c r="AK532" s="896"/>
      <c r="AL532" s="900"/>
      <c r="AM532" s="901"/>
      <c r="AN532" s="902">
        <f t="shared" si="328"/>
        <v>4</v>
      </c>
      <c r="AO532" s="896"/>
      <c r="AP532" s="903"/>
      <c r="AQ532" s="900"/>
      <c r="AR532" s="896"/>
      <c r="AS532" s="900"/>
      <c r="AT532" s="900"/>
      <c r="AU532" s="896">
        <f>I532</f>
        <v>4</v>
      </c>
      <c r="AV532" s="904"/>
      <c r="AW532" s="1063">
        <f t="shared" si="329"/>
        <v>4</v>
      </c>
      <c r="AX532" s="906"/>
      <c r="AY532" s="906"/>
      <c r="AZ532" s="906"/>
      <c r="BA532" s="906"/>
      <c r="BB532" s="906"/>
      <c r="BC532" s="906"/>
      <c r="BD532" s="907"/>
      <c r="BE532" s="908"/>
      <c r="BF532" s="904" t="s">
        <v>90</v>
      </c>
      <c r="BG532" s="496"/>
      <c r="BH532" s="906"/>
      <c r="BI532" s="906">
        <f>I532</f>
        <v>4</v>
      </c>
      <c r="BJ532" s="906"/>
      <c r="BK532" s="906"/>
      <c r="BL532" s="906"/>
      <c r="BM532" s="906"/>
      <c r="BN532" s="975"/>
      <c r="BO532" s="975"/>
      <c r="BP532" s="975"/>
      <c r="BQ532" s="975"/>
      <c r="BR532" s="975"/>
      <c r="BS532" s="975"/>
      <c r="BT532" s="919">
        <f t="shared" si="330"/>
        <v>4</v>
      </c>
      <c r="BU532" s="908">
        <f t="shared" si="331"/>
        <v>0</v>
      </c>
      <c r="BV532" s="976"/>
      <c r="BW532" s="953"/>
    </row>
    <row r="533" s="493" customFormat="1" ht="33" customHeight="1" spans="1:75 16333:16384">
      <c r="A533" s="882">
        <v>46227</v>
      </c>
      <c r="B533" s="883" t="s">
        <v>1276</v>
      </c>
      <c r="C533" s="884" t="s">
        <v>359</v>
      </c>
      <c r="D533" s="885" t="s">
        <v>2448</v>
      </c>
      <c r="E533" s="886" t="s">
        <v>2454</v>
      </c>
      <c r="F533" s="885" t="s">
        <v>2455</v>
      </c>
      <c r="G533" s="887" t="s">
        <v>1059</v>
      </c>
      <c r="H533" s="1059" t="s">
        <v>123</v>
      </c>
      <c r="I533" s="888">
        <v>12</v>
      </c>
      <c r="J533" s="888">
        <v>0</v>
      </c>
      <c r="K533" s="888">
        <v>4</v>
      </c>
      <c r="L533" s="1060">
        <f t="shared" si="326"/>
        <v>3</v>
      </c>
      <c r="M533" s="890">
        <v>46269</v>
      </c>
      <c r="N533" s="890">
        <v>46265</v>
      </c>
      <c r="O533" s="891" t="s">
        <v>2451</v>
      </c>
      <c r="P533" s="891"/>
      <c r="Q533" s="496"/>
      <c r="R533" s="891" t="s">
        <v>1569</v>
      </c>
      <c r="S533" s="891"/>
      <c r="T533" s="891"/>
      <c r="U533" s="891" t="s">
        <v>86</v>
      </c>
      <c r="V533" s="891" t="s">
        <v>2452</v>
      </c>
      <c r="W533" s="891"/>
      <c r="X533" s="997" t="s">
        <v>2453</v>
      </c>
      <c r="Y533" s="893" t="s">
        <v>287</v>
      </c>
      <c r="Z533" s="894">
        <v>6.3481</v>
      </c>
      <c r="AA533" s="1061">
        <f t="shared" si="327"/>
        <v>76.1772</v>
      </c>
      <c r="AB533" s="896"/>
      <c r="AC533" s="1062" t="s">
        <v>1067</v>
      </c>
      <c r="AD533" s="965" t="s">
        <v>89</v>
      </c>
      <c r="AE533" s="899"/>
      <c r="AF533" s="899"/>
      <c r="AG533" s="899"/>
      <c r="AH533" s="900"/>
      <c r="AI533" s="900"/>
      <c r="AJ533" s="896">
        <f>I533</f>
        <v>12</v>
      </c>
      <c r="AK533" s="896"/>
      <c r="AL533" s="900"/>
      <c r="AM533" s="901"/>
      <c r="AN533" s="902">
        <f t="shared" si="328"/>
        <v>12</v>
      </c>
      <c r="AO533" s="896"/>
      <c r="AP533" s="903"/>
      <c r="AQ533" s="900"/>
      <c r="AR533" s="896"/>
      <c r="AS533" s="900"/>
      <c r="AT533" s="900"/>
      <c r="AU533" s="896">
        <f>I533</f>
        <v>12</v>
      </c>
      <c r="AV533" s="904"/>
      <c r="AW533" s="1063">
        <f t="shared" si="329"/>
        <v>12</v>
      </c>
      <c r="AX533" s="906"/>
      <c r="AY533" s="906"/>
      <c r="AZ533" s="906"/>
      <c r="BA533" s="906"/>
      <c r="BB533" s="906"/>
      <c r="BC533" s="906"/>
      <c r="BD533" s="907"/>
      <c r="BE533" s="908"/>
      <c r="BF533" s="904" t="s">
        <v>90</v>
      </c>
      <c r="BG533" s="496"/>
      <c r="BH533" s="906"/>
      <c r="BI533" s="906">
        <f>I533</f>
        <v>12</v>
      </c>
      <c r="BJ533" s="906"/>
      <c r="BK533" s="906"/>
      <c r="BL533" s="906"/>
      <c r="BM533" s="906"/>
      <c r="BN533" s="975"/>
      <c r="BO533" s="975"/>
      <c r="BP533" s="975"/>
      <c r="BQ533" s="975"/>
      <c r="BR533" s="975"/>
      <c r="BS533" s="975"/>
      <c r="BT533" s="919">
        <f t="shared" si="330"/>
        <v>12</v>
      </c>
      <c r="BU533" s="908">
        <f t="shared" si="331"/>
        <v>0</v>
      </c>
      <c r="BV533" s="976"/>
      <c r="BW533" s="953"/>
    </row>
    <row r="534" s="493" customFormat="1" ht="33" customHeight="1" spans="1:75 16333:16384">
      <c r="A534" s="882">
        <v>46227</v>
      </c>
      <c r="B534" s="883" t="s">
        <v>1276</v>
      </c>
      <c r="C534" s="884" t="s">
        <v>359</v>
      </c>
      <c r="D534" s="885" t="s">
        <v>2448</v>
      </c>
      <c r="E534" s="886" t="s">
        <v>2456</v>
      </c>
      <c r="F534" s="885" t="s">
        <v>2457</v>
      </c>
      <c r="G534" s="887" t="s">
        <v>1059</v>
      </c>
      <c r="H534" s="1059" t="s">
        <v>123</v>
      </c>
      <c r="I534" s="888">
        <v>12</v>
      </c>
      <c r="J534" s="888">
        <v>0</v>
      </c>
      <c r="K534" s="888">
        <v>4</v>
      </c>
      <c r="L534" s="1060">
        <f t="shared" si="326"/>
        <v>3</v>
      </c>
      <c r="M534" s="890">
        <v>46269</v>
      </c>
      <c r="N534" s="890">
        <v>46265</v>
      </c>
      <c r="O534" s="891" t="s">
        <v>2451</v>
      </c>
      <c r="P534" s="891"/>
      <c r="Q534" s="496"/>
      <c r="R534" s="891" t="s">
        <v>1569</v>
      </c>
      <c r="S534" s="891"/>
      <c r="T534" s="891"/>
      <c r="U534" s="891" t="s">
        <v>86</v>
      </c>
      <c r="V534" s="891" t="s">
        <v>2452</v>
      </c>
      <c r="W534" s="891"/>
      <c r="X534" s="997" t="s">
        <v>2453</v>
      </c>
      <c r="Y534" s="893" t="s">
        <v>287</v>
      </c>
      <c r="Z534" s="894">
        <v>6.3481</v>
      </c>
      <c r="AA534" s="1061">
        <f t="shared" si="327"/>
        <v>76.1772</v>
      </c>
      <c r="AB534" s="896"/>
      <c r="AC534" s="1062" t="s">
        <v>1067</v>
      </c>
      <c r="AD534" s="965" t="s">
        <v>89</v>
      </c>
      <c r="AE534" s="899"/>
      <c r="AF534" s="899"/>
      <c r="AG534" s="899"/>
      <c r="AH534" s="900"/>
      <c r="AI534" s="900"/>
      <c r="AJ534" s="896">
        <f>I534</f>
        <v>12</v>
      </c>
      <c r="AK534" s="896"/>
      <c r="AL534" s="900"/>
      <c r="AM534" s="901"/>
      <c r="AN534" s="902">
        <f t="shared" si="328"/>
        <v>12</v>
      </c>
      <c r="AO534" s="896"/>
      <c r="AP534" s="903"/>
      <c r="AQ534" s="900"/>
      <c r="AR534" s="896"/>
      <c r="AS534" s="900"/>
      <c r="AT534" s="900"/>
      <c r="AU534" s="896">
        <f>I534</f>
        <v>12</v>
      </c>
      <c r="AV534" s="904"/>
      <c r="AW534" s="1063">
        <f t="shared" si="329"/>
        <v>12</v>
      </c>
      <c r="AX534" s="906"/>
      <c r="AY534" s="906"/>
      <c r="AZ534" s="906"/>
      <c r="BA534" s="906"/>
      <c r="BB534" s="906"/>
      <c r="BC534" s="906"/>
      <c r="BD534" s="907"/>
      <c r="BE534" s="908"/>
      <c r="BF534" s="904" t="s">
        <v>90</v>
      </c>
      <c r="BG534" s="496"/>
      <c r="BH534" s="906"/>
      <c r="BI534" s="906">
        <f>I534</f>
        <v>12</v>
      </c>
      <c r="BJ534" s="906"/>
      <c r="BK534" s="906"/>
      <c r="BL534" s="906"/>
      <c r="BM534" s="906"/>
      <c r="BN534" s="975"/>
      <c r="BO534" s="975"/>
      <c r="BP534" s="975"/>
      <c r="BQ534" s="975"/>
      <c r="BR534" s="975"/>
      <c r="BS534" s="975"/>
      <c r="BT534" s="919">
        <f t="shared" si="330"/>
        <v>12</v>
      </c>
      <c r="BU534" s="908">
        <f t="shared" si="331"/>
        <v>0</v>
      </c>
      <c r="BV534" s="976"/>
      <c r="BW534" s="953"/>
    </row>
    <row r="535" s="493" customFormat="1" ht="33" customHeight="1" spans="1:75 16333:16384">
      <c r="A535" s="882">
        <v>46227</v>
      </c>
      <c r="B535" s="883" t="s">
        <v>1276</v>
      </c>
      <c r="C535" s="884" t="s">
        <v>359</v>
      </c>
      <c r="D535" s="885" t="s">
        <v>2448</v>
      </c>
      <c r="E535" s="886" t="s">
        <v>2458</v>
      </c>
      <c r="F535" s="885" t="s">
        <v>2459</v>
      </c>
      <c r="G535" s="887" t="s">
        <v>1059</v>
      </c>
      <c r="H535" s="1059" t="s">
        <v>123</v>
      </c>
      <c r="I535" s="888">
        <v>4</v>
      </c>
      <c r="J535" s="888">
        <v>0</v>
      </c>
      <c r="K535" s="888">
        <v>4</v>
      </c>
      <c r="L535" s="1060">
        <f t="shared" si="326"/>
        <v>1</v>
      </c>
      <c r="M535" s="890">
        <v>46269</v>
      </c>
      <c r="N535" s="890">
        <v>46265</v>
      </c>
      <c r="O535" s="891" t="s">
        <v>2451</v>
      </c>
      <c r="P535" s="891"/>
      <c r="Q535" s="496"/>
      <c r="R535" s="891" t="s">
        <v>1569</v>
      </c>
      <c r="S535" s="891"/>
      <c r="T535" s="891"/>
      <c r="U535" s="891" t="s">
        <v>86</v>
      </c>
      <c r="V535" s="891" t="s">
        <v>2452</v>
      </c>
      <c r="W535" s="891"/>
      <c r="X535" s="997" t="s">
        <v>2453</v>
      </c>
      <c r="Y535" s="893" t="s">
        <v>287</v>
      </c>
      <c r="Z535" s="894">
        <v>6.3481</v>
      </c>
      <c r="AA535" s="1061">
        <f t="shared" si="327"/>
        <v>25.3924</v>
      </c>
      <c r="AB535" s="896"/>
      <c r="AC535" s="1062" t="s">
        <v>1067</v>
      </c>
      <c r="AD535" s="965" t="s">
        <v>89</v>
      </c>
      <c r="AE535" s="899"/>
      <c r="AF535" s="899"/>
      <c r="AG535" s="899"/>
      <c r="AH535" s="900"/>
      <c r="AI535" s="900"/>
      <c r="AJ535" s="896">
        <f>I535</f>
        <v>4</v>
      </c>
      <c r="AK535" s="896"/>
      <c r="AL535" s="900"/>
      <c r="AM535" s="901"/>
      <c r="AN535" s="902">
        <f t="shared" si="328"/>
        <v>4</v>
      </c>
      <c r="AO535" s="896"/>
      <c r="AP535" s="903"/>
      <c r="AQ535" s="900"/>
      <c r="AR535" s="896"/>
      <c r="AS535" s="900"/>
      <c r="AT535" s="900"/>
      <c r="AU535" s="896">
        <f>I535</f>
        <v>4</v>
      </c>
      <c r="AV535" s="904"/>
      <c r="AW535" s="1063">
        <f t="shared" si="329"/>
        <v>4</v>
      </c>
      <c r="AX535" s="906"/>
      <c r="AY535" s="906"/>
      <c r="AZ535" s="906"/>
      <c r="BA535" s="906"/>
      <c r="BB535" s="906"/>
      <c r="BC535" s="906"/>
      <c r="BD535" s="907"/>
      <c r="BE535" s="908"/>
      <c r="BF535" s="904" t="s">
        <v>90</v>
      </c>
      <c r="BG535" s="496"/>
      <c r="BH535" s="906"/>
      <c r="BI535" s="906">
        <f>I535</f>
        <v>4</v>
      </c>
      <c r="BJ535" s="906"/>
      <c r="BK535" s="906"/>
      <c r="BL535" s="906"/>
      <c r="BM535" s="906"/>
      <c r="BN535" s="975"/>
      <c r="BO535" s="975"/>
      <c r="BP535" s="975"/>
      <c r="BQ535" s="975"/>
      <c r="BR535" s="975"/>
      <c r="BS535" s="975"/>
      <c r="BT535" s="919">
        <f t="shared" si="330"/>
        <v>4</v>
      </c>
      <c r="BU535" s="908">
        <f t="shared" si="331"/>
        <v>0</v>
      </c>
      <c r="BV535" s="976"/>
      <c r="BW535" s="953"/>
    </row>
    <row r="536" s="493" customFormat="1" ht="33" customHeight="1" spans="1:75 16333:16384">
      <c r="A536" s="882">
        <v>46227</v>
      </c>
      <c r="B536" s="883" t="s">
        <v>1276</v>
      </c>
      <c r="C536" s="884" t="s">
        <v>359</v>
      </c>
      <c r="D536" s="885" t="s">
        <v>2448</v>
      </c>
      <c r="E536" s="886" t="s">
        <v>2460</v>
      </c>
      <c r="F536" s="885" t="s">
        <v>2461</v>
      </c>
      <c r="G536" s="887" t="s">
        <v>1059</v>
      </c>
      <c r="H536" s="1059" t="s">
        <v>123</v>
      </c>
      <c r="I536" s="888">
        <v>4</v>
      </c>
      <c r="J536" s="888">
        <v>0</v>
      </c>
      <c r="K536" s="888">
        <v>4</v>
      </c>
      <c r="L536" s="1060">
        <f t="shared" si="326"/>
        <v>1</v>
      </c>
      <c r="M536" s="890">
        <v>46269</v>
      </c>
      <c r="N536" s="890">
        <v>46265</v>
      </c>
      <c r="O536" s="891" t="s">
        <v>2451</v>
      </c>
      <c r="P536" s="891"/>
      <c r="Q536" s="496"/>
      <c r="R536" s="891" t="s">
        <v>1569</v>
      </c>
      <c r="S536" s="891"/>
      <c r="T536" s="891"/>
      <c r="U536" s="891" t="s">
        <v>86</v>
      </c>
      <c r="V536" s="891" t="s">
        <v>2452</v>
      </c>
      <c r="W536" s="891"/>
      <c r="X536" s="997" t="s">
        <v>2453</v>
      </c>
      <c r="Y536" s="893" t="s">
        <v>287</v>
      </c>
      <c r="Z536" s="894">
        <v>6.3481</v>
      </c>
      <c r="AA536" s="1061">
        <f t="shared" si="327"/>
        <v>25.3924</v>
      </c>
      <c r="AB536" s="896"/>
      <c r="AC536" s="1062" t="s">
        <v>1067</v>
      </c>
      <c r="AD536" s="965" t="s">
        <v>89</v>
      </c>
      <c r="AE536" s="899"/>
      <c r="AF536" s="899"/>
      <c r="AG536" s="899"/>
      <c r="AH536" s="900"/>
      <c r="AI536" s="900"/>
      <c r="AJ536" s="896">
        <f>I536</f>
        <v>4</v>
      </c>
      <c r="AK536" s="896"/>
      <c r="AL536" s="900"/>
      <c r="AM536" s="901"/>
      <c r="AN536" s="902">
        <f t="shared" si="328"/>
        <v>4</v>
      </c>
      <c r="AO536" s="896"/>
      <c r="AP536" s="903"/>
      <c r="AQ536" s="900"/>
      <c r="AR536" s="896"/>
      <c r="AS536" s="900"/>
      <c r="AT536" s="900"/>
      <c r="AU536" s="896">
        <f>I536</f>
        <v>4</v>
      </c>
      <c r="AV536" s="904"/>
      <c r="AW536" s="1063">
        <f t="shared" si="329"/>
        <v>4</v>
      </c>
      <c r="AX536" s="906"/>
      <c r="AY536" s="906"/>
      <c r="AZ536" s="906"/>
      <c r="BA536" s="906"/>
      <c r="BB536" s="906"/>
      <c r="BC536" s="906"/>
      <c r="BD536" s="907"/>
      <c r="BE536" s="908"/>
      <c r="BF536" s="904" t="s">
        <v>90</v>
      </c>
      <c r="BG536" s="496"/>
      <c r="BH536" s="906"/>
      <c r="BI536" s="906">
        <f>I536</f>
        <v>4</v>
      </c>
      <c r="BJ536" s="906"/>
      <c r="BK536" s="906"/>
      <c r="BL536" s="906"/>
      <c r="BM536" s="906"/>
      <c r="BN536" s="975"/>
      <c r="BO536" s="975"/>
      <c r="BP536" s="975"/>
      <c r="BQ536" s="975"/>
      <c r="BR536" s="975"/>
      <c r="BS536" s="975"/>
      <c r="BT536" s="919">
        <f t="shared" si="330"/>
        <v>4</v>
      </c>
      <c r="BU536" s="908">
        <f t="shared" si="331"/>
        <v>0</v>
      </c>
      <c r="BV536" s="976"/>
      <c r="BW536" s="953"/>
    </row>
    <row r="537" s="493" customFormat="1" ht="33" customHeight="1" spans="1:75 16333:16384">
      <c r="A537" s="882">
        <v>46181</v>
      </c>
      <c r="B537" s="883" t="s">
        <v>724</v>
      </c>
      <c r="C537" s="884" t="s">
        <v>725</v>
      </c>
      <c r="D537" s="885">
        <v>4500211065</v>
      </c>
      <c r="E537" s="886" t="s">
        <v>2349</v>
      </c>
      <c r="F537" s="885" t="s">
        <v>2462</v>
      </c>
      <c r="G537" s="887" t="s">
        <v>81</v>
      </c>
      <c r="H537" s="886" t="s">
        <v>82</v>
      </c>
      <c r="I537" s="888">
        <v>774</v>
      </c>
      <c r="J537" s="888">
        <v>0</v>
      </c>
      <c r="K537" s="888">
        <v>6</v>
      </c>
      <c r="L537" s="889">
        <f t="shared" si="326"/>
        <v>129</v>
      </c>
      <c r="M537" s="890">
        <v>46272</v>
      </c>
      <c r="N537" s="890">
        <v>46268</v>
      </c>
      <c r="O537" s="891"/>
      <c r="P537" s="891"/>
      <c r="Q537" s="973"/>
      <c r="R537" s="891" t="s">
        <v>2351</v>
      </c>
      <c r="S537" s="891"/>
      <c r="T537" s="891"/>
      <c r="U537" s="891" t="s">
        <v>2463</v>
      </c>
      <c r="V537" s="891"/>
      <c r="W537" s="891" t="s">
        <v>2353</v>
      </c>
      <c r="X537" s="892" t="s">
        <v>2464</v>
      </c>
      <c r="Y537" s="893" t="s">
        <v>1004</v>
      </c>
      <c r="Z537" s="894">
        <v>5.8854</v>
      </c>
      <c r="AA537" s="895">
        <f t="shared" si="327"/>
        <v>4555.2996</v>
      </c>
      <c r="AB537" s="896"/>
      <c r="AC537" s="897" t="s">
        <v>81</v>
      </c>
      <c r="AD537" s="965" t="s">
        <v>89</v>
      </c>
      <c r="AE537" s="899"/>
      <c r="AF537" s="899"/>
      <c r="AG537" s="899">
        <f t="shared" ref="AG537:AG542" si="332">I537</f>
        <v>774</v>
      </c>
      <c r="AH537" s="900"/>
      <c r="AI537" s="900"/>
      <c r="AJ537" s="896"/>
      <c r="AK537" s="896"/>
      <c r="AL537" s="900"/>
      <c r="AM537" s="901"/>
      <c r="AN537" s="902">
        <f t="shared" si="328"/>
        <v>774</v>
      </c>
      <c r="AO537" s="896"/>
      <c r="AP537" s="903"/>
      <c r="AQ537" s="900"/>
      <c r="AR537" s="896">
        <f t="shared" ref="AR537:AR542" si="333">I537</f>
        <v>774</v>
      </c>
      <c r="AS537" s="900"/>
      <c r="AT537" s="900"/>
      <c r="AU537" s="896"/>
      <c r="AV537" s="904"/>
      <c r="AW537" s="896">
        <f t="shared" si="329"/>
        <v>774</v>
      </c>
      <c r="AX537" s="906"/>
      <c r="AY537" s="906"/>
      <c r="AZ537" s="906"/>
      <c r="BA537" s="906"/>
      <c r="BB537" s="906"/>
      <c r="BC537" s="906"/>
      <c r="BD537" s="907"/>
      <c r="BE537" s="908"/>
      <c r="BF537" s="920" t="s">
        <v>90</v>
      </c>
      <c r="BG537" s="496"/>
      <c r="BH537" s="906">
        <f t="shared" ref="BH537:BH554" si="334">I537/6</f>
        <v>129</v>
      </c>
      <c r="BI537" s="906">
        <f t="shared" ref="BI537:BI554" si="335">I537/6</f>
        <v>129</v>
      </c>
      <c r="BJ537" s="906">
        <f t="shared" ref="BJ537:BJ554" si="336">I537/6</f>
        <v>129</v>
      </c>
      <c r="BK537" s="906">
        <f t="shared" ref="BK537:BK554" si="337">I537/6</f>
        <v>129</v>
      </c>
      <c r="BL537" s="906">
        <f t="shared" ref="BL537:BL554" si="338">I537/6</f>
        <v>129</v>
      </c>
      <c r="BM537" s="906">
        <f t="shared" ref="BM537:BM554" si="339">I537/6</f>
        <v>129</v>
      </c>
      <c r="BN537" s="975"/>
      <c r="BO537" s="975"/>
      <c r="BP537" s="975"/>
      <c r="BQ537" s="975"/>
      <c r="BR537" s="975"/>
      <c r="BS537" s="975"/>
      <c r="BT537" s="919">
        <f t="shared" si="330"/>
        <v>774</v>
      </c>
      <c r="BU537" s="908">
        <f t="shared" si="331"/>
        <v>0</v>
      </c>
      <c r="BV537" s="976"/>
      <c r="BW537" s="953"/>
    </row>
    <row r="538" s="493" customFormat="1" ht="33" customHeight="1" spans="1:75 16333:16384">
      <c r="A538" s="882">
        <v>46181</v>
      </c>
      <c r="B538" s="883" t="s">
        <v>724</v>
      </c>
      <c r="C538" s="884" t="s">
        <v>725</v>
      </c>
      <c r="D538" s="885">
        <v>4500211083</v>
      </c>
      <c r="E538" s="886" t="s">
        <v>2355</v>
      </c>
      <c r="F538" s="885" t="s">
        <v>2465</v>
      </c>
      <c r="G538" s="887" t="s">
        <v>81</v>
      </c>
      <c r="H538" s="886" t="s">
        <v>82</v>
      </c>
      <c r="I538" s="888">
        <v>300</v>
      </c>
      <c r="J538" s="888">
        <v>0</v>
      </c>
      <c r="K538" s="888">
        <v>6</v>
      </c>
      <c r="L538" s="889">
        <f t="shared" si="326"/>
        <v>50</v>
      </c>
      <c r="M538" s="890">
        <v>46272</v>
      </c>
      <c r="N538" s="890">
        <v>46268</v>
      </c>
      <c r="O538" s="891"/>
      <c r="P538" s="891"/>
      <c r="Q538" s="973"/>
      <c r="R538" s="891" t="s">
        <v>2351</v>
      </c>
      <c r="S538" s="891"/>
      <c r="T538" s="891"/>
      <c r="U538" s="891" t="s">
        <v>2466</v>
      </c>
      <c r="V538" s="891"/>
      <c r="W538" s="891" t="s">
        <v>2353</v>
      </c>
      <c r="X538" s="892" t="s">
        <v>2467</v>
      </c>
      <c r="Y538" s="893" t="s">
        <v>1004</v>
      </c>
      <c r="Z538" s="894">
        <v>5.8854</v>
      </c>
      <c r="AA538" s="895">
        <f t="shared" si="327"/>
        <v>1765.62</v>
      </c>
      <c r="AB538" s="896"/>
      <c r="AC538" s="897" t="s">
        <v>81</v>
      </c>
      <c r="AD538" s="965" t="s">
        <v>89</v>
      </c>
      <c r="AE538" s="899"/>
      <c r="AF538" s="899"/>
      <c r="AG538" s="899">
        <f t="shared" si="332"/>
        <v>300</v>
      </c>
      <c r="AH538" s="900"/>
      <c r="AI538" s="900"/>
      <c r="AJ538" s="896"/>
      <c r="AK538" s="896"/>
      <c r="AL538" s="900"/>
      <c r="AM538" s="901"/>
      <c r="AN538" s="902">
        <f t="shared" si="328"/>
        <v>300</v>
      </c>
      <c r="AO538" s="896"/>
      <c r="AP538" s="903"/>
      <c r="AQ538" s="900"/>
      <c r="AR538" s="896">
        <f t="shared" si="333"/>
        <v>300</v>
      </c>
      <c r="AS538" s="900"/>
      <c r="AT538" s="900"/>
      <c r="AU538" s="896"/>
      <c r="AV538" s="904"/>
      <c r="AW538" s="896">
        <f t="shared" si="329"/>
        <v>300</v>
      </c>
      <c r="AX538" s="906"/>
      <c r="AY538" s="906"/>
      <c r="AZ538" s="906"/>
      <c r="BA538" s="906"/>
      <c r="BB538" s="906"/>
      <c r="BC538" s="906"/>
      <c r="BD538" s="907"/>
      <c r="BE538" s="908"/>
      <c r="BF538" s="920" t="s">
        <v>90</v>
      </c>
      <c r="BG538" s="496"/>
      <c r="BH538" s="906">
        <f t="shared" si="334"/>
        <v>50</v>
      </c>
      <c r="BI538" s="906">
        <f t="shared" si="335"/>
        <v>50</v>
      </c>
      <c r="BJ538" s="906">
        <f t="shared" si="336"/>
        <v>50</v>
      </c>
      <c r="BK538" s="906">
        <f t="shared" si="337"/>
        <v>50</v>
      </c>
      <c r="BL538" s="906">
        <f t="shared" si="338"/>
        <v>50</v>
      </c>
      <c r="BM538" s="906">
        <f t="shared" si="339"/>
        <v>50</v>
      </c>
      <c r="BN538" s="975"/>
      <c r="BO538" s="975"/>
      <c r="BP538" s="975"/>
      <c r="BQ538" s="975"/>
      <c r="BR538" s="975"/>
      <c r="BS538" s="975"/>
      <c r="BT538" s="919">
        <f t="shared" si="330"/>
        <v>300</v>
      </c>
      <c r="BU538" s="908">
        <f t="shared" si="331"/>
        <v>0</v>
      </c>
      <c r="BV538" s="976"/>
      <c r="BW538" s="953"/>
    </row>
    <row r="539" s="493" customFormat="1" ht="33" customHeight="1" spans="1:75 16333:16384">
      <c r="A539" s="882">
        <v>46185</v>
      </c>
      <c r="B539" s="494" t="s">
        <v>166</v>
      </c>
      <c r="C539" s="884" t="s">
        <v>92</v>
      </c>
      <c r="D539" s="885">
        <v>4500211497</v>
      </c>
      <c r="E539" s="885">
        <v>60295968</v>
      </c>
      <c r="F539" s="887" t="s">
        <v>2468</v>
      </c>
      <c r="G539" s="888" t="s">
        <v>81</v>
      </c>
      <c r="H539" s="886" t="s">
        <v>82</v>
      </c>
      <c r="I539" s="888">
        <v>5502</v>
      </c>
      <c r="J539" s="889">
        <v>0</v>
      </c>
      <c r="K539" s="888">
        <v>6</v>
      </c>
      <c r="L539" s="889">
        <f t="shared" si="326"/>
        <v>917</v>
      </c>
      <c r="M539" s="890">
        <v>46273</v>
      </c>
      <c r="N539" s="890">
        <v>46269</v>
      </c>
      <c r="O539" s="496"/>
      <c r="P539" s="891"/>
      <c r="Q539" s="173"/>
      <c r="R539" s="912" t="s">
        <v>2351</v>
      </c>
      <c r="S539" s="912"/>
      <c r="T539" s="912"/>
      <c r="U539" s="912" t="s">
        <v>86</v>
      </c>
      <c r="V539" s="913" t="s">
        <v>2435</v>
      </c>
      <c r="W539" s="891"/>
      <c r="X539" s="913" t="s">
        <v>2469</v>
      </c>
      <c r="Y539" s="895" t="s">
        <v>439</v>
      </c>
      <c r="Z539" s="915">
        <v>3.6241</v>
      </c>
      <c r="AA539" s="887">
        <f t="shared" si="327"/>
        <v>19939.7982</v>
      </c>
      <c r="AB539" s="898"/>
      <c r="AC539" s="897" t="s">
        <v>81</v>
      </c>
      <c r="AD539" s="965" t="s">
        <v>89</v>
      </c>
      <c r="AE539" s="966"/>
      <c r="AF539" s="496"/>
      <c r="AG539" s="966">
        <f t="shared" si="332"/>
        <v>5502</v>
      </c>
      <c r="AH539" s="1030"/>
      <c r="AI539" s="1031"/>
      <c r="AJ539" s="907"/>
      <c r="AK539" s="917"/>
      <c r="AL539" s="1031"/>
      <c r="AM539" s="1031"/>
      <c r="AN539" s="918">
        <f t="shared" si="328"/>
        <v>5502</v>
      </c>
      <c r="AO539" s="904"/>
      <c r="AP539" s="1036"/>
      <c r="AQ539" s="1036"/>
      <c r="AR539" s="907">
        <f t="shared" si="333"/>
        <v>5502</v>
      </c>
      <c r="AS539" s="1037"/>
      <c r="AT539" s="1038"/>
      <c r="AU539" s="494"/>
      <c r="AV539" s="883"/>
      <c r="AW539" s="896">
        <f t="shared" si="329"/>
        <v>5502</v>
      </c>
      <c r="AX539" s="494"/>
      <c r="AY539" s="494"/>
      <c r="AZ539" s="496"/>
      <c r="BA539" s="494"/>
      <c r="BB539" s="494"/>
      <c r="BC539" s="494"/>
      <c r="BD539" s="496"/>
      <c r="BE539" s="496"/>
      <c r="BF539" s="920" t="s">
        <v>90</v>
      </c>
      <c r="BG539" s="496"/>
      <c r="BH539" s="496">
        <f t="shared" si="334"/>
        <v>917</v>
      </c>
      <c r="BI539" s="496">
        <f t="shared" si="335"/>
        <v>917</v>
      </c>
      <c r="BJ539" s="496">
        <f t="shared" si="336"/>
        <v>917</v>
      </c>
      <c r="BK539" s="496">
        <f t="shared" si="337"/>
        <v>917</v>
      </c>
      <c r="BL539" s="496">
        <f t="shared" si="338"/>
        <v>917</v>
      </c>
      <c r="BM539" s="496">
        <f t="shared" si="339"/>
        <v>917</v>
      </c>
      <c r="BN539" s="1041"/>
      <c r="BO539" s="1041"/>
      <c r="BP539" s="1041"/>
      <c r="BQ539" s="1041"/>
      <c r="BR539" s="1041"/>
      <c r="BS539" s="1041"/>
      <c r="BT539" s="496">
        <f t="shared" si="330"/>
        <v>5502</v>
      </c>
      <c r="BU539" s="496">
        <f t="shared" si="331"/>
        <v>0</v>
      </c>
      <c r="BV539" s="976"/>
      <c r="BW539" s="953"/>
      <c r="BX539" s="493"/>
      <c r="XDV539" s="954"/>
      <c r="XDW539" s="493"/>
      <c r="XDX539" s="955"/>
      <c r="XDY539" s="956"/>
      <c r="XDZ539" s="956"/>
      <c r="XEA539" s="958"/>
      <c r="XEB539" s="959"/>
      <c r="XEC539" s="959"/>
      <c r="XED539" s="959"/>
      <c r="XEE539" s="960"/>
      <c r="XEF539" s="961"/>
      <c r="XEG539" s="961"/>
      <c r="XEH539" s="962"/>
      <c r="XEI539" s="962"/>
      <c r="XEJ539" s="953"/>
      <c r="XEK539" s="962"/>
      <c r="XEL539" s="962"/>
      <c r="XEM539" s="964"/>
      <c r="XEN539" s="964"/>
      <c r="XEO539" s="954"/>
      <c r="XEP539" s="493"/>
      <c r="XEQ539" s="955"/>
      <c r="XER539" s="956"/>
      <c r="XES539" s="956"/>
      <c r="XET539" s="958"/>
      <c r="XEU539" s="959"/>
      <c r="XEV539" s="959"/>
      <c r="XEW539" s="959"/>
      <c r="XEX539" s="960"/>
      <c r="XEY539" s="959"/>
      <c r="XEZ539" s="960"/>
      <c r="XFA539" s="961"/>
      <c r="XFB539" s="961"/>
      <c r="XFC539" s="953"/>
      <c r="XFD539" s="962"/>
    </row>
    <row r="540" s="493" customFormat="1" ht="33" customHeight="1" spans="1:75 16333:16384">
      <c r="A540" s="1011">
        <v>46227</v>
      </c>
      <c r="B540" s="1039" t="s">
        <v>2470</v>
      </c>
      <c r="C540" s="1013" t="s">
        <v>725</v>
      </c>
      <c r="D540" s="1014" t="s">
        <v>2471</v>
      </c>
      <c r="E540" s="1064">
        <v>1100036976</v>
      </c>
      <c r="F540" s="1014" t="s">
        <v>2472</v>
      </c>
      <c r="G540" s="974" t="s">
        <v>81</v>
      </c>
      <c r="H540" s="1016" t="s">
        <v>82</v>
      </c>
      <c r="I540" s="1015">
        <v>504</v>
      </c>
      <c r="J540" s="1015">
        <v>0</v>
      </c>
      <c r="K540" s="1015">
        <v>6</v>
      </c>
      <c r="L540" s="1017">
        <f t="shared" si="326"/>
        <v>84</v>
      </c>
      <c r="M540" s="1018">
        <v>46275</v>
      </c>
      <c r="N540" s="1018">
        <v>46272</v>
      </c>
      <c r="O540" s="1020"/>
      <c r="P540" s="1020"/>
      <c r="Q540" s="1019"/>
      <c r="R540" s="1020" t="s">
        <v>1612</v>
      </c>
      <c r="S540" s="1020"/>
      <c r="T540" s="1020"/>
      <c r="U540" s="1020" t="s">
        <v>2473</v>
      </c>
      <c r="V540" s="1020"/>
      <c r="W540" s="1020"/>
      <c r="X540" s="1065" t="s">
        <v>2474</v>
      </c>
      <c r="Y540" s="1066" t="s">
        <v>1004</v>
      </c>
      <c r="Z540" s="1067">
        <v>6.0761</v>
      </c>
      <c r="AA540" s="1024">
        <f t="shared" si="327"/>
        <v>3062.3544</v>
      </c>
      <c r="AB540" s="1068"/>
      <c r="AC540" s="1027" t="s">
        <v>81</v>
      </c>
      <c r="AD540" s="1026" t="s">
        <v>89</v>
      </c>
      <c r="AE540" s="1069"/>
      <c r="AF540" s="1069"/>
      <c r="AG540" s="1069">
        <f t="shared" si="332"/>
        <v>504</v>
      </c>
      <c r="AH540" s="1070"/>
      <c r="AI540" s="1070"/>
      <c r="AJ540" s="1068"/>
      <c r="AK540" s="1068"/>
      <c r="AL540" s="1070"/>
      <c r="AM540" s="1071"/>
      <c r="AN540" s="1072">
        <f t="shared" si="328"/>
        <v>504</v>
      </c>
      <c r="AO540" s="1068"/>
      <c r="AP540" s="1073"/>
      <c r="AQ540" s="1070"/>
      <c r="AR540" s="1068">
        <f t="shared" si="333"/>
        <v>504</v>
      </c>
      <c r="AS540" s="1070"/>
      <c r="AT540" s="1070"/>
      <c r="AU540" s="1068"/>
      <c r="AV540" s="1035"/>
      <c r="AW540" s="1068">
        <f t="shared" si="329"/>
        <v>504</v>
      </c>
      <c r="AX540" s="1040"/>
      <c r="AY540" s="1040"/>
      <c r="AZ540" s="1040"/>
      <c r="BA540" s="1040"/>
      <c r="BB540" s="1040"/>
      <c r="BC540" s="1040"/>
      <c r="BD540" s="1032"/>
      <c r="BE540" s="1074"/>
      <c r="BF540" s="1035" t="s">
        <v>90</v>
      </c>
      <c r="BG540" s="1019"/>
      <c r="BH540" s="1040">
        <f t="shared" si="334"/>
        <v>84</v>
      </c>
      <c r="BI540" s="1040">
        <f t="shared" si="335"/>
        <v>84</v>
      </c>
      <c r="BJ540" s="1040">
        <f t="shared" si="336"/>
        <v>84</v>
      </c>
      <c r="BK540" s="1040">
        <f t="shared" si="337"/>
        <v>84</v>
      </c>
      <c r="BL540" s="1040">
        <f t="shared" si="338"/>
        <v>84</v>
      </c>
      <c r="BM540" s="1040">
        <f t="shared" si="339"/>
        <v>84</v>
      </c>
      <c r="BN540" s="1075"/>
      <c r="BO540" s="1075"/>
      <c r="BP540" s="1075"/>
      <c r="BQ540" s="1075"/>
      <c r="BR540" s="1075"/>
      <c r="BS540" s="1075"/>
      <c r="BT540" s="1076">
        <f t="shared" si="330"/>
        <v>504</v>
      </c>
      <c r="BU540" s="1074">
        <f t="shared" si="331"/>
        <v>0</v>
      </c>
      <c r="BV540" s="976"/>
      <c r="BW540" s="953"/>
    </row>
    <row r="541" s="496" customFormat="1" ht="33" customHeight="1" spans="1:75 16333:16384">
      <c r="A541" s="882">
        <v>46234</v>
      </c>
      <c r="B541" s="496" t="s">
        <v>2270</v>
      </c>
      <c r="C541" s="884" t="s">
        <v>669</v>
      </c>
      <c r="D541" s="885">
        <v>4500218324</v>
      </c>
      <c r="E541" s="885"/>
      <c r="F541" s="887" t="s">
        <v>2475</v>
      </c>
      <c r="G541" s="888" t="s">
        <v>81</v>
      </c>
      <c r="H541" s="886" t="s">
        <v>82</v>
      </c>
      <c r="I541" s="888">
        <v>600</v>
      </c>
      <c r="J541" s="889">
        <v>0</v>
      </c>
      <c r="K541" s="888">
        <v>6</v>
      </c>
      <c r="L541" s="889">
        <f t="shared" si="326"/>
        <v>100</v>
      </c>
      <c r="M541" s="890">
        <v>46275</v>
      </c>
      <c r="N541" s="890">
        <v>46272</v>
      </c>
      <c r="O541" s="496"/>
      <c r="P541" s="891"/>
      <c r="Q541" s="173"/>
      <c r="R541" s="912" t="s">
        <v>1588</v>
      </c>
      <c r="S541" s="912"/>
      <c r="T541" s="912"/>
      <c r="U541" s="912" t="s">
        <v>2476</v>
      </c>
      <c r="V541" s="913"/>
      <c r="W541" s="891"/>
      <c r="X541" s="913" t="s">
        <v>2275</v>
      </c>
      <c r="Y541" s="895" t="s">
        <v>2477</v>
      </c>
      <c r="Z541" s="915">
        <v>6.0761</v>
      </c>
      <c r="AA541" s="887">
        <f t="shared" si="327"/>
        <v>3645.66</v>
      </c>
      <c r="AB541" s="898"/>
      <c r="AC541" s="1027" t="s">
        <v>81</v>
      </c>
      <c r="AD541" s="965" t="s">
        <v>89</v>
      </c>
      <c r="AE541" s="966"/>
      <c r="AF541" s="907"/>
      <c r="AG541" s="917">
        <f t="shared" si="332"/>
        <v>600</v>
      </c>
      <c r="AH541" s="1030"/>
      <c r="AI541" s="1036"/>
      <c r="AJ541" s="907"/>
      <c r="AK541" s="496"/>
      <c r="AL541" s="1077"/>
      <c r="AM541" s="1031"/>
      <c r="AN541" s="496">
        <f t="shared" si="328"/>
        <v>600</v>
      </c>
      <c r="AP541" s="1041"/>
      <c r="AQ541" s="1041"/>
      <c r="AR541" s="496">
        <f t="shared" si="333"/>
        <v>600</v>
      </c>
      <c r="AS541" s="1041"/>
      <c r="AT541" s="1041"/>
      <c r="AU541" s="496"/>
      <c r="AV541" s="920"/>
      <c r="AW541" s="496">
        <f t="shared" si="329"/>
        <v>600</v>
      </c>
      <c r="BF541" s="904" t="s">
        <v>90</v>
      </c>
      <c r="BG541" s="496"/>
      <c r="BH541" s="496">
        <f t="shared" si="334"/>
        <v>100</v>
      </c>
      <c r="BI541" s="496">
        <f t="shared" si="335"/>
        <v>100</v>
      </c>
      <c r="BJ541" s="496">
        <f t="shared" si="336"/>
        <v>100</v>
      </c>
      <c r="BK541" s="496">
        <f t="shared" si="337"/>
        <v>100</v>
      </c>
      <c r="BL541" s="496">
        <f t="shared" si="338"/>
        <v>100</v>
      </c>
      <c r="BM541" s="496">
        <f t="shared" si="339"/>
        <v>100</v>
      </c>
      <c r="BN541" s="1041"/>
      <c r="BO541" s="1041"/>
      <c r="BP541" s="1041"/>
      <c r="BQ541" s="1041"/>
      <c r="BR541" s="1041"/>
      <c r="BS541" s="1041"/>
      <c r="BT541" s="496">
        <f t="shared" si="330"/>
        <v>600</v>
      </c>
      <c r="BU541" s="496">
        <f t="shared" si="331"/>
        <v>0</v>
      </c>
      <c r="BV541" s="1041"/>
      <c r="BW541" s="496"/>
      <c r="XDE541" s="882"/>
      <c r="XDF541" s="496"/>
      <c r="XDG541" s="884"/>
      <c r="XDH541" s="885"/>
      <c r="XDI541" s="885"/>
      <c r="XDJ541" s="887"/>
      <c r="XDK541" s="888"/>
      <c r="XDL541" s="888"/>
      <c r="XDM541" s="888"/>
      <c r="XDN541" s="889"/>
      <c r="XDO541" s="890"/>
      <c r="XDP541" s="890"/>
      <c r="XDQ541" s="891"/>
      <c r="XDR541" s="891"/>
      <c r="XDS541" s="496"/>
      <c r="XDT541" s="891"/>
      <c r="XDU541" s="891"/>
      <c r="XDV541" s="912"/>
      <c r="XDW541" s="912"/>
      <c r="XDX541" s="882"/>
      <c r="XDY541" s="496"/>
      <c r="XDZ541" s="884"/>
      <c r="XEA541" s="885"/>
      <c r="XEB541" s="885"/>
      <c r="XEC541" s="887"/>
      <c r="XED541" s="888"/>
      <c r="XEE541" s="888"/>
      <c r="XEF541" s="888"/>
      <c r="XEG541" s="889"/>
      <c r="XEH541" s="888"/>
      <c r="XEI541" s="889"/>
      <c r="XEJ541" s="890"/>
      <c r="XEK541" s="890"/>
      <c r="XEL541" s="496"/>
      <c r="XEM541" s="891"/>
      <c r="XEN541" s="882"/>
      <c r="XEO541" s="496"/>
      <c r="XEP541" s="884"/>
      <c r="XEQ541" s="885"/>
      <c r="XER541" s="885"/>
      <c r="XES541" s="887"/>
      <c r="XET541" s="888"/>
      <c r="XEU541" s="886"/>
      <c r="XEV541" s="888"/>
      <c r="XEW541" s="889"/>
      <c r="XEX541" s="888"/>
      <c r="XEY541" s="889"/>
      <c r="XEZ541" s="890"/>
      <c r="XFA541" s="890"/>
      <c r="XFB541" s="496"/>
      <c r="XFC541" s="891"/>
      <c r="XFD541" s="173"/>
    </row>
    <row r="542" s="493" customFormat="1" ht="33" customHeight="1" spans="1:75 16333:16384">
      <c r="A542" s="882">
        <v>46232</v>
      </c>
      <c r="B542" s="496" t="s">
        <v>2478</v>
      </c>
      <c r="C542" s="884" t="s">
        <v>92</v>
      </c>
      <c r="D542" s="885">
        <v>4500218039</v>
      </c>
      <c r="E542" s="885"/>
      <c r="F542" s="887" t="s">
        <v>2479</v>
      </c>
      <c r="G542" s="888" t="s">
        <v>81</v>
      </c>
      <c r="H542" s="886" t="s">
        <v>82</v>
      </c>
      <c r="I542" s="888">
        <v>156</v>
      </c>
      <c r="J542" s="889">
        <v>0</v>
      </c>
      <c r="K542" s="888">
        <v>6</v>
      </c>
      <c r="L542" s="889">
        <f t="shared" si="326"/>
        <v>26</v>
      </c>
      <c r="M542" s="890">
        <v>46276</v>
      </c>
      <c r="N542" s="890">
        <v>46272</v>
      </c>
      <c r="O542" s="496"/>
      <c r="P542" s="891"/>
      <c r="Q542" s="173"/>
      <c r="R542" s="912" t="s">
        <v>2480</v>
      </c>
      <c r="S542" s="912"/>
      <c r="T542" s="912"/>
      <c r="U542" s="912" t="s">
        <v>86</v>
      </c>
      <c r="V542" s="913"/>
      <c r="W542" s="891"/>
      <c r="X542" s="913" t="s">
        <v>2481</v>
      </c>
      <c r="Y542" s="895" t="s">
        <v>2482</v>
      </c>
      <c r="Z542" s="915">
        <v>3.6456</v>
      </c>
      <c r="AA542" s="887">
        <f t="shared" si="327"/>
        <v>568.7136</v>
      </c>
      <c r="AB542" s="898"/>
      <c r="AC542" s="1027" t="s">
        <v>81</v>
      </c>
      <c r="AD542" s="965" t="s">
        <v>89</v>
      </c>
      <c r="AE542" s="940"/>
      <c r="AF542" s="947"/>
      <c r="AG542" s="966">
        <f t="shared" si="332"/>
        <v>156</v>
      </c>
      <c r="AH542" s="1078"/>
      <c r="AI542" s="1079"/>
      <c r="AJ542" s="907"/>
      <c r="AK542" s="496"/>
      <c r="AL542" s="1080"/>
      <c r="AM542" s="1081"/>
      <c r="AN542" s="496">
        <f t="shared" si="328"/>
        <v>156</v>
      </c>
      <c r="AO542" s="496"/>
      <c r="AP542" s="1082"/>
      <c r="AQ542" s="1083"/>
      <c r="AR542" s="907">
        <f t="shared" si="333"/>
        <v>156</v>
      </c>
      <c r="AS542" s="1083"/>
      <c r="AT542" s="1082"/>
      <c r="AU542" s="496"/>
      <c r="AV542" s="920"/>
      <c r="AW542" s="496">
        <f t="shared" si="329"/>
        <v>156</v>
      </c>
      <c r="AX542" s="496"/>
      <c r="AY542" s="496"/>
      <c r="AZ542" s="496"/>
      <c r="BA542" s="496"/>
      <c r="BB542" s="496"/>
      <c r="BC542" s="496"/>
      <c r="BD542" s="496"/>
      <c r="BE542" s="496"/>
      <c r="BF542" s="920" t="s">
        <v>90</v>
      </c>
      <c r="BG542" s="496"/>
      <c r="BH542" s="496">
        <f t="shared" si="334"/>
        <v>26</v>
      </c>
      <c r="BI542" s="496">
        <f t="shared" si="335"/>
        <v>26</v>
      </c>
      <c r="BJ542" s="496">
        <f t="shared" si="336"/>
        <v>26</v>
      </c>
      <c r="BK542" s="496">
        <f t="shared" si="337"/>
        <v>26</v>
      </c>
      <c r="BL542" s="496">
        <f t="shared" si="338"/>
        <v>26</v>
      </c>
      <c r="BM542" s="496">
        <f t="shared" si="339"/>
        <v>26</v>
      </c>
      <c r="BN542" s="1084"/>
      <c r="BO542" s="1084"/>
      <c r="BP542" s="1084"/>
      <c r="BQ542" s="1084"/>
      <c r="BR542" s="1084"/>
      <c r="BS542" s="1084"/>
      <c r="BT542" s="496">
        <f t="shared" si="330"/>
        <v>156</v>
      </c>
      <c r="BU542" s="496">
        <f t="shared" si="331"/>
        <v>0</v>
      </c>
      <c r="BV542" s="1084"/>
      <c r="XDE542" s="954"/>
      <c r="XDF542" s="493"/>
      <c r="XDG542" s="955"/>
      <c r="XDH542" s="956"/>
      <c r="XDI542" s="956"/>
      <c r="XDJ542" s="958"/>
      <c r="XDK542" s="959"/>
      <c r="XDL542" s="959"/>
      <c r="XDM542" s="959"/>
      <c r="XDN542" s="960"/>
      <c r="XDO542" s="961"/>
      <c r="XDP542" s="961"/>
      <c r="XDQ542" s="962"/>
      <c r="XDR542" s="962"/>
      <c r="XDS542" s="953"/>
      <c r="XDT542" s="962"/>
      <c r="XDU542" s="962"/>
      <c r="XDV542" s="964"/>
      <c r="XDW542" s="964"/>
      <c r="XDX542" s="954"/>
      <c r="XDY542" s="493"/>
      <c r="XDZ542" s="955"/>
      <c r="XEA542" s="956"/>
      <c r="XEB542" s="956"/>
      <c r="XEC542" s="958"/>
      <c r="XED542" s="959"/>
      <c r="XEE542" s="959"/>
      <c r="XEF542" s="959"/>
      <c r="XEG542" s="960"/>
      <c r="XEH542" s="959"/>
      <c r="XEI542" s="960"/>
      <c r="XEJ542" s="961"/>
      <c r="XEK542" s="961"/>
      <c r="XEL542" s="953"/>
      <c r="XEM542" s="962"/>
      <c r="XEN542" s="921"/>
      <c r="XEO542" s="922"/>
      <c r="XEP542" s="923"/>
      <c r="XEQ542" s="924"/>
      <c r="XER542" s="924"/>
      <c r="XES542" s="926"/>
      <c r="XET542" s="929"/>
      <c r="XEU542" s="928"/>
      <c r="XEV542" s="929"/>
      <c r="XEW542" s="930"/>
      <c r="XEX542" s="929"/>
      <c r="XEY542" s="930"/>
      <c r="XEZ542" s="1053"/>
      <c r="XFA542" s="1053"/>
      <c r="XFB542" s="932"/>
      <c r="XFC542" s="933"/>
      <c r="XFD542" s="934"/>
    </row>
    <row r="543" s="493" customFormat="1" ht="33" customHeight="1" spans="1:75 16333:16384">
      <c r="A543" s="882">
        <v>46232</v>
      </c>
      <c r="B543" s="883" t="s">
        <v>2483</v>
      </c>
      <c r="C543" s="884" t="s">
        <v>334</v>
      </c>
      <c r="D543" s="885">
        <v>4500217695</v>
      </c>
      <c r="E543" s="886"/>
      <c r="F543" s="885" t="s">
        <v>2484</v>
      </c>
      <c r="G543" s="887" t="s">
        <v>81</v>
      </c>
      <c r="H543" s="886" t="s">
        <v>82</v>
      </c>
      <c r="I543" s="888">
        <v>240</v>
      </c>
      <c r="J543" s="888">
        <v>0</v>
      </c>
      <c r="K543" s="888">
        <v>6</v>
      </c>
      <c r="L543" s="889">
        <f t="shared" si="326"/>
        <v>40</v>
      </c>
      <c r="M543" s="890">
        <v>46276</v>
      </c>
      <c r="N543" s="890">
        <v>46272</v>
      </c>
      <c r="O543" s="891"/>
      <c r="P543" s="891"/>
      <c r="Q543" s="973"/>
      <c r="R543" s="1085" t="s">
        <v>2485</v>
      </c>
      <c r="S543" s="891"/>
      <c r="T543" s="891"/>
      <c r="U543" s="891" t="s">
        <v>2486</v>
      </c>
      <c r="V543" s="891"/>
      <c r="W543" s="891"/>
      <c r="X543" s="997" t="s">
        <v>2487</v>
      </c>
      <c r="Y543" s="893" t="s">
        <v>356</v>
      </c>
      <c r="Z543" s="894">
        <v>6.0761</v>
      </c>
      <c r="AA543" s="887">
        <f t="shared" si="327"/>
        <v>1458.264</v>
      </c>
      <c r="AB543" s="896"/>
      <c r="AC543" s="887" t="s">
        <v>235</v>
      </c>
      <c r="AD543" s="965" t="s">
        <v>89</v>
      </c>
      <c r="AE543" s="899"/>
      <c r="AF543" s="899"/>
      <c r="AG543" s="899"/>
      <c r="AH543" s="900"/>
      <c r="AI543" s="900"/>
      <c r="AJ543" s="896">
        <f>I543</f>
        <v>240</v>
      </c>
      <c r="AK543" s="896"/>
      <c r="AL543" s="900"/>
      <c r="AM543" s="901"/>
      <c r="AN543" s="496">
        <f t="shared" si="328"/>
        <v>240</v>
      </c>
      <c r="AO543" s="896"/>
      <c r="AP543" s="903"/>
      <c r="AQ543" s="900"/>
      <c r="AR543" s="896"/>
      <c r="AS543" s="900"/>
      <c r="AT543" s="900"/>
      <c r="AU543" s="896">
        <f>I543</f>
        <v>240</v>
      </c>
      <c r="AV543" s="904"/>
      <c r="AW543" s="496">
        <f t="shared" si="329"/>
        <v>240</v>
      </c>
      <c r="AX543" s="906"/>
      <c r="AY543" s="906"/>
      <c r="AZ543" s="906"/>
      <c r="BA543" s="906"/>
      <c r="BB543" s="906"/>
      <c r="BC543" s="906"/>
      <c r="BD543" s="907"/>
      <c r="BE543" s="908"/>
      <c r="BF543" s="920" t="s">
        <v>90</v>
      </c>
      <c r="BG543" s="496"/>
      <c r="BH543" s="906">
        <f t="shared" si="334"/>
        <v>40</v>
      </c>
      <c r="BI543" s="906">
        <f t="shared" si="335"/>
        <v>40</v>
      </c>
      <c r="BJ543" s="906">
        <f t="shared" si="336"/>
        <v>40</v>
      </c>
      <c r="BK543" s="906">
        <f t="shared" si="337"/>
        <v>40</v>
      </c>
      <c r="BL543" s="906">
        <f t="shared" si="338"/>
        <v>40</v>
      </c>
      <c r="BM543" s="906">
        <f t="shared" si="339"/>
        <v>40</v>
      </c>
      <c r="BN543" s="1086"/>
      <c r="BO543" s="975"/>
      <c r="BP543" s="975"/>
      <c r="BQ543" s="975"/>
      <c r="BR543" s="975"/>
      <c r="BS543" s="1087"/>
      <c r="BT543" s="919">
        <f t="shared" si="330"/>
        <v>240</v>
      </c>
      <c r="BU543" s="908">
        <f t="shared" si="331"/>
        <v>0</v>
      </c>
      <c r="BV543" s="976"/>
      <c r="BW543" s="953"/>
    </row>
    <row r="544" s="493" customFormat="1" ht="33" customHeight="1" spans="1:75 16333:16384">
      <c r="A544" s="882">
        <v>46232</v>
      </c>
      <c r="B544" s="883" t="s">
        <v>254</v>
      </c>
      <c r="C544" s="884" t="s">
        <v>255</v>
      </c>
      <c r="D544" s="885">
        <v>4500214354</v>
      </c>
      <c r="E544" s="886">
        <v>21968931</v>
      </c>
      <c r="F544" s="885" t="s">
        <v>2488</v>
      </c>
      <c r="G544" s="887" t="s">
        <v>81</v>
      </c>
      <c r="H544" s="886" t="s">
        <v>82</v>
      </c>
      <c r="I544" s="888">
        <v>1284</v>
      </c>
      <c r="J544" s="888">
        <v>0</v>
      </c>
      <c r="K544" s="888">
        <v>6</v>
      </c>
      <c r="L544" s="889">
        <f t="shared" si="326"/>
        <v>214</v>
      </c>
      <c r="M544" s="890">
        <v>46279</v>
      </c>
      <c r="N544" s="890">
        <v>46275</v>
      </c>
      <c r="O544" s="891"/>
      <c r="P544" s="891"/>
      <c r="Q544" s="973"/>
      <c r="R544" s="912" t="s">
        <v>1668</v>
      </c>
      <c r="S544" s="891"/>
      <c r="T544" s="891"/>
      <c r="U544" s="891" t="s">
        <v>2489</v>
      </c>
      <c r="V544" s="891" t="s">
        <v>2490</v>
      </c>
      <c r="W544" s="891"/>
      <c r="X544" s="892" t="s">
        <v>2491</v>
      </c>
      <c r="Y544" s="893" t="s">
        <v>2081</v>
      </c>
      <c r="Z544" s="894">
        <v>6.4732</v>
      </c>
      <c r="AA544" s="887">
        <f t="shared" si="327"/>
        <v>8311.5888</v>
      </c>
      <c r="AB544" s="896"/>
      <c r="AC544" s="1027" t="s">
        <v>81</v>
      </c>
      <c r="AD544" s="965" t="s">
        <v>89</v>
      </c>
      <c r="AE544" s="899"/>
      <c r="AF544" s="899"/>
      <c r="AG544" s="899">
        <f>I544</f>
        <v>1284</v>
      </c>
      <c r="AH544" s="900"/>
      <c r="AI544" s="900"/>
      <c r="AJ544" s="896"/>
      <c r="AK544" s="896"/>
      <c r="AL544" s="900"/>
      <c r="AM544" s="901"/>
      <c r="AN544" s="496">
        <f t="shared" si="328"/>
        <v>1284</v>
      </c>
      <c r="AO544" s="896"/>
      <c r="AP544" s="903"/>
      <c r="AQ544" s="900"/>
      <c r="AR544" s="896">
        <f>I544</f>
        <v>1284</v>
      </c>
      <c r="AS544" s="900"/>
      <c r="AT544" s="900"/>
      <c r="AU544" s="896"/>
      <c r="AV544" s="904"/>
      <c r="AW544" s="496">
        <f t="shared" si="329"/>
        <v>1284</v>
      </c>
      <c r="AX544" s="906"/>
      <c r="AY544" s="906"/>
      <c r="AZ544" s="906"/>
      <c r="BA544" s="906"/>
      <c r="BB544" s="906"/>
      <c r="BC544" s="906"/>
      <c r="BD544" s="907"/>
      <c r="BE544" s="908"/>
      <c r="BF544" s="920" t="s">
        <v>90</v>
      </c>
      <c r="BG544" s="496"/>
      <c r="BH544" s="906">
        <f t="shared" si="334"/>
        <v>214</v>
      </c>
      <c r="BI544" s="906">
        <f t="shared" si="335"/>
        <v>214</v>
      </c>
      <c r="BJ544" s="906">
        <f t="shared" si="336"/>
        <v>214</v>
      </c>
      <c r="BK544" s="906">
        <f t="shared" si="337"/>
        <v>214</v>
      </c>
      <c r="BL544" s="906">
        <f t="shared" si="338"/>
        <v>214</v>
      </c>
      <c r="BM544" s="906">
        <f t="shared" si="339"/>
        <v>214</v>
      </c>
      <c r="BN544" s="1086"/>
      <c r="BO544" s="975"/>
      <c r="BP544" s="975"/>
      <c r="BQ544" s="975"/>
      <c r="BR544" s="975"/>
      <c r="BS544" s="1087"/>
      <c r="BT544" s="919">
        <f t="shared" si="330"/>
        <v>1284</v>
      </c>
      <c r="BU544" s="908">
        <f t="shared" si="331"/>
        <v>0</v>
      </c>
      <c r="BV544" s="976"/>
      <c r="BW544" s="953"/>
    </row>
    <row r="545" s="493" customFormat="1" ht="33" customHeight="1" spans="1:75 16350:16384">
      <c r="A545" s="882">
        <v>46232</v>
      </c>
      <c r="B545" s="883" t="s">
        <v>245</v>
      </c>
      <c r="C545" s="884" t="s">
        <v>246</v>
      </c>
      <c r="D545" s="885">
        <v>4500214355</v>
      </c>
      <c r="E545" s="886">
        <v>21968932</v>
      </c>
      <c r="F545" s="885" t="s">
        <v>2492</v>
      </c>
      <c r="G545" s="887" t="s">
        <v>81</v>
      </c>
      <c r="H545" s="886" t="s">
        <v>82</v>
      </c>
      <c r="I545" s="888">
        <v>216</v>
      </c>
      <c r="J545" s="888">
        <v>0</v>
      </c>
      <c r="K545" s="888">
        <v>6</v>
      </c>
      <c r="L545" s="889">
        <f t="shared" si="326"/>
        <v>36</v>
      </c>
      <c r="M545" s="890">
        <v>46279</v>
      </c>
      <c r="N545" s="890">
        <v>46275</v>
      </c>
      <c r="O545" s="891"/>
      <c r="P545" s="891"/>
      <c r="Q545" s="973"/>
      <c r="R545" s="912" t="s">
        <v>1668</v>
      </c>
      <c r="S545" s="891"/>
      <c r="T545" s="891"/>
      <c r="U545" s="891" t="s">
        <v>2489</v>
      </c>
      <c r="V545" s="891" t="s">
        <v>2490</v>
      </c>
      <c r="W545" s="891"/>
      <c r="X545" s="892" t="s">
        <v>2493</v>
      </c>
      <c r="Y545" s="893" t="s">
        <v>2081</v>
      </c>
      <c r="Z545" s="894">
        <v>6.481</v>
      </c>
      <c r="AA545" s="887">
        <f t="shared" si="327"/>
        <v>1399.896</v>
      </c>
      <c r="AB545" s="896"/>
      <c r="AC545" s="1027" t="s">
        <v>81</v>
      </c>
      <c r="AD545" s="965" t="s">
        <v>89</v>
      </c>
      <c r="AE545" s="899"/>
      <c r="AF545" s="899"/>
      <c r="AG545" s="899">
        <f>I545</f>
        <v>216</v>
      </c>
      <c r="AH545" s="900"/>
      <c r="AI545" s="900"/>
      <c r="AJ545" s="896"/>
      <c r="AK545" s="896"/>
      <c r="AL545" s="900"/>
      <c r="AM545" s="901"/>
      <c r="AN545" s="496">
        <f t="shared" si="328"/>
        <v>216</v>
      </c>
      <c r="AO545" s="896"/>
      <c r="AP545" s="903"/>
      <c r="AQ545" s="900"/>
      <c r="AR545" s="896">
        <f>I545</f>
        <v>216</v>
      </c>
      <c r="AS545" s="900"/>
      <c r="AT545" s="900"/>
      <c r="AU545" s="896"/>
      <c r="AV545" s="904"/>
      <c r="AW545" s="496">
        <f t="shared" si="329"/>
        <v>216</v>
      </c>
      <c r="AX545" s="906"/>
      <c r="AY545" s="906"/>
      <c r="AZ545" s="906"/>
      <c r="BA545" s="906"/>
      <c r="BB545" s="906"/>
      <c r="BC545" s="906"/>
      <c r="BD545" s="907"/>
      <c r="BE545" s="908"/>
      <c r="BF545" s="920" t="s">
        <v>90</v>
      </c>
      <c r="BG545" s="496"/>
      <c r="BH545" s="906">
        <f t="shared" si="334"/>
        <v>36</v>
      </c>
      <c r="BI545" s="906">
        <f t="shared" si="335"/>
        <v>36</v>
      </c>
      <c r="BJ545" s="906">
        <f t="shared" si="336"/>
        <v>36</v>
      </c>
      <c r="BK545" s="906">
        <f t="shared" si="337"/>
        <v>36</v>
      </c>
      <c r="BL545" s="906">
        <f t="shared" si="338"/>
        <v>36</v>
      </c>
      <c r="BM545" s="906">
        <f t="shared" si="339"/>
        <v>36</v>
      </c>
      <c r="BN545" s="1086"/>
      <c r="BO545" s="975"/>
      <c r="BP545" s="975"/>
      <c r="BQ545" s="975"/>
      <c r="BR545" s="975"/>
      <c r="BS545" s="1087"/>
      <c r="BT545" s="919">
        <f t="shared" si="330"/>
        <v>216</v>
      </c>
      <c r="BU545" s="908">
        <f t="shared" si="331"/>
        <v>0</v>
      </c>
      <c r="BV545" s="976"/>
      <c r="BW545" s="953"/>
    </row>
    <row r="546" s="493" customFormat="1" ht="33" customHeight="1" spans="1:75 16350:16384">
      <c r="A546" s="882">
        <v>46248</v>
      </c>
      <c r="B546" s="883" t="s">
        <v>2494</v>
      </c>
      <c r="C546" s="884" t="s">
        <v>334</v>
      </c>
      <c r="D546" s="885">
        <v>4500220001</v>
      </c>
      <c r="E546" s="886"/>
      <c r="F546" s="885" t="s">
        <v>2495</v>
      </c>
      <c r="G546" s="887" t="s">
        <v>1996</v>
      </c>
      <c r="H546" s="886" t="s">
        <v>2397</v>
      </c>
      <c r="I546" s="888">
        <v>60</v>
      </c>
      <c r="J546" s="888">
        <v>0</v>
      </c>
      <c r="K546" s="888">
        <v>6</v>
      </c>
      <c r="L546" s="889">
        <v>10</v>
      </c>
      <c r="M546" s="890">
        <v>46283</v>
      </c>
      <c r="N546" s="890">
        <v>46279</v>
      </c>
      <c r="O546" s="891"/>
      <c r="P546" s="891"/>
      <c r="Q546" s="973"/>
      <c r="R546" s="912" t="s">
        <v>1668</v>
      </c>
      <c r="S546" s="891"/>
      <c r="T546" s="891"/>
      <c r="U546" s="891" t="s">
        <v>2496</v>
      </c>
      <c r="V546" s="891"/>
      <c r="W546" s="891"/>
      <c r="X546" s="892" t="s">
        <v>2497</v>
      </c>
      <c r="Y546" s="893" t="s">
        <v>2498</v>
      </c>
      <c r="Z546" s="894">
        <v>5.8295</v>
      </c>
      <c r="AA546" s="887">
        <f t="shared" si="327"/>
        <v>349.77</v>
      </c>
      <c r="AB546" s="896"/>
      <c r="AC546" s="887" t="s">
        <v>1996</v>
      </c>
      <c r="AD546" s="965" t="s">
        <v>89</v>
      </c>
      <c r="AE546" s="899"/>
      <c r="AF546" s="899"/>
      <c r="AG546" s="899"/>
      <c r="AH546" s="900"/>
      <c r="AI546" s="900"/>
      <c r="AJ546" s="896">
        <f>I546</f>
        <v>60</v>
      </c>
      <c r="AK546" s="896"/>
      <c r="AL546" s="900"/>
      <c r="AM546" s="901"/>
      <c r="AN546" s="496">
        <f t="shared" si="328"/>
        <v>60</v>
      </c>
      <c r="AO546" s="896"/>
      <c r="AP546" s="903"/>
      <c r="AQ546" s="900"/>
      <c r="AR546" s="896"/>
      <c r="AS546" s="900"/>
      <c r="AT546" s="900"/>
      <c r="AU546" s="896">
        <f>I546</f>
        <v>60</v>
      </c>
      <c r="AV546" s="904"/>
      <c r="AW546" s="496">
        <f t="shared" si="329"/>
        <v>60</v>
      </c>
      <c r="AX546" s="906"/>
      <c r="AY546" s="906"/>
      <c r="AZ546" s="906"/>
      <c r="BA546" s="906"/>
      <c r="BB546" s="906"/>
      <c r="BC546" s="906"/>
      <c r="BD546" s="907"/>
      <c r="BE546" s="908"/>
      <c r="BF546" s="920" t="s">
        <v>90</v>
      </c>
      <c r="BG546" s="496"/>
      <c r="BH546" s="906">
        <f>I546</f>
        <v>60</v>
      </c>
      <c r="BI546" s="906"/>
      <c r="BJ546" s="906"/>
      <c r="BK546" s="906"/>
      <c r="BL546" s="906"/>
      <c r="BM546" s="906"/>
      <c r="BN546" s="1086"/>
      <c r="BO546" s="975"/>
      <c r="BP546" s="975"/>
      <c r="BQ546" s="975"/>
      <c r="BR546" s="975"/>
      <c r="BS546" s="1087"/>
      <c r="BT546" s="919">
        <f t="shared" si="330"/>
        <v>60</v>
      </c>
      <c r="BU546" s="908">
        <f t="shared" si="331"/>
        <v>0</v>
      </c>
      <c r="BV546" s="976"/>
      <c r="BW546" s="953"/>
    </row>
    <row r="547" s="493" customFormat="1" ht="33" customHeight="1" spans="1:75 16350:16384">
      <c r="A547" s="882">
        <v>46248</v>
      </c>
      <c r="B547" s="883" t="s">
        <v>2494</v>
      </c>
      <c r="C547" s="884" t="s">
        <v>334</v>
      </c>
      <c r="D547" s="885">
        <v>4500220001</v>
      </c>
      <c r="E547" s="886"/>
      <c r="F547" s="885" t="s">
        <v>2499</v>
      </c>
      <c r="G547" s="887" t="s">
        <v>2402</v>
      </c>
      <c r="H547" s="886" t="s">
        <v>2403</v>
      </c>
      <c r="I547" s="888">
        <v>60</v>
      </c>
      <c r="J547" s="888">
        <v>0</v>
      </c>
      <c r="K547" s="888">
        <v>6</v>
      </c>
      <c r="L547" s="889">
        <f t="shared" ref="L547:L557" si="340">I547/K547</f>
        <v>10</v>
      </c>
      <c r="M547" s="890">
        <v>46283</v>
      </c>
      <c r="N547" s="890">
        <v>46279</v>
      </c>
      <c r="O547" s="891"/>
      <c r="P547" s="891"/>
      <c r="Q547" s="973"/>
      <c r="R547" s="912" t="s">
        <v>1668</v>
      </c>
      <c r="S547" s="891"/>
      <c r="T547" s="891"/>
      <c r="U547" s="891" t="s">
        <v>2496</v>
      </c>
      <c r="V547" s="891"/>
      <c r="W547" s="891"/>
      <c r="X547" s="892" t="s">
        <v>2497</v>
      </c>
      <c r="Y547" s="893" t="s">
        <v>2498</v>
      </c>
      <c r="Z547" s="894">
        <v>6.1252</v>
      </c>
      <c r="AA547" s="887">
        <f t="shared" si="327"/>
        <v>367.512</v>
      </c>
      <c r="AB547" s="896"/>
      <c r="AC547" s="940" t="s">
        <v>2402</v>
      </c>
      <c r="AD547" s="965" t="s">
        <v>89</v>
      </c>
      <c r="AE547" s="899"/>
      <c r="AF547" s="899"/>
      <c r="AG547" s="899"/>
      <c r="AH547" s="900"/>
      <c r="AI547" s="900"/>
      <c r="AJ547" s="896">
        <f>I547</f>
        <v>60</v>
      </c>
      <c r="AK547" s="896"/>
      <c r="AL547" s="900"/>
      <c r="AM547" s="901"/>
      <c r="AN547" s="496">
        <f t="shared" si="328"/>
        <v>60</v>
      </c>
      <c r="AO547" s="896"/>
      <c r="AP547" s="903"/>
      <c r="AQ547" s="900"/>
      <c r="AR547" s="896"/>
      <c r="AS547" s="900"/>
      <c r="AT547" s="900"/>
      <c r="AU547" s="896">
        <f>I547</f>
        <v>60</v>
      </c>
      <c r="AV547" s="904"/>
      <c r="AW547" s="496">
        <f t="shared" si="329"/>
        <v>60</v>
      </c>
      <c r="AX547" s="906"/>
      <c r="AY547" s="906"/>
      <c r="AZ547" s="906"/>
      <c r="BA547" s="906"/>
      <c r="BB547" s="906"/>
      <c r="BC547" s="906"/>
      <c r="BD547" s="907"/>
      <c r="BE547" s="908"/>
      <c r="BF547" s="920" t="s">
        <v>90</v>
      </c>
      <c r="BG547" s="496"/>
      <c r="BH547" s="906"/>
      <c r="BI547" s="906">
        <f>I547</f>
        <v>60</v>
      </c>
      <c r="BJ547" s="906"/>
      <c r="BK547" s="906"/>
      <c r="BL547" s="906"/>
      <c r="BM547" s="906"/>
      <c r="BN547" s="1086"/>
      <c r="BO547" s="975"/>
      <c r="BP547" s="975"/>
      <c r="BQ547" s="975"/>
      <c r="BR547" s="975"/>
      <c r="BS547" s="1087"/>
      <c r="BT547" s="919">
        <f t="shared" si="330"/>
        <v>60</v>
      </c>
      <c r="BU547" s="908">
        <f t="shared" si="331"/>
        <v>0</v>
      </c>
      <c r="BV547" s="976"/>
      <c r="BW547" s="953"/>
    </row>
    <row r="548" s="493" customFormat="1" ht="33" customHeight="1" spans="1:75 16350:16384">
      <c r="A548" s="882">
        <v>46248</v>
      </c>
      <c r="B548" s="883" t="s">
        <v>2494</v>
      </c>
      <c r="C548" s="884" t="s">
        <v>334</v>
      </c>
      <c r="D548" s="885">
        <v>4500220001</v>
      </c>
      <c r="E548" s="886"/>
      <c r="F548" s="885" t="s">
        <v>2500</v>
      </c>
      <c r="G548" s="887" t="s">
        <v>1629</v>
      </c>
      <c r="H548" s="886" t="s">
        <v>2405</v>
      </c>
      <c r="I548" s="888">
        <v>60</v>
      </c>
      <c r="J548" s="888">
        <v>0</v>
      </c>
      <c r="K548" s="888">
        <v>6</v>
      </c>
      <c r="L548" s="889">
        <f t="shared" si="340"/>
        <v>10</v>
      </c>
      <c r="M548" s="890">
        <v>46283</v>
      </c>
      <c r="N548" s="890">
        <v>46279</v>
      </c>
      <c r="O548" s="891"/>
      <c r="P548" s="891"/>
      <c r="Q548" s="973"/>
      <c r="R548" s="912" t="s">
        <v>1668</v>
      </c>
      <c r="S548" s="891"/>
      <c r="T548" s="891"/>
      <c r="U548" s="891" t="s">
        <v>2496</v>
      </c>
      <c r="V548" s="891"/>
      <c r="W548" s="891"/>
      <c r="X548" s="892" t="s">
        <v>2497</v>
      </c>
      <c r="Y548" s="893" t="s">
        <v>2498</v>
      </c>
      <c r="Z548" s="894">
        <v>5.8295</v>
      </c>
      <c r="AA548" s="887">
        <f t="shared" si="327"/>
        <v>349.77</v>
      </c>
      <c r="AB548" s="896"/>
      <c r="AC548" s="887" t="s">
        <v>1629</v>
      </c>
      <c r="AD548" s="965" t="s">
        <v>89</v>
      </c>
      <c r="AE548" s="899"/>
      <c r="AF548" s="899"/>
      <c r="AG548" s="899"/>
      <c r="AH548" s="900"/>
      <c r="AI548" s="900"/>
      <c r="AJ548" s="896">
        <f>I548</f>
        <v>60</v>
      </c>
      <c r="AK548" s="896"/>
      <c r="AL548" s="900"/>
      <c r="AM548" s="901"/>
      <c r="AN548" s="496">
        <f t="shared" si="328"/>
        <v>60</v>
      </c>
      <c r="AO548" s="896"/>
      <c r="AP548" s="903"/>
      <c r="AQ548" s="900"/>
      <c r="AR548" s="896"/>
      <c r="AS548" s="900"/>
      <c r="AT548" s="900"/>
      <c r="AU548" s="896">
        <f>I548</f>
        <v>60</v>
      </c>
      <c r="AV548" s="904"/>
      <c r="AW548" s="496">
        <f t="shared" si="329"/>
        <v>60</v>
      </c>
      <c r="AX548" s="906"/>
      <c r="AY548" s="906"/>
      <c r="AZ548" s="906"/>
      <c r="BA548" s="906"/>
      <c r="BB548" s="906"/>
      <c r="BC548" s="906"/>
      <c r="BD548" s="907"/>
      <c r="BE548" s="908"/>
      <c r="BF548" s="920" t="s">
        <v>90</v>
      </c>
      <c r="BG548" s="496"/>
      <c r="BH548" s="906"/>
      <c r="BI548" s="906"/>
      <c r="BJ548" s="906">
        <f>I548</f>
        <v>60</v>
      </c>
      <c r="BK548" s="906"/>
      <c r="BL548" s="906"/>
      <c r="BM548" s="906"/>
      <c r="BN548" s="1086"/>
      <c r="BO548" s="975"/>
      <c r="BP548" s="975"/>
      <c r="BQ548" s="975"/>
      <c r="BR548" s="975"/>
      <c r="BS548" s="1087"/>
      <c r="BT548" s="919">
        <f t="shared" si="330"/>
        <v>60</v>
      </c>
      <c r="BU548" s="908">
        <f t="shared" si="331"/>
        <v>0</v>
      </c>
      <c r="BV548" s="976"/>
      <c r="BW548" s="953"/>
    </row>
    <row r="549" s="493" customFormat="1" ht="33" customHeight="1" spans="1:75 16350:16384">
      <c r="A549" s="1011">
        <v>46226</v>
      </c>
      <c r="B549" s="1012" t="s">
        <v>236</v>
      </c>
      <c r="C549" s="1013" t="s">
        <v>237</v>
      </c>
      <c r="D549" s="1014">
        <v>4500217585</v>
      </c>
      <c r="E549" s="1014"/>
      <c r="F549" s="974" t="s">
        <v>2501</v>
      </c>
      <c r="G549" s="1015" t="s">
        <v>81</v>
      </c>
      <c r="H549" s="1016" t="s">
        <v>82</v>
      </c>
      <c r="I549" s="1015">
        <v>120</v>
      </c>
      <c r="J549" s="1017">
        <v>0</v>
      </c>
      <c r="K549" s="1015">
        <v>6</v>
      </c>
      <c r="L549" s="1017">
        <f t="shared" si="340"/>
        <v>20</v>
      </c>
      <c r="M549" s="1018">
        <v>46286</v>
      </c>
      <c r="N549" s="1018">
        <v>46282</v>
      </c>
      <c r="O549" s="1019"/>
      <c r="P549" s="1020"/>
      <c r="Q549" s="1021"/>
      <c r="R549" s="1022" t="s">
        <v>2502</v>
      </c>
      <c r="S549" s="1022"/>
      <c r="T549" s="1022"/>
      <c r="U549" s="1022" t="s">
        <v>2503</v>
      </c>
      <c r="V549" s="1023"/>
      <c r="W549" s="1020"/>
      <c r="X549" s="1023" t="s">
        <v>2504</v>
      </c>
      <c r="Y549" s="1024" t="s">
        <v>2505</v>
      </c>
      <c r="Z549" s="1025">
        <v>6.0761</v>
      </c>
      <c r="AA549" s="974">
        <f t="shared" si="327"/>
        <v>729.132</v>
      </c>
      <c r="AB549" s="1026"/>
      <c r="AC549" s="974" t="s">
        <v>235</v>
      </c>
      <c r="AD549" s="1028" t="s">
        <v>89</v>
      </c>
      <c r="AE549" s="1029"/>
      <c r="AF549" s="1019"/>
      <c r="AG549" s="1029"/>
      <c r="AH549" s="1088"/>
      <c r="AI549" s="1089"/>
      <c r="AJ549" s="1032">
        <f>I549</f>
        <v>120</v>
      </c>
      <c r="AK549" s="1033"/>
      <c r="AL549" s="1089"/>
      <c r="AM549" s="1089"/>
      <c r="AN549" s="1072">
        <f t="shared" ref="AN549:AN557" si="341">I549</f>
        <v>120</v>
      </c>
      <c r="AO549" s="1035"/>
      <c r="AP549" s="1090"/>
      <c r="AQ549" s="1090"/>
      <c r="AR549" s="1032"/>
      <c r="AS549" s="1091"/>
      <c r="AT549" s="1092"/>
      <c r="AU549" s="1019">
        <f>I549</f>
        <v>120</v>
      </c>
      <c r="AV549" s="1039"/>
      <c r="AW549" s="1068">
        <f t="shared" ref="AW549:AW557" si="342">I549</f>
        <v>120</v>
      </c>
      <c r="AX549" s="1012"/>
      <c r="AY549" s="1012"/>
      <c r="AZ549" s="1019"/>
      <c r="BA549" s="1012"/>
      <c r="BB549" s="1012"/>
      <c r="BC549" s="1012"/>
      <c r="BD549" s="1019"/>
      <c r="BE549" s="1019"/>
      <c r="BF549" s="1035" t="s">
        <v>90</v>
      </c>
      <c r="BG549" s="1019"/>
      <c r="BH549" s="1019">
        <f t="shared" ref="BH549:BH557" si="343">I549/6</f>
        <v>20</v>
      </c>
      <c r="BI549" s="1019">
        <f t="shared" ref="BI549:BI557" si="344">I549/6</f>
        <v>20</v>
      </c>
      <c r="BJ549" s="1019">
        <f t="shared" ref="BJ549:BJ557" si="345">I549/6</f>
        <v>20</v>
      </c>
      <c r="BK549" s="1019">
        <f t="shared" ref="BK549:BK557" si="346">I549/6</f>
        <v>20</v>
      </c>
      <c r="BL549" s="1019">
        <f t="shared" ref="BL549:BL557" si="347">I549/6</f>
        <v>20</v>
      </c>
      <c r="BM549" s="1019">
        <f t="shared" ref="BM549:BM557" si="348">I549/6</f>
        <v>20</v>
      </c>
      <c r="BN549" s="1093"/>
      <c r="BO549" s="1093"/>
      <c r="BP549" s="1093"/>
      <c r="BQ549" s="1093"/>
      <c r="BR549" s="1093"/>
      <c r="BS549" s="1093"/>
      <c r="BT549" s="1019">
        <f t="shared" si="330"/>
        <v>120</v>
      </c>
      <c r="BU549" s="1019">
        <f t="shared" si="331"/>
        <v>0</v>
      </c>
      <c r="BV549" s="976"/>
      <c r="BW549" s="953"/>
      <c r="XDV549" s="954"/>
      <c r="XDW549" s="493"/>
      <c r="XDX549" s="955"/>
      <c r="XDY549" s="956"/>
      <c r="XDZ549" s="956"/>
      <c r="XEA549" s="958"/>
      <c r="XEB549" s="959"/>
      <c r="XEC549" s="959"/>
      <c r="XED549" s="959"/>
      <c r="XEE549" s="960"/>
      <c r="XEF549" s="961"/>
      <c r="XEG549" s="961"/>
      <c r="XEH549" s="962"/>
      <c r="XEI549" s="962"/>
      <c r="XEJ549" s="953"/>
      <c r="XEK549" s="962"/>
      <c r="XEL549" s="962"/>
      <c r="XEM549" s="964"/>
      <c r="XEN549" s="964"/>
      <c r="XEO549" s="954"/>
      <c r="XEP549" s="493"/>
      <c r="XEQ549" s="955"/>
      <c r="XER549" s="956"/>
      <c r="XES549" s="956"/>
      <c r="XET549" s="958"/>
      <c r="XEU549" s="959"/>
      <c r="XEV549" s="959"/>
      <c r="XEW549" s="959"/>
      <c r="XEX549" s="960"/>
      <c r="XEY549" s="959"/>
      <c r="XEZ549" s="960"/>
      <c r="XFA549" s="961"/>
      <c r="XFB549" s="961"/>
      <c r="XFC549" s="953"/>
      <c r="XFD549" s="962"/>
    </row>
    <row r="550" s="494" customFormat="1" ht="33" customHeight="1" spans="1:75 16350:16384">
      <c r="A550" s="882">
        <v>46239</v>
      </c>
      <c r="B550" s="883" t="s">
        <v>2055</v>
      </c>
      <c r="C550" s="884" t="s">
        <v>92</v>
      </c>
      <c r="D550" s="885">
        <v>4500218792</v>
      </c>
      <c r="E550" s="886">
        <v>1964519</v>
      </c>
      <c r="F550" s="885" t="s">
        <v>2506</v>
      </c>
      <c r="G550" s="887" t="s">
        <v>81</v>
      </c>
      <c r="H550" s="886" t="s">
        <v>82</v>
      </c>
      <c r="I550" s="888">
        <v>678</v>
      </c>
      <c r="J550" s="888">
        <v>0</v>
      </c>
      <c r="K550" s="888">
        <v>6</v>
      </c>
      <c r="L550" s="889">
        <f t="shared" si="340"/>
        <v>113</v>
      </c>
      <c r="M550" s="890">
        <v>46287</v>
      </c>
      <c r="N550" s="890">
        <f>M550-4</f>
        <v>46283</v>
      </c>
      <c r="O550" s="891"/>
      <c r="P550" s="891"/>
      <c r="Q550" s="973"/>
      <c r="R550" s="891" t="s">
        <v>1681</v>
      </c>
      <c r="S550" s="891"/>
      <c r="T550" s="891"/>
      <c r="U550" s="891" t="s">
        <v>86</v>
      </c>
      <c r="V550" s="891" t="s">
        <v>2507</v>
      </c>
      <c r="W550" s="891" t="s">
        <v>2444</v>
      </c>
      <c r="X550" s="892" t="s">
        <v>2508</v>
      </c>
      <c r="Y550" s="893" t="s">
        <v>2509</v>
      </c>
      <c r="Z550" s="894">
        <v>3.5312</v>
      </c>
      <c r="AA550" s="895">
        <f t="shared" si="327"/>
        <v>2394.1536</v>
      </c>
      <c r="AB550" s="896"/>
      <c r="AC550" s="1027" t="s">
        <v>81</v>
      </c>
      <c r="AD550" s="965" t="s">
        <v>89</v>
      </c>
      <c r="AE550" s="966"/>
      <c r="AF550" s="496"/>
      <c r="AG550" s="896">
        <f t="shared" ref="AG550:AG557" si="349">I550</f>
        <v>678</v>
      </c>
      <c r="AH550" s="900"/>
      <c r="AI550" s="900"/>
      <c r="AJ550" s="906"/>
      <c r="AK550" s="906"/>
      <c r="AL550" s="1031"/>
      <c r="AM550" s="1037"/>
      <c r="AN550" s="920">
        <f t="shared" si="341"/>
        <v>678</v>
      </c>
      <c r="AO550" s="496"/>
      <c r="AP550" s="1031"/>
      <c r="AQ550" s="1031"/>
      <c r="AR550" s="906">
        <f t="shared" ref="AR550:AR557" si="350">I550</f>
        <v>678</v>
      </c>
      <c r="AS550" s="1031"/>
      <c r="AT550" s="1031"/>
      <c r="AU550" s="906"/>
      <c r="AV550" s="919"/>
      <c r="AW550" s="908">
        <f t="shared" si="342"/>
        <v>678</v>
      </c>
      <c r="AX550" s="496"/>
      <c r="AY550" s="494"/>
      <c r="AZ550" s="494"/>
      <c r="BA550" s="494"/>
      <c r="BB550" s="494"/>
      <c r="BC550" s="494"/>
      <c r="BD550" s="494"/>
      <c r="BE550" s="494"/>
      <c r="BF550" s="904" t="s">
        <v>90</v>
      </c>
      <c r="BG550" s="494"/>
      <c r="BH550" s="496">
        <f t="shared" si="343"/>
        <v>113</v>
      </c>
      <c r="BI550" s="496">
        <f t="shared" si="344"/>
        <v>113</v>
      </c>
      <c r="BJ550" s="496">
        <f t="shared" si="345"/>
        <v>113</v>
      </c>
      <c r="BK550" s="496">
        <f t="shared" si="346"/>
        <v>113</v>
      </c>
      <c r="BL550" s="496">
        <f t="shared" si="347"/>
        <v>113</v>
      </c>
      <c r="BM550" s="496">
        <f t="shared" si="348"/>
        <v>113</v>
      </c>
      <c r="BN550" s="1038"/>
      <c r="BO550" s="1038"/>
      <c r="BP550" s="1038"/>
      <c r="BQ550" s="1038"/>
      <c r="BR550" s="1038"/>
      <c r="BS550" s="1038"/>
      <c r="BT550" s="496">
        <f t="shared" si="330"/>
        <v>678</v>
      </c>
      <c r="BU550" s="496">
        <f t="shared" si="331"/>
        <v>0</v>
      </c>
      <c r="BV550" s="1038"/>
      <c r="XDY550" s="882"/>
      <c r="XDZ550" s="883"/>
      <c r="XEA550" s="884"/>
      <c r="XEB550" s="885"/>
      <c r="XEC550" s="886"/>
      <c r="XED550" s="885"/>
      <c r="XEE550" s="887"/>
      <c r="XEF550" s="886"/>
      <c r="XEG550" s="888"/>
      <c r="XEH550" s="888"/>
      <c r="XEI550" s="888"/>
      <c r="XEJ550" s="889"/>
      <c r="XEK550" s="890"/>
      <c r="XEL550" s="890"/>
      <c r="XEM550" s="891"/>
      <c r="XEN550" s="891"/>
      <c r="XEO550" s="973"/>
      <c r="XEP550" s="882"/>
      <c r="XEQ550" s="883"/>
      <c r="XER550" s="884"/>
      <c r="XES550" s="885"/>
      <c r="XET550" s="886"/>
      <c r="XEU550" s="885"/>
      <c r="XEV550" s="887"/>
      <c r="XEW550" s="886"/>
      <c r="XEX550" s="888"/>
      <c r="XEY550" s="888"/>
      <c r="XEZ550" s="888"/>
      <c r="XFA550" s="889"/>
      <c r="XFB550" s="890"/>
      <c r="XFC550" s="890"/>
      <c r="XFD550" s="891"/>
    </row>
    <row r="551" s="494" customFormat="1" ht="33" customHeight="1" spans="1:75 16350:16384">
      <c r="A551" s="882">
        <v>46239</v>
      </c>
      <c r="B551" s="883" t="s">
        <v>2055</v>
      </c>
      <c r="C551" s="884" t="s">
        <v>92</v>
      </c>
      <c r="D551" s="885">
        <v>4500218792</v>
      </c>
      <c r="E551" s="886">
        <v>1964418</v>
      </c>
      <c r="F551" s="885" t="s">
        <v>2510</v>
      </c>
      <c r="G551" s="887" t="s">
        <v>81</v>
      </c>
      <c r="H551" s="886" t="s">
        <v>82</v>
      </c>
      <c r="I551" s="888">
        <v>120</v>
      </c>
      <c r="J551" s="888">
        <v>0</v>
      </c>
      <c r="K551" s="888">
        <v>6</v>
      </c>
      <c r="L551" s="889">
        <f t="shared" si="340"/>
        <v>20</v>
      </c>
      <c r="M551" s="890">
        <v>46287</v>
      </c>
      <c r="N551" s="890">
        <f>M551-4</f>
        <v>46283</v>
      </c>
      <c r="O551" s="891"/>
      <c r="P551" s="891"/>
      <c r="Q551" s="973"/>
      <c r="R551" s="891" t="s">
        <v>1681</v>
      </c>
      <c r="S551" s="891"/>
      <c r="T551" s="891"/>
      <c r="U551" s="891" t="s">
        <v>86</v>
      </c>
      <c r="V551" s="891" t="s">
        <v>2507</v>
      </c>
      <c r="W551" s="891" t="s">
        <v>2444</v>
      </c>
      <c r="X551" s="892" t="s">
        <v>2508</v>
      </c>
      <c r="Y551" s="893" t="s">
        <v>2509</v>
      </c>
      <c r="Z551" s="894">
        <v>3.5313</v>
      </c>
      <c r="AA551" s="895">
        <f t="shared" si="327"/>
        <v>423.756</v>
      </c>
      <c r="AB551" s="896"/>
      <c r="AC551" s="1027" t="s">
        <v>81</v>
      </c>
      <c r="AD551" s="965" t="s">
        <v>89</v>
      </c>
      <c r="AE551" s="899"/>
      <c r="AF551" s="899"/>
      <c r="AG551" s="896">
        <f t="shared" si="349"/>
        <v>120</v>
      </c>
      <c r="AH551" s="900"/>
      <c r="AI551" s="900"/>
      <c r="AJ551" s="906"/>
      <c r="AK551" s="906"/>
      <c r="AL551" s="1031"/>
      <c r="AM551" s="1037"/>
      <c r="AN551" s="920">
        <f t="shared" si="341"/>
        <v>120</v>
      </c>
      <c r="AO551" s="496"/>
      <c r="AP551" s="1031"/>
      <c r="AQ551" s="1031"/>
      <c r="AR551" s="906">
        <f t="shared" si="350"/>
        <v>120</v>
      </c>
      <c r="AS551" s="1031"/>
      <c r="AT551" s="1031"/>
      <c r="AU551" s="906"/>
      <c r="AV551" s="919"/>
      <c r="AW551" s="908">
        <f t="shared" si="342"/>
        <v>120</v>
      </c>
      <c r="AX551" s="496"/>
      <c r="AY551" s="494"/>
      <c r="AZ551" s="494"/>
      <c r="BA551" s="494"/>
      <c r="BB551" s="494"/>
      <c r="BC551" s="494"/>
      <c r="BD551" s="494"/>
      <c r="BE551" s="494"/>
      <c r="BF551" s="904" t="s">
        <v>90</v>
      </c>
      <c r="BG551" s="494"/>
      <c r="BH551" s="496">
        <f t="shared" si="343"/>
        <v>20</v>
      </c>
      <c r="BI551" s="496">
        <f t="shared" si="344"/>
        <v>20</v>
      </c>
      <c r="BJ551" s="496">
        <f t="shared" si="345"/>
        <v>20</v>
      </c>
      <c r="BK551" s="496">
        <f t="shared" si="346"/>
        <v>20</v>
      </c>
      <c r="BL551" s="496">
        <f t="shared" si="347"/>
        <v>20</v>
      </c>
      <c r="BM551" s="496">
        <f t="shared" si="348"/>
        <v>20</v>
      </c>
      <c r="BN551" s="1038"/>
      <c r="BO551" s="1038"/>
      <c r="BP551" s="1038"/>
      <c r="BQ551" s="1038"/>
      <c r="BR551" s="1038"/>
      <c r="BS551" s="1038"/>
      <c r="BT551" s="496">
        <f t="shared" si="330"/>
        <v>120</v>
      </c>
      <c r="BU551" s="496">
        <f t="shared" si="331"/>
        <v>0</v>
      </c>
      <c r="BV551" s="1038"/>
      <c r="XDY551" s="882"/>
      <c r="XDZ551" s="883"/>
      <c r="XEA551" s="884"/>
      <c r="XEB551" s="885"/>
      <c r="XEC551" s="886"/>
      <c r="XED551" s="885"/>
      <c r="XEE551" s="887"/>
      <c r="XEF551" s="886"/>
      <c r="XEG551" s="888"/>
      <c r="XEH551" s="888"/>
      <c r="XEI551" s="888"/>
      <c r="XEJ551" s="889"/>
      <c r="XEK551" s="890"/>
      <c r="XEL551" s="890"/>
      <c r="XEM551" s="891"/>
      <c r="XEN551" s="891"/>
      <c r="XEO551" s="973"/>
      <c r="XEP551" s="882"/>
      <c r="XEQ551" s="883"/>
      <c r="XER551" s="884"/>
      <c r="XES551" s="885"/>
      <c r="XET551" s="886"/>
      <c r="XEU551" s="885"/>
      <c r="XEV551" s="887"/>
      <c r="XEW551" s="886"/>
      <c r="XEX551" s="888"/>
      <c r="XEY551" s="888"/>
      <c r="XEZ551" s="888"/>
      <c r="XFA551" s="889"/>
      <c r="XFB551" s="890"/>
      <c r="XFC551" s="890"/>
      <c r="XFD551" s="891"/>
    </row>
    <row r="552" s="494" customFormat="1" ht="33" customHeight="1" spans="1:75 16350:16384">
      <c r="A552" s="882">
        <v>46239</v>
      </c>
      <c r="B552" s="883" t="s">
        <v>2055</v>
      </c>
      <c r="C552" s="884" t="s">
        <v>92</v>
      </c>
      <c r="D552" s="885">
        <v>4500218792</v>
      </c>
      <c r="E552" s="886">
        <v>1964518</v>
      </c>
      <c r="F552" s="885" t="s">
        <v>2511</v>
      </c>
      <c r="G552" s="887" t="s">
        <v>81</v>
      </c>
      <c r="H552" s="886" t="s">
        <v>82</v>
      </c>
      <c r="I552" s="888">
        <v>1602</v>
      </c>
      <c r="J552" s="888">
        <v>0</v>
      </c>
      <c r="K552" s="888">
        <v>6</v>
      </c>
      <c r="L552" s="889">
        <f t="shared" si="340"/>
        <v>267</v>
      </c>
      <c r="M552" s="890">
        <v>46287</v>
      </c>
      <c r="N552" s="890">
        <f>M552-4</f>
        <v>46283</v>
      </c>
      <c r="O552" s="891"/>
      <c r="P552" s="891"/>
      <c r="Q552" s="973"/>
      <c r="R552" s="891" t="s">
        <v>1681</v>
      </c>
      <c r="S552" s="891"/>
      <c r="T552" s="891"/>
      <c r="U552" s="891" t="s">
        <v>86</v>
      </c>
      <c r="V552" s="891" t="s">
        <v>2507</v>
      </c>
      <c r="W552" s="891" t="s">
        <v>2444</v>
      </c>
      <c r="X552" s="892" t="s">
        <v>2512</v>
      </c>
      <c r="Y552" s="893" t="s">
        <v>2509</v>
      </c>
      <c r="Z552" s="894">
        <v>3.641</v>
      </c>
      <c r="AA552" s="895">
        <f t="shared" si="327"/>
        <v>5832.882</v>
      </c>
      <c r="AB552" s="896"/>
      <c r="AC552" s="1027" t="s">
        <v>81</v>
      </c>
      <c r="AD552" s="965" t="s">
        <v>89</v>
      </c>
      <c r="AE552" s="899"/>
      <c r="AF552" s="899"/>
      <c r="AG552" s="896">
        <f t="shared" si="349"/>
        <v>1602</v>
      </c>
      <c r="AH552" s="900"/>
      <c r="AI552" s="900"/>
      <c r="AJ552" s="906"/>
      <c r="AK552" s="906"/>
      <c r="AL552" s="1031"/>
      <c r="AM552" s="1037"/>
      <c r="AN552" s="920">
        <f t="shared" si="341"/>
        <v>1602</v>
      </c>
      <c r="AO552" s="496"/>
      <c r="AP552" s="1031"/>
      <c r="AQ552" s="1031"/>
      <c r="AR552" s="906">
        <f t="shared" si="350"/>
        <v>1602</v>
      </c>
      <c r="AS552" s="1031"/>
      <c r="AT552" s="1031"/>
      <c r="AU552" s="906"/>
      <c r="AV552" s="919"/>
      <c r="AW552" s="908">
        <f t="shared" si="342"/>
        <v>1602</v>
      </c>
      <c r="AX552" s="496"/>
      <c r="AY552" s="494"/>
      <c r="AZ552" s="494"/>
      <c r="BA552" s="494"/>
      <c r="BB552" s="494"/>
      <c r="BC552" s="494"/>
      <c r="BD552" s="494"/>
      <c r="BE552" s="494"/>
      <c r="BF552" s="904" t="s">
        <v>90</v>
      </c>
      <c r="BG552" s="494"/>
      <c r="BH552" s="496">
        <f t="shared" si="343"/>
        <v>267</v>
      </c>
      <c r="BI552" s="496">
        <f t="shared" si="344"/>
        <v>267</v>
      </c>
      <c r="BJ552" s="496">
        <f t="shared" si="345"/>
        <v>267</v>
      </c>
      <c r="BK552" s="496">
        <f t="shared" si="346"/>
        <v>267</v>
      </c>
      <c r="BL552" s="496">
        <f t="shared" si="347"/>
        <v>267</v>
      </c>
      <c r="BM552" s="496">
        <f t="shared" si="348"/>
        <v>267</v>
      </c>
      <c r="BN552" s="1038"/>
      <c r="BO552" s="1038"/>
      <c r="BP552" s="1038"/>
      <c r="BQ552" s="1038"/>
      <c r="BR552" s="1038"/>
      <c r="BS552" s="1038"/>
      <c r="BT552" s="496">
        <f t="shared" si="330"/>
        <v>1602</v>
      </c>
      <c r="BU552" s="496">
        <f t="shared" si="331"/>
        <v>0</v>
      </c>
      <c r="BV552" s="1038"/>
      <c r="XDY552" s="882"/>
      <c r="XDZ552" s="883"/>
      <c r="XEA552" s="884"/>
      <c r="XEB552" s="885"/>
      <c r="XEC552" s="886"/>
      <c r="XED552" s="885"/>
      <c r="XEE552" s="887"/>
      <c r="XEF552" s="886"/>
      <c r="XEG552" s="888"/>
      <c r="XEH552" s="888"/>
      <c r="XEI552" s="888"/>
      <c r="XEJ552" s="889"/>
      <c r="XEK552" s="890"/>
      <c r="XEL552" s="890"/>
      <c r="XEM552" s="891"/>
      <c r="XEN552" s="891"/>
      <c r="XEO552" s="973"/>
      <c r="XEP552" s="882"/>
      <c r="XEQ552" s="883"/>
      <c r="XER552" s="884"/>
      <c r="XES552" s="885"/>
      <c r="XET552" s="886"/>
      <c r="XEU552" s="885"/>
      <c r="XEV552" s="887"/>
      <c r="XEW552" s="886"/>
      <c r="XEX552" s="888"/>
      <c r="XEY552" s="888"/>
      <c r="XEZ552" s="888"/>
      <c r="XFA552" s="889"/>
      <c r="XFB552" s="890"/>
      <c r="XFC552" s="890"/>
      <c r="XFD552" s="891"/>
    </row>
    <row r="553" s="494" customFormat="1" ht="33" customHeight="1" spans="1:75 16350:16384">
      <c r="A553" s="882">
        <v>46185</v>
      </c>
      <c r="B553" s="494" t="s">
        <v>166</v>
      </c>
      <c r="C553" s="884" t="s">
        <v>92</v>
      </c>
      <c r="D553" s="885">
        <v>4500211675</v>
      </c>
      <c r="E553" s="885">
        <v>60295971</v>
      </c>
      <c r="F553" s="887" t="s">
        <v>2513</v>
      </c>
      <c r="G553" s="888" t="s">
        <v>81</v>
      </c>
      <c r="H553" s="886" t="s">
        <v>82</v>
      </c>
      <c r="I553" s="888">
        <v>5502</v>
      </c>
      <c r="J553" s="889">
        <v>0</v>
      </c>
      <c r="K553" s="888">
        <v>6</v>
      </c>
      <c r="L553" s="889">
        <f t="shared" si="340"/>
        <v>917</v>
      </c>
      <c r="M553" s="890">
        <v>46293</v>
      </c>
      <c r="N553" s="890">
        <v>46289</v>
      </c>
      <c r="O553" s="496"/>
      <c r="P553" s="891"/>
      <c r="Q553" s="173"/>
      <c r="R553" s="912" t="s">
        <v>2351</v>
      </c>
      <c r="S553" s="912"/>
      <c r="T553" s="912"/>
      <c r="U553" s="912" t="s">
        <v>86</v>
      </c>
      <c r="V553" s="913" t="s">
        <v>2507</v>
      </c>
      <c r="W553" s="891"/>
      <c r="X553" s="913" t="s">
        <v>2514</v>
      </c>
      <c r="Y553" s="895" t="s">
        <v>439</v>
      </c>
      <c r="Z553" s="915">
        <v>3.6241</v>
      </c>
      <c r="AA553" s="887">
        <f t="shared" si="327"/>
        <v>19939.7982</v>
      </c>
      <c r="AB553" s="898"/>
      <c r="AC553" s="897" t="s">
        <v>81</v>
      </c>
      <c r="AD553" s="965" t="s">
        <v>89</v>
      </c>
      <c r="AG553" s="966">
        <f t="shared" si="349"/>
        <v>5502</v>
      </c>
      <c r="AH553" s="1030"/>
      <c r="AI553" s="1031"/>
      <c r="AJ553" s="907"/>
      <c r="AK553" s="917"/>
      <c r="AL553" s="1031"/>
      <c r="AM553" s="1031"/>
      <c r="AN553" s="918">
        <f t="shared" si="341"/>
        <v>5502</v>
      </c>
      <c r="AO553" s="904"/>
      <c r="AP553" s="1036"/>
      <c r="AQ553" s="1036"/>
      <c r="AR553" s="907">
        <f t="shared" si="350"/>
        <v>5502</v>
      </c>
      <c r="AS553" s="1037"/>
      <c r="AT553" s="1038"/>
      <c r="AU553" s="494"/>
      <c r="AV553" s="883"/>
      <c r="AW553" s="896">
        <f t="shared" si="342"/>
        <v>5502</v>
      </c>
      <c r="AZ553" s="496"/>
      <c r="BA553" s="494"/>
      <c r="BB553" s="494"/>
      <c r="BC553" s="494"/>
      <c r="BD553" s="496"/>
      <c r="BE553" s="496"/>
      <c r="BF553" s="904" t="s">
        <v>90</v>
      </c>
      <c r="BG553" s="496"/>
      <c r="BH553" s="496">
        <f t="shared" si="343"/>
        <v>917</v>
      </c>
      <c r="BI553" s="496">
        <f t="shared" si="344"/>
        <v>917</v>
      </c>
      <c r="BJ553" s="496">
        <f t="shared" si="345"/>
        <v>917</v>
      </c>
      <c r="BK553" s="496">
        <f t="shared" si="346"/>
        <v>917</v>
      </c>
      <c r="BL553" s="496">
        <f t="shared" si="347"/>
        <v>917</v>
      </c>
      <c r="BM553" s="496">
        <f t="shared" si="348"/>
        <v>917</v>
      </c>
      <c r="BN553" s="1041"/>
      <c r="BO553" s="1041"/>
      <c r="BP553" s="1041"/>
      <c r="BQ553" s="1041"/>
      <c r="BR553" s="1041"/>
      <c r="BS553" s="1041"/>
      <c r="BT553" s="496">
        <f t="shared" si="330"/>
        <v>5502</v>
      </c>
      <c r="BU553" s="496">
        <f t="shared" si="331"/>
        <v>0</v>
      </c>
      <c r="BV553" s="1041"/>
      <c r="BW553" s="496"/>
      <c r="BX553" s="494"/>
      <c r="XDV553" s="882"/>
      <c r="XDW553" s="494"/>
      <c r="XDX553" s="884"/>
      <c r="XDY553" s="885"/>
      <c r="XDZ553" s="885"/>
      <c r="XEA553" s="887"/>
      <c r="XEB553" s="888"/>
      <c r="XEC553" s="888"/>
      <c r="XED553" s="888"/>
      <c r="XEE553" s="889"/>
      <c r="XEF553" s="890"/>
      <c r="XEG553" s="890"/>
      <c r="XEH553" s="891"/>
      <c r="XEI553" s="891"/>
      <c r="XEJ553" s="496"/>
      <c r="XEK553" s="891"/>
      <c r="XEL553" s="891"/>
      <c r="XEM553" s="912"/>
      <c r="XEN553" s="912"/>
      <c r="XEO553" s="882"/>
      <c r="XEP553" s="494"/>
      <c r="XEQ553" s="884"/>
      <c r="XER553" s="885"/>
      <c r="XES553" s="885"/>
      <c r="XET553" s="887"/>
      <c r="XEU553" s="888"/>
      <c r="XEV553" s="888"/>
      <c r="XEW553" s="888"/>
      <c r="XEX553" s="889"/>
      <c r="XEY553" s="888"/>
      <c r="XEZ553" s="889"/>
      <c r="XFA553" s="890"/>
      <c r="XFB553" s="890"/>
      <c r="XFC553" s="496"/>
      <c r="XFD553" s="891"/>
    </row>
    <row r="554" s="494" customFormat="1" ht="33" customHeight="1" spans="1:75 16350:16384">
      <c r="A554" s="882">
        <v>46181</v>
      </c>
      <c r="B554" s="883" t="s">
        <v>724</v>
      </c>
      <c r="C554" s="884" t="s">
        <v>725</v>
      </c>
      <c r="D554" s="885">
        <v>4500211160</v>
      </c>
      <c r="E554" s="886" t="s">
        <v>2349</v>
      </c>
      <c r="F554" s="885" t="s">
        <v>2515</v>
      </c>
      <c r="G554" s="887" t="s">
        <v>81</v>
      </c>
      <c r="H554" s="886" t="s">
        <v>82</v>
      </c>
      <c r="I554" s="888">
        <v>678</v>
      </c>
      <c r="J554" s="888">
        <v>0</v>
      </c>
      <c r="K554" s="888">
        <v>6</v>
      </c>
      <c r="L554" s="889">
        <f t="shared" si="340"/>
        <v>113</v>
      </c>
      <c r="M554" s="890">
        <v>46303</v>
      </c>
      <c r="N554" s="890">
        <v>46300</v>
      </c>
      <c r="O554" s="891"/>
      <c r="P554" s="891"/>
      <c r="Q554" s="973"/>
      <c r="R554" s="891" t="s">
        <v>2351</v>
      </c>
      <c r="S554" s="891"/>
      <c r="T554" s="891"/>
      <c r="U554" s="891" t="s">
        <v>2516</v>
      </c>
      <c r="V554" s="891"/>
      <c r="W554" s="891" t="s">
        <v>2353</v>
      </c>
      <c r="X554" s="892" t="s">
        <v>2517</v>
      </c>
      <c r="Y554" s="893" t="s">
        <v>1004</v>
      </c>
      <c r="Z554" s="894">
        <v>5.8854</v>
      </c>
      <c r="AA554" s="895">
        <f t="shared" si="327"/>
        <v>3990.3012</v>
      </c>
      <c r="AB554" s="896"/>
      <c r="AC554" s="897" t="s">
        <v>81</v>
      </c>
      <c r="AD554" s="965" t="s">
        <v>89</v>
      </c>
      <c r="AG554" s="899">
        <f t="shared" si="349"/>
        <v>678</v>
      </c>
      <c r="AH554" s="900"/>
      <c r="AI554" s="900"/>
      <c r="AJ554" s="896"/>
      <c r="AK554" s="896"/>
      <c r="AL554" s="900"/>
      <c r="AM554" s="901"/>
      <c r="AN554" s="902">
        <f t="shared" si="341"/>
        <v>678</v>
      </c>
      <c r="AO554" s="896"/>
      <c r="AP554" s="903"/>
      <c r="AQ554" s="900"/>
      <c r="AR554" s="896">
        <f t="shared" si="350"/>
        <v>678</v>
      </c>
      <c r="AS554" s="900"/>
      <c r="AT554" s="900"/>
      <c r="AU554" s="896"/>
      <c r="AV554" s="904"/>
      <c r="AW554" s="896">
        <f t="shared" si="342"/>
        <v>678</v>
      </c>
      <c r="AX554" s="906"/>
      <c r="AY554" s="906"/>
      <c r="AZ554" s="906"/>
      <c r="BA554" s="906"/>
      <c r="BB554" s="906"/>
      <c r="BC554" s="906"/>
      <c r="BD554" s="907"/>
      <c r="BE554" s="908"/>
      <c r="BF554" s="904" t="s">
        <v>90</v>
      </c>
      <c r="BG554" s="496"/>
      <c r="BH554" s="906">
        <f t="shared" si="343"/>
        <v>113</v>
      </c>
      <c r="BI554" s="906">
        <f t="shared" si="344"/>
        <v>113</v>
      </c>
      <c r="BJ554" s="906">
        <f t="shared" si="345"/>
        <v>113</v>
      </c>
      <c r="BK554" s="906">
        <f t="shared" si="346"/>
        <v>113</v>
      </c>
      <c r="BL554" s="906">
        <f t="shared" si="347"/>
        <v>113</v>
      </c>
      <c r="BM554" s="906">
        <f t="shared" si="348"/>
        <v>113</v>
      </c>
      <c r="BN554" s="975"/>
      <c r="BO554" s="975"/>
      <c r="BP554" s="975"/>
      <c r="BQ554" s="975"/>
      <c r="BR554" s="975"/>
      <c r="BS554" s="975"/>
      <c r="BT554" s="919">
        <f t="shared" si="330"/>
        <v>678</v>
      </c>
      <c r="BU554" s="908">
        <f t="shared" si="331"/>
        <v>0</v>
      </c>
      <c r="BV554" s="1041"/>
      <c r="BW554" s="496"/>
    </row>
    <row r="555" s="494" customFormat="1" ht="33" customHeight="1" spans="1:75 16350:16384">
      <c r="A555" s="882">
        <v>46181</v>
      </c>
      <c r="B555" s="883" t="s">
        <v>724</v>
      </c>
      <c r="C555" s="884" t="s">
        <v>725</v>
      </c>
      <c r="D555" s="885">
        <v>4500211176</v>
      </c>
      <c r="E555" s="886" t="s">
        <v>2355</v>
      </c>
      <c r="F555" s="885" t="s">
        <v>2518</v>
      </c>
      <c r="G555" s="887" t="s">
        <v>81</v>
      </c>
      <c r="H555" s="886" t="s">
        <v>82</v>
      </c>
      <c r="I555" s="888">
        <v>264</v>
      </c>
      <c r="J555" s="888">
        <v>0</v>
      </c>
      <c r="K555" s="888">
        <v>6</v>
      </c>
      <c r="L555" s="889">
        <f t="shared" si="340"/>
        <v>44</v>
      </c>
      <c r="M555" s="890">
        <v>46303</v>
      </c>
      <c r="N555" s="890">
        <v>46300</v>
      </c>
      <c r="O555" s="891"/>
      <c r="P555" s="891"/>
      <c r="Q555" s="973"/>
      <c r="R555" s="891" t="s">
        <v>2351</v>
      </c>
      <c r="S555" s="891"/>
      <c r="T555" s="891"/>
      <c r="U555" s="891" t="s">
        <v>2516</v>
      </c>
      <c r="V555" s="891"/>
      <c r="W555" s="891" t="s">
        <v>2353</v>
      </c>
      <c r="X555" s="892" t="s">
        <v>2467</v>
      </c>
      <c r="Y555" s="893" t="s">
        <v>1004</v>
      </c>
      <c r="Z555" s="894">
        <v>5.8854</v>
      </c>
      <c r="AA555" s="895">
        <f t="shared" si="327"/>
        <v>1553.7456</v>
      </c>
      <c r="AB555" s="896"/>
      <c r="AC555" s="897" t="s">
        <v>81</v>
      </c>
      <c r="AD555" s="965" t="s">
        <v>89</v>
      </c>
      <c r="AG555" s="899">
        <f t="shared" si="349"/>
        <v>264</v>
      </c>
      <c r="AH555" s="900"/>
      <c r="AI555" s="900"/>
      <c r="AJ555" s="896"/>
      <c r="AK555" s="896"/>
      <c r="AL555" s="900"/>
      <c r="AM555" s="901"/>
      <c r="AN555" s="902">
        <f t="shared" si="341"/>
        <v>264</v>
      </c>
      <c r="AO555" s="896"/>
      <c r="AP555" s="903"/>
      <c r="AQ555" s="900"/>
      <c r="AR555" s="896">
        <f t="shared" si="350"/>
        <v>264</v>
      </c>
      <c r="AS555" s="900"/>
      <c r="AT555" s="900"/>
      <c r="AU555" s="896"/>
      <c r="AV555" s="904"/>
      <c r="AW555" s="896">
        <f t="shared" si="342"/>
        <v>264</v>
      </c>
      <c r="AX555" s="906"/>
      <c r="AY555" s="906"/>
      <c r="AZ555" s="906"/>
      <c r="BA555" s="906"/>
      <c r="BB555" s="906"/>
      <c r="BC555" s="906"/>
      <c r="BD555" s="907"/>
      <c r="BE555" s="908"/>
      <c r="BF555" s="904" t="s">
        <v>90</v>
      </c>
      <c r="BG555" s="496"/>
      <c r="BH555" s="906">
        <f t="shared" si="343"/>
        <v>44</v>
      </c>
      <c r="BI555" s="906">
        <f t="shared" si="344"/>
        <v>44</v>
      </c>
      <c r="BJ555" s="906">
        <f t="shared" si="345"/>
        <v>44</v>
      </c>
      <c r="BK555" s="906">
        <f t="shared" si="346"/>
        <v>44</v>
      </c>
      <c r="BL555" s="906">
        <f t="shared" si="347"/>
        <v>44</v>
      </c>
      <c r="BM555" s="906">
        <f t="shared" si="348"/>
        <v>44</v>
      </c>
      <c r="BN555" s="975"/>
      <c r="BO555" s="975"/>
      <c r="BP555" s="975"/>
      <c r="BQ555" s="975"/>
      <c r="BR555" s="975"/>
      <c r="BS555" s="975"/>
      <c r="BT555" s="919">
        <f t="shared" si="330"/>
        <v>264</v>
      </c>
      <c r="BU555" s="908">
        <f t="shared" si="331"/>
        <v>0</v>
      </c>
      <c r="BV555" s="1041"/>
      <c r="BW555" s="496"/>
    </row>
    <row r="556" s="494" customFormat="1" ht="33" customHeight="1" spans="1:75 16350:16384">
      <c r="A556" s="882">
        <v>46238</v>
      </c>
      <c r="B556" s="883" t="s">
        <v>2519</v>
      </c>
      <c r="C556" s="884" t="s">
        <v>255</v>
      </c>
      <c r="D556" s="885" t="s">
        <v>2520</v>
      </c>
      <c r="E556" s="886" t="s">
        <v>2521</v>
      </c>
      <c r="F556" s="885" t="s">
        <v>2522</v>
      </c>
      <c r="G556" s="887" t="s">
        <v>81</v>
      </c>
      <c r="H556" s="886" t="s">
        <v>82</v>
      </c>
      <c r="I556" s="888">
        <v>2802</v>
      </c>
      <c r="J556" s="888">
        <v>0</v>
      </c>
      <c r="K556" s="888">
        <v>6</v>
      </c>
      <c r="L556" s="889">
        <f t="shared" si="340"/>
        <v>467</v>
      </c>
      <c r="M556" s="890">
        <v>46307</v>
      </c>
      <c r="N556" s="890">
        <v>46303</v>
      </c>
      <c r="O556" s="891"/>
      <c r="P556" s="891"/>
      <c r="Q556" s="973"/>
      <c r="R556" s="891" t="s">
        <v>2502</v>
      </c>
      <c r="S556" s="891"/>
      <c r="T556" s="891"/>
      <c r="U556" s="891" t="s">
        <v>2523</v>
      </c>
      <c r="V556" s="891" t="s">
        <v>2524</v>
      </c>
      <c r="W556" s="891" t="s">
        <v>2294</v>
      </c>
      <c r="X556" s="892" t="s">
        <v>2525</v>
      </c>
      <c r="Y556" s="893" t="s">
        <v>2526</v>
      </c>
      <c r="Z556" s="894">
        <v>6.4732</v>
      </c>
      <c r="AA556" s="895">
        <f t="shared" si="327"/>
        <v>18137.9064</v>
      </c>
      <c r="AB556" s="896"/>
      <c r="AC556" s="897" t="s">
        <v>81</v>
      </c>
      <c r="AD556" s="965" t="s">
        <v>89</v>
      </c>
      <c r="AE556" s="899"/>
      <c r="AF556" s="899"/>
      <c r="AG556" s="899">
        <f t="shared" si="349"/>
        <v>2802</v>
      </c>
      <c r="AH556" s="902"/>
      <c r="AI556" s="896"/>
      <c r="AJ556" s="896"/>
      <c r="AK556" s="896"/>
      <c r="AL556" s="904"/>
      <c r="AM556" s="896"/>
      <c r="AN556" s="902">
        <f t="shared" si="341"/>
        <v>2802</v>
      </c>
      <c r="AO556" s="906"/>
      <c r="AP556" s="906"/>
      <c r="AQ556" s="906"/>
      <c r="AR556" s="896">
        <f t="shared" si="350"/>
        <v>2802</v>
      </c>
      <c r="AS556" s="906"/>
      <c r="AT556" s="907"/>
      <c r="AU556" s="908"/>
      <c r="AV556" s="920"/>
      <c r="AW556" s="896">
        <f t="shared" si="342"/>
        <v>2802</v>
      </c>
      <c r="AX556" s="906"/>
      <c r="AY556" s="906"/>
      <c r="AZ556" s="906"/>
      <c r="BA556" s="906"/>
      <c r="BB556" s="906"/>
      <c r="BC556" s="906"/>
      <c r="BD556" s="919"/>
      <c r="BE556" s="908"/>
      <c r="BF556" s="904" t="s">
        <v>90</v>
      </c>
      <c r="BG556" s="494"/>
      <c r="BH556" s="496">
        <f t="shared" si="343"/>
        <v>467</v>
      </c>
      <c r="BI556" s="496">
        <f t="shared" si="344"/>
        <v>467</v>
      </c>
      <c r="BJ556" s="496">
        <f t="shared" si="345"/>
        <v>467</v>
      </c>
      <c r="BK556" s="496">
        <f t="shared" si="346"/>
        <v>467</v>
      </c>
      <c r="BL556" s="496">
        <f t="shared" si="347"/>
        <v>467</v>
      </c>
      <c r="BM556" s="496">
        <f t="shared" si="348"/>
        <v>467</v>
      </c>
      <c r="BT556" s="496">
        <f t="shared" si="330"/>
        <v>2802</v>
      </c>
      <c r="BU556" s="496">
        <f t="shared" si="331"/>
        <v>0</v>
      </c>
      <c r="XEN556" s="882"/>
      <c r="XEO556" s="883"/>
      <c r="XEP556" s="884"/>
      <c r="XEQ556" s="885"/>
      <c r="XER556" s="886"/>
      <c r="XES556" s="885"/>
      <c r="XET556" s="887"/>
      <c r="XEU556" s="886"/>
      <c r="XEV556" s="888"/>
      <c r="XEW556" s="888"/>
      <c r="XEX556" s="888"/>
      <c r="XEY556" s="889"/>
      <c r="XEZ556" s="890"/>
      <c r="XFA556" s="890"/>
      <c r="XFB556" s="891"/>
      <c r="XFC556" s="891"/>
      <c r="XFD556" s="973"/>
    </row>
    <row r="557" s="494" customFormat="1" ht="33" customHeight="1" spans="1:75 16350:16384">
      <c r="A557" s="882">
        <v>46237</v>
      </c>
      <c r="B557" s="883" t="s">
        <v>1863</v>
      </c>
      <c r="C557" s="884" t="s">
        <v>92</v>
      </c>
      <c r="D557" s="885">
        <v>4500214894</v>
      </c>
      <c r="E557" s="886">
        <v>70089442</v>
      </c>
      <c r="F557" s="885" t="s">
        <v>2527</v>
      </c>
      <c r="G557" s="887" t="s">
        <v>81</v>
      </c>
      <c r="H557" s="886" t="s">
        <v>82</v>
      </c>
      <c r="I557" s="888">
        <v>360</v>
      </c>
      <c r="J557" s="888">
        <v>0</v>
      </c>
      <c r="K557" s="888">
        <v>6</v>
      </c>
      <c r="L557" s="889">
        <f t="shared" si="340"/>
        <v>60</v>
      </c>
      <c r="M557" s="890">
        <v>46331</v>
      </c>
      <c r="N557" s="890">
        <v>46328</v>
      </c>
      <c r="O557" s="891"/>
      <c r="P557" s="891"/>
      <c r="Q557" s="973"/>
      <c r="R557" s="891" t="s">
        <v>2528</v>
      </c>
      <c r="S557" s="891"/>
      <c r="T557" s="891"/>
      <c r="U557" s="891" t="s">
        <v>2507</v>
      </c>
      <c r="V557" s="891"/>
      <c r="W557" s="891" t="s">
        <v>2294</v>
      </c>
      <c r="X557" s="892" t="s">
        <v>2529</v>
      </c>
      <c r="Y557" s="893" t="s">
        <v>1866</v>
      </c>
      <c r="Z557" s="894">
        <v>3.5312</v>
      </c>
      <c r="AA557" s="895">
        <f t="shared" si="327"/>
        <v>1271.232</v>
      </c>
      <c r="AB557" s="896"/>
      <c r="AC557" s="897" t="s">
        <v>81</v>
      </c>
      <c r="AD557" s="965" t="s">
        <v>89</v>
      </c>
      <c r="AE557" s="899"/>
      <c r="AF557" s="899"/>
      <c r="AG557" s="899">
        <f t="shared" si="349"/>
        <v>360</v>
      </c>
      <c r="AH557" s="902"/>
      <c r="AI557" s="896"/>
      <c r="AJ557" s="896"/>
      <c r="AK557" s="896"/>
      <c r="AL557" s="904"/>
      <c r="AM557" s="896"/>
      <c r="AN557" s="902">
        <f t="shared" si="341"/>
        <v>360</v>
      </c>
      <c r="AO557" s="906"/>
      <c r="AP557" s="906"/>
      <c r="AQ557" s="906"/>
      <c r="AR557" s="896">
        <f t="shared" si="350"/>
        <v>360</v>
      </c>
      <c r="AS557" s="906"/>
      <c r="AT557" s="907"/>
      <c r="AU557" s="908"/>
      <c r="AV557" s="920"/>
      <c r="AW557" s="896">
        <f t="shared" si="342"/>
        <v>360</v>
      </c>
      <c r="AX557" s="906"/>
      <c r="AY557" s="906"/>
      <c r="AZ557" s="906"/>
      <c r="BA557" s="906"/>
      <c r="BB557" s="906"/>
      <c r="BC557" s="906"/>
      <c r="BD557" s="919"/>
      <c r="BE557" s="908"/>
      <c r="BF557" s="904" t="s">
        <v>90</v>
      </c>
      <c r="BG557" s="494"/>
      <c r="BH557" s="496">
        <f t="shared" si="343"/>
        <v>60</v>
      </c>
      <c r="BI557" s="496">
        <f t="shared" si="344"/>
        <v>60</v>
      </c>
      <c r="BJ557" s="496">
        <f t="shared" si="345"/>
        <v>60</v>
      </c>
      <c r="BK557" s="496">
        <f t="shared" si="346"/>
        <v>60</v>
      </c>
      <c r="BL557" s="496">
        <f t="shared" si="347"/>
        <v>60</v>
      </c>
      <c r="BM557" s="496">
        <f t="shared" si="348"/>
        <v>60</v>
      </c>
      <c r="BT557" s="496">
        <f t="shared" si="330"/>
        <v>360</v>
      </c>
      <c r="BU557" s="496">
        <f t="shared" si="331"/>
        <v>0</v>
      </c>
      <c r="XEN557" s="882"/>
      <c r="XEO557" s="883"/>
      <c r="XEP557" s="884"/>
      <c r="XEQ557" s="885"/>
      <c r="XER557" s="886"/>
      <c r="XES557" s="885"/>
      <c r="XET557" s="887"/>
      <c r="XEU557" s="886"/>
      <c r="XEV557" s="888"/>
      <c r="XEW557" s="888"/>
      <c r="XEX557" s="888"/>
      <c r="XEY557" s="889"/>
      <c r="XEZ557" s="890"/>
      <c r="XFA557" s="890"/>
      <c r="XFB557" s="891"/>
      <c r="XFC557" s="891"/>
      <c r="XFD557" s="973"/>
    </row>
    <row r="558" s="494" customFormat="1" ht="33" customHeight="1" spans="1:75 16350:16384">
      <c r="A558" s="882"/>
      <c r="B558" s="883"/>
      <c r="C558" s="884"/>
      <c r="D558" s="885"/>
      <c r="E558" s="886"/>
      <c r="F558" s="885"/>
      <c r="G558" s="887"/>
      <c r="H558" s="886"/>
      <c r="I558" s="888"/>
      <c r="J558" s="888"/>
      <c r="K558" s="888"/>
      <c r="L558" s="889"/>
      <c r="M558" s="890"/>
      <c r="N558" s="890"/>
      <c r="O558" s="891"/>
      <c r="P558" s="891"/>
      <c r="Q558" s="973"/>
      <c r="R558" s="891"/>
      <c r="S558" s="891"/>
      <c r="T558" s="891"/>
      <c r="U558" s="891"/>
      <c r="V558" s="891"/>
      <c r="W558" s="891"/>
      <c r="X558" s="892"/>
      <c r="Y558" s="893"/>
      <c r="Z558" s="894"/>
      <c r="AA558" s="895"/>
      <c r="AB558" s="896"/>
      <c r="AC558" s="897"/>
      <c r="AD558" s="965"/>
      <c r="AG558" s="899"/>
      <c r="AH558" s="900"/>
      <c r="AI558" s="900"/>
      <c r="AJ558" s="896"/>
      <c r="AK558" s="896"/>
      <c r="AL558" s="900"/>
      <c r="AM558" s="901"/>
      <c r="AN558" s="902"/>
      <c r="AO558" s="896"/>
      <c r="AP558" s="903"/>
      <c r="AQ558" s="900"/>
      <c r="AR558" s="896"/>
      <c r="AS558" s="900"/>
      <c r="AT558" s="900"/>
      <c r="AU558" s="896"/>
      <c r="AV558" s="904"/>
      <c r="AW558" s="896"/>
      <c r="AX558" s="906"/>
      <c r="AY558" s="906"/>
      <c r="AZ558" s="906"/>
      <c r="BA558" s="906"/>
      <c r="BB558" s="906"/>
      <c r="BC558" s="906"/>
      <c r="BD558" s="907"/>
      <c r="BE558" s="908"/>
      <c r="BF558" s="920"/>
      <c r="BG558" s="496"/>
      <c r="BH558" s="906"/>
      <c r="BI558" s="906"/>
      <c r="BJ558" s="906"/>
      <c r="BK558" s="906"/>
      <c r="BL558" s="906"/>
      <c r="BM558" s="906"/>
      <c r="BN558" s="975"/>
      <c r="BO558" s="975"/>
      <c r="BP558" s="975"/>
      <c r="BQ558" s="975"/>
      <c r="BR558" s="975"/>
      <c r="BS558" s="975"/>
      <c r="BT558" s="919"/>
      <c r="BU558" s="908"/>
      <c r="BV558" s="1041"/>
      <c r="BW558" s="496"/>
    </row>
    <row r="559" s="493" customFormat="1" ht="33" customHeight="1" spans="1:75 16350:16384">
      <c r="A559" s="921"/>
      <c r="B559" s="1058"/>
      <c r="C559" s="923"/>
      <c r="D559" s="924"/>
      <c r="E559" s="928"/>
      <c r="F559" s="924"/>
      <c r="G559" s="926"/>
      <c r="H559" s="928"/>
      <c r="I559" s="929"/>
      <c r="J559" s="929"/>
      <c r="K559" s="929"/>
      <c r="L559" s="930"/>
      <c r="M559" s="1053"/>
      <c r="N559" s="1053"/>
      <c r="O559" s="933"/>
      <c r="P559" s="933"/>
      <c r="Q559" s="1094"/>
      <c r="R559" s="933"/>
      <c r="S559" s="933"/>
      <c r="T559" s="933"/>
      <c r="U559" s="933"/>
      <c r="V559" s="933"/>
      <c r="W559" s="933"/>
      <c r="X559" s="1095"/>
      <c r="Y559" s="1096"/>
      <c r="Z559" s="1097"/>
      <c r="AA559" s="937"/>
      <c r="AB559" s="1056"/>
      <c r="AC559" s="1054"/>
      <c r="AD559" s="1055"/>
      <c r="AG559" s="1098"/>
      <c r="AH559" s="1099"/>
      <c r="AI559" s="1099"/>
      <c r="AJ559" s="1056"/>
      <c r="AK559" s="1056"/>
      <c r="AL559" s="1099"/>
      <c r="AM559" s="1100"/>
      <c r="AN559" s="1101"/>
      <c r="AO559" s="1056"/>
      <c r="AP559" s="1102"/>
      <c r="AQ559" s="1099"/>
      <c r="AR559" s="1056"/>
      <c r="AS559" s="1099"/>
      <c r="AT559" s="1099"/>
      <c r="AU559" s="1056"/>
      <c r="AV559" s="1057"/>
      <c r="AW559" s="1056"/>
      <c r="AX559" s="941"/>
      <c r="AY559" s="941"/>
      <c r="AZ559" s="941"/>
      <c r="BA559" s="941"/>
      <c r="BB559" s="941"/>
      <c r="BC559" s="941"/>
      <c r="BD559" s="947"/>
      <c r="BE559" s="950"/>
      <c r="BF559" s="951"/>
      <c r="BG559" s="932"/>
      <c r="BH559" s="941"/>
      <c r="BI559" s="941"/>
      <c r="BJ559" s="941"/>
      <c r="BK559" s="941"/>
      <c r="BL559" s="941"/>
      <c r="BM559" s="941"/>
      <c r="BN559" s="1103"/>
      <c r="BO559" s="1103"/>
      <c r="BP559" s="1103"/>
      <c r="BQ559" s="1103"/>
      <c r="BR559" s="1103"/>
      <c r="BS559" s="1103"/>
      <c r="BT559" s="949"/>
      <c r="BU559" s="950"/>
      <c r="BV559" s="976"/>
      <c r="BW559" s="953"/>
    </row>
    <row r="560" s="495" customFormat="1" ht="33" customHeight="1" spans="1:75 16350:16384">
      <c r="A560" s="1104"/>
      <c r="B560" s="920"/>
      <c r="C560" s="977"/>
      <c r="D560" s="978"/>
      <c r="E560" s="1105"/>
      <c r="F560" s="978"/>
      <c r="G560" s="897"/>
      <c r="H560" s="920"/>
      <c r="I560" s="980"/>
      <c r="J560" s="980"/>
      <c r="K560" s="980"/>
      <c r="L560" s="981"/>
      <c r="M560" s="911"/>
      <c r="N560" s="911"/>
      <c r="O560" s="982"/>
      <c r="P560" s="982"/>
      <c r="Q560" s="973"/>
      <c r="R560" s="983"/>
      <c r="S560" s="982"/>
      <c r="T560" s="982"/>
      <c r="U560" s="982"/>
      <c r="V560" s="982"/>
      <c r="W560" s="982"/>
      <c r="X560" s="984"/>
      <c r="Y560" s="985"/>
      <c r="Z560" s="986"/>
      <c r="AA560" s="987"/>
      <c r="AB560" s="650"/>
      <c r="AC560" s="897"/>
      <c r="AD560" s="898"/>
      <c r="AE560" s="988"/>
      <c r="AF560" s="988"/>
      <c r="AG560" s="988"/>
      <c r="AH560" s="650"/>
      <c r="AI560" s="650"/>
      <c r="AJ560" s="650"/>
      <c r="AK560" s="650"/>
      <c r="AL560" s="650"/>
      <c r="AM560" s="918"/>
      <c r="AN560" s="918"/>
      <c r="AO560" s="650"/>
      <c r="AP560" s="1106"/>
      <c r="AQ560" s="650"/>
      <c r="AR560" s="650"/>
      <c r="AS560" s="650"/>
      <c r="AT560" s="650"/>
      <c r="AU560" s="650"/>
      <c r="AV560" s="992"/>
      <c r="AW560" s="1107"/>
      <c r="AX560" s="906"/>
      <c r="AY560" s="906"/>
      <c r="AZ560" s="761"/>
      <c r="BA560" s="761"/>
      <c r="BB560" s="761"/>
      <c r="BC560" s="761"/>
      <c r="BD560" s="993"/>
      <c r="BE560" s="576"/>
      <c r="BF560" s="920"/>
      <c r="BG560" s="764"/>
      <c r="BH560" s="761"/>
      <c r="BI560" s="761"/>
      <c r="BJ560" s="761"/>
      <c r="BK560" s="761"/>
      <c r="BL560" s="761"/>
      <c r="BM560" s="761"/>
      <c r="BN560" s="631"/>
      <c r="BO560" s="631"/>
      <c r="BP560" s="631"/>
      <c r="BQ560" s="631"/>
      <c r="BR560" s="631"/>
      <c r="BS560" s="631"/>
      <c r="BT560" s="575"/>
      <c r="BU560" s="576"/>
      <c r="BV560" s="517"/>
      <c r="BW560" s="517"/>
    </row>
    <row r="561" s="495" customFormat="1" ht="39" customHeight="1" spans="1:75">
      <c r="A561" s="1108"/>
      <c r="B561" s="489"/>
      <c r="C561" s="1109"/>
      <c r="D561" s="1110"/>
      <c r="E561" s="1111"/>
      <c r="F561" s="1110"/>
      <c r="G561" s="1112"/>
      <c r="H561" s="1113"/>
      <c r="I561" s="498"/>
      <c r="J561" s="498"/>
      <c r="K561" s="498"/>
      <c r="L561" s="498"/>
      <c r="M561" s="1114"/>
      <c r="N561" s="1114"/>
      <c r="O561" s="501"/>
      <c r="P561" s="501"/>
      <c r="Q561" s="1115"/>
      <c r="R561" s="501"/>
      <c r="S561" s="501"/>
      <c r="T561" s="501"/>
      <c r="U561" s="501"/>
      <c r="V561" s="501"/>
      <c r="W561" s="501"/>
      <c r="X561" s="1116"/>
      <c r="Y561" s="489"/>
      <c r="Z561" s="1117"/>
      <c r="AA561" s="503"/>
      <c r="AB561" s="504"/>
      <c r="AC561" s="1112"/>
      <c r="AD561" s="1118"/>
      <c r="AE561" s="499"/>
      <c r="AF561" s="499"/>
      <c r="AG561" s="1112"/>
      <c r="AH561" s="499"/>
      <c r="AI561" s="499"/>
      <c r="AJ561" s="499"/>
      <c r="AK561" s="1119"/>
      <c r="AL561" s="499"/>
      <c r="AM561" s="499"/>
      <c r="AN561" s="1109"/>
      <c r="AO561" s="510"/>
      <c r="AP561" s="510"/>
      <c r="AQ561" s="510"/>
      <c r="AR561" s="510"/>
      <c r="AS561" s="510"/>
      <c r="AT561" s="510"/>
      <c r="AU561" s="510"/>
      <c r="AV561" s="510"/>
      <c r="AW561" s="517"/>
      <c r="AX561" s="510"/>
      <c r="AY561" s="510"/>
      <c r="AZ561" s="510"/>
      <c r="BA561" s="510"/>
      <c r="BB561" s="510"/>
      <c r="BC561" s="510"/>
      <c r="BD561" s="510"/>
      <c r="BE561" s="510"/>
      <c r="BF561" s="1120"/>
      <c r="BG561" s="1121"/>
      <c r="BH561" s="1122"/>
      <c r="BI561" s="536"/>
      <c r="BJ561" s="489"/>
      <c r="BK561" s="489"/>
      <c r="BL561" s="489"/>
      <c r="BM561" s="489"/>
      <c r="BN561" s="536"/>
      <c r="BO561" s="536"/>
      <c r="BP561" s="536"/>
      <c r="BQ561" s="536"/>
      <c r="BR561" s="536"/>
      <c r="BS561" s="536"/>
      <c r="BT561" s="1123">
        <f>SUM(BH561:BS561)</f>
        <v>0</v>
      </c>
      <c r="BU561" s="1124">
        <f>I561-BT561</f>
        <v>0</v>
      </c>
      <c r="BV561" s="517"/>
      <c r="BW561" s="517"/>
    </row>
    <row r="562" s="495" customFormat="1" ht="39" customHeight="1" spans="1:75">
      <c r="A562" s="1108"/>
      <c r="B562" s="489"/>
      <c r="C562" s="1109"/>
      <c r="D562" s="1110"/>
      <c r="E562" s="1111"/>
      <c r="F562" s="1110"/>
      <c r="G562" s="1112"/>
      <c r="H562" s="535" t="s">
        <v>2530</v>
      </c>
      <c r="I562" s="507">
        <f>SUM(I3:I517)</f>
        <v>598526</v>
      </c>
      <c r="J562" s="498"/>
      <c r="K562" s="498"/>
      <c r="L562" s="498"/>
      <c r="M562" s="1114"/>
      <c r="N562" s="1114"/>
      <c r="O562" s="501"/>
      <c r="P562" s="501"/>
      <c r="Q562" s="1115"/>
      <c r="R562" s="501"/>
      <c r="S562" s="501"/>
      <c r="T562" s="501"/>
      <c r="U562" s="501"/>
      <c r="V562" s="501"/>
      <c r="W562" s="501"/>
      <c r="X562" s="1116"/>
      <c r="Y562" s="489"/>
      <c r="Z562" s="1117"/>
      <c r="AA562" s="503"/>
      <c r="AB562" s="504"/>
      <c r="AC562" s="1112"/>
      <c r="AD562" s="1118"/>
      <c r="AE562" s="499"/>
      <c r="AF562" s="499"/>
      <c r="AG562" s="1112"/>
      <c r="AH562" s="499"/>
      <c r="AI562" s="499"/>
      <c r="AJ562" s="499"/>
      <c r="AK562" s="1119"/>
      <c r="AL562" s="499"/>
      <c r="AM562" s="499"/>
      <c r="AN562" s="1109"/>
      <c r="AO562" s="510"/>
      <c r="AP562" s="510"/>
      <c r="AQ562" s="510"/>
      <c r="AR562" s="510"/>
      <c r="AS562" s="510"/>
      <c r="AT562" s="510"/>
      <c r="AU562" s="510"/>
      <c r="AV562" s="510"/>
      <c r="AW562" s="517"/>
      <c r="AX562" s="510"/>
      <c r="AY562" s="510"/>
      <c r="AZ562" s="510"/>
      <c r="BA562" s="510"/>
      <c r="BB562" s="510"/>
      <c r="BC562" s="510"/>
      <c r="BD562" s="510"/>
      <c r="BE562" s="510"/>
      <c r="BF562" s="1105"/>
      <c r="BG562" s="1125"/>
      <c r="BH562" s="1126"/>
      <c r="BI562" s="536"/>
      <c r="BJ562" s="489"/>
      <c r="BK562" s="489"/>
      <c r="BL562" s="489"/>
      <c r="BM562" s="489"/>
      <c r="BN562" s="536"/>
      <c r="BO562" s="536"/>
      <c r="BP562" s="536"/>
      <c r="BQ562" s="536"/>
      <c r="BR562" s="536"/>
      <c r="BS562" s="536"/>
      <c r="BT562" s="1127"/>
      <c r="BU562" s="1128"/>
      <c r="BV562" s="517"/>
      <c r="BW562" s="517"/>
    </row>
    <row r="563" s="495" customFormat="1" ht="39" customHeight="1" spans="1:75">
      <c r="A563" s="1108"/>
      <c r="B563" s="489"/>
      <c r="C563" s="1109"/>
      <c r="D563" s="1110"/>
      <c r="E563" s="1111"/>
      <c r="F563" s="1118"/>
      <c r="G563" s="1112"/>
      <c r="H563" s="1113"/>
      <c r="I563" s="498"/>
      <c r="J563" s="498"/>
      <c r="K563" s="498"/>
      <c r="L563" s="498"/>
      <c r="M563" s="1114"/>
      <c r="N563" s="1114"/>
      <c r="O563" s="501"/>
      <c r="P563" s="501"/>
      <c r="Q563" s="1115"/>
      <c r="R563" s="498"/>
      <c r="S563" s="501"/>
      <c r="T563" s="501"/>
      <c r="U563" s="501"/>
      <c r="V563" s="501"/>
      <c r="W563" s="501"/>
      <c r="X563" s="1116"/>
      <c r="Y563" s="489"/>
      <c r="Z563" s="1117"/>
      <c r="AA563" s="503"/>
      <c r="AB563" s="504"/>
      <c r="AC563" s="1111"/>
      <c r="AD563" s="504"/>
      <c r="AE563" s="499"/>
      <c r="AF563" s="499"/>
      <c r="AG563" s="499"/>
      <c r="AH563" s="1129"/>
      <c r="AI563" s="1129"/>
      <c r="AJ563" s="499"/>
      <c r="AK563" s="1119"/>
      <c r="AL563" s="1129"/>
      <c r="AM563" s="1129"/>
      <c r="AN563" s="499"/>
      <c r="AO563" s="510"/>
      <c r="AP563" s="1130"/>
      <c r="AQ563" s="1130"/>
      <c r="AR563" s="510"/>
      <c r="AS563" s="1130"/>
      <c r="AT563" s="1130"/>
      <c r="AU563" s="510"/>
      <c r="AV563" s="510"/>
      <c r="AW563" s="510"/>
      <c r="AX563" s="510"/>
      <c r="AY563" s="510"/>
      <c r="AZ563" s="510"/>
      <c r="BA563" s="510"/>
      <c r="BB563" s="510"/>
      <c r="BC563" s="510"/>
      <c r="BD563" s="510"/>
      <c r="BE563" s="1131"/>
      <c r="BF563" s="1132"/>
      <c r="BG563" s="1125">
        <f>SUM(BH563:BM563)</f>
        <v>0</v>
      </c>
      <c r="BH563" s="1133"/>
      <c r="BI563" s="510"/>
      <c r="BJ563" s="510"/>
      <c r="BK563" s="510"/>
      <c r="BL563" s="510"/>
      <c r="BM563" s="510"/>
      <c r="BN563" s="1134"/>
      <c r="BO563" s="1134"/>
      <c r="BP563" s="1134"/>
      <c r="BQ563" s="1134"/>
      <c r="BR563" s="1134"/>
      <c r="BS563" s="1134"/>
      <c r="BT563" s="1135">
        <f>SUM(BH563:BS563)</f>
        <v>0</v>
      </c>
      <c r="BU563" s="1136">
        <f>I563-BT563</f>
        <v>0</v>
      </c>
      <c r="BV563" s="517"/>
      <c r="BW563" s="517"/>
    </row>
    <row r="564" s="495" customFormat="1" ht="39" customHeight="1" spans="1:75">
      <c r="A564" s="1137"/>
      <c r="B564" s="489"/>
      <c r="C564" s="499"/>
      <c r="D564" s="498"/>
      <c r="E564" s="489"/>
      <c r="F564" s="489"/>
      <c r="G564" s="498"/>
      <c r="H564" s="524"/>
      <c r="J564" s="498"/>
      <c r="K564" s="498"/>
      <c r="L564" s="498"/>
      <c r="M564" s="1119"/>
      <c r="N564" s="1119"/>
      <c r="O564" s="499"/>
      <c r="P564" s="499"/>
      <c r="Q564" s="1138"/>
      <c r="R564" s="498"/>
      <c r="S564" s="1119"/>
      <c r="T564" s="1119"/>
      <c r="U564" s="499"/>
      <c r="V564" s="1138"/>
      <c r="W564" s="499"/>
      <c r="X564" s="502"/>
      <c r="Y564" s="498"/>
      <c r="Z564" s="1117"/>
      <c r="AA564" s="1139">
        <f>SUM(AA4:AA563)</f>
        <v>3507995.85530001</v>
      </c>
      <c r="AB564" s="504"/>
      <c r="AC564" s="489"/>
      <c r="AD564" s="504"/>
      <c r="AE564" s="1140">
        <f t="shared" ref="AE564:AW564" si="351">SUM(AE4:AE563)</f>
        <v>0</v>
      </c>
      <c r="AF564" s="1140">
        <f t="shared" si="351"/>
        <v>3204</v>
      </c>
      <c r="AG564" s="1140">
        <f t="shared" si="351"/>
        <v>504040</v>
      </c>
      <c r="AH564" s="1141">
        <f t="shared" si="351"/>
        <v>3204</v>
      </c>
      <c r="AI564" s="1141">
        <f t="shared" si="351"/>
        <v>0</v>
      </c>
      <c r="AJ564" s="1140">
        <f t="shared" si="351"/>
        <v>108802</v>
      </c>
      <c r="AK564" s="1140">
        <f t="shared" si="351"/>
        <v>23046</v>
      </c>
      <c r="AL564" s="1141">
        <f t="shared" si="351"/>
        <v>0</v>
      </c>
      <c r="AM564" s="1141">
        <f t="shared" si="351"/>
        <v>0</v>
      </c>
      <c r="AN564" s="1140">
        <f t="shared" si="351"/>
        <v>439994</v>
      </c>
      <c r="AO564" s="1140">
        <f t="shared" si="351"/>
        <v>192852</v>
      </c>
      <c r="AP564" s="1141">
        <f t="shared" si="351"/>
        <v>0</v>
      </c>
      <c r="AQ564" s="1141">
        <f t="shared" si="351"/>
        <v>0</v>
      </c>
      <c r="AR564" s="1140">
        <f t="shared" si="351"/>
        <v>521728</v>
      </c>
      <c r="AS564" s="1141">
        <f t="shared" si="351"/>
        <v>0</v>
      </c>
      <c r="AT564" s="1141">
        <f t="shared" si="351"/>
        <v>0</v>
      </c>
      <c r="AU564" s="1140">
        <f t="shared" si="351"/>
        <v>105394</v>
      </c>
      <c r="AV564" s="1140">
        <f t="shared" si="351"/>
        <v>5724</v>
      </c>
      <c r="AW564" s="1140">
        <f t="shared" si="351"/>
        <v>506906</v>
      </c>
      <c r="AX564" s="1140"/>
      <c r="AY564" s="1140">
        <f t="shared" ref="AY564:BD564" si="352">SUM(AY4:AY563)</f>
        <v>0</v>
      </c>
      <c r="AZ564" s="1140">
        <f t="shared" si="352"/>
        <v>0</v>
      </c>
      <c r="BA564" s="1140">
        <f t="shared" si="352"/>
        <v>176</v>
      </c>
      <c r="BB564" s="1140">
        <f t="shared" si="352"/>
        <v>0</v>
      </c>
      <c r="BC564" s="1140">
        <f t="shared" si="352"/>
        <v>0</v>
      </c>
      <c r="BD564" s="1140">
        <f t="shared" si="352"/>
        <v>81000</v>
      </c>
      <c r="BE564" s="1140"/>
      <c r="BF564" s="1142"/>
      <c r="BG564" s="764">
        <f t="shared" ref="BG564:BS564" si="353">SUM(BG4:BG563)</f>
        <v>4478</v>
      </c>
      <c r="BH564" s="1143">
        <f t="shared" si="353"/>
        <v>105352.711466667</v>
      </c>
      <c r="BI564" s="1144">
        <f t="shared" si="353"/>
        <v>104522.124266667</v>
      </c>
      <c r="BJ564" s="1144">
        <f t="shared" si="353"/>
        <v>107152.537066667</v>
      </c>
      <c r="BK564" s="1144">
        <f t="shared" si="353"/>
        <v>107086.023466667</v>
      </c>
      <c r="BL564" s="1144">
        <f t="shared" si="353"/>
        <v>103722.217066667</v>
      </c>
      <c r="BM564" s="1144">
        <f t="shared" si="353"/>
        <v>105012.436266667</v>
      </c>
      <c r="BN564" s="1145">
        <f t="shared" si="353"/>
        <v>0</v>
      </c>
      <c r="BO564" s="1145">
        <f t="shared" si="353"/>
        <v>0</v>
      </c>
      <c r="BP564" s="1145">
        <f t="shared" si="353"/>
        <v>0</v>
      </c>
      <c r="BQ564" s="1145">
        <f t="shared" si="353"/>
        <v>0</v>
      </c>
      <c r="BR564" s="1145">
        <f t="shared" si="353"/>
        <v>0</v>
      </c>
      <c r="BS564" s="1145">
        <f t="shared" si="353"/>
        <v>0</v>
      </c>
      <c r="BT564" s="1135">
        <f>SUM(BH564:BS564)</f>
        <v>632848.0496</v>
      </c>
      <c r="BU564" s="1136"/>
      <c r="BV564" s="517"/>
      <c r="BW564" s="517"/>
    </row>
    <row r="565" s="495" customFormat="1" ht="39" customHeight="1" spans="1:75">
      <c r="A565" s="497"/>
      <c r="B565" s="489"/>
      <c r="C565" s="489"/>
      <c r="D565" s="498"/>
      <c r="E565" s="489"/>
      <c r="F565" s="489"/>
      <c r="G565" s="498"/>
      <c r="H565" s="489"/>
      <c r="I565" s="489"/>
      <c r="J565" s="489"/>
      <c r="K565" s="498"/>
      <c r="L565" s="498"/>
      <c r="M565" s="489"/>
      <c r="N565" s="1146"/>
      <c r="O565" s="489"/>
      <c r="P565" s="499"/>
      <c r="Q565" s="500"/>
      <c r="R565" s="498"/>
      <c r="S565" s="498"/>
      <c r="T565" s="498"/>
      <c r="U565" s="499"/>
      <c r="V565" s="501"/>
      <c r="W565" s="499"/>
      <c r="X565" s="524"/>
      <c r="Y565" s="498"/>
      <c r="Z565" s="498"/>
      <c r="AA565" s="503"/>
      <c r="AC565" s="489"/>
      <c r="AD565" s="504"/>
      <c r="AE565" s="489"/>
      <c r="AF565" s="489"/>
      <c r="AG565" s="489"/>
      <c r="AH565" s="505"/>
      <c r="AI565" s="506"/>
      <c r="AJ565" s="489"/>
      <c r="AK565" s="507"/>
      <c r="AL565" s="508"/>
      <c r="AM565" s="509"/>
      <c r="AN565" s="510"/>
      <c r="AO565" s="511"/>
      <c r="AP565" s="512"/>
      <c r="AQ565" s="513"/>
      <c r="AR565" s="511"/>
      <c r="AS565" s="512"/>
      <c r="AT565" s="513"/>
      <c r="AU565" s="511"/>
      <c r="AV565" s="511"/>
      <c r="AW565" s="511"/>
      <c r="AX565" s="511"/>
      <c r="AY565" s="511"/>
      <c r="AZ565" s="511"/>
      <c r="BA565" s="511"/>
      <c r="BB565" s="511"/>
      <c r="BC565" s="511"/>
      <c r="BD565" s="511"/>
      <c r="BE565" s="511"/>
      <c r="BF565" s="514"/>
      <c r="BG565" s="515"/>
      <c r="BH565" s="516"/>
      <c r="BI565" s="511"/>
      <c r="BJ565" s="511"/>
      <c r="BK565" s="511"/>
      <c r="BL565" s="511"/>
      <c r="BM565" s="511"/>
      <c r="BN565" s="489"/>
      <c r="BO565" s="489"/>
      <c r="BP565" s="489"/>
      <c r="BQ565" s="489"/>
      <c r="BR565" s="510"/>
      <c r="BS565" s="510"/>
      <c r="BT565" s="1127"/>
      <c r="BU565" s="1128"/>
      <c r="BV565" s="517"/>
      <c r="BW565" s="517"/>
    </row>
    <row r="566" s="495" customFormat="1" ht="39" customHeight="1" spans="1:75">
      <c r="A566" s="497"/>
      <c r="B566" s="489"/>
      <c r="C566" s="489"/>
      <c r="D566" s="498"/>
      <c r="E566" s="489"/>
      <c r="F566" s="1113"/>
      <c r="G566" s="498"/>
      <c r="H566" s="489"/>
      <c r="I566" s="489"/>
      <c r="J566" s="498"/>
      <c r="K566" s="498"/>
      <c r="L566" s="498"/>
      <c r="M566" s="489"/>
      <c r="N566" s="489"/>
      <c r="O566" s="489"/>
      <c r="P566" s="499"/>
      <c r="Q566" s="500"/>
      <c r="R566" s="498"/>
      <c r="S566" s="498"/>
      <c r="T566" s="498"/>
      <c r="U566" s="499"/>
      <c r="V566" s="501"/>
      <c r="W566" s="499"/>
      <c r="X566" s="502"/>
      <c r="Y566" s="498"/>
      <c r="Z566" s="498"/>
      <c r="AA566" s="503"/>
      <c r="AB566" s="504"/>
      <c r="AC566" s="489"/>
      <c r="AD566" s="504"/>
      <c r="AE566" s="489"/>
      <c r="AF566" s="489"/>
      <c r="AG566" s="489"/>
      <c r="AH566" s="505"/>
      <c r="AI566" s="506"/>
      <c r="AJ566" s="489"/>
      <c r="AK566" s="507"/>
      <c r="AL566" s="508"/>
      <c r="AM566" s="509"/>
      <c r="AN566" s="510"/>
      <c r="AO566" s="511"/>
      <c r="AP566" s="512"/>
      <c r="AQ566" s="513"/>
      <c r="AR566" s="511"/>
      <c r="AS566" s="512"/>
      <c r="AT566" s="513"/>
      <c r="AU566" s="511"/>
      <c r="AV566" s="511"/>
      <c r="AW566" s="511"/>
      <c r="AX566" s="511"/>
      <c r="AY566" s="511"/>
      <c r="AZ566" s="511"/>
      <c r="BA566" s="511"/>
      <c r="BB566" s="511"/>
      <c r="BC566" s="511"/>
      <c r="BD566" s="511"/>
      <c r="BE566" s="511"/>
      <c r="BF566" s="514"/>
      <c r="BG566" s="515"/>
      <c r="BH566" s="516"/>
      <c r="BI566" s="511"/>
      <c r="BJ566" s="511"/>
      <c r="BK566" s="511"/>
      <c r="BL566" s="511"/>
      <c r="BM566" s="511"/>
      <c r="BN566" s="489"/>
      <c r="BO566" s="489"/>
      <c r="BP566" s="489"/>
      <c r="BQ566" s="489"/>
      <c r="BR566" s="510"/>
      <c r="BS566" s="510"/>
      <c r="BT566" s="510"/>
      <c r="BU566" s="510"/>
      <c r="BV566" s="517"/>
      <c r="BW566" s="517"/>
    </row>
    <row r="567" s="495" customFormat="1" ht="39" customHeight="1" spans="1:75">
      <c r="A567" s="497"/>
      <c r="B567" s="489"/>
      <c r="C567" s="499"/>
      <c r="D567" s="498"/>
      <c r="E567" s="489"/>
      <c r="F567" s="489"/>
      <c r="G567" s="489"/>
      <c r="H567" s="489"/>
      <c r="I567" s="489"/>
      <c r="J567" s="489"/>
      <c r="K567" s="498"/>
      <c r="L567" s="498"/>
      <c r="M567" s="499"/>
      <c r="N567" s="499"/>
      <c r="O567" s="499"/>
      <c r="P567" s="499"/>
      <c r="Q567" s="1138"/>
      <c r="R567" s="498"/>
      <c r="S567" s="1119"/>
      <c r="T567" s="1119"/>
      <c r="U567" s="499"/>
      <c r="V567" s="501"/>
      <c r="W567" s="499"/>
      <c r="X567" s="502"/>
      <c r="Y567" s="498"/>
      <c r="Z567" s="1117"/>
      <c r="AA567" s="503">
        <f>SUBTOTAL(9,AA134:AA300)</f>
        <v>552839.9601</v>
      </c>
      <c r="AB567" s="504"/>
      <c r="AC567" s="489"/>
      <c r="AD567" s="504"/>
      <c r="AE567" s="499"/>
      <c r="AF567" s="499"/>
      <c r="AG567" s="499"/>
      <c r="AH567" s="1147"/>
      <c r="AI567" s="1148"/>
      <c r="AJ567" s="499"/>
      <c r="AK567" s="1149"/>
      <c r="AL567" s="508"/>
      <c r="AM567" s="509"/>
      <c r="AN567" s="510"/>
      <c r="AO567" s="511"/>
      <c r="AP567" s="512"/>
      <c r="AQ567" s="513"/>
      <c r="AR567" s="511"/>
      <c r="AS567" s="512"/>
      <c r="AT567" s="513"/>
      <c r="AU567" s="511"/>
      <c r="AV567" s="511"/>
      <c r="AW567" s="511"/>
      <c r="AX567" s="511"/>
      <c r="AY567" s="511"/>
      <c r="AZ567" s="511"/>
      <c r="BA567" s="511"/>
      <c r="BB567" s="511"/>
      <c r="BC567" s="511"/>
      <c r="BD567" s="511"/>
      <c r="BE567" s="511"/>
      <c r="BF567" s="514"/>
      <c r="BG567" s="515"/>
      <c r="BH567" s="516"/>
      <c r="BI567" s="511"/>
      <c r="BJ567" s="511"/>
      <c r="BK567" s="511"/>
      <c r="BL567" s="511"/>
      <c r="BM567" s="511"/>
      <c r="BN567" s="499"/>
      <c r="BO567" s="536"/>
      <c r="BP567" s="536"/>
      <c r="BQ567" s="536"/>
      <c r="BR567" s="536"/>
      <c r="BS567" s="536"/>
      <c r="BT567" s="510"/>
      <c r="BU567" s="510"/>
      <c r="BV567" s="517"/>
      <c r="BW567" s="517"/>
    </row>
    <row r="568" s="495" customFormat="1" ht="39" customHeight="1" spans="1:75">
      <c r="A568" s="497"/>
      <c r="B568" s="489"/>
      <c r="C568" s="499"/>
      <c r="D568" s="498"/>
      <c r="E568" s="489"/>
      <c r="F568" s="489"/>
      <c r="G568" s="489"/>
      <c r="H568" s="489"/>
      <c r="I568" s="489"/>
      <c r="J568" s="498"/>
      <c r="K568" s="498"/>
      <c r="L568" s="498"/>
      <c r="M568" s="1119"/>
      <c r="N568" s="1119"/>
      <c r="O568" s="499"/>
      <c r="P568" s="499"/>
      <c r="Q568" s="1138"/>
      <c r="R568" s="498"/>
      <c r="S568" s="1119"/>
      <c r="T568" s="1119"/>
      <c r="U568" s="499"/>
      <c r="V568" s="501"/>
      <c r="W568" s="499"/>
      <c r="X568" s="502"/>
      <c r="Y568" s="498"/>
      <c r="Z568" s="1117"/>
      <c r="AA568" s="503">
        <f>AA567*7.75</f>
        <v>4284509.690775</v>
      </c>
      <c r="AB568" s="504"/>
      <c r="AC568" s="489"/>
      <c r="AD568" s="504"/>
      <c r="AE568" s="499"/>
      <c r="AF568" s="499"/>
      <c r="AG568" s="499"/>
      <c r="AH568" s="1147"/>
      <c r="AI568" s="1148"/>
      <c r="AJ568" s="499"/>
      <c r="AK568" s="1149"/>
      <c r="AL568" s="508"/>
      <c r="AM568" s="509"/>
      <c r="AN568" s="510"/>
      <c r="AO568" s="511"/>
      <c r="AP568" s="512"/>
      <c r="AQ568" s="513"/>
      <c r="AR568" s="511"/>
      <c r="AS568" s="512"/>
      <c r="AT568" s="513"/>
      <c r="AU568" s="511"/>
      <c r="AV568" s="511"/>
      <c r="AW568" s="511"/>
      <c r="AX568" s="511"/>
      <c r="AY568" s="511"/>
      <c r="AZ568" s="511"/>
      <c r="BA568" s="511"/>
      <c r="BB568" s="511"/>
      <c r="BC568" s="511"/>
      <c r="BD568" s="511"/>
      <c r="BE568" s="511"/>
      <c r="BF568" s="514"/>
      <c r="BG568" s="515"/>
      <c r="BH568" s="516"/>
      <c r="BI568" s="511"/>
      <c r="BJ568" s="511"/>
      <c r="BK568" s="511"/>
      <c r="BL568" s="511"/>
      <c r="BM568" s="511"/>
      <c r="BN568" s="499"/>
      <c r="BO568" s="499"/>
      <c r="BP568" s="499"/>
      <c r="BQ568" s="499"/>
      <c r="BR568" s="510"/>
      <c r="BS568" s="510"/>
      <c r="BT568" s="510"/>
      <c r="BU568" s="510"/>
      <c r="BV568" s="517"/>
      <c r="BW568" s="517"/>
    </row>
    <row r="569" s="495" customFormat="1" ht="39" customHeight="1" spans="1:75">
      <c r="A569" s="497"/>
      <c r="B569" s="489"/>
      <c r="C569" s="489"/>
      <c r="D569" s="498"/>
      <c r="E569" s="489"/>
      <c r="F569" s="489"/>
      <c r="G569" s="498"/>
      <c r="H569" s="489"/>
      <c r="I569" s="498"/>
      <c r="J569" s="498"/>
      <c r="K569" s="498"/>
      <c r="L569" s="498"/>
      <c r="M569" s="498"/>
      <c r="N569" s="498"/>
      <c r="O569" s="489"/>
      <c r="P569" s="499"/>
      <c r="Q569" s="1138"/>
      <c r="R569" s="498"/>
      <c r="S569" s="498"/>
      <c r="T569" s="498"/>
      <c r="U569" s="499"/>
      <c r="V569" s="501"/>
      <c r="W569" s="499"/>
      <c r="X569" s="502"/>
      <c r="Y569" s="498"/>
      <c r="Z569" s="498" t="s">
        <v>2531</v>
      </c>
      <c r="AA569" s="503"/>
      <c r="AB569" s="504"/>
      <c r="AC569" s="489"/>
      <c r="AD569" s="504"/>
      <c r="AE569" s="489"/>
      <c r="AF569" s="489"/>
      <c r="AG569" s="489"/>
      <c r="AH569" s="505"/>
      <c r="AI569" s="506"/>
      <c r="AJ569" s="489"/>
      <c r="AK569" s="507"/>
      <c r="AL569" s="508"/>
      <c r="AM569" s="509"/>
      <c r="AN569" s="510"/>
      <c r="AO569" s="511"/>
      <c r="AP569" s="512"/>
      <c r="AQ569" s="513"/>
      <c r="AR569" s="511"/>
      <c r="AS569" s="512"/>
      <c r="AT569" s="513"/>
      <c r="AU569" s="511"/>
      <c r="AV569" s="511"/>
      <c r="AW569" s="511"/>
      <c r="AX569" s="511"/>
      <c r="AY569" s="511"/>
      <c r="AZ569" s="511"/>
      <c r="BA569" s="511"/>
      <c r="BB569" s="511"/>
      <c r="BC569" s="511"/>
      <c r="BD569" s="511"/>
      <c r="BE569" s="511"/>
      <c r="BF569" s="514"/>
      <c r="BG569" s="515"/>
      <c r="BH569" s="516"/>
      <c r="BI569" s="511"/>
      <c r="BJ569" s="511"/>
      <c r="BK569" s="511"/>
      <c r="BL569" s="511"/>
      <c r="BM569" s="511"/>
      <c r="BN569" s="1150"/>
      <c r="BO569" s="1150"/>
      <c r="BP569" s="1150"/>
      <c r="BQ569" s="1150"/>
      <c r="BR569" s="1150"/>
      <c r="BS569" s="1150"/>
      <c r="BT569" s="510"/>
      <c r="BU569" s="510"/>
      <c r="BV569" s="517"/>
      <c r="BW569" s="517"/>
    </row>
    <row r="570" ht="39" customHeight="1" spans="1:75">
      <c r="Q570" s="1138"/>
      <c r="BH570" s="1151"/>
      <c r="BI570" s="1152"/>
      <c r="BJ570" s="1152"/>
      <c r="BK570" s="1152"/>
      <c r="BL570" s="1152"/>
      <c r="BM570" s="1152"/>
      <c r="BT570" s="1153"/>
      <c r="BU570" s="1154"/>
    </row>
    <row r="571" ht="39" customHeight="1" spans="1:75">
      <c r="I571" s="489"/>
      <c r="Q571" s="1138"/>
    </row>
    <row r="572" ht="39" customHeight="1" spans="1:75">
      <c r="Q572" s="1138"/>
    </row>
    <row r="573" ht="39" customHeight="1" spans="1:75">
      <c r="Q573" s="1138"/>
    </row>
    <row r="574" ht="39" customHeight="1" spans="1:75">
      <c r="Q574" s="1138"/>
    </row>
    <row r="575" ht="39" customHeight="1" spans="1:75">
      <c r="Q575" s="1138"/>
    </row>
    <row r="576" ht="39" customHeight="1" spans="1:75">
      <c r="Q576" s="1138"/>
    </row>
    <row r="577" ht="39" customHeight="1" spans="7:17">
      <c r="I577" s="489"/>
      <c r="Q577" s="1138"/>
    </row>
    <row r="578" ht="39" customHeight="1" spans="7:17">
      <c r="Q578" s="1138"/>
    </row>
    <row r="579" ht="39" customHeight="1" spans="7:17">
      <c r="G579" s="489"/>
      <c r="I579" s="489"/>
      <c r="Q579" s="1138"/>
    </row>
    <row r="580" ht="39" customHeight="1" spans="7:17">
      <c r="I580" s="489"/>
      <c r="J580" s="489"/>
      <c r="Q580" s="1138"/>
    </row>
    <row r="581" ht="39" customHeight="1" spans="7:17">
      <c r="I581" s="489"/>
      <c r="Q581" s="1138"/>
    </row>
    <row r="582" ht="39" customHeight="1" spans="7:17">
      <c r="Q582" s="1138"/>
    </row>
    <row r="583" ht="39" customHeight="1" spans="7:17">
      <c r="Q583" s="1138"/>
    </row>
    <row r="584" ht="39" customHeight="1" spans="7:17">
      <c r="Q584" s="1138"/>
    </row>
    <row r="585" spans="7:17">
      <c r="Q585" s="1138"/>
    </row>
    <row r="586" spans="7:17">
      <c r="Q586" s="1138"/>
    </row>
    <row r="587" spans="7:17">
      <c r="Q587" s="1138"/>
    </row>
    <row r="588" spans="7:17">
      <c r="Q588" s="1138"/>
    </row>
    <row r="589" spans="7:17">
      <c r="Q589" s="1138"/>
    </row>
    <row r="590" spans="7:17">
      <c r="Q590" s="1138"/>
    </row>
    <row r="591" spans="7:17">
      <c r="Q591" s="1138"/>
    </row>
    <row r="592" spans="7:17">
      <c r="Q592" s="1138"/>
    </row>
    <row r="593" spans="9:17">
      <c r="Q593" s="1138"/>
    </row>
    <row r="594" spans="9:17">
      <c r="I594" s="489"/>
      <c r="Q594" s="1138"/>
    </row>
    <row r="595" spans="9:17">
      <c r="Q595" s="1138"/>
    </row>
    <row r="596" spans="9:17">
      <c r="Q596" s="1138"/>
    </row>
    <row r="597" spans="9:17">
      <c r="Q597" s="1138"/>
    </row>
    <row r="598" spans="9:17">
      <c r="Q598" s="1138"/>
    </row>
    <row r="599" spans="9:17">
      <c r="Q599" s="1138"/>
    </row>
    <row r="600" spans="9:17">
      <c r="Q600" s="1138"/>
    </row>
    <row r="601" spans="9:17">
      <c r="Q601" s="1138"/>
    </row>
    <row r="602" spans="9:17">
      <c r="Q602" s="1138"/>
    </row>
    <row r="603" spans="9:17">
      <c r="Q603" s="1138"/>
    </row>
    <row r="604" spans="9:17">
      <c r="Q604" s="1138"/>
    </row>
    <row r="605" spans="9:17">
      <c r="Q605" s="1138"/>
    </row>
    <row r="606" spans="9:17">
      <c r="Q606" s="1138"/>
    </row>
    <row r="607" spans="9:17">
      <c r="Q607" s="1138"/>
    </row>
    <row r="608" spans="9:17">
      <c r="Q608" s="1138"/>
    </row>
    <row r="609" spans="17:17">
      <c r="Q609" s="1138"/>
    </row>
    <row r="610" spans="17:17">
      <c r="Q610" s="1138"/>
    </row>
    <row r="611" spans="17:17">
      <c r="Q611" s="1138"/>
    </row>
    <row r="612" spans="17:17">
      <c r="Q612" s="1138"/>
    </row>
    <row r="613" spans="17:17">
      <c r="Q613" s="1138"/>
    </row>
    <row r="614" spans="17:17">
      <c r="Q614" s="1138"/>
    </row>
    <row r="615" spans="17:17">
      <c r="Q615" s="1138"/>
    </row>
    <row r="616" spans="17:17">
      <c r="Q616" s="1138"/>
    </row>
    <row r="617" spans="17:17">
      <c r="Q617" s="1138"/>
    </row>
    <row r="618" spans="17:17">
      <c r="Q618" s="1138"/>
    </row>
    <row r="619" spans="17:17">
      <c r="Q619" s="1138"/>
    </row>
    <row r="620" spans="17:17">
      <c r="Q620" s="1138"/>
    </row>
    <row r="621" spans="17:17">
      <c r="Q621" s="1138"/>
    </row>
    <row r="622" spans="17:17">
      <c r="Q622" s="1138"/>
    </row>
    <row r="623" spans="17:17">
      <c r="Q623" s="1138"/>
    </row>
    <row r="624" spans="17:17">
      <c r="Q624" s="1138"/>
    </row>
    <row r="625" spans="17:17">
      <c r="Q625" s="1138"/>
    </row>
    <row r="626" spans="17:17">
      <c r="Q626" s="1138"/>
    </row>
    <row r="627" spans="17:17">
      <c r="Q627" s="1138"/>
    </row>
    <row r="628" spans="17:17">
      <c r="Q628" s="1138"/>
    </row>
    <row r="629" spans="17:17">
      <c r="Q629" s="1138"/>
    </row>
    <row r="630" spans="17:17">
      <c r="Q630" s="1138"/>
    </row>
    <row r="631" spans="17:17">
      <c r="Q631" s="1138"/>
    </row>
    <row r="632" spans="17:17">
      <c r="Q632" s="1138"/>
    </row>
    <row r="633" spans="17:17">
      <c r="Q633" s="1138"/>
    </row>
    <row r="634" spans="17:17">
      <c r="Q634" s="1138"/>
    </row>
    <row r="635" spans="17:17">
      <c r="Q635" s="1138"/>
    </row>
    <row r="636" spans="17:17">
      <c r="Q636" s="1138"/>
    </row>
    <row r="637" spans="17:17">
      <c r="Q637" s="1138"/>
    </row>
    <row r="638" spans="17:17">
      <c r="Q638" s="1138"/>
    </row>
    <row r="639" spans="17:17">
      <c r="Q639" s="1138"/>
    </row>
    <row r="640" spans="17:17">
      <c r="Q640" s="1138"/>
    </row>
    <row r="641" spans="17:17">
      <c r="Q641" s="1138"/>
    </row>
    <row r="642" spans="17:17">
      <c r="Q642" s="1138"/>
    </row>
    <row r="643" spans="17:17">
      <c r="Q643" s="1138"/>
    </row>
    <row r="644" spans="17:17">
      <c r="Q644" s="1138"/>
    </row>
    <row r="645" spans="17:17">
      <c r="Q645" s="1138"/>
    </row>
    <row r="646" spans="17:17">
      <c r="Q646" s="1138"/>
    </row>
    <row r="647" spans="17:17">
      <c r="Q647" s="1138"/>
    </row>
    <row r="648" spans="17:17">
      <c r="Q648" s="1138"/>
    </row>
    <row r="649" spans="17:17">
      <c r="Q649" s="1138"/>
    </row>
    <row r="650" spans="17:17">
      <c r="Q650" s="1138"/>
    </row>
    <row r="651" spans="17:17">
      <c r="Q651" s="1138"/>
    </row>
    <row r="652" spans="17:17">
      <c r="Q652" s="1138"/>
    </row>
    <row r="653" spans="17:17">
      <c r="Q653" s="1138"/>
    </row>
    <row r="654" spans="17:17">
      <c r="Q654" s="1138"/>
    </row>
    <row r="655" spans="17:17">
      <c r="Q655" s="1138"/>
    </row>
    <row r="656" spans="17:17">
      <c r="Q656" s="1138"/>
    </row>
    <row r="657" spans="17:17">
      <c r="Q657" s="1138"/>
    </row>
    <row r="658" spans="17:17">
      <c r="Q658" s="1138"/>
    </row>
    <row r="659" spans="17:17">
      <c r="Q659" s="1138"/>
    </row>
    <row r="660" spans="17:17">
      <c r="Q660" s="1138"/>
    </row>
    <row r="661" spans="17:17">
      <c r="Q661" s="1138"/>
    </row>
    <row r="662" spans="17:17">
      <c r="Q662" s="1138"/>
    </row>
    <row r="663" spans="17:17">
      <c r="Q663" s="1138"/>
    </row>
    <row r="664" spans="17:17">
      <c r="Q664" s="1138"/>
    </row>
    <row r="665" spans="17:17">
      <c r="Q665" s="1138"/>
    </row>
    <row r="666" spans="17:17">
      <c r="Q666" s="1138"/>
    </row>
    <row r="667" spans="17:17">
      <c r="Q667" s="1138"/>
    </row>
    <row r="668" spans="17:17">
      <c r="Q668" s="1138"/>
    </row>
    <row r="669" spans="17:17">
      <c r="Q669" s="1138"/>
    </row>
    <row r="670" spans="17:17">
      <c r="Q670" s="1138"/>
    </row>
    <row r="671" spans="17:17">
      <c r="Q671" s="1138"/>
    </row>
    <row r="672" spans="17:17">
      <c r="Q672" s="1138"/>
    </row>
    <row r="673" spans="17:17">
      <c r="Q673" s="1138"/>
    </row>
    <row r="674" spans="17:17">
      <c r="Q674" s="1138"/>
    </row>
    <row r="675" spans="17:17">
      <c r="Q675" s="1138"/>
    </row>
    <row r="676" spans="17:17">
      <c r="Q676" s="1138"/>
    </row>
    <row r="677" spans="17:17">
      <c r="Q677" s="1138"/>
    </row>
    <row r="678" spans="17:17">
      <c r="Q678" s="1138"/>
    </row>
    <row r="679" spans="17:17">
      <c r="Q679" s="1138"/>
    </row>
    <row r="680" spans="17:17">
      <c r="Q680" s="1138"/>
    </row>
    <row r="681" spans="17:17">
      <c r="Q681" s="1138"/>
    </row>
    <row r="682" spans="17:17">
      <c r="Q682" s="1138"/>
    </row>
    <row r="683" spans="17:17">
      <c r="Q683" s="1138"/>
    </row>
    <row r="684" spans="17:17">
      <c r="Q684" s="1138"/>
    </row>
    <row r="685" spans="17:17">
      <c r="Q685" s="1138"/>
    </row>
    <row r="686" spans="17:17">
      <c r="Q686" s="1138"/>
    </row>
    <row r="687" spans="17:17">
      <c r="Q687" s="1138"/>
    </row>
    <row r="688" spans="17:17">
      <c r="Q688" s="1138"/>
    </row>
    <row r="689" spans="17:17">
      <c r="Q689" s="1138"/>
    </row>
    <row r="692" spans="17:17">
      <c r="Q692" s="1138"/>
    </row>
    <row r="698" spans="17:17">
      <c r="Q698" s="1155"/>
    </row>
    <row r="709" spans="17:17">
      <c r="Q709" s="1156"/>
    </row>
    <row r="710" spans="17:17">
      <c r="Q710" s="1156"/>
    </row>
    <row r="711" spans="17:17">
      <c r="Q711" s="1157"/>
    </row>
    <row r="716" spans="17:17">
      <c r="Q716" s="1138"/>
    </row>
    <row r="717" spans="17:17">
      <c r="Q717" s="1138"/>
    </row>
    <row r="718" spans="17:17">
      <c r="Q718" s="1138"/>
    </row>
    <row r="719" spans="17:17">
      <c r="Q719" s="1138"/>
    </row>
    <row r="720" spans="17:17">
      <c r="Q720" s="1138"/>
    </row>
    <row r="721" spans="17:17">
      <c r="Q721" s="1138"/>
    </row>
    <row r="722" spans="17:17">
      <c r="Q722" s="1138"/>
    </row>
    <row r="723" spans="17:17">
      <c r="Q723" s="1138"/>
    </row>
    <row r="724" spans="17:17">
      <c r="Q724" s="1138"/>
    </row>
    <row r="725" spans="17:17">
      <c r="Q725" s="1138"/>
    </row>
    <row r="726" spans="17:17">
      <c r="Q726" s="1138"/>
    </row>
    <row r="727" spans="17:17">
      <c r="Q727" s="1138"/>
    </row>
    <row r="728" spans="17:17">
      <c r="Q728" s="1138"/>
    </row>
    <row r="729" spans="17:17">
      <c r="Q729" s="1138"/>
    </row>
    <row r="730" spans="17:17">
      <c r="Q730" s="1138"/>
    </row>
    <row r="731" spans="17:17">
      <c r="Q731" s="1138"/>
    </row>
    <row r="732" spans="17:17">
      <c r="Q732" s="1138"/>
    </row>
    <row r="733" spans="17:17">
      <c r="Q733" s="1138"/>
    </row>
    <row r="734" spans="17:17">
      <c r="Q734" s="1138"/>
    </row>
    <row r="735" spans="17:17">
      <c r="Q735" s="1138"/>
    </row>
    <row r="737" spans="17:17">
      <c r="Q737" s="1138"/>
    </row>
    <row r="738" spans="17:17">
      <c r="Q738" s="1156"/>
    </row>
    <row r="739" spans="17:17">
      <c r="Q739" s="1138"/>
    </row>
    <row r="740" spans="17:17">
      <c r="Q740" s="1138"/>
    </row>
    <row r="741" spans="17:17">
      <c r="Q741" s="1138"/>
    </row>
    <row r="742" spans="17:17">
      <c r="Q742" s="1138"/>
    </row>
    <row r="743" spans="17:17">
      <c r="Q743" s="1138"/>
    </row>
    <row r="744" spans="17:17">
      <c r="Q744" s="1138"/>
    </row>
    <row r="745" spans="17:17">
      <c r="Q745" s="1138"/>
    </row>
    <row r="746" spans="17:17">
      <c r="Q746" s="1138"/>
    </row>
    <row r="747" spans="17:17">
      <c r="Q747" s="1138"/>
    </row>
    <row r="748" spans="17:17">
      <c r="Q748" s="1138"/>
    </row>
    <row r="749" spans="17:17">
      <c r="Q749" s="1138"/>
    </row>
    <row r="750" spans="17:17">
      <c r="Q750" s="1138"/>
    </row>
    <row r="751" spans="17:17">
      <c r="Q751" s="1138"/>
    </row>
    <row r="752" spans="17:17">
      <c r="Q752" s="1138"/>
    </row>
    <row r="753" spans="17:17">
      <c r="Q753" s="1138"/>
    </row>
    <row r="754" spans="17:17">
      <c r="Q754" s="1138"/>
    </row>
    <row r="755" spans="17:17">
      <c r="Q755" s="1138"/>
    </row>
    <row r="756" spans="17:17">
      <c r="Q756" s="1138"/>
    </row>
    <row r="757" spans="17:17">
      <c r="Q757" s="1138"/>
    </row>
    <row r="758" spans="17:17">
      <c r="Q758" s="1138"/>
    </row>
    <row r="759" spans="17:17">
      <c r="Q759" s="1138"/>
    </row>
    <row r="760" spans="17:17">
      <c r="Q760" s="1138"/>
    </row>
    <row r="761" spans="17:17">
      <c r="Q761" s="1138"/>
    </row>
    <row r="762" spans="17:17">
      <c r="Q762" s="1138"/>
    </row>
    <row r="763" spans="17:17">
      <c r="Q763" s="1138"/>
    </row>
    <row r="764" spans="17:17">
      <c r="Q764" s="1138"/>
    </row>
    <row r="765" spans="17:17">
      <c r="Q765" s="1138"/>
    </row>
    <row r="766" spans="17:17">
      <c r="Q766" s="1138"/>
    </row>
    <row r="767" spans="17:17">
      <c r="Q767" s="1138"/>
    </row>
    <row r="768" spans="17:17">
      <c r="Q768" s="1138"/>
    </row>
    <row r="769" spans="17:17">
      <c r="Q769" s="1138"/>
    </row>
    <row r="770" spans="17:17">
      <c r="Q770" s="1138"/>
    </row>
    <row r="771" spans="17:17">
      <c r="Q771" s="1138"/>
    </row>
    <row r="772" spans="17:17">
      <c r="Q772" s="1138"/>
    </row>
    <row r="773" spans="17:17">
      <c r="Q773" s="1138"/>
    </row>
    <row r="774" spans="17:17">
      <c r="Q774" s="1138"/>
    </row>
    <row r="775" spans="17:17">
      <c r="Q775" s="1138"/>
    </row>
    <row r="776" spans="17:17">
      <c r="Q776" s="1138"/>
    </row>
    <row r="777" spans="17:17">
      <c r="Q777" s="1138"/>
    </row>
    <row r="778" spans="17:17">
      <c r="Q778" s="1138"/>
    </row>
    <row r="779" spans="17:17">
      <c r="Q779" s="1138"/>
    </row>
    <row r="780" spans="17:17">
      <c r="Q780" s="1138"/>
    </row>
    <row r="781" spans="17:17">
      <c r="Q781" s="1138"/>
    </row>
    <row r="782" spans="17:17">
      <c r="Q782" s="1138"/>
    </row>
    <row r="783" spans="17:17">
      <c r="Q783" s="1138"/>
    </row>
    <row r="784" spans="17:17">
      <c r="Q784" s="1138"/>
    </row>
    <row r="785" spans="17:17">
      <c r="Q785" s="1138"/>
    </row>
    <row r="786" spans="17:17">
      <c r="Q786" s="1138"/>
    </row>
    <row r="787" spans="17:17">
      <c r="Q787" s="1138"/>
    </row>
    <row r="788" spans="17:17">
      <c r="Q788" s="1138"/>
    </row>
    <row r="789" spans="17:17">
      <c r="Q789" s="1138"/>
    </row>
    <row r="790" spans="17:17">
      <c r="Q790" s="1138"/>
    </row>
    <row r="791" spans="17:17">
      <c r="Q791" s="1138"/>
    </row>
    <row r="792" spans="17:17">
      <c r="Q792" s="1138"/>
    </row>
    <row r="793" spans="17:17">
      <c r="Q793" s="1138"/>
    </row>
    <row r="794" spans="17:17">
      <c r="Q794" s="1138"/>
    </row>
    <row r="795" spans="17:17">
      <c r="Q795" s="1138"/>
    </row>
    <row r="796" spans="17:17">
      <c r="Q796" s="1138"/>
    </row>
    <row r="797" spans="17:17">
      <c r="Q797" s="1138"/>
    </row>
    <row r="798" spans="17:17">
      <c r="Q798" s="1138"/>
    </row>
    <row r="799" spans="17:17">
      <c r="Q799" s="1138"/>
    </row>
    <row r="800" spans="17:17">
      <c r="Q800" s="1138"/>
    </row>
    <row r="801" spans="17:17">
      <c r="Q801" s="1138"/>
    </row>
    <row r="802" spans="17:17">
      <c r="Q802" s="1138"/>
    </row>
    <row r="803" spans="17:17">
      <c r="Q803" s="1138"/>
    </row>
    <row r="804" spans="17:17">
      <c r="Q804" s="1138"/>
    </row>
    <row r="805" spans="17:17">
      <c r="Q805" s="1138"/>
    </row>
    <row r="806" spans="17:17">
      <c r="Q806" s="1138"/>
    </row>
    <row r="807" spans="17:17">
      <c r="Q807" s="1138"/>
    </row>
    <row r="808" spans="17:17">
      <c r="Q808" s="1138"/>
    </row>
    <row r="809" spans="17:17">
      <c r="Q809" s="1138"/>
    </row>
    <row r="810" spans="17:17">
      <c r="Q810" s="1138"/>
    </row>
    <row r="811" spans="17:17">
      <c r="Q811" s="1138"/>
    </row>
    <row r="812" spans="17:17">
      <c r="Q812" s="1138"/>
    </row>
    <row r="813" spans="17:17">
      <c r="Q813" s="1138"/>
    </row>
    <row r="814" spans="17:17">
      <c r="Q814" s="1138"/>
    </row>
    <row r="815" spans="17:17">
      <c r="Q815" s="1138"/>
    </row>
    <row r="816" spans="17:17">
      <c r="Q816" s="1138"/>
    </row>
    <row r="817" spans="17:17">
      <c r="Q817" s="1138"/>
    </row>
    <row r="818" spans="17:17">
      <c r="Q818" s="1138"/>
    </row>
    <row r="819" spans="17:17">
      <c r="Q819" s="1138"/>
    </row>
    <row r="820" spans="17:17">
      <c r="Q820" s="1138"/>
    </row>
    <row r="821" spans="17:17">
      <c r="Q821" s="1138"/>
    </row>
    <row r="822" spans="17:17">
      <c r="Q822" s="1138"/>
    </row>
    <row r="823" spans="17:17">
      <c r="Q823" s="1138"/>
    </row>
    <row r="824" spans="17:17">
      <c r="Q824" s="1138"/>
    </row>
    <row r="825" spans="17:17">
      <c r="Q825" s="1138"/>
    </row>
    <row r="826" spans="17:17">
      <c r="Q826" s="1138"/>
    </row>
    <row r="827" spans="17:17">
      <c r="Q827" s="1138"/>
    </row>
    <row r="828" spans="17:17">
      <c r="Q828" s="1138"/>
    </row>
    <row r="829" spans="17:17">
      <c r="Q829" s="1138"/>
    </row>
    <row r="830" spans="17:17">
      <c r="Q830" s="1138"/>
    </row>
    <row r="831" spans="17:17">
      <c r="Q831" s="1156"/>
    </row>
    <row r="832" spans="17:17">
      <c r="Q832" s="1138"/>
    </row>
    <row r="833" spans="17:17">
      <c r="Q833" s="1138"/>
    </row>
    <row r="834" spans="17:17">
      <c r="Q834" s="1138"/>
    </row>
    <row r="835" spans="17:17">
      <c r="Q835" s="1138"/>
    </row>
    <row r="836" spans="17:17">
      <c r="Q836" s="1138"/>
    </row>
    <row r="837" spans="17:17">
      <c r="Q837" s="1138"/>
    </row>
    <row r="838" spans="17:17">
      <c r="Q838" s="1138"/>
    </row>
    <row r="839" spans="17:17">
      <c r="Q839" s="1138"/>
    </row>
    <row r="840" spans="17:17">
      <c r="Q840" s="1138"/>
    </row>
    <row r="841" spans="17:17">
      <c r="Q841" s="1138"/>
    </row>
    <row r="842" spans="17:17">
      <c r="Q842" s="1138"/>
    </row>
    <row r="843" spans="17:17">
      <c r="Q843" s="1138"/>
    </row>
    <row r="844" spans="17:17">
      <c r="Q844" s="1138"/>
    </row>
    <row r="845" spans="17:17">
      <c r="Q845" s="1138"/>
    </row>
    <row r="846" spans="17:17">
      <c r="Q846" s="1138"/>
    </row>
    <row r="847" spans="17:17">
      <c r="Q847" s="1138"/>
    </row>
    <row r="848" spans="17:17">
      <c r="Q848" s="1138"/>
    </row>
    <row r="849" spans="17:17">
      <c r="Q849" s="1138"/>
    </row>
    <row r="850" spans="17:17">
      <c r="Q850" s="1138"/>
    </row>
    <row r="851" spans="17:17">
      <c r="Q851" s="1138"/>
    </row>
    <row r="852" spans="17:17">
      <c r="Q852" s="1138"/>
    </row>
    <row r="853" spans="17:17">
      <c r="Q853" s="1138"/>
    </row>
    <row r="854" spans="17:17">
      <c r="Q854" s="1138"/>
    </row>
    <row r="855" spans="17:17">
      <c r="Q855" s="1138"/>
    </row>
    <row r="856" spans="17:17">
      <c r="Q856" s="1138"/>
    </row>
    <row r="857" spans="17:17">
      <c r="Q857" s="1138"/>
    </row>
    <row r="858" spans="17:17">
      <c r="Q858" s="1138"/>
    </row>
    <row r="859" spans="17:17">
      <c r="Q859" s="1138"/>
    </row>
    <row r="860" spans="17:17">
      <c r="Q860" s="1138"/>
    </row>
    <row r="861" spans="17:17">
      <c r="Q861" s="1138"/>
    </row>
    <row r="862" spans="17:17">
      <c r="Q862" s="1138"/>
    </row>
    <row r="863" spans="17:17">
      <c r="Q863" s="1138"/>
    </row>
    <row r="864" spans="17:17">
      <c r="Q864" s="1156"/>
    </row>
    <row r="865" spans="17:17">
      <c r="Q865" s="1138"/>
    </row>
    <row r="866" spans="17:17">
      <c r="Q866" s="1138"/>
    </row>
    <row r="867" spans="17:17">
      <c r="Q867" s="1138"/>
    </row>
    <row r="868" spans="17:17">
      <c r="Q868" s="1138"/>
    </row>
    <row r="869" spans="17:17">
      <c r="Q869" s="1138"/>
    </row>
    <row r="870" spans="17:17">
      <c r="Q870" s="1138"/>
    </row>
    <row r="871" spans="17:17">
      <c r="Q871" s="1138"/>
    </row>
    <row r="872" spans="17:17">
      <c r="Q872" s="1138"/>
    </row>
    <row r="873" spans="17:17">
      <c r="Q873" s="1138"/>
    </row>
    <row r="874" spans="17:17">
      <c r="Q874" s="1138"/>
    </row>
    <row r="875" spans="17:17">
      <c r="Q875" s="1138"/>
    </row>
    <row r="876" spans="17:17">
      <c r="Q876" s="1138"/>
    </row>
    <row r="877" spans="17:17">
      <c r="Q877" s="1138"/>
    </row>
    <row r="878" spans="17:17">
      <c r="Q878" s="1138"/>
    </row>
    <row r="879" spans="17:17">
      <c r="Q879" s="1138"/>
    </row>
    <row r="880" spans="17:17">
      <c r="Q880" s="1138"/>
    </row>
    <row r="881" spans="17:17">
      <c r="Q881" s="1138"/>
    </row>
    <row r="882" spans="17:17">
      <c r="Q882" s="1138"/>
    </row>
    <row r="883" spans="17:17">
      <c r="Q883" s="1138"/>
    </row>
    <row r="884" spans="17:17">
      <c r="Q884" s="1138"/>
    </row>
    <row r="885" spans="17:17">
      <c r="Q885" s="1138"/>
    </row>
    <row r="886" spans="17:17">
      <c r="Q886" s="1138"/>
    </row>
    <row r="887" spans="17:17">
      <c r="Q887" s="1138"/>
    </row>
    <row r="888" spans="17:17">
      <c r="Q888" s="1138"/>
    </row>
    <row r="889" spans="17:17">
      <c r="Q889" s="1138"/>
    </row>
    <row r="890" spans="17:17">
      <c r="Q890" s="1138"/>
    </row>
    <row r="891" spans="17:17">
      <c r="Q891" s="1138"/>
    </row>
    <row r="892" spans="17:17">
      <c r="Q892" s="1138"/>
    </row>
    <row r="893" spans="17:17">
      <c r="Q893" s="1138"/>
    </row>
    <row r="894" spans="17:17">
      <c r="Q894" s="1138"/>
    </row>
    <row r="895" spans="17:17">
      <c r="Q895" s="1138"/>
    </row>
    <row r="896" spans="17:17">
      <c r="Q896" s="1138"/>
    </row>
    <row r="897" spans="17:17">
      <c r="Q897" s="1138"/>
    </row>
    <row r="898" spans="17:17">
      <c r="Q898" s="1138"/>
    </row>
    <row r="899" spans="17:17">
      <c r="Q899" s="1138"/>
    </row>
    <row r="900" spans="17:17">
      <c r="Q900" s="1138"/>
    </row>
    <row r="901" spans="17:17">
      <c r="Q901" s="1138"/>
    </row>
    <row r="902" spans="17:17">
      <c r="Q902" s="1138"/>
    </row>
    <row r="903" spans="17:17">
      <c r="Q903" s="1138"/>
    </row>
    <row r="904" spans="17:17">
      <c r="Q904" s="1138"/>
    </row>
    <row r="905" spans="17:17">
      <c r="Q905" s="1138"/>
    </row>
    <row r="906" spans="17:17">
      <c r="Q906" s="1138"/>
    </row>
    <row r="907" spans="17:17">
      <c r="Q907" s="1138"/>
    </row>
    <row r="908" spans="17:17">
      <c r="Q908" s="1138"/>
    </row>
    <row r="909" spans="17:17">
      <c r="Q909" s="1138"/>
    </row>
    <row r="910" spans="17:17">
      <c r="Q910" s="1138"/>
    </row>
    <row r="911" spans="17:17">
      <c r="Q911" s="1138"/>
    </row>
    <row r="912" spans="17:17">
      <c r="Q912" s="1138"/>
    </row>
    <row r="913" spans="17:17">
      <c r="Q913" s="1138"/>
    </row>
    <row r="914" spans="17:17">
      <c r="Q914" s="1138"/>
    </row>
    <row r="915" spans="17:17">
      <c r="Q915" s="1138"/>
    </row>
    <row r="916" spans="17:17">
      <c r="Q916" s="1138"/>
    </row>
    <row r="917" spans="17:17">
      <c r="Q917" s="1138"/>
    </row>
    <row r="918" spans="17:17">
      <c r="Q918" s="1138"/>
    </row>
    <row r="919" spans="17:17">
      <c r="Q919" s="1138"/>
    </row>
    <row r="920" spans="17:17">
      <c r="Q920" s="1138"/>
    </row>
    <row r="921" spans="17:17">
      <c r="Q921" s="1138"/>
    </row>
    <row r="922" spans="17:17">
      <c r="Q922" s="1138"/>
    </row>
    <row r="923" spans="17:17">
      <c r="Q923" s="1138"/>
    </row>
    <row r="924" spans="17:17">
      <c r="Q924" s="1138"/>
    </row>
    <row r="925" spans="17:17">
      <c r="Q925" s="1138"/>
    </row>
    <row r="926" spans="17:17">
      <c r="Q926" s="1138"/>
    </row>
    <row r="927" spans="17:17">
      <c r="Q927" s="1138"/>
    </row>
    <row r="928" spans="17:17">
      <c r="Q928" s="1138"/>
    </row>
    <row r="929" spans="17:17">
      <c r="Q929" s="1138"/>
    </row>
    <row r="930" spans="17:17">
      <c r="Q930" s="1138"/>
    </row>
    <row r="931" spans="17:17">
      <c r="Q931" s="1138"/>
    </row>
    <row r="932" spans="17:17">
      <c r="Q932" s="1138"/>
    </row>
    <row r="933" spans="17:17">
      <c r="Q933" s="1138"/>
    </row>
    <row r="934" spans="17:17">
      <c r="Q934" s="1138"/>
    </row>
    <row r="935" spans="17:17">
      <c r="Q935" s="1138"/>
    </row>
    <row r="936" spans="17:17">
      <c r="Q936" s="1138"/>
    </row>
    <row r="937" spans="17:17">
      <c r="Q937" s="1138"/>
    </row>
    <row r="938" spans="17:17">
      <c r="Q938" s="1138"/>
    </row>
    <row r="939" spans="17:17">
      <c r="Q939" s="1138"/>
    </row>
    <row r="940" spans="17:17">
      <c r="Q940" s="1138"/>
    </row>
    <row r="941" spans="17:17">
      <c r="Q941" s="1138"/>
    </row>
    <row r="942" spans="17:17">
      <c r="Q942" s="1138"/>
    </row>
    <row r="943" spans="17:17">
      <c r="Q943" s="1138"/>
    </row>
    <row r="944" spans="17:17">
      <c r="Q944" s="1138"/>
    </row>
    <row r="945" spans="17:17">
      <c r="Q945" s="1138"/>
    </row>
    <row r="946" spans="17:17">
      <c r="Q946" s="1138"/>
    </row>
    <row r="947" spans="17:17">
      <c r="Q947" s="1138"/>
    </row>
    <row r="948" spans="17:17">
      <c r="Q948" s="1138"/>
    </row>
    <row r="949" spans="17:17">
      <c r="Q949" s="1138"/>
    </row>
    <row r="950" spans="17:17">
      <c r="Q950" s="1138"/>
    </row>
    <row r="951" spans="17:17">
      <c r="Q951" s="1138"/>
    </row>
    <row r="952" spans="17:17">
      <c r="Q952" s="1138"/>
    </row>
    <row r="953" spans="17:17">
      <c r="Q953" s="1138"/>
    </row>
    <row r="954" spans="17:17">
      <c r="Q954" s="1138"/>
    </row>
    <row r="955" spans="17:17">
      <c r="Q955" s="1138"/>
    </row>
    <row r="956" spans="17:17">
      <c r="Q956" s="1138"/>
    </row>
    <row r="957" spans="17:17">
      <c r="Q957" s="1138"/>
    </row>
    <row r="958" spans="17:17">
      <c r="Q958" s="1138"/>
    </row>
    <row r="959" spans="17:17">
      <c r="Q959" s="1138"/>
    </row>
    <row r="960" spans="17:17">
      <c r="Q960" s="1138"/>
    </row>
    <row r="961" spans="17:17">
      <c r="Q961" s="1138"/>
    </row>
    <row r="962" spans="17:17">
      <c r="Q962" s="1138"/>
    </row>
    <row r="963" spans="17:17">
      <c r="Q963" s="1138"/>
    </row>
    <row r="964" spans="17:17">
      <c r="Q964" s="1138"/>
    </row>
    <row r="965" spans="17:17">
      <c r="Q965" s="1158"/>
    </row>
    <row r="966" spans="17:17">
      <c r="Q966" s="1158"/>
    </row>
    <row r="967" spans="17:17">
      <c r="Q967" s="1158"/>
    </row>
    <row r="968" spans="17:17">
      <c r="Q968" s="1158"/>
    </row>
    <row r="969" spans="17:17">
      <c r="Q969" s="1158"/>
    </row>
    <row r="970" spans="17:17">
      <c r="Q970" s="1158"/>
    </row>
    <row r="971" spans="17:17">
      <c r="Q971" s="1158"/>
    </row>
    <row r="972" spans="17:17">
      <c r="Q972" s="1158"/>
    </row>
    <row r="973" spans="17:17">
      <c r="Q973" s="1158"/>
    </row>
    <row r="974" spans="17:17">
      <c r="Q974" s="1158"/>
    </row>
    <row r="975" spans="17:17">
      <c r="Q975" s="1158"/>
    </row>
    <row r="976" spans="17:17">
      <c r="Q976" s="1158"/>
    </row>
    <row r="977" spans="11:17">
      <c r="Q977" s="1158"/>
    </row>
    <row r="978" spans="11:17">
      <c r="Q978" s="1158"/>
    </row>
    <row r="979" spans="11:17">
      <c r="Q979" s="1158"/>
    </row>
    <row r="980" spans="11:17">
      <c r="Q980" s="1158"/>
    </row>
    <row r="981" spans="11:17">
      <c r="Q981" s="1158"/>
    </row>
    <row r="982" spans="11:17">
      <c r="Q982" s="1158"/>
    </row>
    <row r="985" spans="11:17">
      <c r="K985" s="959" t="s">
        <v>2532</v>
      </c>
    </row>
    <row r="1008" spans="30:30">
      <c r="AD1008" s="1159"/>
    </row>
  </sheetData>
  <sheetProtection selectLockedCells="1" autoFilter="0"/>
  <protectedRanges>
    <protectedRange sqref="M9" name="Range1"/>
  </protectedRanges>
  <autoFilter xmlns:etc="http://www.wps.cn/officeDocument/2017/etCustomData" ref="A3:XFD1008" etc:filterBottomFollowUsedRange="1">
    <extLst/>
  </autoFilter>
  <conditionalFormatting sqref="R79:W79">
    <cfRule type="containsText" dxfId="0" priority="666" operator="between" text="欠">
      <formula>NOT(ISERROR(SEARCH("欠",R79)))</formula>
    </cfRule>
  </conditionalFormatting>
  <conditionalFormatting sqref="Q83">
    <cfRule type="containsText" dxfId="0" priority="573" operator="between" text="欠">
      <formula>NOT(ISERROR(SEARCH("欠",Q83)))</formula>
    </cfRule>
  </conditionalFormatting>
  <conditionalFormatting sqref="S95:W95">
    <cfRule type="containsText" dxfId="0" priority="658" operator="between" text="欠">
      <formula>NOT(ISERROR(SEARCH("欠",S95)))</formula>
    </cfRule>
  </conditionalFormatting>
  <conditionalFormatting sqref="R102:W102">
    <cfRule type="containsText" dxfId="0" priority="660" operator="between" text="欠">
      <formula>NOT(ISERROR(SEARCH("欠",R102)))</formula>
    </cfRule>
  </conditionalFormatting>
  <conditionalFormatting sqref="R103">
    <cfRule type="containsText" dxfId="0" priority="634" operator="between" text="欠">
      <formula>NOT(ISERROR(SEARCH("欠",R103)))</formula>
    </cfRule>
  </conditionalFormatting>
  <conditionalFormatting sqref="S103:W103">
    <cfRule type="containsText" dxfId="0" priority="638" operator="between" text="欠">
      <formula>NOT(ISERROR(SEARCH("欠",S103)))</formula>
    </cfRule>
  </conditionalFormatting>
  <conditionalFormatting sqref="R104:U104">
    <cfRule type="containsText" dxfId="0" priority="670" operator="between" text="欠">
      <formula>NOT(ISERROR(SEARCH("欠",R104)))</formula>
    </cfRule>
  </conditionalFormatting>
  <conditionalFormatting sqref="V104">
    <cfRule type="containsText" dxfId="0" priority="668" operator="between" text="欠">
      <formula>NOT(ISERROR(SEARCH("欠",V104)))</formula>
    </cfRule>
  </conditionalFormatting>
  <conditionalFormatting sqref="S112:T112">
    <cfRule type="containsText" dxfId="0" priority="614" operator="between" text="欠">
      <formula>NOT(ISERROR(SEARCH("欠",S112)))</formula>
    </cfRule>
  </conditionalFormatting>
  <conditionalFormatting sqref="V112">
    <cfRule type="containsText" dxfId="0" priority="618" operator="between" text="欠">
      <formula>NOT(ISERROR(SEARCH("欠",V112)))</formula>
    </cfRule>
  </conditionalFormatting>
  <conditionalFormatting sqref="U117">
    <cfRule type="containsText" dxfId="0" priority="564" operator="between" text="欠">
      <formula>NOT(ISERROR(SEARCH("欠",U117)))</formula>
    </cfRule>
  </conditionalFormatting>
  <conditionalFormatting sqref="R122">
    <cfRule type="containsText" dxfId="0" priority="550" operator="between" text="欠">
      <formula>NOT(ISERROR(SEARCH("欠",R122)))</formula>
    </cfRule>
  </conditionalFormatting>
  <conditionalFormatting sqref="S122:W122">
    <cfRule type="containsText" dxfId="0" priority="552" operator="between" text="欠">
      <formula>NOT(ISERROR(SEARCH("欠",S122)))</formula>
    </cfRule>
  </conditionalFormatting>
  <conditionalFormatting sqref="V125">
    <cfRule type="containsText" dxfId="0" priority="600" operator="between" text="欠">
      <formula>NOT(ISERROR(SEARCH("欠",V125)))</formula>
    </cfRule>
  </conditionalFormatting>
  <conditionalFormatting sqref="W125">
    <cfRule type="containsText" dxfId="0" priority="602" operator="between" text="欠">
      <formula>NOT(ISERROR(SEARCH("欠",W125)))</formula>
    </cfRule>
  </conditionalFormatting>
  <conditionalFormatting sqref="V126">
    <cfRule type="containsText" dxfId="0" priority="592" operator="between" text="欠">
      <formula>NOT(ISERROR(SEARCH("欠",V126)))</formula>
    </cfRule>
  </conditionalFormatting>
  <conditionalFormatting sqref="W126">
    <cfRule type="containsText" dxfId="0" priority="594" operator="between" text="欠">
      <formula>NOT(ISERROR(SEARCH("欠",W126)))</formula>
    </cfRule>
  </conditionalFormatting>
  <conditionalFormatting sqref="V127">
    <cfRule type="containsText" dxfId="0" priority="584" operator="between" text="欠">
      <formula>NOT(ISERROR(SEARCH("欠",V127)))</formula>
    </cfRule>
  </conditionalFormatting>
  <conditionalFormatting sqref="W127">
    <cfRule type="containsText" dxfId="0" priority="586" operator="between" text="欠">
      <formula>NOT(ISERROR(SEARCH("欠",W127)))</formula>
    </cfRule>
  </conditionalFormatting>
  <conditionalFormatting sqref="U128">
    <cfRule type="containsText" dxfId="0" priority="529" operator="between" text="欠">
      <formula>NOT(ISERROR(SEARCH("欠",U128)))</formula>
    </cfRule>
  </conditionalFormatting>
  <conditionalFormatting sqref="R148">
    <cfRule type="containsText" dxfId="0" priority="542" operator="between" text="欠">
      <formula>NOT(ISERROR(SEARCH("欠",R148)))</formula>
    </cfRule>
  </conditionalFormatting>
  <conditionalFormatting sqref="R205">
    <cfRule type="containsText" dxfId="0" priority="517" operator="between" text="欠">
      <formula>NOT(ISERROR(SEARCH("欠",R205)))</formula>
    </cfRule>
  </conditionalFormatting>
  <conditionalFormatting sqref="O210">
    <cfRule type="containsText" dxfId="0" priority="506" operator="between" text="欠">
      <formula>NOT(ISERROR(SEARCH("欠",O210)))</formula>
    </cfRule>
  </conditionalFormatting>
  <conditionalFormatting sqref="W210">
    <cfRule type="containsText" dxfId="0" priority="501" operator="between" text="欠">
      <formula>NOT(ISERROR(SEARCH("欠",W210)))</formula>
    </cfRule>
  </conditionalFormatting>
  <conditionalFormatting sqref="R218">
    <cfRule type="containsText" dxfId="0" priority="520" operator="between" text="欠">
      <formula>NOT(ISERROR(SEARCH("欠",R218)))</formula>
    </cfRule>
  </conditionalFormatting>
  <conditionalFormatting sqref="S218:W218">
    <cfRule type="containsText" dxfId="0" priority="521" operator="between" text="欠">
      <formula>NOT(ISERROR(SEARCH("欠",S218)))</formula>
    </cfRule>
  </conditionalFormatting>
  <conditionalFormatting sqref="O219">
    <cfRule type="containsText" dxfId="0" priority="351" operator="between" text="欠">
      <formula>NOT(ISERROR(SEARCH("欠",O219)))</formula>
    </cfRule>
  </conditionalFormatting>
  <conditionalFormatting sqref="W230">
    <cfRule type="containsText" dxfId="0" priority="429" operator="between" text="欠">
      <formula>NOT(ISERROR(SEARCH("欠",W230)))</formula>
    </cfRule>
  </conditionalFormatting>
  <conditionalFormatting sqref="W231">
    <cfRule type="containsText" dxfId="0" priority="428" operator="between" text="欠">
      <formula>NOT(ISERROR(SEARCH("欠",W231)))</formula>
    </cfRule>
  </conditionalFormatting>
  <conditionalFormatting sqref="W232">
    <cfRule type="containsText" dxfId="0" priority="427" operator="between" text="欠">
      <formula>NOT(ISERROR(SEARCH("欠",W232)))</formula>
    </cfRule>
  </conditionalFormatting>
  <conditionalFormatting sqref="W233">
    <cfRule type="containsText" dxfId="0" priority="426" operator="between" text="欠">
      <formula>NOT(ISERROR(SEARCH("欠",W233)))</formula>
    </cfRule>
  </conditionalFormatting>
  <conditionalFormatting sqref="W234">
    <cfRule type="containsText" dxfId="0" priority="425" operator="between" text="欠">
      <formula>NOT(ISERROR(SEARCH("欠",W234)))</formula>
    </cfRule>
  </conditionalFormatting>
  <conditionalFormatting sqref="W235">
    <cfRule type="containsText" dxfId="0" priority="424" operator="between" text="欠">
      <formula>NOT(ISERROR(SEARCH("欠",W235)))</formula>
    </cfRule>
  </conditionalFormatting>
  <conditionalFormatting sqref="W236">
    <cfRule type="containsText" dxfId="0" priority="423" operator="between" text="欠">
      <formula>NOT(ISERROR(SEARCH("欠",W236)))</formula>
    </cfRule>
  </conditionalFormatting>
  <conditionalFormatting sqref="W237">
    <cfRule type="containsText" dxfId="0" priority="422" operator="between" text="欠">
      <formula>NOT(ISERROR(SEARCH("欠",W237)))</formula>
    </cfRule>
  </conditionalFormatting>
  <conditionalFormatting sqref="W238">
    <cfRule type="containsText" dxfId="0" priority="421" operator="between" text="欠">
      <formula>NOT(ISERROR(SEARCH("欠",W238)))</formula>
    </cfRule>
  </conditionalFormatting>
  <conditionalFormatting sqref="R276:W276">
    <cfRule type="containsText" dxfId="0" priority="514" operator="between" text="欠">
      <formula>NOT(ISERROR(SEARCH("欠",R276)))</formula>
    </cfRule>
  </conditionalFormatting>
  <conditionalFormatting sqref="R277">
    <cfRule type="containsText" dxfId="0" priority="364" operator="between" text="欠">
      <formula>NOT(ISERROR(SEARCH("欠",R277)))</formula>
    </cfRule>
  </conditionalFormatting>
  <conditionalFormatting sqref="S283:W283">
    <cfRule type="containsText" dxfId="0" priority="508" operator="between" text="欠">
      <formula>NOT(ISERROR(SEARCH("欠",S283)))</formula>
    </cfRule>
  </conditionalFormatting>
  <conditionalFormatting sqref="R284">
    <cfRule type="containsText" dxfId="0" priority="504" operator="between" text="欠">
      <formula>NOT(ISERROR(SEARCH("欠",R284)))</formula>
    </cfRule>
  </conditionalFormatting>
  <conditionalFormatting sqref="S284:W284">
    <cfRule type="containsText" dxfId="0" priority="505" operator="between" text="欠">
      <formula>NOT(ISERROR(SEARCH("欠",S284)))</formula>
    </cfRule>
  </conditionalFormatting>
  <conditionalFormatting sqref="S285:W285">
    <cfRule type="containsText" dxfId="0" priority="510" operator="between" text="欠">
      <formula>NOT(ISERROR(SEARCH("欠",S285)))</formula>
    </cfRule>
  </conditionalFormatting>
  <conditionalFormatting sqref="R286">
    <cfRule type="containsText" dxfId="0" priority="525" operator="between" text="欠">
      <formula>NOT(ISERROR(SEARCH("欠",R286)))</formula>
    </cfRule>
  </conditionalFormatting>
  <conditionalFormatting sqref="V287">
    <cfRule type="containsText" dxfId="0" priority="349" operator="between" text="欠">
      <formula>NOT(ISERROR(SEARCH("欠",V287)))</formula>
    </cfRule>
  </conditionalFormatting>
  <conditionalFormatting sqref="R290:W290">
    <cfRule type="containsText" dxfId="0" priority="362" operator="between" text="欠">
      <formula>NOT(ISERROR(SEARCH("欠",R290)))</formula>
    </cfRule>
  </conditionalFormatting>
  <conditionalFormatting sqref="S300:W300">
    <cfRule type="containsText" dxfId="0" priority="363" operator="between" text="欠">
      <formula>NOT(ISERROR(SEARCH("欠",S300)))</formula>
    </cfRule>
  </conditionalFormatting>
  <conditionalFormatting sqref="R339:V339">
    <cfRule type="containsText" dxfId="0" priority="343" operator="between" text="欠">
      <formula>NOT(ISERROR(SEARCH("欠",R339)))</formula>
    </cfRule>
  </conditionalFormatting>
  <conditionalFormatting sqref="S352:T352">
    <cfRule type="containsText" dxfId="0" priority="339" operator="between" text="欠">
      <formula>NOT(ISERROR(SEARCH("欠",S352)))</formula>
    </cfRule>
  </conditionalFormatting>
  <conditionalFormatting sqref="W352">
    <cfRule type="containsText" dxfId="0" priority="338" operator="between" text="欠">
      <formula>NOT(ISERROR(SEARCH("欠",W352)))</formula>
    </cfRule>
  </conditionalFormatting>
  <conditionalFormatting sqref="S359:T359">
    <cfRule type="containsText" dxfId="0" priority="326" operator="between" text="欠">
      <formula>NOT(ISERROR(SEARCH("欠",S359)))</formula>
    </cfRule>
  </conditionalFormatting>
  <conditionalFormatting sqref="W359">
    <cfRule type="containsText" dxfId="0" priority="324" operator="between" text="欠">
      <formula>NOT(ISERROR(SEARCH("欠",W359)))</formula>
    </cfRule>
  </conditionalFormatting>
  <conditionalFormatting sqref="R378">
    <cfRule type="containsText" dxfId="0" priority="297" operator="between" text="欠">
      <formula>NOT(ISERROR(SEARCH("欠",R378)))</formula>
    </cfRule>
  </conditionalFormatting>
  <conditionalFormatting sqref="S378:T378">
    <cfRule type="containsText" dxfId="0" priority="300" operator="between" text="欠">
      <formula>NOT(ISERROR(SEARCH("欠",S378)))</formula>
    </cfRule>
  </conditionalFormatting>
  <conditionalFormatting sqref="U378:V378">
    <cfRule type="containsText" dxfId="0" priority="299" operator="between" text="欠">
      <formula>NOT(ISERROR(SEARCH("欠",U378)))</formula>
    </cfRule>
  </conditionalFormatting>
  <conditionalFormatting sqref="W378">
    <cfRule type="containsText" dxfId="0" priority="298" operator="between" text="欠">
      <formula>NOT(ISERROR(SEARCH("欠",W378)))</formula>
    </cfRule>
  </conditionalFormatting>
  <conditionalFormatting sqref="R379">
    <cfRule type="containsText" dxfId="0" priority="293" operator="between" text="欠">
      <formula>NOT(ISERROR(SEARCH("欠",R379)))</formula>
    </cfRule>
  </conditionalFormatting>
  <conditionalFormatting sqref="S379:T379">
    <cfRule type="containsText" dxfId="0" priority="296" operator="between" text="欠">
      <formula>NOT(ISERROR(SEARCH("欠",S379)))</formula>
    </cfRule>
  </conditionalFormatting>
  <conditionalFormatting sqref="U379:V379">
    <cfRule type="containsText" dxfId="0" priority="295" operator="between" text="欠">
      <formula>NOT(ISERROR(SEARCH("欠",U379)))</formula>
    </cfRule>
  </conditionalFormatting>
  <conditionalFormatting sqref="W379">
    <cfRule type="containsText" dxfId="0" priority="294" operator="between" text="欠">
      <formula>NOT(ISERROR(SEARCH("欠",W379)))</formula>
    </cfRule>
  </conditionalFormatting>
  <conditionalFormatting sqref="S380:T380">
    <cfRule type="containsText" dxfId="0" priority="307" operator="between" text="欠">
      <formula>NOT(ISERROR(SEARCH("欠",S380)))</formula>
    </cfRule>
  </conditionalFormatting>
  <conditionalFormatting sqref="W380">
    <cfRule type="containsText" dxfId="0" priority="303" operator="between" text="欠">
      <formula>NOT(ISERROR(SEARCH("欠",W380)))</formula>
    </cfRule>
  </conditionalFormatting>
  <conditionalFormatting sqref="R382">
    <cfRule type="containsText" dxfId="0" priority="285" operator="between" text="欠">
      <formula>NOT(ISERROR(SEARCH("欠",R382)))</formula>
    </cfRule>
  </conditionalFormatting>
  <conditionalFormatting sqref="S382:T382">
    <cfRule type="containsText" dxfId="0" priority="287" operator="between" text="欠">
      <formula>NOT(ISERROR(SEARCH("欠",S382)))</formula>
    </cfRule>
  </conditionalFormatting>
  <conditionalFormatting sqref="V382">
    <cfRule type="containsText" dxfId="0" priority="284" operator="between" text="欠">
      <formula>NOT(ISERROR(SEARCH("欠",V382)))</formula>
    </cfRule>
  </conditionalFormatting>
  <conditionalFormatting sqref="W382">
    <cfRule type="containsText" dxfId="0" priority="283" operator="between" text="欠">
      <formula>NOT(ISERROR(SEARCH("欠",W382)))</formula>
    </cfRule>
  </conditionalFormatting>
  <conditionalFormatting sqref="R391">
    <cfRule type="containsText" dxfId="0" priority="240" operator="between" text="欠">
      <formula>NOT(ISERROR(SEARCH("欠",R391)))</formula>
    </cfRule>
  </conditionalFormatting>
  <conditionalFormatting sqref="R396">
    <cfRule type="containsText" dxfId="0" priority="265" operator="between" text="欠">
      <formula>NOT(ISERROR(SEARCH("欠",R396)))</formula>
    </cfRule>
  </conditionalFormatting>
  <conditionalFormatting sqref="S396:T396">
    <cfRule type="containsText" dxfId="0" priority="268" operator="between" text="欠">
      <formula>NOT(ISERROR(SEARCH("欠",S396)))</formula>
    </cfRule>
  </conditionalFormatting>
  <conditionalFormatting sqref="U396:V396">
    <cfRule type="containsText" dxfId="0" priority="267" operator="between" text="欠">
      <formula>NOT(ISERROR(SEARCH("欠",U396)))</formula>
    </cfRule>
  </conditionalFormatting>
  <conditionalFormatting sqref="W396">
    <cfRule type="containsText" dxfId="0" priority="266" operator="between" text="欠">
      <formula>NOT(ISERROR(SEARCH("欠",W396)))</formula>
    </cfRule>
  </conditionalFormatting>
  <conditionalFormatting sqref="U398:V398">
    <cfRule type="containsText" dxfId="0" priority="277" operator="between" text="欠">
      <formula>NOT(ISERROR(SEARCH("欠",U398)))</formula>
    </cfRule>
  </conditionalFormatting>
  <conditionalFormatting sqref="R399">
    <cfRule type="containsText" dxfId="0" priority="269" operator="between" text="欠">
      <formula>NOT(ISERROR(SEARCH("欠",R399)))</formula>
    </cfRule>
  </conditionalFormatting>
  <conditionalFormatting sqref="V402">
    <cfRule type="containsText" dxfId="0" priority="319" operator="between" text="欠">
      <formula>NOT(ISERROR(SEARCH("欠",V402)))</formula>
    </cfRule>
  </conditionalFormatting>
  <conditionalFormatting sqref="W402">
    <cfRule type="containsText" dxfId="0" priority="318" operator="between" text="欠">
      <formula>NOT(ISERROR(SEARCH("欠",W402)))</formula>
    </cfRule>
  </conditionalFormatting>
  <conditionalFormatting sqref="S410:T410">
    <cfRule type="containsText" dxfId="0" priority="260" operator="between" text="欠">
      <formula>NOT(ISERROR(SEARCH("欠",S410)))</formula>
    </cfRule>
  </conditionalFormatting>
  <conditionalFormatting sqref="U410:V410">
    <cfRule type="containsText" dxfId="0" priority="259" operator="between" text="欠">
      <formula>NOT(ISERROR(SEARCH("欠",U410)))</formula>
    </cfRule>
  </conditionalFormatting>
  <conditionalFormatting sqref="W410">
    <cfRule type="containsText" dxfId="0" priority="258" operator="between" text="欠">
      <formula>NOT(ISERROR(SEARCH("欠",W410)))</formula>
    </cfRule>
  </conditionalFormatting>
  <conditionalFormatting sqref="S413:T413">
    <cfRule type="containsText" dxfId="0" priority="231" operator="between" text="欠">
      <formula>NOT(ISERROR(SEARCH("欠",S413)))</formula>
    </cfRule>
  </conditionalFormatting>
  <conditionalFormatting sqref="W413">
    <cfRule type="containsText" dxfId="0" priority="229" operator="between" text="欠">
      <formula>NOT(ISERROR(SEARCH("欠",W413)))</formula>
    </cfRule>
  </conditionalFormatting>
  <conditionalFormatting sqref="R418">
    <cfRule type="containsText" dxfId="0" priority="232" operator="between" text="欠">
      <formula>NOT(ISERROR(SEARCH("欠",R418)))</formula>
    </cfRule>
  </conditionalFormatting>
  <conditionalFormatting sqref="S418:T418">
    <cfRule type="containsText" dxfId="0" priority="235" operator="between" text="欠">
      <formula>NOT(ISERROR(SEARCH("欠",S418)))</formula>
    </cfRule>
  </conditionalFormatting>
  <conditionalFormatting sqref="U418:V418">
    <cfRule type="containsText" dxfId="0" priority="234" operator="between" text="欠">
      <formula>NOT(ISERROR(SEARCH("欠",U418)))</formula>
    </cfRule>
  </conditionalFormatting>
  <conditionalFormatting sqref="W418">
    <cfRule type="containsText" dxfId="0" priority="233" operator="between" text="欠">
      <formula>NOT(ISERROR(SEARCH("欠",W418)))</formula>
    </cfRule>
  </conditionalFormatting>
  <conditionalFormatting sqref="S419:T419">
    <cfRule type="containsText" dxfId="0" priority="227" operator="between" text="欠">
      <formula>NOT(ISERROR(SEARCH("欠",S419)))</formula>
    </cfRule>
  </conditionalFormatting>
  <conditionalFormatting sqref="W419">
    <cfRule type="containsText" dxfId="0" priority="223" operator="between" text="欠">
      <formula>NOT(ISERROR(SEARCH("欠",W419)))</formula>
    </cfRule>
  </conditionalFormatting>
  <conditionalFormatting sqref="S420:T420">
    <cfRule type="containsText" dxfId="0" priority="226" operator="between" text="欠">
      <formula>NOT(ISERROR(SEARCH("欠",S420)))</formula>
    </cfRule>
  </conditionalFormatting>
  <conditionalFormatting sqref="V420">
    <cfRule type="containsText" dxfId="0" priority="224" operator="between" text="欠">
      <formula>NOT(ISERROR(SEARCH("欠",V420)))</formula>
    </cfRule>
  </conditionalFormatting>
  <conditionalFormatting sqref="W420">
    <cfRule type="containsText" dxfId="0" priority="222" operator="between" text="欠">
      <formula>NOT(ISERROR(SEARCH("欠",W420)))</formula>
    </cfRule>
  </conditionalFormatting>
  <conditionalFormatting sqref="R421">
    <cfRule type="containsText" dxfId="0" priority="216" operator="between" text="欠">
      <formula>NOT(ISERROR(SEARCH("欠",R421)))</formula>
    </cfRule>
  </conditionalFormatting>
  <conditionalFormatting sqref="S421:T421">
    <cfRule type="containsText" dxfId="0" priority="219" operator="between" text="欠">
      <formula>NOT(ISERROR(SEARCH("欠",S421)))</formula>
    </cfRule>
  </conditionalFormatting>
  <conditionalFormatting sqref="U421:V421">
    <cfRule type="containsText" dxfId="0" priority="218" operator="between" text="欠">
      <formula>NOT(ISERROR(SEARCH("欠",U421)))</formula>
    </cfRule>
  </conditionalFormatting>
  <conditionalFormatting sqref="W421">
    <cfRule type="containsText" dxfId="0" priority="217" operator="between" text="欠">
      <formula>NOT(ISERROR(SEARCH("欠",W421)))</formula>
    </cfRule>
  </conditionalFormatting>
  <conditionalFormatting sqref="W422">
    <cfRule type="containsText" dxfId="0" priority="242" operator="between" text="欠">
      <formula>NOT(ISERROR(SEARCH("欠",W422)))</formula>
    </cfRule>
  </conditionalFormatting>
  <conditionalFormatting sqref="R423">
    <cfRule type="containsText" dxfId="0" priority="211" operator="between" text="欠">
      <formula>NOT(ISERROR(SEARCH("欠",R423)))</formula>
    </cfRule>
  </conditionalFormatting>
  <conditionalFormatting sqref="S423:T423">
    <cfRule type="containsText" dxfId="0" priority="214" operator="between" text="欠">
      <formula>NOT(ISERROR(SEARCH("欠",S423)))</formula>
    </cfRule>
  </conditionalFormatting>
  <conditionalFormatting sqref="U423">
    <cfRule type="containsText" dxfId="0" priority="215" operator="between" text="欠">
      <formula>NOT(ISERROR(SEARCH("欠",U423)))</formula>
    </cfRule>
  </conditionalFormatting>
  <conditionalFormatting sqref="V423">
    <cfRule type="containsText" dxfId="0" priority="213" operator="between" text="欠">
      <formula>NOT(ISERROR(SEARCH("欠",V423)))</formula>
    </cfRule>
  </conditionalFormatting>
  <conditionalFormatting sqref="W423">
    <cfRule type="containsText" dxfId="0" priority="212" operator="between" text="欠">
      <formula>NOT(ISERROR(SEARCH("欠",W423)))</formula>
    </cfRule>
  </conditionalFormatting>
  <conditionalFormatting sqref="R424">
    <cfRule type="containsText" dxfId="0" priority="207" operator="between" text="欠">
      <formula>NOT(ISERROR(SEARCH("欠",R424)))</formula>
    </cfRule>
  </conditionalFormatting>
  <conditionalFormatting sqref="S424:T424">
    <cfRule type="containsText" dxfId="0" priority="210" operator="between" text="欠">
      <formula>NOT(ISERROR(SEARCH("欠",S424)))</formula>
    </cfRule>
  </conditionalFormatting>
  <conditionalFormatting sqref="U424:V424">
    <cfRule type="containsText" dxfId="0" priority="209" operator="between" text="欠">
      <formula>NOT(ISERROR(SEARCH("欠",U424)))</formula>
    </cfRule>
  </conditionalFormatting>
  <conditionalFormatting sqref="W424">
    <cfRule type="containsText" dxfId="0" priority="208" operator="between" text="欠">
      <formula>NOT(ISERROR(SEARCH("欠",W424)))</formula>
    </cfRule>
  </conditionalFormatting>
  <conditionalFormatting sqref="W426">
    <cfRule type="containsText" dxfId="0" priority="250" operator="between" text="欠">
      <formula>NOT(ISERROR(SEARCH("欠",W426)))</formula>
    </cfRule>
  </conditionalFormatting>
  <conditionalFormatting sqref="R431">
    <cfRule type="containsText" dxfId="0" priority="181" operator="between" text="欠">
      <formula>NOT(ISERROR(SEARCH("欠",R431)))</formula>
    </cfRule>
  </conditionalFormatting>
  <conditionalFormatting sqref="S431:T431">
    <cfRule type="containsText" dxfId="0" priority="184" operator="between" text="欠">
      <formula>NOT(ISERROR(SEARCH("欠",S431)))</formula>
    </cfRule>
  </conditionalFormatting>
  <conditionalFormatting sqref="V431">
    <cfRule type="containsText" dxfId="0" priority="183" operator="between" text="欠">
      <formula>NOT(ISERROR(SEARCH("欠",V431)))</formula>
    </cfRule>
  </conditionalFormatting>
  <conditionalFormatting sqref="W431">
    <cfRule type="containsText" dxfId="0" priority="182" operator="between" text="欠">
      <formula>NOT(ISERROR(SEARCH("欠",W431)))</formula>
    </cfRule>
  </conditionalFormatting>
  <conditionalFormatting sqref="V434">
    <cfRule type="containsText" dxfId="0" priority="192" operator="between" text="欠">
      <formula>NOT(ISERROR(SEARCH("欠",V434)))</formula>
    </cfRule>
  </conditionalFormatting>
  <conditionalFormatting sqref="W434">
    <cfRule type="containsText" dxfId="0" priority="191" operator="between" text="欠">
      <formula>NOT(ISERROR(SEARCH("欠",W434)))</formula>
    </cfRule>
  </conditionalFormatting>
  <conditionalFormatting sqref="R435:W435">
    <cfRule type="containsText" dxfId="0" priority="173" operator="between" text="欠">
      <formula>NOT(ISERROR(SEARCH("欠",R435)))</formula>
    </cfRule>
  </conditionalFormatting>
  <conditionalFormatting sqref="V437:W437">
    <cfRule type="containsText" dxfId="0" priority="161" operator="between" text="欠">
      <formula>NOT(ISERROR(SEARCH("欠",V437)))</formula>
    </cfRule>
  </conditionalFormatting>
  <conditionalFormatting sqref="V438:W438">
    <cfRule type="containsText" dxfId="0" priority="160" operator="between" text="欠">
      <formula>NOT(ISERROR(SEARCH("欠",V438)))</formula>
    </cfRule>
  </conditionalFormatting>
  <conditionalFormatting sqref="S440:W440">
    <cfRule type="containsText" dxfId="0" priority="178" operator="between" text="欠">
      <formula>NOT(ISERROR(SEARCH("欠",S440)))</formula>
    </cfRule>
  </conditionalFormatting>
  <conditionalFormatting sqref="S441:U441">
    <cfRule type="containsText" dxfId="0" priority="149" operator="between" text="欠">
      <formula>NOT(ISERROR(SEARCH("欠",S441)))</formula>
    </cfRule>
  </conditionalFormatting>
  <conditionalFormatting sqref="V441:W441">
    <cfRule type="containsText" dxfId="0" priority="146" operator="between" text="欠">
      <formula>NOT(ISERROR(SEARCH("欠",V441)))</formula>
    </cfRule>
  </conditionalFormatting>
  <conditionalFormatting sqref="S442:U442">
    <cfRule type="containsText" dxfId="0" priority="153" operator="between" text="欠">
      <formula>NOT(ISERROR(SEARCH("欠",S442)))</formula>
    </cfRule>
  </conditionalFormatting>
  <conditionalFormatting sqref="V442:W442">
    <cfRule type="containsText" dxfId="0" priority="152" operator="between" text="欠">
      <formula>NOT(ISERROR(SEARCH("欠",V442)))</formula>
    </cfRule>
  </conditionalFormatting>
  <conditionalFormatting sqref="R443">
    <cfRule type="containsText" dxfId="0" priority="129" operator="between" text="欠">
      <formula>NOT(ISERROR(SEARCH("欠",R443)))</formula>
    </cfRule>
  </conditionalFormatting>
  <conditionalFormatting sqref="S443:U443">
    <cfRule type="containsText" dxfId="0" priority="131" operator="between" text="欠">
      <formula>NOT(ISERROR(SEARCH("欠",S443)))</formula>
    </cfRule>
  </conditionalFormatting>
  <conditionalFormatting sqref="V443:W443">
    <cfRule type="containsText" dxfId="0" priority="130" operator="between" text="欠">
      <formula>NOT(ISERROR(SEARCH("欠",V443)))</formula>
    </cfRule>
  </conditionalFormatting>
  <conditionalFormatting sqref="S444:W444">
    <cfRule type="containsText" dxfId="0" priority="171" operator="between" text="欠">
      <formula>NOT(ISERROR(SEARCH("欠",S444)))</formula>
    </cfRule>
  </conditionalFormatting>
  <conditionalFormatting sqref="R447">
    <cfRule type="containsText" dxfId="0" priority="142" operator="between" text="欠">
      <formula>NOT(ISERROR(SEARCH("欠",R447)))</formula>
    </cfRule>
  </conditionalFormatting>
  <conditionalFormatting sqref="V447:W447">
    <cfRule type="containsText" dxfId="0" priority="145" operator="between" text="欠">
      <formula>NOT(ISERROR(SEARCH("欠",V447)))</formula>
    </cfRule>
  </conditionalFormatting>
  <conditionalFormatting sqref="S448:U448">
    <cfRule type="containsText" dxfId="0" priority="165" operator="between" text="欠">
      <formula>NOT(ISERROR(SEARCH("欠",S448)))</formula>
    </cfRule>
  </conditionalFormatting>
  <conditionalFormatting sqref="V448:W448">
    <cfRule type="containsText" dxfId="0" priority="162" operator="between" text="欠">
      <formula>NOT(ISERROR(SEARCH("欠",V448)))</formula>
    </cfRule>
  </conditionalFormatting>
  <conditionalFormatting sqref="R450">
    <cfRule type="containsText" dxfId="0" priority="119" operator="between" text="欠">
      <formula>NOT(ISERROR(SEARCH("欠",R450)))</formula>
    </cfRule>
  </conditionalFormatting>
  <conditionalFormatting sqref="S450:T450">
    <cfRule type="containsText" dxfId="0" priority="121" operator="between" text="欠">
      <formula>NOT(ISERROR(SEARCH("欠",S450)))</formula>
    </cfRule>
  </conditionalFormatting>
  <conditionalFormatting sqref="U450">
    <cfRule type="containsText" dxfId="0" priority="122" operator="between" text="欠">
      <formula>NOT(ISERROR(SEARCH("欠",U450)))</formula>
    </cfRule>
  </conditionalFormatting>
  <conditionalFormatting sqref="V450:W450">
    <cfRule type="containsText" dxfId="0" priority="120" operator="between" text="欠">
      <formula>NOT(ISERROR(SEARCH("欠",V450)))</formula>
    </cfRule>
  </conditionalFormatting>
  <conditionalFormatting sqref="S451:U451">
    <cfRule type="containsText" dxfId="0" priority="138" operator="between" text="欠">
      <formula>NOT(ISERROR(SEARCH("欠",S451)))</formula>
    </cfRule>
  </conditionalFormatting>
  <conditionalFormatting sqref="V451:W451">
    <cfRule type="containsText" dxfId="0" priority="137" operator="between" text="欠">
      <formula>NOT(ISERROR(SEARCH("欠",V451)))</formula>
    </cfRule>
  </conditionalFormatting>
  <conditionalFormatting sqref="V452:W452">
    <cfRule type="containsText" dxfId="0" priority="126" operator="between" text="欠">
      <formula>NOT(ISERROR(SEARCH("欠",V452)))</formula>
    </cfRule>
  </conditionalFormatting>
  <conditionalFormatting sqref="S453:T453">
    <cfRule type="containsText" dxfId="0" priority="127" operator="between" text="欠">
      <formula>NOT(ISERROR(SEARCH("欠",S453)))</formula>
    </cfRule>
  </conditionalFormatting>
  <conditionalFormatting sqref="V453:W453">
    <cfRule type="containsText" dxfId="0" priority="125" operator="between" text="欠">
      <formula>NOT(ISERROR(SEARCH("欠",V453)))</formula>
    </cfRule>
  </conditionalFormatting>
  <conditionalFormatting sqref="S454:T454">
    <cfRule type="containsText" dxfId="0" priority="141" operator="between" text="欠">
      <formula>NOT(ISERROR(SEARCH("欠",S454)))</formula>
    </cfRule>
  </conditionalFormatting>
  <conditionalFormatting sqref="V454:W454">
    <cfRule type="containsText" dxfId="0" priority="140" operator="between" text="欠">
      <formula>NOT(ISERROR(SEARCH("欠",V454)))</formula>
    </cfRule>
  </conditionalFormatting>
  <conditionalFormatting sqref="V455:W455">
    <cfRule type="containsText" dxfId="0" priority="98" operator="between" text="欠">
      <formula>NOT(ISERROR(SEARCH("欠",V455)))</formula>
    </cfRule>
  </conditionalFormatting>
  <conditionalFormatting sqref="S456:T456">
    <cfRule type="containsText" dxfId="0" priority="113" operator="between" text="欠">
      <formula>NOT(ISERROR(SEARCH("欠",S456)))</formula>
    </cfRule>
  </conditionalFormatting>
  <conditionalFormatting sqref="V456:W456">
    <cfRule type="containsText" dxfId="0" priority="107" operator="between" text="欠">
      <formula>NOT(ISERROR(SEARCH("欠",V456)))</formula>
    </cfRule>
  </conditionalFormatting>
  <conditionalFormatting sqref="V457:W457">
    <cfRule type="containsText" dxfId="0" priority="112" operator="between" text="欠">
      <formula>NOT(ISERROR(SEARCH("欠",V457)))</formula>
    </cfRule>
  </conditionalFormatting>
  <conditionalFormatting sqref="V458:W458">
    <cfRule type="containsText" dxfId="0" priority="110" operator="between" text="欠">
      <formula>NOT(ISERROR(SEARCH("欠",V458)))</formula>
    </cfRule>
  </conditionalFormatting>
  <conditionalFormatting sqref="S459:T459">
    <cfRule type="containsText" dxfId="0" priority="117" operator="between" text="欠">
      <formula>NOT(ISERROR(SEARCH("欠",S459)))</formula>
    </cfRule>
  </conditionalFormatting>
  <conditionalFormatting sqref="V459:W459">
    <cfRule type="containsText" dxfId="0" priority="111" operator="between" text="欠">
      <formula>NOT(ISERROR(SEARCH("欠",V459)))</formula>
    </cfRule>
  </conditionalFormatting>
  <conditionalFormatting sqref="R461">
    <cfRule type="containsText" dxfId="0" priority="91" operator="between" text="欠">
      <formula>NOT(ISERROR(SEARCH("欠",R461)))</formula>
    </cfRule>
  </conditionalFormatting>
  <conditionalFormatting sqref="S461:T461">
    <cfRule type="containsText" dxfId="0" priority="93" operator="between" text="欠">
      <formula>NOT(ISERROR(SEARCH("欠",S461)))</formula>
    </cfRule>
  </conditionalFormatting>
  <conditionalFormatting sqref="U461">
    <cfRule type="containsText" dxfId="0" priority="80" operator="between" text="欠">
      <formula>NOT(ISERROR(SEARCH("欠",U461)))</formula>
    </cfRule>
  </conditionalFormatting>
  <conditionalFormatting sqref="V461">
    <cfRule type="containsText" dxfId="0" priority="81" operator="between" text="欠">
      <formula>NOT(ISERROR(SEARCH("欠",V461)))</formula>
    </cfRule>
  </conditionalFormatting>
  <conditionalFormatting sqref="W461">
    <cfRule type="containsText" dxfId="0" priority="92" operator="between" text="欠">
      <formula>NOT(ISERROR(SEARCH("欠",W461)))</formula>
    </cfRule>
  </conditionalFormatting>
  <conditionalFormatting sqref="V462">
    <cfRule type="containsText" dxfId="0" priority="187" operator="between" text="欠">
      <formula>NOT(ISERROR(SEARCH("欠",V462)))</formula>
    </cfRule>
  </conditionalFormatting>
  <conditionalFormatting sqref="V463">
    <cfRule type="containsText" dxfId="0" priority="189" operator="between" text="欠">
      <formula>NOT(ISERROR(SEARCH("欠",V463)))</formula>
    </cfRule>
  </conditionalFormatting>
  <conditionalFormatting sqref="S464:U464">
    <cfRule type="containsText" dxfId="0" priority="150" operator="between" text="欠">
      <formula>NOT(ISERROR(SEARCH("欠",S464)))</formula>
    </cfRule>
  </conditionalFormatting>
  <conditionalFormatting sqref="V464:W464">
    <cfRule type="containsText" dxfId="0" priority="147" operator="between" text="欠">
      <formula>NOT(ISERROR(SEARCH("欠",V464)))</formula>
    </cfRule>
  </conditionalFormatting>
  <conditionalFormatting sqref="S465:U465">
    <cfRule type="containsText" dxfId="0" priority="79" operator="between" text="欠">
      <formula>NOT(ISERROR(SEARCH("欠",S465)))</formula>
    </cfRule>
  </conditionalFormatting>
  <conditionalFormatting sqref="V465:W465">
    <cfRule type="containsText" dxfId="0" priority="78" operator="between" text="欠">
      <formula>NOT(ISERROR(SEARCH("欠",V465)))</formula>
    </cfRule>
  </conditionalFormatting>
  <conditionalFormatting sqref="S466:U466">
    <cfRule type="containsText" dxfId="0" priority="115" operator="between" text="欠">
      <formula>NOT(ISERROR(SEARCH("欠",S466)))</formula>
    </cfRule>
  </conditionalFormatting>
  <conditionalFormatting sqref="V466:W466">
    <cfRule type="containsText" dxfId="0" priority="109" operator="between" text="欠">
      <formula>NOT(ISERROR(SEARCH("欠",V466)))</formula>
    </cfRule>
  </conditionalFormatting>
  <conditionalFormatting sqref="S467:U467">
    <cfRule type="containsText" dxfId="0" priority="114" operator="between" text="欠">
      <formula>NOT(ISERROR(SEARCH("欠",S467)))</formula>
    </cfRule>
  </conditionalFormatting>
  <conditionalFormatting sqref="V467:W467">
    <cfRule type="containsText" dxfId="0" priority="108" operator="between" text="欠">
      <formula>NOT(ISERROR(SEARCH("欠",V467)))</formula>
    </cfRule>
  </conditionalFormatting>
  <conditionalFormatting sqref="S468:W468">
    <cfRule type="containsText" dxfId="0" priority="169" operator="between" text="欠">
      <formula>NOT(ISERROR(SEARCH("欠",S468)))</formula>
    </cfRule>
  </conditionalFormatting>
  <conditionalFormatting sqref="S469:U469">
    <cfRule type="containsText" dxfId="0" priority="135" operator="between" text="欠">
      <formula>NOT(ISERROR(SEARCH("欠",S469)))</formula>
    </cfRule>
  </conditionalFormatting>
  <conditionalFormatting sqref="V469:W469">
    <cfRule type="containsText" dxfId="0" priority="134" operator="between" text="欠">
      <formula>NOT(ISERROR(SEARCH("欠",V469)))</formula>
    </cfRule>
  </conditionalFormatting>
  <conditionalFormatting sqref="S470:T470">
    <cfRule type="containsText" dxfId="0" priority="65" operator="between" text="欠">
      <formula>NOT(ISERROR(SEARCH("欠",S470)))</formula>
    </cfRule>
  </conditionalFormatting>
  <conditionalFormatting sqref="U470">
    <cfRule type="containsText" dxfId="0" priority="67" operator="between" text="欠">
      <formula>NOT(ISERROR(SEARCH("欠",U470)))</formula>
    </cfRule>
  </conditionalFormatting>
  <conditionalFormatting sqref="V470:W470">
    <cfRule type="containsText" dxfId="0" priority="64" operator="between" text="欠">
      <formula>NOT(ISERROR(SEARCH("欠",V470)))</formula>
    </cfRule>
  </conditionalFormatting>
  <conditionalFormatting sqref="R471">
    <cfRule type="containsText" dxfId="0" priority="154" operator="between" text="欠">
      <formula>NOT(ISERROR(SEARCH("欠",R471)))</formula>
    </cfRule>
  </conditionalFormatting>
  <conditionalFormatting sqref="V471:W471">
    <cfRule type="containsText" dxfId="0" priority="186" operator="between" text="欠">
      <formula>NOT(ISERROR(SEARCH("欠",V471)))</formula>
    </cfRule>
  </conditionalFormatting>
  <conditionalFormatting sqref="S474:T474">
    <cfRule type="containsText" dxfId="0" priority="17" operator="between" text="欠">
      <formula>NOT(ISERROR(SEARCH("欠",S474)))</formula>
    </cfRule>
  </conditionalFormatting>
  <conditionalFormatting sqref="S475:T475">
    <cfRule type="containsText" dxfId="0" priority="16" operator="between" text="欠">
      <formula>NOT(ISERROR(SEARCH("欠",S475)))</formula>
    </cfRule>
  </conditionalFormatting>
  <conditionalFormatting sqref="W475">
    <cfRule type="containsText" dxfId="0" priority="12" operator="between" text="欠">
      <formula>NOT(ISERROR(SEARCH("欠",W475)))</formula>
    </cfRule>
  </conditionalFormatting>
  <conditionalFormatting sqref="S476:T476">
    <cfRule type="containsText" dxfId="0" priority="15" operator="between" text="欠">
      <formula>NOT(ISERROR(SEARCH("欠",S476)))</formula>
    </cfRule>
  </conditionalFormatting>
  <conditionalFormatting sqref="W476">
    <cfRule type="containsText" dxfId="0" priority="11" operator="between" text="欠">
      <formula>NOT(ISERROR(SEARCH("欠",W476)))</formula>
    </cfRule>
  </conditionalFormatting>
  <conditionalFormatting sqref="S480:T480">
    <cfRule type="containsText" dxfId="0" priority="44" operator="between" text="欠">
      <formula>NOT(ISERROR(SEARCH("欠",S480)))</formula>
    </cfRule>
  </conditionalFormatting>
  <conditionalFormatting sqref="V480">
    <cfRule type="containsText" dxfId="0" priority="42" operator="between" text="欠">
      <formula>NOT(ISERROR(SEARCH("欠",V480)))</formula>
    </cfRule>
  </conditionalFormatting>
  <conditionalFormatting sqref="W480">
    <cfRule type="containsText" dxfId="0" priority="41" operator="between" text="欠">
      <formula>NOT(ISERROR(SEARCH("欠",W480)))</formula>
    </cfRule>
  </conditionalFormatting>
  <conditionalFormatting sqref="S484:T484">
    <cfRule type="containsText" dxfId="0" priority="39" operator="between" text="欠">
      <formula>NOT(ISERROR(SEARCH("欠",S484)))</formula>
    </cfRule>
  </conditionalFormatting>
  <conditionalFormatting sqref="V484">
    <cfRule type="containsText" dxfId="0" priority="37" operator="between" text="欠">
      <formula>NOT(ISERROR(SEARCH("欠",V484)))</formula>
    </cfRule>
  </conditionalFormatting>
  <conditionalFormatting sqref="W484">
    <cfRule type="containsText" dxfId="0" priority="36" operator="between" text="欠">
      <formula>NOT(ISERROR(SEARCH("欠",W484)))</formula>
    </cfRule>
  </conditionalFormatting>
  <conditionalFormatting sqref="S485:T485">
    <cfRule type="containsText" dxfId="0" priority="61" operator="between" text="欠">
      <formula>NOT(ISERROR(SEARCH("欠",S485)))</formula>
    </cfRule>
  </conditionalFormatting>
  <conditionalFormatting sqref="V485">
    <cfRule type="containsText" dxfId="0" priority="63" operator="between" text="欠">
      <formula>NOT(ISERROR(SEARCH("欠",V485)))</formula>
    </cfRule>
  </conditionalFormatting>
  <conditionalFormatting sqref="W485">
    <cfRule type="containsText" dxfId="0" priority="60" operator="between" text="欠">
      <formula>NOT(ISERROR(SEARCH("欠",W485)))</formula>
    </cfRule>
  </conditionalFormatting>
  <conditionalFormatting sqref="S486:T486">
    <cfRule type="containsText" dxfId="0" priority="69" operator="between" text="欠">
      <formula>NOT(ISERROR(SEARCH("欠",S486)))</formula>
    </cfRule>
  </conditionalFormatting>
  <conditionalFormatting sqref="U486">
    <cfRule type="containsText" dxfId="0" priority="71" operator="between" text="欠">
      <formula>NOT(ISERROR(SEARCH("欠",U486)))</formula>
    </cfRule>
  </conditionalFormatting>
  <conditionalFormatting sqref="V486:W486">
    <cfRule type="containsText" dxfId="0" priority="68" operator="between" text="欠">
      <formula>NOT(ISERROR(SEARCH("欠",V486)))</formula>
    </cfRule>
  </conditionalFormatting>
  <conditionalFormatting sqref="S487:T487">
    <cfRule type="containsText" dxfId="0" priority="32" operator="between" text="欠">
      <formula>NOT(ISERROR(SEARCH("欠",S487)))</formula>
    </cfRule>
  </conditionalFormatting>
  <conditionalFormatting sqref="U487">
    <cfRule type="containsText" dxfId="0" priority="34" operator="between" text="欠">
      <formula>NOT(ISERROR(SEARCH("欠",U487)))</formula>
    </cfRule>
  </conditionalFormatting>
  <conditionalFormatting sqref="V487:W487">
    <cfRule type="containsText" dxfId="0" priority="31" operator="between" text="欠">
      <formula>NOT(ISERROR(SEARCH("欠",V487)))</formula>
    </cfRule>
  </conditionalFormatting>
  <conditionalFormatting sqref="S488:U488">
    <cfRule type="containsText" dxfId="0" priority="76" operator="between" text="欠">
      <formula>NOT(ISERROR(SEARCH("欠",S488)))</formula>
    </cfRule>
  </conditionalFormatting>
  <conditionalFormatting sqref="V488:W488">
    <cfRule type="containsText" dxfId="0" priority="75" operator="between" text="欠">
      <formula>NOT(ISERROR(SEARCH("欠",V488)))</formula>
    </cfRule>
  </conditionalFormatting>
  <conditionalFormatting sqref="S489:T489">
    <cfRule type="containsText" dxfId="0" priority="28" operator="between" text="欠">
      <formula>NOT(ISERROR(SEARCH("欠",S489)))</formula>
    </cfRule>
  </conditionalFormatting>
  <conditionalFormatting sqref="U489">
    <cfRule type="containsText" dxfId="0" priority="30" operator="between" text="欠">
      <formula>NOT(ISERROR(SEARCH("欠",U489)))</formula>
    </cfRule>
  </conditionalFormatting>
  <conditionalFormatting sqref="V489:W489">
    <cfRule type="containsText" dxfId="0" priority="27" operator="between" text="欠">
      <formula>NOT(ISERROR(SEARCH("欠",V489)))</formula>
    </cfRule>
  </conditionalFormatting>
  <conditionalFormatting sqref="W490">
    <cfRule type="containsText" dxfId="0" priority="72" operator="between" text="欠">
      <formula>NOT(ISERROR(SEARCH("欠",W490)))</formula>
    </cfRule>
  </conditionalFormatting>
  <conditionalFormatting sqref="V491">
    <cfRule type="containsText" dxfId="0" priority="174" operator="between" text="欠">
      <formula>NOT(ISERROR(SEARCH("欠",V491)))</formula>
    </cfRule>
  </conditionalFormatting>
  <conditionalFormatting sqref="W491">
    <cfRule type="containsText" dxfId="0" priority="73" operator="between" text="欠">
      <formula>NOT(ISERROR(SEARCH("欠",W491)))</formula>
    </cfRule>
  </conditionalFormatting>
  <conditionalFormatting sqref="V494:W494">
    <cfRule type="containsText" dxfId="0" priority="167" operator="between" text="欠">
      <formula>NOT(ISERROR(SEARCH("欠",V494)))</formula>
    </cfRule>
  </conditionalFormatting>
  <conditionalFormatting sqref="R497">
    <cfRule type="containsText" dxfId="0" priority="4" operator="between" text="欠">
      <formula>NOT(ISERROR(SEARCH("欠",R497)))</formula>
    </cfRule>
    <cfRule type="containsText" dxfId="0" priority="5" operator="between" text="欠">
      <formula>NOT(ISERROR(SEARCH("欠",R497)))</formula>
    </cfRule>
  </conditionalFormatting>
  <conditionalFormatting sqref="U497">
    <cfRule type="containsText" dxfId="0" priority="3" operator="between" text="欠">
      <formula>NOT(ISERROR(SEARCH("欠",U497)))</formula>
    </cfRule>
  </conditionalFormatting>
  <conditionalFormatting sqref="S515:T515">
    <cfRule type="containsText" dxfId="0" priority="90" operator="between" text="欠">
      <formula>NOT(ISERROR(SEARCH("欠",S515)))</formula>
    </cfRule>
  </conditionalFormatting>
  <conditionalFormatting sqref="V515:W515">
    <cfRule type="containsText" dxfId="0" priority="87" operator="between" text="欠">
      <formula>NOT(ISERROR(SEARCH("欠",V515)))</formula>
    </cfRule>
  </conditionalFormatting>
  <conditionalFormatting sqref="S516:T516">
    <cfRule type="containsText" dxfId="0" priority="89" operator="between" text="欠">
      <formula>NOT(ISERROR(SEARCH("欠",S516)))</formula>
    </cfRule>
  </conditionalFormatting>
  <conditionalFormatting sqref="V516:W516">
    <cfRule type="containsText" dxfId="0" priority="86" operator="between" text="欠">
      <formula>NOT(ISERROR(SEARCH("欠",V516)))</formula>
    </cfRule>
  </conditionalFormatting>
  <conditionalFormatting sqref="R95:R100">
    <cfRule type="containsText" dxfId="0" priority="656" operator="between" text="欠">
      <formula>NOT(ISERROR(SEARCH("欠",R95)))</formula>
    </cfRule>
  </conditionalFormatting>
  <conditionalFormatting sqref="R222:R225">
    <cfRule type="containsText" dxfId="0" priority="440" operator="between" text="欠">
      <formula>NOT(ISERROR(SEARCH("欠",R222)))</formula>
    </cfRule>
  </conditionalFormatting>
  <conditionalFormatting sqref="R226:R228">
    <cfRule type="containsText" dxfId="0" priority="433" operator="between" text="欠">
      <formula>NOT(ISERROR(SEARCH("欠",R226)))</formula>
    </cfRule>
  </conditionalFormatting>
  <conditionalFormatting sqref="R229:R238">
    <cfRule type="containsText" dxfId="0" priority="399" operator="between" text="欠">
      <formula>NOT(ISERROR(SEARCH("欠",R229)))</formula>
    </cfRule>
  </conditionalFormatting>
  <conditionalFormatting sqref="R239:R250">
    <cfRule type="containsText" dxfId="0" priority="389" operator="between" text="欠">
      <formula>NOT(ISERROR(SEARCH("欠",R239)))</formula>
    </cfRule>
  </conditionalFormatting>
  <conditionalFormatting sqref="R251:R255">
    <cfRule type="containsText" dxfId="0" priority="377" operator="between" text="欠">
      <formula>NOT(ISERROR(SEARCH("欠",R251)))</formula>
    </cfRule>
  </conditionalFormatting>
  <conditionalFormatting sqref="R256:R259">
    <cfRule type="containsText" dxfId="0" priority="496" operator="between" text="欠">
      <formula>NOT(ISERROR(SEARCH("欠",R256)))</formula>
    </cfRule>
  </conditionalFormatting>
  <conditionalFormatting sqref="R260:R272">
    <cfRule type="containsText" dxfId="0" priority="471" operator="between" text="欠">
      <formula>NOT(ISERROR(SEARCH("欠",R260)))</formula>
    </cfRule>
  </conditionalFormatting>
  <conditionalFormatting sqref="R273:R274">
    <cfRule type="containsText" dxfId="0" priority="524" operator="between" text="欠">
      <formula>NOT(ISERROR(SEARCH("欠",R273)))</formula>
    </cfRule>
  </conditionalFormatting>
  <conditionalFormatting sqref="R288:R289">
    <cfRule type="containsText" dxfId="0" priority="502" operator="between" text="欠">
      <formula>NOT(ISERROR(SEARCH("欠",R288)))</formula>
    </cfRule>
  </conditionalFormatting>
  <conditionalFormatting sqref="R354:R355">
    <cfRule type="containsText" dxfId="0" priority="328" operator="between" text="欠">
      <formula>NOT(ISERROR(SEARCH("欠",R354)))</formula>
    </cfRule>
  </conditionalFormatting>
  <conditionalFormatting sqref="R392:R393">
    <cfRule type="containsText" dxfId="0" priority="270" operator="between" text="欠">
      <formula>NOT(ISERROR(SEARCH("欠",R392)))</formula>
    </cfRule>
  </conditionalFormatting>
  <conditionalFormatting sqref="R405:R406">
    <cfRule type="containsText" dxfId="0" priority="261" operator="between" text="欠">
      <formula>NOT(ISERROR(SEARCH("欠",R405)))</formula>
    </cfRule>
  </conditionalFormatting>
  <conditionalFormatting sqref="R413:R414">
    <cfRule type="containsText" dxfId="0" priority="228" operator="between" text="欠">
      <formula>NOT(ISERROR(SEARCH("欠",R413)))</formula>
    </cfRule>
  </conditionalFormatting>
  <conditionalFormatting sqref="R415:R417">
    <cfRule type="containsText" dxfId="0" priority="236" operator="between" text="欠">
      <formula>NOT(ISERROR(SEARCH("欠",R415)))</formula>
    </cfRule>
  </conditionalFormatting>
  <conditionalFormatting sqref="R419:R420">
    <cfRule type="containsText" dxfId="0" priority="221" operator="between" text="欠">
      <formula>NOT(ISERROR(SEARCH("欠",R419)))</formula>
    </cfRule>
  </conditionalFormatting>
  <conditionalFormatting sqref="R452:R453">
    <cfRule type="containsText" dxfId="0" priority="124" operator="between" text="欠">
      <formula>NOT(ISERROR(SEARCH("欠",R452)))</formula>
    </cfRule>
  </conditionalFormatting>
  <conditionalFormatting sqref="R454:R456">
    <cfRule type="containsText" dxfId="0" priority="106" operator="between" text="欠">
      <formula>NOT(ISERROR(SEARCH("欠",R454)))</formula>
    </cfRule>
  </conditionalFormatting>
  <conditionalFormatting sqref="R474:R476">
    <cfRule type="containsText" dxfId="0" priority="21" operator="between" text="欠">
      <formula>NOT(ISERROR(SEARCH("欠",R474)))</formula>
    </cfRule>
  </conditionalFormatting>
  <conditionalFormatting sqref="R477:R484">
    <cfRule type="containsText" dxfId="0" priority="58" operator="between" text="欠">
      <formula>NOT(ISERROR(SEARCH("欠",R477)))</formula>
    </cfRule>
  </conditionalFormatting>
  <conditionalFormatting sqref="R487:R490">
    <cfRule type="containsText" dxfId="0" priority="59" operator="between" text="欠">
      <formula>NOT(ISERROR(SEARCH("欠",R487)))</formula>
    </cfRule>
  </conditionalFormatting>
  <conditionalFormatting sqref="R506:R560">
    <cfRule type="containsText" dxfId="0" priority="22" operator="between" text="欠">
      <formula>NOT(ISERROR(SEARCH("欠",R506)))</formula>
    </cfRule>
  </conditionalFormatting>
  <conditionalFormatting sqref="U23:U24">
    <cfRule type="containsText" dxfId="0" priority="672" operator="between" text="欠">
      <formula>NOT(ISERROR(SEARCH("欠",U23)))</formula>
    </cfRule>
  </conditionalFormatting>
  <conditionalFormatting sqref="U118:U120">
    <cfRule type="containsText" dxfId="0" priority="548" operator="between" text="欠">
      <formula>NOT(ISERROR(SEARCH("欠",U118)))</formula>
    </cfRule>
  </conditionalFormatting>
  <conditionalFormatting sqref="U139:U143">
    <cfRule type="containsText" dxfId="0" priority="536" operator="between" text="欠">
      <formula>NOT(ISERROR(SEARCH("欠",U139)))</formula>
    </cfRule>
  </conditionalFormatting>
  <conditionalFormatting sqref="U474:U476">
    <cfRule type="containsText" dxfId="0" priority="25" operator="between" text="欠">
      <formula>NOT(ISERROR(SEARCH("欠",U474)))</formula>
    </cfRule>
  </conditionalFormatting>
  <conditionalFormatting sqref="U477:U484">
    <cfRule type="containsText" dxfId="0" priority="57" operator="between" text="欠">
      <formula>NOT(ISERROR(SEARCH("欠",U477)))</formula>
    </cfRule>
  </conditionalFormatting>
  <conditionalFormatting sqref="U506:U560">
    <cfRule type="containsText" dxfId="0" priority="26" operator="between" text="欠">
      <formula>NOT(ISERROR(SEARCH("欠",U506)))</formula>
    </cfRule>
  </conditionalFormatting>
  <conditionalFormatting sqref="V256:V272">
    <cfRule type="containsText" dxfId="0" priority="350" operator="between" text="欠">
      <formula>NOT(ISERROR(SEARCH("欠",V256)))</formula>
    </cfRule>
  </conditionalFormatting>
  <conditionalFormatting sqref="V504:V560">
    <cfRule type="containsText" dxfId="0" priority="10" operator="between" text="欠">
      <formula>NOT(ISERROR(SEARCH("欠",V504)))</formula>
    </cfRule>
  </conditionalFormatting>
  <conditionalFormatting sqref="W349:W350">
    <cfRule type="containsText" dxfId="0" priority="340" operator="between" text="欠">
      <formula>NOT(ISERROR(SEARCH("欠",W349)))</formula>
    </cfRule>
  </conditionalFormatting>
  <conditionalFormatting sqref="W353:W355">
    <cfRule type="containsText" dxfId="0" priority="335" operator="between" text="欠">
      <formula>NOT(ISERROR(SEARCH("欠",W353)))</formula>
    </cfRule>
  </conditionalFormatting>
  <conditionalFormatting sqref="W391:W393">
    <cfRule type="containsText" dxfId="0" priority="271" operator="between" text="欠">
      <formula>NOT(ISERROR(SEARCH("欠",W391)))</formula>
    </cfRule>
  </conditionalFormatting>
  <conditionalFormatting sqref="W398:W399">
    <cfRule type="containsText" dxfId="0" priority="276" operator="between" text="欠">
      <formula>NOT(ISERROR(SEARCH("欠",W398)))</formula>
    </cfRule>
  </conditionalFormatting>
  <conditionalFormatting sqref="W405:W406">
    <cfRule type="containsText" dxfId="0" priority="262" operator="between" text="欠">
      <formula>NOT(ISERROR(SEARCH("欠",W405)))</formula>
    </cfRule>
  </conditionalFormatting>
  <conditionalFormatting sqref="W408:W409">
    <cfRule type="containsText" dxfId="0" priority="254" operator="between" text="欠">
      <formula>NOT(ISERROR(SEARCH("欠",W408)))</formula>
    </cfRule>
  </conditionalFormatting>
  <conditionalFormatting sqref="W428:W430">
    <cfRule type="containsText" dxfId="0" priority="200" operator="between" text="欠">
      <formula>NOT(ISERROR(SEARCH("欠",W428)))</formula>
    </cfRule>
  </conditionalFormatting>
  <conditionalFormatting sqref="W492:W497">
    <cfRule type="containsText" dxfId="0" priority="196" operator="between" text="欠">
      <formula>NOT(ISERROR(SEARCH("欠",W492)))</formula>
    </cfRule>
  </conditionalFormatting>
  <conditionalFormatting sqref="W504:W560">
    <cfRule type="containsText" dxfId="0" priority="14" operator="between" text="欠">
      <formula>NOT(ISERROR(SEARCH("欠",W504)))</formula>
    </cfRule>
  </conditionalFormatting>
  <conditionalFormatting sqref="R$1:U$1048576">
    <cfRule type="containsText" dxfId="1" priority="2" operator="between" text="欠">
      <formula>NOT(ISERROR(SEARCH("欠",R1)))</formula>
    </cfRule>
  </conditionalFormatting>
  <conditionalFormatting sqref="S$1:V$1048576">
    <cfRule type="containsText" dxfId="1" priority="1" operator="between" text="欠">
      <formula>NOT(ISERROR(SEARCH("欠",S1)))</formula>
    </cfRule>
  </conditionalFormatting>
  <conditionalFormatting sqref="V1:V2 V563:V1048576">
    <cfRule type="containsText" dxfId="0" priority="832" operator="between" text="欠">
      <formula>NOT(ISERROR(SEARCH("欠",V1)))</formula>
    </cfRule>
  </conditionalFormatting>
  <conditionalFormatting sqref="R4:W22 R23:T24 V23:W24 R25:W40 R42:W52 R55:W63 R65:W78 R80:W80 R84:W86 R115:W116 S180:T180 W180 S184:T184 W184 S186:W186 R188:W188 R198:W198 S200:W203 S206:W207 U208 U211:U216 R217:W217 R219:W219 S220:W220 S273:W274 R275:W275 S277:W277 S286:W286 R287 R293:W294 U299 U301 R302:W304 R324:W327 R336:V336 R561:W562">
    <cfRule type="containsText" dxfId="0" priority="678" operator="between" text="欠">
      <formula>NOT(ISERROR(SEARCH("欠",R4)))</formula>
    </cfRule>
  </conditionalFormatting>
  <conditionalFormatting sqref="R41:W41 R53:W54 R64:W64">
    <cfRule type="containsText" dxfId="0" priority="676" operator="between" text="欠">
      <formula>NOT(ISERROR(SEARCH("欠",R41)))</formula>
    </cfRule>
  </conditionalFormatting>
  <conditionalFormatting sqref="R81:W83 R93:R94 R101 R105">
    <cfRule type="containsText" dxfId="0" priority="662" operator="between" text="欠">
      <formula>NOT(ISERROR(SEARCH("欠",R81)))</formula>
    </cfRule>
  </conditionalFormatting>
  <conditionalFormatting sqref="R87:W88 V89 R90:W92 W104">
    <cfRule type="containsText" dxfId="0" priority="674" operator="between" text="欠">
      <formula>NOT(ISERROR(SEARCH("欠",R87)))</formula>
    </cfRule>
  </conditionalFormatting>
  <conditionalFormatting sqref="R89 R106:R112">
    <cfRule type="containsText" dxfId="0" priority="640" operator="between" text="欠">
      <formula>NOT(ISERROR(SEARCH("欠",R89)))</formula>
    </cfRule>
  </conditionalFormatting>
  <conditionalFormatting sqref="S89:U89 W89 S99:T100 V99:W100 S106:W109 V110:V111">
    <cfRule type="containsText" dxfId="0" priority="648" operator="between" text="欠">
      <formula>NOT(ISERROR(SEARCH("欠",S89)))</formula>
    </cfRule>
  </conditionalFormatting>
  <conditionalFormatting sqref="S93:W93 U94:V94 S101:W101 S105:W105 V113:V114 V118:V120 U121 U133 U137:U138">
    <cfRule type="containsText" dxfId="0" priority="664" operator="between" text="欠">
      <formula>NOT(ISERROR(SEARCH("欠",S93)))</formula>
    </cfRule>
  </conditionalFormatting>
  <conditionalFormatting sqref="S94:T94 W94">
    <cfRule type="containsText" dxfId="0" priority="632" operator="between" text="欠">
      <formula>NOT(ISERROR(SEARCH("欠",S94)))</formula>
    </cfRule>
  </conditionalFormatting>
  <conditionalFormatting sqref="S96:W96 U97:U100">
    <cfRule type="containsText" dxfId="0" priority="651" operator="between" text="欠">
      <formula>NOT(ISERROR(SEARCH("欠",S96)))</formula>
    </cfRule>
  </conditionalFormatting>
  <conditionalFormatting sqref="S97:T97 V97:W97">
    <cfRule type="containsText" dxfId="0" priority="650" operator="between" text="欠">
      <formula>NOT(ISERROR(SEARCH("欠",S97)))</formula>
    </cfRule>
  </conditionalFormatting>
  <conditionalFormatting sqref="S98:T98 V98:W98">
    <cfRule type="containsText" dxfId="0" priority="649" operator="between" text="欠">
      <formula>NOT(ISERROR(SEARCH("欠",S98)))</formula>
    </cfRule>
  </conditionalFormatting>
  <conditionalFormatting sqref="V110:V114 U137:U138 U133 U121:V121 S110:T111 T112 S113:T114 S121">
    <cfRule type="containsText" dxfId="0" priority="628" operator="between" text="欠">
      <formula>NOT(ISERROR(SEARCH("欠",S110)))</formula>
    </cfRule>
  </conditionalFormatting>
  <conditionalFormatting sqref="R147 R199 R149:R187 R133 R121 R113:R114 R144:R145 R137:R138">
    <cfRule type="containsText" dxfId="0" priority="626" operator="between" text="欠">
      <formula>NOT(ISERROR(SEARCH("欠",R113)))</formula>
    </cfRule>
  </conditionalFormatting>
  <conditionalFormatting sqref="R117:R120 R123:R128">
    <cfRule type="containsText" dxfId="0" priority="612" operator="between" text="欠">
      <formula>NOT(ISERROR(SEARCH("欠",R117)))</formula>
    </cfRule>
  </conditionalFormatting>
  <conditionalFormatting sqref="S117:T120 S123:T127">
    <cfRule type="containsText" dxfId="0" priority="606" operator="between" text="欠">
      <formula>NOT(ISERROR(SEARCH("欠",S117)))</formula>
    </cfRule>
  </conditionalFormatting>
  <conditionalFormatting sqref="V117:V120 T123:T127 V123:V124">
    <cfRule type="containsText" dxfId="0" priority="610" operator="between" text="欠">
      <formula>NOT(ISERROR(SEARCH("欠",T117)))</formula>
    </cfRule>
  </conditionalFormatting>
  <conditionalFormatting sqref="V117 V123:V124">
    <cfRule type="containsText" dxfId="0" priority="608" operator="between" text="欠">
      <formula>NOT(ISERROR(SEARCH("欠",V117)))</formula>
    </cfRule>
  </conditionalFormatting>
  <conditionalFormatting sqref="S128:T147 S150:T154">
    <cfRule type="containsText" dxfId="0" priority="566" operator="between" text="欠">
      <formula>NOT(ISERROR(SEARCH("欠",S128)))</formula>
    </cfRule>
  </conditionalFormatting>
  <conditionalFormatting sqref="V128:V132 V134:V136 V139:V146 V150">
    <cfRule type="containsText" dxfId="0" priority="576" operator="between" text="欠">
      <formula>NOT(ISERROR(SEARCH("欠",V128)))</formula>
    </cfRule>
  </conditionalFormatting>
  <conditionalFormatting sqref="W128:W147 W150:W154">
    <cfRule type="containsText" dxfId="0" priority="578" operator="between" text="欠">
      <formula>NOT(ISERROR(SEARCH("欠",W128)))</formula>
    </cfRule>
  </conditionalFormatting>
  <conditionalFormatting sqref="R129:R132 R146 R139:R143 R134:R136">
    <cfRule type="containsText" dxfId="0" priority="570" operator="between" text="欠">
      <formula>NOT(ISERROR(SEARCH("欠",R129)))</formula>
    </cfRule>
  </conditionalFormatting>
  <conditionalFormatting sqref="U129:U132 U134:U136 U144:U147 U150:U154">
    <cfRule type="containsText" dxfId="0" priority="568" operator="between" text="欠">
      <formula>NOT(ISERROR(SEARCH("欠",U129)))</formula>
    </cfRule>
  </conditionalFormatting>
  <conditionalFormatting sqref="V147 V151:V154">
    <cfRule type="containsText" dxfId="0" priority="527" operator="between" text="欠">
      <formula>NOT(ISERROR(SEARCH("欠",V147)))</formula>
    </cfRule>
  </conditionalFormatting>
  <conditionalFormatting sqref="S148:T149 S155:T155">
    <cfRule type="containsText" dxfId="0" priority="538" operator="between" text="欠">
      <formula>NOT(ISERROR(SEARCH("欠",S148)))</formula>
    </cfRule>
  </conditionalFormatting>
  <conditionalFormatting sqref="U148:U149 U155">
    <cfRule type="containsText" dxfId="0" priority="540" operator="between" text="欠">
      <formula>NOT(ISERROR(SEARCH("欠",U148)))</formula>
    </cfRule>
  </conditionalFormatting>
  <conditionalFormatting sqref="V148:V149 V155">
    <cfRule type="containsText" dxfId="0" priority="544" operator="between" text="欠">
      <formula>NOT(ISERROR(SEARCH("欠",V148)))</formula>
    </cfRule>
  </conditionalFormatting>
  <conditionalFormatting sqref="W148:W149 W155">
    <cfRule type="containsText" dxfId="0" priority="546" operator="between" text="欠">
      <formula>NOT(ISERROR(SEARCH("欠",W148)))</formula>
    </cfRule>
  </conditionalFormatting>
  <conditionalFormatting sqref="S156:W168 U180:V180 U184:V184 S185:W185 S199:W199">
    <cfRule type="containsText" dxfId="0" priority="534" operator="between" text="欠">
      <formula>NOT(ISERROR(SEARCH("欠",S156)))</formula>
    </cfRule>
  </conditionalFormatting>
  <conditionalFormatting sqref="S169:W179 S181:W183 S187:W187">
    <cfRule type="containsText" dxfId="0" priority="530" operator="between" text="欠">
      <formula>NOT(ISERROR(SEARCH("欠",S169)))</formula>
    </cfRule>
  </conditionalFormatting>
  <conditionalFormatting sqref="R189:W197">
    <cfRule type="containsText" dxfId="0" priority="523" operator="between" text="欠">
      <formula>NOT(ISERROR(SEARCH("欠",R189)))</formula>
    </cfRule>
  </conditionalFormatting>
  <conditionalFormatting sqref="R200:R203 R204:T204 V204:W204 R206:R208 R211:R216 R220 S287:U287 W287">
    <cfRule type="containsText" dxfId="0" priority="522" operator="between" text="欠">
      <formula>NOT(ISERROR(SEARCH("欠",R200)))</formula>
    </cfRule>
  </conditionalFormatting>
  <conditionalFormatting sqref="U204 S205:W205">
    <cfRule type="containsText" dxfId="0" priority="518" operator="between" text="欠">
      <formula>NOT(ISERROR(SEARCH("欠",S204)))</formula>
    </cfRule>
  </conditionalFormatting>
  <conditionalFormatting sqref="S208:T208 V208:W208 S211:T216 V211:W216">
    <cfRule type="containsText" dxfId="0" priority="516" operator="between" text="欠">
      <formula>NOT(ISERROR(SEARCH("欠",S208)))</formula>
    </cfRule>
  </conditionalFormatting>
  <conditionalFormatting sqref="R209:R210 R221">
    <cfRule type="containsText" dxfId="0" priority="511" operator="between" text="欠">
      <formula>NOT(ISERROR(SEARCH("欠",R209)))</formula>
    </cfRule>
  </conditionalFormatting>
  <conditionalFormatting sqref="S209:V210 S221:W221">
    <cfRule type="containsText" dxfId="0" priority="512" operator="between" text="欠">
      <formula>NOT(ISERROR(SEARCH("欠",S209)))</formula>
    </cfRule>
  </conditionalFormatting>
  <conditionalFormatting sqref="S222:W222 U223:V225 V226:V228">
    <cfRule type="containsText" dxfId="0" priority="444" operator="between" text="欠">
      <formula>NOT(ISERROR(SEARCH("欠",S222)))</formula>
    </cfRule>
  </conditionalFormatting>
  <conditionalFormatting sqref="S223:T223 W223">
    <cfRule type="containsText" dxfId="0" priority="443" operator="between" text="欠">
      <formula>NOT(ISERROR(SEARCH("欠",S223)))</formula>
    </cfRule>
  </conditionalFormatting>
  <conditionalFormatting sqref="S224:T224 W224">
    <cfRule type="containsText" dxfId="0" priority="442" operator="between" text="欠">
      <formula>NOT(ISERROR(SEARCH("欠",S224)))</formula>
    </cfRule>
  </conditionalFormatting>
  <conditionalFormatting sqref="S225:T225 W225">
    <cfRule type="containsText" dxfId="0" priority="441" operator="between" text="欠">
      <formula>NOT(ISERROR(SEARCH("欠",S225)))</formula>
    </cfRule>
  </conditionalFormatting>
  <conditionalFormatting sqref="S226:U226 W226 U227:U228">
    <cfRule type="containsText" dxfId="0" priority="436" operator="between" text="欠">
      <formula>NOT(ISERROR(SEARCH("欠",S226)))</formula>
    </cfRule>
  </conditionalFormatting>
  <conditionalFormatting sqref="S227:T227 W227">
    <cfRule type="containsText" dxfId="0" priority="435" operator="between" text="欠">
      <formula>NOT(ISERROR(SEARCH("欠",S227)))</formula>
    </cfRule>
  </conditionalFormatting>
  <conditionalFormatting sqref="S228:T228 W228">
    <cfRule type="containsText" dxfId="0" priority="434" operator="between" text="欠">
      <formula>NOT(ISERROR(SEARCH("欠",S228)))</formula>
    </cfRule>
  </conditionalFormatting>
  <conditionalFormatting sqref="S229:W229 S230:V238 V239:V255">
    <cfRule type="containsText" dxfId="0" priority="430" operator="between" text="欠">
      <formula>NOT(ISERROR(SEARCH("欠",S229)))</formula>
    </cfRule>
  </conditionalFormatting>
  <conditionalFormatting sqref="S239:U239 W239 U240:U250">
    <cfRule type="containsText" dxfId="0" priority="420" operator="between" text="欠">
      <formula>NOT(ISERROR(SEARCH("欠",S239)))</formula>
    </cfRule>
  </conditionalFormatting>
  <conditionalFormatting sqref="S240:T240 W240">
    <cfRule type="containsText" dxfId="0" priority="419" operator="between" text="欠">
      <formula>NOT(ISERROR(SEARCH("欠",S240)))</formula>
    </cfRule>
  </conditionalFormatting>
  <conditionalFormatting sqref="S241:T241 W241">
    <cfRule type="containsText" dxfId="0" priority="418" operator="between" text="欠">
      <formula>NOT(ISERROR(SEARCH("欠",S241)))</formula>
    </cfRule>
  </conditionalFormatting>
  <conditionalFormatting sqref="S242:T242 W242">
    <cfRule type="containsText" dxfId="0" priority="417" operator="between" text="欠">
      <formula>NOT(ISERROR(SEARCH("欠",S242)))</formula>
    </cfRule>
  </conditionalFormatting>
  <conditionalFormatting sqref="S243:T243 W243">
    <cfRule type="containsText" dxfId="0" priority="416" operator="between" text="欠">
      <formula>NOT(ISERROR(SEARCH("欠",S243)))</formula>
    </cfRule>
  </conditionalFormatting>
  <conditionalFormatting sqref="S244:T244 W244">
    <cfRule type="containsText" dxfId="0" priority="415" operator="between" text="欠">
      <formula>NOT(ISERROR(SEARCH("欠",S244)))</formula>
    </cfRule>
  </conditionalFormatting>
  <conditionalFormatting sqref="S245:T245 W245">
    <cfRule type="containsText" dxfId="0" priority="414" operator="between" text="欠">
      <formula>NOT(ISERROR(SEARCH("欠",S245)))</formula>
    </cfRule>
  </conditionalFormatting>
  <conditionalFormatting sqref="S246:T246 W246">
    <cfRule type="containsText" dxfId="0" priority="413" operator="between" text="欠">
      <formula>NOT(ISERROR(SEARCH("欠",S246)))</formula>
    </cfRule>
  </conditionalFormatting>
  <conditionalFormatting sqref="S247:T247 W247">
    <cfRule type="containsText" dxfId="0" priority="412" operator="between" text="欠">
      <formula>NOT(ISERROR(SEARCH("欠",S247)))</formula>
    </cfRule>
  </conditionalFormatting>
  <conditionalFormatting sqref="S248:T248 W248">
    <cfRule type="containsText" dxfId="0" priority="411" operator="between" text="欠">
      <formula>NOT(ISERROR(SEARCH("欠",S248)))</formula>
    </cfRule>
  </conditionalFormatting>
  <conditionalFormatting sqref="S249:T249 W249">
    <cfRule type="containsText" dxfId="0" priority="410" operator="between" text="欠">
      <formula>NOT(ISERROR(SEARCH("欠",S249)))</formula>
    </cfRule>
  </conditionalFormatting>
  <conditionalFormatting sqref="S250:T250 W250">
    <cfRule type="containsText" dxfId="0" priority="409" operator="between" text="欠">
      <formula>NOT(ISERROR(SEARCH("欠",S250)))</formula>
    </cfRule>
  </conditionalFormatting>
  <conditionalFormatting sqref="S251:U251 W251 U252:U255">
    <cfRule type="containsText" dxfId="0" priority="408" operator="between" text="欠">
      <formula>NOT(ISERROR(SEARCH("欠",S251)))</formula>
    </cfRule>
  </conditionalFormatting>
  <conditionalFormatting sqref="S252:T252 W252">
    <cfRule type="containsText" dxfId="0" priority="407" operator="between" text="欠">
      <formula>NOT(ISERROR(SEARCH("欠",S252)))</formula>
    </cfRule>
  </conditionalFormatting>
  <conditionalFormatting sqref="S253:T253 W253">
    <cfRule type="containsText" dxfId="0" priority="402" operator="between" text="欠">
      <formula>NOT(ISERROR(SEARCH("欠",S253)))</formula>
    </cfRule>
  </conditionalFormatting>
  <conditionalFormatting sqref="S254:T254 W254">
    <cfRule type="containsText" dxfId="0" priority="401" operator="between" text="欠">
      <formula>NOT(ISERROR(SEARCH("欠",S254)))</formula>
    </cfRule>
  </conditionalFormatting>
  <conditionalFormatting sqref="S255:T255 W255">
    <cfRule type="containsText" dxfId="0" priority="400" operator="between" text="欠">
      <formula>NOT(ISERROR(SEARCH("欠",S255)))</formula>
    </cfRule>
  </conditionalFormatting>
  <conditionalFormatting sqref="S256:U256 W256 U257:U259">
    <cfRule type="containsText" dxfId="0" priority="500" operator="between" text="欠">
      <formula>NOT(ISERROR(SEARCH("欠",S256)))</formula>
    </cfRule>
  </conditionalFormatting>
  <conditionalFormatting sqref="S257:T257 W257">
    <cfRule type="containsText" dxfId="0" priority="499" operator="between" text="欠">
      <formula>NOT(ISERROR(SEARCH("欠",S257)))</formula>
    </cfRule>
  </conditionalFormatting>
  <conditionalFormatting sqref="S258:T258 W258">
    <cfRule type="containsText" dxfId="0" priority="498" operator="between" text="欠">
      <formula>NOT(ISERROR(SEARCH("欠",S258)))</formula>
    </cfRule>
  </conditionalFormatting>
  <conditionalFormatting sqref="S259:T259 W259">
    <cfRule type="containsText" dxfId="0" priority="497" operator="between" text="欠">
      <formula>NOT(ISERROR(SEARCH("欠",S259)))</formula>
    </cfRule>
  </conditionalFormatting>
  <conditionalFormatting sqref="S260:U260 W260 U261:U272">
    <cfRule type="containsText" dxfId="0" priority="476" operator="between" text="欠">
      <formula>NOT(ISERROR(SEARCH("欠",S260)))</formula>
    </cfRule>
  </conditionalFormatting>
  <conditionalFormatting sqref="S261:T261 W261">
    <cfRule type="containsText" dxfId="0" priority="475" operator="between" text="欠">
      <formula>NOT(ISERROR(SEARCH("欠",S261)))</formula>
    </cfRule>
  </conditionalFormatting>
  <conditionalFormatting sqref="S262:T262 W262">
    <cfRule type="containsText" dxfId="0" priority="474" operator="between" text="欠">
      <formula>NOT(ISERROR(SEARCH("欠",S262)))</formula>
    </cfRule>
  </conditionalFormatting>
  <conditionalFormatting sqref="S263:T263 W263">
    <cfRule type="containsText" dxfId="0" priority="473" operator="between" text="欠">
      <formula>NOT(ISERROR(SEARCH("欠",S263)))</formula>
    </cfRule>
  </conditionalFormatting>
  <conditionalFormatting sqref="S264:T264 W264">
    <cfRule type="containsText" dxfId="0" priority="472" operator="between" text="欠">
      <formula>NOT(ISERROR(SEARCH("欠",S264)))</formula>
    </cfRule>
  </conditionalFormatting>
  <conditionalFormatting sqref="S265:T265 W265">
    <cfRule type="containsText" dxfId="0" priority="466" operator="between" text="欠">
      <formula>NOT(ISERROR(SEARCH("欠",S265)))</formula>
    </cfRule>
  </conditionalFormatting>
  <conditionalFormatting sqref="S266:T266 W266">
    <cfRule type="containsText" dxfId="0" priority="465" operator="between" text="欠">
      <formula>NOT(ISERROR(SEARCH("欠",S266)))</formula>
    </cfRule>
  </conditionalFormatting>
  <conditionalFormatting sqref="S267:T267 W267">
    <cfRule type="containsText" dxfId="0" priority="464" operator="between" text="欠">
      <formula>NOT(ISERROR(SEARCH("欠",S267)))</formula>
    </cfRule>
  </conditionalFormatting>
  <conditionalFormatting sqref="S268:T268 W268">
    <cfRule type="containsText" dxfId="0" priority="463" operator="between" text="欠">
      <formula>NOT(ISERROR(SEARCH("欠",S268)))</formula>
    </cfRule>
  </conditionalFormatting>
  <conditionalFormatting sqref="S269:T269 W269">
    <cfRule type="containsText" dxfId="0" priority="462" operator="between" text="欠">
      <formula>NOT(ISERROR(SEARCH("欠",S269)))</formula>
    </cfRule>
  </conditionalFormatting>
  <conditionalFormatting sqref="S270:T270 W270">
    <cfRule type="containsText" dxfId="0" priority="461" operator="between" text="欠">
      <formula>NOT(ISERROR(SEARCH("欠",S270)))</formula>
    </cfRule>
  </conditionalFormatting>
  <conditionalFormatting sqref="S271:T271 W271">
    <cfRule type="containsText" dxfId="0" priority="460" operator="between" text="欠">
      <formula>NOT(ISERROR(SEARCH("欠",S271)))</formula>
    </cfRule>
  </conditionalFormatting>
  <conditionalFormatting sqref="S272:T272 W272 S278:W281 U282 S316:W316 S323:W323 S329:W329">
    <cfRule type="containsText" dxfId="0" priority="459" operator="between" text="欠">
      <formula>NOT(ISERROR(SEARCH("欠",S272)))</formula>
    </cfRule>
  </conditionalFormatting>
  <conditionalFormatting sqref="O278:O281 O323 O316">
    <cfRule type="containsText" dxfId="0" priority="366" operator="between" text="欠">
      <formula>NOT(ISERROR(SEARCH("欠",O278)))</formula>
    </cfRule>
  </conditionalFormatting>
  <conditionalFormatting sqref="R278:R282 R323 R316 R329">
    <cfRule type="containsText" dxfId="0" priority="451" operator="between" text="欠">
      <formula>NOT(ISERROR(SEARCH("欠",R278)))</formula>
    </cfRule>
  </conditionalFormatting>
  <conditionalFormatting sqref="S282:T282 V282:W282">
    <cfRule type="containsText" dxfId="0" priority="368" operator="between" text="欠">
      <formula>NOT(ISERROR(SEARCH("欠",S282)))</formula>
    </cfRule>
  </conditionalFormatting>
  <conditionalFormatting sqref="R285 R283">
    <cfRule type="containsText" dxfId="0" priority="509" operator="between" text="欠">
      <formula>NOT(ISERROR(SEARCH("欠",R283)))</formula>
    </cfRule>
  </conditionalFormatting>
  <conditionalFormatting sqref="S288:W289">
    <cfRule type="containsText" dxfId="0" priority="503" operator="between" text="欠">
      <formula>NOT(ISERROR(SEARCH("欠",S288)))</formula>
    </cfRule>
  </conditionalFormatting>
  <conditionalFormatting sqref="R291:W292 R300">
    <cfRule type="containsText" dxfId="0" priority="361" operator="between" text="欠">
      <formula>NOT(ISERROR(SEARCH("欠",R291)))</formula>
    </cfRule>
  </conditionalFormatting>
  <conditionalFormatting sqref="R295:W298 R306:W306">
    <cfRule type="containsText" dxfId="0" priority="359" operator="between" text="欠">
      <formula>NOT(ISERROR(SEARCH("欠",R295)))</formula>
    </cfRule>
  </conditionalFormatting>
  <conditionalFormatting sqref="R299 R301">
    <cfRule type="containsText" dxfId="0" priority="365" operator="between" text="欠">
      <formula>NOT(ISERROR(SEARCH("欠",R299)))</formula>
    </cfRule>
  </conditionalFormatting>
  <conditionalFormatting sqref="S299:T299 V299:W299">
    <cfRule type="containsText" dxfId="0" priority="450" operator="between" text="欠">
      <formula>NOT(ISERROR(SEARCH("欠",S299)))</formula>
    </cfRule>
  </conditionalFormatting>
  <conditionalFormatting sqref="S301:T301 V301:W301">
    <cfRule type="containsText" dxfId="0" priority="448" operator="between" text="欠">
      <formula>NOT(ISERROR(SEARCH("欠",S301)))</formula>
    </cfRule>
  </conditionalFormatting>
  <conditionalFormatting sqref="R305:W305 R307:W307 R314:W314">
    <cfRule type="containsText" dxfId="0" priority="519" operator="between" text="欠">
      <formula>NOT(ISERROR(SEARCH("欠",R305)))</formula>
    </cfRule>
  </conditionalFormatting>
  <conditionalFormatting sqref="R308:W308 R309:R313 U309:U313 R315 U315 R317:R322 U317:U322">
    <cfRule type="containsText" dxfId="0" priority="357" operator="between" text="欠">
      <formula>NOT(ISERROR(SEARCH("欠",R308)))</formula>
    </cfRule>
  </conditionalFormatting>
  <conditionalFormatting sqref="S309:T309 V309:W309">
    <cfRule type="containsText" dxfId="0" priority="356" operator="between" text="欠">
      <formula>NOT(ISERROR(SEARCH("欠",S309)))</formula>
    </cfRule>
  </conditionalFormatting>
  <conditionalFormatting sqref="S310:T310 V310:W310">
    <cfRule type="containsText" dxfId="0" priority="355" operator="between" text="欠">
      <formula>NOT(ISERROR(SEARCH("欠",S310)))</formula>
    </cfRule>
  </conditionalFormatting>
  <conditionalFormatting sqref="S311:T311 V311:W311">
    <cfRule type="containsText" dxfId="0" priority="354" operator="between" text="欠">
      <formula>NOT(ISERROR(SEARCH("欠",S311)))</formula>
    </cfRule>
  </conditionalFormatting>
  <conditionalFormatting sqref="U312:V312 S312:S313 S317:S322 S315">
    <cfRule type="containsText" dxfId="0" priority="353" operator="between" text="欠">
      <formula>NOT(ISERROR(SEARCH("欠",S312)))</formula>
    </cfRule>
  </conditionalFormatting>
  <conditionalFormatting sqref="V313:W313 V315:W315 V317:W322">
    <cfRule type="containsText" dxfId="0" priority="352" operator="between" text="欠">
      <formula>NOT(ISERROR(SEARCH("欠",V313)))</formula>
    </cfRule>
  </conditionalFormatting>
  <conditionalFormatting sqref="Q323 Q316 Q329">
    <cfRule type="containsText" dxfId="0" priority="360" operator="between" text="欠">
      <formula>NOT(ISERROR(SEARCH("欠",Q316)))</formula>
    </cfRule>
  </conditionalFormatting>
  <conditionalFormatting sqref="R328:W328 R330:W330 R331:V335 R340:V348 R351:V351 R352 U352:V352">
    <cfRule type="containsText" dxfId="0" priority="358" operator="between" text="欠">
      <formula>NOT(ISERROR(SEARCH("欠",R328)))</formula>
    </cfRule>
  </conditionalFormatting>
  <conditionalFormatting sqref="W331:W348 W351">
    <cfRule type="containsText" dxfId="0" priority="348" operator="between" text="欠">
      <formula>NOT(ISERROR(SEARCH("欠",W331)))</formula>
    </cfRule>
  </conditionalFormatting>
  <conditionalFormatting sqref="R337:V337 R338 U338">
    <cfRule type="containsText" dxfId="0" priority="347" operator="between" text="欠">
      <formula>NOT(ISERROR(SEARCH("欠",R337)))</formula>
    </cfRule>
  </conditionalFormatting>
  <conditionalFormatting sqref="S338:T338 V338">
    <cfRule type="containsText" dxfId="0" priority="346" operator="between" text="欠">
      <formula>NOT(ISERROR(SEARCH("欠",S338)))</formula>
    </cfRule>
  </conditionalFormatting>
  <conditionalFormatting sqref="R349:V350">
    <cfRule type="containsText" dxfId="0" priority="341" operator="between" text="欠">
      <formula>NOT(ISERROR(SEARCH("欠",R349)))</formula>
    </cfRule>
  </conditionalFormatting>
  <conditionalFormatting sqref="R353 U353:V355">
    <cfRule type="containsText" dxfId="0" priority="337" operator="between" text="欠">
      <formula>NOT(ISERROR(SEARCH("欠",R353)))</formula>
    </cfRule>
  </conditionalFormatting>
  <conditionalFormatting sqref="S353:T357 S362:T376 S381:T381 S383:T385 S387:T388 S402:T404">
    <cfRule type="containsText" dxfId="0" priority="336" operator="between" text="欠">
      <formula>NOT(ISERROR(SEARCH("欠",S353)))</formula>
    </cfRule>
  </conditionalFormatting>
  <conditionalFormatting sqref="R356:R357 U356:V357 R362:R365 U362:V365 R371 U371:V371">
    <cfRule type="containsText" dxfId="0" priority="334" operator="between" text="欠">
      <formula>NOT(ISERROR(SEARCH("欠",R356)))</formula>
    </cfRule>
  </conditionalFormatting>
  <conditionalFormatting sqref="W356:W357 W362:W365 W371">
    <cfRule type="containsText" dxfId="0" priority="332" operator="between" text="欠">
      <formula>NOT(ISERROR(SEARCH("欠",W356)))</formula>
    </cfRule>
  </conditionalFormatting>
  <conditionalFormatting sqref="R358:R361 T360:T361 T359:U359 T358">
    <cfRule type="containsText" dxfId="0" priority="325" operator="between" text="欠">
      <formula>NOT(ISERROR(SEARCH("欠",R358)))</formula>
    </cfRule>
  </conditionalFormatting>
  <conditionalFormatting sqref="S358:T358 S360:T361">
    <cfRule type="containsText" dxfId="0" priority="323" operator="between" text="欠">
      <formula>NOT(ISERROR(SEARCH("欠",S358)))</formula>
    </cfRule>
  </conditionalFormatting>
  <conditionalFormatting sqref="V358 V360:V361">
    <cfRule type="containsText" dxfId="0" priority="322" operator="between" text="欠">
      <formula>NOT(ISERROR(SEARCH("欠",V358)))</formula>
    </cfRule>
  </conditionalFormatting>
  <conditionalFormatting sqref="W358 W360:W361">
    <cfRule type="containsText" dxfId="0" priority="321" operator="between" text="欠">
      <formula>NOT(ISERROR(SEARCH("欠",W358)))</formula>
    </cfRule>
  </conditionalFormatting>
  <conditionalFormatting sqref="R366:R370 R402:R404 R372:R376 R387:R388 R383:R385">
    <cfRule type="containsText" dxfId="0" priority="327" operator="between" text="欠">
      <formula>NOT(ISERROR(SEARCH("欠",R366)))</formula>
    </cfRule>
  </conditionalFormatting>
  <conditionalFormatting sqref="U366:V370 U372:V376 V381 V403">
    <cfRule type="containsText" dxfId="0" priority="331" operator="between" text="欠">
      <formula>NOT(ISERROR(SEARCH("欠",U366)))</formula>
    </cfRule>
  </conditionalFormatting>
  <conditionalFormatting sqref="W366:W370 W372:W376 W381 W403">
    <cfRule type="containsText" dxfId="0" priority="329" operator="between" text="欠">
      <formula>NOT(ISERROR(SEARCH("欠",W366)))</formula>
    </cfRule>
  </conditionalFormatting>
  <conditionalFormatting sqref="R377 R411 R400:R401 R389 R380:R381">
    <cfRule type="containsText" dxfId="0" priority="292" operator="between" text="欠">
      <formula>NOT(ISERROR(SEARCH("欠",R377)))</formula>
    </cfRule>
  </conditionalFormatting>
  <conditionalFormatting sqref="S377:T377 S386:T386 S389:T391 S400:T401 S411:T411">
    <cfRule type="containsText" dxfId="0" priority="316" operator="between" text="欠">
      <formula>NOT(ISERROR(SEARCH("欠",S377)))</formula>
    </cfRule>
  </conditionalFormatting>
  <conditionalFormatting sqref="U377:V377 V383:V385 U386:V386 V387:V388 U389:V390 U400:V401 U402:U403 U404:V404 U411:V411">
    <cfRule type="containsText" dxfId="0" priority="315" operator="between" text="欠">
      <formula>NOT(ISERROR(SEARCH("欠",U377)))</formula>
    </cfRule>
  </conditionalFormatting>
  <conditionalFormatting sqref="W377 W383:W390 W400:W401 W404 W411">
    <cfRule type="containsText" dxfId="0" priority="314" operator="between" text="欠">
      <formula>NOT(ISERROR(SEARCH("欠",W377)))</formula>
    </cfRule>
  </conditionalFormatting>
  <conditionalFormatting sqref="U380:V380 U381">
    <cfRule type="containsText" dxfId="0" priority="305" operator="between" text="欠">
      <formula>NOT(ISERROR(SEARCH("欠",U380)))</formula>
    </cfRule>
  </conditionalFormatting>
  <conditionalFormatting sqref="U382:U385 U387:U388 U392">
    <cfRule type="containsText" dxfId="0" priority="286" operator="between" text="欠">
      <formula>NOT(ISERROR(SEARCH("欠",U382)))</formula>
    </cfRule>
  </conditionalFormatting>
  <conditionalFormatting sqref="R386 R390">
    <cfRule type="containsText" dxfId="0" priority="313" operator="between" text="欠">
      <formula>NOT(ISERROR(SEARCH("欠",R386)))</formula>
    </cfRule>
  </conditionalFormatting>
  <conditionalFormatting sqref="U391:V391 V392 U393:V393 U399:V399">
    <cfRule type="containsText" dxfId="0" priority="272" operator="between" text="欠">
      <formula>NOT(ISERROR(SEARCH("欠",U391)))</formula>
    </cfRule>
  </conditionalFormatting>
  <conditionalFormatting sqref="S392:T393">
    <cfRule type="containsText" dxfId="0" priority="273" operator="between" text="欠">
      <formula>NOT(ISERROR(SEARCH("欠",S392)))</formula>
    </cfRule>
  </conditionalFormatting>
  <conditionalFormatting sqref="R394:R395 R397">
    <cfRule type="containsText" dxfId="0" priority="288" operator="between" text="欠">
      <formula>NOT(ISERROR(SEARCH("欠",R394)))</formula>
    </cfRule>
  </conditionalFormatting>
  <conditionalFormatting sqref="S394:T395 S397:T397">
    <cfRule type="containsText" dxfId="0" priority="291" operator="between" text="欠">
      <formula>NOT(ISERROR(SEARCH("欠",S394)))</formula>
    </cfRule>
  </conditionalFormatting>
  <conditionalFormatting sqref="U394:V395 U397:V397">
    <cfRule type="containsText" dxfId="0" priority="290" operator="between" text="欠">
      <formula>NOT(ISERROR(SEARCH("欠",U394)))</formula>
    </cfRule>
  </conditionalFormatting>
  <conditionalFormatting sqref="W394:W395 W397">
    <cfRule type="containsText" dxfId="0" priority="289" operator="between" text="欠">
      <formula>NOT(ISERROR(SEARCH("欠",W394)))</formula>
    </cfRule>
  </conditionalFormatting>
  <conditionalFormatting sqref="R398 R407">
    <cfRule type="containsText" dxfId="0" priority="274" operator="between" text="欠">
      <formula>NOT(ISERROR(SEARCH("欠",R398)))</formula>
    </cfRule>
  </conditionalFormatting>
  <conditionalFormatting sqref="S398:T399">
    <cfRule type="containsText" dxfId="0" priority="278" operator="between" text="欠">
      <formula>NOT(ISERROR(SEARCH("欠",S398)))</formula>
    </cfRule>
  </conditionalFormatting>
  <conditionalFormatting sqref="S405:T406">
    <cfRule type="containsText" dxfId="0" priority="264" operator="between" text="欠">
      <formula>NOT(ISERROR(SEARCH("欠",S405)))</formula>
    </cfRule>
  </conditionalFormatting>
  <conditionalFormatting sqref="U405:V406">
    <cfRule type="containsText" dxfId="0" priority="263" operator="between" text="欠">
      <formula>NOT(ISERROR(SEARCH("欠",U405)))</formula>
    </cfRule>
  </conditionalFormatting>
  <conditionalFormatting sqref="S407:T407 S412:T412 S414:T417">
    <cfRule type="containsText" dxfId="0" priority="282" operator="between" text="欠">
      <formula>NOT(ISERROR(SEARCH("欠",S407)))</formula>
    </cfRule>
  </conditionalFormatting>
  <conditionalFormatting sqref="U407:V407 U412:V412 V414 U415:V417">
    <cfRule type="containsText" dxfId="0" priority="281" operator="between" text="欠">
      <formula>NOT(ISERROR(SEARCH("欠",U407)))</formula>
    </cfRule>
  </conditionalFormatting>
  <conditionalFormatting sqref="W407 W412 W414:W417">
    <cfRule type="containsText" dxfId="0" priority="280" operator="between" text="欠">
      <formula>NOT(ISERROR(SEARCH("欠",W407)))</formula>
    </cfRule>
  </conditionalFormatting>
  <conditionalFormatting sqref="R412 R426 R408:R410 R422 R446">
    <cfRule type="containsText" dxfId="0" priority="253" operator="between" text="欠">
      <formula>NOT(ISERROR(SEARCH("欠",R408)))</formula>
    </cfRule>
  </conditionalFormatting>
  <conditionalFormatting sqref="S408:T409">
    <cfRule type="containsText" dxfId="0" priority="256" operator="between" text="欠">
      <formula>NOT(ISERROR(SEARCH("欠",S408)))</formula>
    </cfRule>
  </conditionalFormatting>
  <conditionalFormatting sqref="U408:V409">
    <cfRule type="containsText" dxfId="0" priority="255" operator="between" text="欠">
      <formula>NOT(ISERROR(SEARCH("欠",U408)))</formula>
    </cfRule>
  </conditionalFormatting>
  <conditionalFormatting sqref="U413:V413 U414">
    <cfRule type="containsText" dxfId="0" priority="230" operator="between" text="欠">
      <formula>NOT(ISERROR(SEARCH("欠",U413)))</formula>
    </cfRule>
  </conditionalFormatting>
  <conditionalFormatting sqref="U419:V419 U420">
    <cfRule type="containsText" dxfId="0" priority="225" operator="between" text="欠">
      <formula>NOT(ISERROR(SEARCH("欠",U419)))</formula>
    </cfRule>
  </conditionalFormatting>
  <conditionalFormatting sqref="S422:T422 S426:T426 S436:T436 S446:T446 S449:T449">
    <cfRule type="containsText" dxfId="0" priority="244" operator="between" text="欠">
      <formula>NOT(ISERROR(SEARCH("欠",S422)))</formula>
    </cfRule>
  </conditionalFormatting>
  <conditionalFormatting sqref="U422:V422 U426:V426 U436:V436 U446:V446 U449:V449">
    <cfRule type="containsText" dxfId="0" priority="243" operator="between" text="欠">
      <formula>NOT(ISERROR(SEARCH("欠",U422)))</formula>
    </cfRule>
  </conditionalFormatting>
  <conditionalFormatting sqref="R427 R425">
    <cfRule type="containsText" dxfId="0" priority="203" operator="between" text="欠">
      <formula>NOT(ISERROR(SEARCH("欠",R425)))</formula>
    </cfRule>
  </conditionalFormatting>
  <conditionalFormatting sqref="S425:T425 S427:T427">
    <cfRule type="containsText" dxfId="0" priority="206" operator="between" text="欠">
      <formula>NOT(ISERROR(SEARCH("欠",S425)))</formula>
    </cfRule>
  </conditionalFormatting>
  <conditionalFormatting sqref="U425:V425 U427:V427 U431">
    <cfRule type="containsText" dxfId="0" priority="205" operator="between" text="欠">
      <formula>NOT(ISERROR(SEARCH("欠",U425)))</formula>
    </cfRule>
  </conditionalFormatting>
  <conditionalFormatting sqref="W425 W427">
    <cfRule type="containsText" dxfId="0" priority="204" operator="between" text="欠">
      <formula>NOT(ISERROR(SEARCH("欠",W425)))</formula>
    </cfRule>
  </conditionalFormatting>
  <conditionalFormatting sqref="R428:R430 R434 R492:R497">
    <cfRule type="containsText" dxfId="0" priority="195" operator="between" text="欠">
      <formula>NOT(ISERROR(SEARCH("欠",R428)))</formula>
    </cfRule>
  </conditionalFormatting>
  <conditionalFormatting sqref="S428:T430 S434:T434">
    <cfRule type="containsText" dxfId="0" priority="202" operator="between" text="欠">
      <formula>NOT(ISERROR(SEARCH("欠",S428)))</formula>
    </cfRule>
  </conditionalFormatting>
  <conditionalFormatting sqref="U428:V430 U434">
    <cfRule type="containsText" dxfId="0" priority="201" operator="between" text="欠">
      <formula>NOT(ISERROR(SEARCH("欠",U428)))</formula>
    </cfRule>
  </conditionalFormatting>
  <conditionalFormatting sqref="R432:W432 R433 U433:V433 R460:R462">
    <cfRule type="containsText" dxfId="0" priority="180" operator="between" text="欠">
      <formula>NOT(ISERROR(SEARCH("欠",R432)))</formula>
    </cfRule>
  </conditionalFormatting>
  <conditionalFormatting sqref="S433:T433 W433">
    <cfRule type="containsText" dxfId="0" priority="179" operator="between" text="欠">
      <formula>NOT(ISERROR(SEARCH("欠",S433)))</formula>
    </cfRule>
  </conditionalFormatting>
  <conditionalFormatting sqref="R436:R438 R448">
    <cfRule type="containsText" dxfId="0" priority="158" operator="between" text="欠">
      <formula>NOT(ISERROR(SEARCH("欠",R436)))</formula>
    </cfRule>
  </conditionalFormatting>
  <conditionalFormatting sqref="W436 W446 W449">
    <cfRule type="containsText" dxfId="0" priority="246" operator="between" text="欠">
      <formula>NOT(ISERROR(SEARCH("欠",W436)))</formula>
    </cfRule>
  </conditionalFormatting>
  <conditionalFormatting sqref="S437:U438">
    <cfRule type="containsText" dxfId="0" priority="164" operator="between" text="欠">
      <formula>NOT(ISERROR(SEARCH("欠",S437)))</formula>
    </cfRule>
  </conditionalFormatting>
  <conditionalFormatting sqref="R439:R440 R444:R445 V470 T470 R469:V469 R470:R472">
    <cfRule type="containsText" dxfId="0" priority="177" operator="between" text="欠">
      <formula>NOT(ISERROR(SEARCH("欠",R439)))</formula>
    </cfRule>
  </conditionalFormatting>
  <conditionalFormatting sqref="S439:W439 U445">
    <cfRule type="containsText" dxfId="0" priority="172" operator="between" text="欠">
      <formula>NOT(ISERROR(SEARCH("欠",S439)))</formula>
    </cfRule>
  </conditionalFormatting>
  <conditionalFormatting sqref="R441:R442 R451">
    <cfRule type="containsText" dxfId="0" priority="151" operator="between" text="欠">
      <formula>NOT(ISERROR(SEARCH("欠",R441)))</formula>
    </cfRule>
  </conditionalFormatting>
  <conditionalFormatting sqref="S445:T445 V445:W445">
    <cfRule type="containsText" dxfId="0" priority="170" operator="between" text="欠">
      <formula>NOT(ISERROR(SEARCH("欠",S445)))</formula>
    </cfRule>
  </conditionalFormatting>
  <conditionalFormatting sqref="S447:U447 U454">
    <cfRule type="containsText" dxfId="0" priority="148" operator="between" text="欠">
      <formula>NOT(ISERROR(SEARCH("欠",S447)))</formula>
    </cfRule>
  </conditionalFormatting>
  <conditionalFormatting sqref="R449 R498:R504">
    <cfRule type="containsText" dxfId="0" priority="156" operator="between" text="欠">
      <formula>NOT(ISERROR(SEARCH("欠",R449)))</formula>
    </cfRule>
  </conditionalFormatting>
  <conditionalFormatting sqref="S452:U452 U453">
    <cfRule type="containsText" dxfId="0" priority="128" operator="between" text="欠">
      <formula>NOT(ISERROR(SEARCH("欠",S452)))</formula>
    </cfRule>
  </conditionalFormatting>
  <conditionalFormatting sqref="S455:U455 U456">
    <cfRule type="containsText" dxfId="0" priority="99" operator="between" text="欠">
      <formula>NOT(ISERROR(SEARCH("欠",S455)))</formula>
    </cfRule>
  </conditionalFormatting>
  <conditionalFormatting sqref="R457:R459 R466:R468 R488">
    <cfRule type="containsText" dxfId="0" priority="96" operator="between" text="欠">
      <formula>NOT(ISERROR(SEARCH("欠",R457)))</formula>
    </cfRule>
  </conditionalFormatting>
  <conditionalFormatting sqref="S457:T458">
    <cfRule type="containsText" dxfId="0" priority="118" operator="between" text="欠">
      <formula>NOT(ISERROR(SEARCH("欠",S457)))</formula>
    </cfRule>
  </conditionalFormatting>
  <conditionalFormatting sqref="U457:U459 U514:U518">
    <cfRule type="containsText" dxfId="0" priority="95" operator="between" text="欠">
      <formula>NOT(ISERROR(SEARCH("欠",U457)))</formula>
    </cfRule>
  </conditionalFormatting>
  <conditionalFormatting sqref="S460:W460 S462:U463 W462:W463 S471:U471">
    <cfRule type="containsText" dxfId="0" priority="188" operator="between" text="欠">
      <formula>NOT(ISERROR(SEARCH("欠",S460)))</formula>
    </cfRule>
  </conditionalFormatting>
  <conditionalFormatting sqref="R464:R465 R469:R470">
    <cfRule type="containsText" dxfId="0" priority="132" operator="between" text="欠">
      <formula>NOT(ISERROR(SEARCH("欠",R464)))</formula>
    </cfRule>
  </conditionalFormatting>
  <conditionalFormatting sqref="S473:T473 V473">
    <cfRule type="containsText" dxfId="0" priority="176" operator="between" text="欠">
      <formula>NOT(ISERROR(SEARCH("欠",S473)))</formula>
    </cfRule>
  </conditionalFormatting>
  <conditionalFormatting sqref="V474:W474 V475:V476">
    <cfRule type="containsText" dxfId="0" priority="13" operator="between" text="欠">
      <formula>NOT(ISERROR(SEARCH("欠",V474)))</formula>
    </cfRule>
  </conditionalFormatting>
  <conditionalFormatting sqref="S477:T477 V477:W477">
    <cfRule type="containsText" dxfId="0" priority="56" operator="between" text="欠">
      <formula>NOT(ISERROR(SEARCH("欠",S477)))</formula>
    </cfRule>
  </conditionalFormatting>
  <conditionalFormatting sqref="S478:T478 V478:W478">
    <cfRule type="containsText" dxfId="0" priority="51" operator="between" text="欠">
      <formula>NOT(ISERROR(SEARCH("欠",S478)))</formula>
    </cfRule>
  </conditionalFormatting>
  <conditionalFormatting sqref="S479:T479 V479:W479">
    <cfRule type="containsText" dxfId="0" priority="47" operator="between" text="欠">
      <formula>NOT(ISERROR(SEARCH("欠",S479)))</formula>
    </cfRule>
  </conditionalFormatting>
  <conditionalFormatting sqref="S481:T481 V481:W481">
    <cfRule type="containsText" dxfId="0" priority="53" operator="between" text="欠">
      <formula>NOT(ISERROR(SEARCH("欠",S481)))</formula>
    </cfRule>
  </conditionalFormatting>
  <conditionalFormatting sqref="S482:T482 V482:W482">
    <cfRule type="containsText" dxfId="0" priority="49" operator="between" text="欠">
      <formula>NOT(ISERROR(SEARCH("欠",S482)))</formula>
    </cfRule>
  </conditionalFormatting>
  <conditionalFormatting sqref="S483:T483 V483:W483">
    <cfRule type="containsText" dxfId="0" priority="45" operator="between" text="欠">
      <formula>NOT(ISERROR(SEARCH("欠",S483)))</formula>
    </cfRule>
  </conditionalFormatting>
  <conditionalFormatting sqref="S490:V490 S491:U491">
    <cfRule type="containsText" dxfId="0" priority="175" operator="between" text="欠">
      <formula>NOT(ISERROR(SEARCH("欠",S490)))</formula>
    </cfRule>
  </conditionalFormatting>
  <conditionalFormatting sqref="S492:T496">
    <cfRule type="containsText" dxfId="0" priority="198" operator="between" text="欠">
      <formula>NOT(ISERROR(SEARCH("欠",S492)))</formula>
    </cfRule>
  </conditionalFormatting>
  <conditionalFormatting sqref="U492:V497">
    <cfRule type="containsText" dxfId="0" priority="197" operator="between" text="欠">
      <formula>NOT(ISERROR(SEARCH("欠",U492)))</formula>
    </cfRule>
  </conditionalFormatting>
  <conditionalFormatting sqref="S494:U494 S495:T495">
    <cfRule type="containsText" dxfId="0" priority="168" operator="between" text="欠">
      <formula>NOT(ISERROR(SEARCH("欠",S494)))</formula>
    </cfRule>
  </conditionalFormatting>
  <conditionalFormatting sqref="V498:W501 W511:W535">
    <cfRule type="containsText" dxfId="0" priority="6" operator="between" text="欠">
      <formula>NOT(ISERROR(SEARCH("欠",V498)))</formula>
    </cfRule>
  </conditionalFormatting>
  <conditionalFormatting sqref="S504:T560">
    <cfRule type="containsText" dxfId="0" priority="18" operator="between" text="欠">
      <formula>NOT(ISERROR(SEARCH("欠",S504)))</formula>
    </cfRule>
  </conditionalFormatting>
  <conditionalFormatting sqref="U507:U514 U529:U530 U537:U559">
    <cfRule type="containsText" dxfId="0" priority="9" operator="between" text="欠">
      <formula>NOT(ISERROR(SEARCH("欠",U507)))</formula>
    </cfRule>
  </conditionalFormatting>
  <conditionalFormatting sqref="S513:T521">
    <cfRule type="containsText" dxfId="0" priority="7" operator="between" text="欠">
      <formula>NOT(ISERROR(SEARCH("欠",S513)))</formula>
    </cfRule>
  </conditionalFormatting>
  <conditionalFormatting sqref="S513:T514">
    <cfRule type="containsText" dxfId="0" priority="88" operator="between" text="欠">
      <formula>NOT(ISERROR(SEARCH("欠",S513)))</formula>
    </cfRule>
  </conditionalFormatting>
  <conditionalFormatting sqref="V513:W514">
    <cfRule type="containsText" dxfId="0" priority="85" operator="between" text="欠">
      <formula>NOT(ISERROR(SEARCH("欠",V513)))</formula>
    </cfRule>
  </conditionalFormatting>
  <pageMargins left="0" right="0.0791666666666667" top="0.309027777777778" bottom="0.309027777777778" header="0.5" footer="0.5"/>
  <pageSetup paperSize="9" scale="50" orientation="landscape" horizontalDpi="600"/>
  <headerFooter alignWithMargins="0" scaleWithDoc="0"/>
  <ignoredErrors>
    <ignoredError sqref="E4 E117" numberStoredAsText="1"/>
    <ignoredError sqref="BI514:BU516 BI504:BU512 BI518:BS518 BI406:BU500 BN517:BS517 BI502:BU502"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36"/>
  <sheetViews>
    <sheetView zoomScale="85" zoomScaleNormal="85" workbookViewId="0">
      <pane xSplit="1" ySplit="4" topLeftCell="F52" activePane="bottomRight" state="frozen"/>
      <selection/>
      <selection pane="topRight"/>
      <selection pane="bottomLeft"/>
      <selection pane="bottomRight" activeCell="F3" sqref="$A1:$XFD1048576"/>
    </sheetView>
  </sheetViews>
  <sheetFormatPr defaultColWidth="9" defaultRowHeight="14.25"/>
  <cols>
    <col min="1" max="1" width="10.3333333333333" style="414"/>
    <col min="2" max="2" width="10.625" style="414" customWidth="1"/>
    <col min="3" max="3" width="12.85" style="414" customWidth="1"/>
    <col min="4" max="4" width="9.29166666666667" style="414" hidden="1" customWidth="1"/>
    <col min="5" max="5" width="9" style="414" hidden="1" customWidth="1"/>
    <col min="6" max="6" width="9" style="414"/>
    <col min="7" max="8" width="9" style="414" hidden="1" customWidth="1"/>
    <col min="9" max="9" width="9" style="414"/>
    <col min="10" max="10" width="7.76666666666667" style="414" hidden="1" customWidth="1"/>
    <col min="11" max="11" width="11.7666666666667" style="414" hidden="1" customWidth="1"/>
    <col min="12" max="12" width="11.7666666666667" style="414" customWidth="1"/>
    <col min="13" max="13" width="9" style="414"/>
    <col min="14" max="14" width="10.5" style="414"/>
    <col min="15" max="15" width="10.7083333333333" style="414" hidden="1" customWidth="1"/>
    <col min="16" max="16" width="10.7083333333333" style="414" customWidth="1"/>
    <col min="17" max="17" width="13.4083333333333" style="414" customWidth="1"/>
    <col min="18" max="20" width="11.0583333333333" style="414" customWidth="1"/>
    <col min="21" max="21" width="31.2916666666667" style="414" customWidth="1"/>
    <col min="22" max="22" width="29.4083333333333" style="414" customWidth="1"/>
    <col min="23" max="16307" width="9" style="414"/>
  </cols>
  <sheetData>
    <row r="1" ht="39" customHeight="1" spans="1:22 16313:16384">
      <c r="A1" s="415" t="s">
        <v>2533</v>
      </c>
      <c r="B1" s="415"/>
      <c r="C1" s="415"/>
      <c r="D1" s="415"/>
      <c r="E1" s="415"/>
      <c r="F1" s="415"/>
      <c r="G1" s="415"/>
      <c r="H1" s="415"/>
      <c r="I1" s="415"/>
      <c r="J1" s="415"/>
      <c r="K1" s="415"/>
      <c r="L1" s="415"/>
      <c r="M1" s="415"/>
      <c r="N1" s="415"/>
      <c r="O1" s="415"/>
      <c r="P1" s="415"/>
      <c r="Q1" s="415"/>
      <c r="R1" s="415"/>
      <c r="S1" s="416"/>
      <c r="T1" s="416"/>
    </row>
    <row r="2" ht="19" customHeight="1" spans="1:22 16313:16384">
      <c r="A2" s="417" t="s">
        <v>2534</v>
      </c>
      <c r="B2" s="418" t="s">
        <v>2535</v>
      </c>
      <c r="C2" s="419" t="s">
        <v>2536</v>
      </c>
      <c r="D2" s="420" t="s">
        <v>2537</v>
      </c>
      <c r="E2" s="420"/>
      <c r="F2" s="420"/>
      <c r="G2" s="420"/>
      <c r="H2" s="420"/>
      <c r="I2" s="420"/>
      <c r="J2" s="420"/>
      <c r="K2" s="420"/>
      <c r="L2" s="420"/>
      <c r="M2" s="420"/>
      <c r="N2" s="420"/>
      <c r="O2" s="421"/>
      <c r="P2" s="421"/>
      <c r="Q2" s="421"/>
      <c r="R2" s="421"/>
      <c r="S2" s="421"/>
      <c r="T2" s="421"/>
    </row>
    <row r="3" s="409" customFormat="1" ht="42" customHeight="1" spans="1:22 16313:16384">
      <c r="A3" s="422"/>
      <c r="B3" s="423"/>
      <c r="C3" s="422"/>
      <c r="D3" s="424" t="s">
        <v>2538</v>
      </c>
      <c r="E3" s="424" t="s">
        <v>2538</v>
      </c>
      <c r="F3" s="425" t="s">
        <v>2539</v>
      </c>
      <c r="G3" s="426" t="s">
        <v>2540</v>
      </c>
      <c r="H3" s="426" t="s">
        <v>2540</v>
      </c>
      <c r="I3" s="425" t="s">
        <v>2540</v>
      </c>
      <c r="J3" s="427" t="s">
        <v>2541</v>
      </c>
      <c r="K3" s="427" t="s">
        <v>2541</v>
      </c>
      <c r="L3" s="428" t="s">
        <v>2541</v>
      </c>
      <c r="M3" s="429" t="s">
        <v>2542</v>
      </c>
      <c r="N3" s="429" t="s">
        <v>49</v>
      </c>
      <c r="O3" s="251" t="s">
        <v>2543</v>
      </c>
      <c r="P3" s="430" t="s">
        <v>2543</v>
      </c>
      <c r="Q3" s="251" t="s">
        <v>2544</v>
      </c>
      <c r="R3" s="251" t="s">
        <v>2545</v>
      </c>
      <c r="S3" s="251" t="s">
        <v>2546</v>
      </c>
      <c r="T3" s="251" t="s">
        <v>61</v>
      </c>
      <c r="XCK3" s="431"/>
      <c r="XCL3" s="431"/>
      <c r="XCM3" s="431"/>
      <c r="XCN3" s="431"/>
      <c r="XCO3" s="431"/>
      <c r="XCP3" s="431"/>
      <c r="XCQ3" s="431"/>
      <c r="XCR3" s="431"/>
      <c r="XCS3" s="431"/>
      <c r="XCT3" s="431"/>
      <c r="XCU3" s="431"/>
      <c r="XCV3" s="431"/>
      <c r="XCW3" s="431"/>
      <c r="XCX3" s="431"/>
      <c r="XCY3" s="431"/>
      <c r="XCZ3" s="431"/>
      <c r="XDA3" s="431"/>
      <c r="XDB3" s="431"/>
      <c r="XDC3" s="431"/>
      <c r="XDD3" s="431"/>
      <c r="XDE3" s="431"/>
      <c r="XDF3" s="431"/>
      <c r="XDG3" s="431"/>
      <c r="XDH3" s="431"/>
      <c r="XDI3" s="431"/>
      <c r="XDJ3" s="431"/>
      <c r="XDK3" s="431"/>
      <c r="XDL3" s="431"/>
      <c r="XDM3" s="431"/>
      <c r="XDN3" s="431"/>
      <c r="XDO3" s="431"/>
      <c r="XDP3" s="431"/>
      <c r="XDQ3" s="431"/>
      <c r="XDR3" s="431"/>
      <c r="XDS3" s="431"/>
      <c r="XDT3" s="431"/>
      <c r="XDU3" s="431"/>
      <c r="XDV3" s="431"/>
      <c r="XDW3" s="431"/>
      <c r="XDX3" s="431"/>
      <c r="XDY3" s="431"/>
      <c r="XDZ3" s="431"/>
      <c r="XEA3" s="431"/>
      <c r="XEB3" s="431"/>
      <c r="XEC3" s="431"/>
      <c r="XED3" s="431"/>
      <c r="XEE3" s="431"/>
      <c r="XEF3" s="431"/>
      <c r="XEG3" s="431"/>
      <c r="XEH3" s="431"/>
      <c r="XEI3" s="431"/>
      <c r="XEJ3" s="431"/>
      <c r="XEK3" s="431"/>
      <c r="XEL3" s="431"/>
      <c r="XEM3" s="431"/>
      <c r="XEN3" s="431"/>
      <c r="XEO3" s="431"/>
      <c r="XEP3" s="431"/>
      <c r="XEQ3" s="431"/>
      <c r="XER3" s="431"/>
      <c r="XES3" s="431"/>
      <c r="XET3" s="431"/>
      <c r="XEU3" s="431"/>
      <c r="XEV3" s="431"/>
      <c r="XEW3" s="431"/>
      <c r="XEX3" s="431"/>
      <c r="XEY3" s="431"/>
      <c r="XEZ3" s="431"/>
      <c r="XFA3" s="431"/>
      <c r="XFB3" s="431"/>
      <c r="XFC3" s="431"/>
      <c r="XFD3" s="431"/>
    </row>
    <row r="4" s="409" customFormat="1" ht="18" customHeight="1" spans="1:22 16313:16384">
      <c r="A4" s="422"/>
      <c r="B4" s="423"/>
      <c r="C4" s="422"/>
      <c r="D4" s="432" t="s">
        <v>2547</v>
      </c>
      <c r="E4" s="432" t="s">
        <v>2548</v>
      </c>
      <c r="F4" s="433" t="s">
        <v>2549</v>
      </c>
      <c r="G4" s="432" t="s">
        <v>2547</v>
      </c>
      <c r="H4" s="434" t="s">
        <v>2548</v>
      </c>
      <c r="I4" s="433" t="s">
        <v>2549</v>
      </c>
      <c r="J4" s="432" t="s">
        <v>2547</v>
      </c>
      <c r="K4" s="432" t="s">
        <v>2548</v>
      </c>
      <c r="L4" s="433" t="s">
        <v>2549</v>
      </c>
      <c r="M4" s="432"/>
      <c r="N4" s="432"/>
      <c r="O4" s="432" t="s">
        <v>2548</v>
      </c>
      <c r="P4" s="433" t="s">
        <v>2549</v>
      </c>
      <c r="Q4" s="435"/>
      <c r="R4" s="435"/>
      <c r="S4" s="435"/>
      <c r="T4" s="435"/>
      <c r="XCK4" s="431"/>
      <c r="XCL4" s="431"/>
      <c r="XCM4" s="431"/>
      <c r="XCN4" s="431"/>
      <c r="XCO4" s="431"/>
      <c r="XCP4" s="431"/>
      <c r="XCQ4" s="431"/>
      <c r="XCR4" s="431"/>
      <c r="XCS4" s="431"/>
      <c r="XCT4" s="431"/>
      <c r="XCU4" s="431"/>
      <c r="XCV4" s="431"/>
      <c r="XCW4" s="431"/>
      <c r="XCX4" s="431"/>
      <c r="XCY4" s="431"/>
      <c r="XCZ4" s="431"/>
      <c r="XDA4" s="431"/>
      <c r="XDB4" s="431"/>
      <c r="XDC4" s="431"/>
      <c r="XDD4" s="431"/>
      <c r="XDE4" s="431"/>
      <c r="XDF4" s="431"/>
      <c r="XDG4" s="431"/>
      <c r="XDH4" s="431"/>
      <c r="XDI4" s="431"/>
      <c r="XDJ4" s="431"/>
      <c r="XDK4" s="431"/>
      <c r="XDL4" s="431"/>
      <c r="XDM4" s="431"/>
      <c r="XDN4" s="431"/>
      <c r="XDO4" s="431"/>
      <c r="XDP4" s="431"/>
      <c r="XDQ4" s="431"/>
      <c r="XDR4" s="431"/>
      <c r="XDS4" s="431"/>
      <c r="XDT4" s="431"/>
      <c r="XDU4" s="431"/>
      <c r="XDV4" s="431"/>
      <c r="XDW4" s="431"/>
      <c r="XDX4" s="431"/>
      <c r="XDY4" s="431"/>
      <c r="XDZ4" s="431"/>
      <c r="XEA4" s="431"/>
      <c r="XEB4" s="431"/>
      <c r="XEC4" s="431"/>
      <c r="XED4" s="431"/>
      <c r="XEE4" s="431"/>
      <c r="XEF4" s="431"/>
      <c r="XEG4" s="431"/>
      <c r="XEH4" s="431"/>
      <c r="XEI4" s="431"/>
      <c r="XEJ4" s="431"/>
      <c r="XEK4" s="431"/>
      <c r="XEL4" s="431"/>
      <c r="XEM4" s="431"/>
      <c r="XEN4" s="431"/>
      <c r="XEO4" s="431"/>
      <c r="XEP4" s="431"/>
      <c r="XEQ4" s="431"/>
      <c r="XER4" s="431"/>
      <c r="XES4" s="431"/>
      <c r="XET4" s="431"/>
      <c r="XEU4" s="431"/>
      <c r="XEV4" s="431"/>
      <c r="XEW4" s="431"/>
      <c r="XEX4" s="431"/>
      <c r="XEY4" s="431"/>
      <c r="XEZ4" s="431"/>
      <c r="XFA4" s="431"/>
      <c r="XFB4" s="431"/>
      <c r="XFC4" s="431"/>
      <c r="XFD4" s="431"/>
    </row>
    <row r="5" s="409" customFormat="1" ht="15" customHeight="1" spans="1:22 16313:16384">
      <c r="A5" s="436">
        <v>44931</v>
      </c>
      <c r="B5" s="437">
        <v>1000012986</v>
      </c>
      <c r="C5" s="422" t="s">
        <v>2550</v>
      </c>
      <c r="D5" s="435">
        <v>150000</v>
      </c>
      <c r="E5" s="435"/>
      <c r="F5" s="435"/>
      <c r="G5" s="435"/>
      <c r="H5" s="435"/>
      <c r="I5" s="435"/>
      <c r="J5" s="435"/>
      <c r="K5" s="435"/>
      <c r="L5" s="435"/>
      <c r="M5" s="435"/>
      <c r="N5" s="435"/>
      <c r="O5" s="438"/>
      <c r="P5" s="438"/>
      <c r="Q5" s="438"/>
      <c r="R5" s="438"/>
      <c r="S5" s="438"/>
      <c r="T5" s="438"/>
      <c r="XCK5" s="431"/>
      <c r="XCL5" s="431"/>
      <c r="XCM5" s="431"/>
      <c r="XCN5" s="431"/>
      <c r="XCO5" s="431"/>
      <c r="XCP5" s="431"/>
      <c r="XCQ5" s="431"/>
      <c r="XCR5" s="431"/>
      <c r="XCS5" s="431"/>
      <c r="XCT5" s="431"/>
      <c r="XCU5" s="431"/>
      <c r="XCV5" s="431"/>
      <c r="XCW5" s="431"/>
      <c r="XCX5" s="431"/>
      <c r="XCY5" s="431"/>
      <c r="XCZ5" s="431"/>
      <c r="XDA5" s="431"/>
      <c r="XDB5" s="431"/>
      <c r="XDC5" s="431"/>
      <c r="XDD5" s="431"/>
      <c r="XDE5" s="431"/>
      <c r="XDF5" s="431"/>
      <c r="XDG5" s="431"/>
      <c r="XDH5" s="431"/>
      <c r="XDI5" s="431"/>
      <c r="XDJ5" s="431"/>
      <c r="XDK5" s="431"/>
      <c r="XDL5" s="431"/>
      <c r="XDM5" s="431"/>
      <c r="XDN5" s="431"/>
      <c r="XDO5" s="431"/>
      <c r="XDP5" s="431"/>
      <c r="XDQ5" s="431"/>
      <c r="XDR5" s="431"/>
      <c r="XDS5" s="431"/>
      <c r="XDT5" s="431"/>
      <c r="XDU5" s="431"/>
      <c r="XDV5" s="431"/>
      <c r="XDW5" s="431"/>
      <c r="XDX5" s="431"/>
      <c r="XDY5" s="431"/>
      <c r="XDZ5" s="431"/>
      <c r="XEA5" s="431"/>
      <c r="XEB5" s="431"/>
      <c r="XEC5" s="431"/>
      <c r="XED5" s="431"/>
      <c r="XEE5" s="431"/>
      <c r="XEF5" s="431"/>
      <c r="XEG5" s="431"/>
      <c r="XEH5" s="431"/>
      <c r="XEI5" s="431"/>
      <c r="XEJ5" s="431"/>
      <c r="XEK5" s="431"/>
      <c r="XEL5" s="431"/>
      <c r="XEM5" s="431"/>
      <c r="XEN5" s="431"/>
      <c r="XEO5" s="431"/>
      <c r="XEP5" s="431"/>
      <c r="XEQ5" s="431"/>
      <c r="XER5" s="431"/>
      <c r="XES5" s="431"/>
      <c r="XET5" s="431"/>
      <c r="XEU5" s="431"/>
      <c r="XEV5" s="431"/>
      <c r="XEW5" s="431"/>
      <c r="XEX5" s="431"/>
      <c r="XEY5" s="431"/>
      <c r="XEZ5" s="431"/>
      <c r="XFA5" s="431"/>
      <c r="XFB5" s="431"/>
      <c r="XFC5" s="431"/>
      <c r="XFD5" s="431"/>
    </row>
    <row r="6" s="409" customFormat="1" ht="15" customHeight="1" spans="1:22 16313:16384">
      <c r="A6" s="436">
        <v>44931</v>
      </c>
      <c r="B6" s="437">
        <v>1000012987</v>
      </c>
      <c r="C6" s="422" t="s">
        <v>2550</v>
      </c>
      <c r="D6" s="424"/>
      <c r="E6" s="424"/>
      <c r="F6" s="424"/>
      <c r="G6" s="435">
        <v>30000</v>
      </c>
      <c r="H6" s="435"/>
      <c r="I6" s="435"/>
      <c r="J6" s="435"/>
      <c r="K6" s="435"/>
      <c r="L6" s="435"/>
      <c r="M6" s="435"/>
      <c r="N6" s="435"/>
      <c r="O6" s="431"/>
      <c r="P6" s="431"/>
      <c r="Q6" s="438"/>
      <c r="R6" s="438"/>
      <c r="S6" s="438"/>
      <c r="T6" s="438"/>
      <c r="XCK6" s="431"/>
      <c r="XCL6" s="431"/>
      <c r="XCM6" s="431"/>
      <c r="XCN6" s="431"/>
      <c r="XCO6" s="431"/>
      <c r="XCP6" s="431"/>
      <c r="XCQ6" s="431"/>
      <c r="XCR6" s="431"/>
      <c r="XCS6" s="431"/>
      <c r="XCT6" s="431"/>
      <c r="XCU6" s="431"/>
      <c r="XCV6" s="431"/>
      <c r="XCW6" s="431"/>
      <c r="XCX6" s="431"/>
      <c r="XCY6" s="431"/>
      <c r="XCZ6" s="431"/>
      <c r="XDA6" s="431"/>
      <c r="XDB6" s="431"/>
      <c r="XDC6" s="431"/>
      <c r="XDD6" s="431"/>
      <c r="XDE6" s="431"/>
      <c r="XDF6" s="431"/>
      <c r="XDG6" s="431"/>
      <c r="XDH6" s="431"/>
      <c r="XDI6" s="431"/>
      <c r="XDJ6" s="431"/>
      <c r="XDK6" s="431"/>
      <c r="XDL6" s="431"/>
      <c r="XDM6" s="431"/>
      <c r="XDN6" s="431"/>
      <c r="XDO6" s="431"/>
      <c r="XDP6" s="431"/>
      <c r="XDQ6" s="431"/>
      <c r="XDR6" s="431"/>
      <c r="XDS6" s="431"/>
      <c r="XDT6" s="431"/>
      <c r="XDU6" s="431"/>
      <c r="XDV6" s="431"/>
      <c r="XDW6" s="431"/>
      <c r="XDX6" s="431"/>
      <c r="XDY6" s="431"/>
      <c r="XDZ6" s="431"/>
      <c r="XEA6" s="431"/>
      <c r="XEB6" s="431"/>
      <c r="XEC6" s="431"/>
      <c r="XED6" s="431"/>
      <c r="XEE6" s="431"/>
      <c r="XEF6" s="431"/>
      <c r="XEG6" s="431"/>
      <c r="XEH6" s="431"/>
      <c r="XEI6" s="431"/>
      <c r="XEJ6" s="431"/>
      <c r="XEK6" s="431"/>
      <c r="XEL6" s="431"/>
      <c r="XEM6" s="431"/>
      <c r="XEN6" s="431"/>
      <c r="XEO6" s="431"/>
      <c r="XEP6" s="431"/>
      <c r="XEQ6" s="431"/>
      <c r="XER6" s="431"/>
      <c r="XES6" s="431"/>
      <c r="XET6" s="431"/>
      <c r="XEU6" s="431"/>
      <c r="XEV6" s="431"/>
      <c r="XEW6" s="431"/>
      <c r="XEX6" s="431"/>
      <c r="XEY6" s="431"/>
      <c r="XEZ6" s="431"/>
      <c r="XFA6" s="431"/>
      <c r="XFB6" s="431"/>
      <c r="XFC6" s="431"/>
      <c r="XFD6" s="431"/>
    </row>
    <row r="7" s="409" customFormat="1" ht="15" customHeight="1" spans="1:22 16313:16384">
      <c r="A7" s="436">
        <v>44931</v>
      </c>
      <c r="B7" s="437">
        <v>1000012988</v>
      </c>
      <c r="C7" s="422" t="s">
        <v>2550</v>
      </c>
      <c r="D7" s="424"/>
      <c r="E7" s="424"/>
      <c r="F7" s="424"/>
      <c r="G7" s="435"/>
      <c r="H7" s="435"/>
      <c r="I7" s="435"/>
      <c r="J7" s="435">
        <v>150000</v>
      </c>
      <c r="K7" s="435"/>
      <c r="L7" s="435"/>
      <c r="M7" s="435"/>
      <c r="N7" s="435"/>
      <c r="O7" s="439">
        <v>50000</v>
      </c>
      <c r="P7" s="439"/>
      <c r="Q7" s="439">
        <v>50000</v>
      </c>
      <c r="R7" s="438"/>
      <c r="S7" s="438"/>
      <c r="T7" s="438"/>
      <c r="XCK7" s="431"/>
      <c r="XCL7" s="431"/>
      <c r="XCM7" s="431"/>
      <c r="XCN7" s="431"/>
      <c r="XCO7" s="431"/>
      <c r="XCP7" s="431"/>
      <c r="XCQ7" s="431"/>
      <c r="XCR7" s="431"/>
      <c r="XCS7" s="431"/>
      <c r="XCT7" s="431"/>
      <c r="XCU7" s="431"/>
      <c r="XCV7" s="431"/>
      <c r="XCW7" s="431"/>
      <c r="XCX7" s="431"/>
      <c r="XCY7" s="431"/>
      <c r="XCZ7" s="431"/>
      <c r="XDA7" s="431"/>
      <c r="XDB7" s="431"/>
      <c r="XDC7" s="431"/>
      <c r="XDD7" s="431"/>
      <c r="XDE7" s="431"/>
      <c r="XDF7" s="431"/>
      <c r="XDG7" s="431"/>
      <c r="XDH7" s="431"/>
      <c r="XDI7" s="431"/>
      <c r="XDJ7" s="431"/>
      <c r="XDK7" s="431"/>
      <c r="XDL7" s="431"/>
      <c r="XDM7" s="431"/>
      <c r="XDN7" s="431"/>
      <c r="XDO7" s="431"/>
      <c r="XDP7" s="431"/>
      <c r="XDQ7" s="431"/>
      <c r="XDR7" s="431"/>
      <c r="XDS7" s="431"/>
      <c r="XDT7" s="431"/>
      <c r="XDU7" s="431"/>
      <c r="XDV7" s="431"/>
      <c r="XDW7" s="431"/>
      <c r="XDX7" s="431"/>
      <c r="XDY7" s="431"/>
      <c r="XDZ7" s="431"/>
      <c r="XEA7" s="431"/>
      <c r="XEB7" s="431"/>
      <c r="XEC7" s="431"/>
      <c r="XED7" s="431"/>
      <c r="XEE7" s="431"/>
      <c r="XEF7" s="431"/>
      <c r="XEG7" s="431"/>
      <c r="XEH7" s="431"/>
      <c r="XEI7" s="431"/>
      <c r="XEJ7" s="431"/>
      <c r="XEK7" s="431"/>
      <c r="XEL7" s="431"/>
      <c r="XEM7" s="431"/>
      <c r="XEN7" s="431"/>
      <c r="XEO7" s="431"/>
      <c r="XEP7" s="431"/>
      <c r="XEQ7" s="431"/>
      <c r="XER7" s="431"/>
      <c r="XES7" s="431"/>
      <c r="XET7" s="431"/>
      <c r="XEU7" s="431"/>
      <c r="XEV7" s="431"/>
      <c r="XEW7" s="431"/>
      <c r="XEX7" s="431"/>
      <c r="XEY7" s="431"/>
      <c r="XEZ7" s="431"/>
      <c r="XFA7" s="431"/>
      <c r="XFB7" s="431"/>
      <c r="XFC7" s="431"/>
      <c r="XFD7" s="431"/>
    </row>
    <row r="8" s="409" customFormat="1" ht="15" customHeight="1" spans="1:22 16313:16384">
      <c r="A8" s="436">
        <v>45001</v>
      </c>
      <c r="B8" s="437">
        <v>1000013497</v>
      </c>
      <c r="C8" s="437" t="s">
        <v>2551</v>
      </c>
      <c r="D8" s="424"/>
      <c r="E8" s="424"/>
      <c r="F8" s="424"/>
      <c r="G8" s="435"/>
      <c r="H8" s="435"/>
      <c r="I8" s="435"/>
      <c r="J8" s="435"/>
      <c r="K8" s="435"/>
      <c r="L8" s="435"/>
      <c r="M8" s="435">
        <v>30000</v>
      </c>
      <c r="N8" s="435"/>
      <c r="O8" s="438"/>
      <c r="P8" s="438"/>
      <c r="Q8" s="438"/>
      <c r="R8" s="438"/>
      <c r="S8" s="438"/>
      <c r="T8" s="438"/>
      <c r="U8" s="440" t="s">
        <v>2552</v>
      </c>
      <c r="V8" s="409">
        <f>M8-9804-2100-3000-3600-3000-1002-2100</f>
        <v>5394</v>
      </c>
      <c r="XCK8" s="431"/>
      <c r="XCL8" s="431"/>
      <c r="XCM8" s="431"/>
      <c r="XCN8" s="431"/>
      <c r="XCO8" s="431"/>
      <c r="XCP8" s="431"/>
      <c r="XCQ8" s="431"/>
      <c r="XCR8" s="431"/>
      <c r="XCS8" s="431"/>
      <c r="XCT8" s="431"/>
      <c r="XCU8" s="431"/>
      <c r="XCV8" s="431"/>
      <c r="XCW8" s="431"/>
      <c r="XCX8" s="431"/>
      <c r="XCY8" s="431"/>
      <c r="XCZ8" s="431"/>
      <c r="XDA8" s="431"/>
      <c r="XDB8" s="431"/>
      <c r="XDC8" s="431"/>
      <c r="XDD8" s="431"/>
      <c r="XDE8" s="431"/>
      <c r="XDF8" s="431"/>
      <c r="XDG8" s="431"/>
      <c r="XDH8" s="431"/>
      <c r="XDI8" s="431"/>
      <c r="XDJ8" s="431"/>
      <c r="XDK8" s="431"/>
      <c r="XDL8" s="431"/>
      <c r="XDM8" s="431"/>
      <c r="XDN8" s="431"/>
      <c r="XDO8" s="431"/>
      <c r="XDP8" s="431"/>
      <c r="XDQ8" s="431"/>
      <c r="XDR8" s="431"/>
      <c r="XDS8" s="431"/>
      <c r="XDT8" s="431"/>
      <c r="XDU8" s="431"/>
      <c r="XDV8" s="431"/>
      <c r="XDW8" s="431"/>
      <c r="XDX8" s="431"/>
      <c r="XDY8" s="431"/>
      <c r="XDZ8" s="431"/>
      <c r="XEA8" s="431"/>
      <c r="XEB8" s="431"/>
      <c r="XEC8" s="431"/>
      <c r="XED8" s="431"/>
      <c r="XEE8" s="431"/>
      <c r="XEF8" s="431"/>
      <c r="XEG8" s="431"/>
      <c r="XEH8" s="431"/>
      <c r="XEI8" s="431"/>
      <c r="XEJ8" s="431"/>
      <c r="XEK8" s="431"/>
      <c r="XEL8" s="431"/>
      <c r="XEM8" s="431"/>
      <c r="XEN8" s="431"/>
      <c r="XEO8" s="431"/>
      <c r="XEP8" s="431"/>
      <c r="XEQ8" s="431"/>
      <c r="XER8" s="431"/>
      <c r="XES8" s="431"/>
      <c r="XET8" s="431"/>
      <c r="XEU8" s="431"/>
      <c r="XEV8" s="431"/>
      <c r="XEW8" s="431"/>
      <c r="XEX8" s="431"/>
      <c r="XEY8" s="431"/>
      <c r="XEZ8" s="431"/>
      <c r="XFA8" s="431"/>
      <c r="XFB8" s="431"/>
      <c r="XFC8" s="431"/>
      <c r="XFD8" s="431"/>
    </row>
    <row r="9" s="409" customFormat="1" ht="15" customHeight="1" spans="1:22 16313:16384">
      <c r="A9" s="436">
        <v>45020</v>
      </c>
      <c r="B9" s="441">
        <v>1000013757</v>
      </c>
      <c r="C9" s="422" t="s">
        <v>2551</v>
      </c>
      <c r="D9" s="424"/>
      <c r="E9" s="424"/>
      <c r="F9" s="424"/>
      <c r="G9" s="435"/>
      <c r="H9" s="435"/>
      <c r="I9" s="435"/>
      <c r="J9" s="435"/>
      <c r="K9" s="435"/>
      <c r="L9" s="435"/>
      <c r="M9" s="435">
        <v>30000</v>
      </c>
      <c r="N9" s="435"/>
      <c r="O9" s="439"/>
      <c r="P9" s="439"/>
      <c r="Q9" s="439"/>
      <c r="R9" s="439"/>
      <c r="S9" s="439"/>
      <c r="T9" s="439"/>
      <c r="U9" s="440" t="s">
        <v>2553</v>
      </c>
      <c r="V9" s="409">
        <f>M9-15000-10002-2580</f>
        <v>2418</v>
      </c>
      <c r="XCK9" s="431"/>
      <c r="XCL9" s="431"/>
      <c r="XCM9" s="431"/>
      <c r="XCN9" s="431"/>
      <c r="XCO9" s="431"/>
      <c r="XCP9" s="431"/>
      <c r="XCQ9" s="431"/>
      <c r="XCR9" s="431"/>
      <c r="XCS9" s="431"/>
      <c r="XCT9" s="431"/>
      <c r="XCU9" s="431"/>
      <c r="XCV9" s="431"/>
      <c r="XCW9" s="431"/>
      <c r="XCX9" s="431"/>
      <c r="XCY9" s="431"/>
      <c r="XCZ9" s="431"/>
      <c r="XDA9" s="431"/>
      <c r="XDB9" s="431"/>
      <c r="XDC9" s="431"/>
      <c r="XDD9" s="431"/>
      <c r="XDE9" s="431"/>
      <c r="XDF9" s="431"/>
      <c r="XDG9" s="431"/>
      <c r="XDH9" s="431"/>
      <c r="XDI9" s="431"/>
      <c r="XDJ9" s="431"/>
      <c r="XDK9" s="431"/>
      <c r="XDL9" s="431"/>
      <c r="XDM9" s="431"/>
      <c r="XDN9" s="431"/>
      <c r="XDO9" s="431"/>
      <c r="XDP9" s="431"/>
      <c r="XDQ9" s="431"/>
      <c r="XDR9" s="431"/>
      <c r="XDS9" s="431"/>
      <c r="XDT9" s="431"/>
      <c r="XDU9" s="431"/>
      <c r="XDV9" s="431"/>
      <c r="XDW9" s="431"/>
      <c r="XDX9" s="431"/>
      <c r="XDY9" s="431"/>
      <c r="XDZ9" s="431"/>
      <c r="XEA9" s="431"/>
      <c r="XEB9" s="431"/>
      <c r="XEC9" s="431"/>
      <c r="XED9" s="431"/>
      <c r="XEE9" s="431"/>
      <c r="XEF9" s="431"/>
      <c r="XEG9" s="431"/>
      <c r="XEH9" s="431"/>
      <c r="XEI9" s="431"/>
      <c r="XEJ9" s="431"/>
      <c r="XEK9" s="431"/>
      <c r="XEL9" s="431"/>
      <c r="XEM9" s="431"/>
      <c r="XEN9" s="431"/>
      <c r="XEO9" s="431"/>
      <c r="XEP9" s="431"/>
      <c r="XEQ9" s="431"/>
      <c r="XER9" s="431"/>
      <c r="XES9" s="431"/>
      <c r="XET9" s="431"/>
      <c r="XEU9" s="431"/>
      <c r="XEV9" s="431"/>
      <c r="XEW9" s="431"/>
      <c r="XEX9" s="431"/>
      <c r="XEY9" s="431"/>
      <c r="XEZ9" s="431"/>
      <c r="XFA9" s="431"/>
      <c r="XFB9" s="431"/>
      <c r="XFC9" s="431"/>
      <c r="XFD9" s="431"/>
    </row>
    <row r="10" s="409" customFormat="1" ht="15" customHeight="1" spans="1:22 16313:16384">
      <c r="A10" s="442" t="s">
        <v>2554</v>
      </c>
      <c r="B10" s="443">
        <v>1000013809</v>
      </c>
      <c r="C10" s="444" t="s">
        <v>2555</v>
      </c>
      <c r="D10" s="424"/>
      <c r="E10" s="424"/>
      <c r="F10" s="424"/>
      <c r="G10" s="435"/>
      <c r="H10" s="435"/>
      <c r="I10" s="435"/>
      <c r="J10" s="435"/>
      <c r="K10" s="435"/>
      <c r="L10" s="435"/>
      <c r="M10" s="435">
        <v>39984</v>
      </c>
      <c r="N10" s="435"/>
      <c r="O10" s="438"/>
      <c r="P10" s="438"/>
      <c r="Q10" s="438"/>
      <c r="R10" s="438"/>
      <c r="S10" s="438"/>
      <c r="T10" s="438"/>
      <c r="U10" s="409" t="s">
        <v>2556</v>
      </c>
      <c r="V10" s="445" t="s">
        <v>2557</v>
      </c>
      <c r="XCK10" s="431"/>
      <c r="XCL10" s="431"/>
      <c r="XCM10" s="431"/>
      <c r="XCN10" s="431"/>
      <c r="XCO10" s="431"/>
      <c r="XCP10" s="431"/>
      <c r="XCQ10" s="431"/>
      <c r="XCR10" s="431"/>
      <c r="XCS10" s="431"/>
      <c r="XCT10" s="431"/>
      <c r="XCU10" s="431"/>
      <c r="XCV10" s="431"/>
      <c r="XCW10" s="431"/>
      <c r="XCX10" s="431"/>
      <c r="XCY10" s="431"/>
      <c r="XCZ10" s="431"/>
      <c r="XDA10" s="431"/>
      <c r="XDB10" s="431"/>
      <c r="XDC10" s="431"/>
      <c r="XDD10" s="431"/>
      <c r="XDE10" s="431"/>
      <c r="XDF10" s="431"/>
      <c r="XDG10" s="431"/>
      <c r="XDH10" s="431"/>
      <c r="XDI10" s="431"/>
      <c r="XDJ10" s="431"/>
      <c r="XDK10" s="431"/>
      <c r="XDL10" s="431"/>
      <c r="XDM10" s="431"/>
      <c r="XDN10" s="431"/>
      <c r="XDO10" s="431"/>
      <c r="XDP10" s="431"/>
      <c r="XDQ10" s="431"/>
      <c r="XDR10" s="431"/>
      <c r="XDS10" s="431"/>
      <c r="XDT10" s="431"/>
      <c r="XDU10" s="431"/>
      <c r="XDV10" s="431"/>
      <c r="XDW10" s="431"/>
      <c r="XDX10" s="431"/>
      <c r="XDY10" s="431"/>
      <c r="XDZ10" s="431"/>
      <c r="XEA10" s="431"/>
      <c r="XEB10" s="431"/>
      <c r="XEC10" s="431"/>
      <c r="XED10" s="431"/>
      <c r="XEE10" s="431"/>
      <c r="XEF10" s="431"/>
      <c r="XEG10" s="431"/>
      <c r="XEH10" s="431"/>
      <c r="XEI10" s="431"/>
      <c r="XEJ10" s="431"/>
      <c r="XEK10" s="431"/>
      <c r="XEL10" s="431"/>
      <c r="XEM10" s="431"/>
      <c r="XEN10" s="431"/>
      <c r="XEO10" s="431"/>
      <c r="XEP10" s="431"/>
      <c r="XEQ10" s="431"/>
      <c r="XER10" s="431"/>
      <c r="XES10" s="431"/>
      <c r="XET10" s="431"/>
      <c r="XEU10" s="431"/>
      <c r="XEV10" s="431"/>
      <c r="XEW10" s="431"/>
      <c r="XEX10" s="431"/>
      <c r="XEY10" s="431"/>
      <c r="XEZ10" s="431"/>
      <c r="XFA10" s="431"/>
      <c r="XFB10" s="431"/>
      <c r="XFC10" s="431"/>
      <c r="XFD10" s="431"/>
    </row>
    <row r="11" ht="19" customHeight="1" spans="1:22 16313:16384">
      <c r="A11" s="446">
        <v>45037</v>
      </c>
      <c r="B11" s="447">
        <v>1000014019</v>
      </c>
      <c r="C11" s="448"/>
      <c r="D11" s="449"/>
      <c r="E11" s="449"/>
      <c r="F11" s="449"/>
      <c r="G11" s="450"/>
      <c r="H11" s="450"/>
      <c r="I11" s="450"/>
      <c r="J11" s="450"/>
      <c r="K11" s="450"/>
      <c r="L11" s="450"/>
      <c r="M11" s="450"/>
      <c r="N11" s="450"/>
      <c r="O11" s="451"/>
      <c r="P11" s="451"/>
      <c r="Q11" s="451"/>
      <c r="R11" s="451">
        <v>4000</v>
      </c>
      <c r="S11" s="451"/>
      <c r="T11" s="451"/>
      <c r="U11" s="452" t="s">
        <v>2558</v>
      </c>
      <c r="V11" s="409"/>
    </row>
    <row r="12" s="409" customFormat="1" ht="15" customHeight="1" spans="1:22 16313:16384">
      <c r="A12" s="446">
        <v>45039</v>
      </c>
      <c r="B12" s="447">
        <v>1000014039</v>
      </c>
      <c r="C12" s="448" t="s">
        <v>2550</v>
      </c>
      <c r="D12" s="453">
        <v>100000</v>
      </c>
      <c r="E12" s="453"/>
      <c r="F12" s="453"/>
      <c r="G12" s="450"/>
      <c r="H12" s="450"/>
      <c r="I12" s="450"/>
      <c r="J12" s="450"/>
      <c r="K12" s="450"/>
      <c r="L12" s="450"/>
      <c r="M12" s="450"/>
      <c r="N12" s="450"/>
      <c r="O12" s="451"/>
      <c r="P12" s="451"/>
      <c r="Q12" s="451"/>
      <c r="R12" s="451"/>
      <c r="S12" s="451"/>
      <c r="T12" s="451"/>
      <c r="XCK12" s="431"/>
      <c r="XCL12" s="431"/>
      <c r="XCM12" s="431"/>
      <c r="XCN12" s="431"/>
      <c r="XCO12" s="431"/>
      <c r="XCP12" s="431"/>
      <c r="XCQ12" s="431"/>
      <c r="XCR12" s="431"/>
      <c r="XCS12" s="431"/>
      <c r="XCT12" s="431"/>
      <c r="XCU12" s="431"/>
      <c r="XCV12" s="431"/>
      <c r="XCW12" s="431"/>
      <c r="XCX12" s="431"/>
      <c r="XCY12" s="431"/>
      <c r="XCZ12" s="431"/>
      <c r="XDA12" s="431"/>
      <c r="XDB12" s="431"/>
      <c r="XDC12" s="431"/>
      <c r="XDD12" s="431"/>
      <c r="XDE12" s="431"/>
      <c r="XDF12" s="431"/>
      <c r="XDG12" s="431"/>
      <c r="XDH12" s="431"/>
      <c r="XDI12" s="431"/>
      <c r="XDJ12" s="431"/>
      <c r="XDK12" s="431"/>
      <c r="XDL12" s="431"/>
      <c r="XDM12" s="431"/>
      <c r="XDN12" s="431"/>
      <c r="XDO12" s="431"/>
      <c r="XDP12" s="431"/>
      <c r="XDQ12" s="431"/>
      <c r="XDR12" s="431"/>
      <c r="XDS12" s="431"/>
      <c r="XDT12" s="431"/>
      <c r="XDU12" s="431"/>
      <c r="XDV12" s="431"/>
      <c r="XDW12" s="431"/>
      <c r="XDX12" s="431"/>
      <c r="XDY12" s="431"/>
      <c r="XDZ12" s="431"/>
      <c r="XEA12" s="431"/>
      <c r="XEB12" s="431"/>
      <c r="XEC12" s="431"/>
      <c r="XED12" s="431"/>
      <c r="XEE12" s="431"/>
      <c r="XEF12" s="431"/>
      <c r="XEG12" s="431"/>
      <c r="XEH12" s="431"/>
      <c r="XEI12" s="431"/>
      <c r="XEJ12" s="431"/>
      <c r="XEK12" s="431"/>
      <c r="XEL12" s="431"/>
      <c r="XEM12" s="431"/>
      <c r="XEN12" s="431"/>
      <c r="XEO12" s="431"/>
      <c r="XEP12" s="431"/>
      <c r="XEQ12" s="431"/>
      <c r="XER12" s="431"/>
      <c r="XES12" s="431"/>
      <c r="XET12" s="431"/>
      <c r="XEU12" s="431"/>
      <c r="XEV12" s="431"/>
      <c r="XEW12" s="431"/>
      <c r="XEX12" s="431"/>
      <c r="XEY12" s="431"/>
      <c r="XEZ12" s="431"/>
      <c r="XFA12" s="431"/>
      <c r="XFB12" s="431"/>
      <c r="XFC12" s="431"/>
      <c r="XFD12" s="431"/>
    </row>
    <row r="13" s="409" customFormat="1" ht="15" customHeight="1" spans="1:22 16313:16384">
      <c r="A13" s="446">
        <v>45039</v>
      </c>
      <c r="B13" s="447">
        <v>1000014040</v>
      </c>
      <c r="C13" s="448" t="s">
        <v>2550</v>
      </c>
      <c r="D13" s="449"/>
      <c r="E13" s="449"/>
      <c r="F13" s="449"/>
      <c r="G13" s="453">
        <v>30000</v>
      </c>
      <c r="H13" s="453"/>
      <c r="I13" s="453"/>
      <c r="J13" s="450"/>
      <c r="K13" s="450"/>
      <c r="L13" s="450"/>
      <c r="M13" s="450"/>
      <c r="N13" s="450"/>
      <c r="O13" s="451"/>
      <c r="P13" s="451"/>
      <c r="Q13" s="451"/>
      <c r="R13" s="451"/>
      <c r="S13" s="451"/>
      <c r="T13" s="451"/>
      <c r="XCK13" s="431"/>
      <c r="XCL13" s="431"/>
      <c r="XCM13" s="431"/>
      <c r="XCN13" s="431"/>
      <c r="XCO13" s="431"/>
      <c r="XCP13" s="431"/>
      <c r="XCQ13" s="431"/>
      <c r="XCR13" s="431"/>
      <c r="XCS13" s="431"/>
      <c r="XCT13" s="431"/>
      <c r="XCU13" s="431"/>
      <c r="XCV13" s="431"/>
      <c r="XCW13" s="431"/>
      <c r="XCX13" s="431"/>
      <c r="XCY13" s="431"/>
      <c r="XCZ13" s="431"/>
      <c r="XDA13" s="431"/>
      <c r="XDB13" s="431"/>
      <c r="XDC13" s="431"/>
      <c r="XDD13" s="431"/>
      <c r="XDE13" s="431"/>
      <c r="XDF13" s="431"/>
      <c r="XDG13" s="431"/>
      <c r="XDH13" s="431"/>
      <c r="XDI13" s="431"/>
      <c r="XDJ13" s="431"/>
      <c r="XDK13" s="431"/>
      <c r="XDL13" s="431"/>
      <c r="XDM13" s="431"/>
      <c r="XDN13" s="431"/>
      <c r="XDO13" s="431"/>
      <c r="XDP13" s="431"/>
      <c r="XDQ13" s="431"/>
      <c r="XDR13" s="431"/>
      <c r="XDS13" s="431"/>
      <c r="XDT13" s="431"/>
      <c r="XDU13" s="431"/>
      <c r="XDV13" s="431"/>
      <c r="XDW13" s="431"/>
      <c r="XDX13" s="431"/>
      <c r="XDY13" s="431"/>
      <c r="XDZ13" s="431"/>
      <c r="XEA13" s="431"/>
      <c r="XEB13" s="431"/>
      <c r="XEC13" s="431"/>
      <c r="XED13" s="431"/>
      <c r="XEE13" s="431"/>
      <c r="XEF13" s="431"/>
      <c r="XEG13" s="431"/>
      <c r="XEH13" s="431"/>
      <c r="XEI13" s="431"/>
      <c r="XEJ13" s="431"/>
      <c r="XEK13" s="431"/>
      <c r="XEL13" s="431"/>
      <c r="XEM13" s="431"/>
      <c r="XEN13" s="431"/>
      <c r="XEO13" s="431"/>
      <c r="XEP13" s="431"/>
      <c r="XEQ13" s="431"/>
      <c r="XER13" s="431"/>
      <c r="XES13" s="431"/>
      <c r="XET13" s="431"/>
      <c r="XEU13" s="431"/>
      <c r="XEV13" s="431"/>
      <c r="XEW13" s="431"/>
      <c r="XEX13" s="431"/>
      <c r="XEY13" s="431"/>
      <c r="XEZ13" s="431"/>
      <c r="XFA13" s="431"/>
      <c r="XFB13" s="431"/>
      <c r="XFC13" s="431"/>
      <c r="XFD13" s="431"/>
    </row>
    <row r="14" s="409" customFormat="1" ht="15" customHeight="1" spans="1:22 16313:16384">
      <c r="A14" s="446">
        <v>45039</v>
      </c>
      <c r="B14" s="447">
        <v>1000014041</v>
      </c>
      <c r="C14" s="448" t="s">
        <v>2550</v>
      </c>
      <c r="D14" s="449"/>
      <c r="E14" s="449"/>
      <c r="F14" s="449"/>
      <c r="G14" s="450"/>
      <c r="H14" s="450"/>
      <c r="I14" s="450"/>
      <c r="J14" s="453">
        <v>150000</v>
      </c>
      <c r="K14" s="453"/>
      <c r="L14" s="453"/>
      <c r="M14" s="450"/>
      <c r="N14" s="450"/>
      <c r="O14" s="451"/>
      <c r="P14" s="451"/>
      <c r="Q14" s="451"/>
      <c r="R14" s="451"/>
      <c r="S14" s="451"/>
      <c r="T14" s="451"/>
      <c r="XCK14" s="431"/>
      <c r="XCL14" s="431"/>
      <c r="XCM14" s="431"/>
      <c r="XCN14" s="431"/>
      <c r="XCO14" s="431"/>
      <c r="XCP14" s="431"/>
      <c r="XCQ14" s="431"/>
      <c r="XCR14" s="431"/>
      <c r="XCS14" s="431"/>
      <c r="XCT14" s="431"/>
      <c r="XCU14" s="431"/>
      <c r="XCV14" s="431"/>
      <c r="XCW14" s="431"/>
      <c r="XCX14" s="431"/>
      <c r="XCY14" s="431"/>
      <c r="XCZ14" s="431"/>
      <c r="XDA14" s="431"/>
      <c r="XDB14" s="431"/>
      <c r="XDC14" s="431"/>
      <c r="XDD14" s="431"/>
      <c r="XDE14" s="431"/>
      <c r="XDF14" s="431"/>
      <c r="XDG14" s="431"/>
      <c r="XDH14" s="431"/>
      <c r="XDI14" s="431"/>
      <c r="XDJ14" s="431"/>
      <c r="XDK14" s="431"/>
      <c r="XDL14" s="431"/>
      <c r="XDM14" s="431"/>
      <c r="XDN14" s="431"/>
      <c r="XDO14" s="431"/>
      <c r="XDP14" s="431"/>
      <c r="XDQ14" s="431"/>
      <c r="XDR14" s="431"/>
      <c r="XDS14" s="431"/>
      <c r="XDT14" s="431"/>
      <c r="XDU14" s="431"/>
      <c r="XDV14" s="431"/>
      <c r="XDW14" s="431"/>
      <c r="XDX14" s="431"/>
      <c r="XDY14" s="431"/>
      <c r="XDZ14" s="431"/>
      <c r="XEA14" s="431"/>
      <c r="XEB14" s="431"/>
      <c r="XEC14" s="431"/>
      <c r="XED14" s="431"/>
      <c r="XEE14" s="431"/>
      <c r="XEF14" s="431"/>
      <c r="XEG14" s="431"/>
      <c r="XEH14" s="431"/>
      <c r="XEI14" s="431"/>
      <c r="XEJ14" s="431"/>
      <c r="XEK14" s="431"/>
      <c r="XEL14" s="431"/>
      <c r="XEM14" s="431"/>
      <c r="XEN14" s="431"/>
      <c r="XEO14" s="431"/>
      <c r="XEP14" s="431"/>
      <c r="XEQ14" s="431"/>
      <c r="XER14" s="431"/>
      <c r="XES14" s="431"/>
      <c r="XET14" s="431"/>
      <c r="XEU14" s="431"/>
      <c r="XEV14" s="431"/>
      <c r="XEW14" s="431"/>
      <c r="XEX14" s="431"/>
      <c r="XEY14" s="431"/>
      <c r="XEZ14" s="431"/>
      <c r="XFA14" s="431"/>
      <c r="XFB14" s="431"/>
      <c r="XFC14" s="431"/>
      <c r="XFD14" s="431"/>
    </row>
    <row r="15" s="409" customFormat="1" ht="15" customHeight="1" spans="1:22 16313:16384">
      <c r="A15" s="446">
        <v>45043</v>
      </c>
      <c r="B15" s="447">
        <v>1000014119</v>
      </c>
      <c r="C15" s="448" t="s">
        <v>2550</v>
      </c>
      <c r="D15" s="449"/>
      <c r="E15" s="449"/>
      <c r="F15" s="449"/>
      <c r="G15" s="453"/>
      <c r="H15" s="453"/>
      <c r="I15" s="453"/>
      <c r="J15" s="450"/>
      <c r="K15" s="450"/>
      <c r="L15" s="450"/>
      <c r="M15" s="450"/>
      <c r="N15" s="450"/>
      <c r="O15" s="453">
        <v>250000</v>
      </c>
      <c r="P15" s="453"/>
      <c r="Q15" s="451"/>
      <c r="R15" s="451"/>
      <c r="S15" s="451"/>
      <c r="T15" s="451"/>
      <c r="XCK15" s="431"/>
      <c r="XCL15" s="431"/>
      <c r="XCM15" s="431"/>
      <c r="XCN15" s="431"/>
      <c r="XCO15" s="431"/>
      <c r="XCP15" s="431"/>
      <c r="XCQ15" s="431"/>
      <c r="XCR15" s="431"/>
      <c r="XCS15" s="431"/>
      <c r="XCT15" s="431"/>
      <c r="XCU15" s="431"/>
      <c r="XCV15" s="431"/>
      <c r="XCW15" s="431"/>
      <c r="XCX15" s="431"/>
      <c r="XCY15" s="431"/>
      <c r="XCZ15" s="431"/>
      <c r="XDA15" s="431"/>
      <c r="XDB15" s="431"/>
      <c r="XDC15" s="431"/>
      <c r="XDD15" s="431"/>
      <c r="XDE15" s="431"/>
      <c r="XDF15" s="431"/>
      <c r="XDG15" s="431"/>
      <c r="XDH15" s="431"/>
      <c r="XDI15" s="431"/>
      <c r="XDJ15" s="431"/>
      <c r="XDK15" s="431"/>
      <c r="XDL15" s="431"/>
      <c r="XDM15" s="431"/>
      <c r="XDN15" s="431"/>
      <c r="XDO15" s="431"/>
      <c r="XDP15" s="431"/>
      <c r="XDQ15" s="431"/>
      <c r="XDR15" s="431"/>
      <c r="XDS15" s="431"/>
      <c r="XDT15" s="431"/>
      <c r="XDU15" s="431"/>
      <c r="XDV15" s="431"/>
      <c r="XDW15" s="431"/>
      <c r="XDX15" s="431"/>
      <c r="XDY15" s="431"/>
      <c r="XDZ15" s="431"/>
      <c r="XEA15" s="431"/>
      <c r="XEB15" s="431"/>
      <c r="XEC15" s="431"/>
      <c r="XED15" s="431"/>
      <c r="XEE15" s="431"/>
      <c r="XEF15" s="431"/>
      <c r="XEG15" s="431"/>
      <c r="XEH15" s="431"/>
      <c r="XEI15" s="431"/>
      <c r="XEJ15" s="431"/>
      <c r="XEK15" s="431"/>
      <c r="XEL15" s="431"/>
      <c r="XEM15" s="431"/>
      <c r="XEN15" s="431"/>
      <c r="XEO15" s="431"/>
      <c r="XEP15" s="431"/>
      <c r="XEQ15" s="431"/>
      <c r="XER15" s="431"/>
      <c r="XES15" s="431"/>
      <c r="XET15" s="431"/>
      <c r="XEU15" s="431"/>
      <c r="XEV15" s="431"/>
      <c r="XEW15" s="431"/>
      <c r="XEX15" s="431"/>
      <c r="XEY15" s="431"/>
      <c r="XEZ15" s="431"/>
      <c r="XFA15" s="431"/>
      <c r="XFB15" s="431"/>
      <c r="XFC15" s="431"/>
      <c r="XFD15" s="431"/>
    </row>
    <row r="16" s="409" customFormat="1" ht="15" customHeight="1" spans="1:22 16313:16384">
      <c r="A16" s="446">
        <v>45043</v>
      </c>
      <c r="B16" s="447">
        <v>1000014120</v>
      </c>
      <c r="C16" s="448" t="s">
        <v>2550</v>
      </c>
      <c r="D16" s="449"/>
      <c r="E16" s="449"/>
      <c r="F16" s="449"/>
      <c r="G16" s="453"/>
      <c r="H16" s="453"/>
      <c r="I16" s="453"/>
      <c r="J16" s="450"/>
      <c r="K16" s="450"/>
      <c r="L16" s="450"/>
      <c r="M16" s="450"/>
      <c r="N16" s="450"/>
      <c r="O16" s="451"/>
      <c r="P16" s="451"/>
      <c r="Q16" s="453">
        <v>250000</v>
      </c>
      <c r="R16" s="451"/>
      <c r="S16" s="451"/>
      <c r="T16" s="451"/>
      <c r="XCK16" s="431"/>
      <c r="XCL16" s="431"/>
      <c r="XCM16" s="431"/>
      <c r="XCN16" s="431"/>
      <c r="XCO16" s="431"/>
      <c r="XCP16" s="431"/>
      <c r="XCQ16" s="431"/>
      <c r="XCR16" s="431"/>
      <c r="XCS16" s="431"/>
      <c r="XCT16" s="431"/>
      <c r="XCU16" s="431"/>
      <c r="XCV16" s="431"/>
      <c r="XCW16" s="431"/>
      <c r="XCX16" s="431"/>
      <c r="XCY16" s="431"/>
      <c r="XCZ16" s="431"/>
      <c r="XDA16" s="431"/>
      <c r="XDB16" s="431"/>
      <c r="XDC16" s="431"/>
      <c r="XDD16" s="431"/>
      <c r="XDE16" s="431"/>
      <c r="XDF16" s="431"/>
      <c r="XDG16" s="431"/>
      <c r="XDH16" s="431"/>
      <c r="XDI16" s="431"/>
      <c r="XDJ16" s="431"/>
      <c r="XDK16" s="431"/>
      <c r="XDL16" s="431"/>
      <c r="XDM16" s="431"/>
      <c r="XDN16" s="431"/>
      <c r="XDO16" s="431"/>
      <c r="XDP16" s="431"/>
      <c r="XDQ16" s="431"/>
      <c r="XDR16" s="431"/>
      <c r="XDS16" s="431"/>
      <c r="XDT16" s="431"/>
      <c r="XDU16" s="431"/>
      <c r="XDV16" s="431"/>
      <c r="XDW16" s="431"/>
      <c r="XDX16" s="431"/>
      <c r="XDY16" s="431"/>
      <c r="XDZ16" s="431"/>
      <c r="XEA16" s="431"/>
      <c r="XEB16" s="431"/>
      <c r="XEC16" s="431"/>
      <c r="XED16" s="431"/>
      <c r="XEE16" s="431"/>
      <c r="XEF16" s="431"/>
      <c r="XEG16" s="431"/>
      <c r="XEH16" s="431"/>
      <c r="XEI16" s="431"/>
      <c r="XEJ16" s="431"/>
      <c r="XEK16" s="431"/>
      <c r="XEL16" s="431"/>
      <c r="XEM16" s="431"/>
      <c r="XEN16" s="431"/>
      <c r="XEO16" s="431"/>
      <c r="XEP16" s="431"/>
      <c r="XEQ16" s="431"/>
      <c r="XER16" s="431"/>
      <c r="XES16" s="431"/>
      <c r="XET16" s="431"/>
      <c r="XEU16" s="431"/>
      <c r="XEV16" s="431"/>
      <c r="XEW16" s="431"/>
      <c r="XEX16" s="431"/>
      <c r="XEY16" s="431"/>
      <c r="XEZ16" s="431"/>
      <c r="XFA16" s="431"/>
      <c r="XFB16" s="431"/>
      <c r="XFC16" s="431"/>
      <c r="XFD16" s="431"/>
    </row>
    <row r="17" s="409" customFormat="1" ht="15" customHeight="1" spans="1:22 16313:16384">
      <c r="A17" s="446">
        <v>45043</v>
      </c>
      <c r="B17" s="447">
        <v>1000014121</v>
      </c>
      <c r="C17" s="448" t="s">
        <v>2550</v>
      </c>
      <c r="D17" s="449"/>
      <c r="E17" s="449"/>
      <c r="F17" s="449"/>
      <c r="G17" s="453"/>
      <c r="H17" s="453"/>
      <c r="I17" s="453"/>
      <c r="J17" s="450"/>
      <c r="K17" s="450"/>
      <c r="L17" s="450"/>
      <c r="M17" s="450"/>
      <c r="N17" s="450"/>
      <c r="O17" s="451"/>
      <c r="P17" s="451"/>
      <c r="Q17" s="451"/>
      <c r="R17" s="451"/>
      <c r="S17" s="451">
        <v>300</v>
      </c>
      <c r="T17" s="451"/>
      <c r="U17" s="431"/>
      <c r="XCK17" s="431"/>
      <c r="XCL17" s="431"/>
      <c r="XCM17" s="431"/>
      <c r="XCN17" s="431"/>
      <c r="XCO17" s="431"/>
      <c r="XCP17" s="431"/>
      <c r="XCQ17" s="431"/>
      <c r="XCR17" s="431"/>
      <c r="XCS17" s="431"/>
      <c r="XCT17" s="431"/>
      <c r="XCU17" s="431"/>
      <c r="XCV17" s="431"/>
      <c r="XCW17" s="431"/>
      <c r="XCX17" s="431"/>
      <c r="XCY17" s="431"/>
      <c r="XCZ17" s="431"/>
      <c r="XDA17" s="431"/>
      <c r="XDB17" s="431"/>
      <c r="XDC17" s="431"/>
      <c r="XDD17" s="431"/>
      <c r="XDE17" s="431"/>
      <c r="XDF17" s="431"/>
      <c r="XDG17" s="431"/>
      <c r="XDH17" s="431"/>
      <c r="XDI17" s="431"/>
      <c r="XDJ17" s="431"/>
      <c r="XDK17" s="431"/>
      <c r="XDL17" s="431"/>
      <c r="XDM17" s="431"/>
      <c r="XDN17" s="431"/>
      <c r="XDO17" s="431"/>
      <c r="XDP17" s="431"/>
      <c r="XDQ17" s="431"/>
      <c r="XDR17" s="431"/>
      <c r="XDS17" s="431"/>
      <c r="XDT17" s="431"/>
      <c r="XDU17" s="431"/>
      <c r="XDV17" s="431"/>
      <c r="XDW17" s="431"/>
      <c r="XDX17" s="431"/>
      <c r="XDY17" s="431"/>
      <c r="XDZ17" s="431"/>
      <c r="XEA17" s="431"/>
      <c r="XEB17" s="431"/>
      <c r="XEC17" s="431"/>
      <c r="XED17" s="431"/>
      <c r="XEE17" s="431"/>
      <c r="XEF17" s="431"/>
      <c r="XEG17" s="431"/>
      <c r="XEH17" s="431"/>
      <c r="XEI17" s="431"/>
      <c r="XEJ17" s="431"/>
      <c r="XEK17" s="431"/>
      <c r="XEL17" s="431"/>
      <c r="XEM17" s="431"/>
      <c r="XEN17" s="431"/>
      <c r="XEO17" s="431"/>
      <c r="XEP17" s="431"/>
      <c r="XEQ17" s="431"/>
      <c r="XER17" s="431"/>
      <c r="XES17" s="431"/>
      <c r="XET17" s="431"/>
      <c r="XEU17" s="431"/>
      <c r="XEV17" s="431"/>
      <c r="XEW17" s="431"/>
      <c r="XEX17" s="431"/>
      <c r="XEY17" s="431"/>
      <c r="XEZ17" s="431"/>
      <c r="XFA17" s="431"/>
      <c r="XFB17" s="431"/>
      <c r="XFC17" s="431"/>
      <c r="XFD17" s="431"/>
    </row>
    <row r="18" s="409" customFormat="1" ht="15" customHeight="1" spans="1:22 16313:16384">
      <c r="A18" s="436">
        <v>45056</v>
      </c>
      <c r="B18" s="437">
        <v>1000014350</v>
      </c>
      <c r="C18" s="448" t="s">
        <v>2550</v>
      </c>
      <c r="D18" s="454">
        <v>100000</v>
      </c>
      <c r="E18" s="454"/>
      <c r="F18" s="454"/>
      <c r="G18" s="453"/>
      <c r="H18" s="453"/>
      <c r="I18" s="453"/>
      <c r="J18" s="450"/>
      <c r="K18" s="450"/>
      <c r="L18" s="450"/>
      <c r="M18" s="450"/>
      <c r="N18" s="450"/>
      <c r="O18" s="451"/>
      <c r="P18" s="451"/>
      <c r="Q18" s="451"/>
      <c r="R18" s="451"/>
      <c r="S18" s="451"/>
      <c r="T18" s="451"/>
      <c r="XCK18" s="431"/>
      <c r="XCL18" s="431"/>
      <c r="XCM18" s="431"/>
      <c r="XCN18" s="431"/>
      <c r="XCO18" s="431"/>
      <c r="XCP18" s="431"/>
      <c r="XCQ18" s="431"/>
      <c r="XCR18" s="431"/>
      <c r="XCS18" s="431"/>
      <c r="XCT18" s="431"/>
      <c r="XCU18" s="431"/>
      <c r="XCV18" s="431"/>
      <c r="XCW18" s="431"/>
      <c r="XCX18" s="431"/>
      <c r="XCY18" s="431"/>
      <c r="XCZ18" s="431"/>
      <c r="XDA18" s="431"/>
      <c r="XDB18" s="431"/>
      <c r="XDC18" s="431"/>
      <c r="XDD18" s="431"/>
      <c r="XDE18" s="431"/>
      <c r="XDF18" s="431"/>
      <c r="XDG18" s="431"/>
      <c r="XDH18" s="431"/>
      <c r="XDI18" s="431"/>
      <c r="XDJ18" s="431"/>
      <c r="XDK18" s="431"/>
      <c r="XDL18" s="431"/>
      <c r="XDM18" s="431"/>
      <c r="XDN18" s="431"/>
      <c r="XDO18" s="431"/>
      <c r="XDP18" s="431"/>
      <c r="XDQ18" s="431"/>
      <c r="XDR18" s="431"/>
      <c r="XDS18" s="431"/>
      <c r="XDT18" s="431"/>
      <c r="XDU18" s="431"/>
      <c r="XDV18" s="431"/>
      <c r="XDW18" s="431"/>
      <c r="XDX18" s="431"/>
      <c r="XDY18" s="431"/>
      <c r="XDZ18" s="431"/>
      <c r="XEA18" s="431"/>
      <c r="XEB18" s="431"/>
      <c r="XEC18" s="431"/>
      <c r="XED18" s="431"/>
      <c r="XEE18" s="431"/>
      <c r="XEF18" s="431"/>
      <c r="XEG18" s="431"/>
      <c r="XEH18" s="431"/>
      <c r="XEI18" s="431"/>
      <c r="XEJ18" s="431"/>
      <c r="XEK18" s="431"/>
      <c r="XEL18" s="431"/>
      <c r="XEM18" s="431"/>
      <c r="XEN18" s="431"/>
      <c r="XEO18" s="431"/>
      <c r="XEP18" s="431"/>
      <c r="XEQ18" s="431"/>
      <c r="XER18" s="431"/>
      <c r="XES18" s="431"/>
      <c r="XET18" s="431"/>
      <c r="XEU18" s="431"/>
      <c r="XEV18" s="431"/>
      <c r="XEW18" s="431"/>
      <c r="XEX18" s="431"/>
      <c r="XEY18" s="431"/>
      <c r="XEZ18" s="431"/>
      <c r="XFA18" s="431"/>
      <c r="XFB18" s="431"/>
      <c r="XFC18" s="431"/>
      <c r="XFD18" s="431"/>
    </row>
    <row r="19" s="409" customFormat="1" ht="15" customHeight="1" spans="1:22 16313:16384">
      <c r="A19" s="436">
        <v>45056</v>
      </c>
      <c r="B19" s="437">
        <v>1000014351</v>
      </c>
      <c r="C19" s="448" t="s">
        <v>2550</v>
      </c>
      <c r="D19" s="449"/>
      <c r="E19" s="449"/>
      <c r="F19" s="449"/>
      <c r="G19" s="453"/>
      <c r="H19" s="453"/>
      <c r="I19" s="453"/>
      <c r="J19" s="454">
        <v>150000</v>
      </c>
      <c r="K19" s="454"/>
      <c r="L19" s="454"/>
      <c r="M19" s="450"/>
      <c r="N19" s="450"/>
      <c r="O19" s="451"/>
      <c r="P19" s="451"/>
      <c r="Q19" s="451"/>
      <c r="R19" s="451"/>
      <c r="S19" s="451"/>
      <c r="T19" s="451"/>
      <c r="XCK19" s="431"/>
      <c r="XCL19" s="431"/>
      <c r="XCM19" s="431"/>
      <c r="XCN19" s="431"/>
      <c r="XCO19" s="431"/>
      <c r="XCP19" s="431"/>
      <c r="XCQ19" s="431"/>
      <c r="XCR19" s="431"/>
      <c r="XCS19" s="431"/>
      <c r="XCT19" s="431"/>
      <c r="XCU19" s="431"/>
      <c r="XCV19" s="431"/>
      <c r="XCW19" s="431"/>
      <c r="XCX19" s="431"/>
      <c r="XCY19" s="431"/>
      <c r="XCZ19" s="431"/>
      <c r="XDA19" s="431"/>
      <c r="XDB19" s="431"/>
      <c r="XDC19" s="431"/>
      <c r="XDD19" s="431"/>
      <c r="XDE19" s="431"/>
      <c r="XDF19" s="431"/>
      <c r="XDG19" s="431"/>
      <c r="XDH19" s="431"/>
      <c r="XDI19" s="431"/>
      <c r="XDJ19" s="431"/>
      <c r="XDK19" s="431"/>
      <c r="XDL19" s="431"/>
      <c r="XDM19" s="431"/>
      <c r="XDN19" s="431"/>
      <c r="XDO19" s="431"/>
      <c r="XDP19" s="431"/>
      <c r="XDQ19" s="431"/>
      <c r="XDR19" s="431"/>
      <c r="XDS19" s="431"/>
      <c r="XDT19" s="431"/>
      <c r="XDU19" s="431"/>
      <c r="XDV19" s="431"/>
      <c r="XDW19" s="431"/>
      <c r="XDX19" s="431"/>
      <c r="XDY19" s="431"/>
      <c r="XDZ19" s="431"/>
      <c r="XEA19" s="431"/>
      <c r="XEB19" s="431"/>
      <c r="XEC19" s="431"/>
      <c r="XED19" s="431"/>
      <c r="XEE19" s="431"/>
      <c r="XEF19" s="431"/>
      <c r="XEG19" s="431"/>
      <c r="XEH19" s="431"/>
      <c r="XEI19" s="431"/>
      <c r="XEJ19" s="431"/>
      <c r="XEK19" s="431"/>
      <c r="XEL19" s="431"/>
      <c r="XEM19" s="431"/>
      <c r="XEN19" s="431"/>
      <c r="XEO19" s="431"/>
      <c r="XEP19" s="431"/>
      <c r="XEQ19" s="431"/>
      <c r="XER19" s="431"/>
      <c r="XES19" s="431"/>
      <c r="XET19" s="431"/>
      <c r="XEU19" s="431"/>
      <c r="XEV19" s="431"/>
      <c r="XEW19" s="431"/>
      <c r="XEX19" s="431"/>
      <c r="XEY19" s="431"/>
      <c r="XEZ19" s="431"/>
      <c r="XFA19" s="431"/>
      <c r="XFB19" s="431"/>
      <c r="XFC19" s="431"/>
      <c r="XFD19" s="431"/>
    </row>
    <row r="20" s="409" customFormat="1" ht="15" customHeight="1" spans="1:22 16313:16384">
      <c r="A20" s="436">
        <v>45056</v>
      </c>
      <c r="B20" s="437">
        <v>1000014352</v>
      </c>
      <c r="C20" s="448" t="s">
        <v>2550</v>
      </c>
      <c r="D20" s="449"/>
      <c r="E20" s="449"/>
      <c r="F20" s="449"/>
      <c r="G20" s="453"/>
      <c r="H20" s="453"/>
      <c r="I20" s="453"/>
      <c r="J20" s="450"/>
      <c r="K20" s="450"/>
      <c r="L20" s="450"/>
      <c r="M20" s="450"/>
      <c r="N20" s="450"/>
      <c r="O20" s="454">
        <v>150000</v>
      </c>
      <c r="P20" s="454"/>
      <c r="Q20" s="451"/>
      <c r="R20" s="451"/>
      <c r="S20" s="451"/>
      <c r="T20" s="451"/>
      <c r="XCK20" s="431"/>
      <c r="XCL20" s="431"/>
      <c r="XCM20" s="431"/>
      <c r="XCN20" s="431"/>
      <c r="XCO20" s="431"/>
      <c r="XCP20" s="431"/>
      <c r="XCQ20" s="431"/>
      <c r="XCR20" s="431"/>
      <c r="XCS20" s="431"/>
      <c r="XCT20" s="431"/>
      <c r="XCU20" s="431"/>
      <c r="XCV20" s="431"/>
      <c r="XCW20" s="431"/>
      <c r="XCX20" s="431"/>
      <c r="XCY20" s="431"/>
      <c r="XCZ20" s="431"/>
      <c r="XDA20" s="431"/>
      <c r="XDB20" s="431"/>
      <c r="XDC20" s="431"/>
      <c r="XDD20" s="431"/>
      <c r="XDE20" s="431"/>
      <c r="XDF20" s="431"/>
      <c r="XDG20" s="431"/>
      <c r="XDH20" s="431"/>
      <c r="XDI20" s="431"/>
      <c r="XDJ20" s="431"/>
      <c r="XDK20" s="431"/>
      <c r="XDL20" s="431"/>
      <c r="XDM20" s="431"/>
      <c r="XDN20" s="431"/>
      <c r="XDO20" s="431"/>
      <c r="XDP20" s="431"/>
      <c r="XDQ20" s="431"/>
      <c r="XDR20" s="431"/>
      <c r="XDS20" s="431"/>
      <c r="XDT20" s="431"/>
      <c r="XDU20" s="431"/>
      <c r="XDV20" s="431"/>
      <c r="XDW20" s="431"/>
      <c r="XDX20" s="431"/>
      <c r="XDY20" s="431"/>
      <c r="XDZ20" s="431"/>
      <c r="XEA20" s="431"/>
      <c r="XEB20" s="431"/>
      <c r="XEC20" s="431"/>
      <c r="XED20" s="431"/>
      <c r="XEE20" s="431"/>
      <c r="XEF20" s="431"/>
      <c r="XEG20" s="431"/>
      <c r="XEH20" s="431"/>
      <c r="XEI20" s="431"/>
      <c r="XEJ20" s="431"/>
      <c r="XEK20" s="431"/>
      <c r="XEL20" s="431"/>
      <c r="XEM20" s="431"/>
      <c r="XEN20" s="431"/>
      <c r="XEO20" s="431"/>
      <c r="XEP20" s="431"/>
      <c r="XEQ20" s="431"/>
      <c r="XER20" s="431"/>
      <c r="XES20" s="431"/>
      <c r="XET20" s="431"/>
      <c r="XEU20" s="431"/>
      <c r="XEV20" s="431"/>
      <c r="XEW20" s="431"/>
      <c r="XEX20" s="431"/>
      <c r="XEY20" s="431"/>
      <c r="XEZ20" s="431"/>
      <c r="XFA20" s="431"/>
      <c r="XFB20" s="431"/>
      <c r="XFC20" s="431"/>
      <c r="XFD20" s="431"/>
    </row>
    <row r="21" s="409" customFormat="1" ht="15" customHeight="1" spans="1:22 16313:16384">
      <c r="A21" s="436">
        <v>45056</v>
      </c>
      <c r="B21" s="437">
        <v>1000014353</v>
      </c>
      <c r="C21" s="448" t="s">
        <v>2550</v>
      </c>
      <c r="D21" s="449"/>
      <c r="E21" s="449"/>
      <c r="F21" s="449"/>
      <c r="G21" s="453"/>
      <c r="H21" s="453"/>
      <c r="I21" s="453"/>
      <c r="J21" s="450"/>
      <c r="K21" s="450"/>
      <c r="L21" s="450"/>
      <c r="M21" s="450"/>
      <c r="N21" s="450"/>
      <c r="O21" s="451"/>
      <c r="P21" s="451"/>
      <c r="Q21" s="454">
        <v>150000</v>
      </c>
      <c r="R21" s="451"/>
      <c r="S21" s="451"/>
      <c r="T21" s="451"/>
      <c r="XCK21" s="431"/>
      <c r="XCL21" s="431"/>
      <c r="XCM21" s="431"/>
      <c r="XCN21" s="431"/>
      <c r="XCO21" s="431"/>
      <c r="XCP21" s="431"/>
      <c r="XCQ21" s="431"/>
      <c r="XCR21" s="431"/>
      <c r="XCS21" s="431"/>
      <c r="XCT21" s="431"/>
      <c r="XCU21" s="431"/>
      <c r="XCV21" s="431"/>
      <c r="XCW21" s="431"/>
      <c r="XCX21" s="431"/>
      <c r="XCY21" s="431"/>
      <c r="XCZ21" s="431"/>
      <c r="XDA21" s="431"/>
      <c r="XDB21" s="431"/>
      <c r="XDC21" s="431"/>
      <c r="XDD21" s="431"/>
      <c r="XDE21" s="431"/>
      <c r="XDF21" s="431"/>
      <c r="XDG21" s="431"/>
      <c r="XDH21" s="431"/>
      <c r="XDI21" s="431"/>
      <c r="XDJ21" s="431"/>
      <c r="XDK21" s="431"/>
      <c r="XDL21" s="431"/>
      <c r="XDM21" s="431"/>
      <c r="XDN21" s="431"/>
      <c r="XDO21" s="431"/>
      <c r="XDP21" s="431"/>
      <c r="XDQ21" s="431"/>
      <c r="XDR21" s="431"/>
      <c r="XDS21" s="431"/>
      <c r="XDT21" s="431"/>
      <c r="XDU21" s="431"/>
      <c r="XDV21" s="431"/>
      <c r="XDW21" s="431"/>
      <c r="XDX21" s="431"/>
      <c r="XDY21" s="431"/>
      <c r="XDZ21" s="431"/>
      <c r="XEA21" s="431"/>
      <c r="XEB21" s="431"/>
      <c r="XEC21" s="431"/>
      <c r="XED21" s="431"/>
      <c r="XEE21" s="431"/>
      <c r="XEF21" s="431"/>
      <c r="XEG21" s="431"/>
      <c r="XEH21" s="431"/>
      <c r="XEI21" s="431"/>
      <c r="XEJ21" s="431"/>
      <c r="XEK21" s="431"/>
      <c r="XEL21" s="431"/>
      <c r="XEM21" s="431"/>
      <c r="XEN21" s="431"/>
      <c r="XEO21" s="431"/>
      <c r="XEP21" s="431"/>
      <c r="XEQ21" s="431"/>
      <c r="XER21" s="431"/>
      <c r="XES21" s="431"/>
      <c r="XET21" s="431"/>
      <c r="XEU21" s="431"/>
      <c r="XEV21" s="431"/>
      <c r="XEW21" s="431"/>
      <c r="XEX21" s="431"/>
      <c r="XEY21" s="431"/>
      <c r="XEZ21" s="431"/>
      <c r="XFA21" s="431"/>
      <c r="XFB21" s="431"/>
      <c r="XFC21" s="431"/>
      <c r="XFD21" s="431"/>
    </row>
    <row r="22" s="409" customFormat="1" ht="15" customHeight="1" spans="1:22 16313:16384">
      <c r="A22" s="455">
        <v>45068</v>
      </c>
      <c r="B22" s="456">
        <v>1000014511</v>
      </c>
      <c r="C22" s="457" t="s">
        <v>2559</v>
      </c>
      <c r="D22" s="449"/>
      <c r="E22" s="449"/>
      <c r="F22" s="449"/>
      <c r="G22" s="453"/>
      <c r="H22" s="453"/>
      <c r="I22" s="453"/>
      <c r="J22" s="450"/>
      <c r="K22" s="450"/>
      <c r="L22" s="450"/>
      <c r="M22" s="450"/>
      <c r="N22" s="450"/>
      <c r="O22" s="451"/>
      <c r="P22" s="451"/>
      <c r="Q22" s="451"/>
      <c r="R22" s="451"/>
      <c r="S22" s="451"/>
      <c r="T22" s="451">
        <f>197</f>
        <v>197</v>
      </c>
      <c r="U22" s="409" t="s">
        <v>2560</v>
      </c>
      <c r="XCK22" s="431"/>
      <c r="XCL22" s="431"/>
      <c r="XCM22" s="431"/>
      <c r="XCN22" s="431"/>
      <c r="XCO22" s="431"/>
      <c r="XCP22" s="431"/>
      <c r="XCQ22" s="431"/>
      <c r="XCR22" s="431"/>
      <c r="XCS22" s="431"/>
      <c r="XCT22" s="431"/>
      <c r="XCU22" s="431"/>
      <c r="XCV22" s="431"/>
      <c r="XCW22" s="431"/>
      <c r="XCX22" s="431"/>
      <c r="XCY22" s="431"/>
      <c r="XCZ22" s="431"/>
      <c r="XDA22" s="431"/>
      <c r="XDB22" s="431"/>
      <c r="XDC22" s="431"/>
      <c r="XDD22" s="431"/>
      <c r="XDE22" s="431"/>
      <c r="XDF22" s="431"/>
      <c r="XDG22" s="431"/>
      <c r="XDH22" s="431"/>
      <c r="XDI22" s="431"/>
      <c r="XDJ22" s="431"/>
      <c r="XDK22" s="431"/>
      <c r="XDL22" s="431"/>
      <c r="XDM22" s="431"/>
      <c r="XDN22" s="431"/>
      <c r="XDO22" s="431"/>
      <c r="XDP22" s="431"/>
      <c r="XDQ22" s="431"/>
      <c r="XDR22" s="431"/>
      <c r="XDS22" s="431"/>
      <c r="XDT22" s="431"/>
      <c r="XDU22" s="431"/>
      <c r="XDV22" s="431"/>
      <c r="XDW22" s="431"/>
      <c r="XDX22" s="431"/>
      <c r="XDY22" s="431"/>
      <c r="XDZ22" s="431"/>
      <c r="XEA22" s="431"/>
      <c r="XEB22" s="431"/>
      <c r="XEC22" s="431"/>
      <c r="XED22" s="431"/>
      <c r="XEE22" s="431"/>
      <c r="XEF22" s="431"/>
      <c r="XEG22" s="431"/>
      <c r="XEH22" s="431"/>
      <c r="XEI22" s="431"/>
      <c r="XEJ22" s="431"/>
      <c r="XEK22" s="431"/>
      <c r="XEL22" s="431"/>
      <c r="XEM22" s="431"/>
      <c r="XEN22" s="431"/>
      <c r="XEO22" s="431"/>
      <c r="XEP22" s="431"/>
      <c r="XEQ22" s="431"/>
      <c r="XER22" s="431"/>
      <c r="XES22" s="431"/>
      <c r="XET22" s="431"/>
      <c r="XEU22" s="431"/>
      <c r="XEV22" s="431"/>
      <c r="XEW22" s="431"/>
      <c r="XEX22" s="431"/>
      <c r="XEY22" s="431"/>
      <c r="XEZ22" s="431"/>
      <c r="XFA22" s="431"/>
      <c r="XFB22" s="431"/>
      <c r="XFC22" s="431"/>
      <c r="XFD22" s="431"/>
    </row>
    <row r="23" s="409" customFormat="1" ht="15" customHeight="1" spans="1:22 16313:16384">
      <c r="A23" s="446">
        <v>45090</v>
      </c>
      <c r="B23" s="447">
        <v>1000014795</v>
      </c>
      <c r="C23" s="444" t="s">
        <v>2555</v>
      </c>
      <c r="D23" s="449"/>
      <c r="E23" s="449"/>
      <c r="F23" s="449"/>
      <c r="G23" s="453"/>
      <c r="H23" s="453"/>
      <c r="I23" s="453"/>
      <c r="J23" s="450"/>
      <c r="K23" s="450"/>
      <c r="L23" s="450"/>
      <c r="M23" s="450">
        <v>20000</v>
      </c>
      <c r="N23" s="450"/>
      <c r="O23" s="451"/>
      <c r="P23" s="451"/>
      <c r="Q23" s="451"/>
      <c r="R23" s="451"/>
      <c r="S23" s="451"/>
      <c r="T23" s="451"/>
      <c r="U23" s="458" t="s">
        <v>2561</v>
      </c>
      <c r="V23" s="445" t="s">
        <v>2557</v>
      </c>
      <c r="XCK23" s="431"/>
      <c r="XCL23" s="431"/>
      <c r="XCM23" s="431"/>
      <c r="XCN23" s="431"/>
      <c r="XCO23" s="431"/>
      <c r="XCP23" s="431"/>
      <c r="XCQ23" s="431"/>
      <c r="XCR23" s="431"/>
      <c r="XCS23" s="431"/>
      <c r="XCT23" s="431"/>
      <c r="XCU23" s="431"/>
      <c r="XCV23" s="431"/>
      <c r="XCW23" s="431"/>
      <c r="XCX23" s="431"/>
      <c r="XCY23" s="431"/>
      <c r="XCZ23" s="431"/>
      <c r="XDA23" s="431"/>
      <c r="XDB23" s="431"/>
      <c r="XDC23" s="431"/>
      <c r="XDD23" s="431"/>
      <c r="XDE23" s="431"/>
      <c r="XDF23" s="431"/>
      <c r="XDG23" s="431"/>
      <c r="XDH23" s="431"/>
      <c r="XDI23" s="431"/>
      <c r="XDJ23" s="431"/>
      <c r="XDK23" s="431"/>
      <c r="XDL23" s="431"/>
      <c r="XDM23" s="431"/>
      <c r="XDN23" s="431"/>
      <c r="XDO23" s="431"/>
      <c r="XDP23" s="431"/>
      <c r="XDQ23" s="431"/>
      <c r="XDR23" s="431"/>
      <c r="XDS23" s="431"/>
      <c r="XDT23" s="431"/>
      <c r="XDU23" s="431"/>
      <c r="XDV23" s="431"/>
      <c r="XDW23" s="431"/>
      <c r="XDX23" s="431"/>
      <c r="XDY23" s="431"/>
      <c r="XDZ23" s="431"/>
      <c r="XEA23" s="431"/>
      <c r="XEB23" s="431"/>
      <c r="XEC23" s="431"/>
      <c r="XED23" s="431"/>
      <c r="XEE23" s="431"/>
      <c r="XEF23" s="431"/>
      <c r="XEG23" s="431"/>
      <c r="XEH23" s="431"/>
      <c r="XEI23" s="431"/>
      <c r="XEJ23" s="431"/>
      <c r="XEK23" s="431"/>
      <c r="XEL23" s="431"/>
      <c r="XEM23" s="431"/>
      <c r="XEN23" s="431"/>
      <c r="XEO23" s="431"/>
      <c r="XEP23" s="431"/>
      <c r="XEQ23" s="431"/>
      <c r="XER23" s="431"/>
      <c r="XES23" s="431"/>
      <c r="XET23" s="431"/>
      <c r="XEU23" s="431"/>
      <c r="XEV23" s="431"/>
      <c r="XEW23" s="431"/>
      <c r="XEX23" s="431"/>
      <c r="XEY23" s="431"/>
      <c r="XEZ23" s="431"/>
      <c r="XFA23" s="431"/>
      <c r="XFB23" s="431"/>
      <c r="XFC23" s="431"/>
      <c r="XFD23" s="431"/>
    </row>
    <row r="24" s="409" customFormat="1" ht="15" customHeight="1" spans="1:22 16313:16384">
      <c r="A24" s="436">
        <v>45091</v>
      </c>
      <c r="B24" s="459">
        <v>1000014896</v>
      </c>
      <c r="C24" s="448" t="s">
        <v>2550</v>
      </c>
      <c r="D24" s="449">
        <v>70000</v>
      </c>
      <c r="E24" s="449"/>
      <c r="F24" s="449"/>
      <c r="G24" s="453"/>
      <c r="H24" s="453"/>
      <c r="I24" s="453"/>
      <c r="J24" s="450"/>
      <c r="K24" s="450"/>
      <c r="L24" s="450"/>
      <c r="M24" s="450"/>
      <c r="N24" s="450"/>
      <c r="O24" s="451"/>
      <c r="P24" s="451"/>
      <c r="Q24" s="451"/>
      <c r="R24" s="451"/>
      <c r="S24" s="451"/>
      <c r="T24" s="451"/>
      <c r="U24" s="458"/>
      <c r="XCK24" s="431"/>
      <c r="XCL24" s="431"/>
      <c r="XCM24" s="431"/>
      <c r="XCN24" s="431"/>
      <c r="XCO24" s="431"/>
      <c r="XCP24" s="431"/>
      <c r="XCQ24" s="431"/>
      <c r="XCR24" s="431"/>
      <c r="XCS24" s="431"/>
      <c r="XCT24" s="431"/>
      <c r="XCU24" s="431"/>
      <c r="XCV24" s="431"/>
      <c r="XCW24" s="431"/>
      <c r="XCX24" s="431"/>
      <c r="XCY24" s="431"/>
      <c r="XCZ24" s="431"/>
      <c r="XDA24" s="431"/>
      <c r="XDB24" s="431"/>
      <c r="XDC24" s="431"/>
      <c r="XDD24" s="431"/>
      <c r="XDE24" s="431"/>
      <c r="XDF24" s="431"/>
      <c r="XDG24" s="431"/>
      <c r="XDH24" s="431"/>
      <c r="XDI24" s="431"/>
      <c r="XDJ24" s="431"/>
      <c r="XDK24" s="431"/>
      <c r="XDL24" s="431"/>
      <c r="XDM24" s="431"/>
      <c r="XDN24" s="431"/>
      <c r="XDO24" s="431"/>
      <c r="XDP24" s="431"/>
      <c r="XDQ24" s="431"/>
      <c r="XDR24" s="431"/>
      <c r="XDS24" s="431"/>
      <c r="XDT24" s="431"/>
      <c r="XDU24" s="431"/>
      <c r="XDV24" s="431"/>
      <c r="XDW24" s="431"/>
      <c r="XDX24" s="431"/>
      <c r="XDY24" s="431"/>
      <c r="XDZ24" s="431"/>
      <c r="XEA24" s="431"/>
      <c r="XEB24" s="431"/>
      <c r="XEC24" s="431"/>
      <c r="XED24" s="431"/>
      <c r="XEE24" s="431"/>
      <c r="XEF24" s="431"/>
      <c r="XEG24" s="431"/>
      <c r="XEH24" s="431"/>
      <c r="XEI24" s="431"/>
      <c r="XEJ24" s="431"/>
      <c r="XEK24" s="431"/>
      <c r="XEL24" s="431"/>
      <c r="XEM24" s="431"/>
      <c r="XEN24" s="431"/>
      <c r="XEO24" s="431"/>
      <c r="XEP24" s="431"/>
      <c r="XEQ24" s="431"/>
      <c r="XER24" s="431"/>
      <c r="XES24" s="431"/>
      <c r="XET24" s="431"/>
      <c r="XEU24" s="431"/>
      <c r="XEV24" s="431"/>
      <c r="XEW24" s="431"/>
      <c r="XEX24" s="431"/>
      <c r="XEY24" s="431"/>
      <c r="XEZ24" s="431"/>
      <c r="XFA24" s="431"/>
      <c r="XFB24" s="431"/>
      <c r="XFC24" s="431"/>
      <c r="XFD24" s="431"/>
    </row>
    <row r="25" s="409" customFormat="1" ht="15" customHeight="1" spans="1:22 16313:16384">
      <c r="A25" s="436">
        <v>45091</v>
      </c>
      <c r="B25" s="459">
        <v>1000014897</v>
      </c>
      <c r="C25" s="448" t="s">
        <v>2550</v>
      </c>
      <c r="D25" s="449"/>
      <c r="E25" s="449"/>
      <c r="F25" s="449"/>
      <c r="G25" s="453">
        <v>60000</v>
      </c>
      <c r="H25" s="453"/>
      <c r="I25" s="453"/>
      <c r="J25" s="450"/>
      <c r="K25" s="450"/>
      <c r="L25" s="450"/>
      <c r="M25" s="450"/>
      <c r="N25" s="450"/>
      <c r="O25" s="451"/>
      <c r="P25" s="451"/>
      <c r="Q25" s="451"/>
      <c r="R25" s="451"/>
      <c r="S25" s="451"/>
      <c r="T25" s="451"/>
      <c r="U25" s="458"/>
      <c r="XCK25" s="431"/>
      <c r="XCL25" s="431"/>
      <c r="XCM25" s="431"/>
      <c r="XCN25" s="431"/>
      <c r="XCO25" s="431"/>
      <c r="XCP25" s="431"/>
      <c r="XCQ25" s="431"/>
      <c r="XCR25" s="431"/>
      <c r="XCS25" s="431"/>
      <c r="XCT25" s="431"/>
      <c r="XCU25" s="431"/>
      <c r="XCV25" s="431"/>
      <c r="XCW25" s="431"/>
      <c r="XCX25" s="431"/>
      <c r="XCY25" s="431"/>
      <c r="XCZ25" s="431"/>
      <c r="XDA25" s="431"/>
      <c r="XDB25" s="431"/>
      <c r="XDC25" s="431"/>
      <c r="XDD25" s="431"/>
      <c r="XDE25" s="431"/>
      <c r="XDF25" s="431"/>
      <c r="XDG25" s="431"/>
      <c r="XDH25" s="431"/>
      <c r="XDI25" s="431"/>
      <c r="XDJ25" s="431"/>
      <c r="XDK25" s="431"/>
      <c r="XDL25" s="431"/>
      <c r="XDM25" s="431"/>
      <c r="XDN25" s="431"/>
      <c r="XDO25" s="431"/>
      <c r="XDP25" s="431"/>
      <c r="XDQ25" s="431"/>
      <c r="XDR25" s="431"/>
      <c r="XDS25" s="431"/>
      <c r="XDT25" s="431"/>
      <c r="XDU25" s="431"/>
      <c r="XDV25" s="431"/>
      <c r="XDW25" s="431"/>
      <c r="XDX25" s="431"/>
      <c r="XDY25" s="431"/>
      <c r="XDZ25" s="431"/>
      <c r="XEA25" s="431"/>
      <c r="XEB25" s="431"/>
      <c r="XEC25" s="431"/>
      <c r="XED25" s="431"/>
      <c r="XEE25" s="431"/>
      <c r="XEF25" s="431"/>
      <c r="XEG25" s="431"/>
      <c r="XEH25" s="431"/>
      <c r="XEI25" s="431"/>
      <c r="XEJ25" s="431"/>
      <c r="XEK25" s="431"/>
      <c r="XEL25" s="431"/>
      <c r="XEM25" s="431"/>
      <c r="XEN25" s="431"/>
      <c r="XEO25" s="431"/>
      <c r="XEP25" s="431"/>
      <c r="XEQ25" s="431"/>
      <c r="XER25" s="431"/>
      <c r="XES25" s="431"/>
      <c r="XET25" s="431"/>
      <c r="XEU25" s="431"/>
      <c r="XEV25" s="431"/>
      <c r="XEW25" s="431"/>
      <c r="XEX25" s="431"/>
      <c r="XEY25" s="431"/>
      <c r="XEZ25" s="431"/>
      <c r="XFA25" s="431"/>
      <c r="XFB25" s="431"/>
      <c r="XFC25" s="431"/>
      <c r="XFD25" s="431"/>
    </row>
    <row r="26" s="409" customFormat="1" ht="15" customHeight="1" spans="1:22 16313:16384">
      <c r="A26" s="436">
        <v>45091</v>
      </c>
      <c r="B26" s="459">
        <v>1000014898</v>
      </c>
      <c r="C26" s="448" t="s">
        <v>2550</v>
      </c>
      <c r="D26" s="449"/>
      <c r="E26" s="449"/>
      <c r="F26" s="449"/>
      <c r="G26" s="453"/>
      <c r="H26" s="453"/>
      <c r="I26" s="453"/>
      <c r="J26" s="450">
        <v>140000</v>
      </c>
      <c r="K26" s="450"/>
      <c r="L26" s="450"/>
      <c r="M26" s="450"/>
      <c r="N26" s="450"/>
      <c r="O26" s="451"/>
      <c r="P26" s="451"/>
      <c r="Q26" s="451"/>
      <c r="R26" s="451"/>
      <c r="S26" s="451"/>
      <c r="T26" s="451"/>
      <c r="U26" s="458"/>
      <c r="XCK26" s="431"/>
      <c r="XCL26" s="431"/>
      <c r="XCM26" s="431"/>
      <c r="XCN26" s="431"/>
      <c r="XCO26" s="431"/>
      <c r="XCP26" s="431"/>
      <c r="XCQ26" s="431"/>
      <c r="XCR26" s="431"/>
      <c r="XCS26" s="431"/>
      <c r="XCT26" s="431"/>
      <c r="XCU26" s="431"/>
      <c r="XCV26" s="431"/>
      <c r="XCW26" s="431"/>
      <c r="XCX26" s="431"/>
      <c r="XCY26" s="431"/>
      <c r="XCZ26" s="431"/>
      <c r="XDA26" s="431"/>
      <c r="XDB26" s="431"/>
      <c r="XDC26" s="431"/>
      <c r="XDD26" s="431"/>
      <c r="XDE26" s="431"/>
      <c r="XDF26" s="431"/>
      <c r="XDG26" s="431"/>
      <c r="XDH26" s="431"/>
      <c r="XDI26" s="431"/>
      <c r="XDJ26" s="431"/>
      <c r="XDK26" s="431"/>
      <c r="XDL26" s="431"/>
      <c r="XDM26" s="431"/>
      <c r="XDN26" s="431"/>
      <c r="XDO26" s="431"/>
      <c r="XDP26" s="431"/>
      <c r="XDQ26" s="431"/>
      <c r="XDR26" s="431"/>
      <c r="XDS26" s="431"/>
      <c r="XDT26" s="431"/>
      <c r="XDU26" s="431"/>
      <c r="XDV26" s="431"/>
      <c r="XDW26" s="431"/>
      <c r="XDX26" s="431"/>
      <c r="XDY26" s="431"/>
      <c r="XDZ26" s="431"/>
      <c r="XEA26" s="431"/>
      <c r="XEB26" s="431"/>
      <c r="XEC26" s="431"/>
      <c r="XED26" s="431"/>
      <c r="XEE26" s="431"/>
      <c r="XEF26" s="431"/>
      <c r="XEG26" s="431"/>
      <c r="XEH26" s="431"/>
      <c r="XEI26" s="431"/>
      <c r="XEJ26" s="431"/>
      <c r="XEK26" s="431"/>
      <c r="XEL26" s="431"/>
      <c r="XEM26" s="431"/>
      <c r="XEN26" s="431"/>
      <c r="XEO26" s="431"/>
      <c r="XEP26" s="431"/>
      <c r="XEQ26" s="431"/>
      <c r="XER26" s="431"/>
      <c r="XES26" s="431"/>
      <c r="XET26" s="431"/>
      <c r="XEU26" s="431"/>
      <c r="XEV26" s="431"/>
      <c r="XEW26" s="431"/>
      <c r="XEX26" s="431"/>
      <c r="XEY26" s="431"/>
      <c r="XEZ26" s="431"/>
      <c r="XFA26" s="431"/>
      <c r="XFB26" s="431"/>
      <c r="XFC26" s="431"/>
      <c r="XFD26" s="431"/>
    </row>
    <row r="27" s="409" customFormat="1" ht="15" customHeight="1" spans="1:22 16313:16384">
      <c r="A27" s="436">
        <v>45091</v>
      </c>
      <c r="B27" s="459">
        <v>1000014899</v>
      </c>
      <c r="C27" s="448" t="s">
        <v>2550</v>
      </c>
      <c r="D27" s="449"/>
      <c r="E27" s="449"/>
      <c r="F27" s="449"/>
      <c r="G27" s="453"/>
      <c r="H27" s="453"/>
      <c r="I27" s="453"/>
      <c r="J27" s="450"/>
      <c r="K27" s="450"/>
      <c r="L27" s="450"/>
      <c r="M27" s="450"/>
      <c r="N27" s="450"/>
      <c r="O27" s="454">
        <v>140000</v>
      </c>
      <c r="P27" s="454"/>
      <c r="Q27" s="451"/>
      <c r="R27" s="451"/>
      <c r="S27" s="451"/>
      <c r="T27" s="451"/>
      <c r="U27" s="458"/>
      <c r="XCK27" s="431"/>
      <c r="XCL27" s="431"/>
      <c r="XCM27" s="431"/>
      <c r="XCN27" s="431"/>
      <c r="XCO27" s="431"/>
      <c r="XCP27" s="431"/>
      <c r="XCQ27" s="431"/>
      <c r="XCR27" s="431"/>
      <c r="XCS27" s="431"/>
      <c r="XCT27" s="431"/>
      <c r="XCU27" s="431"/>
      <c r="XCV27" s="431"/>
      <c r="XCW27" s="431"/>
      <c r="XCX27" s="431"/>
      <c r="XCY27" s="431"/>
      <c r="XCZ27" s="431"/>
      <c r="XDA27" s="431"/>
      <c r="XDB27" s="431"/>
      <c r="XDC27" s="431"/>
      <c r="XDD27" s="431"/>
      <c r="XDE27" s="431"/>
      <c r="XDF27" s="431"/>
      <c r="XDG27" s="431"/>
      <c r="XDH27" s="431"/>
      <c r="XDI27" s="431"/>
      <c r="XDJ27" s="431"/>
      <c r="XDK27" s="431"/>
      <c r="XDL27" s="431"/>
      <c r="XDM27" s="431"/>
      <c r="XDN27" s="431"/>
      <c r="XDO27" s="431"/>
      <c r="XDP27" s="431"/>
      <c r="XDQ27" s="431"/>
      <c r="XDR27" s="431"/>
      <c r="XDS27" s="431"/>
      <c r="XDT27" s="431"/>
      <c r="XDU27" s="431"/>
      <c r="XDV27" s="431"/>
      <c r="XDW27" s="431"/>
      <c r="XDX27" s="431"/>
      <c r="XDY27" s="431"/>
      <c r="XDZ27" s="431"/>
      <c r="XEA27" s="431"/>
      <c r="XEB27" s="431"/>
      <c r="XEC27" s="431"/>
      <c r="XED27" s="431"/>
      <c r="XEE27" s="431"/>
      <c r="XEF27" s="431"/>
      <c r="XEG27" s="431"/>
      <c r="XEH27" s="431"/>
      <c r="XEI27" s="431"/>
      <c r="XEJ27" s="431"/>
      <c r="XEK27" s="431"/>
      <c r="XEL27" s="431"/>
      <c r="XEM27" s="431"/>
      <c r="XEN27" s="431"/>
      <c r="XEO27" s="431"/>
      <c r="XEP27" s="431"/>
      <c r="XEQ27" s="431"/>
      <c r="XER27" s="431"/>
      <c r="XES27" s="431"/>
      <c r="XET27" s="431"/>
      <c r="XEU27" s="431"/>
      <c r="XEV27" s="431"/>
      <c r="XEW27" s="431"/>
      <c r="XEX27" s="431"/>
      <c r="XEY27" s="431"/>
      <c r="XEZ27" s="431"/>
      <c r="XFA27" s="431"/>
      <c r="XFB27" s="431"/>
      <c r="XFC27" s="431"/>
      <c r="XFD27" s="431"/>
    </row>
    <row r="28" s="409" customFormat="1" ht="15" customHeight="1" spans="1:22 16313:16384">
      <c r="A28" s="436">
        <v>45091</v>
      </c>
      <c r="B28" s="459">
        <v>100014900</v>
      </c>
      <c r="C28" s="448" t="s">
        <v>2550</v>
      </c>
      <c r="D28" s="449"/>
      <c r="E28" s="449"/>
      <c r="F28" s="449"/>
      <c r="G28" s="453"/>
      <c r="H28" s="453"/>
      <c r="I28" s="453"/>
      <c r="J28" s="450"/>
      <c r="K28" s="450"/>
      <c r="L28" s="450"/>
      <c r="M28" s="450"/>
      <c r="N28" s="450"/>
      <c r="O28" s="451"/>
      <c r="P28" s="451"/>
      <c r="Q28" s="454">
        <v>140000</v>
      </c>
      <c r="R28" s="451"/>
      <c r="S28" s="451"/>
      <c r="T28" s="451"/>
      <c r="U28" s="458"/>
      <c r="XCK28" s="431"/>
      <c r="XCL28" s="431"/>
      <c r="XCM28" s="431"/>
      <c r="XCN28" s="431"/>
      <c r="XCO28" s="431"/>
      <c r="XCP28" s="431"/>
      <c r="XCQ28" s="431"/>
      <c r="XCR28" s="431"/>
      <c r="XCS28" s="431"/>
      <c r="XCT28" s="431"/>
      <c r="XCU28" s="431"/>
      <c r="XCV28" s="431"/>
      <c r="XCW28" s="431"/>
      <c r="XCX28" s="431"/>
      <c r="XCY28" s="431"/>
      <c r="XCZ28" s="431"/>
      <c r="XDA28" s="431"/>
      <c r="XDB28" s="431"/>
      <c r="XDC28" s="431"/>
      <c r="XDD28" s="431"/>
      <c r="XDE28" s="431"/>
      <c r="XDF28" s="431"/>
      <c r="XDG28" s="431"/>
      <c r="XDH28" s="431"/>
      <c r="XDI28" s="431"/>
      <c r="XDJ28" s="431"/>
      <c r="XDK28" s="431"/>
      <c r="XDL28" s="431"/>
      <c r="XDM28" s="431"/>
      <c r="XDN28" s="431"/>
      <c r="XDO28" s="431"/>
      <c r="XDP28" s="431"/>
      <c r="XDQ28" s="431"/>
      <c r="XDR28" s="431"/>
      <c r="XDS28" s="431"/>
      <c r="XDT28" s="431"/>
      <c r="XDU28" s="431"/>
      <c r="XDV28" s="431"/>
      <c r="XDW28" s="431"/>
      <c r="XDX28" s="431"/>
      <c r="XDY28" s="431"/>
      <c r="XDZ28" s="431"/>
      <c r="XEA28" s="431"/>
      <c r="XEB28" s="431"/>
      <c r="XEC28" s="431"/>
      <c r="XED28" s="431"/>
      <c r="XEE28" s="431"/>
      <c r="XEF28" s="431"/>
      <c r="XEG28" s="431"/>
      <c r="XEH28" s="431"/>
      <c r="XEI28" s="431"/>
      <c r="XEJ28" s="431"/>
      <c r="XEK28" s="431"/>
      <c r="XEL28" s="431"/>
      <c r="XEM28" s="431"/>
      <c r="XEN28" s="431"/>
      <c r="XEO28" s="431"/>
      <c r="XEP28" s="431"/>
      <c r="XEQ28" s="431"/>
      <c r="XER28" s="431"/>
      <c r="XES28" s="431"/>
      <c r="XET28" s="431"/>
      <c r="XEU28" s="431"/>
      <c r="XEV28" s="431"/>
      <c r="XEW28" s="431"/>
      <c r="XEX28" s="431"/>
      <c r="XEY28" s="431"/>
      <c r="XEZ28" s="431"/>
      <c r="XFA28" s="431"/>
      <c r="XFB28" s="431"/>
      <c r="XFC28" s="431"/>
      <c r="XFD28" s="431"/>
    </row>
    <row r="29" s="409" customFormat="1" ht="15" customHeight="1" spans="1:22 16313:16384">
      <c r="A29" s="436">
        <v>45107</v>
      </c>
      <c r="B29" s="459">
        <v>1000015170</v>
      </c>
      <c r="C29" s="448" t="s">
        <v>2550</v>
      </c>
      <c r="D29" s="449">
        <v>120000</v>
      </c>
      <c r="E29" s="449"/>
      <c r="F29" s="449"/>
      <c r="G29" s="453"/>
      <c r="H29" s="453"/>
      <c r="I29" s="453"/>
      <c r="J29" s="450"/>
      <c r="K29" s="450"/>
      <c r="L29" s="450"/>
      <c r="M29" s="450"/>
      <c r="N29" s="450"/>
      <c r="O29" s="451"/>
      <c r="P29" s="451"/>
      <c r="Q29" s="454"/>
      <c r="R29" s="451"/>
      <c r="S29" s="451"/>
      <c r="T29" s="451"/>
      <c r="U29" s="458"/>
      <c r="XCK29" s="431"/>
      <c r="XCL29" s="431"/>
      <c r="XCM29" s="431"/>
      <c r="XCN29" s="431"/>
      <c r="XCO29" s="431"/>
      <c r="XCP29" s="431"/>
      <c r="XCQ29" s="431"/>
      <c r="XCR29" s="431"/>
      <c r="XCS29" s="431"/>
      <c r="XCT29" s="431"/>
      <c r="XCU29" s="431"/>
      <c r="XCV29" s="431"/>
      <c r="XCW29" s="431"/>
      <c r="XCX29" s="431"/>
      <c r="XCY29" s="431"/>
      <c r="XCZ29" s="431"/>
      <c r="XDA29" s="431"/>
      <c r="XDB29" s="431"/>
      <c r="XDC29" s="431"/>
      <c r="XDD29" s="431"/>
      <c r="XDE29" s="431"/>
      <c r="XDF29" s="431"/>
      <c r="XDG29" s="431"/>
      <c r="XDH29" s="431"/>
      <c r="XDI29" s="431"/>
      <c r="XDJ29" s="431"/>
      <c r="XDK29" s="431"/>
      <c r="XDL29" s="431"/>
      <c r="XDM29" s="431"/>
      <c r="XDN29" s="431"/>
      <c r="XDO29" s="431"/>
      <c r="XDP29" s="431"/>
      <c r="XDQ29" s="431"/>
      <c r="XDR29" s="431"/>
      <c r="XDS29" s="431"/>
      <c r="XDT29" s="431"/>
      <c r="XDU29" s="431"/>
      <c r="XDV29" s="431"/>
      <c r="XDW29" s="431"/>
      <c r="XDX29" s="431"/>
      <c r="XDY29" s="431"/>
      <c r="XDZ29" s="431"/>
      <c r="XEA29" s="431"/>
      <c r="XEB29" s="431"/>
      <c r="XEC29" s="431"/>
      <c r="XED29" s="431"/>
      <c r="XEE29" s="431"/>
      <c r="XEF29" s="431"/>
      <c r="XEG29" s="431"/>
      <c r="XEH29" s="431"/>
      <c r="XEI29" s="431"/>
      <c r="XEJ29" s="431"/>
      <c r="XEK29" s="431"/>
      <c r="XEL29" s="431"/>
      <c r="XEM29" s="431"/>
      <c r="XEN29" s="431"/>
      <c r="XEO29" s="431"/>
      <c r="XEP29" s="431"/>
      <c r="XEQ29" s="431"/>
      <c r="XER29" s="431"/>
      <c r="XES29" s="431"/>
      <c r="XET29" s="431"/>
      <c r="XEU29" s="431"/>
      <c r="XEV29" s="431"/>
      <c r="XEW29" s="431"/>
      <c r="XEX29" s="431"/>
      <c r="XEY29" s="431"/>
      <c r="XEZ29" s="431"/>
      <c r="XFA29" s="431"/>
      <c r="XFB29" s="431"/>
      <c r="XFC29" s="431"/>
      <c r="XFD29" s="431"/>
    </row>
    <row r="30" s="409" customFormat="1" ht="15" customHeight="1" spans="1:22 16313:16384">
      <c r="A30" s="436">
        <v>45107</v>
      </c>
      <c r="B30" s="459">
        <v>1000015171</v>
      </c>
      <c r="C30" s="448" t="s">
        <v>2550</v>
      </c>
      <c r="D30" s="449"/>
      <c r="E30" s="449"/>
      <c r="F30" s="449"/>
      <c r="G30" s="453"/>
      <c r="H30" s="453"/>
      <c r="I30" s="453"/>
      <c r="J30" s="450">
        <v>130000</v>
      </c>
      <c r="K30" s="450"/>
      <c r="L30" s="450"/>
      <c r="M30" s="450"/>
      <c r="N30" s="450"/>
      <c r="O30" s="451"/>
      <c r="P30" s="451"/>
      <c r="Q30" s="454"/>
      <c r="R30" s="451"/>
      <c r="S30" s="451"/>
      <c r="T30" s="451"/>
      <c r="U30" s="458"/>
      <c r="XCK30" s="431"/>
      <c r="XCL30" s="431"/>
      <c r="XCM30" s="431"/>
      <c r="XCN30" s="431"/>
      <c r="XCO30" s="431"/>
      <c r="XCP30" s="431"/>
      <c r="XCQ30" s="431"/>
      <c r="XCR30" s="431"/>
      <c r="XCS30" s="431"/>
      <c r="XCT30" s="431"/>
      <c r="XCU30" s="431"/>
      <c r="XCV30" s="431"/>
      <c r="XCW30" s="431"/>
      <c r="XCX30" s="431"/>
      <c r="XCY30" s="431"/>
      <c r="XCZ30" s="431"/>
      <c r="XDA30" s="431"/>
      <c r="XDB30" s="431"/>
      <c r="XDC30" s="431"/>
      <c r="XDD30" s="431"/>
      <c r="XDE30" s="431"/>
      <c r="XDF30" s="431"/>
      <c r="XDG30" s="431"/>
      <c r="XDH30" s="431"/>
      <c r="XDI30" s="431"/>
      <c r="XDJ30" s="431"/>
      <c r="XDK30" s="431"/>
      <c r="XDL30" s="431"/>
      <c r="XDM30" s="431"/>
      <c r="XDN30" s="431"/>
      <c r="XDO30" s="431"/>
      <c r="XDP30" s="431"/>
      <c r="XDQ30" s="431"/>
      <c r="XDR30" s="431"/>
      <c r="XDS30" s="431"/>
      <c r="XDT30" s="431"/>
      <c r="XDU30" s="431"/>
      <c r="XDV30" s="431"/>
      <c r="XDW30" s="431"/>
      <c r="XDX30" s="431"/>
      <c r="XDY30" s="431"/>
      <c r="XDZ30" s="431"/>
      <c r="XEA30" s="431"/>
      <c r="XEB30" s="431"/>
      <c r="XEC30" s="431"/>
      <c r="XED30" s="431"/>
      <c r="XEE30" s="431"/>
      <c r="XEF30" s="431"/>
      <c r="XEG30" s="431"/>
      <c r="XEH30" s="431"/>
      <c r="XEI30" s="431"/>
      <c r="XEJ30" s="431"/>
      <c r="XEK30" s="431"/>
      <c r="XEL30" s="431"/>
      <c r="XEM30" s="431"/>
      <c r="XEN30" s="431"/>
      <c r="XEO30" s="431"/>
      <c r="XEP30" s="431"/>
      <c r="XEQ30" s="431"/>
      <c r="XER30" s="431"/>
      <c r="XES30" s="431"/>
      <c r="XET30" s="431"/>
      <c r="XEU30" s="431"/>
      <c r="XEV30" s="431"/>
      <c r="XEW30" s="431"/>
      <c r="XEX30" s="431"/>
      <c r="XEY30" s="431"/>
      <c r="XEZ30" s="431"/>
      <c r="XFA30" s="431"/>
      <c r="XFB30" s="431"/>
      <c r="XFC30" s="431"/>
      <c r="XFD30" s="431"/>
    </row>
    <row r="31" s="409" customFormat="1" ht="15" customHeight="1" spans="1:22 16313:16384">
      <c r="A31" s="436">
        <v>45107</v>
      </c>
      <c r="B31" s="459">
        <v>1000015174</v>
      </c>
      <c r="C31" s="448" t="s">
        <v>2550</v>
      </c>
      <c r="D31" s="449"/>
      <c r="E31" s="449"/>
      <c r="F31" s="449"/>
      <c r="G31" s="453"/>
      <c r="H31" s="453"/>
      <c r="I31" s="453"/>
      <c r="J31" s="450"/>
      <c r="K31" s="450"/>
      <c r="L31" s="450"/>
      <c r="M31" s="450"/>
      <c r="N31" s="450"/>
      <c r="O31" s="451">
        <v>140000</v>
      </c>
      <c r="P31" s="451"/>
      <c r="Q31" s="454"/>
      <c r="R31" s="451"/>
      <c r="S31" s="451"/>
      <c r="T31" s="451"/>
      <c r="U31" s="458"/>
      <c r="XCK31" s="431"/>
      <c r="XCL31" s="431"/>
      <c r="XCM31" s="431"/>
      <c r="XCN31" s="431"/>
      <c r="XCO31" s="431"/>
      <c r="XCP31" s="431"/>
      <c r="XCQ31" s="431"/>
      <c r="XCR31" s="431"/>
      <c r="XCS31" s="431"/>
      <c r="XCT31" s="431"/>
      <c r="XCU31" s="431"/>
      <c r="XCV31" s="431"/>
      <c r="XCW31" s="431"/>
      <c r="XCX31" s="431"/>
      <c r="XCY31" s="431"/>
      <c r="XCZ31" s="431"/>
      <c r="XDA31" s="431"/>
      <c r="XDB31" s="431"/>
      <c r="XDC31" s="431"/>
      <c r="XDD31" s="431"/>
      <c r="XDE31" s="431"/>
      <c r="XDF31" s="431"/>
      <c r="XDG31" s="431"/>
      <c r="XDH31" s="431"/>
      <c r="XDI31" s="431"/>
      <c r="XDJ31" s="431"/>
      <c r="XDK31" s="431"/>
      <c r="XDL31" s="431"/>
      <c r="XDM31" s="431"/>
      <c r="XDN31" s="431"/>
      <c r="XDO31" s="431"/>
      <c r="XDP31" s="431"/>
      <c r="XDQ31" s="431"/>
      <c r="XDR31" s="431"/>
      <c r="XDS31" s="431"/>
      <c r="XDT31" s="431"/>
      <c r="XDU31" s="431"/>
      <c r="XDV31" s="431"/>
      <c r="XDW31" s="431"/>
      <c r="XDX31" s="431"/>
      <c r="XDY31" s="431"/>
      <c r="XDZ31" s="431"/>
      <c r="XEA31" s="431"/>
      <c r="XEB31" s="431"/>
      <c r="XEC31" s="431"/>
      <c r="XED31" s="431"/>
      <c r="XEE31" s="431"/>
      <c r="XEF31" s="431"/>
      <c r="XEG31" s="431"/>
      <c r="XEH31" s="431"/>
      <c r="XEI31" s="431"/>
      <c r="XEJ31" s="431"/>
      <c r="XEK31" s="431"/>
      <c r="XEL31" s="431"/>
      <c r="XEM31" s="431"/>
      <c r="XEN31" s="431"/>
      <c r="XEO31" s="431"/>
      <c r="XEP31" s="431"/>
      <c r="XEQ31" s="431"/>
      <c r="XER31" s="431"/>
      <c r="XES31" s="431"/>
      <c r="XET31" s="431"/>
      <c r="XEU31" s="431"/>
      <c r="XEV31" s="431"/>
      <c r="XEW31" s="431"/>
      <c r="XEX31" s="431"/>
      <c r="XEY31" s="431"/>
      <c r="XEZ31" s="431"/>
      <c r="XFA31" s="431"/>
      <c r="XFB31" s="431"/>
      <c r="XFC31" s="431"/>
      <c r="XFD31" s="431"/>
    </row>
    <row r="32" s="409" customFormat="1" ht="15" customHeight="1" spans="1:22 16313:16384">
      <c r="A32" s="436">
        <v>45107</v>
      </c>
      <c r="B32" s="459">
        <v>1000015176</v>
      </c>
      <c r="C32" s="448" t="s">
        <v>2550</v>
      </c>
      <c r="D32" s="449"/>
      <c r="E32" s="449"/>
      <c r="F32" s="449"/>
      <c r="G32" s="453"/>
      <c r="H32" s="453"/>
      <c r="I32" s="453"/>
      <c r="J32" s="450"/>
      <c r="K32" s="450"/>
      <c r="L32" s="450"/>
      <c r="M32" s="450"/>
      <c r="N32" s="450"/>
      <c r="O32" s="451"/>
      <c r="P32" s="451"/>
      <c r="Q32" s="451">
        <v>140000</v>
      </c>
      <c r="R32" s="451"/>
      <c r="S32" s="451"/>
      <c r="T32" s="451"/>
      <c r="U32" s="458"/>
      <c r="XCK32" s="431"/>
      <c r="XCL32" s="431"/>
      <c r="XCM32" s="431"/>
      <c r="XCN32" s="431"/>
      <c r="XCO32" s="431"/>
      <c r="XCP32" s="431"/>
      <c r="XCQ32" s="431"/>
      <c r="XCR32" s="431"/>
      <c r="XCS32" s="431"/>
      <c r="XCT32" s="431"/>
      <c r="XCU32" s="431"/>
      <c r="XCV32" s="431"/>
      <c r="XCW32" s="431"/>
      <c r="XCX32" s="431"/>
      <c r="XCY32" s="431"/>
      <c r="XCZ32" s="431"/>
      <c r="XDA32" s="431"/>
      <c r="XDB32" s="431"/>
      <c r="XDC32" s="431"/>
      <c r="XDD32" s="431"/>
      <c r="XDE32" s="431"/>
      <c r="XDF32" s="431"/>
      <c r="XDG32" s="431"/>
      <c r="XDH32" s="431"/>
      <c r="XDI32" s="431"/>
      <c r="XDJ32" s="431"/>
      <c r="XDK32" s="431"/>
      <c r="XDL32" s="431"/>
      <c r="XDM32" s="431"/>
      <c r="XDN32" s="431"/>
      <c r="XDO32" s="431"/>
      <c r="XDP32" s="431"/>
      <c r="XDQ32" s="431"/>
      <c r="XDR32" s="431"/>
      <c r="XDS32" s="431"/>
      <c r="XDT32" s="431"/>
      <c r="XDU32" s="431"/>
      <c r="XDV32" s="431"/>
      <c r="XDW32" s="431"/>
      <c r="XDX32" s="431"/>
      <c r="XDY32" s="431"/>
      <c r="XDZ32" s="431"/>
      <c r="XEA32" s="431"/>
      <c r="XEB32" s="431"/>
      <c r="XEC32" s="431"/>
      <c r="XED32" s="431"/>
      <c r="XEE32" s="431"/>
      <c r="XEF32" s="431"/>
      <c r="XEG32" s="431"/>
      <c r="XEH32" s="431"/>
      <c r="XEI32" s="431"/>
      <c r="XEJ32" s="431"/>
      <c r="XEK32" s="431"/>
      <c r="XEL32" s="431"/>
      <c r="XEM32" s="431"/>
      <c r="XEN32" s="431"/>
      <c r="XEO32" s="431"/>
      <c r="XEP32" s="431"/>
      <c r="XEQ32" s="431"/>
      <c r="XER32" s="431"/>
      <c r="XES32" s="431"/>
      <c r="XET32" s="431"/>
      <c r="XEU32" s="431"/>
      <c r="XEV32" s="431"/>
      <c r="XEW32" s="431"/>
      <c r="XEX32" s="431"/>
      <c r="XEY32" s="431"/>
      <c r="XEZ32" s="431"/>
      <c r="XFA32" s="431"/>
      <c r="XFB32" s="431"/>
      <c r="XFC32" s="431"/>
      <c r="XFD32" s="431"/>
    </row>
    <row r="33" s="409" customFormat="1" ht="15" customHeight="1" spans="1:22 16313:16384">
      <c r="A33" s="436">
        <v>45125</v>
      </c>
      <c r="B33" s="459">
        <v>1000015477</v>
      </c>
      <c r="C33" s="448" t="s">
        <v>2559</v>
      </c>
      <c r="D33" s="449"/>
      <c r="E33" s="449"/>
      <c r="F33" s="449"/>
      <c r="G33" s="453"/>
      <c r="H33" s="453"/>
      <c r="I33" s="453"/>
      <c r="J33" s="450"/>
      <c r="K33" s="450"/>
      <c r="L33" s="450"/>
      <c r="M33" s="450">
        <v>30000</v>
      </c>
      <c r="N33" s="450"/>
      <c r="O33" s="451"/>
      <c r="P33" s="451"/>
      <c r="Q33" s="454"/>
      <c r="R33" s="451"/>
      <c r="S33" s="451"/>
      <c r="T33" s="451"/>
      <c r="U33" s="458" t="s">
        <v>2562</v>
      </c>
      <c r="V33" s="445" t="s">
        <v>2557</v>
      </c>
      <c r="XCK33" s="431"/>
      <c r="XCL33" s="431"/>
      <c r="XCM33" s="431"/>
      <c r="XCN33" s="431"/>
      <c r="XCO33" s="431"/>
      <c r="XCP33" s="431"/>
      <c r="XCQ33" s="431"/>
      <c r="XCR33" s="431"/>
      <c r="XCS33" s="431"/>
      <c r="XCT33" s="431"/>
      <c r="XCU33" s="431"/>
      <c r="XCV33" s="431"/>
      <c r="XCW33" s="431"/>
      <c r="XCX33" s="431"/>
      <c r="XCY33" s="431"/>
      <c r="XCZ33" s="431"/>
      <c r="XDA33" s="431"/>
      <c r="XDB33" s="431"/>
      <c r="XDC33" s="431"/>
      <c r="XDD33" s="431"/>
      <c r="XDE33" s="431"/>
      <c r="XDF33" s="431"/>
      <c r="XDG33" s="431"/>
      <c r="XDH33" s="431"/>
      <c r="XDI33" s="431"/>
      <c r="XDJ33" s="431"/>
      <c r="XDK33" s="431"/>
      <c r="XDL33" s="431"/>
      <c r="XDM33" s="431"/>
      <c r="XDN33" s="431"/>
      <c r="XDO33" s="431"/>
      <c r="XDP33" s="431"/>
      <c r="XDQ33" s="431"/>
      <c r="XDR33" s="431"/>
      <c r="XDS33" s="431"/>
      <c r="XDT33" s="431"/>
      <c r="XDU33" s="431"/>
      <c r="XDV33" s="431"/>
      <c r="XDW33" s="431"/>
      <c r="XDX33" s="431"/>
      <c r="XDY33" s="431"/>
      <c r="XDZ33" s="431"/>
      <c r="XEA33" s="431"/>
      <c r="XEB33" s="431"/>
      <c r="XEC33" s="431"/>
      <c r="XED33" s="431"/>
      <c r="XEE33" s="431"/>
      <c r="XEF33" s="431"/>
      <c r="XEG33" s="431"/>
      <c r="XEH33" s="431"/>
      <c r="XEI33" s="431"/>
      <c r="XEJ33" s="431"/>
      <c r="XEK33" s="431"/>
      <c r="XEL33" s="431"/>
      <c r="XEM33" s="431"/>
      <c r="XEN33" s="431"/>
      <c r="XEO33" s="431"/>
      <c r="XEP33" s="431"/>
      <c r="XEQ33" s="431"/>
      <c r="XER33" s="431"/>
      <c r="XES33" s="431"/>
      <c r="XET33" s="431"/>
      <c r="XEU33" s="431"/>
      <c r="XEV33" s="431"/>
      <c r="XEW33" s="431"/>
      <c r="XEX33" s="431"/>
      <c r="XEY33" s="431"/>
      <c r="XEZ33" s="431"/>
      <c r="XFA33" s="431"/>
      <c r="XFB33" s="431"/>
      <c r="XFC33" s="431"/>
      <c r="XFD33" s="431"/>
    </row>
    <row r="34" s="409" customFormat="1" ht="15" customHeight="1" spans="1:22 16313:16384">
      <c r="A34" s="436">
        <v>45127</v>
      </c>
      <c r="B34" s="459">
        <v>1000015544</v>
      </c>
      <c r="C34" s="448" t="s">
        <v>2550</v>
      </c>
      <c r="D34" s="449">
        <v>100000</v>
      </c>
      <c r="E34" s="449"/>
      <c r="F34" s="449"/>
      <c r="G34" s="453"/>
      <c r="H34" s="453"/>
      <c r="I34" s="453"/>
      <c r="J34" s="450"/>
      <c r="K34" s="450"/>
      <c r="L34" s="450"/>
      <c r="M34" s="450"/>
      <c r="N34" s="450"/>
      <c r="O34" s="451"/>
      <c r="P34" s="451"/>
      <c r="Q34" s="454"/>
      <c r="R34" s="451"/>
      <c r="S34" s="451"/>
      <c r="T34" s="451"/>
      <c r="U34" s="458"/>
      <c r="XCK34" s="431"/>
      <c r="XCL34" s="431"/>
      <c r="XCM34" s="431"/>
      <c r="XCN34" s="431"/>
      <c r="XCO34" s="431"/>
      <c r="XCP34" s="431"/>
      <c r="XCQ34" s="431"/>
      <c r="XCR34" s="431"/>
      <c r="XCS34" s="431"/>
      <c r="XCT34" s="431"/>
      <c r="XCU34" s="431"/>
      <c r="XCV34" s="431"/>
      <c r="XCW34" s="431"/>
      <c r="XCX34" s="431"/>
      <c r="XCY34" s="431"/>
      <c r="XCZ34" s="431"/>
      <c r="XDA34" s="431"/>
      <c r="XDB34" s="431"/>
      <c r="XDC34" s="431"/>
      <c r="XDD34" s="431"/>
      <c r="XDE34" s="431"/>
      <c r="XDF34" s="431"/>
      <c r="XDG34" s="431"/>
      <c r="XDH34" s="431"/>
      <c r="XDI34" s="431"/>
      <c r="XDJ34" s="431"/>
      <c r="XDK34" s="431"/>
      <c r="XDL34" s="431"/>
      <c r="XDM34" s="431"/>
      <c r="XDN34" s="431"/>
      <c r="XDO34" s="431"/>
      <c r="XDP34" s="431"/>
      <c r="XDQ34" s="431"/>
      <c r="XDR34" s="431"/>
      <c r="XDS34" s="431"/>
      <c r="XDT34" s="431"/>
      <c r="XDU34" s="431"/>
      <c r="XDV34" s="431"/>
      <c r="XDW34" s="431"/>
      <c r="XDX34" s="431"/>
      <c r="XDY34" s="431"/>
      <c r="XDZ34" s="431"/>
      <c r="XEA34" s="431"/>
      <c r="XEB34" s="431"/>
      <c r="XEC34" s="431"/>
      <c r="XED34" s="431"/>
      <c r="XEE34" s="431"/>
      <c r="XEF34" s="431"/>
      <c r="XEG34" s="431"/>
      <c r="XEH34" s="431"/>
      <c r="XEI34" s="431"/>
      <c r="XEJ34" s="431"/>
      <c r="XEK34" s="431"/>
      <c r="XEL34" s="431"/>
      <c r="XEM34" s="431"/>
      <c r="XEN34" s="431"/>
      <c r="XEO34" s="431"/>
      <c r="XEP34" s="431"/>
      <c r="XEQ34" s="431"/>
      <c r="XER34" s="431"/>
      <c r="XES34" s="431"/>
      <c r="XET34" s="431"/>
      <c r="XEU34" s="431"/>
      <c r="XEV34" s="431"/>
      <c r="XEW34" s="431"/>
      <c r="XEX34" s="431"/>
      <c r="XEY34" s="431"/>
      <c r="XEZ34" s="431"/>
      <c r="XFA34" s="431"/>
      <c r="XFB34" s="431"/>
      <c r="XFC34" s="431"/>
      <c r="XFD34" s="431"/>
    </row>
    <row r="35" s="409" customFormat="1" ht="15" customHeight="1" spans="1:22 16313:16384">
      <c r="A35" s="436">
        <v>45127</v>
      </c>
      <c r="B35" s="459">
        <v>1000015545</v>
      </c>
      <c r="C35" s="448" t="s">
        <v>2550</v>
      </c>
      <c r="D35" s="449"/>
      <c r="E35" s="449"/>
      <c r="F35" s="449"/>
      <c r="G35" s="453"/>
      <c r="H35" s="453"/>
      <c r="I35" s="453"/>
      <c r="J35" s="450"/>
      <c r="K35" s="449">
        <v>100000</v>
      </c>
      <c r="L35" s="449"/>
      <c r="M35" s="450"/>
      <c r="N35" s="450"/>
      <c r="O35" s="449"/>
      <c r="P35" s="449"/>
      <c r="Q35" s="454"/>
      <c r="R35" s="451"/>
      <c r="S35" s="451"/>
      <c r="T35" s="451"/>
      <c r="U35" s="458"/>
      <c r="XCK35" s="431"/>
      <c r="XCL35" s="431"/>
      <c r="XCM35" s="431"/>
      <c r="XCN35" s="431"/>
      <c r="XCO35" s="431"/>
      <c r="XCP35" s="431"/>
      <c r="XCQ35" s="431"/>
      <c r="XCR35" s="431"/>
      <c r="XCS35" s="431"/>
      <c r="XCT35" s="431"/>
      <c r="XCU35" s="431"/>
      <c r="XCV35" s="431"/>
      <c r="XCW35" s="431"/>
      <c r="XCX35" s="431"/>
      <c r="XCY35" s="431"/>
      <c r="XCZ35" s="431"/>
      <c r="XDA35" s="431"/>
      <c r="XDB35" s="431"/>
      <c r="XDC35" s="431"/>
      <c r="XDD35" s="431"/>
      <c r="XDE35" s="431"/>
      <c r="XDF35" s="431"/>
      <c r="XDG35" s="431"/>
      <c r="XDH35" s="431"/>
      <c r="XDI35" s="431"/>
      <c r="XDJ35" s="431"/>
      <c r="XDK35" s="431"/>
      <c r="XDL35" s="431"/>
      <c r="XDM35" s="431"/>
      <c r="XDN35" s="431"/>
      <c r="XDO35" s="431"/>
      <c r="XDP35" s="431"/>
      <c r="XDQ35" s="431"/>
      <c r="XDR35" s="431"/>
      <c r="XDS35" s="431"/>
      <c r="XDT35" s="431"/>
      <c r="XDU35" s="431"/>
      <c r="XDV35" s="431"/>
      <c r="XDW35" s="431"/>
      <c r="XDX35" s="431"/>
      <c r="XDY35" s="431"/>
      <c r="XDZ35" s="431"/>
      <c r="XEA35" s="431"/>
      <c r="XEB35" s="431"/>
      <c r="XEC35" s="431"/>
      <c r="XED35" s="431"/>
      <c r="XEE35" s="431"/>
      <c r="XEF35" s="431"/>
      <c r="XEG35" s="431"/>
      <c r="XEH35" s="431"/>
      <c r="XEI35" s="431"/>
      <c r="XEJ35" s="431"/>
      <c r="XEK35" s="431"/>
      <c r="XEL35" s="431"/>
      <c r="XEM35" s="431"/>
      <c r="XEN35" s="431"/>
      <c r="XEO35" s="431"/>
      <c r="XEP35" s="431"/>
      <c r="XEQ35" s="431"/>
      <c r="XER35" s="431"/>
      <c r="XES35" s="431"/>
      <c r="XET35" s="431"/>
      <c r="XEU35" s="431"/>
      <c r="XEV35" s="431"/>
      <c r="XEW35" s="431"/>
      <c r="XEX35" s="431"/>
      <c r="XEY35" s="431"/>
      <c r="XEZ35" s="431"/>
      <c r="XFA35" s="431"/>
      <c r="XFB35" s="431"/>
      <c r="XFC35" s="431"/>
      <c r="XFD35" s="431"/>
    </row>
    <row r="36" s="409" customFormat="1" ht="15" customHeight="1" spans="1:22 16313:16384">
      <c r="A36" s="436">
        <v>45127</v>
      </c>
      <c r="B36" s="459">
        <v>1000015546</v>
      </c>
      <c r="C36" s="448" t="s">
        <v>2550</v>
      </c>
      <c r="D36" s="449"/>
      <c r="E36" s="449"/>
      <c r="F36" s="449"/>
      <c r="G36" s="453"/>
      <c r="H36" s="453"/>
      <c r="I36" s="453"/>
      <c r="J36" s="450"/>
      <c r="K36" s="450"/>
      <c r="L36" s="450"/>
      <c r="M36" s="450"/>
      <c r="N36" s="450"/>
      <c r="O36" s="449">
        <v>100000</v>
      </c>
      <c r="P36" s="449"/>
      <c r="Q36" s="454"/>
      <c r="R36" s="451"/>
      <c r="S36" s="451"/>
      <c r="T36" s="451"/>
      <c r="U36" s="458"/>
      <c r="XCK36" s="431"/>
      <c r="XCL36" s="431"/>
      <c r="XCM36" s="431"/>
      <c r="XCN36" s="431"/>
      <c r="XCO36" s="431"/>
      <c r="XCP36" s="431"/>
      <c r="XCQ36" s="431"/>
      <c r="XCR36" s="431"/>
      <c r="XCS36" s="431"/>
      <c r="XCT36" s="431"/>
      <c r="XCU36" s="431"/>
      <c r="XCV36" s="431"/>
      <c r="XCW36" s="431"/>
      <c r="XCX36" s="431"/>
      <c r="XCY36" s="431"/>
      <c r="XCZ36" s="431"/>
      <c r="XDA36" s="431"/>
      <c r="XDB36" s="431"/>
      <c r="XDC36" s="431"/>
      <c r="XDD36" s="431"/>
      <c r="XDE36" s="431"/>
      <c r="XDF36" s="431"/>
      <c r="XDG36" s="431"/>
      <c r="XDH36" s="431"/>
      <c r="XDI36" s="431"/>
      <c r="XDJ36" s="431"/>
      <c r="XDK36" s="431"/>
      <c r="XDL36" s="431"/>
      <c r="XDM36" s="431"/>
      <c r="XDN36" s="431"/>
      <c r="XDO36" s="431"/>
      <c r="XDP36" s="431"/>
      <c r="XDQ36" s="431"/>
      <c r="XDR36" s="431"/>
      <c r="XDS36" s="431"/>
      <c r="XDT36" s="431"/>
      <c r="XDU36" s="431"/>
      <c r="XDV36" s="431"/>
      <c r="XDW36" s="431"/>
      <c r="XDX36" s="431"/>
      <c r="XDY36" s="431"/>
      <c r="XDZ36" s="431"/>
      <c r="XEA36" s="431"/>
      <c r="XEB36" s="431"/>
      <c r="XEC36" s="431"/>
      <c r="XED36" s="431"/>
      <c r="XEE36" s="431"/>
      <c r="XEF36" s="431"/>
      <c r="XEG36" s="431"/>
      <c r="XEH36" s="431"/>
      <c r="XEI36" s="431"/>
      <c r="XEJ36" s="431"/>
      <c r="XEK36" s="431"/>
      <c r="XEL36" s="431"/>
      <c r="XEM36" s="431"/>
      <c r="XEN36" s="431"/>
      <c r="XEO36" s="431"/>
      <c r="XEP36" s="431"/>
      <c r="XEQ36" s="431"/>
      <c r="XER36" s="431"/>
      <c r="XES36" s="431"/>
      <c r="XET36" s="431"/>
      <c r="XEU36" s="431"/>
      <c r="XEV36" s="431"/>
      <c r="XEW36" s="431"/>
      <c r="XEX36" s="431"/>
      <c r="XEY36" s="431"/>
      <c r="XEZ36" s="431"/>
      <c r="XFA36" s="431"/>
      <c r="XFB36" s="431"/>
      <c r="XFC36" s="431"/>
      <c r="XFD36" s="431"/>
    </row>
    <row r="37" s="409" customFormat="1" ht="15" customHeight="1" spans="1:22 16313:16384">
      <c r="A37" s="436">
        <v>45127</v>
      </c>
      <c r="B37" s="459">
        <v>1000015547</v>
      </c>
      <c r="C37" s="448" t="s">
        <v>2550</v>
      </c>
      <c r="D37" s="449"/>
      <c r="E37" s="449"/>
      <c r="F37" s="449"/>
      <c r="G37" s="453"/>
      <c r="H37" s="453"/>
      <c r="I37" s="453"/>
      <c r="J37" s="450"/>
      <c r="K37" s="450"/>
      <c r="L37" s="450"/>
      <c r="M37" s="450"/>
      <c r="N37" s="450"/>
      <c r="O37" s="451"/>
      <c r="P37" s="451"/>
      <c r="Q37" s="449">
        <v>100000</v>
      </c>
      <c r="R37" s="451"/>
      <c r="S37" s="451"/>
      <c r="T37" s="451"/>
      <c r="U37" s="458"/>
      <c r="XCK37" s="431"/>
      <c r="XCL37" s="431"/>
      <c r="XCM37" s="431"/>
      <c r="XCN37" s="431"/>
      <c r="XCO37" s="431"/>
      <c r="XCP37" s="431"/>
      <c r="XCQ37" s="431"/>
      <c r="XCR37" s="431"/>
      <c r="XCS37" s="431"/>
      <c r="XCT37" s="431"/>
      <c r="XCU37" s="431"/>
      <c r="XCV37" s="431"/>
      <c r="XCW37" s="431"/>
      <c r="XCX37" s="431"/>
      <c r="XCY37" s="431"/>
      <c r="XCZ37" s="431"/>
      <c r="XDA37" s="431"/>
      <c r="XDB37" s="431"/>
      <c r="XDC37" s="431"/>
      <c r="XDD37" s="431"/>
      <c r="XDE37" s="431"/>
      <c r="XDF37" s="431"/>
      <c r="XDG37" s="431"/>
      <c r="XDH37" s="431"/>
      <c r="XDI37" s="431"/>
      <c r="XDJ37" s="431"/>
      <c r="XDK37" s="431"/>
      <c r="XDL37" s="431"/>
      <c r="XDM37" s="431"/>
      <c r="XDN37" s="431"/>
      <c r="XDO37" s="431"/>
      <c r="XDP37" s="431"/>
      <c r="XDQ37" s="431"/>
      <c r="XDR37" s="431"/>
      <c r="XDS37" s="431"/>
      <c r="XDT37" s="431"/>
      <c r="XDU37" s="431"/>
      <c r="XDV37" s="431"/>
      <c r="XDW37" s="431"/>
      <c r="XDX37" s="431"/>
      <c r="XDY37" s="431"/>
      <c r="XDZ37" s="431"/>
      <c r="XEA37" s="431"/>
      <c r="XEB37" s="431"/>
      <c r="XEC37" s="431"/>
      <c r="XED37" s="431"/>
      <c r="XEE37" s="431"/>
      <c r="XEF37" s="431"/>
      <c r="XEG37" s="431"/>
      <c r="XEH37" s="431"/>
      <c r="XEI37" s="431"/>
      <c r="XEJ37" s="431"/>
      <c r="XEK37" s="431"/>
      <c r="XEL37" s="431"/>
      <c r="XEM37" s="431"/>
      <c r="XEN37" s="431"/>
      <c r="XEO37" s="431"/>
      <c r="XEP37" s="431"/>
      <c r="XEQ37" s="431"/>
      <c r="XER37" s="431"/>
      <c r="XES37" s="431"/>
      <c r="XET37" s="431"/>
      <c r="XEU37" s="431"/>
      <c r="XEV37" s="431"/>
      <c r="XEW37" s="431"/>
      <c r="XEX37" s="431"/>
      <c r="XEY37" s="431"/>
      <c r="XEZ37" s="431"/>
      <c r="XFA37" s="431"/>
      <c r="XFB37" s="431"/>
      <c r="XFC37" s="431"/>
      <c r="XFD37" s="431"/>
    </row>
    <row r="38" s="409" customFormat="1" ht="19" customHeight="1" spans="1:22 16313:16384">
      <c r="A38" s="436">
        <v>45166</v>
      </c>
      <c r="B38" s="459">
        <v>1000016178</v>
      </c>
      <c r="C38" s="448" t="s">
        <v>2550</v>
      </c>
      <c r="D38" s="449"/>
      <c r="E38" s="449">
        <v>150000</v>
      </c>
      <c r="F38" s="449"/>
      <c r="G38" s="453"/>
      <c r="H38" s="453"/>
      <c r="I38" s="453"/>
      <c r="J38" s="450"/>
      <c r="K38" s="450"/>
      <c r="L38" s="450"/>
      <c r="M38" s="450"/>
      <c r="N38" s="450"/>
      <c r="O38" s="451"/>
      <c r="P38" s="451"/>
      <c r="Q38" s="454"/>
      <c r="R38" s="451"/>
      <c r="S38" s="451"/>
      <c r="T38" s="451"/>
      <c r="U38" s="458"/>
      <c r="XCK38" s="431"/>
      <c r="XCL38" s="431"/>
      <c r="XCM38" s="431"/>
      <c r="XCN38" s="431"/>
      <c r="XCO38" s="431"/>
      <c r="XCP38" s="431"/>
      <c r="XCQ38" s="431"/>
      <c r="XCR38" s="431"/>
      <c r="XCS38" s="431"/>
      <c r="XCT38" s="431"/>
      <c r="XCU38" s="431"/>
      <c r="XCV38" s="431"/>
      <c r="XCW38" s="431"/>
      <c r="XCX38" s="431"/>
      <c r="XCY38" s="431"/>
      <c r="XCZ38" s="431"/>
      <c r="XDA38" s="431"/>
      <c r="XDB38" s="431"/>
      <c r="XDC38" s="431"/>
      <c r="XDD38" s="431"/>
      <c r="XDE38" s="431"/>
      <c r="XDF38" s="431"/>
      <c r="XDG38" s="431"/>
      <c r="XDH38" s="431"/>
      <c r="XDI38" s="431"/>
      <c r="XDJ38" s="431"/>
      <c r="XDK38" s="431"/>
      <c r="XDL38" s="431"/>
      <c r="XDM38" s="431"/>
      <c r="XDN38" s="431"/>
      <c r="XDO38" s="431"/>
      <c r="XDP38" s="431"/>
      <c r="XDQ38" s="431"/>
      <c r="XDR38" s="431"/>
      <c r="XDS38" s="431"/>
      <c r="XDT38" s="431"/>
      <c r="XDU38" s="431"/>
      <c r="XDV38" s="431"/>
      <c r="XDW38" s="431"/>
      <c r="XDX38" s="431"/>
      <c r="XDY38" s="431"/>
      <c r="XDZ38" s="431"/>
      <c r="XEA38" s="431"/>
      <c r="XEB38" s="431"/>
      <c r="XEC38" s="431"/>
      <c r="XED38" s="431"/>
      <c r="XEE38" s="431"/>
      <c r="XEF38" s="431"/>
      <c r="XEG38" s="431"/>
      <c r="XEH38" s="431"/>
      <c r="XEI38" s="431"/>
      <c r="XEJ38" s="431"/>
      <c r="XEK38" s="431"/>
      <c r="XEL38" s="431"/>
      <c r="XEM38" s="431"/>
      <c r="XEN38" s="431"/>
      <c r="XEO38" s="431"/>
      <c r="XEP38" s="431"/>
      <c r="XEQ38" s="431"/>
      <c r="XER38" s="431"/>
      <c r="XES38" s="431"/>
      <c r="XET38" s="431"/>
      <c r="XEU38" s="431"/>
      <c r="XEV38" s="431"/>
      <c r="XEW38" s="431"/>
      <c r="XEX38" s="431"/>
      <c r="XEY38" s="431"/>
      <c r="XEZ38" s="431"/>
      <c r="XFA38" s="431"/>
      <c r="XFB38" s="431"/>
      <c r="XFC38" s="431"/>
      <c r="XFD38" s="431"/>
    </row>
    <row r="39" s="409" customFormat="1" ht="19" customHeight="1" spans="1:22 16313:16384">
      <c r="A39" s="436">
        <v>45166</v>
      </c>
      <c r="B39" s="459">
        <v>1000016179</v>
      </c>
      <c r="C39" s="448" t="s">
        <v>2550</v>
      </c>
      <c r="D39" s="449"/>
      <c r="E39" s="449"/>
      <c r="F39" s="449"/>
      <c r="G39" s="453">
        <v>30000</v>
      </c>
      <c r="H39" s="453"/>
      <c r="I39" s="453"/>
      <c r="J39" s="450"/>
      <c r="K39" s="450"/>
      <c r="L39" s="450"/>
      <c r="M39" s="450"/>
      <c r="N39" s="450"/>
      <c r="O39" s="451"/>
      <c r="P39" s="451"/>
      <c r="Q39" s="454"/>
      <c r="R39" s="451"/>
      <c r="S39" s="451"/>
      <c r="T39" s="451"/>
      <c r="U39" s="458"/>
      <c r="XCK39" s="431"/>
      <c r="XCL39" s="431"/>
      <c r="XCM39" s="431"/>
      <c r="XCN39" s="431"/>
      <c r="XCO39" s="431"/>
      <c r="XCP39" s="431"/>
      <c r="XCQ39" s="431"/>
      <c r="XCR39" s="431"/>
      <c r="XCS39" s="431"/>
      <c r="XCT39" s="431"/>
      <c r="XCU39" s="431"/>
      <c r="XCV39" s="431"/>
      <c r="XCW39" s="431"/>
      <c r="XCX39" s="431"/>
      <c r="XCY39" s="431"/>
      <c r="XCZ39" s="431"/>
      <c r="XDA39" s="431"/>
      <c r="XDB39" s="431"/>
      <c r="XDC39" s="431"/>
      <c r="XDD39" s="431"/>
      <c r="XDE39" s="431"/>
      <c r="XDF39" s="431"/>
      <c r="XDG39" s="431"/>
      <c r="XDH39" s="431"/>
      <c r="XDI39" s="431"/>
      <c r="XDJ39" s="431"/>
      <c r="XDK39" s="431"/>
      <c r="XDL39" s="431"/>
      <c r="XDM39" s="431"/>
      <c r="XDN39" s="431"/>
      <c r="XDO39" s="431"/>
      <c r="XDP39" s="431"/>
      <c r="XDQ39" s="431"/>
      <c r="XDR39" s="431"/>
      <c r="XDS39" s="431"/>
      <c r="XDT39" s="431"/>
      <c r="XDU39" s="431"/>
      <c r="XDV39" s="431"/>
      <c r="XDW39" s="431"/>
      <c r="XDX39" s="431"/>
      <c r="XDY39" s="431"/>
      <c r="XDZ39" s="431"/>
      <c r="XEA39" s="431"/>
      <c r="XEB39" s="431"/>
      <c r="XEC39" s="431"/>
      <c r="XED39" s="431"/>
      <c r="XEE39" s="431"/>
      <c r="XEF39" s="431"/>
      <c r="XEG39" s="431"/>
      <c r="XEH39" s="431"/>
      <c r="XEI39" s="431"/>
      <c r="XEJ39" s="431"/>
      <c r="XEK39" s="431"/>
      <c r="XEL39" s="431"/>
      <c r="XEM39" s="431"/>
      <c r="XEN39" s="431"/>
      <c r="XEO39" s="431"/>
      <c r="XEP39" s="431"/>
      <c r="XEQ39" s="431"/>
      <c r="XER39" s="431"/>
      <c r="XES39" s="431"/>
      <c r="XET39" s="431"/>
      <c r="XEU39" s="431"/>
      <c r="XEV39" s="431"/>
      <c r="XEW39" s="431"/>
      <c r="XEX39" s="431"/>
      <c r="XEY39" s="431"/>
      <c r="XEZ39" s="431"/>
      <c r="XFA39" s="431"/>
      <c r="XFB39" s="431"/>
      <c r="XFC39" s="431"/>
      <c r="XFD39" s="431"/>
    </row>
    <row r="40" s="409" customFormat="1" ht="19" customHeight="1" spans="1:22 16313:16384">
      <c r="A40" s="436">
        <v>45166</v>
      </c>
      <c r="B40" s="459">
        <v>1000016180</v>
      </c>
      <c r="C40" s="448" t="s">
        <v>2550</v>
      </c>
      <c r="D40" s="449"/>
      <c r="E40" s="449"/>
      <c r="F40" s="449"/>
      <c r="G40" s="453"/>
      <c r="H40" s="453"/>
      <c r="I40" s="453"/>
      <c r="J40" s="450"/>
      <c r="K40" s="450">
        <v>200000</v>
      </c>
      <c r="L40" s="450"/>
      <c r="M40" s="450"/>
      <c r="N40" s="450"/>
      <c r="O40" s="451"/>
      <c r="P40" s="451"/>
      <c r="Q40" s="454"/>
      <c r="R40" s="451"/>
      <c r="S40" s="451"/>
      <c r="T40" s="451"/>
      <c r="U40" s="458"/>
      <c r="XCK40" s="431"/>
      <c r="XCL40" s="431"/>
      <c r="XCM40" s="431"/>
      <c r="XCN40" s="431"/>
      <c r="XCO40" s="431"/>
      <c r="XCP40" s="431"/>
      <c r="XCQ40" s="431"/>
      <c r="XCR40" s="431"/>
      <c r="XCS40" s="431"/>
      <c r="XCT40" s="431"/>
      <c r="XCU40" s="431"/>
      <c r="XCV40" s="431"/>
      <c r="XCW40" s="431"/>
      <c r="XCX40" s="431"/>
      <c r="XCY40" s="431"/>
      <c r="XCZ40" s="431"/>
      <c r="XDA40" s="431"/>
      <c r="XDB40" s="431"/>
      <c r="XDC40" s="431"/>
      <c r="XDD40" s="431"/>
      <c r="XDE40" s="431"/>
      <c r="XDF40" s="431"/>
      <c r="XDG40" s="431"/>
      <c r="XDH40" s="431"/>
      <c r="XDI40" s="431"/>
      <c r="XDJ40" s="431"/>
      <c r="XDK40" s="431"/>
      <c r="XDL40" s="431"/>
      <c r="XDM40" s="431"/>
      <c r="XDN40" s="431"/>
      <c r="XDO40" s="431"/>
      <c r="XDP40" s="431"/>
      <c r="XDQ40" s="431"/>
      <c r="XDR40" s="431"/>
      <c r="XDS40" s="431"/>
      <c r="XDT40" s="431"/>
      <c r="XDU40" s="431"/>
      <c r="XDV40" s="431"/>
      <c r="XDW40" s="431"/>
      <c r="XDX40" s="431"/>
      <c r="XDY40" s="431"/>
      <c r="XDZ40" s="431"/>
      <c r="XEA40" s="431"/>
      <c r="XEB40" s="431"/>
      <c r="XEC40" s="431"/>
      <c r="XED40" s="431"/>
      <c r="XEE40" s="431"/>
      <c r="XEF40" s="431"/>
      <c r="XEG40" s="431"/>
      <c r="XEH40" s="431"/>
      <c r="XEI40" s="431"/>
      <c r="XEJ40" s="431"/>
      <c r="XEK40" s="431"/>
      <c r="XEL40" s="431"/>
      <c r="XEM40" s="431"/>
      <c r="XEN40" s="431"/>
      <c r="XEO40" s="431"/>
      <c r="XEP40" s="431"/>
      <c r="XEQ40" s="431"/>
      <c r="XER40" s="431"/>
      <c r="XES40" s="431"/>
      <c r="XET40" s="431"/>
      <c r="XEU40" s="431"/>
      <c r="XEV40" s="431"/>
      <c r="XEW40" s="431"/>
      <c r="XEX40" s="431"/>
      <c r="XEY40" s="431"/>
      <c r="XEZ40" s="431"/>
      <c r="XFA40" s="431"/>
      <c r="XFB40" s="431"/>
      <c r="XFC40" s="431"/>
      <c r="XFD40" s="431"/>
    </row>
    <row r="41" s="409" customFormat="1" ht="19" customHeight="1" spans="1:22 16313:16384">
      <c r="A41" s="436">
        <v>45166</v>
      </c>
      <c r="B41" s="459">
        <v>1000016181</v>
      </c>
      <c r="C41" s="448" t="s">
        <v>2550</v>
      </c>
      <c r="D41" s="449"/>
      <c r="E41" s="449"/>
      <c r="F41" s="449"/>
      <c r="G41" s="453"/>
      <c r="H41" s="453"/>
      <c r="I41" s="453"/>
      <c r="J41" s="450"/>
      <c r="K41" s="450"/>
      <c r="L41" s="450"/>
      <c r="M41" s="450"/>
      <c r="N41" s="450"/>
      <c r="O41" s="450">
        <v>200000</v>
      </c>
      <c r="P41" s="450"/>
      <c r="Q41" s="454"/>
      <c r="R41" s="451"/>
      <c r="S41" s="451"/>
      <c r="T41" s="451"/>
      <c r="U41" s="458"/>
      <c r="XCK41" s="431"/>
      <c r="XCL41" s="431"/>
      <c r="XCM41" s="431"/>
      <c r="XCN41" s="431"/>
      <c r="XCO41" s="431"/>
      <c r="XCP41" s="431"/>
      <c r="XCQ41" s="431"/>
      <c r="XCR41" s="431"/>
      <c r="XCS41" s="431"/>
      <c r="XCT41" s="431"/>
      <c r="XCU41" s="431"/>
      <c r="XCV41" s="431"/>
      <c r="XCW41" s="431"/>
      <c r="XCX41" s="431"/>
      <c r="XCY41" s="431"/>
      <c r="XCZ41" s="431"/>
      <c r="XDA41" s="431"/>
      <c r="XDB41" s="431"/>
      <c r="XDC41" s="431"/>
      <c r="XDD41" s="431"/>
      <c r="XDE41" s="431"/>
      <c r="XDF41" s="431"/>
      <c r="XDG41" s="431"/>
      <c r="XDH41" s="431"/>
      <c r="XDI41" s="431"/>
      <c r="XDJ41" s="431"/>
      <c r="XDK41" s="431"/>
      <c r="XDL41" s="431"/>
      <c r="XDM41" s="431"/>
      <c r="XDN41" s="431"/>
      <c r="XDO41" s="431"/>
      <c r="XDP41" s="431"/>
      <c r="XDQ41" s="431"/>
      <c r="XDR41" s="431"/>
      <c r="XDS41" s="431"/>
      <c r="XDT41" s="431"/>
      <c r="XDU41" s="431"/>
      <c r="XDV41" s="431"/>
      <c r="XDW41" s="431"/>
      <c r="XDX41" s="431"/>
      <c r="XDY41" s="431"/>
      <c r="XDZ41" s="431"/>
      <c r="XEA41" s="431"/>
      <c r="XEB41" s="431"/>
      <c r="XEC41" s="431"/>
      <c r="XED41" s="431"/>
      <c r="XEE41" s="431"/>
      <c r="XEF41" s="431"/>
      <c r="XEG41" s="431"/>
      <c r="XEH41" s="431"/>
      <c r="XEI41" s="431"/>
      <c r="XEJ41" s="431"/>
      <c r="XEK41" s="431"/>
      <c r="XEL41" s="431"/>
      <c r="XEM41" s="431"/>
      <c r="XEN41" s="431"/>
      <c r="XEO41" s="431"/>
      <c r="XEP41" s="431"/>
      <c r="XEQ41" s="431"/>
      <c r="XER41" s="431"/>
      <c r="XES41" s="431"/>
      <c r="XET41" s="431"/>
      <c r="XEU41" s="431"/>
      <c r="XEV41" s="431"/>
      <c r="XEW41" s="431"/>
      <c r="XEX41" s="431"/>
      <c r="XEY41" s="431"/>
      <c r="XEZ41" s="431"/>
      <c r="XFA41" s="431"/>
      <c r="XFB41" s="431"/>
      <c r="XFC41" s="431"/>
      <c r="XFD41" s="431"/>
    </row>
    <row r="42" s="409" customFormat="1" ht="19" customHeight="1" spans="1:22 16313:16384">
      <c r="A42" s="436">
        <v>45166</v>
      </c>
      <c r="B42" s="459">
        <v>1000016182</v>
      </c>
      <c r="C42" s="448" t="s">
        <v>2550</v>
      </c>
      <c r="D42" s="449"/>
      <c r="E42" s="454"/>
      <c r="F42" s="454"/>
      <c r="G42" s="453"/>
      <c r="H42" s="453"/>
      <c r="I42" s="453"/>
      <c r="J42" s="450"/>
      <c r="K42" s="450"/>
      <c r="L42" s="450"/>
      <c r="M42" s="450"/>
      <c r="N42" s="450"/>
      <c r="O42" s="451"/>
      <c r="P42" s="451"/>
      <c r="Q42" s="450">
        <v>200000</v>
      </c>
      <c r="R42" s="451"/>
      <c r="S42" s="451"/>
      <c r="T42" s="451"/>
      <c r="U42" s="458"/>
      <c r="XCK42" s="431"/>
      <c r="XCL42" s="431"/>
      <c r="XCM42" s="431"/>
      <c r="XCN42" s="431"/>
      <c r="XCO42" s="431"/>
      <c r="XCP42" s="431"/>
      <c r="XCQ42" s="431"/>
      <c r="XCR42" s="431"/>
      <c r="XCS42" s="431"/>
      <c r="XCT42" s="431"/>
      <c r="XCU42" s="431"/>
      <c r="XCV42" s="431"/>
      <c r="XCW42" s="431"/>
      <c r="XCX42" s="431"/>
      <c r="XCY42" s="431"/>
      <c r="XCZ42" s="431"/>
      <c r="XDA42" s="431"/>
      <c r="XDB42" s="431"/>
      <c r="XDC42" s="431"/>
      <c r="XDD42" s="431"/>
      <c r="XDE42" s="431"/>
      <c r="XDF42" s="431"/>
      <c r="XDG42" s="431"/>
      <c r="XDH42" s="431"/>
      <c r="XDI42" s="431"/>
      <c r="XDJ42" s="431"/>
      <c r="XDK42" s="431"/>
      <c r="XDL42" s="431"/>
      <c r="XDM42" s="431"/>
      <c r="XDN42" s="431"/>
      <c r="XDO42" s="431"/>
      <c r="XDP42" s="431"/>
      <c r="XDQ42" s="431"/>
      <c r="XDR42" s="431"/>
      <c r="XDS42" s="431"/>
      <c r="XDT42" s="431"/>
      <c r="XDU42" s="431"/>
      <c r="XDV42" s="431"/>
      <c r="XDW42" s="431"/>
      <c r="XDX42" s="431"/>
      <c r="XDY42" s="431"/>
      <c r="XDZ42" s="431"/>
      <c r="XEA42" s="431"/>
      <c r="XEB42" s="431"/>
      <c r="XEC42" s="431"/>
      <c r="XED42" s="431"/>
      <c r="XEE42" s="431"/>
      <c r="XEF42" s="431"/>
      <c r="XEG42" s="431"/>
      <c r="XEH42" s="431"/>
      <c r="XEI42" s="431"/>
      <c r="XEJ42" s="431"/>
      <c r="XEK42" s="431"/>
      <c r="XEL42" s="431"/>
      <c r="XEM42" s="431"/>
      <c r="XEN42" s="431"/>
      <c r="XEO42" s="431"/>
      <c r="XEP42" s="431"/>
      <c r="XEQ42" s="431"/>
      <c r="XER42" s="431"/>
      <c r="XES42" s="431"/>
      <c r="XET42" s="431"/>
      <c r="XEU42" s="431"/>
      <c r="XEV42" s="431"/>
      <c r="XEW42" s="431"/>
      <c r="XEX42" s="431"/>
      <c r="XEY42" s="431"/>
      <c r="XEZ42" s="431"/>
      <c r="XFA42" s="431"/>
      <c r="XFB42" s="431"/>
      <c r="XFC42" s="431"/>
      <c r="XFD42" s="431"/>
    </row>
    <row r="43" s="409" customFormat="1" ht="19" customHeight="1" spans="1:22 16313:16384">
      <c r="A43" s="436">
        <v>45215</v>
      </c>
      <c r="B43" s="460">
        <v>1000016767</v>
      </c>
      <c r="C43" s="422" t="s">
        <v>2550</v>
      </c>
      <c r="D43" s="424"/>
      <c r="E43" s="454">
        <v>150000</v>
      </c>
      <c r="F43" s="454"/>
      <c r="G43" s="454"/>
      <c r="H43" s="454"/>
      <c r="I43" s="454"/>
      <c r="J43" s="435"/>
      <c r="K43" s="454"/>
      <c r="L43" s="454"/>
      <c r="M43" s="435"/>
      <c r="N43" s="435"/>
      <c r="O43" s="439"/>
      <c r="P43" s="439"/>
      <c r="Q43" s="435"/>
      <c r="R43" s="439"/>
      <c r="S43" s="439"/>
      <c r="T43" s="439"/>
      <c r="U43" s="458"/>
      <c r="XCK43" s="461"/>
      <c r="XCL43" s="461"/>
      <c r="XCM43" s="461"/>
      <c r="XCN43" s="461"/>
      <c r="XCO43" s="461"/>
      <c r="XCP43" s="461"/>
      <c r="XCQ43" s="461"/>
      <c r="XCR43" s="461"/>
      <c r="XCS43" s="461"/>
      <c r="XCT43" s="461"/>
      <c r="XCU43" s="461"/>
      <c r="XCV43" s="461"/>
      <c r="XCW43" s="461"/>
      <c r="XCX43" s="461"/>
      <c r="XCY43" s="461"/>
      <c r="XCZ43" s="461"/>
      <c r="XDA43" s="461"/>
      <c r="XDB43" s="461"/>
      <c r="XDC43" s="461"/>
      <c r="XDD43" s="461"/>
      <c r="XDE43" s="461"/>
      <c r="XDF43" s="461"/>
      <c r="XDG43" s="461"/>
      <c r="XDH43" s="461"/>
      <c r="XDI43" s="461"/>
      <c r="XDJ43" s="461"/>
      <c r="XDK43" s="461"/>
      <c r="XDL43" s="461"/>
      <c r="XDM43" s="461"/>
      <c r="XDN43" s="461"/>
      <c r="XDO43" s="461"/>
      <c r="XDP43" s="461"/>
      <c r="XDQ43" s="461"/>
      <c r="XDR43" s="461"/>
      <c r="XDS43" s="461"/>
      <c r="XDT43" s="461"/>
      <c r="XDU43" s="461"/>
      <c r="XDV43" s="461"/>
      <c r="XDW43" s="461"/>
      <c r="XDX43" s="461"/>
      <c r="XDY43" s="461"/>
      <c r="XDZ43" s="461"/>
      <c r="XEA43" s="461"/>
      <c r="XEB43" s="461"/>
      <c r="XEC43" s="461"/>
      <c r="XED43" s="461"/>
      <c r="XEE43" s="461"/>
      <c r="XEF43" s="461"/>
      <c r="XEG43" s="461"/>
      <c r="XEH43" s="461"/>
      <c r="XEI43" s="461"/>
      <c r="XEJ43" s="461"/>
      <c r="XEK43" s="461"/>
      <c r="XEL43" s="461"/>
      <c r="XEM43" s="461"/>
      <c r="XEN43" s="461"/>
      <c r="XEO43" s="461"/>
      <c r="XEP43" s="461"/>
      <c r="XEQ43" s="461"/>
      <c r="XER43" s="461"/>
      <c r="XES43" s="461"/>
      <c r="XET43" s="461"/>
      <c r="XEU43" s="461"/>
      <c r="XEV43" s="461"/>
      <c r="XEW43" s="461"/>
      <c r="XEX43" s="461"/>
      <c r="XEY43" s="461"/>
      <c r="XEZ43" s="461"/>
      <c r="XFA43" s="461"/>
      <c r="XFB43" s="461"/>
      <c r="XFC43" s="461"/>
      <c r="XFD43" s="461"/>
    </row>
    <row r="44" s="409" customFormat="1" ht="19" customHeight="1" spans="1:22 16313:16384">
      <c r="A44" s="436">
        <v>45215</v>
      </c>
      <c r="B44" s="460">
        <v>1000016768</v>
      </c>
      <c r="C44" s="422" t="s">
        <v>2550</v>
      </c>
      <c r="D44" s="424"/>
      <c r="E44" s="424"/>
      <c r="F44" s="424"/>
      <c r="G44" s="454"/>
      <c r="H44" s="454"/>
      <c r="I44" s="454"/>
      <c r="J44" s="435"/>
      <c r="K44" s="454">
        <v>150000</v>
      </c>
      <c r="L44" s="454"/>
      <c r="M44" s="435"/>
      <c r="N44" s="435"/>
      <c r="O44" s="454"/>
      <c r="P44" s="454"/>
      <c r="Q44" s="435"/>
      <c r="R44" s="439"/>
      <c r="S44" s="439"/>
      <c r="T44" s="439"/>
      <c r="U44" s="458"/>
      <c r="XCK44" s="461"/>
      <c r="XCL44" s="461"/>
      <c r="XCM44" s="461"/>
      <c r="XCN44" s="461"/>
      <c r="XCO44" s="461"/>
      <c r="XCP44" s="461"/>
      <c r="XCQ44" s="461"/>
      <c r="XCR44" s="461"/>
      <c r="XCS44" s="461"/>
      <c r="XCT44" s="461"/>
      <c r="XCU44" s="461"/>
      <c r="XCV44" s="461"/>
      <c r="XCW44" s="461"/>
      <c r="XCX44" s="461"/>
      <c r="XCY44" s="461"/>
      <c r="XCZ44" s="461"/>
      <c r="XDA44" s="461"/>
      <c r="XDB44" s="461"/>
      <c r="XDC44" s="461"/>
      <c r="XDD44" s="461"/>
      <c r="XDE44" s="461"/>
      <c r="XDF44" s="461"/>
      <c r="XDG44" s="461"/>
      <c r="XDH44" s="461"/>
      <c r="XDI44" s="461"/>
      <c r="XDJ44" s="461"/>
      <c r="XDK44" s="461"/>
      <c r="XDL44" s="461"/>
      <c r="XDM44" s="461"/>
      <c r="XDN44" s="461"/>
      <c r="XDO44" s="461"/>
      <c r="XDP44" s="461"/>
      <c r="XDQ44" s="461"/>
      <c r="XDR44" s="461"/>
      <c r="XDS44" s="461"/>
      <c r="XDT44" s="461"/>
      <c r="XDU44" s="461"/>
      <c r="XDV44" s="461"/>
      <c r="XDW44" s="461"/>
      <c r="XDX44" s="461"/>
      <c r="XDY44" s="461"/>
      <c r="XDZ44" s="461"/>
      <c r="XEA44" s="461"/>
      <c r="XEB44" s="461"/>
      <c r="XEC44" s="461"/>
      <c r="XED44" s="461"/>
      <c r="XEE44" s="461"/>
      <c r="XEF44" s="461"/>
      <c r="XEG44" s="461"/>
      <c r="XEH44" s="461"/>
      <c r="XEI44" s="461"/>
      <c r="XEJ44" s="461"/>
      <c r="XEK44" s="461"/>
      <c r="XEL44" s="461"/>
      <c r="XEM44" s="461"/>
      <c r="XEN44" s="461"/>
      <c r="XEO44" s="461"/>
      <c r="XEP44" s="461"/>
      <c r="XEQ44" s="461"/>
      <c r="XER44" s="461"/>
      <c r="XES44" s="461"/>
      <c r="XET44" s="461"/>
      <c r="XEU44" s="461"/>
      <c r="XEV44" s="461"/>
      <c r="XEW44" s="461"/>
      <c r="XEX44" s="461"/>
      <c r="XEY44" s="461"/>
      <c r="XEZ44" s="461"/>
      <c r="XFA44" s="461"/>
      <c r="XFB44" s="461"/>
      <c r="XFC44" s="461"/>
      <c r="XFD44" s="461"/>
    </row>
    <row r="45" s="409" customFormat="1" ht="19" customHeight="1" spans="1:22 16313:16384">
      <c r="A45" s="436">
        <v>45215</v>
      </c>
      <c r="B45" s="460">
        <v>1000016769</v>
      </c>
      <c r="C45" s="422" t="s">
        <v>2550</v>
      </c>
      <c r="D45" s="424"/>
      <c r="E45" s="424"/>
      <c r="F45" s="424"/>
      <c r="G45" s="454"/>
      <c r="H45" s="454"/>
      <c r="I45" s="454"/>
      <c r="J45" s="435"/>
      <c r="K45" s="435"/>
      <c r="L45" s="435"/>
      <c r="M45" s="435"/>
      <c r="N45" s="435"/>
      <c r="O45" s="454">
        <v>180000</v>
      </c>
      <c r="P45" s="454"/>
      <c r="Q45" s="435"/>
      <c r="R45" s="439"/>
      <c r="S45" s="439"/>
      <c r="T45" s="439"/>
      <c r="U45" s="458"/>
      <c r="XCK45" s="461"/>
      <c r="XCL45" s="461"/>
      <c r="XCM45" s="461"/>
      <c r="XCN45" s="461"/>
      <c r="XCO45" s="461"/>
      <c r="XCP45" s="461"/>
      <c r="XCQ45" s="461"/>
      <c r="XCR45" s="461"/>
      <c r="XCS45" s="461"/>
      <c r="XCT45" s="461"/>
      <c r="XCU45" s="461"/>
      <c r="XCV45" s="461"/>
      <c r="XCW45" s="461"/>
      <c r="XCX45" s="461"/>
      <c r="XCY45" s="461"/>
      <c r="XCZ45" s="461"/>
      <c r="XDA45" s="461"/>
      <c r="XDB45" s="461"/>
      <c r="XDC45" s="461"/>
      <c r="XDD45" s="461"/>
      <c r="XDE45" s="461"/>
      <c r="XDF45" s="461"/>
      <c r="XDG45" s="461"/>
      <c r="XDH45" s="461"/>
      <c r="XDI45" s="461"/>
      <c r="XDJ45" s="461"/>
      <c r="XDK45" s="461"/>
      <c r="XDL45" s="461"/>
      <c r="XDM45" s="461"/>
      <c r="XDN45" s="461"/>
      <c r="XDO45" s="461"/>
      <c r="XDP45" s="461"/>
      <c r="XDQ45" s="461"/>
      <c r="XDR45" s="461"/>
      <c r="XDS45" s="461"/>
      <c r="XDT45" s="461"/>
      <c r="XDU45" s="461"/>
      <c r="XDV45" s="461"/>
      <c r="XDW45" s="461"/>
      <c r="XDX45" s="461"/>
      <c r="XDY45" s="461"/>
      <c r="XDZ45" s="461"/>
      <c r="XEA45" s="461"/>
      <c r="XEB45" s="461"/>
      <c r="XEC45" s="461"/>
      <c r="XED45" s="461"/>
      <c r="XEE45" s="461"/>
      <c r="XEF45" s="461"/>
      <c r="XEG45" s="461"/>
      <c r="XEH45" s="461"/>
      <c r="XEI45" s="461"/>
      <c r="XEJ45" s="461"/>
      <c r="XEK45" s="461"/>
      <c r="XEL45" s="461"/>
      <c r="XEM45" s="461"/>
      <c r="XEN45" s="461"/>
      <c r="XEO45" s="461"/>
      <c r="XEP45" s="461"/>
      <c r="XEQ45" s="461"/>
      <c r="XER45" s="461"/>
      <c r="XES45" s="461"/>
      <c r="XET45" s="461"/>
      <c r="XEU45" s="461"/>
      <c r="XEV45" s="461"/>
      <c r="XEW45" s="461"/>
      <c r="XEX45" s="461"/>
      <c r="XEY45" s="461"/>
      <c r="XEZ45" s="461"/>
      <c r="XFA45" s="461"/>
      <c r="XFB45" s="461"/>
      <c r="XFC45" s="461"/>
      <c r="XFD45" s="461"/>
    </row>
    <row r="46" s="409" customFormat="1" ht="19" customHeight="1" spans="1:22 16313:16384">
      <c r="A46" s="436">
        <v>45215</v>
      </c>
      <c r="B46" s="460">
        <v>1000016770</v>
      </c>
      <c r="C46" s="422" t="s">
        <v>2550</v>
      </c>
      <c r="D46" s="424"/>
      <c r="E46" s="424"/>
      <c r="F46" s="424"/>
      <c r="G46" s="454"/>
      <c r="H46" s="454"/>
      <c r="I46" s="454"/>
      <c r="J46" s="435"/>
      <c r="K46" s="435"/>
      <c r="L46" s="435"/>
      <c r="M46" s="435"/>
      <c r="N46" s="435"/>
      <c r="O46" s="439"/>
      <c r="P46" s="439"/>
      <c r="Q46" s="454">
        <v>180000</v>
      </c>
      <c r="R46" s="439"/>
      <c r="S46" s="439"/>
      <c r="T46" s="439"/>
      <c r="U46" s="458"/>
      <c r="XCK46" s="461"/>
      <c r="XCL46" s="461"/>
      <c r="XCM46" s="461"/>
      <c r="XCN46" s="461"/>
      <c r="XCO46" s="461"/>
      <c r="XCP46" s="461"/>
      <c r="XCQ46" s="461"/>
      <c r="XCR46" s="461"/>
      <c r="XCS46" s="461"/>
      <c r="XCT46" s="461"/>
      <c r="XCU46" s="461"/>
      <c r="XCV46" s="461"/>
      <c r="XCW46" s="461"/>
      <c r="XCX46" s="461"/>
      <c r="XCY46" s="461"/>
      <c r="XCZ46" s="461"/>
      <c r="XDA46" s="461"/>
      <c r="XDB46" s="461"/>
      <c r="XDC46" s="461"/>
      <c r="XDD46" s="461"/>
      <c r="XDE46" s="461"/>
      <c r="XDF46" s="461"/>
      <c r="XDG46" s="461"/>
      <c r="XDH46" s="461"/>
      <c r="XDI46" s="461"/>
      <c r="XDJ46" s="461"/>
      <c r="XDK46" s="461"/>
      <c r="XDL46" s="461"/>
      <c r="XDM46" s="461"/>
      <c r="XDN46" s="461"/>
      <c r="XDO46" s="461"/>
      <c r="XDP46" s="461"/>
      <c r="XDQ46" s="461"/>
      <c r="XDR46" s="461"/>
      <c r="XDS46" s="461"/>
      <c r="XDT46" s="461"/>
      <c r="XDU46" s="461"/>
      <c r="XDV46" s="461"/>
      <c r="XDW46" s="461"/>
      <c r="XDX46" s="461"/>
      <c r="XDY46" s="461"/>
      <c r="XDZ46" s="461"/>
      <c r="XEA46" s="461"/>
      <c r="XEB46" s="461"/>
      <c r="XEC46" s="461"/>
      <c r="XED46" s="461"/>
      <c r="XEE46" s="461"/>
      <c r="XEF46" s="461"/>
      <c r="XEG46" s="461"/>
      <c r="XEH46" s="461"/>
      <c r="XEI46" s="461"/>
      <c r="XEJ46" s="461"/>
      <c r="XEK46" s="461"/>
      <c r="XEL46" s="461"/>
      <c r="XEM46" s="461"/>
      <c r="XEN46" s="461"/>
      <c r="XEO46" s="461"/>
      <c r="XEP46" s="461"/>
      <c r="XEQ46" s="461"/>
      <c r="XER46" s="461"/>
      <c r="XES46" s="461"/>
      <c r="XET46" s="461"/>
      <c r="XEU46" s="461"/>
      <c r="XEV46" s="461"/>
      <c r="XEW46" s="461"/>
      <c r="XEX46" s="461"/>
      <c r="XEY46" s="461"/>
      <c r="XEZ46" s="461"/>
      <c r="XFA46" s="461"/>
      <c r="XFB46" s="461"/>
      <c r="XFC46" s="461"/>
      <c r="XFD46" s="461"/>
    </row>
    <row r="47" s="409" customFormat="1" ht="19" customHeight="1" spans="1:22 16313:16384">
      <c r="A47" s="436">
        <v>45240</v>
      </c>
      <c r="B47" s="460">
        <v>1000017244</v>
      </c>
      <c r="C47" s="422" t="s">
        <v>2550</v>
      </c>
      <c r="D47" s="424"/>
      <c r="E47" s="424">
        <v>100000</v>
      </c>
      <c r="F47" s="424"/>
      <c r="G47" s="454"/>
      <c r="H47" s="454"/>
      <c r="I47" s="454"/>
      <c r="J47" s="435"/>
      <c r="K47" s="435"/>
      <c r="L47" s="435"/>
      <c r="M47" s="435"/>
      <c r="N47" s="435"/>
      <c r="O47" s="439"/>
      <c r="P47" s="439"/>
      <c r="Q47" s="454"/>
      <c r="R47" s="439"/>
      <c r="S47" s="439"/>
      <c r="T47" s="439"/>
      <c r="U47" s="458"/>
      <c r="XCK47" s="461"/>
      <c r="XCL47" s="461"/>
      <c r="XCM47" s="461"/>
      <c r="XCN47" s="461"/>
      <c r="XCO47" s="461"/>
      <c r="XCP47" s="461"/>
      <c r="XCQ47" s="461"/>
      <c r="XCR47" s="461"/>
      <c r="XCS47" s="461"/>
      <c r="XCT47" s="461"/>
      <c r="XCU47" s="461"/>
      <c r="XCV47" s="461"/>
      <c r="XCW47" s="461"/>
      <c r="XCX47" s="461"/>
      <c r="XCY47" s="461"/>
      <c r="XCZ47" s="461"/>
      <c r="XDA47" s="461"/>
      <c r="XDB47" s="461"/>
      <c r="XDC47" s="461"/>
      <c r="XDD47" s="461"/>
      <c r="XDE47" s="461"/>
      <c r="XDF47" s="461"/>
      <c r="XDG47" s="461"/>
      <c r="XDH47" s="461"/>
      <c r="XDI47" s="461"/>
      <c r="XDJ47" s="461"/>
      <c r="XDK47" s="461"/>
      <c r="XDL47" s="461"/>
      <c r="XDM47" s="461"/>
      <c r="XDN47" s="461"/>
      <c r="XDO47" s="461"/>
      <c r="XDP47" s="461"/>
      <c r="XDQ47" s="461"/>
      <c r="XDR47" s="461"/>
      <c r="XDS47" s="461"/>
      <c r="XDT47" s="461"/>
      <c r="XDU47" s="461"/>
      <c r="XDV47" s="461"/>
      <c r="XDW47" s="461"/>
      <c r="XDX47" s="461"/>
      <c r="XDY47" s="461"/>
      <c r="XDZ47" s="461"/>
      <c r="XEA47" s="461"/>
      <c r="XEB47" s="461"/>
      <c r="XEC47" s="461"/>
      <c r="XED47" s="461"/>
      <c r="XEE47" s="461"/>
      <c r="XEF47" s="461"/>
      <c r="XEG47" s="461"/>
      <c r="XEH47" s="461"/>
      <c r="XEI47" s="461"/>
      <c r="XEJ47" s="461"/>
      <c r="XEK47" s="461"/>
      <c r="XEL47" s="461"/>
      <c r="XEM47" s="461"/>
      <c r="XEN47" s="461"/>
      <c r="XEO47" s="461"/>
      <c r="XEP47" s="461"/>
      <c r="XEQ47" s="461"/>
      <c r="XER47" s="461"/>
      <c r="XES47" s="461"/>
      <c r="XET47" s="461"/>
      <c r="XEU47" s="461"/>
      <c r="XEV47" s="461"/>
      <c r="XEW47" s="461"/>
      <c r="XEX47" s="461"/>
      <c r="XEY47" s="461"/>
      <c r="XEZ47" s="461"/>
      <c r="XFA47" s="461"/>
      <c r="XFB47" s="461"/>
      <c r="XFC47" s="461"/>
      <c r="XFD47" s="461"/>
    </row>
    <row r="48" s="409" customFormat="1" ht="19" customHeight="1" spans="1:22 16313:16384">
      <c r="A48" s="436">
        <v>45240</v>
      </c>
      <c r="B48" s="460">
        <v>1000017245</v>
      </c>
      <c r="C48" s="422" t="s">
        <v>2550</v>
      </c>
      <c r="D48" s="424"/>
      <c r="E48" s="424"/>
      <c r="F48" s="424"/>
      <c r="G48" s="454"/>
      <c r="H48" s="454">
        <v>30000</v>
      </c>
      <c r="I48" s="454"/>
      <c r="J48" s="435"/>
      <c r="K48" s="435"/>
      <c r="L48" s="435"/>
      <c r="M48" s="435"/>
      <c r="N48" s="435"/>
      <c r="O48" s="439"/>
      <c r="P48" s="439"/>
      <c r="Q48" s="454"/>
      <c r="R48" s="439"/>
      <c r="S48" s="439"/>
      <c r="T48" s="439"/>
      <c r="U48" s="458"/>
      <c r="XCK48" s="461"/>
      <c r="XCL48" s="461"/>
      <c r="XCM48" s="461"/>
      <c r="XCN48" s="461"/>
      <c r="XCO48" s="461"/>
      <c r="XCP48" s="461"/>
      <c r="XCQ48" s="461"/>
      <c r="XCR48" s="461"/>
      <c r="XCS48" s="461"/>
      <c r="XCT48" s="461"/>
      <c r="XCU48" s="461"/>
      <c r="XCV48" s="461"/>
      <c r="XCW48" s="461"/>
      <c r="XCX48" s="461"/>
      <c r="XCY48" s="461"/>
      <c r="XCZ48" s="461"/>
      <c r="XDA48" s="461"/>
      <c r="XDB48" s="461"/>
      <c r="XDC48" s="461"/>
      <c r="XDD48" s="461"/>
      <c r="XDE48" s="461"/>
      <c r="XDF48" s="461"/>
      <c r="XDG48" s="461"/>
      <c r="XDH48" s="461"/>
      <c r="XDI48" s="461"/>
      <c r="XDJ48" s="461"/>
      <c r="XDK48" s="461"/>
      <c r="XDL48" s="461"/>
      <c r="XDM48" s="461"/>
      <c r="XDN48" s="461"/>
      <c r="XDO48" s="461"/>
      <c r="XDP48" s="461"/>
      <c r="XDQ48" s="461"/>
      <c r="XDR48" s="461"/>
      <c r="XDS48" s="461"/>
      <c r="XDT48" s="461"/>
      <c r="XDU48" s="461"/>
      <c r="XDV48" s="461"/>
      <c r="XDW48" s="461"/>
      <c r="XDX48" s="461"/>
      <c r="XDY48" s="461"/>
      <c r="XDZ48" s="461"/>
      <c r="XEA48" s="461"/>
      <c r="XEB48" s="461"/>
      <c r="XEC48" s="461"/>
      <c r="XED48" s="461"/>
      <c r="XEE48" s="461"/>
      <c r="XEF48" s="461"/>
      <c r="XEG48" s="461"/>
      <c r="XEH48" s="461"/>
      <c r="XEI48" s="461"/>
      <c r="XEJ48" s="461"/>
      <c r="XEK48" s="461"/>
      <c r="XEL48" s="461"/>
      <c r="XEM48" s="461"/>
      <c r="XEN48" s="461"/>
      <c r="XEO48" s="461"/>
      <c r="XEP48" s="461"/>
      <c r="XEQ48" s="461"/>
      <c r="XER48" s="461"/>
      <c r="XES48" s="461"/>
      <c r="XET48" s="461"/>
      <c r="XEU48" s="461"/>
      <c r="XEV48" s="461"/>
      <c r="XEW48" s="461"/>
      <c r="XEX48" s="461"/>
      <c r="XEY48" s="461"/>
      <c r="XEZ48" s="461"/>
      <c r="XFA48" s="461"/>
      <c r="XFB48" s="461"/>
      <c r="XFC48" s="461"/>
      <c r="XFD48" s="461"/>
    </row>
    <row r="49" s="409" customFormat="1" ht="19" customHeight="1" spans="1:21 16313:16384">
      <c r="A49" s="436">
        <v>45240</v>
      </c>
      <c r="B49" s="460">
        <v>1000017246</v>
      </c>
      <c r="C49" s="422" t="s">
        <v>2550</v>
      </c>
      <c r="D49" s="424"/>
      <c r="E49" s="424"/>
      <c r="F49" s="424"/>
      <c r="G49" s="454"/>
      <c r="H49" s="454"/>
      <c r="I49" s="454"/>
      <c r="J49" s="435"/>
      <c r="K49" s="435"/>
      <c r="L49" s="435"/>
      <c r="M49" s="435"/>
      <c r="N49" s="435"/>
      <c r="O49" s="439">
        <v>100000</v>
      </c>
      <c r="P49" s="439"/>
      <c r="Q49" s="454"/>
      <c r="R49" s="439"/>
      <c r="S49" s="439"/>
      <c r="T49" s="439"/>
      <c r="U49" s="458"/>
      <c r="XCK49" s="461"/>
      <c r="XCL49" s="461"/>
      <c r="XCM49" s="461"/>
      <c r="XCN49" s="461"/>
      <c r="XCO49" s="461"/>
      <c r="XCP49" s="461"/>
      <c r="XCQ49" s="461"/>
      <c r="XCR49" s="461"/>
      <c r="XCS49" s="461"/>
      <c r="XCT49" s="461"/>
      <c r="XCU49" s="461"/>
      <c r="XCV49" s="461"/>
      <c r="XCW49" s="461"/>
      <c r="XCX49" s="461"/>
      <c r="XCY49" s="461"/>
      <c r="XCZ49" s="461"/>
      <c r="XDA49" s="461"/>
      <c r="XDB49" s="461"/>
      <c r="XDC49" s="461"/>
      <c r="XDD49" s="461"/>
      <c r="XDE49" s="461"/>
      <c r="XDF49" s="461"/>
      <c r="XDG49" s="461"/>
      <c r="XDH49" s="461"/>
      <c r="XDI49" s="461"/>
      <c r="XDJ49" s="461"/>
      <c r="XDK49" s="461"/>
      <c r="XDL49" s="461"/>
      <c r="XDM49" s="461"/>
      <c r="XDN49" s="461"/>
      <c r="XDO49" s="461"/>
      <c r="XDP49" s="461"/>
      <c r="XDQ49" s="461"/>
      <c r="XDR49" s="461"/>
      <c r="XDS49" s="461"/>
      <c r="XDT49" s="461"/>
      <c r="XDU49" s="461"/>
      <c r="XDV49" s="461"/>
      <c r="XDW49" s="461"/>
      <c r="XDX49" s="461"/>
      <c r="XDY49" s="461"/>
      <c r="XDZ49" s="461"/>
      <c r="XEA49" s="461"/>
      <c r="XEB49" s="461"/>
      <c r="XEC49" s="461"/>
      <c r="XED49" s="461"/>
      <c r="XEE49" s="461"/>
      <c r="XEF49" s="461"/>
      <c r="XEG49" s="461"/>
      <c r="XEH49" s="461"/>
      <c r="XEI49" s="461"/>
      <c r="XEJ49" s="461"/>
      <c r="XEK49" s="461"/>
      <c r="XEL49" s="461"/>
      <c r="XEM49" s="461"/>
      <c r="XEN49" s="461"/>
      <c r="XEO49" s="461"/>
      <c r="XEP49" s="461"/>
      <c r="XEQ49" s="461"/>
      <c r="XER49" s="461"/>
      <c r="XES49" s="461"/>
      <c r="XET49" s="461"/>
      <c r="XEU49" s="461"/>
      <c r="XEV49" s="461"/>
      <c r="XEW49" s="461"/>
      <c r="XEX49" s="461"/>
      <c r="XEY49" s="461"/>
      <c r="XEZ49" s="461"/>
      <c r="XFA49" s="461"/>
      <c r="XFB49" s="461"/>
      <c r="XFC49" s="461"/>
      <c r="XFD49" s="461"/>
    </row>
    <row r="50" s="409" customFormat="1" ht="19" customHeight="1" spans="1:21 16313:16384">
      <c r="A50" s="436">
        <v>45240</v>
      </c>
      <c r="B50" s="460">
        <v>1000017247</v>
      </c>
      <c r="C50" s="422" t="s">
        <v>2550</v>
      </c>
      <c r="D50" s="424"/>
      <c r="E50" s="424"/>
      <c r="F50" s="424"/>
      <c r="G50" s="454"/>
      <c r="H50" s="454"/>
      <c r="I50" s="454"/>
      <c r="J50" s="435"/>
      <c r="K50" s="435"/>
      <c r="L50" s="435"/>
      <c r="M50" s="435"/>
      <c r="N50" s="435"/>
      <c r="O50" s="439"/>
      <c r="P50" s="439"/>
      <c r="Q50" s="454">
        <v>100000</v>
      </c>
      <c r="R50" s="439"/>
      <c r="S50" s="439"/>
      <c r="T50" s="439"/>
      <c r="U50" s="458"/>
      <c r="XCK50" s="461"/>
      <c r="XCL50" s="461"/>
      <c r="XCM50" s="461"/>
      <c r="XCN50" s="461"/>
      <c r="XCO50" s="461"/>
      <c r="XCP50" s="461"/>
      <c r="XCQ50" s="461"/>
      <c r="XCR50" s="461"/>
      <c r="XCS50" s="461"/>
      <c r="XCT50" s="461"/>
      <c r="XCU50" s="461"/>
      <c r="XCV50" s="461"/>
      <c r="XCW50" s="461"/>
      <c r="XCX50" s="461"/>
      <c r="XCY50" s="461"/>
      <c r="XCZ50" s="461"/>
      <c r="XDA50" s="461"/>
      <c r="XDB50" s="461"/>
      <c r="XDC50" s="461"/>
      <c r="XDD50" s="461"/>
      <c r="XDE50" s="461"/>
      <c r="XDF50" s="461"/>
      <c r="XDG50" s="461"/>
      <c r="XDH50" s="461"/>
      <c r="XDI50" s="461"/>
      <c r="XDJ50" s="461"/>
      <c r="XDK50" s="461"/>
      <c r="XDL50" s="461"/>
      <c r="XDM50" s="461"/>
      <c r="XDN50" s="461"/>
      <c r="XDO50" s="461"/>
      <c r="XDP50" s="461"/>
      <c r="XDQ50" s="461"/>
      <c r="XDR50" s="461"/>
      <c r="XDS50" s="461"/>
      <c r="XDT50" s="461"/>
      <c r="XDU50" s="461"/>
      <c r="XDV50" s="461"/>
      <c r="XDW50" s="461"/>
      <c r="XDX50" s="461"/>
      <c r="XDY50" s="461"/>
      <c r="XDZ50" s="461"/>
      <c r="XEA50" s="461"/>
      <c r="XEB50" s="461"/>
      <c r="XEC50" s="461"/>
      <c r="XED50" s="461"/>
      <c r="XEE50" s="461"/>
      <c r="XEF50" s="461"/>
      <c r="XEG50" s="461"/>
      <c r="XEH50" s="461"/>
      <c r="XEI50" s="461"/>
      <c r="XEJ50" s="461"/>
      <c r="XEK50" s="461"/>
      <c r="XEL50" s="461"/>
      <c r="XEM50" s="461"/>
      <c r="XEN50" s="461"/>
      <c r="XEO50" s="461"/>
      <c r="XEP50" s="461"/>
      <c r="XEQ50" s="461"/>
      <c r="XER50" s="461"/>
      <c r="XES50" s="461"/>
      <c r="XET50" s="461"/>
      <c r="XEU50" s="461"/>
      <c r="XEV50" s="461"/>
      <c r="XEW50" s="461"/>
      <c r="XEX50" s="461"/>
      <c r="XEY50" s="461"/>
      <c r="XEZ50" s="461"/>
      <c r="XFA50" s="461"/>
      <c r="XFB50" s="461"/>
      <c r="XFC50" s="461"/>
      <c r="XFD50" s="461"/>
    </row>
    <row r="51" s="409" customFormat="1" ht="19" customHeight="1" spans="1:21 16313:16384">
      <c r="A51" s="436">
        <v>45240</v>
      </c>
      <c r="B51" s="460">
        <v>1000017248</v>
      </c>
      <c r="C51" s="422" t="s">
        <v>2550</v>
      </c>
      <c r="D51" s="424"/>
      <c r="E51" s="424"/>
      <c r="F51" s="424"/>
      <c r="G51" s="454"/>
      <c r="H51" s="454"/>
      <c r="I51" s="454"/>
      <c r="J51" s="435"/>
      <c r="K51" s="435">
        <v>100000</v>
      </c>
      <c r="L51" s="435"/>
      <c r="M51" s="435"/>
      <c r="N51" s="435"/>
      <c r="O51" s="439"/>
      <c r="P51" s="439"/>
      <c r="Q51" s="454"/>
      <c r="R51" s="439"/>
      <c r="S51" s="439"/>
      <c r="T51" s="439"/>
      <c r="U51" s="458"/>
      <c r="XCK51" s="461"/>
      <c r="XCL51" s="461"/>
      <c r="XCM51" s="461"/>
      <c r="XCN51" s="461"/>
      <c r="XCO51" s="461"/>
      <c r="XCP51" s="461"/>
      <c r="XCQ51" s="461"/>
      <c r="XCR51" s="461"/>
      <c r="XCS51" s="461"/>
      <c r="XCT51" s="461"/>
      <c r="XCU51" s="461"/>
      <c r="XCV51" s="461"/>
      <c r="XCW51" s="461"/>
      <c r="XCX51" s="461"/>
      <c r="XCY51" s="461"/>
      <c r="XCZ51" s="461"/>
      <c r="XDA51" s="461"/>
      <c r="XDB51" s="461"/>
      <c r="XDC51" s="461"/>
      <c r="XDD51" s="461"/>
      <c r="XDE51" s="461"/>
      <c r="XDF51" s="461"/>
      <c r="XDG51" s="461"/>
      <c r="XDH51" s="461"/>
      <c r="XDI51" s="461"/>
      <c r="XDJ51" s="461"/>
      <c r="XDK51" s="461"/>
      <c r="XDL51" s="461"/>
      <c r="XDM51" s="461"/>
      <c r="XDN51" s="461"/>
      <c r="XDO51" s="461"/>
      <c r="XDP51" s="461"/>
      <c r="XDQ51" s="461"/>
      <c r="XDR51" s="461"/>
      <c r="XDS51" s="461"/>
      <c r="XDT51" s="461"/>
      <c r="XDU51" s="461"/>
      <c r="XDV51" s="461"/>
      <c r="XDW51" s="461"/>
      <c r="XDX51" s="461"/>
      <c r="XDY51" s="461"/>
      <c r="XDZ51" s="461"/>
      <c r="XEA51" s="461"/>
      <c r="XEB51" s="461"/>
      <c r="XEC51" s="461"/>
      <c r="XED51" s="461"/>
      <c r="XEE51" s="461"/>
      <c r="XEF51" s="461"/>
      <c r="XEG51" s="461"/>
      <c r="XEH51" s="461"/>
      <c r="XEI51" s="461"/>
      <c r="XEJ51" s="461"/>
      <c r="XEK51" s="461"/>
      <c r="XEL51" s="461"/>
      <c r="XEM51" s="461"/>
      <c r="XEN51" s="461"/>
      <c r="XEO51" s="461"/>
      <c r="XEP51" s="461"/>
      <c r="XEQ51" s="461"/>
      <c r="XER51" s="461"/>
      <c r="XES51" s="461"/>
      <c r="XET51" s="461"/>
      <c r="XEU51" s="461"/>
      <c r="XEV51" s="461"/>
      <c r="XEW51" s="461"/>
      <c r="XEX51" s="461"/>
      <c r="XEY51" s="461"/>
      <c r="XEZ51" s="461"/>
      <c r="XFA51" s="461"/>
      <c r="XFB51" s="461"/>
      <c r="XFC51" s="461"/>
      <c r="XFD51" s="461"/>
    </row>
    <row r="52" s="410" customFormat="1" ht="19" customHeight="1" spans="1:21 16313:16384">
      <c r="A52" s="446">
        <v>45253</v>
      </c>
      <c r="B52" s="447">
        <v>1000017425</v>
      </c>
      <c r="C52" s="448" t="s">
        <v>2550</v>
      </c>
      <c r="D52" s="449"/>
      <c r="E52" s="449"/>
      <c r="F52" s="449">
        <v>30000</v>
      </c>
      <c r="G52" s="453"/>
      <c r="H52" s="453"/>
      <c r="I52" s="453"/>
      <c r="J52" s="450"/>
      <c r="K52" s="450"/>
      <c r="L52" s="450"/>
      <c r="M52" s="450"/>
      <c r="N52" s="450"/>
      <c r="O52" s="451"/>
      <c r="P52" s="451"/>
      <c r="Q52" s="453"/>
      <c r="R52" s="451"/>
      <c r="S52" s="451"/>
      <c r="T52" s="451"/>
      <c r="U52" s="462"/>
      <c r="XCK52" s="463"/>
      <c r="XCL52" s="463"/>
      <c r="XCM52" s="463"/>
      <c r="XCN52" s="463"/>
      <c r="XCO52" s="463"/>
      <c r="XCP52" s="463"/>
      <c r="XCQ52" s="463"/>
      <c r="XCR52" s="463"/>
      <c r="XCS52" s="463"/>
      <c r="XCT52" s="463"/>
      <c r="XCU52" s="463"/>
      <c r="XCV52" s="463"/>
      <c r="XCW52" s="463"/>
      <c r="XCX52" s="463"/>
      <c r="XCY52" s="463"/>
      <c r="XCZ52" s="463"/>
      <c r="XDA52" s="463"/>
      <c r="XDB52" s="463"/>
      <c r="XDC52" s="463"/>
      <c r="XDD52" s="463"/>
      <c r="XDE52" s="463"/>
      <c r="XDF52" s="463"/>
      <c r="XDG52" s="463"/>
      <c r="XDH52" s="463"/>
      <c r="XDI52" s="463"/>
      <c r="XDJ52" s="463"/>
      <c r="XDK52" s="463"/>
      <c r="XDL52" s="463"/>
      <c r="XDM52" s="463"/>
      <c r="XDN52" s="463"/>
      <c r="XDO52" s="463"/>
      <c r="XDP52" s="463"/>
      <c r="XDQ52" s="463"/>
      <c r="XDR52" s="463"/>
      <c r="XDS52" s="463"/>
      <c r="XDT52" s="463"/>
      <c r="XDU52" s="463"/>
      <c r="XDV52" s="463"/>
      <c r="XDW52" s="463"/>
      <c r="XDX52" s="463"/>
      <c r="XDY52" s="463"/>
      <c r="XDZ52" s="463"/>
      <c r="XEA52" s="463"/>
      <c r="XEB52" s="463"/>
      <c r="XEC52" s="463"/>
      <c r="XED52" s="463"/>
      <c r="XEE52" s="463"/>
      <c r="XEF52" s="463"/>
      <c r="XEG52" s="463"/>
      <c r="XEH52" s="463"/>
      <c r="XEI52" s="463"/>
      <c r="XEJ52" s="463"/>
      <c r="XEK52" s="463"/>
      <c r="XEL52" s="463"/>
      <c r="XEM52" s="463"/>
      <c r="XEN52" s="463"/>
      <c r="XEO52" s="463"/>
      <c r="XEP52" s="463"/>
      <c r="XEQ52" s="463"/>
      <c r="XER52" s="463"/>
      <c r="XES52" s="463"/>
      <c r="XET52" s="463"/>
      <c r="XEU52" s="463"/>
      <c r="XEV52" s="463"/>
      <c r="XEW52" s="463"/>
      <c r="XEX52" s="463"/>
      <c r="XEY52" s="463"/>
      <c r="XEZ52" s="463"/>
      <c r="XFA52" s="463"/>
      <c r="XFB52" s="463"/>
      <c r="XFC52" s="463"/>
      <c r="XFD52" s="463"/>
    </row>
    <row r="53" s="410" customFormat="1" ht="19" customHeight="1" spans="1:21 16313:16384">
      <c r="A53" s="446">
        <v>45253</v>
      </c>
      <c r="B53" s="447">
        <v>1000017426</v>
      </c>
      <c r="C53" s="448" t="s">
        <v>2550</v>
      </c>
      <c r="D53" s="449"/>
      <c r="E53" s="449"/>
      <c r="F53" s="449"/>
      <c r="G53" s="453"/>
      <c r="H53" s="453"/>
      <c r="I53" s="453">
        <v>20000</v>
      </c>
      <c r="J53" s="450"/>
      <c r="K53" s="450"/>
      <c r="L53" s="450"/>
      <c r="M53" s="450"/>
      <c r="N53" s="450"/>
      <c r="O53" s="451"/>
      <c r="P53" s="451"/>
      <c r="Q53" s="453"/>
      <c r="R53" s="451"/>
      <c r="S53" s="451"/>
      <c r="T53" s="451"/>
      <c r="U53" s="462"/>
      <c r="XCK53" s="463"/>
      <c r="XCL53" s="463"/>
      <c r="XCM53" s="463"/>
      <c r="XCN53" s="463"/>
      <c r="XCO53" s="463"/>
      <c r="XCP53" s="463"/>
      <c r="XCQ53" s="463"/>
      <c r="XCR53" s="463"/>
      <c r="XCS53" s="463"/>
      <c r="XCT53" s="463"/>
      <c r="XCU53" s="463"/>
      <c r="XCV53" s="463"/>
      <c r="XCW53" s="463"/>
      <c r="XCX53" s="463"/>
      <c r="XCY53" s="463"/>
      <c r="XCZ53" s="463"/>
      <c r="XDA53" s="463"/>
      <c r="XDB53" s="463"/>
      <c r="XDC53" s="463"/>
      <c r="XDD53" s="463"/>
      <c r="XDE53" s="463"/>
      <c r="XDF53" s="463"/>
      <c r="XDG53" s="463"/>
      <c r="XDH53" s="463"/>
      <c r="XDI53" s="463"/>
      <c r="XDJ53" s="463"/>
      <c r="XDK53" s="463"/>
      <c r="XDL53" s="463"/>
      <c r="XDM53" s="463"/>
      <c r="XDN53" s="463"/>
      <c r="XDO53" s="463"/>
      <c r="XDP53" s="463"/>
      <c r="XDQ53" s="463"/>
      <c r="XDR53" s="463"/>
      <c r="XDS53" s="463"/>
      <c r="XDT53" s="463"/>
      <c r="XDU53" s="463"/>
      <c r="XDV53" s="463"/>
      <c r="XDW53" s="463"/>
      <c r="XDX53" s="463"/>
      <c r="XDY53" s="463"/>
      <c r="XDZ53" s="463"/>
      <c r="XEA53" s="463"/>
      <c r="XEB53" s="463"/>
      <c r="XEC53" s="463"/>
      <c r="XED53" s="463"/>
      <c r="XEE53" s="463"/>
      <c r="XEF53" s="463"/>
      <c r="XEG53" s="463"/>
      <c r="XEH53" s="463"/>
      <c r="XEI53" s="463"/>
      <c r="XEJ53" s="463"/>
      <c r="XEK53" s="463"/>
      <c r="XEL53" s="463"/>
      <c r="XEM53" s="463"/>
      <c r="XEN53" s="463"/>
      <c r="XEO53" s="463"/>
      <c r="XEP53" s="463"/>
      <c r="XEQ53" s="463"/>
      <c r="XER53" s="463"/>
      <c r="XES53" s="463"/>
      <c r="XET53" s="463"/>
      <c r="XEU53" s="463"/>
      <c r="XEV53" s="463"/>
      <c r="XEW53" s="463"/>
      <c r="XEX53" s="463"/>
      <c r="XEY53" s="463"/>
      <c r="XEZ53" s="463"/>
      <c r="XFA53" s="463"/>
      <c r="XFB53" s="463"/>
      <c r="XFC53" s="463"/>
      <c r="XFD53" s="463"/>
    </row>
    <row r="54" s="410" customFormat="1" ht="19" customHeight="1" spans="1:21 16313:16384">
      <c r="A54" s="446">
        <v>45253</v>
      </c>
      <c r="B54" s="447">
        <v>1000017427</v>
      </c>
      <c r="C54" s="448" t="s">
        <v>2550</v>
      </c>
      <c r="D54" s="449"/>
      <c r="E54" s="449"/>
      <c r="F54" s="449"/>
      <c r="G54" s="453"/>
      <c r="H54" s="453"/>
      <c r="I54" s="453"/>
      <c r="J54" s="450"/>
      <c r="K54" s="450"/>
      <c r="L54" s="450">
        <v>50000</v>
      </c>
      <c r="M54" s="450"/>
      <c r="N54" s="450"/>
      <c r="O54" s="451"/>
      <c r="P54" s="451"/>
      <c r="Q54" s="453"/>
      <c r="R54" s="451"/>
      <c r="S54" s="451"/>
      <c r="T54" s="451"/>
      <c r="U54" s="462"/>
      <c r="XCK54" s="463"/>
      <c r="XCL54" s="463"/>
      <c r="XCM54" s="463"/>
      <c r="XCN54" s="463"/>
      <c r="XCO54" s="463"/>
      <c r="XCP54" s="463"/>
      <c r="XCQ54" s="463"/>
      <c r="XCR54" s="463"/>
      <c r="XCS54" s="463"/>
      <c r="XCT54" s="463"/>
      <c r="XCU54" s="463"/>
      <c r="XCV54" s="463"/>
      <c r="XCW54" s="463"/>
      <c r="XCX54" s="463"/>
      <c r="XCY54" s="463"/>
      <c r="XCZ54" s="463"/>
      <c r="XDA54" s="463"/>
      <c r="XDB54" s="463"/>
      <c r="XDC54" s="463"/>
      <c r="XDD54" s="463"/>
      <c r="XDE54" s="463"/>
      <c r="XDF54" s="463"/>
      <c r="XDG54" s="463"/>
      <c r="XDH54" s="463"/>
      <c r="XDI54" s="463"/>
      <c r="XDJ54" s="463"/>
      <c r="XDK54" s="463"/>
      <c r="XDL54" s="463"/>
      <c r="XDM54" s="463"/>
      <c r="XDN54" s="463"/>
      <c r="XDO54" s="463"/>
      <c r="XDP54" s="463"/>
      <c r="XDQ54" s="463"/>
      <c r="XDR54" s="463"/>
      <c r="XDS54" s="463"/>
      <c r="XDT54" s="463"/>
      <c r="XDU54" s="463"/>
      <c r="XDV54" s="463"/>
      <c r="XDW54" s="463"/>
      <c r="XDX54" s="463"/>
      <c r="XDY54" s="463"/>
      <c r="XDZ54" s="463"/>
      <c r="XEA54" s="463"/>
      <c r="XEB54" s="463"/>
      <c r="XEC54" s="463"/>
      <c r="XED54" s="463"/>
      <c r="XEE54" s="463"/>
      <c r="XEF54" s="463"/>
      <c r="XEG54" s="463"/>
      <c r="XEH54" s="463"/>
      <c r="XEI54" s="463"/>
      <c r="XEJ54" s="463"/>
      <c r="XEK54" s="463"/>
      <c r="XEL54" s="463"/>
      <c r="XEM54" s="463"/>
      <c r="XEN54" s="463"/>
      <c r="XEO54" s="463"/>
      <c r="XEP54" s="463"/>
      <c r="XEQ54" s="463"/>
      <c r="XER54" s="463"/>
      <c r="XES54" s="463"/>
      <c r="XET54" s="463"/>
      <c r="XEU54" s="463"/>
      <c r="XEV54" s="463"/>
      <c r="XEW54" s="463"/>
      <c r="XEX54" s="463"/>
      <c r="XEY54" s="463"/>
      <c r="XEZ54" s="463"/>
      <c r="XFA54" s="463"/>
      <c r="XFB54" s="463"/>
      <c r="XFC54" s="463"/>
      <c r="XFD54" s="463"/>
    </row>
    <row r="55" s="410" customFormat="1" ht="19" customHeight="1" spans="1:21 16313:16384">
      <c r="A55" s="446">
        <v>45253</v>
      </c>
      <c r="B55" s="447">
        <v>1000017428</v>
      </c>
      <c r="C55" s="448" t="s">
        <v>2550</v>
      </c>
      <c r="D55" s="449"/>
      <c r="E55" s="449"/>
      <c r="F55" s="449"/>
      <c r="G55" s="453"/>
      <c r="H55" s="453"/>
      <c r="I55" s="453"/>
      <c r="J55" s="450"/>
      <c r="K55" s="450"/>
      <c r="L55" s="450"/>
      <c r="M55" s="450"/>
      <c r="N55" s="450"/>
      <c r="O55" s="451"/>
      <c r="P55" s="451">
        <v>50000</v>
      </c>
      <c r="Q55" s="450"/>
      <c r="R55" s="451"/>
      <c r="S55" s="451"/>
      <c r="T55" s="451"/>
      <c r="U55" s="462"/>
      <c r="XCK55" s="463"/>
      <c r="XCL55" s="463"/>
      <c r="XCM55" s="463"/>
      <c r="XCN55" s="463"/>
      <c r="XCO55" s="463"/>
      <c r="XCP55" s="463"/>
      <c r="XCQ55" s="463"/>
      <c r="XCR55" s="463"/>
      <c r="XCS55" s="463"/>
      <c r="XCT55" s="463"/>
      <c r="XCU55" s="463"/>
      <c r="XCV55" s="463"/>
      <c r="XCW55" s="463"/>
      <c r="XCX55" s="463"/>
      <c r="XCY55" s="463"/>
      <c r="XCZ55" s="463"/>
      <c r="XDA55" s="463"/>
      <c r="XDB55" s="463"/>
      <c r="XDC55" s="463"/>
      <c r="XDD55" s="463"/>
      <c r="XDE55" s="463"/>
      <c r="XDF55" s="463"/>
      <c r="XDG55" s="463"/>
      <c r="XDH55" s="463"/>
      <c r="XDI55" s="463"/>
      <c r="XDJ55" s="463"/>
      <c r="XDK55" s="463"/>
      <c r="XDL55" s="463"/>
      <c r="XDM55" s="463"/>
      <c r="XDN55" s="463"/>
      <c r="XDO55" s="463"/>
      <c r="XDP55" s="463"/>
      <c r="XDQ55" s="463"/>
      <c r="XDR55" s="463"/>
      <c r="XDS55" s="463"/>
      <c r="XDT55" s="463"/>
      <c r="XDU55" s="463"/>
      <c r="XDV55" s="463"/>
      <c r="XDW55" s="463"/>
      <c r="XDX55" s="463"/>
      <c r="XDY55" s="463"/>
      <c r="XDZ55" s="463"/>
      <c r="XEA55" s="463"/>
      <c r="XEB55" s="463"/>
      <c r="XEC55" s="463"/>
      <c r="XED55" s="463"/>
      <c r="XEE55" s="463"/>
      <c r="XEF55" s="463"/>
      <c r="XEG55" s="463"/>
      <c r="XEH55" s="463"/>
      <c r="XEI55" s="463"/>
      <c r="XEJ55" s="463"/>
      <c r="XEK55" s="463"/>
      <c r="XEL55" s="463"/>
      <c r="XEM55" s="463"/>
      <c r="XEN55" s="463"/>
      <c r="XEO55" s="463"/>
      <c r="XEP55" s="463"/>
      <c r="XEQ55" s="463"/>
      <c r="XER55" s="463"/>
      <c r="XES55" s="463"/>
      <c r="XET55" s="463"/>
      <c r="XEU55" s="463"/>
      <c r="XEV55" s="463"/>
      <c r="XEW55" s="463"/>
      <c r="XEX55" s="463"/>
      <c r="XEY55" s="463"/>
      <c r="XEZ55" s="463"/>
      <c r="XFA55" s="463"/>
      <c r="XFB55" s="463"/>
      <c r="XFC55" s="463"/>
      <c r="XFD55" s="463"/>
    </row>
    <row r="56" s="409" customFormat="1" ht="19" customHeight="1" spans="1:21 16313:16384">
      <c r="A56" s="436">
        <v>45258</v>
      </c>
      <c r="B56" s="460">
        <v>1000017514</v>
      </c>
      <c r="C56" s="422" t="s">
        <v>2550</v>
      </c>
      <c r="D56" s="424"/>
      <c r="E56" s="424"/>
      <c r="F56" s="424"/>
      <c r="G56" s="454"/>
      <c r="H56" s="454"/>
      <c r="I56" s="454">
        <v>10000</v>
      </c>
      <c r="J56" s="435"/>
      <c r="K56" s="435"/>
      <c r="L56" s="435"/>
      <c r="M56" s="435"/>
      <c r="N56" s="435"/>
      <c r="O56" s="439"/>
      <c r="P56" s="439"/>
      <c r="Q56" s="435"/>
      <c r="R56" s="439"/>
      <c r="S56" s="439"/>
      <c r="T56" s="439"/>
      <c r="U56" s="458"/>
      <c r="XCK56" s="461"/>
      <c r="XCL56" s="461"/>
      <c r="XCM56" s="461"/>
      <c r="XCN56" s="461"/>
      <c r="XCO56" s="461"/>
      <c r="XCP56" s="461"/>
      <c r="XCQ56" s="461"/>
      <c r="XCR56" s="461"/>
      <c r="XCS56" s="461"/>
      <c r="XCT56" s="461"/>
      <c r="XCU56" s="461"/>
      <c r="XCV56" s="461"/>
      <c r="XCW56" s="461"/>
      <c r="XCX56" s="461"/>
      <c r="XCY56" s="461"/>
      <c r="XCZ56" s="461"/>
      <c r="XDA56" s="461"/>
      <c r="XDB56" s="461"/>
      <c r="XDC56" s="461"/>
      <c r="XDD56" s="461"/>
      <c r="XDE56" s="461"/>
      <c r="XDF56" s="461"/>
      <c r="XDG56" s="461"/>
      <c r="XDH56" s="461"/>
      <c r="XDI56" s="461"/>
      <c r="XDJ56" s="461"/>
      <c r="XDK56" s="461"/>
      <c r="XDL56" s="461"/>
      <c r="XDM56" s="461"/>
      <c r="XDN56" s="461"/>
      <c r="XDO56" s="461"/>
      <c r="XDP56" s="461"/>
      <c r="XDQ56" s="461"/>
      <c r="XDR56" s="461"/>
      <c r="XDS56" s="461"/>
      <c r="XDT56" s="461"/>
      <c r="XDU56" s="461"/>
      <c r="XDV56" s="461"/>
      <c r="XDW56" s="461"/>
      <c r="XDX56" s="461"/>
      <c r="XDY56" s="461"/>
      <c r="XDZ56" s="461"/>
      <c r="XEA56" s="461"/>
      <c r="XEB56" s="461"/>
      <c r="XEC56" s="461"/>
      <c r="XED56" s="461"/>
      <c r="XEE56" s="461"/>
      <c r="XEF56" s="461"/>
      <c r="XEG56" s="461"/>
      <c r="XEH56" s="461"/>
      <c r="XEI56" s="461"/>
      <c r="XEJ56" s="461"/>
      <c r="XEK56" s="461"/>
      <c r="XEL56" s="461"/>
      <c r="XEM56" s="461"/>
      <c r="XEN56" s="461"/>
      <c r="XEO56" s="461"/>
      <c r="XEP56" s="461"/>
      <c r="XEQ56" s="461"/>
      <c r="XER56" s="461"/>
      <c r="XES56" s="461"/>
      <c r="XET56" s="461"/>
      <c r="XEU56" s="461"/>
      <c r="XEV56" s="461"/>
      <c r="XEW56" s="461"/>
      <c r="XEX56" s="461"/>
      <c r="XEY56" s="461"/>
      <c r="XEZ56" s="461"/>
      <c r="XFA56" s="461"/>
      <c r="XFB56" s="461"/>
      <c r="XFC56" s="461"/>
      <c r="XFD56" s="461"/>
    </row>
    <row r="57" s="409" customFormat="1" ht="19" customHeight="1" spans="1:21 16313:16384">
      <c r="A57" s="436">
        <v>45258</v>
      </c>
      <c r="B57" s="460">
        <v>1000017515</v>
      </c>
      <c r="C57" s="422" t="s">
        <v>2550</v>
      </c>
      <c r="D57" s="424"/>
      <c r="E57" s="424"/>
      <c r="F57" s="424"/>
      <c r="G57" s="454"/>
      <c r="H57" s="454"/>
      <c r="I57" s="454"/>
      <c r="J57" s="435"/>
      <c r="K57" s="435"/>
      <c r="L57" s="435"/>
      <c r="M57" s="435"/>
      <c r="N57" s="435"/>
      <c r="O57" s="439"/>
      <c r="P57" s="439"/>
      <c r="Q57" s="435">
        <v>100000</v>
      </c>
      <c r="R57" s="439"/>
      <c r="S57" s="439"/>
      <c r="T57" s="439"/>
      <c r="U57" s="458"/>
      <c r="XCK57" s="461"/>
      <c r="XCL57" s="461"/>
      <c r="XCM57" s="461"/>
      <c r="XCN57" s="461"/>
      <c r="XCO57" s="461"/>
      <c r="XCP57" s="461"/>
      <c r="XCQ57" s="461"/>
      <c r="XCR57" s="461"/>
      <c r="XCS57" s="461"/>
      <c r="XCT57" s="461"/>
      <c r="XCU57" s="461"/>
      <c r="XCV57" s="461"/>
      <c r="XCW57" s="461"/>
      <c r="XCX57" s="461"/>
      <c r="XCY57" s="461"/>
      <c r="XCZ57" s="461"/>
      <c r="XDA57" s="461"/>
      <c r="XDB57" s="461"/>
      <c r="XDC57" s="461"/>
      <c r="XDD57" s="461"/>
      <c r="XDE57" s="461"/>
      <c r="XDF57" s="461"/>
      <c r="XDG57" s="461"/>
      <c r="XDH57" s="461"/>
      <c r="XDI57" s="461"/>
      <c r="XDJ57" s="461"/>
      <c r="XDK57" s="461"/>
      <c r="XDL57" s="461"/>
      <c r="XDM57" s="461"/>
      <c r="XDN57" s="461"/>
      <c r="XDO57" s="461"/>
      <c r="XDP57" s="461"/>
      <c r="XDQ57" s="461"/>
      <c r="XDR57" s="461"/>
      <c r="XDS57" s="461"/>
      <c r="XDT57" s="461"/>
      <c r="XDU57" s="461"/>
      <c r="XDV57" s="461"/>
      <c r="XDW57" s="461"/>
      <c r="XDX57" s="461"/>
      <c r="XDY57" s="461"/>
      <c r="XDZ57" s="461"/>
      <c r="XEA57" s="461"/>
      <c r="XEB57" s="461"/>
      <c r="XEC57" s="461"/>
      <c r="XED57" s="461"/>
      <c r="XEE57" s="461"/>
      <c r="XEF57" s="461"/>
      <c r="XEG57" s="461"/>
      <c r="XEH57" s="461"/>
      <c r="XEI57" s="461"/>
      <c r="XEJ57" s="461"/>
      <c r="XEK57" s="461"/>
      <c r="XEL57" s="461"/>
      <c r="XEM57" s="461"/>
      <c r="XEN57" s="461"/>
      <c r="XEO57" s="461"/>
      <c r="XEP57" s="461"/>
      <c r="XEQ57" s="461"/>
      <c r="XER57" s="461"/>
      <c r="XES57" s="461"/>
      <c r="XET57" s="461"/>
      <c r="XEU57" s="461"/>
      <c r="XEV57" s="461"/>
      <c r="XEW57" s="461"/>
      <c r="XEX57" s="461"/>
      <c r="XEY57" s="461"/>
      <c r="XEZ57" s="461"/>
      <c r="XFA57" s="461"/>
      <c r="XFB57" s="461"/>
      <c r="XFC57" s="461"/>
      <c r="XFD57" s="461"/>
    </row>
    <row r="58" s="411" customFormat="1" ht="19" customHeight="1" spans="1:21 16313:16384">
      <c r="A58" s="436">
        <v>45295</v>
      </c>
      <c r="B58" s="460">
        <v>1000018105</v>
      </c>
      <c r="C58" s="422" t="s">
        <v>2550</v>
      </c>
      <c r="D58" s="424"/>
      <c r="E58" s="424"/>
      <c r="F58" s="424">
        <v>150000</v>
      </c>
      <c r="G58" s="454"/>
      <c r="H58" s="454"/>
      <c r="I58" s="454"/>
      <c r="J58" s="435"/>
      <c r="K58" s="435"/>
      <c r="L58" s="435"/>
      <c r="M58" s="435"/>
      <c r="N58" s="435"/>
      <c r="O58" s="439"/>
      <c r="P58" s="439"/>
      <c r="Q58" s="435"/>
      <c r="R58" s="439"/>
      <c r="S58" s="439"/>
      <c r="T58" s="439"/>
      <c r="U58" s="464"/>
      <c r="XCK58" s="465"/>
      <c r="XCL58" s="465"/>
      <c r="XCM58" s="465"/>
      <c r="XCN58" s="465"/>
      <c r="XCO58" s="465"/>
      <c r="XCP58" s="465"/>
      <c r="XCQ58" s="465"/>
      <c r="XCR58" s="465"/>
      <c r="XCS58" s="465"/>
      <c r="XCT58" s="465"/>
      <c r="XCU58" s="465"/>
      <c r="XCV58" s="465"/>
      <c r="XCW58" s="465"/>
      <c r="XCX58" s="465"/>
      <c r="XCY58" s="465"/>
      <c r="XCZ58" s="465"/>
      <c r="XDA58" s="465"/>
      <c r="XDB58" s="465"/>
      <c r="XDC58" s="465"/>
      <c r="XDD58" s="465"/>
      <c r="XDE58" s="465"/>
      <c r="XDF58" s="465"/>
      <c r="XDG58" s="465"/>
      <c r="XDH58" s="465"/>
      <c r="XDI58" s="465"/>
      <c r="XDJ58" s="465"/>
      <c r="XDK58" s="465"/>
      <c r="XDL58" s="465"/>
      <c r="XDM58" s="465"/>
      <c r="XDN58" s="465"/>
      <c r="XDO58" s="465"/>
      <c r="XDP58" s="465"/>
      <c r="XDQ58" s="465"/>
      <c r="XDR58" s="465"/>
      <c r="XDS58" s="465"/>
      <c r="XDT58" s="465"/>
      <c r="XDU58" s="465"/>
      <c r="XDV58" s="465"/>
      <c r="XDW58" s="465"/>
      <c r="XDX58" s="465"/>
      <c r="XDY58" s="465"/>
      <c r="XDZ58" s="465"/>
      <c r="XEA58" s="465"/>
      <c r="XEB58" s="465"/>
      <c r="XEC58" s="465"/>
      <c r="XED58" s="465"/>
      <c r="XEE58" s="465"/>
      <c r="XEF58" s="465"/>
      <c r="XEG58" s="465"/>
      <c r="XEH58" s="465"/>
      <c r="XEI58" s="465"/>
      <c r="XEJ58" s="465"/>
      <c r="XEK58" s="465"/>
      <c r="XEL58" s="465"/>
      <c r="XEM58" s="465"/>
      <c r="XEN58" s="465"/>
      <c r="XEO58" s="465"/>
      <c r="XEP58" s="465"/>
      <c r="XEQ58" s="465"/>
      <c r="XER58" s="465"/>
      <c r="XES58" s="465"/>
      <c r="XET58" s="465"/>
      <c r="XEU58" s="465"/>
      <c r="XEV58" s="465"/>
      <c r="XEW58" s="465"/>
      <c r="XEX58" s="465"/>
      <c r="XEY58" s="465"/>
      <c r="XEZ58" s="465"/>
      <c r="XFA58" s="465"/>
      <c r="XFB58" s="465"/>
      <c r="XFC58" s="465"/>
      <c r="XFD58" s="465"/>
    </row>
    <row r="59" s="411" customFormat="1" ht="19" customHeight="1" spans="1:21 16313:16384">
      <c r="A59" s="436">
        <v>45295</v>
      </c>
      <c r="B59" s="460">
        <v>1000018106</v>
      </c>
      <c r="C59" s="422" t="s">
        <v>2550</v>
      </c>
      <c r="D59" s="424"/>
      <c r="E59" s="424"/>
      <c r="F59" s="424"/>
      <c r="G59" s="454"/>
      <c r="H59" s="454"/>
      <c r="I59" s="454"/>
      <c r="J59" s="435"/>
      <c r="K59" s="435"/>
      <c r="L59" s="435">
        <v>100000</v>
      </c>
      <c r="M59" s="435"/>
      <c r="N59" s="435"/>
      <c r="O59" s="439"/>
      <c r="P59" s="439"/>
      <c r="Q59" s="435"/>
      <c r="R59" s="439"/>
      <c r="S59" s="439"/>
      <c r="T59" s="439"/>
      <c r="U59" s="464"/>
      <c r="XCK59" s="465"/>
      <c r="XCL59" s="465"/>
      <c r="XCM59" s="465"/>
      <c r="XCN59" s="465"/>
      <c r="XCO59" s="465"/>
      <c r="XCP59" s="465"/>
      <c r="XCQ59" s="465"/>
      <c r="XCR59" s="465"/>
      <c r="XCS59" s="465"/>
      <c r="XCT59" s="465"/>
      <c r="XCU59" s="465"/>
      <c r="XCV59" s="465"/>
      <c r="XCW59" s="465"/>
      <c r="XCX59" s="465"/>
      <c r="XCY59" s="465"/>
      <c r="XCZ59" s="465"/>
      <c r="XDA59" s="465"/>
      <c r="XDB59" s="465"/>
      <c r="XDC59" s="465"/>
      <c r="XDD59" s="465"/>
      <c r="XDE59" s="465"/>
      <c r="XDF59" s="465"/>
      <c r="XDG59" s="465"/>
      <c r="XDH59" s="465"/>
      <c r="XDI59" s="465"/>
      <c r="XDJ59" s="465"/>
      <c r="XDK59" s="465"/>
      <c r="XDL59" s="465"/>
      <c r="XDM59" s="465"/>
      <c r="XDN59" s="465"/>
      <c r="XDO59" s="465"/>
      <c r="XDP59" s="465"/>
      <c r="XDQ59" s="465"/>
      <c r="XDR59" s="465"/>
      <c r="XDS59" s="465"/>
      <c r="XDT59" s="465"/>
      <c r="XDU59" s="465"/>
      <c r="XDV59" s="465"/>
      <c r="XDW59" s="465"/>
      <c r="XDX59" s="465"/>
      <c r="XDY59" s="465"/>
      <c r="XDZ59" s="465"/>
      <c r="XEA59" s="465"/>
      <c r="XEB59" s="465"/>
      <c r="XEC59" s="465"/>
      <c r="XED59" s="465"/>
      <c r="XEE59" s="465"/>
      <c r="XEF59" s="465"/>
      <c r="XEG59" s="465"/>
      <c r="XEH59" s="465"/>
      <c r="XEI59" s="465"/>
      <c r="XEJ59" s="465"/>
      <c r="XEK59" s="465"/>
      <c r="XEL59" s="465"/>
      <c r="XEM59" s="465"/>
      <c r="XEN59" s="465"/>
      <c r="XEO59" s="465"/>
      <c r="XEP59" s="465"/>
      <c r="XEQ59" s="465"/>
      <c r="XER59" s="465"/>
      <c r="XES59" s="465"/>
      <c r="XET59" s="465"/>
      <c r="XEU59" s="465"/>
      <c r="XEV59" s="465"/>
      <c r="XEW59" s="465"/>
      <c r="XEX59" s="465"/>
      <c r="XEY59" s="465"/>
      <c r="XEZ59" s="465"/>
      <c r="XFA59" s="465"/>
      <c r="XFB59" s="465"/>
      <c r="XFC59" s="465"/>
      <c r="XFD59" s="465"/>
    </row>
    <row r="60" s="411" customFormat="1" ht="19" customHeight="1" spans="1:21 16313:16384">
      <c r="A60" s="436">
        <v>45295</v>
      </c>
      <c r="B60" s="460">
        <v>1000018107</v>
      </c>
      <c r="C60" s="422" t="s">
        <v>2550</v>
      </c>
      <c r="D60" s="424"/>
      <c r="E60" s="424"/>
      <c r="F60" s="424"/>
      <c r="G60" s="454"/>
      <c r="H60" s="454"/>
      <c r="I60" s="454"/>
      <c r="J60" s="435"/>
      <c r="K60" s="435"/>
      <c r="L60" s="435"/>
      <c r="M60" s="435"/>
      <c r="N60" s="435"/>
      <c r="O60" s="439"/>
      <c r="P60" s="439">
        <v>150000</v>
      </c>
      <c r="Q60" s="435"/>
      <c r="R60" s="439"/>
      <c r="S60" s="439"/>
      <c r="T60" s="439"/>
      <c r="U60" s="464"/>
      <c r="XCK60" s="465"/>
      <c r="XCL60" s="465"/>
      <c r="XCM60" s="465"/>
      <c r="XCN60" s="465"/>
      <c r="XCO60" s="465"/>
      <c r="XCP60" s="465"/>
      <c r="XCQ60" s="465"/>
      <c r="XCR60" s="465"/>
      <c r="XCS60" s="465"/>
      <c r="XCT60" s="465"/>
      <c r="XCU60" s="465"/>
      <c r="XCV60" s="465"/>
      <c r="XCW60" s="465"/>
      <c r="XCX60" s="465"/>
      <c r="XCY60" s="465"/>
      <c r="XCZ60" s="465"/>
      <c r="XDA60" s="465"/>
      <c r="XDB60" s="465"/>
      <c r="XDC60" s="465"/>
      <c r="XDD60" s="465"/>
      <c r="XDE60" s="465"/>
      <c r="XDF60" s="465"/>
      <c r="XDG60" s="465"/>
      <c r="XDH60" s="465"/>
      <c r="XDI60" s="465"/>
      <c r="XDJ60" s="465"/>
      <c r="XDK60" s="465"/>
      <c r="XDL60" s="465"/>
      <c r="XDM60" s="465"/>
      <c r="XDN60" s="465"/>
      <c r="XDO60" s="465"/>
      <c r="XDP60" s="465"/>
      <c r="XDQ60" s="465"/>
      <c r="XDR60" s="465"/>
      <c r="XDS60" s="465"/>
      <c r="XDT60" s="465"/>
      <c r="XDU60" s="465"/>
      <c r="XDV60" s="465"/>
      <c r="XDW60" s="465"/>
      <c r="XDX60" s="465"/>
      <c r="XDY60" s="465"/>
      <c r="XDZ60" s="465"/>
      <c r="XEA60" s="465"/>
      <c r="XEB60" s="465"/>
      <c r="XEC60" s="465"/>
      <c r="XED60" s="465"/>
      <c r="XEE60" s="465"/>
      <c r="XEF60" s="465"/>
      <c r="XEG60" s="465"/>
      <c r="XEH60" s="465"/>
      <c r="XEI60" s="465"/>
      <c r="XEJ60" s="465"/>
      <c r="XEK60" s="465"/>
      <c r="XEL60" s="465"/>
      <c r="XEM60" s="465"/>
      <c r="XEN60" s="465"/>
      <c r="XEO60" s="465"/>
      <c r="XEP60" s="465"/>
      <c r="XEQ60" s="465"/>
      <c r="XER60" s="465"/>
      <c r="XES60" s="465"/>
      <c r="XET60" s="465"/>
      <c r="XEU60" s="465"/>
      <c r="XEV60" s="465"/>
      <c r="XEW60" s="465"/>
      <c r="XEX60" s="465"/>
      <c r="XEY60" s="465"/>
      <c r="XEZ60" s="465"/>
      <c r="XFA60" s="465"/>
      <c r="XFB60" s="465"/>
      <c r="XFC60" s="465"/>
      <c r="XFD60" s="465"/>
    </row>
    <row r="61" s="411" customFormat="1" ht="19" customHeight="1" spans="1:21 16313:16384">
      <c r="A61" s="436">
        <v>45295</v>
      </c>
      <c r="B61" s="460">
        <v>1000018108</v>
      </c>
      <c r="C61" s="422" t="s">
        <v>2550</v>
      </c>
      <c r="D61" s="424"/>
      <c r="E61" s="424"/>
      <c r="F61" s="424"/>
      <c r="G61" s="454"/>
      <c r="H61" s="454"/>
      <c r="I61" s="454"/>
      <c r="J61" s="435"/>
      <c r="K61" s="435"/>
      <c r="L61" s="435"/>
      <c r="M61" s="435"/>
      <c r="N61" s="435"/>
      <c r="O61" s="439"/>
      <c r="P61" s="439"/>
      <c r="Q61" s="435">
        <v>100000</v>
      </c>
      <c r="R61" s="439"/>
      <c r="S61" s="439"/>
      <c r="T61" s="439"/>
      <c r="U61" s="464"/>
      <c r="XCK61" s="465"/>
      <c r="XCL61" s="465"/>
      <c r="XCM61" s="465"/>
      <c r="XCN61" s="465"/>
      <c r="XCO61" s="465"/>
      <c r="XCP61" s="465"/>
      <c r="XCQ61" s="465"/>
      <c r="XCR61" s="465"/>
      <c r="XCS61" s="465"/>
      <c r="XCT61" s="465"/>
      <c r="XCU61" s="465"/>
      <c r="XCV61" s="465"/>
      <c r="XCW61" s="465"/>
      <c r="XCX61" s="465"/>
      <c r="XCY61" s="465"/>
      <c r="XCZ61" s="465"/>
      <c r="XDA61" s="465"/>
      <c r="XDB61" s="465"/>
      <c r="XDC61" s="465"/>
      <c r="XDD61" s="465"/>
      <c r="XDE61" s="465"/>
      <c r="XDF61" s="465"/>
      <c r="XDG61" s="465"/>
      <c r="XDH61" s="465"/>
      <c r="XDI61" s="465"/>
      <c r="XDJ61" s="465"/>
      <c r="XDK61" s="465"/>
      <c r="XDL61" s="465"/>
      <c r="XDM61" s="465"/>
      <c r="XDN61" s="465"/>
      <c r="XDO61" s="465"/>
      <c r="XDP61" s="465"/>
      <c r="XDQ61" s="465"/>
      <c r="XDR61" s="465"/>
      <c r="XDS61" s="465"/>
      <c r="XDT61" s="465"/>
      <c r="XDU61" s="465"/>
      <c r="XDV61" s="465"/>
      <c r="XDW61" s="465"/>
      <c r="XDX61" s="465"/>
      <c r="XDY61" s="465"/>
      <c r="XDZ61" s="465"/>
      <c r="XEA61" s="465"/>
      <c r="XEB61" s="465"/>
      <c r="XEC61" s="465"/>
      <c r="XED61" s="465"/>
      <c r="XEE61" s="465"/>
      <c r="XEF61" s="465"/>
      <c r="XEG61" s="465"/>
      <c r="XEH61" s="465"/>
      <c r="XEI61" s="465"/>
      <c r="XEJ61" s="465"/>
      <c r="XEK61" s="465"/>
      <c r="XEL61" s="465"/>
      <c r="XEM61" s="465"/>
      <c r="XEN61" s="465"/>
      <c r="XEO61" s="465"/>
      <c r="XEP61" s="465"/>
      <c r="XEQ61" s="465"/>
      <c r="XER61" s="465"/>
      <c r="XES61" s="465"/>
      <c r="XET61" s="465"/>
      <c r="XEU61" s="465"/>
      <c r="XEV61" s="465"/>
      <c r="XEW61" s="465"/>
      <c r="XEX61" s="465"/>
      <c r="XEY61" s="465"/>
      <c r="XEZ61" s="465"/>
      <c r="XFA61" s="465"/>
      <c r="XFB61" s="465"/>
      <c r="XFC61" s="465"/>
      <c r="XFD61" s="465"/>
    </row>
    <row r="62" s="411" customFormat="1" ht="19" customHeight="1" spans="1:21 16313:16384">
      <c r="A62" s="436">
        <v>45390</v>
      </c>
      <c r="B62" s="460">
        <v>1000019402</v>
      </c>
      <c r="C62" s="422" t="s">
        <v>2550</v>
      </c>
      <c r="D62" s="424"/>
      <c r="E62" s="424"/>
      <c r="F62" s="424">
        <v>130000</v>
      </c>
      <c r="G62" s="454"/>
      <c r="H62" s="454"/>
      <c r="I62" s="454"/>
      <c r="J62" s="435"/>
      <c r="K62" s="435"/>
      <c r="L62" s="435"/>
      <c r="M62" s="435"/>
      <c r="N62" s="435"/>
      <c r="O62" s="439"/>
      <c r="P62" s="439"/>
      <c r="Q62" s="435"/>
      <c r="R62" s="439"/>
      <c r="S62" s="439"/>
      <c r="T62" s="439"/>
      <c r="U62" s="464"/>
      <c r="XCK62" s="465"/>
      <c r="XCL62" s="465"/>
      <c r="XCM62" s="465"/>
      <c r="XCN62" s="465"/>
      <c r="XCO62" s="465"/>
      <c r="XCP62" s="465"/>
      <c r="XCQ62" s="465"/>
      <c r="XCR62" s="465"/>
      <c r="XCS62" s="465"/>
      <c r="XCT62" s="465"/>
      <c r="XCU62" s="465"/>
      <c r="XCV62" s="465"/>
      <c r="XCW62" s="465"/>
      <c r="XCX62" s="465"/>
      <c r="XCY62" s="465"/>
      <c r="XCZ62" s="465"/>
      <c r="XDA62" s="465"/>
      <c r="XDB62" s="465"/>
      <c r="XDC62" s="465"/>
      <c r="XDD62" s="465"/>
      <c r="XDE62" s="465"/>
      <c r="XDF62" s="465"/>
      <c r="XDG62" s="465"/>
      <c r="XDH62" s="465"/>
      <c r="XDI62" s="465"/>
      <c r="XDJ62" s="465"/>
      <c r="XDK62" s="465"/>
      <c r="XDL62" s="465"/>
      <c r="XDM62" s="465"/>
      <c r="XDN62" s="465"/>
      <c r="XDO62" s="465"/>
      <c r="XDP62" s="465"/>
      <c r="XDQ62" s="465"/>
      <c r="XDR62" s="465"/>
      <c r="XDS62" s="465"/>
      <c r="XDT62" s="465"/>
      <c r="XDU62" s="465"/>
      <c r="XDV62" s="465"/>
      <c r="XDW62" s="465"/>
      <c r="XDX62" s="465"/>
      <c r="XDY62" s="465"/>
      <c r="XDZ62" s="465"/>
      <c r="XEA62" s="465"/>
      <c r="XEB62" s="465"/>
      <c r="XEC62" s="465"/>
      <c r="XED62" s="465"/>
      <c r="XEE62" s="465"/>
      <c r="XEF62" s="465"/>
      <c r="XEG62" s="465"/>
      <c r="XEH62" s="465"/>
      <c r="XEI62" s="465"/>
      <c r="XEJ62" s="465"/>
      <c r="XEK62" s="465"/>
      <c r="XEL62" s="465"/>
      <c r="XEM62" s="465"/>
      <c r="XEN62" s="465"/>
      <c r="XEO62" s="465"/>
      <c r="XEP62" s="465"/>
      <c r="XEQ62" s="465"/>
      <c r="XER62" s="465"/>
      <c r="XES62" s="465"/>
      <c r="XET62" s="465"/>
      <c r="XEU62" s="465"/>
      <c r="XEV62" s="465"/>
      <c r="XEW62" s="465"/>
      <c r="XEX62" s="465"/>
      <c r="XEY62" s="465"/>
      <c r="XEZ62" s="465"/>
      <c r="XFA62" s="465"/>
      <c r="XFB62" s="465"/>
      <c r="XFC62" s="465"/>
      <c r="XFD62" s="465"/>
    </row>
    <row r="63" s="409" customFormat="1" ht="19" customHeight="1" spans="1:21 16313:16384">
      <c r="A63" s="436">
        <v>45390</v>
      </c>
      <c r="B63" s="460">
        <v>1000019403</v>
      </c>
      <c r="C63" s="422" t="s">
        <v>2550</v>
      </c>
      <c r="D63" s="424"/>
      <c r="E63" s="424"/>
      <c r="F63" s="424"/>
      <c r="G63" s="454"/>
      <c r="H63" s="454"/>
      <c r="I63" s="454">
        <v>30000</v>
      </c>
      <c r="J63" s="435"/>
      <c r="K63" s="435"/>
      <c r="L63" s="435"/>
      <c r="M63" s="435"/>
      <c r="N63" s="435"/>
      <c r="O63" s="439"/>
      <c r="P63" s="439"/>
      <c r="Q63" s="435"/>
      <c r="R63" s="439"/>
      <c r="S63" s="439"/>
      <c r="T63" s="439"/>
      <c r="U63" s="458"/>
      <c r="XCK63" s="431"/>
      <c r="XCL63" s="431"/>
      <c r="XCM63" s="431"/>
      <c r="XCN63" s="431"/>
      <c r="XCO63" s="431"/>
      <c r="XCP63" s="431"/>
      <c r="XCQ63" s="431"/>
      <c r="XCR63" s="431"/>
      <c r="XCS63" s="431"/>
      <c r="XCT63" s="431"/>
      <c r="XCU63" s="431"/>
      <c r="XCV63" s="431"/>
      <c r="XCW63" s="431"/>
      <c r="XCX63" s="431"/>
      <c r="XCY63" s="431"/>
      <c r="XCZ63" s="431"/>
      <c r="XDA63" s="431"/>
      <c r="XDB63" s="431"/>
      <c r="XDC63" s="431"/>
      <c r="XDD63" s="431"/>
      <c r="XDE63" s="431"/>
      <c r="XDF63" s="431"/>
      <c r="XDG63" s="431"/>
      <c r="XDH63" s="431"/>
      <c r="XDI63" s="431"/>
      <c r="XDJ63" s="431"/>
      <c r="XDK63" s="431"/>
      <c r="XDL63" s="431"/>
      <c r="XDM63" s="431"/>
      <c r="XDN63" s="431"/>
      <c r="XDO63" s="431"/>
      <c r="XDP63" s="431"/>
      <c r="XDQ63" s="431"/>
      <c r="XDR63" s="431"/>
      <c r="XDS63" s="431"/>
      <c r="XDT63" s="431"/>
      <c r="XDU63" s="431"/>
      <c r="XDV63" s="431"/>
      <c r="XDW63" s="431"/>
      <c r="XDX63" s="431"/>
      <c r="XDY63" s="431"/>
      <c r="XDZ63" s="431"/>
      <c r="XEA63" s="431"/>
      <c r="XEB63" s="431"/>
      <c r="XEC63" s="431"/>
      <c r="XED63" s="431"/>
      <c r="XEE63" s="431"/>
      <c r="XEF63" s="431"/>
      <c r="XEG63" s="431"/>
      <c r="XEH63" s="431"/>
      <c r="XEI63" s="431"/>
      <c r="XEJ63" s="431"/>
      <c r="XEK63" s="431"/>
      <c r="XEL63" s="431"/>
      <c r="XEM63" s="431"/>
      <c r="XEN63" s="431"/>
      <c r="XEO63" s="431"/>
      <c r="XEP63" s="431"/>
      <c r="XEQ63" s="431"/>
      <c r="XER63" s="431"/>
      <c r="XES63" s="431"/>
      <c r="XET63" s="431"/>
      <c r="XEU63" s="431"/>
      <c r="XEV63" s="431"/>
      <c r="XEW63" s="431"/>
      <c r="XEX63" s="431"/>
      <c r="XEY63" s="431"/>
      <c r="XEZ63" s="431"/>
      <c r="XFA63" s="431"/>
      <c r="XFB63" s="431"/>
      <c r="XFC63" s="431"/>
      <c r="XFD63" s="431"/>
    </row>
    <row r="64" s="409" customFormat="1" ht="19" customHeight="1" spans="1:21 16313:16384">
      <c r="A64" s="436">
        <v>45390</v>
      </c>
      <c r="B64" s="460">
        <v>1000019404</v>
      </c>
      <c r="C64" s="422" t="s">
        <v>2550</v>
      </c>
      <c r="D64" s="424"/>
      <c r="E64" s="424"/>
      <c r="F64" s="424"/>
      <c r="G64" s="454"/>
      <c r="H64" s="454"/>
      <c r="I64" s="454"/>
      <c r="J64" s="435"/>
      <c r="K64" s="435"/>
      <c r="L64" s="435">
        <v>150000</v>
      </c>
      <c r="M64" s="435"/>
      <c r="N64" s="435"/>
      <c r="O64" s="439"/>
      <c r="P64" s="439"/>
      <c r="Q64" s="454"/>
      <c r="R64" s="439"/>
      <c r="S64" s="439"/>
      <c r="T64" s="439"/>
      <c r="U64" s="458"/>
      <c r="XCK64" s="431"/>
      <c r="XCL64" s="431"/>
      <c r="XCM64" s="431"/>
      <c r="XCN64" s="431"/>
      <c r="XCO64" s="431"/>
      <c r="XCP64" s="431"/>
      <c r="XCQ64" s="431"/>
      <c r="XCR64" s="431"/>
      <c r="XCS64" s="431"/>
      <c r="XCT64" s="431"/>
      <c r="XCU64" s="431"/>
      <c r="XCV64" s="431"/>
      <c r="XCW64" s="431"/>
      <c r="XCX64" s="431"/>
      <c r="XCY64" s="431"/>
      <c r="XCZ64" s="431"/>
      <c r="XDA64" s="431"/>
      <c r="XDB64" s="431"/>
      <c r="XDC64" s="431"/>
      <c r="XDD64" s="431"/>
      <c r="XDE64" s="431"/>
      <c r="XDF64" s="431"/>
      <c r="XDG64" s="431"/>
      <c r="XDH64" s="431"/>
      <c r="XDI64" s="431"/>
      <c r="XDJ64" s="431"/>
      <c r="XDK64" s="431"/>
      <c r="XDL64" s="431"/>
      <c r="XDM64" s="431"/>
      <c r="XDN64" s="431"/>
      <c r="XDO64" s="431"/>
      <c r="XDP64" s="431"/>
      <c r="XDQ64" s="431"/>
      <c r="XDR64" s="431"/>
      <c r="XDS64" s="431"/>
      <c r="XDT64" s="431"/>
      <c r="XDU64" s="431"/>
      <c r="XDV64" s="431"/>
      <c r="XDW64" s="431"/>
      <c r="XDX64" s="431"/>
      <c r="XDY64" s="431"/>
      <c r="XDZ64" s="431"/>
      <c r="XEA64" s="431"/>
      <c r="XEB64" s="431"/>
      <c r="XEC64" s="431"/>
      <c r="XED64" s="431"/>
      <c r="XEE64" s="431"/>
      <c r="XEF64" s="431"/>
      <c r="XEG64" s="431"/>
      <c r="XEH64" s="431"/>
      <c r="XEI64" s="431"/>
      <c r="XEJ64" s="431"/>
      <c r="XEK64" s="431"/>
      <c r="XEL64" s="431"/>
      <c r="XEM64" s="431"/>
      <c r="XEN64" s="431"/>
      <c r="XEO64" s="431"/>
      <c r="XEP64" s="431"/>
      <c r="XEQ64" s="431"/>
      <c r="XER64" s="431"/>
      <c r="XES64" s="431"/>
      <c r="XET64" s="431"/>
      <c r="XEU64" s="431"/>
      <c r="XEV64" s="431"/>
      <c r="XEW64" s="431"/>
      <c r="XEX64" s="431"/>
      <c r="XEY64" s="431"/>
      <c r="XEZ64" s="431"/>
      <c r="XFA64" s="431"/>
      <c r="XFB64" s="431"/>
      <c r="XFC64" s="431"/>
      <c r="XFD64" s="431"/>
    </row>
    <row r="65" s="409" customFormat="1" ht="19" customHeight="1" spans="1:21 16313:16384">
      <c r="A65" s="436">
        <v>45390</v>
      </c>
      <c r="B65" s="460">
        <v>1000019405</v>
      </c>
      <c r="C65" s="422" t="s">
        <v>2550</v>
      </c>
      <c r="D65" s="424"/>
      <c r="E65" s="424"/>
      <c r="F65" s="424"/>
      <c r="G65" s="454"/>
      <c r="H65" s="454"/>
      <c r="I65" s="454"/>
      <c r="J65" s="435"/>
      <c r="K65" s="435"/>
      <c r="L65" s="435"/>
      <c r="M65" s="435"/>
      <c r="N65" s="435"/>
      <c r="O65" s="439"/>
      <c r="P65" s="439"/>
      <c r="Q65" s="454">
        <v>180000</v>
      </c>
      <c r="R65" s="439"/>
      <c r="S65" s="439"/>
      <c r="T65" s="439"/>
      <c r="U65" s="458"/>
      <c r="XCK65" s="431"/>
      <c r="XCL65" s="431"/>
      <c r="XCM65" s="431"/>
      <c r="XCN65" s="431"/>
      <c r="XCO65" s="431"/>
      <c r="XCP65" s="431"/>
      <c r="XCQ65" s="431"/>
      <c r="XCR65" s="431"/>
      <c r="XCS65" s="431"/>
      <c r="XCT65" s="431"/>
      <c r="XCU65" s="431"/>
      <c r="XCV65" s="431"/>
      <c r="XCW65" s="431"/>
      <c r="XCX65" s="431"/>
      <c r="XCY65" s="431"/>
      <c r="XCZ65" s="431"/>
      <c r="XDA65" s="431"/>
      <c r="XDB65" s="431"/>
      <c r="XDC65" s="431"/>
      <c r="XDD65" s="431"/>
      <c r="XDE65" s="431"/>
      <c r="XDF65" s="431"/>
      <c r="XDG65" s="431"/>
      <c r="XDH65" s="431"/>
      <c r="XDI65" s="431"/>
      <c r="XDJ65" s="431"/>
      <c r="XDK65" s="431"/>
      <c r="XDL65" s="431"/>
      <c r="XDM65" s="431"/>
      <c r="XDN65" s="431"/>
      <c r="XDO65" s="431"/>
      <c r="XDP65" s="431"/>
      <c r="XDQ65" s="431"/>
      <c r="XDR65" s="431"/>
      <c r="XDS65" s="431"/>
      <c r="XDT65" s="431"/>
      <c r="XDU65" s="431"/>
      <c r="XDV65" s="431"/>
      <c r="XDW65" s="431"/>
      <c r="XDX65" s="431"/>
      <c r="XDY65" s="431"/>
      <c r="XDZ65" s="431"/>
      <c r="XEA65" s="431"/>
      <c r="XEB65" s="431"/>
      <c r="XEC65" s="431"/>
      <c r="XED65" s="431"/>
      <c r="XEE65" s="431"/>
      <c r="XEF65" s="431"/>
      <c r="XEG65" s="431"/>
      <c r="XEH65" s="431"/>
      <c r="XEI65" s="431"/>
      <c r="XEJ65" s="431"/>
      <c r="XEK65" s="431"/>
      <c r="XEL65" s="431"/>
      <c r="XEM65" s="431"/>
      <c r="XEN65" s="431"/>
      <c r="XEO65" s="431"/>
      <c r="XEP65" s="431"/>
      <c r="XEQ65" s="431"/>
      <c r="XER65" s="431"/>
      <c r="XES65" s="431"/>
      <c r="XET65" s="431"/>
      <c r="XEU65" s="431"/>
      <c r="XEV65" s="431"/>
      <c r="XEW65" s="431"/>
      <c r="XEX65" s="431"/>
      <c r="XEY65" s="431"/>
      <c r="XEZ65" s="431"/>
      <c r="XFA65" s="431"/>
      <c r="XFB65" s="431"/>
      <c r="XFC65" s="431"/>
      <c r="XFD65" s="431"/>
    </row>
    <row r="66" s="409" customFormat="1" ht="19" customHeight="1" spans="1:21 16313:16384">
      <c r="A66" s="436">
        <v>45404</v>
      </c>
      <c r="B66" s="460"/>
      <c r="C66" s="422"/>
      <c r="D66" s="424"/>
      <c r="E66" s="426">
        <v>30395</v>
      </c>
      <c r="F66" s="424"/>
      <c r="G66" s="454"/>
      <c r="H66" s="454"/>
      <c r="I66" s="454"/>
      <c r="J66" s="435"/>
      <c r="K66" s="435"/>
      <c r="L66" s="435"/>
      <c r="M66" s="435"/>
      <c r="N66" s="435"/>
      <c r="O66" s="439"/>
      <c r="P66" s="439"/>
      <c r="Q66" s="454"/>
      <c r="R66" s="439"/>
      <c r="S66" s="439"/>
      <c r="T66" s="439"/>
      <c r="U66" s="458"/>
      <c r="XCK66" s="431"/>
      <c r="XCL66" s="431"/>
      <c r="XCM66" s="431"/>
      <c r="XCN66" s="431"/>
      <c r="XCO66" s="431"/>
      <c r="XCP66" s="431"/>
      <c r="XCQ66" s="431"/>
      <c r="XCR66" s="431"/>
      <c r="XCS66" s="431"/>
      <c r="XCT66" s="431"/>
      <c r="XCU66" s="431"/>
      <c r="XCV66" s="431"/>
      <c r="XCW66" s="431"/>
      <c r="XCX66" s="431"/>
      <c r="XCY66" s="431"/>
      <c r="XCZ66" s="431"/>
      <c r="XDA66" s="431"/>
      <c r="XDB66" s="431"/>
      <c r="XDC66" s="431"/>
      <c r="XDD66" s="431"/>
      <c r="XDE66" s="431"/>
      <c r="XDF66" s="431"/>
      <c r="XDG66" s="431"/>
      <c r="XDH66" s="431"/>
      <c r="XDI66" s="431"/>
      <c r="XDJ66" s="431"/>
      <c r="XDK66" s="431"/>
      <c r="XDL66" s="431"/>
      <c r="XDM66" s="431"/>
      <c r="XDN66" s="431"/>
      <c r="XDO66" s="431"/>
      <c r="XDP66" s="431"/>
      <c r="XDQ66" s="431"/>
      <c r="XDR66" s="431"/>
      <c r="XDS66" s="431"/>
      <c r="XDT66" s="431"/>
      <c r="XDU66" s="431"/>
      <c r="XDV66" s="431"/>
      <c r="XDW66" s="431"/>
      <c r="XDX66" s="431"/>
      <c r="XDY66" s="431"/>
      <c r="XDZ66" s="431"/>
      <c r="XEA66" s="431"/>
      <c r="XEB66" s="431"/>
      <c r="XEC66" s="431"/>
      <c r="XED66" s="431"/>
      <c r="XEE66" s="431"/>
      <c r="XEF66" s="431"/>
      <c r="XEG66" s="431"/>
      <c r="XEH66" s="431"/>
      <c r="XEI66" s="431"/>
      <c r="XEJ66" s="431"/>
      <c r="XEK66" s="431"/>
      <c r="XEL66" s="431"/>
      <c r="XEM66" s="431"/>
      <c r="XEN66" s="431"/>
      <c r="XEO66" s="431"/>
      <c r="XEP66" s="431"/>
      <c r="XEQ66" s="431"/>
      <c r="XER66" s="431"/>
      <c r="XES66" s="431"/>
      <c r="XET66" s="431"/>
      <c r="XEU66" s="431"/>
      <c r="XEV66" s="431"/>
      <c r="XEW66" s="431"/>
      <c r="XEX66" s="431"/>
      <c r="XEY66" s="431"/>
      <c r="XEZ66" s="431"/>
      <c r="XFA66" s="431"/>
      <c r="XFB66" s="431"/>
      <c r="XFC66" s="431"/>
      <c r="XFD66" s="431"/>
    </row>
    <row r="67" s="409" customFormat="1" ht="19" customHeight="1" spans="1:21 16313:16384">
      <c r="A67" s="436">
        <v>45420</v>
      </c>
      <c r="B67" s="459">
        <v>1000020122</v>
      </c>
      <c r="C67" s="422" t="s">
        <v>2550</v>
      </c>
      <c r="D67" s="424"/>
      <c r="E67" s="426"/>
      <c r="F67" s="424">
        <v>120000</v>
      </c>
      <c r="G67" s="454"/>
      <c r="H67" s="454"/>
      <c r="I67" s="454"/>
      <c r="J67" s="435"/>
      <c r="K67" s="435"/>
      <c r="L67" s="435"/>
      <c r="M67" s="435"/>
      <c r="N67" s="435"/>
      <c r="O67" s="439"/>
      <c r="P67" s="439"/>
      <c r="Q67" s="454"/>
      <c r="R67" s="439"/>
      <c r="S67" s="439"/>
      <c r="T67" s="439"/>
      <c r="U67" s="458"/>
      <c r="XCK67" s="431"/>
      <c r="XCL67" s="431"/>
      <c r="XCM67" s="431"/>
      <c r="XCN67" s="431"/>
      <c r="XCO67" s="431"/>
      <c r="XCP67" s="431"/>
      <c r="XCQ67" s="431"/>
      <c r="XCR67" s="431"/>
      <c r="XCS67" s="431"/>
      <c r="XCT67" s="431"/>
      <c r="XCU67" s="431"/>
      <c r="XCV67" s="431"/>
      <c r="XCW67" s="431"/>
      <c r="XCX67" s="431"/>
      <c r="XCY67" s="431"/>
      <c r="XCZ67" s="431"/>
      <c r="XDA67" s="431"/>
      <c r="XDB67" s="431"/>
      <c r="XDC67" s="431"/>
      <c r="XDD67" s="431"/>
      <c r="XDE67" s="431"/>
      <c r="XDF67" s="431"/>
      <c r="XDG67" s="431"/>
      <c r="XDH67" s="431"/>
      <c r="XDI67" s="431"/>
      <c r="XDJ67" s="431"/>
      <c r="XDK67" s="431"/>
      <c r="XDL67" s="431"/>
      <c r="XDM67" s="431"/>
      <c r="XDN67" s="431"/>
      <c r="XDO67" s="431"/>
      <c r="XDP67" s="431"/>
      <c r="XDQ67" s="431"/>
      <c r="XDR67" s="431"/>
      <c r="XDS67" s="431"/>
      <c r="XDT67" s="431"/>
      <c r="XDU67" s="431"/>
      <c r="XDV67" s="431"/>
      <c r="XDW67" s="431"/>
      <c r="XDX67" s="431"/>
      <c r="XDY67" s="431"/>
      <c r="XDZ67" s="431"/>
      <c r="XEA67" s="431"/>
      <c r="XEB67" s="431"/>
      <c r="XEC67" s="431"/>
      <c r="XED67" s="431"/>
      <c r="XEE67" s="431"/>
      <c r="XEF67" s="431"/>
      <c r="XEG67" s="431"/>
      <c r="XEH67" s="431"/>
      <c r="XEI67" s="431"/>
      <c r="XEJ67" s="431"/>
      <c r="XEK67" s="431"/>
      <c r="XEL67" s="431"/>
      <c r="XEM67" s="431"/>
      <c r="XEN67" s="431"/>
      <c r="XEO67" s="431"/>
      <c r="XEP67" s="431"/>
      <c r="XEQ67" s="431"/>
      <c r="XER67" s="431"/>
      <c r="XES67" s="431"/>
      <c r="XET67" s="431"/>
      <c r="XEU67" s="431"/>
      <c r="XEV67" s="431"/>
      <c r="XEW67" s="431"/>
      <c r="XEX67" s="431"/>
      <c r="XEY67" s="431"/>
      <c r="XEZ67" s="431"/>
      <c r="XFA67" s="431"/>
      <c r="XFB67" s="431"/>
      <c r="XFC67" s="431"/>
      <c r="XFD67" s="431"/>
    </row>
    <row r="68" s="409" customFormat="1" ht="19" customHeight="1" spans="1:21 16313:16384">
      <c r="A68" s="436">
        <v>45420</v>
      </c>
      <c r="B68" s="459">
        <v>1000020123</v>
      </c>
      <c r="C68" s="422" t="s">
        <v>2550</v>
      </c>
      <c r="D68" s="424"/>
      <c r="E68" s="426"/>
      <c r="F68" s="424"/>
      <c r="G68" s="454"/>
      <c r="H68" s="454"/>
      <c r="I68" s="454">
        <v>30000</v>
      </c>
      <c r="J68" s="435"/>
      <c r="K68" s="435"/>
      <c r="L68" s="435"/>
      <c r="M68" s="435"/>
      <c r="N68" s="435"/>
      <c r="O68" s="439"/>
      <c r="P68" s="439"/>
      <c r="Q68" s="454"/>
      <c r="R68" s="439"/>
      <c r="S68" s="439"/>
      <c r="T68" s="439"/>
      <c r="U68" s="458"/>
      <c r="XCK68" s="431"/>
      <c r="XCL68" s="431"/>
      <c r="XCM68" s="431"/>
      <c r="XCN68" s="431"/>
      <c r="XCO68" s="431"/>
      <c r="XCP68" s="431"/>
      <c r="XCQ68" s="431"/>
      <c r="XCR68" s="431"/>
      <c r="XCS68" s="431"/>
      <c r="XCT68" s="431"/>
      <c r="XCU68" s="431"/>
      <c r="XCV68" s="431"/>
      <c r="XCW68" s="431"/>
      <c r="XCX68" s="431"/>
      <c r="XCY68" s="431"/>
      <c r="XCZ68" s="431"/>
      <c r="XDA68" s="431"/>
      <c r="XDB68" s="431"/>
      <c r="XDC68" s="431"/>
      <c r="XDD68" s="431"/>
      <c r="XDE68" s="431"/>
      <c r="XDF68" s="431"/>
      <c r="XDG68" s="431"/>
      <c r="XDH68" s="431"/>
      <c r="XDI68" s="431"/>
      <c r="XDJ68" s="431"/>
      <c r="XDK68" s="431"/>
      <c r="XDL68" s="431"/>
      <c r="XDM68" s="431"/>
      <c r="XDN68" s="431"/>
      <c r="XDO68" s="431"/>
      <c r="XDP68" s="431"/>
      <c r="XDQ68" s="431"/>
      <c r="XDR68" s="431"/>
      <c r="XDS68" s="431"/>
      <c r="XDT68" s="431"/>
      <c r="XDU68" s="431"/>
      <c r="XDV68" s="431"/>
      <c r="XDW68" s="431"/>
      <c r="XDX68" s="431"/>
      <c r="XDY68" s="431"/>
      <c r="XDZ68" s="431"/>
      <c r="XEA68" s="431"/>
      <c r="XEB68" s="431"/>
      <c r="XEC68" s="431"/>
      <c r="XED68" s="431"/>
      <c r="XEE68" s="431"/>
      <c r="XEF68" s="431"/>
      <c r="XEG68" s="431"/>
      <c r="XEH68" s="431"/>
      <c r="XEI68" s="431"/>
      <c r="XEJ68" s="431"/>
      <c r="XEK68" s="431"/>
      <c r="XEL68" s="431"/>
      <c r="XEM68" s="431"/>
      <c r="XEN68" s="431"/>
      <c r="XEO68" s="431"/>
      <c r="XEP68" s="431"/>
      <c r="XEQ68" s="431"/>
      <c r="XER68" s="431"/>
      <c r="XES68" s="431"/>
      <c r="XET68" s="431"/>
      <c r="XEU68" s="431"/>
      <c r="XEV68" s="431"/>
      <c r="XEW68" s="431"/>
      <c r="XEX68" s="431"/>
      <c r="XEY68" s="431"/>
      <c r="XEZ68" s="431"/>
      <c r="XFA68" s="431"/>
      <c r="XFB68" s="431"/>
      <c r="XFC68" s="431"/>
      <c r="XFD68" s="431"/>
    </row>
    <row r="69" s="409" customFormat="1" ht="19" customHeight="1" spans="1:21 16313:16384">
      <c r="A69" s="436">
        <v>45420</v>
      </c>
      <c r="B69" s="459">
        <v>1000020124</v>
      </c>
      <c r="C69" s="422" t="s">
        <v>2550</v>
      </c>
      <c r="D69" s="424"/>
      <c r="E69" s="426"/>
      <c r="F69" s="424"/>
      <c r="G69" s="454"/>
      <c r="H69" s="454"/>
      <c r="I69" s="454"/>
      <c r="J69" s="435"/>
      <c r="K69" s="435"/>
      <c r="L69" s="435">
        <v>150000</v>
      </c>
      <c r="M69" s="435"/>
      <c r="N69" s="435"/>
      <c r="O69" s="439"/>
      <c r="P69" s="439"/>
      <c r="Q69" s="454"/>
      <c r="R69" s="439"/>
      <c r="S69" s="439"/>
      <c r="T69" s="439"/>
      <c r="U69" s="458"/>
      <c r="XCK69" s="431"/>
      <c r="XCL69" s="431"/>
      <c r="XCM69" s="431"/>
      <c r="XCN69" s="431"/>
      <c r="XCO69" s="431"/>
      <c r="XCP69" s="431"/>
      <c r="XCQ69" s="431"/>
      <c r="XCR69" s="431"/>
      <c r="XCS69" s="431"/>
      <c r="XCT69" s="431"/>
      <c r="XCU69" s="431"/>
      <c r="XCV69" s="431"/>
      <c r="XCW69" s="431"/>
      <c r="XCX69" s="431"/>
      <c r="XCY69" s="431"/>
      <c r="XCZ69" s="431"/>
      <c r="XDA69" s="431"/>
      <c r="XDB69" s="431"/>
      <c r="XDC69" s="431"/>
      <c r="XDD69" s="431"/>
      <c r="XDE69" s="431"/>
      <c r="XDF69" s="431"/>
      <c r="XDG69" s="431"/>
      <c r="XDH69" s="431"/>
      <c r="XDI69" s="431"/>
      <c r="XDJ69" s="431"/>
      <c r="XDK69" s="431"/>
      <c r="XDL69" s="431"/>
      <c r="XDM69" s="431"/>
      <c r="XDN69" s="431"/>
      <c r="XDO69" s="431"/>
      <c r="XDP69" s="431"/>
      <c r="XDQ69" s="431"/>
      <c r="XDR69" s="431"/>
      <c r="XDS69" s="431"/>
      <c r="XDT69" s="431"/>
      <c r="XDU69" s="431"/>
      <c r="XDV69" s="431"/>
      <c r="XDW69" s="431"/>
      <c r="XDX69" s="431"/>
      <c r="XDY69" s="431"/>
      <c r="XDZ69" s="431"/>
      <c r="XEA69" s="431"/>
      <c r="XEB69" s="431"/>
      <c r="XEC69" s="431"/>
      <c r="XED69" s="431"/>
      <c r="XEE69" s="431"/>
      <c r="XEF69" s="431"/>
      <c r="XEG69" s="431"/>
      <c r="XEH69" s="431"/>
      <c r="XEI69" s="431"/>
      <c r="XEJ69" s="431"/>
      <c r="XEK69" s="431"/>
      <c r="XEL69" s="431"/>
      <c r="XEM69" s="431"/>
      <c r="XEN69" s="431"/>
      <c r="XEO69" s="431"/>
      <c r="XEP69" s="431"/>
      <c r="XEQ69" s="431"/>
      <c r="XER69" s="431"/>
      <c r="XES69" s="431"/>
      <c r="XET69" s="431"/>
      <c r="XEU69" s="431"/>
      <c r="XEV69" s="431"/>
      <c r="XEW69" s="431"/>
      <c r="XEX69" s="431"/>
      <c r="XEY69" s="431"/>
      <c r="XEZ69" s="431"/>
      <c r="XFA69" s="431"/>
      <c r="XFB69" s="431"/>
      <c r="XFC69" s="431"/>
      <c r="XFD69" s="431"/>
    </row>
    <row r="70" s="409" customFormat="1" ht="19" customHeight="1" spans="1:21 16313:16384">
      <c r="A70" s="436">
        <v>45420</v>
      </c>
      <c r="B70" s="459">
        <v>1000020125</v>
      </c>
      <c r="C70" s="422" t="s">
        <v>2550</v>
      </c>
      <c r="D70" s="424"/>
      <c r="E70" s="426"/>
      <c r="F70" s="424"/>
      <c r="G70" s="454"/>
      <c r="H70" s="454"/>
      <c r="I70" s="454"/>
      <c r="J70" s="435"/>
      <c r="K70" s="435"/>
      <c r="L70" s="435"/>
      <c r="M70" s="435"/>
      <c r="N70" s="435"/>
      <c r="O70" s="439"/>
      <c r="P70" s="439">
        <v>200000</v>
      </c>
      <c r="Q70" s="454">
        <v>200000</v>
      </c>
      <c r="R70" s="439"/>
      <c r="S70" s="439"/>
      <c r="T70" s="439"/>
      <c r="U70" s="458"/>
      <c r="XCK70" s="431"/>
      <c r="XCL70" s="431"/>
      <c r="XCM70" s="431"/>
      <c r="XCN70" s="431"/>
      <c r="XCO70" s="431"/>
      <c r="XCP70" s="431"/>
      <c r="XCQ70" s="431"/>
      <c r="XCR70" s="431"/>
      <c r="XCS70" s="431"/>
      <c r="XCT70" s="431"/>
      <c r="XCU70" s="431"/>
      <c r="XCV70" s="431"/>
      <c r="XCW70" s="431"/>
      <c r="XCX70" s="431"/>
      <c r="XCY70" s="431"/>
      <c r="XCZ70" s="431"/>
      <c r="XDA70" s="431"/>
      <c r="XDB70" s="431"/>
      <c r="XDC70" s="431"/>
      <c r="XDD70" s="431"/>
      <c r="XDE70" s="431"/>
      <c r="XDF70" s="431"/>
      <c r="XDG70" s="431"/>
      <c r="XDH70" s="431"/>
      <c r="XDI70" s="431"/>
      <c r="XDJ70" s="431"/>
      <c r="XDK70" s="431"/>
      <c r="XDL70" s="431"/>
      <c r="XDM70" s="431"/>
      <c r="XDN70" s="431"/>
      <c r="XDO70" s="431"/>
      <c r="XDP70" s="431"/>
      <c r="XDQ70" s="431"/>
      <c r="XDR70" s="431"/>
      <c r="XDS70" s="431"/>
      <c r="XDT70" s="431"/>
      <c r="XDU70" s="431"/>
      <c r="XDV70" s="431"/>
      <c r="XDW70" s="431"/>
      <c r="XDX70" s="431"/>
      <c r="XDY70" s="431"/>
      <c r="XDZ70" s="431"/>
      <c r="XEA70" s="431"/>
      <c r="XEB70" s="431"/>
      <c r="XEC70" s="431"/>
      <c r="XED70" s="431"/>
      <c r="XEE70" s="431"/>
      <c r="XEF70" s="431"/>
      <c r="XEG70" s="431"/>
      <c r="XEH70" s="431"/>
      <c r="XEI70" s="431"/>
      <c r="XEJ70" s="431"/>
      <c r="XEK70" s="431"/>
      <c r="XEL70" s="431"/>
      <c r="XEM70" s="431"/>
      <c r="XEN70" s="431"/>
      <c r="XEO70" s="431"/>
      <c r="XEP70" s="431"/>
      <c r="XEQ70" s="431"/>
      <c r="XER70" s="431"/>
      <c r="XES70" s="431"/>
      <c r="XET70" s="431"/>
      <c r="XEU70" s="431"/>
      <c r="XEV70" s="431"/>
      <c r="XEW70" s="431"/>
      <c r="XEX70" s="431"/>
      <c r="XEY70" s="431"/>
      <c r="XEZ70" s="431"/>
      <c r="XFA70" s="431"/>
      <c r="XFB70" s="431"/>
      <c r="XFC70" s="431"/>
      <c r="XFD70" s="431"/>
    </row>
    <row r="71" s="409" customFormat="1" ht="19" customHeight="1" spans="1:21 16313:16384">
      <c r="A71" s="436">
        <v>45470</v>
      </c>
      <c r="B71" s="459">
        <v>1000021353</v>
      </c>
      <c r="C71" s="422" t="s">
        <v>2550</v>
      </c>
      <c r="D71" s="424"/>
      <c r="E71" s="426"/>
      <c r="F71" s="424">
        <v>100000</v>
      </c>
      <c r="G71" s="454"/>
      <c r="H71" s="454"/>
      <c r="I71" s="454"/>
      <c r="J71" s="435"/>
      <c r="K71" s="435"/>
      <c r="L71" s="435"/>
      <c r="M71" s="435"/>
      <c r="N71" s="435"/>
      <c r="O71" s="439"/>
      <c r="P71" s="439"/>
      <c r="Q71" s="454"/>
      <c r="R71" s="439"/>
      <c r="S71" s="439"/>
      <c r="T71" s="439"/>
      <c r="U71" s="458"/>
      <c r="XCK71" s="431"/>
      <c r="XCL71" s="431"/>
      <c r="XCM71" s="431"/>
      <c r="XCN71" s="431"/>
      <c r="XCO71" s="431"/>
      <c r="XCP71" s="431"/>
      <c r="XCQ71" s="431"/>
      <c r="XCR71" s="431"/>
      <c r="XCS71" s="431"/>
      <c r="XCT71" s="431"/>
      <c r="XCU71" s="431"/>
      <c r="XCV71" s="431"/>
      <c r="XCW71" s="431"/>
      <c r="XCX71" s="431"/>
      <c r="XCY71" s="431"/>
      <c r="XCZ71" s="431"/>
      <c r="XDA71" s="431"/>
      <c r="XDB71" s="431"/>
      <c r="XDC71" s="431"/>
      <c r="XDD71" s="431"/>
      <c r="XDE71" s="431"/>
      <c r="XDF71" s="431"/>
      <c r="XDG71" s="431"/>
      <c r="XDH71" s="431"/>
      <c r="XDI71" s="431"/>
      <c r="XDJ71" s="431"/>
      <c r="XDK71" s="431"/>
      <c r="XDL71" s="431"/>
      <c r="XDM71" s="431"/>
      <c r="XDN71" s="431"/>
      <c r="XDO71" s="431"/>
      <c r="XDP71" s="431"/>
      <c r="XDQ71" s="431"/>
      <c r="XDR71" s="431"/>
      <c r="XDS71" s="431"/>
      <c r="XDT71" s="431"/>
      <c r="XDU71" s="431"/>
      <c r="XDV71" s="431"/>
      <c r="XDW71" s="431"/>
      <c r="XDX71" s="431"/>
      <c r="XDY71" s="431"/>
      <c r="XDZ71" s="431"/>
      <c r="XEA71" s="431"/>
      <c r="XEB71" s="431"/>
      <c r="XEC71" s="431"/>
      <c r="XED71" s="431"/>
      <c r="XEE71" s="431"/>
      <c r="XEF71" s="431"/>
      <c r="XEG71" s="431"/>
      <c r="XEH71" s="431"/>
      <c r="XEI71" s="431"/>
      <c r="XEJ71" s="431"/>
      <c r="XEK71" s="431"/>
      <c r="XEL71" s="431"/>
      <c r="XEM71" s="431"/>
      <c r="XEN71" s="431"/>
      <c r="XEO71" s="431"/>
      <c r="XEP71" s="431"/>
      <c r="XEQ71" s="431"/>
      <c r="XER71" s="431"/>
      <c r="XES71" s="431"/>
      <c r="XET71" s="431"/>
      <c r="XEU71" s="431"/>
      <c r="XEV71" s="431"/>
      <c r="XEW71" s="431"/>
      <c r="XEX71" s="431"/>
      <c r="XEY71" s="431"/>
      <c r="XEZ71" s="431"/>
      <c r="XFA71" s="431"/>
      <c r="XFB71" s="431"/>
      <c r="XFC71" s="431"/>
      <c r="XFD71" s="431"/>
    </row>
    <row r="72" s="409" customFormat="1" ht="19" customHeight="1" spans="1:21 16313:16384">
      <c r="A72" s="436">
        <v>45470</v>
      </c>
      <c r="B72" s="460">
        <v>1000021354</v>
      </c>
      <c r="C72" s="422" t="s">
        <v>2550</v>
      </c>
      <c r="D72" s="424"/>
      <c r="E72" s="426"/>
      <c r="F72" s="424"/>
      <c r="G72" s="454"/>
      <c r="H72" s="454"/>
      <c r="I72" s="454">
        <v>40000</v>
      </c>
      <c r="J72" s="435"/>
      <c r="K72" s="435"/>
      <c r="L72" s="435"/>
      <c r="M72" s="435"/>
      <c r="N72" s="435"/>
      <c r="O72" s="439"/>
      <c r="P72" s="439"/>
      <c r="Q72" s="454"/>
      <c r="R72" s="439"/>
      <c r="S72" s="439"/>
      <c r="T72" s="439"/>
      <c r="U72" s="458"/>
      <c r="XCK72" s="431"/>
      <c r="XCL72" s="431"/>
      <c r="XCM72" s="431"/>
      <c r="XCN72" s="431"/>
      <c r="XCO72" s="431"/>
      <c r="XCP72" s="431"/>
      <c r="XCQ72" s="431"/>
      <c r="XCR72" s="431"/>
      <c r="XCS72" s="431"/>
      <c r="XCT72" s="431"/>
      <c r="XCU72" s="431"/>
      <c r="XCV72" s="431"/>
      <c r="XCW72" s="431"/>
      <c r="XCX72" s="431"/>
      <c r="XCY72" s="431"/>
      <c r="XCZ72" s="431"/>
      <c r="XDA72" s="431"/>
      <c r="XDB72" s="431"/>
      <c r="XDC72" s="431"/>
      <c r="XDD72" s="431"/>
      <c r="XDE72" s="431"/>
      <c r="XDF72" s="431"/>
      <c r="XDG72" s="431"/>
      <c r="XDH72" s="431"/>
      <c r="XDI72" s="431"/>
      <c r="XDJ72" s="431"/>
      <c r="XDK72" s="431"/>
      <c r="XDL72" s="431"/>
      <c r="XDM72" s="431"/>
      <c r="XDN72" s="431"/>
      <c r="XDO72" s="431"/>
      <c r="XDP72" s="431"/>
      <c r="XDQ72" s="431"/>
      <c r="XDR72" s="431"/>
      <c r="XDS72" s="431"/>
      <c r="XDT72" s="431"/>
      <c r="XDU72" s="431"/>
      <c r="XDV72" s="431"/>
      <c r="XDW72" s="431"/>
      <c r="XDX72" s="431"/>
      <c r="XDY72" s="431"/>
      <c r="XDZ72" s="431"/>
      <c r="XEA72" s="431"/>
      <c r="XEB72" s="431"/>
      <c r="XEC72" s="431"/>
      <c r="XED72" s="431"/>
      <c r="XEE72" s="431"/>
      <c r="XEF72" s="431"/>
      <c r="XEG72" s="431"/>
      <c r="XEH72" s="431"/>
      <c r="XEI72" s="431"/>
      <c r="XEJ72" s="431"/>
      <c r="XEK72" s="431"/>
      <c r="XEL72" s="431"/>
      <c r="XEM72" s="431"/>
      <c r="XEN72" s="431"/>
      <c r="XEO72" s="431"/>
      <c r="XEP72" s="431"/>
      <c r="XEQ72" s="431"/>
      <c r="XER72" s="431"/>
      <c r="XES72" s="431"/>
      <c r="XET72" s="431"/>
      <c r="XEU72" s="431"/>
      <c r="XEV72" s="431"/>
      <c r="XEW72" s="431"/>
      <c r="XEX72" s="431"/>
      <c r="XEY72" s="431"/>
      <c r="XEZ72" s="431"/>
      <c r="XFA72" s="431"/>
      <c r="XFB72" s="431"/>
      <c r="XFC72" s="431"/>
      <c r="XFD72" s="431"/>
    </row>
    <row r="73" s="409" customFormat="1" ht="19" customHeight="1" spans="1:21 16313:16384">
      <c r="A73" s="436">
        <v>45470</v>
      </c>
      <c r="B73" s="460">
        <v>1000021355</v>
      </c>
      <c r="C73" s="422" t="s">
        <v>2550</v>
      </c>
      <c r="D73" s="424"/>
      <c r="E73" s="426"/>
      <c r="F73" s="424"/>
      <c r="G73" s="454"/>
      <c r="H73" s="454"/>
      <c r="I73" s="454"/>
      <c r="J73" s="435"/>
      <c r="K73" s="435"/>
      <c r="L73" s="435">
        <v>200000</v>
      </c>
      <c r="M73" s="435"/>
      <c r="N73" s="435"/>
      <c r="O73" s="439"/>
      <c r="P73" s="439"/>
      <c r="Q73" s="454"/>
      <c r="R73" s="439"/>
      <c r="S73" s="439"/>
      <c r="T73" s="439"/>
      <c r="U73" s="458"/>
      <c r="XCK73" s="431"/>
      <c r="XCL73" s="431"/>
      <c r="XCM73" s="431"/>
      <c r="XCN73" s="431"/>
      <c r="XCO73" s="431"/>
      <c r="XCP73" s="431"/>
      <c r="XCQ73" s="431"/>
      <c r="XCR73" s="431"/>
      <c r="XCS73" s="431"/>
      <c r="XCT73" s="431"/>
      <c r="XCU73" s="431"/>
      <c r="XCV73" s="431"/>
      <c r="XCW73" s="431"/>
      <c r="XCX73" s="431"/>
      <c r="XCY73" s="431"/>
      <c r="XCZ73" s="431"/>
      <c r="XDA73" s="431"/>
      <c r="XDB73" s="431"/>
      <c r="XDC73" s="431"/>
      <c r="XDD73" s="431"/>
      <c r="XDE73" s="431"/>
      <c r="XDF73" s="431"/>
      <c r="XDG73" s="431"/>
      <c r="XDH73" s="431"/>
      <c r="XDI73" s="431"/>
      <c r="XDJ73" s="431"/>
      <c r="XDK73" s="431"/>
      <c r="XDL73" s="431"/>
      <c r="XDM73" s="431"/>
      <c r="XDN73" s="431"/>
      <c r="XDO73" s="431"/>
      <c r="XDP73" s="431"/>
      <c r="XDQ73" s="431"/>
      <c r="XDR73" s="431"/>
      <c r="XDS73" s="431"/>
      <c r="XDT73" s="431"/>
      <c r="XDU73" s="431"/>
      <c r="XDV73" s="431"/>
      <c r="XDW73" s="431"/>
      <c r="XDX73" s="431"/>
      <c r="XDY73" s="431"/>
      <c r="XDZ73" s="431"/>
      <c r="XEA73" s="431"/>
      <c r="XEB73" s="431"/>
      <c r="XEC73" s="431"/>
      <c r="XED73" s="431"/>
      <c r="XEE73" s="431"/>
      <c r="XEF73" s="431"/>
      <c r="XEG73" s="431"/>
      <c r="XEH73" s="431"/>
      <c r="XEI73" s="431"/>
      <c r="XEJ73" s="431"/>
      <c r="XEK73" s="431"/>
      <c r="XEL73" s="431"/>
      <c r="XEM73" s="431"/>
      <c r="XEN73" s="431"/>
      <c r="XEO73" s="431"/>
      <c r="XEP73" s="431"/>
      <c r="XEQ73" s="431"/>
      <c r="XER73" s="431"/>
      <c r="XES73" s="431"/>
      <c r="XET73" s="431"/>
      <c r="XEU73" s="431"/>
      <c r="XEV73" s="431"/>
      <c r="XEW73" s="431"/>
      <c r="XEX73" s="431"/>
      <c r="XEY73" s="431"/>
      <c r="XEZ73" s="431"/>
      <c r="XFA73" s="431"/>
      <c r="XFB73" s="431"/>
      <c r="XFC73" s="431"/>
      <c r="XFD73" s="431"/>
    </row>
    <row r="74" s="409" customFormat="1" ht="19" customHeight="1" spans="1:21 16313:16384">
      <c r="A74" s="436">
        <v>45470</v>
      </c>
      <c r="B74" s="460">
        <v>1000021356</v>
      </c>
      <c r="C74" s="422" t="s">
        <v>2550</v>
      </c>
      <c r="D74" s="424"/>
      <c r="E74" s="426"/>
      <c r="F74" s="424"/>
      <c r="G74" s="454"/>
      <c r="H74" s="454"/>
      <c r="I74" s="454"/>
      <c r="J74" s="435"/>
      <c r="K74" s="435"/>
      <c r="L74" s="435"/>
      <c r="M74" s="435"/>
      <c r="N74" s="435"/>
      <c r="O74" s="439"/>
      <c r="P74" s="439">
        <v>150000</v>
      </c>
      <c r="Q74" s="439">
        <v>150000</v>
      </c>
      <c r="R74" s="439"/>
      <c r="S74" s="439"/>
      <c r="T74" s="439"/>
      <c r="U74" s="458"/>
      <c r="XCK74" s="431"/>
      <c r="XCL74" s="431"/>
      <c r="XCM74" s="431"/>
      <c r="XCN74" s="431"/>
      <c r="XCO74" s="431"/>
      <c r="XCP74" s="431"/>
      <c r="XCQ74" s="431"/>
      <c r="XCR74" s="431"/>
      <c r="XCS74" s="431"/>
      <c r="XCT74" s="431"/>
      <c r="XCU74" s="431"/>
      <c r="XCV74" s="431"/>
      <c r="XCW74" s="431"/>
      <c r="XCX74" s="431"/>
      <c r="XCY74" s="431"/>
      <c r="XCZ74" s="431"/>
      <c r="XDA74" s="431"/>
      <c r="XDB74" s="431"/>
      <c r="XDC74" s="431"/>
      <c r="XDD74" s="431"/>
      <c r="XDE74" s="431"/>
      <c r="XDF74" s="431"/>
      <c r="XDG74" s="431"/>
      <c r="XDH74" s="431"/>
      <c r="XDI74" s="431"/>
      <c r="XDJ74" s="431"/>
      <c r="XDK74" s="431"/>
      <c r="XDL74" s="431"/>
      <c r="XDM74" s="431"/>
      <c r="XDN74" s="431"/>
      <c r="XDO74" s="431"/>
      <c r="XDP74" s="431"/>
      <c r="XDQ74" s="431"/>
      <c r="XDR74" s="431"/>
      <c r="XDS74" s="431"/>
      <c r="XDT74" s="431"/>
      <c r="XDU74" s="431"/>
      <c r="XDV74" s="431"/>
      <c r="XDW74" s="431"/>
      <c r="XDX74" s="431"/>
      <c r="XDY74" s="431"/>
      <c r="XDZ74" s="431"/>
      <c r="XEA74" s="431"/>
      <c r="XEB74" s="431"/>
      <c r="XEC74" s="431"/>
      <c r="XED74" s="431"/>
      <c r="XEE74" s="431"/>
      <c r="XEF74" s="431"/>
      <c r="XEG74" s="431"/>
      <c r="XEH74" s="431"/>
      <c r="XEI74" s="431"/>
      <c r="XEJ74" s="431"/>
      <c r="XEK74" s="431"/>
      <c r="XEL74" s="431"/>
      <c r="XEM74" s="431"/>
      <c r="XEN74" s="431"/>
      <c r="XEO74" s="431"/>
      <c r="XEP74" s="431"/>
      <c r="XEQ74" s="431"/>
      <c r="XER74" s="431"/>
      <c r="XES74" s="431"/>
      <c r="XET74" s="431"/>
      <c r="XEU74" s="431"/>
      <c r="XEV74" s="431"/>
      <c r="XEW74" s="431"/>
      <c r="XEX74" s="431"/>
      <c r="XEY74" s="431"/>
      <c r="XEZ74" s="431"/>
      <c r="XFA74" s="431"/>
      <c r="XFB74" s="431"/>
      <c r="XFC74" s="431"/>
      <c r="XFD74" s="431"/>
    </row>
    <row r="75" s="409" customFormat="1" ht="19" customHeight="1" spans="1:21 16313:16384">
      <c r="A75" s="436">
        <v>45512</v>
      </c>
      <c r="B75" s="460">
        <v>1000022433</v>
      </c>
      <c r="C75" s="422"/>
      <c r="D75" s="424"/>
      <c r="E75" s="426"/>
      <c r="F75" s="424">
        <v>100000</v>
      </c>
      <c r="G75" s="454"/>
      <c r="H75" s="454"/>
      <c r="I75" s="454"/>
      <c r="J75" s="435"/>
      <c r="K75" s="435"/>
      <c r="L75" s="435"/>
      <c r="M75" s="435"/>
      <c r="N75" s="435"/>
      <c r="O75" s="439"/>
      <c r="P75" s="439"/>
      <c r="Q75" s="439"/>
      <c r="R75" s="439"/>
      <c r="S75" s="439"/>
      <c r="T75" s="439"/>
      <c r="U75" s="458"/>
      <c r="XCK75" s="431"/>
      <c r="XCL75" s="431"/>
      <c r="XCM75" s="431"/>
      <c r="XCN75" s="431"/>
      <c r="XCO75" s="431"/>
      <c r="XCP75" s="431"/>
      <c r="XCQ75" s="431"/>
      <c r="XCR75" s="431"/>
      <c r="XCS75" s="431"/>
      <c r="XCT75" s="431"/>
      <c r="XCU75" s="431"/>
      <c r="XCV75" s="431"/>
      <c r="XCW75" s="431"/>
      <c r="XCX75" s="431"/>
      <c r="XCY75" s="431"/>
      <c r="XCZ75" s="431"/>
      <c r="XDA75" s="431"/>
      <c r="XDB75" s="431"/>
      <c r="XDC75" s="431"/>
      <c r="XDD75" s="431"/>
      <c r="XDE75" s="431"/>
      <c r="XDF75" s="431"/>
      <c r="XDG75" s="431"/>
      <c r="XDH75" s="431"/>
      <c r="XDI75" s="431"/>
      <c r="XDJ75" s="431"/>
      <c r="XDK75" s="431"/>
      <c r="XDL75" s="431"/>
      <c r="XDM75" s="431"/>
      <c r="XDN75" s="431"/>
      <c r="XDO75" s="431"/>
      <c r="XDP75" s="431"/>
      <c r="XDQ75" s="431"/>
      <c r="XDR75" s="431"/>
      <c r="XDS75" s="431"/>
      <c r="XDT75" s="431"/>
      <c r="XDU75" s="431"/>
      <c r="XDV75" s="431"/>
      <c r="XDW75" s="431"/>
      <c r="XDX75" s="431"/>
      <c r="XDY75" s="431"/>
      <c r="XDZ75" s="431"/>
      <c r="XEA75" s="431"/>
      <c r="XEB75" s="431"/>
      <c r="XEC75" s="431"/>
      <c r="XED75" s="431"/>
      <c r="XEE75" s="431"/>
      <c r="XEF75" s="431"/>
      <c r="XEG75" s="431"/>
      <c r="XEH75" s="431"/>
      <c r="XEI75" s="431"/>
      <c r="XEJ75" s="431"/>
      <c r="XEK75" s="431"/>
      <c r="XEL75" s="431"/>
      <c r="XEM75" s="431"/>
      <c r="XEN75" s="431"/>
      <c r="XEO75" s="431"/>
      <c r="XEP75" s="431"/>
      <c r="XEQ75" s="431"/>
      <c r="XER75" s="431"/>
      <c r="XES75" s="431"/>
      <c r="XET75" s="431"/>
      <c r="XEU75" s="431"/>
      <c r="XEV75" s="431"/>
      <c r="XEW75" s="431"/>
      <c r="XEX75" s="431"/>
      <c r="XEY75" s="431"/>
      <c r="XEZ75" s="431"/>
      <c r="XFA75" s="431"/>
      <c r="XFB75" s="431"/>
      <c r="XFC75" s="431"/>
      <c r="XFD75" s="431"/>
    </row>
    <row r="76" s="409" customFormat="1" ht="19" customHeight="1" spans="1:21 16313:16384">
      <c r="A76" s="436">
        <v>45512</v>
      </c>
      <c r="B76" s="460">
        <v>1000022435</v>
      </c>
      <c r="C76" s="422"/>
      <c r="D76" s="424"/>
      <c r="E76" s="426"/>
      <c r="F76" s="424"/>
      <c r="G76" s="454"/>
      <c r="H76" s="454"/>
      <c r="I76" s="454">
        <v>40000</v>
      </c>
      <c r="J76" s="435"/>
      <c r="K76" s="435"/>
      <c r="L76" s="435"/>
      <c r="M76" s="435"/>
      <c r="N76" s="435"/>
      <c r="O76" s="439"/>
      <c r="P76" s="439"/>
      <c r="Q76" s="439"/>
      <c r="R76" s="439"/>
      <c r="S76" s="439"/>
      <c r="T76" s="439"/>
      <c r="U76" s="458"/>
      <c r="XCK76" s="431"/>
      <c r="XCL76" s="431"/>
      <c r="XCM76" s="431"/>
      <c r="XCN76" s="431"/>
      <c r="XCO76" s="431"/>
      <c r="XCP76" s="431"/>
      <c r="XCQ76" s="431"/>
      <c r="XCR76" s="431"/>
      <c r="XCS76" s="431"/>
      <c r="XCT76" s="431"/>
      <c r="XCU76" s="431"/>
      <c r="XCV76" s="431"/>
      <c r="XCW76" s="431"/>
      <c r="XCX76" s="431"/>
      <c r="XCY76" s="431"/>
      <c r="XCZ76" s="431"/>
      <c r="XDA76" s="431"/>
      <c r="XDB76" s="431"/>
      <c r="XDC76" s="431"/>
      <c r="XDD76" s="431"/>
      <c r="XDE76" s="431"/>
      <c r="XDF76" s="431"/>
      <c r="XDG76" s="431"/>
      <c r="XDH76" s="431"/>
      <c r="XDI76" s="431"/>
      <c r="XDJ76" s="431"/>
      <c r="XDK76" s="431"/>
      <c r="XDL76" s="431"/>
      <c r="XDM76" s="431"/>
      <c r="XDN76" s="431"/>
      <c r="XDO76" s="431"/>
      <c r="XDP76" s="431"/>
      <c r="XDQ76" s="431"/>
      <c r="XDR76" s="431"/>
      <c r="XDS76" s="431"/>
      <c r="XDT76" s="431"/>
      <c r="XDU76" s="431"/>
      <c r="XDV76" s="431"/>
      <c r="XDW76" s="431"/>
      <c r="XDX76" s="431"/>
      <c r="XDY76" s="431"/>
      <c r="XDZ76" s="431"/>
      <c r="XEA76" s="431"/>
      <c r="XEB76" s="431"/>
      <c r="XEC76" s="431"/>
      <c r="XED76" s="431"/>
      <c r="XEE76" s="431"/>
      <c r="XEF76" s="431"/>
      <c r="XEG76" s="431"/>
      <c r="XEH76" s="431"/>
      <c r="XEI76" s="431"/>
      <c r="XEJ76" s="431"/>
      <c r="XEK76" s="431"/>
      <c r="XEL76" s="431"/>
      <c r="XEM76" s="431"/>
      <c r="XEN76" s="431"/>
      <c r="XEO76" s="431"/>
      <c r="XEP76" s="431"/>
      <c r="XEQ76" s="431"/>
      <c r="XER76" s="431"/>
      <c r="XES76" s="431"/>
      <c r="XET76" s="431"/>
      <c r="XEU76" s="431"/>
      <c r="XEV76" s="431"/>
      <c r="XEW76" s="431"/>
      <c r="XEX76" s="431"/>
      <c r="XEY76" s="431"/>
      <c r="XEZ76" s="431"/>
      <c r="XFA76" s="431"/>
      <c r="XFB76" s="431"/>
      <c r="XFC76" s="431"/>
      <c r="XFD76" s="431"/>
    </row>
    <row r="77" s="409" customFormat="1" ht="19" customHeight="1" spans="1:21 16313:16384">
      <c r="A77" s="436">
        <v>45512</v>
      </c>
      <c r="B77" s="460">
        <v>1000022436</v>
      </c>
      <c r="C77" s="422"/>
      <c r="D77" s="424"/>
      <c r="E77" s="426"/>
      <c r="F77" s="424"/>
      <c r="G77" s="454"/>
      <c r="H77" s="454"/>
      <c r="I77" s="454"/>
      <c r="J77" s="435"/>
      <c r="K77" s="435"/>
      <c r="L77" s="435">
        <v>130000</v>
      </c>
      <c r="M77" s="435"/>
      <c r="N77" s="435"/>
      <c r="O77" s="439"/>
      <c r="P77" s="439"/>
      <c r="Q77" s="439"/>
      <c r="R77" s="439"/>
      <c r="S77" s="439"/>
      <c r="T77" s="439"/>
      <c r="U77" s="458"/>
      <c r="XCK77" s="431"/>
      <c r="XCL77" s="431"/>
      <c r="XCM77" s="431"/>
      <c r="XCN77" s="431"/>
      <c r="XCO77" s="431"/>
      <c r="XCP77" s="431"/>
      <c r="XCQ77" s="431"/>
      <c r="XCR77" s="431"/>
      <c r="XCS77" s="431"/>
      <c r="XCT77" s="431"/>
      <c r="XCU77" s="431"/>
      <c r="XCV77" s="431"/>
      <c r="XCW77" s="431"/>
      <c r="XCX77" s="431"/>
      <c r="XCY77" s="431"/>
      <c r="XCZ77" s="431"/>
      <c r="XDA77" s="431"/>
      <c r="XDB77" s="431"/>
      <c r="XDC77" s="431"/>
      <c r="XDD77" s="431"/>
      <c r="XDE77" s="431"/>
      <c r="XDF77" s="431"/>
      <c r="XDG77" s="431"/>
      <c r="XDH77" s="431"/>
      <c r="XDI77" s="431"/>
      <c r="XDJ77" s="431"/>
      <c r="XDK77" s="431"/>
      <c r="XDL77" s="431"/>
      <c r="XDM77" s="431"/>
      <c r="XDN77" s="431"/>
      <c r="XDO77" s="431"/>
      <c r="XDP77" s="431"/>
      <c r="XDQ77" s="431"/>
      <c r="XDR77" s="431"/>
      <c r="XDS77" s="431"/>
      <c r="XDT77" s="431"/>
      <c r="XDU77" s="431"/>
      <c r="XDV77" s="431"/>
      <c r="XDW77" s="431"/>
      <c r="XDX77" s="431"/>
      <c r="XDY77" s="431"/>
      <c r="XDZ77" s="431"/>
      <c r="XEA77" s="431"/>
      <c r="XEB77" s="431"/>
      <c r="XEC77" s="431"/>
      <c r="XED77" s="431"/>
      <c r="XEE77" s="431"/>
      <c r="XEF77" s="431"/>
      <c r="XEG77" s="431"/>
      <c r="XEH77" s="431"/>
      <c r="XEI77" s="431"/>
      <c r="XEJ77" s="431"/>
      <c r="XEK77" s="431"/>
      <c r="XEL77" s="431"/>
      <c r="XEM77" s="431"/>
      <c r="XEN77" s="431"/>
      <c r="XEO77" s="431"/>
      <c r="XEP77" s="431"/>
      <c r="XEQ77" s="431"/>
      <c r="XER77" s="431"/>
      <c r="XES77" s="431"/>
      <c r="XET77" s="431"/>
      <c r="XEU77" s="431"/>
      <c r="XEV77" s="431"/>
      <c r="XEW77" s="431"/>
      <c r="XEX77" s="431"/>
      <c r="XEY77" s="431"/>
      <c r="XEZ77" s="431"/>
      <c r="XFA77" s="431"/>
      <c r="XFB77" s="431"/>
      <c r="XFC77" s="431"/>
      <c r="XFD77" s="431"/>
    </row>
    <row r="78" s="409" customFormat="1" ht="19" customHeight="1" spans="1:21 16313:16384">
      <c r="A78" s="436">
        <v>45512</v>
      </c>
      <c r="B78" s="460">
        <v>1000022437</v>
      </c>
      <c r="C78" s="422"/>
      <c r="D78" s="424"/>
      <c r="E78" s="426"/>
      <c r="F78" s="424"/>
      <c r="G78" s="454"/>
      <c r="H78" s="454"/>
      <c r="I78" s="454"/>
      <c r="J78" s="435"/>
      <c r="K78" s="435"/>
      <c r="L78" s="435"/>
      <c r="M78" s="435"/>
      <c r="N78" s="435"/>
      <c r="O78" s="439"/>
      <c r="P78" s="439">
        <v>200000</v>
      </c>
      <c r="Q78" s="439">
        <v>200000</v>
      </c>
      <c r="R78" s="439"/>
      <c r="S78" s="439"/>
      <c r="T78" s="439"/>
      <c r="U78" s="458"/>
      <c r="XCK78" s="431"/>
      <c r="XCL78" s="431"/>
      <c r="XCM78" s="431"/>
      <c r="XCN78" s="431"/>
      <c r="XCO78" s="431"/>
      <c r="XCP78" s="431"/>
      <c r="XCQ78" s="431"/>
      <c r="XCR78" s="431"/>
      <c r="XCS78" s="431"/>
      <c r="XCT78" s="431"/>
      <c r="XCU78" s="431"/>
      <c r="XCV78" s="431"/>
      <c r="XCW78" s="431"/>
      <c r="XCX78" s="431"/>
      <c r="XCY78" s="431"/>
      <c r="XCZ78" s="431"/>
      <c r="XDA78" s="431"/>
      <c r="XDB78" s="431"/>
      <c r="XDC78" s="431"/>
      <c r="XDD78" s="431"/>
      <c r="XDE78" s="431"/>
      <c r="XDF78" s="431"/>
      <c r="XDG78" s="431"/>
      <c r="XDH78" s="431"/>
      <c r="XDI78" s="431"/>
      <c r="XDJ78" s="431"/>
      <c r="XDK78" s="431"/>
      <c r="XDL78" s="431"/>
      <c r="XDM78" s="431"/>
      <c r="XDN78" s="431"/>
      <c r="XDO78" s="431"/>
      <c r="XDP78" s="431"/>
      <c r="XDQ78" s="431"/>
      <c r="XDR78" s="431"/>
      <c r="XDS78" s="431"/>
      <c r="XDT78" s="431"/>
      <c r="XDU78" s="431"/>
      <c r="XDV78" s="431"/>
      <c r="XDW78" s="431"/>
      <c r="XDX78" s="431"/>
      <c r="XDY78" s="431"/>
      <c r="XDZ78" s="431"/>
      <c r="XEA78" s="431"/>
      <c r="XEB78" s="431"/>
      <c r="XEC78" s="431"/>
      <c r="XED78" s="431"/>
      <c r="XEE78" s="431"/>
      <c r="XEF78" s="431"/>
      <c r="XEG78" s="431"/>
      <c r="XEH78" s="431"/>
      <c r="XEI78" s="431"/>
      <c r="XEJ78" s="431"/>
      <c r="XEK78" s="431"/>
      <c r="XEL78" s="431"/>
      <c r="XEM78" s="431"/>
      <c r="XEN78" s="431"/>
      <c r="XEO78" s="431"/>
      <c r="XEP78" s="431"/>
      <c r="XEQ78" s="431"/>
      <c r="XER78" s="431"/>
      <c r="XES78" s="431"/>
      <c r="XET78" s="431"/>
      <c r="XEU78" s="431"/>
      <c r="XEV78" s="431"/>
      <c r="XEW78" s="431"/>
      <c r="XEX78" s="431"/>
      <c r="XEY78" s="431"/>
      <c r="XEZ78" s="431"/>
      <c r="XFA78" s="431"/>
      <c r="XFB78" s="431"/>
      <c r="XFC78" s="431"/>
      <c r="XFD78" s="431"/>
    </row>
    <row r="79" s="409" customFormat="1" ht="19" customHeight="1" spans="1:21 16313:16384">
      <c r="A79" s="436"/>
      <c r="B79" s="460"/>
      <c r="C79" s="422"/>
      <c r="D79" s="424"/>
      <c r="E79" s="426"/>
      <c r="F79" s="424"/>
      <c r="G79" s="454"/>
      <c r="H79" s="454"/>
      <c r="I79" s="454"/>
      <c r="J79" s="435"/>
      <c r="K79" s="435"/>
      <c r="L79" s="435"/>
      <c r="M79" s="435"/>
      <c r="N79" s="435"/>
      <c r="O79" s="439"/>
      <c r="P79" s="439"/>
      <c r="Q79" s="439"/>
      <c r="R79" s="439"/>
      <c r="S79" s="439"/>
      <c r="T79" s="439"/>
      <c r="U79" s="458"/>
      <c r="XCK79" s="431"/>
      <c r="XCL79" s="431"/>
      <c r="XCM79" s="431"/>
      <c r="XCN79" s="431"/>
      <c r="XCO79" s="431"/>
      <c r="XCP79" s="431"/>
      <c r="XCQ79" s="431"/>
      <c r="XCR79" s="431"/>
      <c r="XCS79" s="431"/>
      <c r="XCT79" s="431"/>
      <c r="XCU79" s="431"/>
      <c r="XCV79" s="431"/>
      <c r="XCW79" s="431"/>
      <c r="XCX79" s="431"/>
      <c r="XCY79" s="431"/>
      <c r="XCZ79" s="431"/>
      <c r="XDA79" s="431"/>
      <c r="XDB79" s="431"/>
      <c r="XDC79" s="431"/>
      <c r="XDD79" s="431"/>
      <c r="XDE79" s="431"/>
      <c r="XDF79" s="431"/>
      <c r="XDG79" s="431"/>
      <c r="XDH79" s="431"/>
      <c r="XDI79" s="431"/>
      <c r="XDJ79" s="431"/>
      <c r="XDK79" s="431"/>
      <c r="XDL79" s="431"/>
      <c r="XDM79" s="431"/>
      <c r="XDN79" s="431"/>
      <c r="XDO79" s="431"/>
      <c r="XDP79" s="431"/>
      <c r="XDQ79" s="431"/>
      <c r="XDR79" s="431"/>
      <c r="XDS79" s="431"/>
      <c r="XDT79" s="431"/>
      <c r="XDU79" s="431"/>
      <c r="XDV79" s="431"/>
      <c r="XDW79" s="431"/>
      <c r="XDX79" s="431"/>
      <c r="XDY79" s="431"/>
      <c r="XDZ79" s="431"/>
      <c r="XEA79" s="431"/>
      <c r="XEB79" s="431"/>
      <c r="XEC79" s="431"/>
      <c r="XED79" s="431"/>
      <c r="XEE79" s="431"/>
      <c r="XEF79" s="431"/>
      <c r="XEG79" s="431"/>
      <c r="XEH79" s="431"/>
      <c r="XEI79" s="431"/>
      <c r="XEJ79" s="431"/>
      <c r="XEK79" s="431"/>
      <c r="XEL79" s="431"/>
      <c r="XEM79" s="431"/>
      <c r="XEN79" s="431"/>
      <c r="XEO79" s="431"/>
      <c r="XEP79" s="431"/>
      <c r="XEQ79" s="431"/>
      <c r="XER79" s="431"/>
      <c r="XES79" s="431"/>
      <c r="XET79" s="431"/>
      <c r="XEU79" s="431"/>
      <c r="XEV79" s="431"/>
      <c r="XEW79" s="431"/>
      <c r="XEX79" s="431"/>
      <c r="XEY79" s="431"/>
      <c r="XEZ79" s="431"/>
      <c r="XFA79" s="431"/>
      <c r="XFB79" s="431"/>
      <c r="XFC79" s="431"/>
      <c r="XFD79" s="431"/>
    </row>
    <row r="80" s="409" customFormat="1" ht="19" customHeight="1" spans="1:21 16313:16384">
      <c r="A80" s="436"/>
      <c r="B80" s="460"/>
      <c r="C80" s="422"/>
      <c r="D80" s="424"/>
      <c r="E80" s="426"/>
      <c r="F80" s="424"/>
      <c r="G80" s="454"/>
      <c r="H80" s="454"/>
      <c r="I80" s="454"/>
      <c r="J80" s="435"/>
      <c r="K80" s="435"/>
      <c r="L80" s="435"/>
      <c r="M80" s="435"/>
      <c r="N80" s="435"/>
      <c r="O80" s="439"/>
      <c r="P80" s="439"/>
      <c r="Q80" s="439"/>
      <c r="R80" s="439"/>
      <c r="S80" s="439"/>
      <c r="T80" s="439"/>
      <c r="U80" s="458"/>
      <c r="XCK80" s="431"/>
      <c r="XCL80" s="431"/>
      <c r="XCM80" s="431"/>
      <c r="XCN80" s="431"/>
      <c r="XCO80" s="431"/>
      <c r="XCP80" s="431"/>
      <c r="XCQ80" s="431"/>
      <c r="XCR80" s="431"/>
      <c r="XCS80" s="431"/>
      <c r="XCT80" s="431"/>
      <c r="XCU80" s="431"/>
      <c r="XCV80" s="431"/>
      <c r="XCW80" s="431"/>
      <c r="XCX80" s="431"/>
      <c r="XCY80" s="431"/>
      <c r="XCZ80" s="431"/>
      <c r="XDA80" s="431"/>
      <c r="XDB80" s="431"/>
      <c r="XDC80" s="431"/>
      <c r="XDD80" s="431"/>
      <c r="XDE80" s="431"/>
      <c r="XDF80" s="431"/>
      <c r="XDG80" s="431"/>
      <c r="XDH80" s="431"/>
      <c r="XDI80" s="431"/>
      <c r="XDJ80" s="431"/>
      <c r="XDK80" s="431"/>
      <c r="XDL80" s="431"/>
      <c r="XDM80" s="431"/>
      <c r="XDN80" s="431"/>
      <c r="XDO80" s="431"/>
      <c r="XDP80" s="431"/>
      <c r="XDQ80" s="431"/>
      <c r="XDR80" s="431"/>
      <c r="XDS80" s="431"/>
      <c r="XDT80" s="431"/>
      <c r="XDU80" s="431"/>
      <c r="XDV80" s="431"/>
      <c r="XDW80" s="431"/>
      <c r="XDX80" s="431"/>
      <c r="XDY80" s="431"/>
      <c r="XDZ80" s="431"/>
      <c r="XEA80" s="431"/>
      <c r="XEB80" s="431"/>
      <c r="XEC80" s="431"/>
      <c r="XED80" s="431"/>
      <c r="XEE80" s="431"/>
      <c r="XEF80" s="431"/>
      <c r="XEG80" s="431"/>
      <c r="XEH80" s="431"/>
      <c r="XEI80" s="431"/>
      <c r="XEJ80" s="431"/>
      <c r="XEK80" s="431"/>
      <c r="XEL80" s="431"/>
      <c r="XEM80" s="431"/>
      <c r="XEN80" s="431"/>
      <c r="XEO80" s="431"/>
      <c r="XEP80" s="431"/>
      <c r="XEQ80" s="431"/>
      <c r="XER80" s="431"/>
      <c r="XES80" s="431"/>
      <c r="XET80" s="431"/>
      <c r="XEU80" s="431"/>
      <c r="XEV80" s="431"/>
      <c r="XEW80" s="431"/>
      <c r="XEX80" s="431"/>
      <c r="XEY80" s="431"/>
      <c r="XEZ80" s="431"/>
      <c r="XFA80" s="431"/>
      <c r="XFB80" s="431"/>
      <c r="XFC80" s="431"/>
      <c r="XFD80" s="431"/>
    </row>
    <row r="81" s="409" customFormat="1" ht="19" customHeight="1" spans="1:22 16313:16384">
      <c r="A81" s="436"/>
      <c r="B81" s="460"/>
      <c r="C81" s="422"/>
      <c r="D81" s="424"/>
      <c r="E81" s="426"/>
      <c r="F81" s="424"/>
      <c r="G81" s="454"/>
      <c r="H81" s="454"/>
      <c r="I81" s="454"/>
      <c r="J81" s="435"/>
      <c r="K81" s="435"/>
      <c r="L81" s="435"/>
      <c r="M81" s="435">
        <v>10002</v>
      </c>
      <c r="N81" s="435"/>
      <c r="O81" s="439"/>
      <c r="P81" s="439"/>
      <c r="Q81" s="454"/>
      <c r="R81" s="439"/>
      <c r="S81" s="439"/>
      <c r="T81" s="439"/>
      <c r="U81" s="458" t="s">
        <v>2563</v>
      </c>
      <c r="V81" s="409">
        <f>M81-7422-2580</f>
        <v>0</v>
      </c>
      <c r="XCK81" s="431"/>
      <c r="XCL81" s="431"/>
      <c r="XCM81" s="431"/>
      <c r="XCN81" s="431"/>
      <c r="XCO81" s="431"/>
      <c r="XCP81" s="431"/>
      <c r="XCQ81" s="431"/>
      <c r="XCR81" s="431"/>
      <c r="XCS81" s="431"/>
      <c r="XCT81" s="431"/>
      <c r="XCU81" s="431"/>
      <c r="XCV81" s="431"/>
      <c r="XCW81" s="431"/>
      <c r="XCX81" s="431"/>
      <c r="XCY81" s="431"/>
      <c r="XCZ81" s="431"/>
      <c r="XDA81" s="431"/>
      <c r="XDB81" s="431"/>
      <c r="XDC81" s="431"/>
      <c r="XDD81" s="431"/>
      <c r="XDE81" s="431"/>
      <c r="XDF81" s="431"/>
      <c r="XDG81" s="431"/>
      <c r="XDH81" s="431"/>
      <c r="XDI81" s="431"/>
      <c r="XDJ81" s="431"/>
      <c r="XDK81" s="431"/>
      <c r="XDL81" s="431"/>
      <c r="XDM81" s="431"/>
      <c r="XDN81" s="431"/>
      <c r="XDO81" s="431"/>
      <c r="XDP81" s="431"/>
      <c r="XDQ81" s="431"/>
      <c r="XDR81" s="431"/>
      <c r="XDS81" s="431"/>
      <c r="XDT81" s="431"/>
      <c r="XDU81" s="431"/>
      <c r="XDV81" s="431"/>
      <c r="XDW81" s="431"/>
      <c r="XDX81" s="431"/>
      <c r="XDY81" s="431"/>
      <c r="XDZ81" s="431"/>
      <c r="XEA81" s="431"/>
      <c r="XEB81" s="431"/>
      <c r="XEC81" s="431"/>
      <c r="XED81" s="431"/>
      <c r="XEE81" s="431"/>
      <c r="XEF81" s="431"/>
      <c r="XEG81" s="431"/>
      <c r="XEH81" s="431"/>
      <c r="XEI81" s="431"/>
      <c r="XEJ81" s="431"/>
      <c r="XEK81" s="431"/>
      <c r="XEL81" s="431"/>
      <c r="XEM81" s="431"/>
      <c r="XEN81" s="431"/>
      <c r="XEO81" s="431"/>
      <c r="XEP81" s="431"/>
      <c r="XEQ81" s="431"/>
      <c r="XER81" s="431"/>
      <c r="XES81" s="431"/>
      <c r="XET81" s="431"/>
      <c r="XEU81" s="431"/>
      <c r="XEV81" s="431"/>
      <c r="XEW81" s="431"/>
      <c r="XEX81" s="431"/>
      <c r="XEY81" s="431"/>
      <c r="XEZ81" s="431"/>
      <c r="XFA81" s="431"/>
      <c r="XFB81" s="431"/>
      <c r="XFC81" s="431"/>
      <c r="XFD81" s="431"/>
    </row>
    <row r="82" s="409" customFormat="1" ht="19" customHeight="1" spans="1:22 16313:16384">
      <c r="A82" s="436">
        <v>45560</v>
      </c>
      <c r="B82" s="460">
        <v>1000023382</v>
      </c>
      <c r="C82" s="422"/>
      <c r="D82" s="424"/>
      <c r="E82" s="426"/>
      <c r="F82" s="424">
        <v>150000</v>
      </c>
      <c r="G82" s="454"/>
      <c r="H82" s="454"/>
      <c r="I82" s="454"/>
      <c r="J82" s="435"/>
      <c r="K82" s="435"/>
      <c r="L82" s="435"/>
      <c r="M82" s="435"/>
      <c r="N82" s="435"/>
      <c r="O82" s="439"/>
      <c r="P82" s="439"/>
      <c r="Q82" s="454"/>
      <c r="R82" s="439"/>
      <c r="S82" s="439"/>
      <c r="T82" s="439"/>
      <c r="U82" s="458"/>
      <c r="XCK82" s="431"/>
      <c r="XCL82" s="431"/>
      <c r="XCM82" s="431"/>
      <c r="XCN82" s="431"/>
      <c r="XCO82" s="431"/>
      <c r="XCP82" s="431"/>
      <c r="XCQ82" s="431"/>
      <c r="XCR82" s="431"/>
      <c r="XCS82" s="431"/>
      <c r="XCT82" s="431"/>
      <c r="XCU82" s="431"/>
      <c r="XCV82" s="431"/>
      <c r="XCW82" s="431"/>
      <c r="XCX82" s="431"/>
      <c r="XCY82" s="431"/>
      <c r="XCZ82" s="431"/>
      <c r="XDA82" s="431"/>
      <c r="XDB82" s="431"/>
      <c r="XDC82" s="431"/>
      <c r="XDD82" s="431"/>
      <c r="XDE82" s="431"/>
      <c r="XDF82" s="431"/>
      <c r="XDG82" s="431"/>
      <c r="XDH82" s="431"/>
      <c r="XDI82" s="431"/>
      <c r="XDJ82" s="431"/>
      <c r="XDK82" s="431"/>
      <c r="XDL82" s="431"/>
      <c r="XDM82" s="431"/>
      <c r="XDN82" s="431"/>
      <c r="XDO82" s="431"/>
      <c r="XDP82" s="431"/>
      <c r="XDQ82" s="431"/>
      <c r="XDR82" s="431"/>
      <c r="XDS82" s="431"/>
      <c r="XDT82" s="431"/>
      <c r="XDU82" s="431"/>
      <c r="XDV82" s="431"/>
      <c r="XDW82" s="431"/>
      <c r="XDX82" s="431"/>
      <c r="XDY82" s="431"/>
      <c r="XDZ82" s="431"/>
      <c r="XEA82" s="431"/>
      <c r="XEB82" s="431"/>
      <c r="XEC82" s="431"/>
      <c r="XED82" s="431"/>
      <c r="XEE82" s="431"/>
      <c r="XEF82" s="431"/>
      <c r="XEG82" s="431"/>
      <c r="XEH82" s="431"/>
      <c r="XEI82" s="431"/>
      <c r="XEJ82" s="431"/>
      <c r="XEK82" s="431"/>
      <c r="XEL82" s="431"/>
      <c r="XEM82" s="431"/>
      <c r="XEN82" s="431"/>
      <c r="XEO82" s="431"/>
      <c r="XEP82" s="431"/>
      <c r="XEQ82" s="431"/>
      <c r="XER82" s="431"/>
      <c r="XES82" s="431"/>
      <c r="XET82" s="431"/>
      <c r="XEU82" s="431"/>
      <c r="XEV82" s="431"/>
      <c r="XEW82" s="431"/>
      <c r="XEX82" s="431"/>
      <c r="XEY82" s="431"/>
      <c r="XEZ82" s="431"/>
      <c r="XFA82" s="431"/>
      <c r="XFB82" s="431"/>
      <c r="XFC82" s="431"/>
      <c r="XFD82" s="431"/>
    </row>
    <row r="83" s="409" customFormat="1" ht="19" customHeight="1" spans="1:22 16313:16384">
      <c r="A83" s="436">
        <v>45560</v>
      </c>
      <c r="B83" s="460">
        <v>1000023383</v>
      </c>
      <c r="C83" s="422"/>
      <c r="D83" s="424"/>
      <c r="E83" s="426"/>
      <c r="F83" s="424"/>
      <c r="G83" s="454"/>
      <c r="H83" s="454"/>
      <c r="I83" s="454">
        <v>30000</v>
      </c>
      <c r="J83" s="435"/>
      <c r="K83" s="435"/>
      <c r="L83" s="435"/>
      <c r="M83" s="435"/>
      <c r="N83" s="435"/>
      <c r="O83" s="439"/>
      <c r="P83" s="439"/>
      <c r="Q83" s="454"/>
      <c r="R83" s="439"/>
      <c r="S83" s="439"/>
      <c r="T83" s="439"/>
      <c r="U83" s="458"/>
      <c r="XCK83" s="431"/>
      <c r="XCL83" s="431"/>
      <c r="XCM83" s="431"/>
      <c r="XCN83" s="431"/>
      <c r="XCO83" s="431"/>
      <c r="XCP83" s="431"/>
      <c r="XCQ83" s="431"/>
      <c r="XCR83" s="431"/>
      <c r="XCS83" s="431"/>
      <c r="XCT83" s="431"/>
      <c r="XCU83" s="431"/>
      <c r="XCV83" s="431"/>
      <c r="XCW83" s="431"/>
      <c r="XCX83" s="431"/>
      <c r="XCY83" s="431"/>
      <c r="XCZ83" s="431"/>
      <c r="XDA83" s="431"/>
      <c r="XDB83" s="431"/>
      <c r="XDC83" s="431"/>
      <c r="XDD83" s="431"/>
      <c r="XDE83" s="431"/>
      <c r="XDF83" s="431"/>
      <c r="XDG83" s="431"/>
      <c r="XDH83" s="431"/>
      <c r="XDI83" s="431"/>
      <c r="XDJ83" s="431"/>
      <c r="XDK83" s="431"/>
      <c r="XDL83" s="431"/>
      <c r="XDM83" s="431"/>
      <c r="XDN83" s="431"/>
      <c r="XDO83" s="431"/>
      <c r="XDP83" s="431"/>
      <c r="XDQ83" s="431"/>
      <c r="XDR83" s="431"/>
      <c r="XDS83" s="431"/>
      <c r="XDT83" s="431"/>
      <c r="XDU83" s="431"/>
      <c r="XDV83" s="431"/>
      <c r="XDW83" s="431"/>
      <c r="XDX83" s="431"/>
      <c r="XDY83" s="431"/>
      <c r="XDZ83" s="431"/>
      <c r="XEA83" s="431"/>
      <c r="XEB83" s="431"/>
      <c r="XEC83" s="431"/>
      <c r="XED83" s="431"/>
      <c r="XEE83" s="431"/>
      <c r="XEF83" s="431"/>
      <c r="XEG83" s="431"/>
      <c r="XEH83" s="431"/>
      <c r="XEI83" s="431"/>
      <c r="XEJ83" s="431"/>
      <c r="XEK83" s="431"/>
      <c r="XEL83" s="431"/>
      <c r="XEM83" s="431"/>
      <c r="XEN83" s="431"/>
      <c r="XEO83" s="431"/>
      <c r="XEP83" s="431"/>
      <c r="XEQ83" s="431"/>
      <c r="XER83" s="431"/>
      <c r="XES83" s="431"/>
      <c r="XET83" s="431"/>
      <c r="XEU83" s="431"/>
      <c r="XEV83" s="431"/>
      <c r="XEW83" s="431"/>
      <c r="XEX83" s="431"/>
      <c r="XEY83" s="431"/>
      <c r="XEZ83" s="431"/>
      <c r="XFA83" s="431"/>
      <c r="XFB83" s="431"/>
      <c r="XFC83" s="431"/>
      <c r="XFD83" s="431"/>
    </row>
    <row r="84" s="409" customFormat="1" ht="19" customHeight="1" spans="1:22 16313:16384">
      <c r="A84" s="436">
        <v>45560</v>
      </c>
      <c r="B84" s="460">
        <v>1000023384</v>
      </c>
      <c r="C84" s="422"/>
      <c r="D84" s="424"/>
      <c r="E84" s="426"/>
      <c r="F84" s="424"/>
      <c r="G84" s="454"/>
      <c r="H84" s="454"/>
      <c r="I84" s="454"/>
      <c r="J84" s="435"/>
      <c r="K84" s="435"/>
      <c r="L84" s="435">
        <v>80000</v>
      </c>
      <c r="M84" s="435"/>
      <c r="N84" s="435"/>
      <c r="O84" s="439"/>
      <c r="P84" s="439"/>
      <c r="Q84" s="454"/>
      <c r="R84" s="439"/>
      <c r="S84" s="439"/>
      <c r="T84" s="439"/>
      <c r="U84" s="458"/>
      <c r="XCK84" s="431"/>
      <c r="XCL84" s="431"/>
      <c r="XCM84" s="431"/>
      <c r="XCN84" s="431"/>
      <c r="XCO84" s="431"/>
      <c r="XCP84" s="431"/>
      <c r="XCQ84" s="431"/>
      <c r="XCR84" s="431"/>
      <c r="XCS84" s="431"/>
      <c r="XCT84" s="431"/>
      <c r="XCU84" s="431"/>
      <c r="XCV84" s="431"/>
      <c r="XCW84" s="431"/>
      <c r="XCX84" s="431"/>
      <c r="XCY84" s="431"/>
      <c r="XCZ84" s="431"/>
      <c r="XDA84" s="431"/>
      <c r="XDB84" s="431"/>
      <c r="XDC84" s="431"/>
      <c r="XDD84" s="431"/>
      <c r="XDE84" s="431"/>
      <c r="XDF84" s="431"/>
      <c r="XDG84" s="431"/>
      <c r="XDH84" s="431"/>
      <c r="XDI84" s="431"/>
      <c r="XDJ84" s="431"/>
      <c r="XDK84" s="431"/>
      <c r="XDL84" s="431"/>
      <c r="XDM84" s="431"/>
      <c r="XDN84" s="431"/>
      <c r="XDO84" s="431"/>
      <c r="XDP84" s="431"/>
      <c r="XDQ84" s="431"/>
      <c r="XDR84" s="431"/>
      <c r="XDS84" s="431"/>
      <c r="XDT84" s="431"/>
      <c r="XDU84" s="431"/>
      <c r="XDV84" s="431"/>
      <c r="XDW84" s="431"/>
      <c r="XDX84" s="431"/>
      <c r="XDY84" s="431"/>
      <c r="XDZ84" s="431"/>
      <c r="XEA84" s="431"/>
      <c r="XEB84" s="431"/>
      <c r="XEC84" s="431"/>
      <c r="XED84" s="431"/>
      <c r="XEE84" s="431"/>
      <c r="XEF84" s="431"/>
      <c r="XEG84" s="431"/>
      <c r="XEH84" s="431"/>
      <c r="XEI84" s="431"/>
      <c r="XEJ84" s="431"/>
      <c r="XEK84" s="431"/>
      <c r="XEL84" s="431"/>
      <c r="XEM84" s="431"/>
      <c r="XEN84" s="431"/>
      <c r="XEO84" s="431"/>
      <c r="XEP84" s="431"/>
      <c r="XEQ84" s="431"/>
      <c r="XER84" s="431"/>
      <c r="XES84" s="431"/>
      <c r="XET84" s="431"/>
      <c r="XEU84" s="431"/>
      <c r="XEV84" s="431"/>
      <c r="XEW84" s="431"/>
      <c r="XEX84" s="431"/>
      <c r="XEY84" s="431"/>
      <c r="XEZ84" s="431"/>
      <c r="XFA84" s="431"/>
      <c r="XFB84" s="431"/>
      <c r="XFC84" s="431"/>
      <c r="XFD84" s="431"/>
    </row>
    <row r="85" s="409" customFormat="1" ht="19" customHeight="1" spans="1:22 16313:16384">
      <c r="A85" s="436">
        <v>45560</v>
      </c>
      <c r="B85" s="460">
        <v>1000023385</v>
      </c>
      <c r="C85" s="422"/>
      <c r="D85" s="424"/>
      <c r="E85" s="426"/>
      <c r="F85" s="424"/>
      <c r="G85" s="454"/>
      <c r="H85" s="454"/>
      <c r="I85" s="454"/>
      <c r="J85" s="435"/>
      <c r="K85" s="435"/>
      <c r="L85" s="435"/>
      <c r="M85" s="435"/>
      <c r="N85" s="435"/>
      <c r="O85" s="439"/>
      <c r="P85" s="439"/>
      <c r="Q85" s="454">
        <v>150000</v>
      </c>
      <c r="R85" s="439"/>
      <c r="S85" s="439"/>
      <c r="T85" s="439"/>
      <c r="U85" s="458"/>
      <c r="XCK85" s="431"/>
      <c r="XCL85" s="431"/>
      <c r="XCM85" s="431"/>
      <c r="XCN85" s="431"/>
      <c r="XCO85" s="431"/>
      <c r="XCP85" s="431"/>
      <c r="XCQ85" s="431"/>
      <c r="XCR85" s="431"/>
      <c r="XCS85" s="431"/>
      <c r="XCT85" s="431"/>
      <c r="XCU85" s="431"/>
      <c r="XCV85" s="431"/>
      <c r="XCW85" s="431"/>
      <c r="XCX85" s="431"/>
      <c r="XCY85" s="431"/>
      <c r="XCZ85" s="431"/>
      <c r="XDA85" s="431"/>
      <c r="XDB85" s="431"/>
      <c r="XDC85" s="431"/>
      <c r="XDD85" s="431"/>
      <c r="XDE85" s="431"/>
      <c r="XDF85" s="431"/>
      <c r="XDG85" s="431"/>
      <c r="XDH85" s="431"/>
      <c r="XDI85" s="431"/>
      <c r="XDJ85" s="431"/>
      <c r="XDK85" s="431"/>
      <c r="XDL85" s="431"/>
      <c r="XDM85" s="431"/>
      <c r="XDN85" s="431"/>
      <c r="XDO85" s="431"/>
      <c r="XDP85" s="431"/>
      <c r="XDQ85" s="431"/>
      <c r="XDR85" s="431"/>
      <c r="XDS85" s="431"/>
      <c r="XDT85" s="431"/>
      <c r="XDU85" s="431"/>
      <c r="XDV85" s="431"/>
      <c r="XDW85" s="431"/>
      <c r="XDX85" s="431"/>
      <c r="XDY85" s="431"/>
      <c r="XDZ85" s="431"/>
      <c r="XEA85" s="431"/>
      <c r="XEB85" s="431"/>
      <c r="XEC85" s="431"/>
      <c r="XED85" s="431"/>
      <c r="XEE85" s="431"/>
      <c r="XEF85" s="431"/>
      <c r="XEG85" s="431"/>
      <c r="XEH85" s="431"/>
      <c r="XEI85" s="431"/>
      <c r="XEJ85" s="431"/>
      <c r="XEK85" s="431"/>
      <c r="XEL85" s="431"/>
      <c r="XEM85" s="431"/>
      <c r="XEN85" s="431"/>
      <c r="XEO85" s="431"/>
      <c r="XEP85" s="431"/>
      <c r="XEQ85" s="431"/>
      <c r="XER85" s="431"/>
      <c r="XES85" s="431"/>
      <c r="XET85" s="431"/>
      <c r="XEU85" s="431"/>
      <c r="XEV85" s="431"/>
      <c r="XEW85" s="431"/>
      <c r="XEX85" s="431"/>
      <c r="XEY85" s="431"/>
      <c r="XEZ85" s="431"/>
      <c r="XFA85" s="431"/>
      <c r="XFB85" s="431"/>
      <c r="XFC85" s="431"/>
      <c r="XFD85" s="431"/>
    </row>
    <row r="86" s="409" customFormat="1" ht="19" customHeight="1" spans="1:22 16313:16384">
      <c r="A86" s="436">
        <v>45610</v>
      </c>
      <c r="B86" s="460">
        <v>1000024470</v>
      </c>
      <c r="C86" s="422"/>
      <c r="D86" s="424"/>
      <c r="E86" s="426"/>
      <c r="F86" s="424">
        <v>150000</v>
      </c>
      <c r="G86" s="454"/>
      <c r="H86" s="454"/>
      <c r="I86" s="454"/>
      <c r="J86" s="435"/>
      <c r="K86" s="435"/>
      <c r="L86" s="435"/>
      <c r="M86" s="435"/>
      <c r="N86" s="435"/>
      <c r="O86" s="439"/>
      <c r="P86" s="439"/>
      <c r="Q86" s="454"/>
      <c r="R86" s="439"/>
      <c r="S86" s="439"/>
      <c r="T86" s="439"/>
      <c r="U86" s="458"/>
      <c r="XCK86" s="431"/>
      <c r="XCL86" s="431"/>
      <c r="XCM86" s="431"/>
      <c r="XCN86" s="431"/>
      <c r="XCO86" s="431"/>
      <c r="XCP86" s="431"/>
      <c r="XCQ86" s="431"/>
      <c r="XCR86" s="431"/>
      <c r="XCS86" s="431"/>
      <c r="XCT86" s="431"/>
      <c r="XCU86" s="431"/>
      <c r="XCV86" s="431"/>
      <c r="XCW86" s="431"/>
      <c r="XCX86" s="431"/>
      <c r="XCY86" s="431"/>
      <c r="XCZ86" s="431"/>
      <c r="XDA86" s="431"/>
      <c r="XDB86" s="431"/>
      <c r="XDC86" s="431"/>
      <c r="XDD86" s="431"/>
      <c r="XDE86" s="431"/>
      <c r="XDF86" s="431"/>
      <c r="XDG86" s="431"/>
      <c r="XDH86" s="431"/>
      <c r="XDI86" s="431"/>
      <c r="XDJ86" s="431"/>
      <c r="XDK86" s="431"/>
      <c r="XDL86" s="431"/>
      <c r="XDM86" s="431"/>
      <c r="XDN86" s="431"/>
      <c r="XDO86" s="431"/>
      <c r="XDP86" s="431"/>
      <c r="XDQ86" s="431"/>
      <c r="XDR86" s="431"/>
      <c r="XDS86" s="431"/>
      <c r="XDT86" s="431"/>
      <c r="XDU86" s="431"/>
      <c r="XDV86" s="431"/>
      <c r="XDW86" s="431"/>
      <c r="XDX86" s="431"/>
      <c r="XDY86" s="431"/>
      <c r="XDZ86" s="431"/>
      <c r="XEA86" s="431"/>
      <c r="XEB86" s="431"/>
      <c r="XEC86" s="431"/>
      <c r="XED86" s="431"/>
      <c r="XEE86" s="431"/>
      <c r="XEF86" s="431"/>
      <c r="XEG86" s="431"/>
      <c r="XEH86" s="431"/>
      <c r="XEI86" s="431"/>
      <c r="XEJ86" s="431"/>
      <c r="XEK86" s="431"/>
      <c r="XEL86" s="431"/>
      <c r="XEM86" s="431"/>
      <c r="XEN86" s="431"/>
      <c r="XEO86" s="431"/>
      <c r="XEP86" s="431"/>
      <c r="XEQ86" s="431"/>
      <c r="XER86" s="431"/>
      <c r="XES86" s="431"/>
      <c r="XET86" s="431"/>
      <c r="XEU86" s="431"/>
      <c r="XEV86" s="431"/>
      <c r="XEW86" s="431"/>
      <c r="XEX86" s="431"/>
      <c r="XEY86" s="431"/>
      <c r="XEZ86" s="431"/>
      <c r="XFA86" s="431"/>
      <c r="XFB86" s="431"/>
      <c r="XFC86" s="431"/>
      <c r="XFD86" s="431"/>
    </row>
    <row r="87" s="409" customFormat="1" ht="19" customHeight="1" spans="1:22 16313:16384">
      <c r="A87" s="436">
        <v>45610</v>
      </c>
      <c r="B87" s="460">
        <v>1000024471</v>
      </c>
      <c r="C87" s="422"/>
      <c r="D87" s="424"/>
      <c r="E87" s="426"/>
      <c r="F87" s="424"/>
      <c r="G87" s="454"/>
      <c r="H87" s="454"/>
      <c r="I87" s="454"/>
      <c r="J87" s="435"/>
      <c r="K87" s="435"/>
      <c r="L87" s="435">
        <v>150000</v>
      </c>
      <c r="M87" s="435"/>
      <c r="N87" s="435"/>
      <c r="O87" s="439"/>
      <c r="P87" s="439"/>
      <c r="Q87" s="454"/>
      <c r="R87" s="439"/>
      <c r="S87" s="439"/>
      <c r="T87" s="439"/>
      <c r="U87" s="458"/>
      <c r="XCK87" s="431"/>
      <c r="XCL87" s="431"/>
      <c r="XCM87" s="431"/>
      <c r="XCN87" s="431"/>
      <c r="XCO87" s="431"/>
      <c r="XCP87" s="431"/>
      <c r="XCQ87" s="431"/>
      <c r="XCR87" s="431"/>
      <c r="XCS87" s="431"/>
      <c r="XCT87" s="431"/>
      <c r="XCU87" s="431"/>
      <c r="XCV87" s="431"/>
      <c r="XCW87" s="431"/>
      <c r="XCX87" s="431"/>
      <c r="XCY87" s="431"/>
      <c r="XCZ87" s="431"/>
      <c r="XDA87" s="431"/>
      <c r="XDB87" s="431"/>
      <c r="XDC87" s="431"/>
      <c r="XDD87" s="431"/>
      <c r="XDE87" s="431"/>
      <c r="XDF87" s="431"/>
      <c r="XDG87" s="431"/>
      <c r="XDH87" s="431"/>
      <c r="XDI87" s="431"/>
      <c r="XDJ87" s="431"/>
      <c r="XDK87" s="431"/>
      <c r="XDL87" s="431"/>
      <c r="XDM87" s="431"/>
      <c r="XDN87" s="431"/>
      <c r="XDO87" s="431"/>
      <c r="XDP87" s="431"/>
      <c r="XDQ87" s="431"/>
      <c r="XDR87" s="431"/>
      <c r="XDS87" s="431"/>
      <c r="XDT87" s="431"/>
      <c r="XDU87" s="431"/>
      <c r="XDV87" s="431"/>
      <c r="XDW87" s="431"/>
      <c r="XDX87" s="431"/>
      <c r="XDY87" s="431"/>
      <c r="XDZ87" s="431"/>
      <c r="XEA87" s="431"/>
      <c r="XEB87" s="431"/>
      <c r="XEC87" s="431"/>
      <c r="XED87" s="431"/>
      <c r="XEE87" s="431"/>
      <c r="XEF87" s="431"/>
      <c r="XEG87" s="431"/>
      <c r="XEH87" s="431"/>
      <c r="XEI87" s="431"/>
      <c r="XEJ87" s="431"/>
      <c r="XEK87" s="431"/>
      <c r="XEL87" s="431"/>
      <c r="XEM87" s="431"/>
      <c r="XEN87" s="431"/>
      <c r="XEO87" s="431"/>
      <c r="XEP87" s="431"/>
      <c r="XEQ87" s="431"/>
      <c r="XER87" s="431"/>
      <c r="XES87" s="431"/>
      <c r="XET87" s="431"/>
      <c r="XEU87" s="431"/>
      <c r="XEV87" s="431"/>
      <c r="XEW87" s="431"/>
      <c r="XEX87" s="431"/>
      <c r="XEY87" s="431"/>
      <c r="XEZ87" s="431"/>
      <c r="XFA87" s="431"/>
      <c r="XFB87" s="431"/>
      <c r="XFC87" s="431"/>
      <c r="XFD87" s="431"/>
    </row>
    <row r="88" s="409" customFormat="1" ht="19" customHeight="1" spans="1:22 16313:16384">
      <c r="A88" s="436">
        <v>45610</v>
      </c>
      <c r="B88" s="460">
        <v>1000024472</v>
      </c>
      <c r="C88" s="422"/>
      <c r="D88" s="424"/>
      <c r="E88" s="426"/>
      <c r="F88" s="424"/>
      <c r="G88" s="454"/>
      <c r="H88" s="454"/>
      <c r="I88" s="454"/>
      <c r="J88" s="435"/>
      <c r="K88" s="435"/>
      <c r="L88" s="435"/>
      <c r="M88" s="435"/>
      <c r="N88" s="435"/>
      <c r="O88" s="439"/>
      <c r="P88" s="439"/>
      <c r="Q88" s="454">
        <v>150000</v>
      </c>
      <c r="R88" s="439"/>
      <c r="S88" s="439"/>
      <c r="T88" s="439"/>
      <c r="U88" s="458"/>
      <c r="XCK88" s="431"/>
      <c r="XCL88" s="431"/>
      <c r="XCM88" s="431"/>
      <c r="XCN88" s="431"/>
      <c r="XCO88" s="431"/>
      <c r="XCP88" s="431"/>
      <c r="XCQ88" s="431"/>
      <c r="XCR88" s="431"/>
      <c r="XCS88" s="431"/>
      <c r="XCT88" s="431"/>
      <c r="XCU88" s="431"/>
      <c r="XCV88" s="431"/>
      <c r="XCW88" s="431"/>
      <c r="XCX88" s="431"/>
      <c r="XCY88" s="431"/>
      <c r="XCZ88" s="431"/>
      <c r="XDA88" s="431"/>
      <c r="XDB88" s="431"/>
      <c r="XDC88" s="431"/>
      <c r="XDD88" s="431"/>
      <c r="XDE88" s="431"/>
      <c r="XDF88" s="431"/>
      <c r="XDG88" s="431"/>
      <c r="XDH88" s="431"/>
      <c r="XDI88" s="431"/>
      <c r="XDJ88" s="431"/>
      <c r="XDK88" s="431"/>
      <c r="XDL88" s="431"/>
      <c r="XDM88" s="431"/>
      <c r="XDN88" s="431"/>
      <c r="XDO88" s="431"/>
      <c r="XDP88" s="431"/>
      <c r="XDQ88" s="431"/>
      <c r="XDR88" s="431"/>
      <c r="XDS88" s="431"/>
      <c r="XDT88" s="431"/>
      <c r="XDU88" s="431"/>
      <c r="XDV88" s="431"/>
      <c r="XDW88" s="431"/>
      <c r="XDX88" s="431"/>
      <c r="XDY88" s="431"/>
      <c r="XDZ88" s="431"/>
      <c r="XEA88" s="431"/>
      <c r="XEB88" s="431"/>
      <c r="XEC88" s="431"/>
      <c r="XED88" s="431"/>
      <c r="XEE88" s="431"/>
      <c r="XEF88" s="431"/>
      <c r="XEG88" s="431"/>
      <c r="XEH88" s="431"/>
      <c r="XEI88" s="431"/>
      <c r="XEJ88" s="431"/>
      <c r="XEK88" s="431"/>
      <c r="XEL88" s="431"/>
      <c r="XEM88" s="431"/>
      <c r="XEN88" s="431"/>
      <c r="XEO88" s="431"/>
      <c r="XEP88" s="431"/>
      <c r="XEQ88" s="431"/>
      <c r="XER88" s="431"/>
      <c r="XES88" s="431"/>
      <c r="XET88" s="431"/>
      <c r="XEU88" s="431"/>
      <c r="XEV88" s="431"/>
      <c r="XEW88" s="431"/>
      <c r="XEX88" s="431"/>
      <c r="XEY88" s="431"/>
      <c r="XEZ88" s="431"/>
      <c r="XFA88" s="431"/>
      <c r="XFB88" s="431"/>
      <c r="XFC88" s="431"/>
      <c r="XFD88" s="431"/>
    </row>
    <row r="89" s="409" customFormat="1" ht="19" customHeight="1" spans="1:22 16313:16384">
      <c r="A89" s="436">
        <v>45639</v>
      </c>
      <c r="B89" s="460">
        <v>1000025126</v>
      </c>
      <c r="C89" s="422"/>
      <c r="D89" s="424"/>
      <c r="E89" s="426"/>
      <c r="F89" s="424">
        <v>30000</v>
      </c>
      <c r="G89" s="454"/>
      <c r="H89" s="454"/>
      <c r="I89" s="454"/>
      <c r="J89" s="435"/>
      <c r="K89" s="435"/>
      <c r="L89" s="435"/>
      <c r="M89" s="435"/>
      <c r="N89" s="435"/>
      <c r="O89" s="439"/>
      <c r="P89" s="439"/>
      <c r="Q89" s="454"/>
      <c r="R89" s="439"/>
      <c r="S89" s="439"/>
      <c r="T89" s="439"/>
      <c r="U89" s="458"/>
      <c r="XCK89" s="431"/>
      <c r="XCL89" s="431"/>
      <c r="XCM89" s="431"/>
      <c r="XCN89" s="431"/>
      <c r="XCO89" s="431"/>
      <c r="XCP89" s="431"/>
      <c r="XCQ89" s="431"/>
      <c r="XCR89" s="431"/>
      <c r="XCS89" s="431"/>
      <c r="XCT89" s="431"/>
      <c r="XCU89" s="431"/>
      <c r="XCV89" s="431"/>
      <c r="XCW89" s="431"/>
      <c r="XCX89" s="431"/>
      <c r="XCY89" s="431"/>
      <c r="XCZ89" s="431"/>
      <c r="XDA89" s="431"/>
      <c r="XDB89" s="431"/>
      <c r="XDC89" s="431"/>
      <c r="XDD89" s="431"/>
      <c r="XDE89" s="431"/>
      <c r="XDF89" s="431"/>
      <c r="XDG89" s="431"/>
      <c r="XDH89" s="431"/>
      <c r="XDI89" s="431"/>
      <c r="XDJ89" s="431"/>
      <c r="XDK89" s="431"/>
      <c r="XDL89" s="431"/>
      <c r="XDM89" s="431"/>
      <c r="XDN89" s="431"/>
      <c r="XDO89" s="431"/>
      <c r="XDP89" s="431"/>
      <c r="XDQ89" s="431"/>
      <c r="XDR89" s="431"/>
      <c r="XDS89" s="431"/>
      <c r="XDT89" s="431"/>
      <c r="XDU89" s="431"/>
      <c r="XDV89" s="431"/>
      <c r="XDW89" s="431"/>
      <c r="XDX89" s="431"/>
      <c r="XDY89" s="431"/>
      <c r="XDZ89" s="431"/>
      <c r="XEA89" s="431"/>
      <c r="XEB89" s="431"/>
      <c r="XEC89" s="431"/>
      <c r="XED89" s="431"/>
      <c r="XEE89" s="431"/>
      <c r="XEF89" s="431"/>
      <c r="XEG89" s="431"/>
      <c r="XEH89" s="431"/>
      <c r="XEI89" s="431"/>
      <c r="XEJ89" s="431"/>
      <c r="XEK89" s="431"/>
      <c r="XEL89" s="431"/>
      <c r="XEM89" s="431"/>
      <c r="XEN89" s="431"/>
      <c r="XEO89" s="431"/>
      <c r="XEP89" s="431"/>
      <c r="XEQ89" s="431"/>
      <c r="XER89" s="431"/>
      <c r="XES89" s="431"/>
      <c r="XET89" s="431"/>
      <c r="XEU89" s="431"/>
      <c r="XEV89" s="431"/>
      <c r="XEW89" s="431"/>
      <c r="XEX89" s="431"/>
      <c r="XEY89" s="431"/>
      <c r="XEZ89" s="431"/>
      <c r="XFA89" s="431"/>
      <c r="XFB89" s="431"/>
      <c r="XFC89" s="431"/>
      <c r="XFD89" s="431"/>
    </row>
    <row r="90" s="409" customFormat="1" ht="19" customHeight="1" spans="1:22 16313:16384">
      <c r="A90" s="436">
        <v>45639</v>
      </c>
      <c r="B90" s="460">
        <v>1000025127</v>
      </c>
      <c r="C90" s="422"/>
      <c r="D90" s="424"/>
      <c r="E90" s="426"/>
      <c r="F90" s="424"/>
      <c r="G90" s="454"/>
      <c r="H90" s="454"/>
      <c r="I90" s="424">
        <v>30000</v>
      </c>
      <c r="J90" s="435"/>
      <c r="K90" s="435"/>
      <c r="L90" s="435"/>
      <c r="M90" s="435"/>
      <c r="N90" s="435"/>
      <c r="O90" s="439"/>
      <c r="P90" s="439"/>
      <c r="Q90" s="454"/>
      <c r="R90" s="439"/>
      <c r="S90" s="439"/>
      <c r="T90" s="439"/>
      <c r="U90" s="458"/>
      <c r="XCK90" s="431"/>
      <c r="XCL90" s="431"/>
      <c r="XCM90" s="431"/>
      <c r="XCN90" s="431"/>
      <c r="XCO90" s="431"/>
      <c r="XCP90" s="431"/>
      <c r="XCQ90" s="431"/>
      <c r="XCR90" s="431"/>
      <c r="XCS90" s="431"/>
      <c r="XCT90" s="431"/>
      <c r="XCU90" s="431"/>
      <c r="XCV90" s="431"/>
      <c r="XCW90" s="431"/>
      <c r="XCX90" s="431"/>
      <c r="XCY90" s="431"/>
      <c r="XCZ90" s="431"/>
      <c r="XDA90" s="431"/>
      <c r="XDB90" s="431"/>
      <c r="XDC90" s="431"/>
      <c r="XDD90" s="431"/>
      <c r="XDE90" s="431"/>
      <c r="XDF90" s="431"/>
      <c r="XDG90" s="431"/>
      <c r="XDH90" s="431"/>
      <c r="XDI90" s="431"/>
      <c r="XDJ90" s="431"/>
      <c r="XDK90" s="431"/>
      <c r="XDL90" s="431"/>
      <c r="XDM90" s="431"/>
      <c r="XDN90" s="431"/>
      <c r="XDO90" s="431"/>
      <c r="XDP90" s="431"/>
      <c r="XDQ90" s="431"/>
      <c r="XDR90" s="431"/>
      <c r="XDS90" s="431"/>
      <c r="XDT90" s="431"/>
      <c r="XDU90" s="431"/>
      <c r="XDV90" s="431"/>
      <c r="XDW90" s="431"/>
      <c r="XDX90" s="431"/>
      <c r="XDY90" s="431"/>
      <c r="XDZ90" s="431"/>
      <c r="XEA90" s="431"/>
      <c r="XEB90" s="431"/>
      <c r="XEC90" s="431"/>
      <c r="XED90" s="431"/>
      <c r="XEE90" s="431"/>
      <c r="XEF90" s="431"/>
      <c r="XEG90" s="431"/>
      <c r="XEH90" s="431"/>
      <c r="XEI90" s="431"/>
      <c r="XEJ90" s="431"/>
      <c r="XEK90" s="431"/>
      <c r="XEL90" s="431"/>
      <c r="XEM90" s="431"/>
      <c r="XEN90" s="431"/>
      <c r="XEO90" s="431"/>
      <c r="XEP90" s="431"/>
      <c r="XEQ90" s="431"/>
      <c r="XER90" s="431"/>
      <c r="XES90" s="431"/>
      <c r="XET90" s="431"/>
      <c r="XEU90" s="431"/>
      <c r="XEV90" s="431"/>
      <c r="XEW90" s="431"/>
      <c r="XEX90" s="431"/>
      <c r="XEY90" s="431"/>
      <c r="XEZ90" s="431"/>
      <c r="XFA90" s="431"/>
      <c r="XFB90" s="431"/>
      <c r="XFC90" s="431"/>
      <c r="XFD90" s="431"/>
    </row>
    <row r="91" s="409" customFormat="1" ht="19" customHeight="1" spans="1:22 16313:16384">
      <c r="A91" s="436">
        <v>45639</v>
      </c>
      <c r="B91" s="460">
        <v>1000025128</v>
      </c>
      <c r="C91" s="422"/>
      <c r="D91" s="424"/>
      <c r="E91" s="426"/>
      <c r="F91" s="424"/>
      <c r="G91" s="454"/>
      <c r="H91" s="454"/>
      <c r="I91" s="454"/>
      <c r="J91" s="435"/>
      <c r="K91" s="435"/>
      <c r="L91" s="435"/>
      <c r="M91" s="435"/>
      <c r="N91" s="435"/>
      <c r="O91" s="439"/>
      <c r="P91" s="439"/>
      <c r="Q91" s="454">
        <v>50000</v>
      </c>
      <c r="R91" s="439"/>
      <c r="S91" s="439"/>
      <c r="T91" s="439"/>
      <c r="U91" s="458"/>
      <c r="XCK91" s="431"/>
      <c r="XCL91" s="431"/>
      <c r="XCM91" s="431"/>
      <c r="XCN91" s="431"/>
      <c r="XCO91" s="431"/>
      <c r="XCP91" s="431"/>
      <c r="XCQ91" s="431"/>
      <c r="XCR91" s="431"/>
      <c r="XCS91" s="431"/>
      <c r="XCT91" s="431"/>
      <c r="XCU91" s="431"/>
      <c r="XCV91" s="431"/>
      <c r="XCW91" s="431"/>
      <c r="XCX91" s="431"/>
      <c r="XCY91" s="431"/>
      <c r="XCZ91" s="431"/>
      <c r="XDA91" s="431"/>
      <c r="XDB91" s="431"/>
      <c r="XDC91" s="431"/>
      <c r="XDD91" s="431"/>
      <c r="XDE91" s="431"/>
      <c r="XDF91" s="431"/>
      <c r="XDG91" s="431"/>
      <c r="XDH91" s="431"/>
      <c r="XDI91" s="431"/>
      <c r="XDJ91" s="431"/>
      <c r="XDK91" s="431"/>
      <c r="XDL91" s="431"/>
      <c r="XDM91" s="431"/>
      <c r="XDN91" s="431"/>
      <c r="XDO91" s="431"/>
      <c r="XDP91" s="431"/>
      <c r="XDQ91" s="431"/>
      <c r="XDR91" s="431"/>
      <c r="XDS91" s="431"/>
      <c r="XDT91" s="431"/>
      <c r="XDU91" s="431"/>
      <c r="XDV91" s="431"/>
      <c r="XDW91" s="431"/>
      <c r="XDX91" s="431"/>
      <c r="XDY91" s="431"/>
      <c r="XDZ91" s="431"/>
      <c r="XEA91" s="431"/>
      <c r="XEB91" s="431"/>
      <c r="XEC91" s="431"/>
      <c r="XED91" s="431"/>
      <c r="XEE91" s="431"/>
      <c r="XEF91" s="431"/>
      <c r="XEG91" s="431"/>
      <c r="XEH91" s="431"/>
      <c r="XEI91" s="431"/>
      <c r="XEJ91" s="431"/>
      <c r="XEK91" s="431"/>
      <c r="XEL91" s="431"/>
      <c r="XEM91" s="431"/>
      <c r="XEN91" s="431"/>
      <c r="XEO91" s="431"/>
      <c r="XEP91" s="431"/>
      <c r="XEQ91" s="431"/>
      <c r="XER91" s="431"/>
      <c r="XES91" s="431"/>
      <c r="XET91" s="431"/>
      <c r="XEU91" s="431"/>
      <c r="XEV91" s="431"/>
      <c r="XEW91" s="431"/>
      <c r="XEX91" s="431"/>
      <c r="XEY91" s="431"/>
      <c r="XEZ91" s="431"/>
      <c r="XFA91" s="431"/>
      <c r="XFB91" s="431"/>
      <c r="XFC91" s="431"/>
      <c r="XFD91" s="431"/>
    </row>
    <row r="92" s="409" customFormat="1" ht="19" customHeight="1" spans="1:22 16313:16384">
      <c r="A92" s="436"/>
      <c r="B92" s="460"/>
      <c r="C92" s="422"/>
      <c r="D92" s="424"/>
      <c r="E92" s="426"/>
      <c r="F92" s="424"/>
      <c r="G92" s="454"/>
      <c r="H92" s="454"/>
      <c r="I92" s="454"/>
      <c r="J92" s="435"/>
      <c r="K92" s="435"/>
      <c r="L92" s="435"/>
      <c r="M92" s="435">
        <v>10002</v>
      </c>
      <c r="N92" s="435"/>
      <c r="O92" s="439"/>
      <c r="P92" s="439"/>
      <c r="Q92" s="454"/>
      <c r="R92" s="439"/>
      <c r="S92" s="439"/>
      <c r="T92" s="439"/>
      <c r="U92" s="458">
        <v>4500151230</v>
      </c>
      <c r="XCK92" s="431"/>
      <c r="XCL92" s="431"/>
      <c r="XCM92" s="431"/>
      <c r="XCN92" s="431"/>
      <c r="XCO92" s="431"/>
      <c r="XCP92" s="431"/>
      <c r="XCQ92" s="431"/>
      <c r="XCR92" s="431"/>
      <c r="XCS92" s="431"/>
      <c r="XCT92" s="431"/>
      <c r="XCU92" s="431"/>
      <c r="XCV92" s="431"/>
      <c r="XCW92" s="431"/>
      <c r="XCX92" s="431"/>
      <c r="XCY92" s="431"/>
      <c r="XCZ92" s="431"/>
      <c r="XDA92" s="431"/>
      <c r="XDB92" s="431"/>
      <c r="XDC92" s="431"/>
      <c r="XDD92" s="431"/>
      <c r="XDE92" s="431"/>
      <c r="XDF92" s="431"/>
      <c r="XDG92" s="431"/>
      <c r="XDH92" s="431"/>
      <c r="XDI92" s="431"/>
      <c r="XDJ92" s="431"/>
      <c r="XDK92" s="431"/>
      <c r="XDL92" s="431"/>
      <c r="XDM92" s="431"/>
      <c r="XDN92" s="431"/>
      <c r="XDO92" s="431"/>
      <c r="XDP92" s="431"/>
      <c r="XDQ92" s="431"/>
      <c r="XDR92" s="431"/>
      <c r="XDS92" s="431"/>
      <c r="XDT92" s="431"/>
      <c r="XDU92" s="431"/>
      <c r="XDV92" s="431"/>
      <c r="XDW92" s="431"/>
      <c r="XDX92" s="431"/>
      <c r="XDY92" s="431"/>
      <c r="XDZ92" s="431"/>
      <c r="XEA92" s="431"/>
      <c r="XEB92" s="431"/>
      <c r="XEC92" s="431"/>
      <c r="XED92" s="431"/>
      <c r="XEE92" s="431"/>
      <c r="XEF92" s="431"/>
      <c r="XEG92" s="431"/>
      <c r="XEH92" s="431"/>
      <c r="XEI92" s="431"/>
      <c r="XEJ92" s="431"/>
      <c r="XEK92" s="431"/>
      <c r="XEL92" s="431"/>
      <c r="XEM92" s="431"/>
      <c r="XEN92" s="431"/>
      <c r="XEO92" s="431"/>
      <c r="XEP92" s="431"/>
      <c r="XEQ92" s="431"/>
      <c r="XER92" s="431"/>
      <c r="XES92" s="431"/>
      <c r="XET92" s="431"/>
      <c r="XEU92" s="431"/>
      <c r="XEV92" s="431"/>
      <c r="XEW92" s="431"/>
      <c r="XEX92" s="431"/>
      <c r="XEY92" s="431"/>
      <c r="XEZ92" s="431"/>
      <c r="XFA92" s="431"/>
      <c r="XFB92" s="431"/>
      <c r="XFC92" s="431"/>
      <c r="XFD92" s="431"/>
    </row>
    <row r="93" s="409" customFormat="1" ht="19" customHeight="1" spans="1:22 16313:16384">
      <c r="A93" s="436">
        <v>45743</v>
      </c>
      <c r="B93" s="460">
        <v>1000026675</v>
      </c>
      <c r="C93" s="422" t="s">
        <v>2564</v>
      </c>
      <c r="D93" s="424"/>
      <c r="E93" s="426"/>
      <c r="F93" s="424">
        <v>30000</v>
      </c>
      <c r="G93" s="454"/>
      <c r="H93" s="454"/>
      <c r="I93" s="454"/>
      <c r="J93" s="435"/>
      <c r="K93" s="435"/>
      <c r="L93" s="435"/>
      <c r="M93" s="435"/>
      <c r="N93" s="435"/>
      <c r="O93" s="439"/>
      <c r="P93" s="439"/>
      <c r="Q93" s="454"/>
      <c r="R93" s="439"/>
      <c r="S93" s="439"/>
      <c r="T93" s="439"/>
      <c r="U93" s="458"/>
      <c r="XCK93" s="431"/>
      <c r="XCL93" s="431"/>
      <c r="XCM93" s="431"/>
      <c r="XCN93" s="431"/>
      <c r="XCO93" s="431"/>
      <c r="XCP93" s="431"/>
      <c r="XCQ93" s="431"/>
      <c r="XCR93" s="431"/>
      <c r="XCS93" s="431"/>
      <c r="XCT93" s="431"/>
      <c r="XCU93" s="431"/>
      <c r="XCV93" s="431"/>
      <c r="XCW93" s="431"/>
      <c r="XCX93" s="431"/>
      <c r="XCY93" s="431"/>
      <c r="XCZ93" s="431"/>
      <c r="XDA93" s="431"/>
      <c r="XDB93" s="431"/>
      <c r="XDC93" s="431"/>
      <c r="XDD93" s="431"/>
      <c r="XDE93" s="431"/>
      <c r="XDF93" s="431"/>
      <c r="XDG93" s="431"/>
      <c r="XDH93" s="431"/>
      <c r="XDI93" s="431"/>
      <c r="XDJ93" s="431"/>
      <c r="XDK93" s="431"/>
      <c r="XDL93" s="431"/>
      <c r="XDM93" s="431"/>
      <c r="XDN93" s="431"/>
      <c r="XDO93" s="431"/>
      <c r="XDP93" s="431"/>
      <c r="XDQ93" s="431"/>
      <c r="XDR93" s="431"/>
      <c r="XDS93" s="431"/>
      <c r="XDT93" s="431"/>
      <c r="XDU93" s="431"/>
      <c r="XDV93" s="431"/>
      <c r="XDW93" s="431"/>
      <c r="XDX93" s="431"/>
      <c r="XDY93" s="431"/>
      <c r="XDZ93" s="431"/>
      <c r="XEA93" s="431"/>
      <c r="XEB93" s="431"/>
      <c r="XEC93" s="431"/>
      <c r="XED93" s="431"/>
      <c r="XEE93" s="431"/>
      <c r="XEF93" s="431"/>
      <c r="XEG93" s="431"/>
      <c r="XEH93" s="431"/>
      <c r="XEI93" s="431"/>
      <c r="XEJ93" s="431"/>
      <c r="XEK93" s="431"/>
      <c r="XEL93" s="431"/>
      <c r="XEM93" s="431"/>
      <c r="XEN93" s="431"/>
      <c r="XEO93" s="431"/>
      <c r="XEP93" s="431"/>
      <c r="XEQ93" s="431"/>
      <c r="XER93" s="431"/>
      <c r="XES93" s="431"/>
      <c r="XET93" s="431"/>
      <c r="XEU93" s="431"/>
      <c r="XEV93" s="431"/>
      <c r="XEW93" s="431"/>
      <c r="XEX93" s="431"/>
      <c r="XEY93" s="431"/>
      <c r="XEZ93" s="431"/>
      <c r="XFA93" s="431"/>
      <c r="XFB93" s="431"/>
      <c r="XFC93" s="431"/>
      <c r="XFD93" s="431"/>
    </row>
    <row r="94" s="409" customFormat="1" ht="19" customHeight="1" spans="1:22 16313:16384">
      <c r="A94" s="436">
        <v>45743</v>
      </c>
      <c r="B94" s="460">
        <v>1000026676</v>
      </c>
      <c r="C94" s="422" t="s">
        <v>2564</v>
      </c>
      <c r="D94" s="424"/>
      <c r="E94" s="426"/>
      <c r="F94" s="424"/>
      <c r="G94" s="454"/>
      <c r="H94" s="454"/>
      <c r="I94" s="424">
        <v>30000</v>
      </c>
      <c r="J94" s="435"/>
      <c r="K94" s="435"/>
      <c r="L94" s="435"/>
      <c r="M94" s="435"/>
      <c r="N94" s="435"/>
      <c r="O94" s="439"/>
      <c r="P94" s="439"/>
      <c r="Q94" s="454"/>
      <c r="R94" s="439"/>
      <c r="S94" s="439"/>
      <c r="T94" s="439"/>
      <c r="U94" s="458"/>
      <c r="XCK94" s="431"/>
      <c r="XCL94" s="431"/>
      <c r="XCM94" s="431"/>
      <c r="XCN94" s="431"/>
      <c r="XCO94" s="431"/>
      <c r="XCP94" s="431"/>
      <c r="XCQ94" s="431"/>
      <c r="XCR94" s="431"/>
      <c r="XCS94" s="431"/>
      <c r="XCT94" s="431"/>
      <c r="XCU94" s="431"/>
      <c r="XCV94" s="431"/>
      <c r="XCW94" s="431"/>
      <c r="XCX94" s="431"/>
      <c r="XCY94" s="431"/>
      <c r="XCZ94" s="431"/>
      <c r="XDA94" s="431"/>
      <c r="XDB94" s="431"/>
      <c r="XDC94" s="431"/>
      <c r="XDD94" s="431"/>
      <c r="XDE94" s="431"/>
      <c r="XDF94" s="431"/>
      <c r="XDG94" s="431"/>
      <c r="XDH94" s="431"/>
      <c r="XDI94" s="431"/>
      <c r="XDJ94" s="431"/>
      <c r="XDK94" s="431"/>
      <c r="XDL94" s="431"/>
      <c r="XDM94" s="431"/>
      <c r="XDN94" s="431"/>
      <c r="XDO94" s="431"/>
      <c r="XDP94" s="431"/>
      <c r="XDQ94" s="431"/>
      <c r="XDR94" s="431"/>
      <c r="XDS94" s="431"/>
      <c r="XDT94" s="431"/>
      <c r="XDU94" s="431"/>
      <c r="XDV94" s="431"/>
      <c r="XDW94" s="431"/>
      <c r="XDX94" s="431"/>
      <c r="XDY94" s="431"/>
      <c r="XDZ94" s="431"/>
      <c r="XEA94" s="431"/>
      <c r="XEB94" s="431"/>
      <c r="XEC94" s="431"/>
      <c r="XED94" s="431"/>
      <c r="XEE94" s="431"/>
      <c r="XEF94" s="431"/>
      <c r="XEG94" s="431"/>
      <c r="XEH94" s="431"/>
      <c r="XEI94" s="431"/>
      <c r="XEJ94" s="431"/>
      <c r="XEK94" s="431"/>
      <c r="XEL94" s="431"/>
      <c r="XEM94" s="431"/>
      <c r="XEN94" s="431"/>
      <c r="XEO94" s="431"/>
      <c r="XEP94" s="431"/>
      <c r="XEQ94" s="431"/>
      <c r="XER94" s="431"/>
      <c r="XES94" s="431"/>
      <c r="XET94" s="431"/>
      <c r="XEU94" s="431"/>
      <c r="XEV94" s="431"/>
      <c r="XEW94" s="431"/>
      <c r="XEX94" s="431"/>
      <c r="XEY94" s="431"/>
      <c r="XEZ94" s="431"/>
      <c r="XFA94" s="431"/>
      <c r="XFB94" s="431"/>
      <c r="XFC94" s="431"/>
      <c r="XFD94" s="431"/>
    </row>
    <row r="95" s="409" customFormat="1" ht="19" customHeight="1" spans="1:22 16313:16384">
      <c r="A95" s="436">
        <v>45743</v>
      </c>
      <c r="B95" s="460">
        <v>1000026677</v>
      </c>
      <c r="C95" s="422" t="s">
        <v>2564</v>
      </c>
      <c r="D95" s="424"/>
      <c r="E95" s="426"/>
      <c r="F95" s="424"/>
      <c r="G95" s="454"/>
      <c r="H95" s="454"/>
      <c r="I95" s="454"/>
      <c r="J95" s="435"/>
      <c r="K95" s="435"/>
      <c r="L95" s="424">
        <v>30000</v>
      </c>
      <c r="M95" s="435"/>
      <c r="N95" s="435"/>
      <c r="O95" s="439"/>
      <c r="P95" s="439"/>
      <c r="Q95" s="454"/>
      <c r="R95" s="439"/>
      <c r="S95" s="439"/>
      <c r="T95" s="439"/>
      <c r="U95" s="458"/>
      <c r="XCK95" s="431"/>
      <c r="XCL95" s="431"/>
      <c r="XCM95" s="431"/>
      <c r="XCN95" s="431"/>
      <c r="XCO95" s="431"/>
      <c r="XCP95" s="431"/>
      <c r="XCQ95" s="431"/>
      <c r="XCR95" s="431"/>
      <c r="XCS95" s="431"/>
      <c r="XCT95" s="431"/>
      <c r="XCU95" s="431"/>
      <c r="XCV95" s="431"/>
      <c r="XCW95" s="431"/>
      <c r="XCX95" s="431"/>
      <c r="XCY95" s="431"/>
      <c r="XCZ95" s="431"/>
      <c r="XDA95" s="431"/>
      <c r="XDB95" s="431"/>
      <c r="XDC95" s="431"/>
      <c r="XDD95" s="431"/>
      <c r="XDE95" s="431"/>
      <c r="XDF95" s="431"/>
      <c r="XDG95" s="431"/>
      <c r="XDH95" s="431"/>
      <c r="XDI95" s="431"/>
      <c r="XDJ95" s="431"/>
      <c r="XDK95" s="431"/>
      <c r="XDL95" s="431"/>
      <c r="XDM95" s="431"/>
      <c r="XDN95" s="431"/>
      <c r="XDO95" s="431"/>
      <c r="XDP95" s="431"/>
      <c r="XDQ95" s="431"/>
      <c r="XDR95" s="431"/>
      <c r="XDS95" s="431"/>
      <c r="XDT95" s="431"/>
      <c r="XDU95" s="431"/>
      <c r="XDV95" s="431"/>
      <c r="XDW95" s="431"/>
      <c r="XDX95" s="431"/>
      <c r="XDY95" s="431"/>
      <c r="XDZ95" s="431"/>
      <c r="XEA95" s="431"/>
      <c r="XEB95" s="431"/>
      <c r="XEC95" s="431"/>
      <c r="XED95" s="431"/>
      <c r="XEE95" s="431"/>
      <c r="XEF95" s="431"/>
      <c r="XEG95" s="431"/>
      <c r="XEH95" s="431"/>
      <c r="XEI95" s="431"/>
      <c r="XEJ95" s="431"/>
      <c r="XEK95" s="431"/>
      <c r="XEL95" s="431"/>
      <c r="XEM95" s="431"/>
      <c r="XEN95" s="431"/>
      <c r="XEO95" s="431"/>
      <c r="XEP95" s="431"/>
      <c r="XEQ95" s="431"/>
      <c r="XER95" s="431"/>
      <c r="XES95" s="431"/>
      <c r="XET95" s="431"/>
      <c r="XEU95" s="431"/>
      <c r="XEV95" s="431"/>
      <c r="XEW95" s="431"/>
      <c r="XEX95" s="431"/>
      <c r="XEY95" s="431"/>
      <c r="XEZ95" s="431"/>
      <c r="XFA95" s="431"/>
      <c r="XFB95" s="431"/>
      <c r="XFC95" s="431"/>
      <c r="XFD95" s="431"/>
    </row>
    <row r="96" s="409" customFormat="1" ht="19" customHeight="1" spans="1:22 16313:16384">
      <c r="A96" s="436">
        <v>45743</v>
      </c>
      <c r="B96" s="460">
        <v>1000026678</v>
      </c>
      <c r="C96" s="422" t="s">
        <v>2564</v>
      </c>
      <c r="D96" s="424"/>
      <c r="E96" s="426"/>
      <c r="F96" s="424"/>
      <c r="G96" s="454"/>
      <c r="H96" s="454"/>
      <c r="I96" s="454"/>
      <c r="J96" s="435"/>
      <c r="K96" s="435"/>
      <c r="L96" s="435"/>
      <c r="M96" s="435"/>
      <c r="N96" s="435"/>
      <c r="O96" s="439"/>
      <c r="P96" s="439"/>
      <c r="Q96" s="424">
        <v>50000</v>
      </c>
      <c r="R96" s="439"/>
      <c r="S96" s="439"/>
      <c r="T96" s="439"/>
      <c r="U96" s="458"/>
      <c r="XCK96" s="431"/>
      <c r="XCL96" s="431"/>
      <c r="XCM96" s="431"/>
      <c r="XCN96" s="431"/>
      <c r="XCO96" s="431"/>
      <c r="XCP96" s="431"/>
      <c r="XCQ96" s="431"/>
      <c r="XCR96" s="431"/>
      <c r="XCS96" s="431"/>
      <c r="XCT96" s="431"/>
      <c r="XCU96" s="431"/>
      <c r="XCV96" s="431"/>
      <c r="XCW96" s="431"/>
      <c r="XCX96" s="431"/>
      <c r="XCY96" s="431"/>
      <c r="XCZ96" s="431"/>
      <c r="XDA96" s="431"/>
      <c r="XDB96" s="431"/>
      <c r="XDC96" s="431"/>
      <c r="XDD96" s="431"/>
      <c r="XDE96" s="431"/>
      <c r="XDF96" s="431"/>
      <c r="XDG96" s="431"/>
      <c r="XDH96" s="431"/>
      <c r="XDI96" s="431"/>
      <c r="XDJ96" s="431"/>
      <c r="XDK96" s="431"/>
      <c r="XDL96" s="431"/>
      <c r="XDM96" s="431"/>
      <c r="XDN96" s="431"/>
      <c r="XDO96" s="431"/>
      <c r="XDP96" s="431"/>
      <c r="XDQ96" s="431"/>
      <c r="XDR96" s="431"/>
      <c r="XDS96" s="431"/>
      <c r="XDT96" s="431"/>
      <c r="XDU96" s="431"/>
      <c r="XDV96" s="431"/>
      <c r="XDW96" s="431"/>
      <c r="XDX96" s="431"/>
      <c r="XDY96" s="431"/>
      <c r="XDZ96" s="431"/>
      <c r="XEA96" s="431"/>
      <c r="XEB96" s="431"/>
      <c r="XEC96" s="431"/>
      <c r="XED96" s="431"/>
      <c r="XEE96" s="431"/>
      <c r="XEF96" s="431"/>
      <c r="XEG96" s="431"/>
      <c r="XEH96" s="431"/>
      <c r="XEI96" s="431"/>
      <c r="XEJ96" s="431"/>
      <c r="XEK96" s="431"/>
      <c r="XEL96" s="431"/>
      <c r="XEM96" s="431"/>
      <c r="XEN96" s="431"/>
      <c r="XEO96" s="431"/>
      <c r="XEP96" s="431"/>
      <c r="XEQ96" s="431"/>
      <c r="XER96" s="431"/>
      <c r="XES96" s="431"/>
      <c r="XET96" s="431"/>
      <c r="XEU96" s="431"/>
      <c r="XEV96" s="431"/>
      <c r="XEW96" s="431"/>
      <c r="XEX96" s="431"/>
      <c r="XEY96" s="431"/>
      <c r="XEZ96" s="431"/>
      <c r="XFA96" s="431"/>
      <c r="XFB96" s="431"/>
      <c r="XFC96" s="431"/>
      <c r="XFD96" s="431"/>
    </row>
    <row r="97" s="409" customFormat="1" ht="19" customHeight="1" spans="1:21 16313:16384">
      <c r="A97" s="436">
        <v>45777</v>
      </c>
      <c r="B97" s="460">
        <v>1000027597</v>
      </c>
      <c r="C97" s="422" t="s">
        <v>2564</v>
      </c>
      <c r="D97" s="424"/>
      <c r="E97" s="426"/>
      <c r="F97" s="424">
        <v>40000</v>
      </c>
      <c r="G97" s="454"/>
      <c r="H97" s="454"/>
      <c r="I97" s="454"/>
      <c r="J97" s="435"/>
      <c r="K97" s="435"/>
      <c r="L97" s="435"/>
      <c r="M97" s="435"/>
      <c r="N97" s="435"/>
      <c r="O97" s="439"/>
      <c r="P97" s="439"/>
      <c r="Q97" s="424"/>
      <c r="R97" s="439"/>
      <c r="S97" s="439"/>
      <c r="T97" s="439"/>
      <c r="U97" s="458"/>
      <c r="XCK97" s="431"/>
      <c r="XCL97" s="431"/>
      <c r="XCM97" s="431"/>
      <c r="XCN97" s="431"/>
      <c r="XCO97" s="431"/>
      <c r="XCP97" s="431"/>
      <c r="XCQ97" s="431"/>
      <c r="XCR97" s="431"/>
      <c r="XCS97" s="431"/>
      <c r="XCT97" s="431"/>
      <c r="XCU97" s="431"/>
      <c r="XCV97" s="431"/>
      <c r="XCW97" s="431"/>
      <c r="XCX97" s="431"/>
      <c r="XCY97" s="431"/>
      <c r="XCZ97" s="431"/>
      <c r="XDA97" s="431"/>
      <c r="XDB97" s="431"/>
      <c r="XDC97" s="431"/>
      <c r="XDD97" s="431"/>
      <c r="XDE97" s="431"/>
      <c r="XDF97" s="431"/>
      <c r="XDG97" s="431"/>
      <c r="XDH97" s="431"/>
      <c r="XDI97" s="431"/>
      <c r="XDJ97" s="431"/>
      <c r="XDK97" s="431"/>
      <c r="XDL97" s="431"/>
      <c r="XDM97" s="431"/>
      <c r="XDN97" s="431"/>
      <c r="XDO97" s="431"/>
      <c r="XDP97" s="431"/>
      <c r="XDQ97" s="431"/>
      <c r="XDR97" s="431"/>
      <c r="XDS97" s="431"/>
      <c r="XDT97" s="431"/>
      <c r="XDU97" s="431"/>
      <c r="XDV97" s="431"/>
      <c r="XDW97" s="431"/>
      <c r="XDX97" s="431"/>
      <c r="XDY97" s="431"/>
      <c r="XDZ97" s="431"/>
      <c r="XEA97" s="431"/>
      <c r="XEB97" s="431"/>
      <c r="XEC97" s="431"/>
      <c r="XED97" s="431"/>
      <c r="XEE97" s="431"/>
      <c r="XEF97" s="431"/>
      <c r="XEG97" s="431"/>
      <c r="XEH97" s="431"/>
      <c r="XEI97" s="431"/>
      <c r="XEJ97" s="431"/>
      <c r="XEK97" s="431"/>
      <c r="XEL97" s="431"/>
      <c r="XEM97" s="431"/>
      <c r="XEN97" s="431"/>
      <c r="XEO97" s="431"/>
      <c r="XEP97" s="431"/>
      <c r="XEQ97" s="431"/>
      <c r="XER97" s="431"/>
      <c r="XES97" s="431"/>
      <c r="XET97" s="431"/>
      <c r="XEU97" s="431"/>
      <c r="XEV97" s="431"/>
      <c r="XEW97" s="431"/>
      <c r="XEX97" s="431"/>
      <c r="XEY97" s="431"/>
      <c r="XEZ97" s="431"/>
      <c r="XFA97" s="431"/>
      <c r="XFB97" s="431"/>
      <c r="XFC97" s="431"/>
      <c r="XFD97" s="431"/>
    </row>
    <row r="98" s="409" customFormat="1" ht="19" customHeight="1" spans="1:21 16313:16384">
      <c r="A98" s="436">
        <v>45777</v>
      </c>
      <c r="B98" s="460">
        <v>1000027598</v>
      </c>
      <c r="C98" s="422" t="s">
        <v>2564</v>
      </c>
      <c r="D98" s="424"/>
      <c r="E98" s="426"/>
      <c r="F98" s="424"/>
      <c r="G98" s="454"/>
      <c r="H98" s="454"/>
      <c r="I98" s="454"/>
      <c r="J98" s="435"/>
      <c r="K98" s="435"/>
      <c r="L98" s="435">
        <v>50000</v>
      </c>
      <c r="M98" s="435"/>
      <c r="N98" s="435"/>
      <c r="O98" s="439"/>
      <c r="P98" s="439"/>
      <c r="Q98" s="424"/>
      <c r="R98" s="439"/>
      <c r="S98" s="439"/>
      <c r="T98" s="439"/>
      <c r="U98" s="458"/>
      <c r="XCK98" s="431"/>
      <c r="XCL98" s="431"/>
      <c r="XCM98" s="431"/>
      <c r="XCN98" s="431"/>
      <c r="XCO98" s="431"/>
      <c r="XCP98" s="431"/>
      <c r="XCQ98" s="431"/>
      <c r="XCR98" s="431"/>
      <c r="XCS98" s="431"/>
      <c r="XCT98" s="431"/>
      <c r="XCU98" s="431"/>
      <c r="XCV98" s="431"/>
      <c r="XCW98" s="431"/>
      <c r="XCX98" s="431"/>
      <c r="XCY98" s="431"/>
      <c r="XCZ98" s="431"/>
      <c r="XDA98" s="431"/>
      <c r="XDB98" s="431"/>
      <c r="XDC98" s="431"/>
      <c r="XDD98" s="431"/>
      <c r="XDE98" s="431"/>
      <c r="XDF98" s="431"/>
      <c r="XDG98" s="431"/>
      <c r="XDH98" s="431"/>
      <c r="XDI98" s="431"/>
      <c r="XDJ98" s="431"/>
      <c r="XDK98" s="431"/>
      <c r="XDL98" s="431"/>
      <c r="XDM98" s="431"/>
      <c r="XDN98" s="431"/>
      <c r="XDO98" s="431"/>
      <c r="XDP98" s="431"/>
      <c r="XDQ98" s="431"/>
      <c r="XDR98" s="431"/>
      <c r="XDS98" s="431"/>
      <c r="XDT98" s="431"/>
      <c r="XDU98" s="431"/>
      <c r="XDV98" s="431"/>
      <c r="XDW98" s="431"/>
      <c r="XDX98" s="431"/>
      <c r="XDY98" s="431"/>
      <c r="XDZ98" s="431"/>
      <c r="XEA98" s="431"/>
      <c r="XEB98" s="431"/>
      <c r="XEC98" s="431"/>
      <c r="XED98" s="431"/>
      <c r="XEE98" s="431"/>
      <c r="XEF98" s="431"/>
      <c r="XEG98" s="431"/>
      <c r="XEH98" s="431"/>
      <c r="XEI98" s="431"/>
      <c r="XEJ98" s="431"/>
      <c r="XEK98" s="431"/>
      <c r="XEL98" s="431"/>
      <c r="XEM98" s="431"/>
      <c r="XEN98" s="431"/>
      <c r="XEO98" s="431"/>
      <c r="XEP98" s="431"/>
      <c r="XEQ98" s="431"/>
      <c r="XER98" s="431"/>
      <c r="XES98" s="431"/>
      <c r="XET98" s="431"/>
      <c r="XEU98" s="431"/>
      <c r="XEV98" s="431"/>
      <c r="XEW98" s="431"/>
      <c r="XEX98" s="431"/>
      <c r="XEY98" s="431"/>
      <c r="XEZ98" s="431"/>
      <c r="XFA98" s="431"/>
      <c r="XFB98" s="431"/>
      <c r="XFC98" s="431"/>
      <c r="XFD98" s="431"/>
    </row>
    <row r="99" s="409" customFormat="1" ht="19" customHeight="1" spans="1:21 16313:16384">
      <c r="A99" s="436">
        <v>45777</v>
      </c>
      <c r="B99" s="460">
        <v>1000027599</v>
      </c>
      <c r="C99" s="422" t="s">
        <v>2564</v>
      </c>
      <c r="D99" s="424"/>
      <c r="E99" s="426"/>
      <c r="F99" s="424"/>
      <c r="G99" s="454"/>
      <c r="H99" s="454"/>
      <c r="I99" s="454"/>
      <c r="J99" s="435"/>
      <c r="K99" s="435"/>
      <c r="L99" s="435"/>
      <c r="M99" s="435"/>
      <c r="N99" s="435"/>
      <c r="O99" s="439"/>
      <c r="P99" s="439"/>
      <c r="Q99" s="424">
        <v>50000</v>
      </c>
      <c r="R99" s="439"/>
      <c r="S99" s="439"/>
      <c r="T99" s="439"/>
      <c r="U99" s="458"/>
      <c r="XCK99" s="431"/>
      <c r="XCL99" s="431"/>
      <c r="XCM99" s="431"/>
      <c r="XCN99" s="431"/>
      <c r="XCO99" s="431"/>
      <c r="XCP99" s="431"/>
      <c r="XCQ99" s="431"/>
      <c r="XCR99" s="431"/>
      <c r="XCS99" s="431"/>
      <c r="XCT99" s="431"/>
      <c r="XCU99" s="431"/>
      <c r="XCV99" s="431"/>
      <c r="XCW99" s="431"/>
      <c r="XCX99" s="431"/>
      <c r="XCY99" s="431"/>
      <c r="XCZ99" s="431"/>
      <c r="XDA99" s="431"/>
      <c r="XDB99" s="431"/>
      <c r="XDC99" s="431"/>
      <c r="XDD99" s="431"/>
      <c r="XDE99" s="431"/>
      <c r="XDF99" s="431"/>
      <c r="XDG99" s="431"/>
      <c r="XDH99" s="431"/>
      <c r="XDI99" s="431"/>
      <c r="XDJ99" s="431"/>
      <c r="XDK99" s="431"/>
      <c r="XDL99" s="431"/>
      <c r="XDM99" s="431"/>
      <c r="XDN99" s="431"/>
      <c r="XDO99" s="431"/>
      <c r="XDP99" s="431"/>
      <c r="XDQ99" s="431"/>
      <c r="XDR99" s="431"/>
      <c r="XDS99" s="431"/>
      <c r="XDT99" s="431"/>
      <c r="XDU99" s="431"/>
      <c r="XDV99" s="431"/>
      <c r="XDW99" s="431"/>
      <c r="XDX99" s="431"/>
      <c r="XDY99" s="431"/>
      <c r="XDZ99" s="431"/>
      <c r="XEA99" s="431"/>
      <c r="XEB99" s="431"/>
      <c r="XEC99" s="431"/>
      <c r="XED99" s="431"/>
      <c r="XEE99" s="431"/>
      <c r="XEF99" s="431"/>
      <c r="XEG99" s="431"/>
      <c r="XEH99" s="431"/>
      <c r="XEI99" s="431"/>
      <c r="XEJ99" s="431"/>
      <c r="XEK99" s="431"/>
      <c r="XEL99" s="431"/>
      <c r="XEM99" s="431"/>
      <c r="XEN99" s="431"/>
      <c r="XEO99" s="431"/>
      <c r="XEP99" s="431"/>
      <c r="XEQ99" s="431"/>
      <c r="XER99" s="431"/>
      <c r="XES99" s="431"/>
      <c r="XET99" s="431"/>
      <c r="XEU99" s="431"/>
      <c r="XEV99" s="431"/>
      <c r="XEW99" s="431"/>
      <c r="XEX99" s="431"/>
      <c r="XEY99" s="431"/>
      <c r="XEZ99" s="431"/>
      <c r="XFA99" s="431"/>
      <c r="XFB99" s="431"/>
      <c r="XFC99" s="431"/>
      <c r="XFD99" s="431"/>
    </row>
    <row r="100" s="409" customFormat="1" ht="19" customHeight="1" spans="1:21 16313:16384">
      <c r="A100" s="436">
        <v>45807</v>
      </c>
      <c r="B100" s="460">
        <v>1000028595</v>
      </c>
      <c r="C100" s="422" t="s">
        <v>2564</v>
      </c>
      <c r="D100" s="424"/>
      <c r="E100" s="426"/>
      <c r="F100" s="424">
        <v>80000</v>
      </c>
      <c r="G100" s="454"/>
      <c r="H100" s="454"/>
      <c r="I100" s="454"/>
      <c r="J100" s="435"/>
      <c r="K100" s="435"/>
      <c r="L100" s="424"/>
      <c r="M100" s="435"/>
      <c r="N100" s="435"/>
      <c r="O100" s="439"/>
      <c r="P100" s="439"/>
      <c r="Q100" s="424"/>
      <c r="R100" s="439"/>
      <c r="S100" s="439"/>
      <c r="T100" s="439"/>
      <c r="U100" s="458"/>
      <c r="XCK100" s="431"/>
      <c r="XCL100" s="431"/>
      <c r="XCM100" s="431"/>
      <c r="XCN100" s="431"/>
      <c r="XCO100" s="431"/>
      <c r="XCP100" s="431"/>
      <c r="XCQ100" s="431"/>
      <c r="XCR100" s="431"/>
      <c r="XCS100" s="431"/>
      <c r="XCT100" s="431"/>
      <c r="XCU100" s="431"/>
      <c r="XCV100" s="431"/>
      <c r="XCW100" s="431"/>
      <c r="XCX100" s="431"/>
      <c r="XCY100" s="431"/>
      <c r="XCZ100" s="431"/>
      <c r="XDA100" s="431"/>
      <c r="XDB100" s="431"/>
      <c r="XDC100" s="431"/>
      <c r="XDD100" s="431"/>
      <c r="XDE100" s="431"/>
      <c r="XDF100" s="431"/>
      <c r="XDG100" s="431"/>
      <c r="XDH100" s="431"/>
      <c r="XDI100" s="431"/>
      <c r="XDJ100" s="431"/>
      <c r="XDK100" s="431"/>
      <c r="XDL100" s="431"/>
      <c r="XDM100" s="431"/>
      <c r="XDN100" s="431"/>
      <c r="XDO100" s="431"/>
      <c r="XDP100" s="431"/>
      <c r="XDQ100" s="431"/>
      <c r="XDR100" s="431"/>
      <c r="XDS100" s="431"/>
      <c r="XDT100" s="431"/>
      <c r="XDU100" s="431"/>
      <c r="XDV100" s="431"/>
      <c r="XDW100" s="431"/>
      <c r="XDX100" s="431"/>
      <c r="XDY100" s="431"/>
      <c r="XDZ100" s="431"/>
      <c r="XEA100" s="431"/>
      <c r="XEB100" s="431"/>
      <c r="XEC100" s="431"/>
      <c r="XED100" s="431"/>
      <c r="XEE100" s="431"/>
      <c r="XEF100" s="431"/>
      <c r="XEG100" s="431"/>
      <c r="XEH100" s="431"/>
      <c r="XEI100" s="431"/>
      <c r="XEJ100" s="431"/>
      <c r="XEK100" s="431"/>
      <c r="XEL100" s="431"/>
      <c r="XEM100" s="431"/>
      <c r="XEN100" s="431"/>
      <c r="XEO100" s="431"/>
      <c r="XEP100" s="431"/>
      <c r="XEQ100" s="431"/>
      <c r="XER100" s="431"/>
      <c r="XES100" s="431"/>
      <c r="XET100" s="431"/>
      <c r="XEU100" s="431"/>
      <c r="XEV100" s="431"/>
      <c r="XEW100" s="431"/>
      <c r="XEX100" s="431"/>
      <c r="XEY100" s="431"/>
      <c r="XEZ100" s="431"/>
      <c r="XFA100" s="431"/>
      <c r="XFB100" s="431"/>
      <c r="XFC100" s="431"/>
      <c r="XFD100" s="431"/>
    </row>
    <row r="101" s="409" customFormat="1" ht="19" customHeight="1" spans="1:21 16313:16384">
      <c r="A101" s="436">
        <v>45807</v>
      </c>
      <c r="B101" s="460">
        <v>1000028596</v>
      </c>
      <c r="C101" s="422" t="s">
        <v>2564</v>
      </c>
      <c r="D101" s="424"/>
      <c r="E101" s="426"/>
      <c r="F101" s="424"/>
      <c r="G101" s="454"/>
      <c r="H101" s="454"/>
      <c r="I101" s="454"/>
      <c r="J101" s="435"/>
      <c r="K101" s="435"/>
      <c r="L101" s="424">
        <v>80000</v>
      </c>
      <c r="M101" s="435"/>
      <c r="N101" s="435"/>
      <c r="O101" s="439"/>
      <c r="P101" s="439"/>
      <c r="Q101" s="424"/>
      <c r="R101" s="439"/>
      <c r="S101" s="439"/>
      <c r="T101" s="439"/>
      <c r="U101" s="458"/>
      <c r="XCK101" s="431"/>
      <c r="XCL101" s="431"/>
      <c r="XCM101" s="431"/>
      <c r="XCN101" s="431"/>
      <c r="XCO101" s="431"/>
      <c r="XCP101" s="431"/>
      <c r="XCQ101" s="431"/>
      <c r="XCR101" s="431"/>
      <c r="XCS101" s="431"/>
      <c r="XCT101" s="431"/>
      <c r="XCU101" s="431"/>
      <c r="XCV101" s="431"/>
      <c r="XCW101" s="431"/>
      <c r="XCX101" s="431"/>
      <c r="XCY101" s="431"/>
      <c r="XCZ101" s="431"/>
      <c r="XDA101" s="431"/>
      <c r="XDB101" s="431"/>
      <c r="XDC101" s="431"/>
      <c r="XDD101" s="431"/>
      <c r="XDE101" s="431"/>
      <c r="XDF101" s="431"/>
      <c r="XDG101" s="431"/>
      <c r="XDH101" s="431"/>
      <c r="XDI101" s="431"/>
      <c r="XDJ101" s="431"/>
      <c r="XDK101" s="431"/>
      <c r="XDL101" s="431"/>
      <c r="XDM101" s="431"/>
      <c r="XDN101" s="431"/>
      <c r="XDO101" s="431"/>
      <c r="XDP101" s="431"/>
      <c r="XDQ101" s="431"/>
      <c r="XDR101" s="431"/>
      <c r="XDS101" s="431"/>
      <c r="XDT101" s="431"/>
      <c r="XDU101" s="431"/>
      <c r="XDV101" s="431"/>
      <c r="XDW101" s="431"/>
      <c r="XDX101" s="431"/>
      <c r="XDY101" s="431"/>
      <c r="XDZ101" s="431"/>
      <c r="XEA101" s="431"/>
      <c r="XEB101" s="431"/>
      <c r="XEC101" s="431"/>
      <c r="XED101" s="431"/>
      <c r="XEE101" s="431"/>
      <c r="XEF101" s="431"/>
      <c r="XEG101" s="431"/>
      <c r="XEH101" s="431"/>
      <c r="XEI101" s="431"/>
      <c r="XEJ101" s="431"/>
      <c r="XEK101" s="431"/>
      <c r="XEL101" s="431"/>
      <c r="XEM101" s="431"/>
      <c r="XEN101" s="431"/>
      <c r="XEO101" s="431"/>
      <c r="XEP101" s="431"/>
      <c r="XEQ101" s="431"/>
      <c r="XER101" s="431"/>
      <c r="XES101" s="431"/>
      <c r="XET101" s="431"/>
      <c r="XEU101" s="431"/>
      <c r="XEV101" s="431"/>
      <c r="XEW101" s="431"/>
      <c r="XEX101" s="431"/>
      <c r="XEY101" s="431"/>
      <c r="XEZ101" s="431"/>
      <c r="XFA101" s="431"/>
      <c r="XFB101" s="431"/>
      <c r="XFC101" s="431"/>
      <c r="XFD101" s="431"/>
    </row>
    <row r="102" s="409" customFormat="1" ht="19" customHeight="1" spans="1:21 16313:16384">
      <c r="A102" s="436">
        <v>45807</v>
      </c>
      <c r="B102" s="460">
        <v>1000028597</v>
      </c>
      <c r="C102" s="422" t="s">
        <v>2564</v>
      </c>
      <c r="D102" s="424"/>
      <c r="E102" s="426"/>
      <c r="F102" s="424"/>
      <c r="G102" s="454"/>
      <c r="H102" s="454"/>
      <c r="I102" s="454"/>
      <c r="J102" s="435"/>
      <c r="K102" s="435"/>
      <c r="L102" s="435"/>
      <c r="M102" s="435"/>
      <c r="N102" s="435"/>
      <c r="O102" s="439"/>
      <c r="P102" s="439"/>
      <c r="Q102" s="424">
        <v>80000</v>
      </c>
      <c r="R102" s="439"/>
      <c r="S102" s="439"/>
      <c r="T102" s="439"/>
      <c r="U102" s="458"/>
      <c r="XCK102" s="431"/>
      <c r="XCL102" s="431"/>
      <c r="XCM102" s="431"/>
      <c r="XCN102" s="431"/>
      <c r="XCO102" s="431"/>
      <c r="XCP102" s="431"/>
      <c r="XCQ102" s="431"/>
      <c r="XCR102" s="431"/>
      <c r="XCS102" s="431"/>
      <c r="XCT102" s="431"/>
      <c r="XCU102" s="431"/>
      <c r="XCV102" s="431"/>
      <c r="XCW102" s="431"/>
      <c r="XCX102" s="431"/>
      <c r="XCY102" s="431"/>
      <c r="XCZ102" s="431"/>
      <c r="XDA102" s="431"/>
      <c r="XDB102" s="431"/>
      <c r="XDC102" s="431"/>
      <c r="XDD102" s="431"/>
      <c r="XDE102" s="431"/>
      <c r="XDF102" s="431"/>
      <c r="XDG102" s="431"/>
      <c r="XDH102" s="431"/>
      <c r="XDI102" s="431"/>
      <c r="XDJ102" s="431"/>
      <c r="XDK102" s="431"/>
      <c r="XDL102" s="431"/>
      <c r="XDM102" s="431"/>
      <c r="XDN102" s="431"/>
      <c r="XDO102" s="431"/>
      <c r="XDP102" s="431"/>
      <c r="XDQ102" s="431"/>
      <c r="XDR102" s="431"/>
      <c r="XDS102" s="431"/>
      <c r="XDT102" s="431"/>
      <c r="XDU102" s="431"/>
      <c r="XDV102" s="431"/>
      <c r="XDW102" s="431"/>
      <c r="XDX102" s="431"/>
      <c r="XDY102" s="431"/>
      <c r="XDZ102" s="431"/>
      <c r="XEA102" s="431"/>
      <c r="XEB102" s="431"/>
      <c r="XEC102" s="431"/>
      <c r="XED102" s="431"/>
      <c r="XEE102" s="431"/>
      <c r="XEF102" s="431"/>
      <c r="XEG102" s="431"/>
      <c r="XEH102" s="431"/>
      <c r="XEI102" s="431"/>
      <c r="XEJ102" s="431"/>
      <c r="XEK102" s="431"/>
      <c r="XEL102" s="431"/>
      <c r="XEM102" s="431"/>
      <c r="XEN102" s="431"/>
      <c r="XEO102" s="431"/>
      <c r="XEP102" s="431"/>
      <c r="XEQ102" s="431"/>
      <c r="XER102" s="431"/>
      <c r="XES102" s="431"/>
      <c r="XET102" s="431"/>
      <c r="XEU102" s="431"/>
      <c r="XEV102" s="431"/>
      <c r="XEW102" s="431"/>
      <c r="XEX102" s="431"/>
      <c r="XEY102" s="431"/>
      <c r="XEZ102" s="431"/>
      <c r="XFA102" s="431"/>
      <c r="XFB102" s="431"/>
      <c r="XFC102" s="431"/>
      <c r="XFD102" s="431"/>
    </row>
    <row r="103" s="409" customFormat="1" ht="19" customHeight="1" spans="1:21 16313:16384">
      <c r="A103" s="436">
        <v>45870</v>
      </c>
      <c r="B103" s="460">
        <v>1000030674</v>
      </c>
      <c r="C103" s="422" t="s">
        <v>2564</v>
      </c>
      <c r="D103" s="424"/>
      <c r="E103" s="426"/>
      <c r="F103" s="424"/>
      <c r="G103" s="454"/>
      <c r="H103" s="454"/>
      <c r="I103" s="454">
        <v>30000</v>
      </c>
      <c r="J103" s="435"/>
      <c r="K103" s="435"/>
      <c r="L103" s="435"/>
      <c r="M103" s="435"/>
      <c r="N103" s="435"/>
      <c r="O103" s="439"/>
      <c r="P103" s="439"/>
      <c r="Q103" s="424"/>
      <c r="R103" s="439"/>
      <c r="S103" s="439"/>
      <c r="T103" s="439"/>
      <c r="U103" s="458"/>
      <c r="XCK103" s="431"/>
      <c r="XCL103" s="431"/>
      <c r="XCM103" s="431"/>
      <c r="XCN103" s="431"/>
      <c r="XCO103" s="431"/>
      <c r="XCP103" s="431"/>
      <c r="XCQ103" s="431"/>
      <c r="XCR103" s="431"/>
      <c r="XCS103" s="431"/>
      <c r="XCT103" s="431"/>
      <c r="XCU103" s="431"/>
      <c r="XCV103" s="431"/>
      <c r="XCW103" s="431"/>
      <c r="XCX103" s="431"/>
      <c r="XCY103" s="431"/>
      <c r="XCZ103" s="431"/>
      <c r="XDA103" s="431"/>
      <c r="XDB103" s="431"/>
      <c r="XDC103" s="431"/>
      <c r="XDD103" s="431"/>
      <c r="XDE103" s="431"/>
      <c r="XDF103" s="431"/>
      <c r="XDG103" s="431"/>
      <c r="XDH103" s="431"/>
      <c r="XDI103" s="431"/>
      <c r="XDJ103" s="431"/>
      <c r="XDK103" s="431"/>
      <c r="XDL103" s="431"/>
      <c r="XDM103" s="431"/>
      <c r="XDN103" s="431"/>
      <c r="XDO103" s="431"/>
      <c r="XDP103" s="431"/>
      <c r="XDQ103" s="431"/>
      <c r="XDR103" s="431"/>
      <c r="XDS103" s="431"/>
      <c r="XDT103" s="431"/>
      <c r="XDU103" s="431"/>
      <c r="XDV103" s="431"/>
      <c r="XDW103" s="431"/>
      <c r="XDX103" s="431"/>
      <c r="XDY103" s="431"/>
      <c r="XDZ103" s="431"/>
      <c r="XEA103" s="431"/>
      <c r="XEB103" s="431"/>
      <c r="XEC103" s="431"/>
      <c r="XED103" s="431"/>
      <c r="XEE103" s="431"/>
      <c r="XEF103" s="431"/>
      <c r="XEG103" s="431"/>
      <c r="XEH103" s="431"/>
      <c r="XEI103" s="431"/>
      <c r="XEJ103" s="431"/>
      <c r="XEK103" s="431"/>
      <c r="XEL103" s="431"/>
      <c r="XEM103" s="431"/>
      <c r="XEN103" s="431"/>
      <c r="XEO103" s="431"/>
      <c r="XEP103" s="431"/>
      <c r="XEQ103" s="431"/>
      <c r="XER103" s="431"/>
      <c r="XES103" s="431"/>
      <c r="XET103" s="431"/>
      <c r="XEU103" s="431"/>
      <c r="XEV103" s="431"/>
      <c r="XEW103" s="431"/>
      <c r="XEX103" s="431"/>
      <c r="XEY103" s="431"/>
      <c r="XEZ103" s="431"/>
      <c r="XFA103" s="431"/>
      <c r="XFB103" s="431"/>
      <c r="XFC103" s="431"/>
      <c r="XFD103" s="431"/>
    </row>
    <row r="104" s="409" customFormat="1" ht="19" customHeight="1" spans="1:21 16313:16384">
      <c r="A104" s="436">
        <v>45957</v>
      </c>
      <c r="B104" s="460">
        <v>1000033364</v>
      </c>
      <c r="C104" s="422"/>
      <c r="D104" s="424"/>
      <c r="E104" s="426"/>
      <c r="F104" s="424">
        <v>100000</v>
      </c>
      <c r="G104" s="454"/>
      <c r="H104" s="454"/>
      <c r="I104" s="454"/>
      <c r="J104" s="435"/>
      <c r="K104" s="435"/>
      <c r="L104" s="435"/>
      <c r="M104" s="435"/>
      <c r="N104" s="435"/>
      <c r="O104" s="439"/>
      <c r="P104" s="439"/>
      <c r="Q104" s="424"/>
      <c r="R104" s="439"/>
      <c r="S104" s="439"/>
      <c r="T104" s="439"/>
      <c r="U104" s="458"/>
      <c r="XCK104" s="431"/>
      <c r="XCL104" s="431"/>
      <c r="XCM104" s="431"/>
      <c r="XCN104" s="431"/>
      <c r="XCO104" s="431"/>
      <c r="XCP104" s="431"/>
      <c r="XCQ104" s="431"/>
      <c r="XCR104" s="431"/>
      <c r="XCS104" s="431"/>
      <c r="XCT104" s="431"/>
      <c r="XCU104" s="431"/>
      <c r="XCV104" s="431"/>
      <c r="XCW104" s="431"/>
      <c r="XCX104" s="431"/>
      <c r="XCY104" s="431"/>
      <c r="XCZ104" s="431"/>
      <c r="XDA104" s="431"/>
      <c r="XDB104" s="431"/>
      <c r="XDC104" s="431"/>
      <c r="XDD104" s="431"/>
      <c r="XDE104" s="431"/>
      <c r="XDF104" s="431"/>
      <c r="XDG104" s="431"/>
      <c r="XDH104" s="431"/>
      <c r="XDI104" s="431"/>
      <c r="XDJ104" s="431"/>
      <c r="XDK104" s="431"/>
      <c r="XDL104" s="431"/>
      <c r="XDM104" s="431"/>
      <c r="XDN104" s="431"/>
      <c r="XDO104" s="431"/>
      <c r="XDP104" s="431"/>
      <c r="XDQ104" s="431"/>
      <c r="XDR104" s="431"/>
      <c r="XDS104" s="431"/>
      <c r="XDT104" s="431"/>
      <c r="XDU104" s="431"/>
      <c r="XDV104" s="431"/>
      <c r="XDW104" s="431"/>
      <c r="XDX104" s="431"/>
      <c r="XDY104" s="431"/>
      <c r="XDZ104" s="431"/>
      <c r="XEA104" s="431"/>
      <c r="XEB104" s="431"/>
      <c r="XEC104" s="431"/>
      <c r="XED104" s="431"/>
      <c r="XEE104" s="431"/>
      <c r="XEF104" s="431"/>
      <c r="XEG104" s="431"/>
      <c r="XEH104" s="431"/>
      <c r="XEI104" s="431"/>
      <c r="XEJ104" s="431"/>
      <c r="XEK104" s="431"/>
      <c r="XEL104" s="431"/>
      <c r="XEM104" s="431"/>
      <c r="XEN104" s="431"/>
      <c r="XEO104" s="431"/>
      <c r="XEP104" s="431"/>
      <c r="XEQ104" s="431"/>
      <c r="XER104" s="431"/>
      <c r="XES104" s="431"/>
      <c r="XET104" s="431"/>
      <c r="XEU104" s="431"/>
      <c r="XEV104" s="431"/>
      <c r="XEW104" s="431"/>
      <c r="XEX104" s="431"/>
      <c r="XEY104" s="431"/>
      <c r="XEZ104" s="431"/>
      <c r="XFA104" s="431"/>
      <c r="XFB104" s="431"/>
      <c r="XFC104" s="431"/>
      <c r="XFD104" s="431"/>
    </row>
    <row r="105" s="409" customFormat="1" ht="19" customHeight="1" spans="1:21 16313:16384">
      <c r="A105" s="436">
        <v>45957</v>
      </c>
      <c r="B105" s="460">
        <v>1000033365</v>
      </c>
      <c r="C105" s="422"/>
      <c r="D105" s="424"/>
      <c r="E105" s="426"/>
      <c r="F105" s="424"/>
      <c r="G105" s="454"/>
      <c r="H105" s="454"/>
      <c r="I105" s="454"/>
      <c r="J105" s="435"/>
      <c r="K105" s="435"/>
      <c r="L105" s="435">
        <v>50000</v>
      </c>
      <c r="M105" s="435"/>
      <c r="N105" s="435"/>
      <c r="O105" s="439"/>
      <c r="P105" s="439"/>
      <c r="Q105" s="424"/>
      <c r="R105" s="439"/>
      <c r="S105" s="439"/>
      <c r="T105" s="439"/>
      <c r="U105" s="458"/>
      <c r="XCK105" s="431"/>
      <c r="XCL105" s="431"/>
      <c r="XCM105" s="431"/>
      <c r="XCN105" s="431"/>
      <c r="XCO105" s="431"/>
      <c r="XCP105" s="431"/>
      <c r="XCQ105" s="431"/>
      <c r="XCR105" s="431"/>
      <c r="XCS105" s="431"/>
      <c r="XCT105" s="431"/>
      <c r="XCU105" s="431"/>
      <c r="XCV105" s="431"/>
      <c r="XCW105" s="431"/>
      <c r="XCX105" s="431"/>
      <c r="XCY105" s="431"/>
      <c r="XCZ105" s="431"/>
      <c r="XDA105" s="431"/>
      <c r="XDB105" s="431"/>
      <c r="XDC105" s="431"/>
      <c r="XDD105" s="431"/>
      <c r="XDE105" s="431"/>
      <c r="XDF105" s="431"/>
      <c r="XDG105" s="431"/>
      <c r="XDH105" s="431"/>
      <c r="XDI105" s="431"/>
      <c r="XDJ105" s="431"/>
      <c r="XDK105" s="431"/>
      <c r="XDL105" s="431"/>
      <c r="XDM105" s="431"/>
      <c r="XDN105" s="431"/>
      <c r="XDO105" s="431"/>
      <c r="XDP105" s="431"/>
      <c r="XDQ105" s="431"/>
      <c r="XDR105" s="431"/>
      <c r="XDS105" s="431"/>
      <c r="XDT105" s="431"/>
      <c r="XDU105" s="431"/>
      <c r="XDV105" s="431"/>
      <c r="XDW105" s="431"/>
      <c r="XDX105" s="431"/>
      <c r="XDY105" s="431"/>
      <c r="XDZ105" s="431"/>
      <c r="XEA105" s="431"/>
      <c r="XEB105" s="431"/>
      <c r="XEC105" s="431"/>
      <c r="XED105" s="431"/>
      <c r="XEE105" s="431"/>
      <c r="XEF105" s="431"/>
      <c r="XEG105" s="431"/>
      <c r="XEH105" s="431"/>
      <c r="XEI105" s="431"/>
      <c r="XEJ105" s="431"/>
      <c r="XEK105" s="431"/>
      <c r="XEL105" s="431"/>
      <c r="XEM105" s="431"/>
      <c r="XEN105" s="431"/>
      <c r="XEO105" s="431"/>
      <c r="XEP105" s="431"/>
      <c r="XEQ105" s="431"/>
      <c r="XER105" s="431"/>
      <c r="XES105" s="431"/>
      <c r="XET105" s="431"/>
      <c r="XEU105" s="431"/>
      <c r="XEV105" s="431"/>
      <c r="XEW105" s="431"/>
      <c r="XEX105" s="431"/>
      <c r="XEY105" s="431"/>
      <c r="XEZ105" s="431"/>
      <c r="XFA105" s="431"/>
      <c r="XFB105" s="431"/>
      <c r="XFC105" s="431"/>
      <c r="XFD105" s="431"/>
    </row>
    <row r="106" s="409" customFormat="1" ht="19" customHeight="1" spans="1:21 16313:16384">
      <c r="A106" s="436">
        <v>46044</v>
      </c>
      <c r="B106" s="460">
        <v>1000036120</v>
      </c>
      <c r="C106" s="422"/>
      <c r="D106" s="424"/>
      <c r="E106" s="426"/>
      <c r="F106" s="424">
        <v>60000</v>
      </c>
      <c r="G106" s="454"/>
      <c r="H106" s="454"/>
      <c r="I106" s="454"/>
      <c r="J106" s="435"/>
      <c r="K106" s="435"/>
      <c r="L106" s="435"/>
      <c r="M106" s="435"/>
      <c r="N106" s="435"/>
      <c r="O106" s="439"/>
      <c r="P106" s="439"/>
      <c r="Q106" s="424"/>
      <c r="R106" s="439"/>
      <c r="S106" s="439"/>
      <c r="T106" s="439"/>
      <c r="U106" s="458"/>
      <c r="XCK106" s="431"/>
      <c r="XCL106" s="431"/>
      <c r="XCM106" s="431"/>
      <c r="XCN106" s="431"/>
      <c r="XCO106" s="431"/>
      <c r="XCP106" s="431"/>
      <c r="XCQ106" s="431"/>
      <c r="XCR106" s="431"/>
      <c r="XCS106" s="431"/>
      <c r="XCT106" s="431"/>
      <c r="XCU106" s="431"/>
      <c r="XCV106" s="431"/>
      <c r="XCW106" s="431"/>
      <c r="XCX106" s="431"/>
      <c r="XCY106" s="431"/>
      <c r="XCZ106" s="431"/>
      <c r="XDA106" s="431"/>
      <c r="XDB106" s="431"/>
      <c r="XDC106" s="431"/>
      <c r="XDD106" s="431"/>
      <c r="XDE106" s="431"/>
      <c r="XDF106" s="431"/>
      <c r="XDG106" s="431"/>
      <c r="XDH106" s="431"/>
      <c r="XDI106" s="431"/>
      <c r="XDJ106" s="431"/>
      <c r="XDK106" s="431"/>
      <c r="XDL106" s="431"/>
      <c r="XDM106" s="431"/>
      <c r="XDN106" s="431"/>
      <c r="XDO106" s="431"/>
      <c r="XDP106" s="431"/>
      <c r="XDQ106" s="431"/>
      <c r="XDR106" s="431"/>
      <c r="XDS106" s="431"/>
      <c r="XDT106" s="431"/>
      <c r="XDU106" s="431"/>
      <c r="XDV106" s="431"/>
      <c r="XDW106" s="431"/>
      <c r="XDX106" s="431"/>
      <c r="XDY106" s="431"/>
      <c r="XDZ106" s="431"/>
      <c r="XEA106" s="431"/>
      <c r="XEB106" s="431"/>
      <c r="XEC106" s="431"/>
      <c r="XED106" s="431"/>
      <c r="XEE106" s="431"/>
      <c r="XEF106" s="431"/>
      <c r="XEG106" s="431"/>
      <c r="XEH106" s="431"/>
      <c r="XEI106" s="431"/>
      <c r="XEJ106" s="431"/>
      <c r="XEK106" s="431"/>
      <c r="XEL106" s="431"/>
      <c r="XEM106" s="431"/>
      <c r="XEN106" s="431"/>
      <c r="XEO106" s="431"/>
      <c r="XEP106" s="431"/>
      <c r="XEQ106" s="431"/>
      <c r="XER106" s="431"/>
      <c r="XES106" s="431"/>
      <c r="XET106" s="431"/>
      <c r="XEU106" s="431"/>
      <c r="XEV106" s="431"/>
      <c r="XEW106" s="431"/>
      <c r="XEX106" s="431"/>
      <c r="XEY106" s="431"/>
      <c r="XEZ106" s="431"/>
      <c r="XFA106" s="431"/>
      <c r="XFB106" s="431"/>
      <c r="XFC106" s="431"/>
      <c r="XFD106" s="431"/>
    </row>
    <row r="107" s="409" customFormat="1" ht="19" customHeight="1" spans="1:21 16313:16384">
      <c r="A107" s="436">
        <v>46044</v>
      </c>
      <c r="B107" s="460">
        <v>1000036121</v>
      </c>
      <c r="C107" s="422"/>
      <c r="D107" s="424"/>
      <c r="E107" s="426"/>
      <c r="F107" s="424"/>
      <c r="G107" s="454"/>
      <c r="H107" s="454"/>
      <c r="I107" s="454"/>
      <c r="J107" s="435"/>
      <c r="K107" s="435"/>
      <c r="L107" s="435">
        <v>50000</v>
      </c>
      <c r="M107" s="435"/>
      <c r="N107" s="435"/>
      <c r="O107" s="439"/>
      <c r="P107" s="439"/>
      <c r="Q107" s="424"/>
      <c r="R107" s="439"/>
      <c r="S107" s="439"/>
      <c r="T107" s="439"/>
      <c r="U107" s="458"/>
      <c r="XCK107" s="431"/>
      <c r="XCL107" s="431"/>
      <c r="XCM107" s="431"/>
      <c r="XCN107" s="431"/>
      <c r="XCO107" s="431"/>
      <c r="XCP107" s="431"/>
      <c r="XCQ107" s="431"/>
      <c r="XCR107" s="431"/>
      <c r="XCS107" s="431"/>
      <c r="XCT107" s="431"/>
      <c r="XCU107" s="431"/>
      <c r="XCV107" s="431"/>
      <c r="XCW107" s="431"/>
      <c r="XCX107" s="431"/>
      <c r="XCY107" s="431"/>
      <c r="XCZ107" s="431"/>
      <c r="XDA107" s="431"/>
      <c r="XDB107" s="431"/>
      <c r="XDC107" s="431"/>
      <c r="XDD107" s="431"/>
      <c r="XDE107" s="431"/>
      <c r="XDF107" s="431"/>
      <c r="XDG107" s="431"/>
      <c r="XDH107" s="431"/>
      <c r="XDI107" s="431"/>
      <c r="XDJ107" s="431"/>
      <c r="XDK107" s="431"/>
      <c r="XDL107" s="431"/>
      <c r="XDM107" s="431"/>
      <c r="XDN107" s="431"/>
      <c r="XDO107" s="431"/>
      <c r="XDP107" s="431"/>
      <c r="XDQ107" s="431"/>
      <c r="XDR107" s="431"/>
      <c r="XDS107" s="431"/>
      <c r="XDT107" s="431"/>
      <c r="XDU107" s="431"/>
      <c r="XDV107" s="431"/>
      <c r="XDW107" s="431"/>
      <c r="XDX107" s="431"/>
      <c r="XDY107" s="431"/>
      <c r="XDZ107" s="431"/>
      <c r="XEA107" s="431"/>
      <c r="XEB107" s="431"/>
      <c r="XEC107" s="431"/>
      <c r="XED107" s="431"/>
      <c r="XEE107" s="431"/>
      <c r="XEF107" s="431"/>
      <c r="XEG107" s="431"/>
      <c r="XEH107" s="431"/>
      <c r="XEI107" s="431"/>
      <c r="XEJ107" s="431"/>
      <c r="XEK107" s="431"/>
      <c r="XEL107" s="431"/>
      <c r="XEM107" s="431"/>
      <c r="XEN107" s="431"/>
      <c r="XEO107" s="431"/>
      <c r="XEP107" s="431"/>
      <c r="XEQ107" s="431"/>
      <c r="XER107" s="431"/>
      <c r="XES107" s="431"/>
      <c r="XET107" s="431"/>
      <c r="XEU107" s="431"/>
      <c r="XEV107" s="431"/>
      <c r="XEW107" s="431"/>
      <c r="XEX107" s="431"/>
      <c r="XEY107" s="431"/>
      <c r="XEZ107" s="431"/>
      <c r="XFA107" s="431"/>
      <c r="XFB107" s="431"/>
      <c r="XFC107" s="431"/>
      <c r="XFD107" s="431"/>
    </row>
    <row r="108" s="409" customFormat="1" ht="19" customHeight="1" spans="1:21 16313:16384">
      <c r="A108" s="436">
        <v>46167</v>
      </c>
      <c r="B108" s="459">
        <v>1000040520</v>
      </c>
      <c r="C108" s="422"/>
      <c r="D108" s="424"/>
      <c r="E108" s="424"/>
      <c r="F108" s="424"/>
      <c r="G108" s="454"/>
      <c r="H108" s="454"/>
      <c r="I108" s="454">
        <v>30000</v>
      </c>
      <c r="J108" s="435"/>
      <c r="K108" s="435"/>
      <c r="L108" s="435"/>
      <c r="M108" s="435"/>
      <c r="N108" s="435"/>
      <c r="O108" s="439"/>
      <c r="P108" s="439"/>
      <c r="Q108" s="454"/>
      <c r="R108" s="439"/>
      <c r="S108" s="439"/>
      <c r="T108" s="439"/>
      <c r="U108" s="458"/>
      <c r="XCK108" s="431"/>
      <c r="XCL108" s="431"/>
      <c r="XCM108" s="431"/>
      <c r="XCN108" s="431"/>
      <c r="XCO108" s="431"/>
      <c r="XCP108" s="431"/>
      <c r="XCQ108" s="431"/>
      <c r="XCR108" s="431"/>
      <c r="XCS108" s="431"/>
      <c r="XCT108" s="431"/>
      <c r="XCU108" s="431"/>
      <c r="XCV108" s="431"/>
      <c r="XCW108" s="431"/>
      <c r="XCX108" s="431"/>
      <c r="XCY108" s="431"/>
      <c r="XCZ108" s="431"/>
      <c r="XDA108" s="431"/>
      <c r="XDB108" s="431"/>
      <c r="XDC108" s="431"/>
      <c r="XDD108" s="431"/>
      <c r="XDE108" s="431"/>
      <c r="XDF108" s="431"/>
      <c r="XDG108" s="431"/>
      <c r="XDH108" s="431"/>
      <c r="XDI108" s="431"/>
      <c r="XDJ108" s="431"/>
      <c r="XDK108" s="431"/>
      <c r="XDL108" s="431"/>
      <c r="XDM108" s="431"/>
      <c r="XDN108" s="431"/>
      <c r="XDO108" s="431"/>
      <c r="XDP108" s="431"/>
      <c r="XDQ108" s="431"/>
      <c r="XDR108" s="431"/>
      <c r="XDS108" s="431"/>
      <c r="XDT108" s="431"/>
      <c r="XDU108" s="431"/>
      <c r="XDV108" s="431"/>
      <c r="XDW108" s="431"/>
      <c r="XDX108" s="431"/>
      <c r="XDY108" s="431"/>
      <c r="XDZ108" s="431"/>
      <c r="XEA108" s="431"/>
      <c r="XEB108" s="431"/>
      <c r="XEC108" s="431"/>
      <c r="XED108" s="431"/>
      <c r="XEE108" s="431"/>
      <c r="XEF108" s="431"/>
      <c r="XEG108" s="431"/>
      <c r="XEH108" s="431"/>
      <c r="XEI108" s="431"/>
      <c r="XEJ108" s="431"/>
      <c r="XEK108" s="431"/>
      <c r="XEL108" s="431"/>
      <c r="XEM108" s="431"/>
      <c r="XEN108" s="431"/>
      <c r="XEO108" s="431"/>
      <c r="XEP108" s="431"/>
      <c r="XEQ108" s="431"/>
      <c r="XER108" s="431"/>
      <c r="XES108" s="431"/>
      <c r="XET108" s="431"/>
      <c r="XEU108" s="431"/>
      <c r="XEV108" s="431"/>
      <c r="XEW108" s="431"/>
      <c r="XEX108" s="431"/>
      <c r="XEY108" s="431"/>
      <c r="XEZ108" s="431"/>
      <c r="XFA108" s="431"/>
      <c r="XFB108" s="431"/>
      <c r="XFC108" s="431"/>
      <c r="XFD108" s="431"/>
    </row>
    <row r="109" s="412" customFormat="1" ht="19" customHeight="1" spans="1:21 16313:16384">
      <c r="A109" s="466">
        <v>46226</v>
      </c>
      <c r="B109" s="467">
        <v>1000043111</v>
      </c>
      <c r="C109" s="468"/>
      <c r="D109" s="469"/>
      <c r="E109" s="469"/>
      <c r="F109" s="470">
        <v>50000</v>
      </c>
      <c r="G109" s="471"/>
      <c r="H109" s="471"/>
      <c r="I109" s="471"/>
      <c r="J109" s="472"/>
      <c r="K109" s="472"/>
      <c r="L109" s="472"/>
      <c r="M109" s="472"/>
      <c r="N109" s="472"/>
      <c r="O109" s="473"/>
      <c r="P109" s="473"/>
      <c r="Q109" s="471"/>
      <c r="R109" s="473"/>
      <c r="S109" s="473"/>
      <c r="T109" s="473"/>
      <c r="U109" s="474"/>
      <c r="XCK109" s="245"/>
      <c r="XCL109" s="245"/>
      <c r="XCM109" s="245"/>
      <c r="XCN109" s="245"/>
      <c r="XCO109" s="245"/>
      <c r="XCP109" s="245"/>
      <c r="XCQ109" s="245"/>
      <c r="XCR109" s="245"/>
      <c r="XCS109" s="245"/>
      <c r="XCT109" s="245"/>
      <c r="XCU109" s="245"/>
      <c r="XCV109" s="245"/>
      <c r="XCW109" s="245"/>
      <c r="XCX109" s="245"/>
      <c r="XCY109" s="245"/>
      <c r="XCZ109" s="245"/>
      <c r="XDA109" s="245"/>
      <c r="XDB109" s="245"/>
      <c r="XDC109" s="245"/>
      <c r="XDD109" s="245"/>
      <c r="XDE109" s="245"/>
      <c r="XDF109" s="245"/>
      <c r="XDG109" s="245"/>
      <c r="XDH109" s="245"/>
      <c r="XDI109" s="245"/>
      <c r="XDJ109" s="245"/>
      <c r="XDK109" s="245"/>
      <c r="XDL109" s="245"/>
      <c r="XDM109" s="245"/>
      <c r="XDN109" s="245"/>
      <c r="XDO109" s="245"/>
      <c r="XDP109" s="245"/>
      <c r="XDQ109" s="245"/>
      <c r="XDR109" s="245"/>
      <c r="XDS109" s="245"/>
      <c r="XDT109" s="245"/>
      <c r="XDU109" s="245"/>
      <c r="XDV109" s="245"/>
      <c r="XDW109" s="245"/>
      <c r="XDX109" s="245"/>
      <c r="XDY109" s="245"/>
      <c r="XDZ109" s="245"/>
      <c r="XEA109" s="245"/>
      <c r="XEB109" s="245"/>
      <c r="XEC109" s="245"/>
      <c r="XED109" s="245"/>
      <c r="XEE109" s="245"/>
      <c r="XEF109" s="245"/>
      <c r="XEG109" s="245"/>
      <c r="XEH109" s="245"/>
      <c r="XEI109" s="245"/>
      <c r="XEJ109" s="245"/>
      <c r="XEK109" s="245"/>
      <c r="XEL109" s="245"/>
      <c r="XEM109" s="245"/>
      <c r="XEN109" s="245"/>
      <c r="XEO109" s="245"/>
      <c r="XEP109" s="245"/>
      <c r="XEQ109" s="245"/>
      <c r="XER109" s="245"/>
      <c r="XES109" s="245"/>
      <c r="XET109" s="245"/>
      <c r="XEU109" s="245"/>
      <c r="XEV109" s="245"/>
      <c r="XEW109" s="245"/>
      <c r="XEX109" s="245"/>
      <c r="XEY109" s="245"/>
      <c r="XEZ109" s="245"/>
      <c r="XFA109" s="245"/>
      <c r="XFB109" s="245"/>
      <c r="XFC109" s="245"/>
      <c r="XFD109" s="245"/>
    </row>
    <row r="110" s="412" customFormat="1" ht="19" customHeight="1" spans="1:21 16313:16384">
      <c r="A110" s="466">
        <v>46226</v>
      </c>
      <c r="B110" s="467">
        <v>1000043112</v>
      </c>
      <c r="C110" s="468"/>
      <c r="D110" s="469"/>
      <c r="E110" s="469"/>
      <c r="F110" s="469"/>
      <c r="G110" s="471"/>
      <c r="H110" s="471"/>
      <c r="I110" s="471"/>
      <c r="J110" s="472"/>
      <c r="K110" s="472"/>
      <c r="L110" s="470">
        <v>50000</v>
      </c>
      <c r="M110" s="472"/>
      <c r="N110" s="472"/>
      <c r="O110" s="473"/>
      <c r="P110" s="473"/>
      <c r="Q110" s="471"/>
      <c r="R110" s="473"/>
      <c r="S110" s="473"/>
      <c r="T110" s="473"/>
      <c r="U110" s="474"/>
      <c r="XCK110" s="245"/>
      <c r="XCL110" s="245"/>
      <c r="XCM110" s="245"/>
      <c r="XCN110" s="245"/>
      <c r="XCO110" s="245"/>
      <c r="XCP110" s="245"/>
      <c r="XCQ110" s="245"/>
      <c r="XCR110" s="245"/>
      <c r="XCS110" s="245"/>
      <c r="XCT110" s="245"/>
      <c r="XCU110" s="245"/>
      <c r="XCV110" s="245"/>
      <c r="XCW110" s="245"/>
      <c r="XCX110" s="245"/>
      <c r="XCY110" s="245"/>
      <c r="XCZ110" s="245"/>
      <c r="XDA110" s="245"/>
      <c r="XDB110" s="245"/>
      <c r="XDC110" s="245"/>
      <c r="XDD110" s="245"/>
      <c r="XDE110" s="245"/>
      <c r="XDF110" s="245"/>
      <c r="XDG110" s="245"/>
      <c r="XDH110" s="245"/>
      <c r="XDI110" s="245"/>
      <c r="XDJ110" s="245"/>
      <c r="XDK110" s="245"/>
      <c r="XDL110" s="245"/>
      <c r="XDM110" s="245"/>
      <c r="XDN110" s="245"/>
      <c r="XDO110" s="245"/>
      <c r="XDP110" s="245"/>
      <c r="XDQ110" s="245"/>
      <c r="XDR110" s="245"/>
      <c r="XDS110" s="245"/>
      <c r="XDT110" s="245"/>
      <c r="XDU110" s="245"/>
      <c r="XDV110" s="245"/>
      <c r="XDW110" s="245"/>
      <c r="XDX110" s="245"/>
      <c r="XDY110" s="245"/>
      <c r="XDZ110" s="245"/>
      <c r="XEA110" s="245"/>
      <c r="XEB110" s="245"/>
      <c r="XEC110" s="245"/>
      <c r="XED110" s="245"/>
      <c r="XEE110" s="245"/>
      <c r="XEF110" s="245"/>
      <c r="XEG110" s="245"/>
      <c r="XEH110" s="245"/>
      <c r="XEI110" s="245"/>
      <c r="XEJ110" s="245"/>
      <c r="XEK110" s="245"/>
      <c r="XEL110" s="245"/>
      <c r="XEM110" s="245"/>
      <c r="XEN110" s="245"/>
      <c r="XEO110" s="245"/>
      <c r="XEP110" s="245"/>
      <c r="XEQ110" s="245"/>
      <c r="XER110" s="245"/>
      <c r="XES110" s="245"/>
      <c r="XET110" s="245"/>
      <c r="XEU110" s="245"/>
      <c r="XEV110" s="245"/>
      <c r="XEW110" s="245"/>
      <c r="XEX110" s="245"/>
      <c r="XEY110" s="245"/>
      <c r="XEZ110" s="245"/>
      <c r="XFA110" s="245"/>
      <c r="XFB110" s="245"/>
      <c r="XFC110" s="245"/>
      <c r="XFD110" s="245"/>
    </row>
    <row r="111" s="409" customFormat="1" ht="19" customHeight="1" spans="1:21 16313:16384">
      <c r="A111" s="436"/>
      <c r="B111" s="460"/>
      <c r="C111" s="422"/>
      <c r="D111" s="424"/>
      <c r="E111" s="424"/>
      <c r="F111" s="424"/>
      <c r="G111" s="454"/>
      <c r="H111" s="454"/>
      <c r="I111" s="454"/>
      <c r="J111" s="435"/>
      <c r="K111" s="435"/>
      <c r="L111" s="435"/>
      <c r="M111" s="435"/>
      <c r="N111" s="435"/>
      <c r="O111" s="439"/>
      <c r="P111" s="439"/>
      <c r="Q111" s="454"/>
      <c r="R111" s="439"/>
      <c r="S111" s="439"/>
      <c r="T111" s="439"/>
      <c r="U111" s="458"/>
      <c r="XCK111" s="431"/>
      <c r="XCL111" s="431"/>
      <c r="XCM111" s="431"/>
      <c r="XCN111" s="431"/>
      <c r="XCO111" s="431"/>
      <c r="XCP111" s="431"/>
      <c r="XCQ111" s="431"/>
      <c r="XCR111" s="431"/>
      <c r="XCS111" s="431"/>
      <c r="XCT111" s="431"/>
      <c r="XCU111" s="431"/>
      <c r="XCV111" s="431"/>
      <c r="XCW111" s="431"/>
      <c r="XCX111" s="431"/>
      <c r="XCY111" s="431"/>
      <c r="XCZ111" s="431"/>
      <c r="XDA111" s="431"/>
      <c r="XDB111" s="431"/>
      <c r="XDC111" s="431"/>
      <c r="XDD111" s="431"/>
      <c r="XDE111" s="431"/>
      <c r="XDF111" s="431"/>
      <c r="XDG111" s="431"/>
      <c r="XDH111" s="431"/>
      <c r="XDI111" s="431"/>
      <c r="XDJ111" s="431"/>
      <c r="XDK111" s="431"/>
      <c r="XDL111" s="431"/>
      <c r="XDM111" s="431"/>
      <c r="XDN111" s="431"/>
      <c r="XDO111" s="431"/>
      <c r="XDP111" s="431"/>
      <c r="XDQ111" s="431"/>
      <c r="XDR111" s="431"/>
      <c r="XDS111" s="431"/>
      <c r="XDT111" s="431"/>
      <c r="XDU111" s="431"/>
      <c r="XDV111" s="431"/>
      <c r="XDW111" s="431"/>
      <c r="XDX111" s="431"/>
      <c r="XDY111" s="431"/>
      <c r="XDZ111" s="431"/>
      <c r="XEA111" s="431"/>
      <c r="XEB111" s="431"/>
      <c r="XEC111" s="431"/>
      <c r="XED111" s="431"/>
      <c r="XEE111" s="431"/>
      <c r="XEF111" s="431"/>
      <c r="XEG111" s="431"/>
      <c r="XEH111" s="431"/>
      <c r="XEI111" s="431"/>
      <c r="XEJ111" s="431"/>
      <c r="XEK111" s="431"/>
      <c r="XEL111" s="431"/>
      <c r="XEM111" s="431"/>
      <c r="XEN111" s="431"/>
      <c r="XEO111" s="431"/>
      <c r="XEP111" s="431"/>
      <c r="XEQ111" s="431"/>
      <c r="XER111" s="431"/>
      <c r="XES111" s="431"/>
      <c r="XET111" s="431"/>
      <c r="XEU111" s="431"/>
      <c r="XEV111" s="431"/>
      <c r="XEW111" s="431"/>
      <c r="XEX111" s="431"/>
      <c r="XEY111" s="431"/>
      <c r="XEZ111" s="431"/>
      <c r="XFA111" s="431"/>
      <c r="XFB111" s="431"/>
      <c r="XFC111" s="431"/>
      <c r="XFD111" s="431"/>
    </row>
    <row r="112" spans="1:21 16313:16384">
      <c r="A112" s="475"/>
      <c r="B112" s="476"/>
      <c r="C112" s="477" t="s">
        <v>2565</v>
      </c>
      <c r="D112" s="477">
        <f>SUM(D5:D65)</f>
        <v>640000</v>
      </c>
      <c r="E112" s="477">
        <f>SUM(E5:E111)+D112</f>
        <v>1070395</v>
      </c>
      <c r="F112" s="477">
        <f>SUM(F5:F111)</f>
        <v>1320000</v>
      </c>
      <c r="G112" s="477">
        <f>SUM(G5:G65)</f>
        <v>150000</v>
      </c>
      <c r="H112" s="477">
        <f>SUM(H5:H111)</f>
        <v>30000</v>
      </c>
      <c r="I112" s="477">
        <f>SUM(I5:I111)+H115</f>
        <v>320000</v>
      </c>
      <c r="J112" s="477">
        <f>SUM(J5:J65)</f>
        <v>720000</v>
      </c>
      <c r="K112" s="477">
        <f>SUM(K5:K111)</f>
        <v>550000</v>
      </c>
      <c r="L112" s="477">
        <f>SUM(L5:L111)</f>
        <v>1320000</v>
      </c>
      <c r="M112" s="477">
        <f>SUM(M5:M111)</f>
        <v>169988</v>
      </c>
      <c r="N112" s="477">
        <f>SUM(N5:N111)</f>
        <v>0</v>
      </c>
      <c r="O112" s="477">
        <f>SUM(O5:O65)</f>
        <v>1310000</v>
      </c>
      <c r="P112" s="477">
        <f>SUM(P5:P111)</f>
        <v>750000</v>
      </c>
      <c r="Q112" s="477">
        <f>SUM(Q5:Q111)</f>
        <v>2770000</v>
      </c>
      <c r="R112" s="477">
        <f>SUM(R5:R111)</f>
        <v>4000</v>
      </c>
      <c r="S112" s="477">
        <f>SUM(S16:S111)</f>
        <v>300</v>
      </c>
      <c r="T112" s="477">
        <f>SUM(T5:T111)</f>
        <v>197</v>
      </c>
    </row>
    <row r="113" spans="1:20 16313:16384">
      <c r="A113" s="478" t="s">
        <v>2566</v>
      </c>
      <c r="B113" s="476"/>
      <c r="C113" s="478"/>
      <c r="D113" s="475">
        <f>'9283'!AE564</f>
        <v>0</v>
      </c>
      <c r="E113" s="475">
        <f>'9283'!AF564+E118+E119</f>
        <v>1073599</v>
      </c>
      <c r="F113" s="475">
        <f>'9283'!AG564+F119</f>
        <v>1302230</v>
      </c>
      <c r="G113" s="475">
        <f>'9283'!AH564+G117+G119</f>
        <v>146792</v>
      </c>
      <c r="H113" s="475">
        <f>'9283'!AI564+H118+H119</f>
        <v>28576</v>
      </c>
      <c r="I113" s="475">
        <f>'9283'!AJ564+I119</f>
        <v>314135</v>
      </c>
      <c r="J113" s="475">
        <f>'9283'!AL564+J118+J119</f>
        <v>800359</v>
      </c>
      <c r="K113" s="475">
        <f>'9283'!AM564+K118+K119</f>
        <v>434982</v>
      </c>
      <c r="L113" s="475">
        <f>'9283'!AN564+L119</f>
        <v>1346521</v>
      </c>
      <c r="M113" s="475">
        <f>'9283'!AK564+M118+M119</f>
        <v>188406</v>
      </c>
      <c r="N113" s="475">
        <f>'9283'!AO564+N118</f>
        <v>336030</v>
      </c>
      <c r="O113" s="475" t="e">
        <f>'9283'!#REF!+O118</f>
        <v>#REF!</v>
      </c>
      <c r="P113" s="475">
        <f>'9283'!AW564+P119</f>
        <v>1495593</v>
      </c>
      <c r="Q113" s="475">
        <f>'9283'!BT564+Q118+Q119</f>
        <v>3044305.0496</v>
      </c>
      <c r="R113" s="475">
        <f>'9283'!BB564+R118</f>
        <v>4000</v>
      </c>
      <c r="S113" s="475">
        <f>'9283'!AY564+S118</f>
        <v>289</v>
      </c>
      <c r="T113" s="475"/>
    </row>
    <row r="114" spans="1:20 16313:16384">
      <c r="A114" s="479" t="s">
        <v>2567</v>
      </c>
      <c r="B114" s="476"/>
      <c r="C114" s="478"/>
      <c r="D114" s="475"/>
      <c r="E114" s="475"/>
      <c r="F114" s="475"/>
      <c r="G114" s="475">
        <f t="shared" ref="G114:L114" si="0">G112-G113</f>
        <v>3208</v>
      </c>
      <c r="H114" s="475">
        <f t="shared" si="0"/>
        <v>1424</v>
      </c>
      <c r="I114" s="475">
        <f t="shared" si="0"/>
        <v>5865</v>
      </c>
      <c r="J114" s="475">
        <f t="shared" si="0"/>
        <v>-80359</v>
      </c>
      <c r="K114" s="475">
        <f t="shared" si="0"/>
        <v>115018</v>
      </c>
      <c r="L114" s="475">
        <f t="shared" si="0"/>
        <v>-26521</v>
      </c>
      <c r="M114" s="475"/>
      <c r="N114" s="475"/>
      <c r="O114" s="475"/>
      <c r="P114" s="475"/>
      <c r="Q114" s="475"/>
      <c r="R114" s="475"/>
      <c r="S114" s="475"/>
      <c r="T114" s="475"/>
    </row>
    <row r="115" ht="26" customHeight="1" spans="1:20 16313:16384">
      <c r="A115" s="480" t="s">
        <v>2568</v>
      </c>
      <c r="B115" s="480"/>
      <c r="C115" s="480"/>
      <c r="D115" s="481">
        <f>D112-D113-D114</f>
        <v>640000</v>
      </c>
      <c r="E115" s="481">
        <f>E112-E113-E114</f>
        <v>-3204</v>
      </c>
      <c r="F115" s="476">
        <f>F112-F113-F114</f>
        <v>17770</v>
      </c>
      <c r="G115" s="476">
        <f>G112-G113-G114</f>
        <v>0</v>
      </c>
      <c r="H115" s="476">
        <f>H112-H113-H114</f>
        <v>0</v>
      </c>
      <c r="I115" s="476">
        <f>G114+H114+I114</f>
        <v>10497</v>
      </c>
      <c r="J115" s="476">
        <f>J112-J113-J114</f>
        <v>0</v>
      </c>
      <c r="K115" s="476">
        <f>K112-K113-K114+J115</f>
        <v>0</v>
      </c>
      <c r="L115" s="476">
        <f>J114+K114+L114</f>
        <v>8138</v>
      </c>
      <c r="M115" s="476">
        <f>M112-M113-M114</f>
        <v>-18418</v>
      </c>
      <c r="N115" s="476">
        <f>N112</f>
        <v>0</v>
      </c>
      <c r="O115" s="476" t="e">
        <f>O112-O113-O114</f>
        <v>#REF!</v>
      </c>
      <c r="P115" s="476">
        <f>P112-P113-P114</f>
        <v>-745593</v>
      </c>
      <c r="Q115" s="476">
        <f>Q112-Q113-Q114</f>
        <v>-274305.0496</v>
      </c>
      <c r="R115" s="476">
        <f>R112-R113-R114</f>
        <v>0</v>
      </c>
      <c r="S115" s="476">
        <f>S112-S113-S114</f>
        <v>11</v>
      </c>
      <c r="T115" s="476"/>
    </row>
    <row r="116" spans="1:20 16313:16384">
      <c r="E116" s="409"/>
    </row>
    <row r="117" ht="22" customHeight="1" spans="1:20 16313:16384">
      <c r="C117" s="482" t="s">
        <v>2569</v>
      </c>
      <c r="D117" s="482"/>
      <c r="E117" s="482">
        <v>1006897</v>
      </c>
      <c r="F117" s="482">
        <v>84842</v>
      </c>
      <c r="G117" s="482">
        <v>143468</v>
      </c>
      <c r="H117" s="482">
        <v>11094</v>
      </c>
      <c r="I117" s="482">
        <v>15598</v>
      </c>
      <c r="J117" s="482">
        <v>782587</v>
      </c>
      <c r="K117" s="482">
        <v>1131765</v>
      </c>
      <c r="L117" s="482">
        <v>102630</v>
      </c>
      <c r="M117" s="482">
        <v>129474</v>
      </c>
      <c r="N117" s="482">
        <v>156978</v>
      </c>
      <c r="O117" s="482">
        <v>1275194</v>
      </c>
      <c r="P117" s="482">
        <v>101742</v>
      </c>
      <c r="Q117" s="482">
        <v>1392468</v>
      </c>
      <c r="R117" s="482">
        <v>4000</v>
      </c>
      <c r="S117" s="482">
        <v>289</v>
      </c>
    </row>
    <row r="118" ht="22" customHeight="1" spans="1:20 16313:16384">
      <c r="C118" s="482" t="s">
        <v>2570</v>
      </c>
      <c r="D118" s="482"/>
      <c r="E118" s="482">
        <v>929173</v>
      </c>
      <c r="F118" s="482">
        <v>84842</v>
      </c>
      <c r="G118" s="482"/>
      <c r="H118" s="482">
        <v>2004</v>
      </c>
      <c r="I118" s="482">
        <v>15598</v>
      </c>
      <c r="J118" s="482">
        <v>782587</v>
      </c>
      <c r="K118" s="482">
        <v>273164</v>
      </c>
      <c r="L118" s="482">
        <v>102630</v>
      </c>
      <c r="M118" s="482">
        <v>124284</v>
      </c>
      <c r="N118" s="482">
        <v>143178</v>
      </c>
      <c r="O118" s="482">
        <v>1198956</v>
      </c>
      <c r="P118" s="482">
        <v>101742</v>
      </c>
      <c r="Q118" s="482">
        <v>1198956</v>
      </c>
      <c r="R118" s="482">
        <v>4000</v>
      </c>
      <c r="S118" s="482">
        <v>289</v>
      </c>
    </row>
    <row r="119" s="413" customFormat="1" ht="22" customHeight="1" spans="1:20 16313:16384">
      <c r="C119" s="483" t="s">
        <v>2571</v>
      </c>
      <c r="D119" s="483"/>
      <c r="E119" s="483">
        <v>141222</v>
      </c>
      <c r="F119" s="483">
        <v>798190</v>
      </c>
      <c r="G119" s="483">
        <v>120</v>
      </c>
      <c r="H119" s="483">
        <v>26572</v>
      </c>
      <c r="I119" s="483">
        <v>205333</v>
      </c>
      <c r="J119" s="483">
        <v>17772</v>
      </c>
      <c r="K119" s="483">
        <v>161818</v>
      </c>
      <c r="L119" s="483">
        <v>906527</v>
      </c>
      <c r="M119" s="483">
        <v>41076</v>
      </c>
      <c r="N119" s="484">
        <v>0</v>
      </c>
      <c r="O119" s="483"/>
      <c r="P119" s="483">
        <v>988687</v>
      </c>
      <c r="Q119" s="483">
        <v>1212501</v>
      </c>
      <c r="R119" s="483">
        <v>0</v>
      </c>
      <c r="S119" s="483">
        <v>0</v>
      </c>
      <c r="XCK119" s="485"/>
      <c r="XCL119" s="485"/>
      <c r="XCM119" s="485"/>
      <c r="XCN119" s="485"/>
      <c r="XCO119" s="485"/>
      <c r="XCP119" s="485"/>
      <c r="XCQ119" s="485"/>
      <c r="XCR119" s="485"/>
      <c r="XCS119" s="485"/>
      <c r="XCT119" s="485"/>
      <c r="XCU119" s="485"/>
      <c r="XCV119" s="485"/>
      <c r="XCW119" s="485"/>
      <c r="XCX119" s="485"/>
      <c r="XCY119" s="485"/>
      <c r="XCZ119" s="485"/>
      <c r="XDA119" s="485"/>
      <c r="XDB119" s="485"/>
      <c r="XDC119" s="485"/>
      <c r="XDD119" s="485"/>
      <c r="XDE119" s="485"/>
      <c r="XDF119" s="485"/>
      <c r="XDG119" s="485"/>
      <c r="XDH119" s="485"/>
      <c r="XDI119" s="485"/>
      <c r="XDJ119" s="485"/>
      <c r="XDK119" s="485"/>
      <c r="XDL119" s="485"/>
      <c r="XDM119" s="485"/>
      <c r="XDN119" s="485"/>
      <c r="XDO119" s="485"/>
      <c r="XDP119" s="485"/>
      <c r="XDQ119" s="485"/>
      <c r="XDR119" s="485"/>
      <c r="XDS119" s="485"/>
      <c r="XDT119" s="485"/>
      <c r="XDU119" s="485"/>
      <c r="XDV119" s="485"/>
      <c r="XDW119" s="485"/>
      <c r="XDX119" s="485"/>
      <c r="XDY119" s="485"/>
      <c r="XDZ119" s="485"/>
      <c r="XEA119" s="485"/>
      <c r="XEB119" s="485"/>
      <c r="XEC119" s="485"/>
      <c r="XED119" s="485"/>
      <c r="XEE119" s="485"/>
      <c r="XEF119" s="485"/>
      <c r="XEG119" s="485"/>
      <c r="XEH119" s="485"/>
      <c r="XEI119" s="485"/>
      <c r="XEJ119" s="485"/>
      <c r="XEK119" s="485"/>
      <c r="XEL119" s="485"/>
      <c r="XEM119" s="485"/>
      <c r="XEN119" s="485"/>
      <c r="XEO119" s="485"/>
      <c r="XEP119" s="485"/>
      <c r="XEQ119" s="485"/>
      <c r="XER119" s="485"/>
      <c r="XES119" s="485"/>
      <c r="XET119" s="485"/>
      <c r="XEU119" s="485"/>
      <c r="XEV119" s="485"/>
      <c r="XEW119" s="485"/>
      <c r="XEX119" s="485"/>
      <c r="XEY119" s="485"/>
      <c r="XEZ119" s="485"/>
      <c r="XFA119" s="485"/>
      <c r="XFB119" s="485"/>
      <c r="XFC119" s="485"/>
      <c r="XFD119" s="485"/>
    </row>
    <row r="120" spans="1:20 16313:16384">
      <c r="E120" s="414">
        <f>E112-E118</f>
        <v>141222</v>
      </c>
      <c r="F120" s="414">
        <v>907168</v>
      </c>
      <c r="G120" s="414">
        <v>143588</v>
      </c>
      <c r="H120" s="414">
        <v>28576</v>
      </c>
      <c r="I120" s="414">
        <v>216077</v>
      </c>
      <c r="J120" s="414">
        <v>800359</v>
      </c>
      <c r="K120" s="414">
        <v>434982</v>
      </c>
      <c r="L120" s="414">
        <v>1005249</v>
      </c>
      <c r="M120" s="414">
        <v>175362</v>
      </c>
      <c r="N120" s="414">
        <v>316032</v>
      </c>
      <c r="O120" s="414" t="e">
        <v>#REF!</v>
      </c>
      <c r="P120" s="414">
        <v>1116215</v>
      </c>
      <c r="Q120" s="414">
        <v>2538985</v>
      </c>
      <c r="R120" s="414">
        <v>4000</v>
      </c>
      <c r="S120" s="414">
        <v>289</v>
      </c>
    </row>
    <row r="121" spans="1:20 16313:16384">
      <c r="F121" s="414">
        <f t="shared" ref="F121:M121" si="1">F120-F113</f>
        <v>-395062</v>
      </c>
      <c r="G121" s="414">
        <f t="shared" si="1"/>
        <v>-3204</v>
      </c>
      <c r="H121" s="414">
        <f t="shared" si="1"/>
        <v>0</v>
      </c>
      <c r="I121" s="414">
        <f t="shared" si="1"/>
        <v>-98058</v>
      </c>
      <c r="J121" s="414">
        <f t="shared" si="1"/>
        <v>0</v>
      </c>
      <c r="K121" s="414">
        <f t="shared" si="1"/>
        <v>0</v>
      </c>
      <c r="L121" s="414">
        <f t="shared" si="1"/>
        <v>-341272</v>
      </c>
      <c r="M121" s="414">
        <f t="shared" si="1"/>
        <v>-13044</v>
      </c>
      <c r="P121" s="414">
        <f>P120-P113</f>
        <v>-379378</v>
      </c>
      <c r="Q121" s="414">
        <f>Q120-Q113</f>
        <v>-505320.0496</v>
      </c>
    </row>
    <row r="122" spans="1:20 16313:16384">
      <c r="L122" s="486"/>
    </row>
    <row r="183" spans="4:6">
      <c r="D183" s="487"/>
      <c r="E183" s="487"/>
      <c r="F183" s="487"/>
    </row>
    <row r="184" spans="4:6">
      <c r="D184" s="487"/>
      <c r="E184" s="487"/>
      <c r="F184" s="487"/>
    </row>
    <row r="185" spans="4:6">
      <c r="D185" s="487"/>
      <c r="E185" s="487"/>
      <c r="F185" s="487"/>
    </row>
    <row r="186" spans="4:6">
      <c r="D186" s="487"/>
      <c r="E186" s="487"/>
      <c r="F186" s="487"/>
    </row>
    <row r="187" spans="4:6">
      <c r="D187" s="487"/>
      <c r="E187" s="487"/>
      <c r="F187" s="487"/>
    </row>
    <row r="188" spans="4:6">
      <c r="D188" s="487"/>
      <c r="E188" s="487"/>
      <c r="F188" s="487"/>
    </row>
    <row r="189" spans="4:6">
      <c r="D189" s="487"/>
      <c r="E189" s="487"/>
      <c r="F189" s="487"/>
    </row>
    <row r="190" spans="4:6">
      <c r="D190" s="487"/>
      <c r="E190" s="487"/>
      <c r="F190" s="487"/>
    </row>
    <row r="191" spans="4:6">
      <c r="D191" s="487"/>
      <c r="E191" s="487"/>
      <c r="F191" s="487"/>
    </row>
    <row r="192" spans="4:6">
      <c r="D192" s="487"/>
      <c r="E192" s="487"/>
      <c r="F192" s="487"/>
    </row>
    <row r="193" spans="4:6">
      <c r="D193" s="487"/>
      <c r="E193" s="487"/>
      <c r="F193" s="487"/>
    </row>
    <row r="194" spans="4:6">
      <c r="D194" s="487"/>
      <c r="E194" s="487"/>
      <c r="F194" s="487"/>
    </row>
    <row r="195" spans="4:6">
      <c r="D195" s="487"/>
      <c r="E195" s="487"/>
      <c r="F195" s="487"/>
    </row>
    <row r="196" spans="4:6">
      <c r="D196" s="487"/>
      <c r="E196" s="487"/>
      <c r="F196" s="487"/>
    </row>
    <row r="197" spans="4:6">
      <c r="D197" s="487"/>
      <c r="E197" s="487"/>
      <c r="F197" s="487"/>
    </row>
    <row r="198" spans="4:6">
      <c r="D198" s="487"/>
      <c r="E198" s="487"/>
      <c r="F198" s="487"/>
    </row>
    <row r="199" spans="4:6">
      <c r="D199" s="487"/>
      <c r="E199" s="487"/>
      <c r="F199" s="487"/>
    </row>
    <row r="200" spans="4:6">
      <c r="D200" s="487"/>
      <c r="E200" s="487"/>
      <c r="F200" s="487"/>
    </row>
    <row r="201" spans="4:6">
      <c r="D201" s="487"/>
      <c r="E201" s="487"/>
      <c r="F201" s="487"/>
    </row>
    <row r="202" spans="4:6">
      <c r="D202" s="487"/>
      <c r="E202" s="487"/>
      <c r="F202" s="487"/>
    </row>
    <row r="203" spans="4:6">
      <c r="D203" s="487"/>
      <c r="E203" s="487"/>
      <c r="F203" s="487"/>
    </row>
    <row r="204" spans="4:6">
      <c r="D204" s="487"/>
      <c r="E204" s="487"/>
      <c r="F204" s="487"/>
    </row>
    <row r="205" spans="4:6">
      <c r="D205" s="487"/>
      <c r="E205" s="487"/>
      <c r="F205" s="487"/>
    </row>
    <row r="206" spans="4:6">
      <c r="D206" s="487"/>
      <c r="E206" s="487"/>
      <c r="F206" s="487"/>
    </row>
    <row r="207" spans="4:6">
      <c r="D207" s="487"/>
      <c r="E207" s="487"/>
      <c r="F207" s="487"/>
    </row>
    <row r="208" spans="4:6">
      <c r="D208" s="487"/>
      <c r="E208" s="487"/>
      <c r="F208" s="487"/>
    </row>
    <row r="209" spans="4:6">
      <c r="D209" s="487"/>
      <c r="E209" s="487"/>
      <c r="F209" s="487"/>
    </row>
    <row r="210" spans="4:6">
      <c r="D210" s="487"/>
      <c r="E210" s="487"/>
      <c r="F210" s="487"/>
    </row>
    <row r="211" spans="4:6">
      <c r="D211" s="487"/>
      <c r="E211" s="487"/>
      <c r="F211" s="487"/>
    </row>
    <row r="212" spans="4:6">
      <c r="D212" s="487"/>
      <c r="E212" s="487"/>
      <c r="F212" s="487"/>
    </row>
    <row r="213" spans="4:6">
      <c r="D213" s="487"/>
      <c r="E213" s="487"/>
      <c r="F213" s="487"/>
    </row>
    <row r="214" spans="4:6">
      <c r="D214" s="487"/>
      <c r="E214" s="487"/>
      <c r="F214" s="487"/>
    </row>
    <row r="215" spans="4:6">
      <c r="D215" s="487"/>
      <c r="E215" s="487"/>
      <c r="F215" s="487"/>
    </row>
    <row r="216" spans="4:6">
      <c r="D216" s="487"/>
      <c r="E216" s="487"/>
      <c r="F216" s="487"/>
    </row>
    <row r="217" spans="4:6">
      <c r="D217" s="487"/>
      <c r="E217" s="487"/>
      <c r="F217" s="487"/>
    </row>
    <row r="218" spans="4:6">
      <c r="D218" s="487"/>
      <c r="E218" s="487"/>
      <c r="F218" s="487"/>
    </row>
    <row r="219" spans="4:6">
      <c r="D219" s="487"/>
      <c r="E219" s="487"/>
      <c r="F219" s="487"/>
    </row>
    <row r="220" spans="4:6">
      <c r="D220" s="487"/>
      <c r="E220" s="487"/>
      <c r="F220" s="487"/>
    </row>
    <row r="221" spans="4:6">
      <c r="D221" s="487"/>
      <c r="E221" s="487"/>
      <c r="F221" s="487"/>
    </row>
    <row r="222" spans="4:6">
      <c r="D222" s="487"/>
      <c r="E222" s="487"/>
      <c r="F222" s="487"/>
    </row>
    <row r="223" spans="4:6">
      <c r="D223" s="487"/>
      <c r="E223" s="487"/>
      <c r="F223" s="487"/>
    </row>
    <row r="224" spans="4:6">
      <c r="D224" s="487"/>
      <c r="E224" s="487"/>
      <c r="F224" s="487"/>
    </row>
    <row r="225" spans="4:6">
      <c r="D225" s="487"/>
      <c r="E225" s="487"/>
      <c r="F225" s="487"/>
    </row>
    <row r="226" spans="4:6">
      <c r="D226" s="487"/>
      <c r="E226" s="487"/>
      <c r="F226" s="487"/>
    </row>
    <row r="227" spans="4:6">
      <c r="D227" s="487"/>
      <c r="E227" s="487"/>
      <c r="F227" s="487"/>
    </row>
    <row r="228" spans="4:6">
      <c r="D228" s="487"/>
      <c r="E228" s="487"/>
      <c r="F228" s="487"/>
    </row>
    <row r="229" spans="4:6">
      <c r="D229" s="487"/>
      <c r="E229" s="487"/>
      <c r="F229" s="487"/>
    </row>
    <row r="230" spans="4:6">
      <c r="D230" s="487"/>
      <c r="E230" s="487"/>
      <c r="F230" s="487"/>
    </row>
    <row r="231" spans="4:6">
      <c r="D231" s="487"/>
      <c r="E231" s="487"/>
      <c r="F231" s="487"/>
    </row>
    <row r="232" spans="4:6">
      <c r="D232" s="487"/>
      <c r="E232" s="487"/>
      <c r="F232" s="487"/>
    </row>
    <row r="233" spans="4:6">
      <c r="D233" s="487"/>
      <c r="E233" s="487"/>
      <c r="F233" s="487"/>
    </row>
    <row r="234" spans="4:6">
      <c r="D234" s="487"/>
      <c r="E234" s="487"/>
      <c r="F234" s="487"/>
    </row>
    <row r="235" spans="4:6">
      <c r="D235" s="487"/>
      <c r="E235" s="487"/>
      <c r="F235" s="487"/>
    </row>
    <row r="236" spans="4:6">
      <c r="D236" s="487"/>
      <c r="E236" s="487"/>
      <c r="F236" s="487"/>
    </row>
  </sheetData>
  <sheetProtection formatCells="0" formatColumns="0" formatRows="0" insertRows="0" insertColumns="0" insertHyperlinks="0" deleteColumns="0" deleteRows="0" sort="0" autoFilter="0" pivotTables="0"/>
  <autoFilter xmlns:etc="http://www.wps.cn/officeDocument/2017/etCustomData" ref="A3:XFD121" etc:filterBottomFollowUsedRange="0">
    <extLst/>
  </autoFilter>
  <mergeCells count="5">
    <mergeCell ref="A1:O1"/>
    <mergeCell ref="D2:G2"/>
    <mergeCell ref="A2:A4"/>
    <mergeCell ref="B2:B4"/>
    <mergeCell ref="C2:C4"/>
  </mergeCells>
  <pageMargins left="0.388888888888889" right="0.388888888888889" top="0.979166666666667" bottom="0.979166666666667" header="0.509027777777778" footer="0.509027777777778"/>
  <pageSetup paperSize="9" orientation="portrait"/>
  <headerFooter/>
  <ignoredErrors>
    <ignoredError sqref="I115 K112 N115"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5"/>
  <sheetViews>
    <sheetView zoomScale="70" zoomScaleNormal="70" topLeftCell="L1" workbookViewId="0">
      <selection activeCell="AC114" sqref="AC114:AC124"/>
    </sheetView>
  </sheetViews>
  <sheetFormatPr defaultColWidth="8.225" defaultRowHeight="16.5" customHeight="1"/>
  <cols>
    <col min="1" max="1" width="8.225" style="313" customWidth="1"/>
    <col min="2" max="3" width="8.225" style="313"/>
    <col min="4" max="5" width="11.5083333333333" style="313" customWidth="1"/>
    <col min="6" max="8" width="8.225" style="313"/>
    <col min="9" max="9" width="11.9666666666667" style="313" customWidth="1"/>
    <col min="10" max="10" width="12.1166666666667" style="313" customWidth="1"/>
    <col min="11" max="16" width="12.725" style="313" customWidth="1"/>
    <col min="17" max="17" width="12.5666666666667" style="313" customWidth="1"/>
    <col min="18" max="18" width="11.8166666666667" style="313" customWidth="1"/>
    <col min="19" max="19" width="16.85" style="313" customWidth="1"/>
    <col min="20" max="25" width="13.3" style="313"/>
    <col min="26" max="27" width="15.05" style="313" customWidth="1"/>
    <col min="28" max="28" width="13.9916666666667" style="313" customWidth="1"/>
    <col min="29" max="29" width="10.8" style="313"/>
    <col min="30" max="16384" width="8.225" style="313"/>
  </cols>
  <sheetData>
    <row r="1" s="312" customFormat="1" ht="27.75" customHeight="1" spans="1:29">
      <c r="A1" s="314" t="s">
        <v>2572</v>
      </c>
      <c r="B1" s="315" t="s">
        <v>2573</v>
      </c>
      <c r="C1" s="316" t="s">
        <v>2574</v>
      </c>
      <c r="D1" s="317" t="s">
        <v>2575</v>
      </c>
      <c r="E1" s="317"/>
      <c r="F1" s="318" t="s">
        <v>2576</v>
      </c>
      <c r="G1" s="319" t="s">
        <v>2577</v>
      </c>
      <c r="H1" s="318" t="s">
        <v>2578</v>
      </c>
      <c r="I1" s="320" t="s">
        <v>2579</v>
      </c>
      <c r="J1" s="320" t="s">
        <v>2580</v>
      </c>
      <c r="K1" s="320" t="s">
        <v>2581</v>
      </c>
      <c r="L1" s="320" t="s">
        <v>2582</v>
      </c>
      <c r="M1" s="320" t="s">
        <v>2583</v>
      </c>
      <c r="N1" s="320" t="s">
        <v>2584</v>
      </c>
      <c r="O1" s="320" t="s">
        <v>2585</v>
      </c>
      <c r="P1" s="320" t="s">
        <v>2586</v>
      </c>
      <c r="Q1" s="320" t="s">
        <v>2587</v>
      </c>
      <c r="R1" s="321" t="s">
        <v>2588</v>
      </c>
      <c r="S1" s="321" t="s">
        <v>2589</v>
      </c>
      <c r="T1" s="321" t="s">
        <v>2590</v>
      </c>
      <c r="U1" s="321" t="s">
        <v>2591</v>
      </c>
      <c r="V1" s="321" t="s">
        <v>2592</v>
      </c>
      <c r="W1" s="321" t="s">
        <v>2593</v>
      </c>
      <c r="X1" s="321" t="s">
        <v>2594</v>
      </c>
      <c r="Y1" s="321" t="s">
        <v>2595</v>
      </c>
      <c r="Z1" s="321" t="s">
        <v>2596</v>
      </c>
      <c r="AA1" s="321" t="s">
        <v>2597</v>
      </c>
      <c r="AB1" s="322" t="s">
        <v>2598</v>
      </c>
      <c r="AC1" s="323" t="s">
        <v>2599</v>
      </c>
    </row>
    <row r="2" s="312" customFormat="1" customHeight="1" spans="1:29">
      <c r="A2" s="324" t="s">
        <v>2600</v>
      </c>
      <c r="B2" s="325"/>
      <c r="C2" s="326"/>
      <c r="D2" s="327"/>
      <c r="E2" s="327"/>
      <c r="F2" s="328"/>
      <c r="G2" s="329"/>
      <c r="H2" s="328"/>
      <c r="I2" s="330">
        <v>44825</v>
      </c>
      <c r="J2" s="330">
        <v>44897</v>
      </c>
      <c r="K2" s="330">
        <v>44966</v>
      </c>
      <c r="L2" s="330">
        <v>45029</v>
      </c>
      <c r="M2" s="330">
        <v>45056</v>
      </c>
      <c r="N2" s="330">
        <v>45128</v>
      </c>
      <c r="O2" s="330">
        <v>45149</v>
      </c>
      <c r="P2" s="330">
        <v>45190</v>
      </c>
      <c r="Q2" s="330">
        <v>45217</v>
      </c>
      <c r="R2" s="331">
        <v>45217</v>
      </c>
      <c r="S2" s="331">
        <v>45310</v>
      </c>
      <c r="T2" s="331">
        <v>45392</v>
      </c>
      <c r="U2" s="331">
        <v>45422</v>
      </c>
      <c r="V2" s="331">
        <v>45468</v>
      </c>
      <c r="W2" s="331">
        <v>45558</v>
      </c>
      <c r="X2" s="331">
        <v>45629</v>
      </c>
      <c r="Y2" s="331">
        <v>45902</v>
      </c>
      <c r="Z2" s="331">
        <v>46000</v>
      </c>
      <c r="AA2" s="331">
        <v>46055</v>
      </c>
      <c r="AB2" s="332"/>
      <c r="AC2" s="333"/>
    </row>
    <row r="3" s="312" customFormat="1" customHeight="1" spans="1:29">
      <c r="A3" s="334" t="s">
        <v>2601</v>
      </c>
      <c r="B3" s="335"/>
      <c r="C3" s="336"/>
      <c r="D3" s="337"/>
      <c r="E3" s="337"/>
      <c r="F3" s="338"/>
      <c r="G3" s="339"/>
      <c r="H3" s="338"/>
      <c r="I3" s="340">
        <f t="shared" ref="I3:R3" si="0">I2+35</f>
        <v>44860</v>
      </c>
      <c r="J3" s="340">
        <f t="shared" si="0"/>
        <v>44932</v>
      </c>
      <c r="K3" s="340">
        <v>45001</v>
      </c>
      <c r="L3" s="340">
        <f t="shared" si="0"/>
        <v>45064</v>
      </c>
      <c r="M3" s="340">
        <f t="shared" si="0"/>
        <v>45091</v>
      </c>
      <c r="N3" s="340">
        <f t="shared" si="0"/>
        <v>45163</v>
      </c>
      <c r="O3" s="340">
        <f t="shared" si="0"/>
        <v>45184</v>
      </c>
      <c r="P3" s="340">
        <f t="shared" si="0"/>
        <v>45225</v>
      </c>
      <c r="Q3" s="340">
        <f t="shared" si="0"/>
        <v>45252</v>
      </c>
      <c r="R3" s="341">
        <f t="shared" si="0"/>
        <v>45252</v>
      </c>
      <c r="S3" s="341">
        <v>45388</v>
      </c>
      <c r="T3" s="341">
        <f>T2+35</f>
        <v>45427</v>
      </c>
      <c r="U3" s="341">
        <v>45457</v>
      </c>
      <c r="V3" s="341">
        <v>45503</v>
      </c>
      <c r="W3" s="341">
        <v>45593</v>
      </c>
      <c r="X3" s="341">
        <v>45664</v>
      </c>
      <c r="Y3" s="341">
        <v>45942</v>
      </c>
      <c r="Z3" s="341">
        <f>Z2+35+5</f>
        <v>46040</v>
      </c>
      <c r="AA3" s="341">
        <f>AA2+35+30</f>
        <v>46120</v>
      </c>
      <c r="AB3" s="342"/>
      <c r="AC3" s="343"/>
    </row>
    <row r="4" s="313" customFormat="1" ht="15" customHeight="1" spans="1:29">
      <c r="A4" s="344" t="s">
        <v>2602</v>
      </c>
      <c r="B4" s="345" t="s">
        <v>2603</v>
      </c>
      <c r="C4" s="346">
        <v>1</v>
      </c>
      <c r="D4" s="347" t="s">
        <v>2604</v>
      </c>
      <c r="E4" s="348" t="s">
        <v>2605</v>
      </c>
      <c r="F4" s="349">
        <v>0</v>
      </c>
      <c r="G4" s="350">
        <v>0.106605</v>
      </c>
      <c r="H4" s="351">
        <f t="shared" ref="H4:H6" si="1">F4/G4</f>
        <v>0</v>
      </c>
      <c r="I4" s="352">
        <v>3198.15</v>
      </c>
      <c r="J4" s="352">
        <v>3199</v>
      </c>
      <c r="K4" s="353">
        <v>3198</v>
      </c>
      <c r="L4" s="353">
        <v>4264</v>
      </c>
      <c r="M4" s="353">
        <v>3198</v>
      </c>
      <c r="N4" s="353">
        <v>3198</v>
      </c>
      <c r="O4" s="353">
        <v>3198</v>
      </c>
      <c r="P4" s="353">
        <v>4265</v>
      </c>
      <c r="Q4" s="353"/>
      <c r="R4" s="353">
        <v>4264</v>
      </c>
      <c r="S4" s="353">
        <v>3198</v>
      </c>
      <c r="T4" s="353">
        <v>3198</v>
      </c>
      <c r="U4" s="353">
        <v>3198</v>
      </c>
      <c r="V4" s="353">
        <v>3198</v>
      </c>
      <c r="W4" s="353">
        <v>4478</v>
      </c>
      <c r="X4" s="353">
        <v>4264</v>
      </c>
      <c r="Y4" s="353">
        <v>2132</v>
      </c>
      <c r="Z4" s="353">
        <v>2132</v>
      </c>
      <c r="AA4" s="353">
        <v>2132</v>
      </c>
      <c r="AB4" s="354">
        <f>SUM(I4:AA4)</f>
        <v>59912.15</v>
      </c>
      <c r="AC4" s="355">
        <f t="shared" ref="AC4:AC67" si="2">ROUND(AB4/G4,-1)</f>
        <v>562000</v>
      </c>
    </row>
    <row r="5" s="313" customFormat="1" ht="15" customHeight="1" spans="1:29">
      <c r="A5" s="356"/>
      <c r="B5" s="357"/>
      <c r="C5" s="358"/>
      <c r="D5" s="359" t="s">
        <v>2606</v>
      </c>
      <c r="E5" s="360"/>
      <c r="F5" s="351">
        <v>800</v>
      </c>
      <c r="G5" s="361">
        <v>0.087653</v>
      </c>
      <c r="H5" s="351">
        <f t="shared" si="1"/>
        <v>9126.89810959123</v>
      </c>
      <c r="I5" s="362">
        <v>2629.59</v>
      </c>
      <c r="J5" s="362">
        <v>2630</v>
      </c>
      <c r="K5" s="363">
        <v>2630</v>
      </c>
      <c r="L5" s="363">
        <v>3506</v>
      </c>
      <c r="M5" s="363">
        <v>2629</v>
      </c>
      <c r="N5" s="363">
        <v>2630</v>
      </c>
      <c r="O5" s="363">
        <v>2630</v>
      </c>
      <c r="P5" s="363">
        <v>3506</v>
      </c>
      <c r="Q5" s="363"/>
      <c r="R5" s="363">
        <v>3506</v>
      </c>
      <c r="S5" s="363">
        <v>2629</v>
      </c>
      <c r="T5" s="363">
        <v>2630</v>
      </c>
      <c r="U5" s="363">
        <v>2630</v>
      </c>
      <c r="V5" s="363">
        <v>2629</v>
      </c>
      <c r="W5" s="363">
        <v>3682</v>
      </c>
      <c r="X5" s="363">
        <v>3506</v>
      </c>
      <c r="Y5" s="363">
        <v>1753</v>
      </c>
      <c r="Z5" s="363">
        <v>1753</v>
      </c>
      <c r="AA5" s="363">
        <v>1753</v>
      </c>
      <c r="AB5" s="354">
        <f t="shared" ref="AB5:AB36" si="3">SUM(I5:AA5)</f>
        <v>49261.59</v>
      </c>
      <c r="AC5" s="364">
        <f t="shared" si="2"/>
        <v>562010</v>
      </c>
    </row>
    <row r="6" s="313" customFormat="1" ht="15" customHeight="1" spans="1:29">
      <c r="A6" s="356"/>
      <c r="B6" s="357"/>
      <c r="C6" s="358"/>
      <c r="D6" s="365" t="s">
        <v>2607</v>
      </c>
      <c r="E6" s="360"/>
      <c r="F6" s="351">
        <v>500</v>
      </c>
      <c r="G6" s="361">
        <v>0.074675</v>
      </c>
      <c r="H6" s="351">
        <f t="shared" si="1"/>
        <v>6695.68128557081</v>
      </c>
      <c r="I6" s="362">
        <v>2240.25</v>
      </c>
      <c r="J6" s="362">
        <v>2241</v>
      </c>
      <c r="K6" s="363">
        <v>2240</v>
      </c>
      <c r="L6" s="363">
        <v>2987</v>
      </c>
      <c r="M6" s="363">
        <v>2240</v>
      </c>
      <c r="N6" s="363">
        <v>2240</v>
      </c>
      <c r="O6" s="363">
        <v>2241</v>
      </c>
      <c r="P6" s="363">
        <v>2987</v>
      </c>
      <c r="Q6" s="363"/>
      <c r="R6" s="363"/>
      <c r="S6" s="363"/>
      <c r="T6" s="363"/>
      <c r="U6" s="363"/>
      <c r="V6" s="363"/>
      <c r="W6" s="363"/>
      <c r="X6" s="363"/>
      <c r="Y6" s="363"/>
      <c r="Z6" s="363"/>
      <c r="AA6" s="363"/>
      <c r="AB6" s="354">
        <f t="shared" si="3"/>
        <v>19416.25</v>
      </c>
      <c r="AC6" s="364">
        <f t="shared" si="2"/>
        <v>260010</v>
      </c>
    </row>
    <row r="7" s="313" customFormat="1" ht="15" customHeight="1" spans="1:29">
      <c r="A7" s="356"/>
      <c r="B7" s="357"/>
      <c r="C7" s="358"/>
      <c r="D7" s="366" t="s">
        <v>2608</v>
      </c>
      <c r="E7" s="360"/>
      <c r="F7" s="351">
        <v>500</v>
      </c>
      <c r="G7" s="361">
        <v>0.0665</v>
      </c>
      <c r="H7" s="351">
        <v>7518.7969924812</v>
      </c>
      <c r="I7" s="362"/>
      <c r="J7" s="362"/>
      <c r="K7" s="363"/>
      <c r="L7" s="363"/>
      <c r="M7" s="363"/>
      <c r="N7" s="363"/>
      <c r="O7" s="363"/>
      <c r="P7" s="363"/>
      <c r="Q7" s="363">
        <v>2660</v>
      </c>
      <c r="R7" s="363">
        <v>0</v>
      </c>
      <c r="S7" s="363">
        <v>1995</v>
      </c>
      <c r="T7" s="363">
        <v>1995</v>
      </c>
      <c r="U7" s="363">
        <v>1995</v>
      </c>
      <c r="V7" s="363">
        <v>1995</v>
      </c>
      <c r="W7" s="363">
        <v>2793</v>
      </c>
      <c r="X7" s="363">
        <v>2660</v>
      </c>
      <c r="Y7" s="363">
        <v>1330</v>
      </c>
      <c r="Z7" s="363">
        <v>1330</v>
      </c>
      <c r="AA7" s="363">
        <v>1330</v>
      </c>
      <c r="AB7" s="354">
        <f t="shared" si="3"/>
        <v>20083</v>
      </c>
      <c r="AC7" s="364">
        <f t="shared" si="2"/>
        <v>302000</v>
      </c>
    </row>
    <row r="8" s="313" customFormat="1" ht="15" customHeight="1" spans="1:29">
      <c r="A8" s="356"/>
      <c r="B8" s="357"/>
      <c r="C8" s="358"/>
      <c r="D8" s="359" t="s">
        <v>2609</v>
      </c>
      <c r="E8" s="360"/>
      <c r="F8" s="351">
        <v>0</v>
      </c>
      <c r="G8" s="361">
        <v>0.015141</v>
      </c>
      <c r="H8" s="351">
        <f t="shared" ref="H8:H23" si="4">F8/G8</f>
        <v>0</v>
      </c>
      <c r="I8" s="362">
        <v>454.23</v>
      </c>
      <c r="J8" s="362">
        <v>455</v>
      </c>
      <c r="K8" s="363">
        <v>455</v>
      </c>
      <c r="L8" s="363">
        <v>605</v>
      </c>
      <c r="M8" s="363">
        <v>454</v>
      </c>
      <c r="N8" s="363">
        <v>454</v>
      </c>
      <c r="O8" s="363">
        <v>454</v>
      </c>
      <c r="P8" s="363">
        <v>606</v>
      </c>
      <c r="Q8" s="363"/>
      <c r="R8" s="363">
        <v>606</v>
      </c>
      <c r="S8" s="363">
        <v>454</v>
      </c>
      <c r="T8" s="363">
        <v>454</v>
      </c>
      <c r="U8" s="363">
        <v>454</v>
      </c>
      <c r="V8" s="363">
        <v>454</v>
      </c>
      <c r="W8" s="363">
        <v>636</v>
      </c>
      <c r="X8" s="363">
        <v>606</v>
      </c>
      <c r="Y8" s="363">
        <v>303</v>
      </c>
      <c r="Z8" s="363">
        <v>303</v>
      </c>
      <c r="AA8" s="363">
        <v>303</v>
      </c>
      <c r="AB8" s="354">
        <f t="shared" si="3"/>
        <v>8510.23</v>
      </c>
      <c r="AC8" s="364">
        <f t="shared" si="2"/>
        <v>562070</v>
      </c>
    </row>
    <row r="9" s="313" customFormat="1" ht="15" customHeight="1" spans="1:29">
      <c r="A9" s="356"/>
      <c r="B9" s="357"/>
      <c r="C9" s="358"/>
      <c r="D9" s="359" t="s">
        <v>2610</v>
      </c>
      <c r="E9" s="360"/>
      <c r="F9" s="351">
        <v>300</v>
      </c>
      <c r="G9" s="361">
        <v>0.006489</v>
      </c>
      <c r="H9" s="351">
        <f t="shared" si="4"/>
        <v>46232.0850670365</v>
      </c>
      <c r="I9" s="367">
        <v>300</v>
      </c>
      <c r="J9" s="367">
        <v>300</v>
      </c>
      <c r="K9" s="368"/>
      <c r="L9" s="368">
        <v>300</v>
      </c>
      <c r="M9" s="368">
        <v>300</v>
      </c>
      <c r="N9" s="368">
        <v>300</v>
      </c>
      <c r="O9" s="368"/>
      <c r="P9" s="368">
        <v>300</v>
      </c>
      <c r="Q9" s="368"/>
      <c r="R9" s="368">
        <v>147</v>
      </c>
      <c r="S9" s="368">
        <v>195</v>
      </c>
      <c r="T9" s="368">
        <v>195</v>
      </c>
      <c r="U9" s="368">
        <v>194</v>
      </c>
      <c r="V9" s="368">
        <v>195</v>
      </c>
      <c r="W9" s="368">
        <v>272</v>
      </c>
      <c r="X9" s="368">
        <v>260</v>
      </c>
      <c r="Y9" s="368">
        <v>130</v>
      </c>
      <c r="Z9" s="368">
        <v>130</v>
      </c>
      <c r="AA9" s="368">
        <v>129</v>
      </c>
      <c r="AB9" s="354">
        <f t="shared" si="3"/>
        <v>3647</v>
      </c>
      <c r="AC9" s="364">
        <f t="shared" si="2"/>
        <v>562030</v>
      </c>
    </row>
    <row r="10" s="313" customFormat="1" ht="15" customHeight="1" spans="1:29">
      <c r="A10" s="356"/>
      <c r="B10" s="357"/>
      <c r="C10" s="358"/>
      <c r="D10" s="359" t="s">
        <v>2611</v>
      </c>
      <c r="E10" s="360" t="s">
        <v>2612</v>
      </c>
      <c r="F10" s="351">
        <v>0</v>
      </c>
      <c r="G10" s="361">
        <v>0.005253</v>
      </c>
      <c r="H10" s="351">
        <f t="shared" si="4"/>
        <v>0</v>
      </c>
      <c r="I10" s="362">
        <v>157.59</v>
      </c>
      <c r="J10" s="362">
        <v>158</v>
      </c>
      <c r="K10" s="363">
        <v>158</v>
      </c>
      <c r="L10" s="363">
        <v>210</v>
      </c>
      <c r="M10" s="363">
        <v>157</v>
      </c>
      <c r="N10" s="363">
        <v>158</v>
      </c>
      <c r="O10" s="363">
        <v>158</v>
      </c>
      <c r="P10" s="363">
        <v>210</v>
      </c>
      <c r="Q10" s="363"/>
      <c r="R10" s="363">
        <v>210</v>
      </c>
      <c r="S10" s="363">
        <v>157</v>
      </c>
      <c r="T10" s="363">
        <v>158</v>
      </c>
      <c r="U10" s="363">
        <v>158</v>
      </c>
      <c r="V10" s="363">
        <v>157</v>
      </c>
      <c r="W10" s="363">
        <v>221</v>
      </c>
      <c r="X10" s="363">
        <v>210</v>
      </c>
      <c r="Y10" s="363">
        <v>105</v>
      </c>
      <c r="Z10" s="363">
        <v>105</v>
      </c>
      <c r="AA10" s="363">
        <v>105</v>
      </c>
      <c r="AB10" s="354">
        <f t="shared" si="3"/>
        <v>2952.59</v>
      </c>
      <c r="AC10" s="364">
        <f t="shared" si="2"/>
        <v>562080</v>
      </c>
    </row>
    <row r="11" s="313" customFormat="1" ht="15" customHeight="1" spans="1:29">
      <c r="A11" s="356"/>
      <c r="B11" s="357"/>
      <c r="C11" s="358"/>
      <c r="D11" s="359" t="s">
        <v>2613</v>
      </c>
      <c r="E11" s="360" t="s">
        <v>2614</v>
      </c>
      <c r="F11" s="351">
        <v>0</v>
      </c>
      <c r="G11" s="361">
        <v>0.004429</v>
      </c>
      <c r="H11" s="351">
        <f t="shared" si="4"/>
        <v>0</v>
      </c>
      <c r="I11" s="362">
        <v>132.87</v>
      </c>
      <c r="J11" s="362">
        <v>133</v>
      </c>
      <c r="K11" s="363">
        <v>133</v>
      </c>
      <c r="L11" s="363">
        <v>178</v>
      </c>
      <c r="M11" s="363">
        <v>132</v>
      </c>
      <c r="N11" s="363">
        <v>133</v>
      </c>
      <c r="O11" s="363">
        <v>133</v>
      </c>
      <c r="P11" s="363">
        <v>177</v>
      </c>
      <c r="Q11" s="363"/>
      <c r="R11" s="363">
        <v>177</v>
      </c>
      <c r="S11" s="363">
        <v>133</v>
      </c>
      <c r="T11" s="363">
        <v>133</v>
      </c>
      <c r="U11" s="363">
        <v>133</v>
      </c>
      <c r="V11" s="363">
        <v>133</v>
      </c>
      <c r="W11" s="363">
        <v>186</v>
      </c>
      <c r="X11" s="363">
        <v>177</v>
      </c>
      <c r="Y11" s="363">
        <v>89</v>
      </c>
      <c r="Z11" s="363">
        <v>88</v>
      </c>
      <c r="AA11" s="363">
        <v>89</v>
      </c>
      <c r="AB11" s="354">
        <f t="shared" si="3"/>
        <v>2489.87</v>
      </c>
      <c r="AC11" s="364">
        <f t="shared" si="2"/>
        <v>562170</v>
      </c>
    </row>
    <row r="12" s="313" customFormat="1" ht="15" customHeight="1" spans="1:29">
      <c r="A12" s="356"/>
      <c r="B12" s="357"/>
      <c r="C12" s="358"/>
      <c r="D12" s="359" t="s">
        <v>2615</v>
      </c>
      <c r="E12" s="360"/>
      <c r="F12" s="351">
        <v>500</v>
      </c>
      <c r="G12" s="361">
        <v>0.061079</v>
      </c>
      <c r="H12" s="351">
        <f t="shared" si="4"/>
        <v>8186.11961557982</v>
      </c>
      <c r="I12" s="362">
        <v>1832.37</v>
      </c>
      <c r="J12" s="362">
        <v>1833</v>
      </c>
      <c r="K12" s="363">
        <v>1832</v>
      </c>
      <c r="L12" s="363">
        <v>2443</v>
      </c>
      <c r="M12" s="363">
        <v>1833</v>
      </c>
      <c r="N12" s="363">
        <v>1832</v>
      </c>
      <c r="O12" s="363">
        <v>1833</v>
      </c>
      <c r="P12" s="363">
        <v>2443</v>
      </c>
      <c r="Q12" s="363"/>
      <c r="R12" s="363">
        <v>2443</v>
      </c>
      <c r="S12" s="363">
        <v>1832</v>
      </c>
      <c r="T12" s="363">
        <v>1833</v>
      </c>
      <c r="U12" s="363">
        <v>1832</v>
      </c>
      <c r="V12" s="363">
        <v>1832</v>
      </c>
      <c r="W12" s="363">
        <v>2566</v>
      </c>
      <c r="X12" s="363">
        <v>2443</v>
      </c>
      <c r="Y12" s="363">
        <v>1221</v>
      </c>
      <c r="Z12" s="363">
        <v>1222</v>
      </c>
      <c r="AA12" s="363">
        <v>1222</v>
      </c>
      <c r="AB12" s="354">
        <f t="shared" si="3"/>
        <v>34327.37</v>
      </c>
      <c r="AC12" s="364">
        <f t="shared" si="2"/>
        <v>562020</v>
      </c>
    </row>
    <row r="13" s="313" customFormat="1" ht="15" customHeight="1" spans="1:29">
      <c r="A13" s="356"/>
      <c r="B13" s="357"/>
      <c r="C13" s="358"/>
      <c r="D13" s="359" t="s">
        <v>2616</v>
      </c>
      <c r="E13" s="360" t="s">
        <v>2617</v>
      </c>
      <c r="F13" s="351">
        <v>0</v>
      </c>
      <c r="G13" s="361">
        <v>0.023896</v>
      </c>
      <c r="H13" s="351">
        <f t="shared" si="4"/>
        <v>0</v>
      </c>
      <c r="I13" s="362">
        <v>716.88</v>
      </c>
      <c r="J13" s="362">
        <v>717</v>
      </c>
      <c r="K13" s="363">
        <v>717</v>
      </c>
      <c r="L13" s="363">
        <v>956</v>
      </c>
      <c r="M13" s="363">
        <v>717</v>
      </c>
      <c r="N13" s="363">
        <v>717</v>
      </c>
      <c r="O13" s="363">
        <v>717</v>
      </c>
      <c r="P13" s="363">
        <v>956</v>
      </c>
      <c r="Q13" s="363"/>
      <c r="R13" s="363">
        <v>955</v>
      </c>
      <c r="S13" s="363">
        <v>717</v>
      </c>
      <c r="T13" s="363">
        <v>717</v>
      </c>
      <c r="U13" s="363">
        <v>717</v>
      </c>
      <c r="V13" s="363">
        <v>717</v>
      </c>
      <c r="W13" s="363">
        <v>1004</v>
      </c>
      <c r="X13" s="363">
        <v>955</v>
      </c>
      <c r="Y13" s="363">
        <v>478</v>
      </c>
      <c r="Z13" s="363">
        <v>478</v>
      </c>
      <c r="AA13" s="363">
        <v>478</v>
      </c>
      <c r="AB13" s="354">
        <f t="shared" si="3"/>
        <v>13429.88</v>
      </c>
      <c r="AC13" s="364">
        <f t="shared" si="2"/>
        <v>562010</v>
      </c>
    </row>
    <row r="14" s="313" customFormat="1" ht="15" customHeight="1" spans="1:29">
      <c r="A14" s="356"/>
      <c r="B14" s="357"/>
      <c r="C14" s="358"/>
      <c r="D14" s="359" t="s">
        <v>2618</v>
      </c>
      <c r="E14" s="360"/>
      <c r="F14" s="351">
        <v>300</v>
      </c>
      <c r="G14" s="361">
        <v>0.001957</v>
      </c>
      <c r="H14" s="351">
        <f t="shared" si="4"/>
        <v>153295.861011753</v>
      </c>
      <c r="I14" s="367">
        <v>300</v>
      </c>
      <c r="J14" s="367"/>
      <c r="K14" s="368"/>
      <c r="L14" s="368"/>
      <c r="M14" s="368">
        <v>300</v>
      </c>
      <c r="N14" s="368"/>
      <c r="O14" s="368"/>
      <c r="P14" s="368"/>
      <c r="Q14" s="368"/>
      <c r="R14" s="368"/>
      <c r="S14" s="368">
        <v>46</v>
      </c>
      <c r="T14" s="368">
        <v>59</v>
      </c>
      <c r="U14" s="368">
        <v>59</v>
      </c>
      <c r="V14" s="368">
        <v>58</v>
      </c>
      <c r="W14" s="368">
        <v>83</v>
      </c>
      <c r="X14" s="368">
        <v>78</v>
      </c>
      <c r="Y14" s="368">
        <v>39</v>
      </c>
      <c r="Z14" s="368">
        <v>39</v>
      </c>
      <c r="AA14" s="368">
        <v>39</v>
      </c>
      <c r="AB14" s="354">
        <f t="shared" si="3"/>
        <v>1100</v>
      </c>
      <c r="AC14" s="364">
        <f t="shared" si="2"/>
        <v>562080</v>
      </c>
    </row>
    <row r="15" s="313" customFormat="1" ht="15" customHeight="1" spans="1:29">
      <c r="A15" s="356"/>
      <c r="B15" s="357"/>
      <c r="C15" s="358"/>
      <c r="D15" s="359" t="s">
        <v>2619</v>
      </c>
      <c r="E15" s="360" t="s">
        <v>2620</v>
      </c>
      <c r="F15" s="351">
        <v>0</v>
      </c>
      <c r="G15" s="361">
        <v>4.635</v>
      </c>
      <c r="H15" s="351">
        <f t="shared" si="4"/>
        <v>0</v>
      </c>
      <c r="I15" s="362">
        <v>139050</v>
      </c>
      <c r="J15" s="362">
        <v>139050</v>
      </c>
      <c r="K15" s="363">
        <v>139050</v>
      </c>
      <c r="L15" s="363">
        <v>185400</v>
      </c>
      <c r="M15" s="363">
        <v>139050</v>
      </c>
      <c r="N15" s="363">
        <v>139050</v>
      </c>
      <c r="O15" s="363">
        <v>139050</v>
      </c>
      <c r="P15" s="363">
        <v>185400</v>
      </c>
      <c r="Q15" s="363"/>
      <c r="R15" s="363">
        <v>185400</v>
      </c>
      <c r="S15" s="363">
        <v>139050</v>
      </c>
      <c r="T15" s="363">
        <v>139050</v>
      </c>
      <c r="U15" s="363">
        <v>139050</v>
      </c>
      <c r="V15" s="363">
        <v>139050</v>
      </c>
      <c r="W15" s="363">
        <v>194670</v>
      </c>
      <c r="X15" s="363">
        <v>185400</v>
      </c>
      <c r="Y15" s="363">
        <v>92700</v>
      </c>
      <c r="Z15" s="363">
        <v>92700</v>
      </c>
      <c r="AA15" s="363">
        <v>92700</v>
      </c>
      <c r="AB15" s="354">
        <f t="shared" si="3"/>
        <v>2604870</v>
      </c>
      <c r="AC15" s="364">
        <f t="shared" si="2"/>
        <v>562000</v>
      </c>
    </row>
    <row r="16" s="313" customFormat="1" ht="15" customHeight="1" spans="1:29">
      <c r="A16" s="356"/>
      <c r="B16" s="357"/>
      <c r="C16" s="358"/>
      <c r="D16" s="359" t="s">
        <v>2621</v>
      </c>
      <c r="E16" s="360" t="s">
        <v>2622</v>
      </c>
      <c r="F16" s="351">
        <v>0</v>
      </c>
      <c r="G16" s="361">
        <v>28.634</v>
      </c>
      <c r="H16" s="351">
        <f t="shared" si="4"/>
        <v>0</v>
      </c>
      <c r="I16" s="362">
        <v>859020</v>
      </c>
      <c r="J16" s="362">
        <v>859020</v>
      </c>
      <c r="K16" s="363">
        <v>859020</v>
      </c>
      <c r="L16" s="363">
        <v>1145360</v>
      </c>
      <c r="M16" s="363">
        <v>859020</v>
      </c>
      <c r="N16" s="363">
        <v>859020</v>
      </c>
      <c r="O16" s="363">
        <v>859020</v>
      </c>
      <c r="P16" s="363">
        <v>1145360</v>
      </c>
      <c r="Q16" s="363"/>
      <c r="R16" s="363">
        <v>1145360</v>
      </c>
      <c r="S16" s="363">
        <v>859020</v>
      </c>
      <c r="T16" s="363">
        <v>859020</v>
      </c>
      <c r="U16" s="363">
        <v>859020</v>
      </c>
      <c r="V16" s="363">
        <v>859020</v>
      </c>
      <c r="W16" s="363">
        <v>1202628</v>
      </c>
      <c r="X16" s="363">
        <v>1145360</v>
      </c>
      <c r="Y16" s="363">
        <v>572680</v>
      </c>
      <c r="Z16" s="363">
        <v>572680</v>
      </c>
      <c r="AA16" s="363">
        <v>572680</v>
      </c>
      <c r="AB16" s="354">
        <f t="shared" si="3"/>
        <v>16092308</v>
      </c>
      <c r="AC16" s="364">
        <f t="shared" si="2"/>
        <v>562000</v>
      </c>
    </row>
    <row r="17" s="313" customFormat="1" ht="15" customHeight="1" spans="1:29">
      <c r="A17" s="356"/>
      <c r="B17" s="357"/>
      <c r="C17" s="358"/>
      <c r="D17" s="359" t="s">
        <v>2623</v>
      </c>
      <c r="E17" s="360" t="s">
        <v>2624</v>
      </c>
      <c r="F17" s="351">
        <v>0</v>
      </c>
      <c r="G17" s="361">
        <v>2</v>
      </c>
      <c r="H17" s="351">
        <f t="shared" si="4"/>
        <v>0</v>
      </c>
      <c r="I17" s="362">
        <v>60000</v>
      </c>
      <c r="J17" s="362">
        <v>60000</v>
      </c>
      <c r="K17" s="363">
        <v>60000</v>
      </c>
      <c r="L17" s="363">
        <v>80000</v>
      </c>
      <c r="M17" s="363">
        <v>60000</v>
      </c>
      <c r="N17" s="363">
        <v>60000</v>
      </c>
      <c r="O17" s="363">
        <v>60000</v>
      </c>
      <c r="P17" s="363">
        <v>80000</v>
      </c>
      <c r="Q17" s="363"/>
      <c r="R17" s="363">
        <v>80000</v>
      </c>
      <c r="S17" s="363">
        <v>60000</v>
      </c>
      <c r="T17" s="363">
        <v>60000</v>
      </c>
      <c r="U17" s="363">
        <v>60000</v>
      </c>
      <c r="V17" s="363">
        <v>60000</v>
      </c>
      <c r="W17" s="363">
        <v>84000</v>
      </c>
      <c r="X17" s="363">
        <v>80000</v>
      </c>
      <c r="Y17" s="363">
        <v>40000</v>
      </c>
      <c r="Z17" s="363">
        <v>40000</v>
      </c>
      <c r="AA17" s="363">
        <v>40000</v>
      </c>
      <c r="AB17" s="354">
        <f t="shared" si="3"/>
        <v>1124000</v>
      </c>
      <c r="AC17" s="364">
        <f t="shared" si="2"/>
        <v>562000</v>
      </c>
    </row>
    <row r="18" s="313" customFormat="1" ht="15" customHeight="1" spans="1:29">
      <c r="A18" s="356"/>
      <c r="B18" s="357"/>
      <c r="C18" s="358"/>
      <c r="D18" s="359" t="s">
        <v>2625</v>
      </c>
      <c r="E18" s="360" t="s">
        <v>2626</v>
      </c>
      <c r="F18" s="351">
        <v>0</v>
      </c>
      <c r="G18" s="361">
        <v>120</v>
      </c>
      <c r="H18" s="351">
        <f t="shared" si="4"/>
        <v>0</v>
      </c>
      <c r="I18" s="362">
        <v>3600000</v>
      </c>
      <c r="J18" s="362">
        <v>3600000</v>
      </c>
      <c r="K18" s="363">
        <v>3600000</v>
      </c>
      <c r="L18" s="363">
        <v>4800000</v>
      </c>
      <c r="M18" s="363">
        <v>3600000</v>
      </c>
      <c r="N18" s="363">
        <v>3600000</v>
      </c>
      <c r="O18" s="363">
        <v>3600000</v>
      </c>
      <c r="P18" s="363">
        <v>4800000</v>
      </c>
      <c r="Q18" s="363"/>
      <c r="R18" s="363">
        <v>4800000</v>
      </c>
      <c r="S18" s="363">
        <v>3600000</v>
      </c>
      <c r="T18" s="363">
        <v>3600000</v>
      </c>
      <c r="U18" s="363">
        <v>3600000</v>
      </c>
      <c r="V18" s="363">
        <v>3600000</v>
      </c>
      <c r="W18" s="363">
        <v>5040000</v>
      </c>
      <c r="X18" s="363">
        <v>4800000</v>
      </c>
      <c r="Y18" s="363">
        <v>2400000</v>
      </c>
      <c r="Z18" s="363">
        <v>2400000</v>
      </c>
      <c r="AA18" s="363">
        <v>2400000</v>
      </c>
      <c r="AB18" s="354">
        <f t="shared" si="3"/>
        <v>67440000</v>
      </c>
      <c r="AC18" s="364">
        <f t="shared" si="2"/>
        <v>562000</v>
      </c>
    </row>
    <row r="19" s="313" customFormat="1" ht="15" customHeight="1" spans="1:29">
      <c r="A19" s="356"/>
      <c r="B19" s="357"/>
      <c r="C19" s="358"/>
      <c r="D19" s="359" t="s">
        <v>2627</v>
      </c>
      <c r="E19" s="360" t="s">
        <v>2628</v>
      </c>
      <c r="F19" s="351">
        <v>0</v>
      </c>
      <c r="G19" s="361">
        <v>1</v>
      </c>
      <c r="H19" s="351">
        <f t="shared" si="4"/>
        <v>0</v>
      </c>
      <c r="I19" s="362">
        <v>30000</v>
      </c>
      <c r="J19" s="362">
        <v>30000</v>
      </c>
      <c r="K19" s="363">
        <v>30000</v>
      </c>
      <c r="L19" s="363">
        <v>40000</v>
      </c>
      <c r="M19" s="363">
        <v>30000</v>
      </c>
      <c r="N19" s="363">
        <v>30000</v>
      </c>
      <c r="O19" s="363">
        <v>30000</v>
      </c>
      <c r="P19" s="363">
        <v>40000</v>
      </c>
      <c r="Q19" s="363"/>
      <c r="R19" s="363">
        <v>40000</v>
      </c>
      <c r="S19" s="363">
        <v>30000</v>
      </c>
      <c r="T19" s="363">
        <v>30000</v>
      </c>
      <c r="U19" s="363">
        <v>30000</v>
      </c>
      <c r="V19" s="363">
        <v>30000</v>
      </c>
      <c r="W19" s="363">
        <v>42000</v>
      </c>
      <c r="X19" s="363">
        <v>40000</v>
      </c>
      <c r="Y19" s="363">
        <v>20000</v>
      </c>
      <c r="Z19" s="363">
        <v>20000</v>
      </c>
      <c r="AA19" s="363">
        <v>20000</v>
      </c>
      <c r="AB19" s="354">
        <f t="shared" si="3"/>
        <v>562000</v>
      </c>
      <c r="AC19" s="364">
        <f t="shared" si="2"/>
        <v>562000</v>
      </c>
    </row>
    <row r="20" s="313" customFormat="1" ht="15" customHeight="1" spans="1:29">
      <c r="A20" s="356"/>
      <c r="B20" s="369"/>
      <c r="C20" s="370"/>
      <c r="D20" s="371" t="s">
        <v>2629</v>
      </c>
      <c r="E20" s="372"/>
      <c r="F20" s="373">
        <v>0</v>
      </c>
      <c r="G20" s="374">
        <v>1</v>
      </c>
      <c r="H20" s="373">
        <f t="shared" si="4"/>
        <v>0</v>
      </c>
      <c r="I20" s="375">
        <v>30000</v>
      </c>
      <c r="J20" s="375">
        <v>30000</v>
      </c>
      <c r="K20" s="375">
        <v>30000</v>
      </c>
      <c r="L20" s="375">
        <v>40000</v>
      </c>
      <c r="M20" s="375">
        <v>30000</v>
      </c>
      <c r="N20" s="375">
        <v>30000</v>
      </c>
      <c r="O20" s="375">
        <v>30000</v>
      </c>
      <c r="P20" s="375">
        <v>40000</v>
      </c>
      <c r="Q20" s="375"/>
      <c r="R20" s="375">
        <v>40000</v>
      </c>
      <c r="S20" s="375">
        <v>30000</v>
      </c>
      <c r="T20" s="375">
        <v>30000</v>
      </c>
      <c r="U20" s="376">
        <v>30000</v>
      </c>
      <c r="V20" s="376">
        <v>30000</v>
      </c>
      <c r="W20" s="376">
        <v>42000</v>
      </c>
      <c r="X20" s="376">
        <v>40000</v>
      </c>
      <c r="Y20" s="376">
        <v>20000</v>
      </c>
      <c r="Z20" s="375">
        <v>20000</v>
      </c>
      <c r="AA20" s="375">
        <v>20000</v>
      </c>
      <c r="AB20" s="354">
        <f t="shared" si="3"/>
        <v>562000</v>
      </c>
      <c r="AC20" s="377">
        <f t="shared" si="2"/>
        <v>562000</v>
      </c>
    </row>
    <row r="21" s="313" customFormat="1" ht="15" customHeight="1" spans="1:29">
      <c r="A21" s="356"/>
      <c r="B21" s="345" t="s">
        <v>2630</v>
      </c>
      <c r="C21" s="346">
        <v>1</v>
      </c>
      <c r="D21" s="347" t="s">
        <v>2631</v>
      </c>
      <c r="E21" s="348"/>
      <c r="F21" s="349">
        <v>800</v>
      </c>
      <c r="G21" s="350">
        <v>0.139668</v>
      </c>
      <c r="H21" s="378">
        <f t="shared" si="4"/>
        <v>5727.86894635851</v>
      </c>
      <c r="I21" s="379">
        <v>4190.04</v>
      </c>
      <c r="J21" s="363">
        <v>4191</v>
      </c>
      <c r="K21" s="363">
        <v>4190</v>
      </c>
      <c r="L21" s="363">
        <v>4190</v>
      </c>
      <c r="M21" s="363">
        <v>5586</v>
      </c>
      <c r="N21" s="363">
        <v>4190</v>
      </c>
      <c r="O21" s="363">
        <v>4190</v>
      </c>
      <c r="P21" s="363">
        <v>4470</v>
      </c>
      <c r="Q21" s="363"/>
      <c r="R21" s="363">
        <v>4469</v>
      </c>
      <c r="S21" s="363">
        <v>4889</v>
      </c>
      <c r="T21" s="363">
        <v>5586</v>
      </c>
      <c r="U21" s="363">
        <v>4889</v>
      </c>
      <c r="V21" s="363">
        <v>4190</v>
      </c>
      <c r="W21" s="363">
        <v>5307</v>
      </c>
      <c r="X21" s="363">
        <v>4190</v>
      </c>
      <c r="Y21" s="363">
        <v>2793</v>
      </c>
      <c r="Z21" s="363">
        <v>2794</v>
      </c>
      <c r="AA21" s="363">
        <v>2793</v>
      </c>
      <c r="AB21" s="354">
        <f t="shared" si="3"/>
        <v>77097.04</v>
      </c>
      <c r="AC21" s="355">
        <f t="shared" si="2"/>
        <v>552000</v>
      </c>
    </row>
    <row r="22" s="313" customFormat="1" ht="15" customHeight="1" spans="1:29">
      <c r="A22" s="356"/>
      <c r="B22" s="357"/>
      <c r="C22" s="358"/>
      <c r="D22" s="359" t="s">
        <v>2632</v>
      </c>
      <c r="E22" s="360"/>
      <c r="F22" s="351">
        <v>800</v>
      </c>
      <c r="G22" s="361">
        <v>0.087653</v>
      </c>
      <c r="H22" s="351">
        <f t="shared" si="4"/>
        <v>9126.89810959123</v>
      </c>
      <c r="I22" s="362">
        <v>2629.59</v>
      </c>
      <c r="J22" s="363">
        <v>2630</v>
      </c>
      <c r="K22" s="363">
        <v>2630</v>
      </c>
      <c r="L22" s="363">
        <v>2630</v>
      </c>
      <c r="M22" s="363">
        <v>3505</v>
      </c>
      <c r="N22" s="363">
        <v>2630</v>
      </c>
      <c r="O22" s="363">
        <v>2630</v>
      </c>
      <c r="P22" s="363">
        <v>2804</v>
      </c>
      <c r="Q22" s="363"/>
      <c r="R22" s="363">
        <v>2805</v>
      </c>
      <c r="S22" s="363">
        <v>3068</v>
      </c>
      <c r="T22" s="363">
        <v>3506</v>
      </c>
      <c r="U22" s="363">
        <v>3068</v>
      </c>
      <c r="V22" s="363">
        <v>2630</v>
      </c>
      <c r="W22" s="363">
        <v>3331</v>
      </c>
      <c r="X22" s="363">
        <v>2629</v>
      </c>
      <c r="Y22" s="363">
        <v>1753</v>
      </c>
      <c r="Z22" s="363">
        <v>1753</v>
      </c>
      <c r="AA22" s="363">
        <v>1753</v>
      </c>
      <c r="AB22" s="354">
        <f t="shared" si="3"/>
        <v>48384.59</v>
      </c>
      <c r="AC22" s="364">
        <f t="shared" si="2"/>
        <v>552000</v>
      </c>
    </row>
    <row r="23" s="313" customFormat="1" ht="15" customHeight="1" spans="1:29">
      <c r="A23" s="356"/>
      <c r="B23" s="357"/>
      <c r="C23" s="358"/>
      <c r="D23" s="365" t="s">
        <v>2633</v>
      </c>
      <c r="E23" s="360"/>
      <c r="F23" s="351">
        <v>500</v>
      </c>
      <c r="G23" s="361">
        <v>0.069216</v>
      </c>
      <c r="H23" s="351">
        <f t="shared" si="4"/>
        <v>7223.76329172446</v>
      </c>
      <c r="I23" s="362">
        <v>2076.48</v>
      </c>
      <c r="J23" s="363">
        <v>2077</v>
      </c>
      <c r="K23" s="363">
        <v>2076</v>
      </c>
      <c r="L23" s="363">
        <v>2076</v>
      </c>
      <c r="M23" s="363">
        <v>2770</v>
      </c>
      <c r="N23" s="363">
        <v>2076</v>
      </c>
      <c r="O23" s="363">
        <v>2077</v>
      </c>
      <c r="P23" s="363">
        <v>2214</v>
      </c>
      <c r="Q23" s="363"/>
      <c r="R23" s="363"/>
      <c r="S23" s="363"/>
      <c r="T23" s="363"/>
      <c r="U23" s="363"/>
      <c r="V23" s="363"/>
      <c r="W23" s="363">
        <v>-1</v>
      </c>
      <c r="X23" s="363"/>
      <c r="Y23" s="363"/>
      <c r="Z23" s="363"/>
      <c r="AA23" s="363"/>
      <c r="AB23" s="354">
        <f t="shared" si="3"/>
        <v>17441.48</v>
      </c>
      <c r="AC23" s="364">
        <f t="shared" si="2"/>
        <v>251990</v>
      </c>
    </row>
    <row r="24" s="313" customFormat="1" ht="15" customHeight="1" spans="1:29">
      <c r="A24" s="356"/>
      <c r="B24" s="357"/>
      <c r="C24" s="358"/>
      <c r="D24" s="366" t="s">
        <v>2634</v>
      </c>
      <c r="E24" s="366"/>
      <c r="F24" s="351">
        <v>500</v>
      </c>
      <c r="G24" s="361">
        <v>0.0603</v>
      </c>
      <c r="H24" s="351">
        <v>8291.87396351575</v>
      </c>
      <c r="I24" s="362"/>
      <c r="J24" s="363"/>
      <c r="K24" s="363"/>
      <c r="L24" s="363"/>
      <c r="M24" s="363"/>
      <c r="N24" s="363"/>
      <c r="O24" s="363"/>
      <c r="P24" s="363"/>
      <c r="Q24" s="363">
        <v>1930</v>
      </c>
      <c r="R24" s="363"/>
      <c r="S24" s="363">
        <v>2111</v>
      </c>
      <c r="T24" s="363">
        <v>2412</v>
      </c>
      <c r="U24" s="363">
        <v>2110</v>
      </c>
      <c r="V24" s="363">
        <v>1809</v>
      </c>
      <c r="W24" s="363">
        <v>2291</v>
      </c>
      <c r="X24" s="363">
        <v>1809</v>
      </c>
      <c r="Y24" s="363">
        <v>1206</v>
      </c>
      <c r="Z24" s="363">
        <v>1206</v>
      </c>
      <c r="AA24" s="363">
        <v>1206</v>
      </c>
      <c r="AB24" s="354">
        <f t="shared" si="3"/>
        <v>18090</v>
      </c>
      <c r="AC24" s="364">
        <f t="shared" si="2"/>
        <v>300000</v>
      </c>
    </row>
    <row r="25" s="313" customFormat="1" ht="15" customHeight="1" spans="1:29">
      <c r="A25" s="356"/>
      <c r="B25" s="357"/>
      <c r="C25" s="358"/>
      <c r="D25" s="359" t="s">
        <v>2635</v>
      </c>
      <c r="E25" s="360"/>
      <c r="F25" s="351">
        <v>0</v>
      </c>
      <c r="G25" s="361">
        <v>0.015141</v>
      </c>
      <c r="H25" s="351">
        <f t="shared" ref="H25:H43" si="5">F25/G25</f>
        <v>0</v>
      </c>
      <c r="I25" s="362">
        <v>454.23</v>
      </c>
      <c r="J25" s="363">
        <v>455</v>
      </c>
      <c r="K25" s="363">
        <v>455</v>
      </c>
      <c r="L25" s="363">
        <v>454</v>
      </c>
      <c r="M25" s="363">
        <v>605</v>
      </c>
      <c r="N25" s="363">
        <v>454</v>
      </c>
      <c r="O25" s="363">
        <v>454</v>
      </c>
      <c r="P25" s="363">
        <v>485</v>
      </c>
      <c r="Q25" s="363"/>
      <c r="R25" s="363">
        <v>484</v>
      </c>
      <c r="S25" s="363">
        <v>530</v>
      </c>
      <c r="T25" s="363">
        <v>606</v>
      </c>
      <c r="U25" s="363">
        <v>530</v>
      </c>
      <c r="V25" s="363">
        <v>454</v>
      </c>
      <c r="W25" s="363">
        <v>575</v>
      </c>
      <c r="X25" s="363">
        <v>455</v>
      </c>
      <c r="Y25" s="363">
        <v>302</v>
      </c>
      <c r="Z25" s="363">
        <v>303</v>
      </c>
      <c r="AA25" s="363">
        <v>303</v>
      </c>
      <c r="AB25" s="354">
        <f t="shared" si="3"/>
        <v>8358.23</v>
      </c>
      <c r="AC25" s="364">
        <f t="shared" si="2"/>
        <v>552030</v>
      </c>
    </row>
    <row r="26" s="313" customFormat="1" ht="15" customHeight="1" spans="1:29">
      <c r="A26" s="356"/>
      <c r="B26" s="357"/>
      <c r="C26" s="358"/>
      <c r="D26" s="359" t="s">
        <v>2636</v>
      </c>
      <c r="E26" s="360"/>
      <c r="F26" s="351">
        <v>300</v>
      </c>
      <c r="G26" s="361">
        <v>0.006489</v>
      </c>
      <c r="H26" s="351">
        <f t="shared" si="5"/>
        <v>46232.0850670365</v>
      </c>
      <c r="I26" s="367">
        <v>300</v>
      </c>
      <c r="J26" s="368">
        <v>300</v>
      </c>
      <c r="K26" s="368"/>
      <c r="L26" s="368">
        <v>300</v>
      </c>
      <c r="M26" s="368">
        <v>300</v>
      </c>
      <c r="N26" s="368">
        <v>300</v>
      </c>
      <c r="O26" s="368"/>
      <c r="P26" s="368">
        <v>300</v>
      </c>
      <c r="Q26" s="368"/>
      <c r="R26" s="368">
        <v>43</v>
      </c>
      <c r="S26" s="368">
        <v>227</v>
      </c>
      <c r="T26" s="368">
        <v>300</v>
      </c>
      <c r="U26" s="368">
        <v>187</v>
      </c>
      <c r="V26" s="368">
        <v>195</v>
      </c>
      <c r="W26" s="368">
        <v>246</v>
      </c>
      <c r="X26" s="368">
        <v>195</v>
      </c>
      <c r="Y26" s="368">
        <v>130</v>
      </c>
      <c r="Z26" s="368">
        <v>130</v>
      </c>
      <c r="AA26" s="368">
        <v>129</v>
      </c>
      <c r="AB26" s="354">
        <f t="shared" si="3"/>
        <v>3582</v>
      </c>
      <c r="AC26" s="364">
        <f t="shared" si="2"/>
        <v>552010</v>
      </c>
    </row>
    <row r="27" s="313" customFormat="1" ht="15" customHeight="1" spans="1:29">
      <c r="A27" s="356"/>
      <c r="B27" s="357"/>
      <c r="C27" s="358"/>
      <c r="D27" s="359" t="s">
        <v>2611</v>
      </c>
      <c r="E27" s="360" t="s">
        <v>2612</v>
      </c>
      <c r="F27" s="351">
        <v>0</v>
      </c>
      <c r="G27" s="361">
        <v>0.004223</v>
      </c>
      <c r="H27" s="351">
        <f t="shared" si="5"/>
        <v>0</v>
      </c>
      <c r="I27" s="362">
        <v>126.69</v>
      </c>
      <c r="J27" s="363">
        <v>127</v>
      </c>
      <c r="K27" s="363">
        <v>127</v>
      </c>
      <c r="L27" s="363">
        <v>127</v>
      </c>
      <c r="M27" s="363">
        <v>168</v>
      </c>
      <c r="N27" s="363">
        <v>127</v>
      </c>
      <c r="O27" s="363">
        <v>127</v>
      </c>
      <c r="P27" s="363">
        <v>135</v>
      </c>
      <c r="Q27" s="363"/>
      <c r="R27" s="363">
        <v>135</v>
      </c>
      <c r="S27" s="363">
        <v>148</v>
      </c>
      <c r="T27" s="363">
        <v>169</v>
      </c>
      <c r="U27" s="363">
        <v>148</v>
      </c>
      <c r="V27" s="363">
        <v>126</v>
      </c>
      <c r="W27" s="363">
        <v>161</v>
      </c>
      <c r="X27" s="363">
        <v>127</v>
      </c>
      <c r="Y27" s="363">
        <v>84</v>
      </c>
      <c r="Z27" s="363">
        <v>84</v>
      </c>
      <c r="AA27" s="363">
        <v>85</v>
      </c>
      <c r="AB27" s="354">
        <f t="shared" si="3"/>
        <v>2331.69</v>
      </c>
      <c r="AC27" s="364">
        <f t="shared" si="2"/>
        <v>552140</v>
      </c>
    </row>
    <row r="28" s="313" customFormat="1" ht="15" customHeight="1" spans="1:29">
      <c r="A28" s="356"/>
      <c r="B28" s="357"/>
      <c r="C28" s="358"/>
      <c r="D28" s="359" t="s">
        <v>2613</v>
      </c>
      <c r="E28" s="360" t="s">
        <v>2614</v>
      </c>
      <c r="F28" s="351">
        <v>0</v>
      </c>
      <c r="G28" s="361">
        <v>0.004429</v>
      </c>
      <c r="H28" s="351">
        <f t="shared" si="5"/>
        <v>0</v>
      </c>
      <c r="I28" s="362">
        <v>132.87</v>
      </c>
      <c r="J28" s="363">
        <v>133</v>
      </c>
      <c r="K28" s="363">
        <v>133</v>
      </c>
      <c r="L28" s="363">
        <v>133</v>
      </c>
      <c r="M28" s="363">
        <v>177</v>
      </c>
      <c r="N28" s="363">
        <v>133</v>
      </c>
      <c r="O28" s="363">
        <v>133</v>
      </c>
      <c r="P28" s="363">
        <v>142</v>
      </c>
      <c r="Q28" s="363"/>
      <c r="R28" s="363">
        <v>141</v>
      </c>
      <c r="S28" s="363">
        <v>155</v>
      </c>
      <c r="T28" s="363">
        <v>178</v>
      </c>
      <c r="U28" s="363">
        <v>155</v>
      </c>
      <c r="V28" s="363">
        <v>133</v>
      </c>
      <c r="W28" s="363">
        <v>168</v>
      </c>
      <c r="X28" s="363">
        <v>133</v>
      </c>
      <c r="Y28" s="363">
        <v>88</v>
      </c>
      <c r="Z28" s="363">
        <v>89</v>
      </c>
      <c r="AA28" s="363">
        <v>88</v>
      </c>
      <c r="AB28" s="354">
        <f t="shared" si="3"/>
        <v>2444.87</v>
      </c>
      <c r="AC28" s="364">
        <f t="shared" si="2"/>
        <v>552010</v>
      </c>
    </row>
    <row r="29" s="313" customFormat="1" ht="15" customHeight="1" spans="1:29">
      <c r="A29" s="356"/>
      <c r="B29" s="357"/>
      <c r="C29" s="358"/>
      <c r="D29" s="359" t="s">
        <v>2637</v>
      </c>
      <c r="E29" s="360"/>
      <c r="F29" s="351">
        <v>500</v>
      </c>
      <c r="G29" s="361">
        <v>0.061079</v>
      </c>
      <c r="H29" s="351">
        <f t="shared" si="5"/>
        <v>8186.11961557982</v>
      </c>
      <c r="I29" s="362">
        <v>1832.37</v>
      </c>
      <c r="J29" s="363">
        <v>1833</v>
      </c>
      <c r="K29" s="363">
        <v>1832</v>
      </c>
      <c r="L29" s="363">
        <v>1832</v>
      </c>
      <c r="M29" s="363">
        <v>2444</v>
      </c>
      <c r="N29" s="363">
        <v>1832</v>
      </c>
      <c r="O29" s="363">
        <v>1833</v>
      </c>
      <c r="P29" s="363">
        <v>1954</v>
      </c>
      <c r="Q29" s="363"/>
      <c r="R29" s="363">
        <v>1955</v>
      </c>
      <c r="S29" s="363">
        <v>2137</v>
      </c>
      <c r="T29" s="363">
        <v>2443</v>
      </c>
      <c r="U29" s="363">
        <v>2138</v>
      </c>
      <c r="V29" s="363">
        <v>1833</v>
      </c>
      <c r="W29" s="363">
        <v>2321</v>
      </c>
      <c r="X29" s="363">
        <v>1832</v>
      </c>
      <c r="Y29" s="363">
        <v>1222</v>
      </c>
      <c r="Z29" s="363">
        <v>1221</v>
      </c>
      <c r="AA29" s="363">
        <v>1222</v>
      </c>
      <c r="AB29" s="354">
        <f t="shared" si="3"/>
        <v>33716.37</v>
      </c>
      <c r="AC29" s="364">
        <f t="shared" si="2"/>
        <v>552010</v>
      </c>
    </row>
    <row r="30" s="313" customFormat="1" customHeight="1" spans="1:29">
      <c r="A30" s="356"/>
      <c r="B30" s="357"/>
      <c r="C30" s="358"/>
      <c r="D30" s="359" t="s">
        <v>2616</v>
      </c>
      <c r="E30" s="360" t="s">
        <v>2617</v>
      </c>
      <c r="F30" s="351">
        <v>0</v>
      </c>
      <c r="G30" s="361">
        <v>0.023896</v>
      </c>
      <c r="H30" s="351">
        <f t="shared" si="5"/>
        <v>0</v>
      </c>
      <c r="I30" s="362">
        <v>716.88</v>
      </c>
      <c r="J30" s="363">
        <v>717</v>
      </c>
      <c r="K30" s="363">
        <v>717</v>
      </c>
      <c r="L30" s="363">
        <v>717</v>
      </c>
      <c r="M30" s="363">
        <v>956</v>
      </c>
      <c r="N30" s="363">
        <v>717</v>
      </c>
      <c r="O30" s="363">
        <v>717</v>
      </c>
      <c r="P30" s="363">
        <v>764</v>
      </c>
      <c r="Q30" s="363"/>
      <c r="R30" s="363">
        <v>765</v>
      </c>
      <c r="S30" s="363">
        <v>836</v>
      </c>
      <c r="T30" s="363">
        <v>956</v>
      </c>
      <c r="U30" s="363">
        <v>837</v>
      </c>
      <c r="V30" s="363">
        <v>717</v>
      </c>
      <c r="W30" s="363">
        <v>908</v>
      </c>
      <c r="X30" s="363">
        <v>716</v>
      </c>
      <c r="Y30" s="363">
        <v>478</v>
      </c>
      <c r="Z30" s="363">
        <v>478</v>
      </c>
      <c r="AA30" s="363">
        <v>478</v>
      </c>
      <c r="AB30" s="354">
        <f t="shared" si="3"/>
        <v>13190.88</v>
      </c>
      <c r="AC30" s="364">
        <f t="shared" si="2"/>
        <v>552010</v>
      </c>
    </row>
    <row r="31" s="313" customFormat="1" customHeight="1" spans="1:29">
      <c r="A31" s="356"/>
      <c r="B31" s="357"/>
      <c r="C31" s="358"/>
      <c r="D31" s="359" t="s">
        <v>2638</v>
      </c>
      <c r="E31" s="360"/>
      <c r="F31" s="351">
        <v>0</v>
      </c>
      <c r="G31" s="361">
        <v>0.01957</v>
      </c>
      <c r="H31" s="351">
        <f t="shared" si="5"/>
        <v>0</v>
      </c>
      <c r="I31" s="362">
        <v>587.1</v>
      </c>
      <c r="J31" s="363">
        <v>588</v>
      </c>
      <c r="K31" s="363">
        <v>587</v>
      </c>
      <c r="L31" s="363">
        <v>587</v>
      </c>
      <c r="M31" s="363">
        <v>783</v>
      </c>
      <c r="N31" s="363">
        <v>587</v>
      </c>
      <c r="O31" s="363">
        <v>587</v>
      </c>
      <c r="P31" s="363">
        <v>626</v>
      </c>
      <c r="Q31" s="363"/>
      <c r="R31" s="363">
        <v>626</v>
      </c>
      <c r="S31" s="363">
        <v>685</v>
      </c>
      <c r="T31" s="363">
        <v>783</v>
      </c>
      <c r="U31" s="363">
        <v>685</v>
      </c>
      <c r="V31" s="363">
        <v>587</v>
      </c>
      <c r="W31" s="363">
        <v>744</v>
      </c>
      <c r="X31" s="363">
        <v>587</v>
      </c>
      <c r="Y31" s="363">
        <v>391</v>
      </c>
      <c r="Z31" s="363">
        <v>392</v>
      </c>
      <c r="AA31" s="363">
        <v>391</v>
      </c>
      <c r="AB31" s="354">
        <f t="shared" si="3"/>
        <v>10803.1</v>
      </c>
      <c r="AC31" s="364">
        <f t="shared" si="2"/>
        <v>552020</v>
      </c>
    </row>
    <row r="32" s="313" customFormat="1" customHeight="1" spans="1:29">
      <c r="A32" s="356"/>
      <c r="B32" s="357"/>
      <c r="C32" s="358"/>
      <c r="D32" s="359" t="s">
        <v>2639</v>
      </c>
      <c r="E32" s="360"/>
      <c r="F32" s="351">
        <v>300</v>
      </c>
      <c r="G32" s="361">
        <v>0.001957</v>
      </c>
      <c r="H32" s="351">
        <f t="shared" si="5"/>
        <v>153295.861011753</v>
      </c>
      <c r="I32" s="367">
        <v>300</v>
      </c>
      <c r="J32" s="368"/>
      <c r="K32" s="368"/>
      <c r="L32" s="368"/>
      <c r="M32" s="368">
        <v>300</v>
      </c>
      <c r="N32" s="368"/>
      <c r="O32" s="368"/>
      <c r="P32" s="368"/>
      <c r="Q32" s="368"/>
      <c r="R32" s="368"/>
      <c r="S32" s="368">
        <v>25</v>
      </c>
      <c r="T32" s="368">
        <v>78</v>
      </c>
      <c r="U32" s="368">
        <v>69</v>
      </c>
      <c r="V32" s="368">
        <v>58</v>
      </c>
      <c r="W32" s="368">
        <v>75</v>
      </c>
      <c r="X32" s="368">
        <v>58</v>
      </c>
      <c r="Y32" s="368">
        <v>39</v>
      </c>
      <c r="Z32" s="368">
        <v>40</v>
      </c>
      <c r="AA32" s="368">
        <v>39</v>
      </c>
      <c r="AB32" s="354">
        <f t="shared" si="3"/>
        <v>1081</v>
      </c>
      <c r="AC32" s="364">
        <f t="shared" si="2"/>
        <v>552380</v>
      </c>
    </row>
    <row r="33" s="313" customFormat="1" customHeight="1" spans="1:29">
      <c r="A33" s="356"/>
      <c r="B33" s="357"/>
      <c r="C33" s="358"/>
      <c r="D33" s="359" t="s">
        <v>2619</v>
      </c>
      <c r="E33" s="360" t="s">
        <v>2620</v>
      </c>
      <c r="F33" s="351">
        <v>0</v>
      </c>
      <c r="G33" s="361">
        <v>4.635</v>
      </c>
      <c r="H33" s="351">
        <f t="shared" si="5"/>
        <v>0</v>
      </c>
      <c r="I33" s="362">
        <v>139050</v>
      </c>
      <c r="J33" s="363">
        <v>139050</v>
      </c>
      <c r="K33" s="363">
        <v>139050</v>
      </c>
      <c r="L33" s="363">
        <v>139050</v>
      </c>
      <c r="M33" s="363">
        <v>185400</v>
      </c>
      <c r="N33" s="363">
        <v>139050</v>
      </c>
      <c r="O33" s="363">
        <v>139050</v>
      </c>
      <c r="P33" s="363">
        <v>148320</v>
      </c>
      <c r="Q33" s="363"/>
      <c r="R33" s="363">
        <v>148320</v>
      </c>
      <c r="S33" s="363">
        <v>162225</v>
      </c>
      <c r="T33" s="363">
        <v>185400</v>
      </c>
      <c r="U33" s="363">
        <v>162225</v>
      </c>
      <c r="V33" s="363">
        <v>139050</v>
      </c>
      <c r="W33" s="363">
        <v>176130</v>
      </c>
      <c r="X33" s="363">
        <v>139050</v>
      </c>
      <c r="Y33" s="363">
        <v>92700</v>
      </c>
      <c r="Z33" s="363">
        <v>92700</v>
      </c>
      <c r="AA33" s="363">
        <v>92700</v>
      </c>
      <c r="AB33" s="354">
        <f t="shared" si="3"/>
        <v>2558520</v>
      </c>
      <c r="AC33" s="364">
        <f t="shared" si="2"/>
        <v>552000</v>
      </c>
    </row>
    <row r="34" s="313" customFormat="1" customHeight="1" spans="1:29">
      <c r="A34" s="356"/>
      <c r="B34" s="357"/>
      <c r="C34" s="358"/>
      <c r="D34" s="359" t="s">
        <v>2621</v>
      </c>
      <c r="E34" s="360" t="s">
        <v>2622</v>
      </c>
      <c r="F34" s="351">
        <v>0</v>
      </c>
      <c r="G34" s="361">
        <v>28.634</v>
      </c>
      <c r="H34" s="351">
        <f t="shared" si="5"/>
        <v>0</v>
      </c>
      <c r="I34" s="362">
        <v>859020</v>
      </c>
      <c r="J34" s="363">
        <v>859020</v>
      </c>
      <c r="K34" s="363">
        <v>859020</v>
      </c>
      <c r="L34" s="363">
        <v>859020</v>
      </c>
      <c r="M34" s="363">
        <v>1145360</v>
      </c>
      <c r="N34" s="363">
        <v>859020</v>
      </c>
      <c r="O34" s="363">
        <v>859020</v>
      </c>
      <c r="P34" s="363">
        <v>916288</v>
      </c>
      <c r="Q34" s="363"/>
      <c r="R34" s="363">
        <v>916288</v>
      </c>
      <c r="S34" s="363">
        <v>1002190</v>
      </c>
      <c r="T34" s="363">
        <v>1145360</v>
      </c>
      <c r="U34" s="363">
        <v>1002190</v>
      </c>
      <c r="V34" s="363">
        <v>859020</v>
      </c>
      <c r="W34" s="363">
        <v>1088092</v>
      </c>
      <c r="X34" s="363">
        <v>859020</v>
      </c>
      <c r="Y34" s="363">
        <v>572680</v>
      </c>
      <c r="Z34" s="363">
        <v>572680</v>
      </c>
      <c r="AA34" s="363">
        <v>572680</v>
      </c>
      <c r="AB34" s="354">
        <f t="shared" si="3"/>
        <v>15805968</v>
      </c>
      <c r="AC34" s="364">
        <f t="shared" si="2"/>
        <v>552000</v>
      </c>
    </row>
    <row r="35" s="313" customFormat="1" customHeight="1" spans="1:29">
      <c r="A35" s="356"/>
      <c r="B35" s="357"/>
      <c r="C35" s="358"/>
      <c r="D35" s="359" t="s">
        <v>2623</v>
      </c>
      <c r="E35" s="360" t="s">
        <v>2624</v>
      </c>
      <c r="F35" s="351">
        <v>0</v>
      </c>
      <c r="G35" s="361">
        <v>2</v>
      </c>
      <c r="H35" s="351">
        <f t="shared" si="5"/>
        <v>0</v>
      </c>
      <c r="I35" s="362">
        <v>60000</v>
      </c>
      <c r="J35" s="363">
        <v>60000</v>
      </c>
      <c r="K35" s="363">
        <v>60000</v>
      </c>
      <c r="L35" s="363">
        <v>60000</v>
      </c>
      <c r="M35" s="363">
        <v>80000</v>
      </c>
      <c r="N35" s="363">
        <v>60000</v>
      </c>
      <c r="O35" s="363">
        <v>60000</v>
      </c>
      <c r="P35" s="363">
        <v>64000</v>
      </c>
      <c r="Q35" s="363"/>
      <c r="R35" s="363">
        <v>64000</v>
      </c>
      <c r="S35" s="363">
        <v>70000</v>
      </c>
      <c r="T35" s="363">
        <v>80000</v>
      </c>
      <c r="U35" s="363">
        <v>70000</v>
      </c>
      <c r="V35" s="363">
        <v>60000</v>
      </c>
      <c r="W35" s="363">
        <v>76000</v>
      </c>
      <c r="X35" s="363">
        <v>60000</v>
      </c>
      <c r="Y35" s="363">
        <v>40000</v>
      </c>
      <c r="Z35" s="363">
        <v>40000</v>
      </c>
      <c r="AA35" s="363">
        <v>40000</v>
      </c>
      <c r="AB35" s="354">
        <f t="shared" si="3"/>
        <v>1104000</v>
      </c>
      <c r="AC35" s="364">
        <f t="shared" si="2"/>
        <v>552000</v>
      </c>
    </row>
    <row r="36" s="313" customFormat="1" customHeight="1" spans="1:29">
      <c r="A36" s="356"/>
      <c r="B36" s="357"/>
      <c r="C36" s="358"/>
      <c r="D36" s="359" t="s">
        <v>2625</v>
      </c>
      <c r="E36" s="360" t="s">
        <v>2626</v>
      </c>
      <c r="F36" s="351">
        <v>0</v>
      </c>
      <c r="G36" s="361">
        <v>120</v>
      </c>
      <c r="H36" s="351">
        <f t="shared" si="5"/>
        <v>0</v>
      </c>
      <c r="I36" s="362">
        <v>3600000</v>
      </c>
      <c r="J36" s="363">
        <v>3600000</v>
      </c>
      <c r="K36" s="363">
        <v>3600000</v>
      </c>
      <c r="L36" s="363">
        <v>3600000</v>
      </c>
      <c r="M36" s="363">
        <v>4800000</v>
      </c>
      <c r="N36" s="363">
        <v>3600000</v>
      </c>
      <c r="O36" s="363">
        <v>3600000</v>
      </c>
      <c r="P36" s="363">
        <v>3840000</v>
      </c>
      <c r="Q36" s="363"/>
      <c r="R36" s="363">
        <v>3840000</v>
      </c>
      <c r="S36" s="363">
        <v>4200000</v>
      </c>
      <c r="T36" s="363">
        <v>4800000</v>
      </c>
      <c r="U36" s="363">
        <v>4200000</v>
      </c>
      <c r="V36" s="363">
        <v>3600000</v>
      </c>
      <c r="W36" s="363">
        <v>4560000</v>
      </c>
      <c r="X36" s="363">
        <v>3600000</v>
      </c>
      <c r="Y36" s="363">
        <v>2400000</v>
      </c>
      <c r="Z36" s="363">
        <v>2400000</v>
      </c>
      <c r="AA36" s="363">
        <v>2400000</v>
      </c>
      <c r="AB36" s="354">
        <f t="shared" si="3"/>
        <v>66240000</v>
      </c>
      <c r="AC36" s="364">
        <f t="shared" si="2"/>
        <v>552000</v>
      </c>
    </row>
    <row r="37" s="313" customFormat="1" customHeight="1" spans="1:29">
      <c r="A37" s="356"/>
      <c r="B37" s="357"/>
      <c r="C37" s="358"/>
      <c r="D37" s="359" t="s">
        <v>2627</v>
      </c>
      <c r="E37" s="360" t="s">
        <v>2628</v>
      </c>
      <c r="F37" s="351">
        <v>0</v>
      </c>
      <c r="G37" s="361">
        <v>1</v>
      </c>
      <c r="H37" s="351">
        <f t="shared" si="5"/>
        <v>0</v>
      </c>
      <c r="I37" s="362">
        <v>30000</v>
      </c>
      <c r="J37" s="363">
        <v>30000</v>
      </c>
      <c r="K37" s="363">
        <v>30000</v>
      </c>
      <c r="L37" s="363">
        <v>30000</v>
      </c>
      <c r="M37" s="363">
        <v>40000</v>
      </c>
      <c r="N37" s="363">
        <v>30000</v>
      </c>
      <c r="O37" s="363">
        <v>30000</v>
      </c>
      <c r="P37" s="363">
        <v>32000</v>
      </c>
      <c r="Q37" s="363"/>
      <c r="R37" s="363">
        <v>32000</v>
      </c>
      <c r="S37" s="363">
        <v>35000</v>
      </c>
      <c r="T37" s="363">
        <v>40000</v>
      </c>
      <c r="U37" s="363">
        <v>35000</v>
      </c>
      <c r="V37" s="363">
        <v>30000</v>
      </c>
      <c r="W37" s="363">
        <v>38000</v>
      </c>
      <c r="X37" s="363">
        <v>30000</v>
      </c>
      <c r="Y37" s="363">
        <v>20000</v>
      </c>
      <c r="Z37" s="363">
        <v>20000</v>
      </c>
      <c r="AA37" s="363">
        <v>20000</v>
      </c>
      <c r="AB37" s="354">
        <f t="shared" ref="AB37:AB68" si="6">SUM(I37:AA37)</f>
        <v>552000</v>
      </c>
      <c r="AC37" s="364">
        <f t="shared" si="2"/>
        <v>552000</v>
      </c>
    </row>
    <row r="38" customHeight="1" spans="1:29">
      <c r="A38" s="356"/>
      <c r="B38" s="369"/>
      <c r="C38" s="370"/>
      <c r="D38" s="371" t="s">
        <v>2629</v>
      </c>
      <c r="E38" s="372"/>
      <c r="F38" s="373">
        <v>0</v>
      </c>
      <c r="G38" s="374">
        <v>1</v>
      </c>
      <c r="H38" s="373">
        <f t="shared" si="5"/>
        <v>0</v>
      </c>
      <c r="I38" s="375">
        <v>30000</v>
      </c>
      <c r="J38" s="375">
        <v>30000</v>
      </c>
      <c r="K38" s="375">
        <v>30000</v>
      </c>
      <c r="L38" s="375">
        <v>30000</v>
      </c>
      <c r="M38" s="375">
        <v>40000</v>
      </c>
      <c r="N38" s="375">
        <v>30000</v>
      </c>
      <c r="O38" s="375">
        <v>30000</v>
      </c>
      <c r="P38" s="375">
        <v>32000</v>
      </c>
      <c r="Q38" s="375"/>
      <c r="R38" s="375">
        <v>32000</v>
      </c>
      <c r="S38" s="375">
        <v>35000</v>
      </c>
      <c r="T38" s="375">
        <v>40000</v>
      </c>
      <c r="U38" s="376">
        <v>35000</v>
      </c>
      <c r="V38" s="376">
        <v>30000</v>
      </c>
      <c r="W38" s="376">
        <v>38000</v>
      </c>
      <c r="X38" s="376">
        <v>30000</v>
      </c>
      <c r="Y38" s="376">
        <v>20000</v>
      </c>
      <c r="Z38" s="375">
        <v>20000</v>
      </c>
      <c r="AA38" s="375">
        <v>20000</v>
      </c>
      <c r="AB38" s="354">
        <f t="shared" si="6"/>
        <v>552000</v>
      </c>
      <c r="AC38" s="377">
        <f t="shared" si="2"/>
        <v>552000</v>
      </c>
    </row>
    <row r="39" customHeight="1" spans="1:29">
      <c r="A39" s="356"/>
      <c r="B39" s="345" t="s">
        <v>2640</v>
      </c>
      <c r="C39" s="346">
        <v>1</v>
      </c>
      <c r="D39" s="347" t="s">
        <v>2641</v>
      </c>
      <c r="E39" s="348"/>
      <c r="F39" s="349">
        <v>800</v>
      </c>
      <c r="G39" s="350">
        <v>0.095172</v>
      </c>
      <c r="H39" s="378">
        <f t="shared" si="5"/>
        <v>8405.83364855209</v>
      </c>
      <c r="I39" s="379">
        <v>2855.16</v>
      </c>
      <c r="J39" s="379">
        <v>2856</v>
      </c>
      <c r="K39" s="363">
        <v>2855</v>
      </c>
      <c r="L39" s="363">
        <v>4758</v>
      </c>
      <c r="M39" s="363">
        <v>2856</v>
      </c>
      <c r="N39" s="363">
        <v>2855</v>
      </c>
      <c r="O39" s="363">
        <v>2855</v>
      </c>
      <c r="P39" s="363">
        <v>2855</v>
      </c>
      <c r="Q39" s="363"/>
      <c r="R39" s="363">
        <v>2855</v>
      </c>
      <c r="S39" s="363">
        <v>2855</v>
      </c>
      <c r="T39" s="363">
        <v>2856</v>
      </c>
      <c r="U39" s="363">
        <v>2855</v>
      </c>
      <c r="V39" s="363">
        <v>2855</v>
      </c>
      <c r="W39" s="363">
        <v>3045</v>
      </c>
      <c r="X39" s="363">
        <v>2856</v>
      </c>
      <c r="Y39" s="363">
        <v>1903</v>
      </c>
      <c r="Z39" s="363">
        <v>1903</v>
      </c>
      <c r="AA39" s="363">
        <v>1904</v>
      </c>
      <c r="AB39" s="354">
        <f t="shared" si="6"/>
        <v>50632.16</v>
      </c>
      <c r="AC39" s="355">
        <f t="shared" si="2"/>
        <v>532010</v>
      </c>
    </row>
    <row r="40" customHeight="1" spans="1:29">
      <c r="A40" s="356"/>
      <c r="B40" s="357"/>
      <c r="C40" s="358"/>
      <c r="D40" s="359" t="s">
        <v>2642</v>
      </c>
      <c r="E40" s="360"/>
      <c r="F40" s="351">
        <v>800</v>
      </c>
      <c r="G40" s="361">
        <v>0.023484</v>
      </c>
      <c r="H40" s="351">
        <f t="shared" si="5"/>
        <v>34065.7468915006</v>
      </c>
      <c r="I40" s="367">
        <v>800</v>
      </c>
      <c r="J40" s="368">
        <v>800</v>
      </c>
      <c r="K40" s="368">
        <v>800</v>
      </c>
      <c r="L40" s="368">
        <v>984</v>
      </c>
      <c r="M40" s="368">
        <v>800</v>
      </c>
      <c r="N40" s="368">
        <v>800</v>
      </c>
      <c r="O40" s="368">
        <v>800</v>
      </c>
      <c r="P40" s="368">
        <v>800</v>
      </c>
      <c r="Q40" s="368"/>
      <c r="R40" s="368">
        <v>227</v>
      </c>
      <c r="S40" s="368">
        <v>704</v>
      </c>
      <c r="T40" s="368">
        <v>800</v>
      </c>
      <c r="U40" s="368">
        <v>609</v>
      </c>
      <c r="V40" s="368">
        <v>705</v>
      </c>
      <c r="W40" s="368">
        <v>751</v>
      </c>
      <c r="X40" s="368">
        <v>705</v>
      </c>
      <c r="Y40" s="368">
        <v>470</v>
      </c>
      <c r="Z40" s="368">
        <v>469</v>
      </c>
      <c r="AA40" s="368">
        <v>470</v>
      </c>
      <c r="AB40" s="354">
        <f t="shared" si="6"/>
        <v>12494</v>
      </c>
      <c r="AC40" s="364">
        <f t="shared" si="2"/>
        <v>532020</v>
      </c>
    </row>
    <row r="41" customHeight="1" spans="1:29">
      <c r="A41" s="356"/>
      <c r="B41" s="357"/>
      <c r="C41" s="358"/>
      <c r="D41" s="359" t="s">
        <v>2643</v>
      </c>
      <c r="E41" s="360"/>
      <c r="F41" s="351">
        <v>800</v>
      </c>
      <c r="G41" s="361">
        <v>0.023484</v>
      </c>
      <c r="H41" s="351">
        <f t="shared" si="5"/>
        <v>34065.7468915006</v>
      </c>
      <c r="I41" s="367">
        <v>800</v>
      </c>
      <c r="J41" s="368">
        <v>800</v>
      </c>
      <c r="K41" s="368">
        <v>800</v>
      </c>
      <c r="L41" s="368">
        <v>984</v>
      </c>
      <c r="M41" s="368">
        <v>800</v>
      </c>
      <c r="N41" s="368">
        <v>800</v>
      </c>
      <c r="O41" s="368">
        <v>800</v>
      </c>
      <c r="P41" s="368">
        <v>800</v>
      </c>
      <c r="Q41" s="368"/>
      <c r="R41" s="368">
        <v>227</v>
      </c>
      <c r="S41" s="368">
        <v>704</v>
      </c>
      <c r="T41" s="368">
        <v>800</v>
      </c>
      <c r="U41" s="368">
        <v>609</v>
      </c>
      <c r="V41" s="368">
        <v>705</v>
      </c>
      <c r="W41" s="368">
        <v>751</v>
      </c>
      <c r="X41" s="368">
        <v>705</v>
      </c>
      <c r="Y41" s="368">
        <v>470</v>
      </c>
      <c r="Z41" s="368">
        <v>469</v>
      </c>
      <c r="AA41" s="368">
        <v>470</v>
      </c>
      <c r="AB41" s="354">
        <f t="shared" si="6"/>
        <v>12494</v>
      </c>
      <c r="AC41" s="364">
        <f t="shared" si="2"/>
        <v>532020</v>
      </c>
    </row>
    <row r="42" customHeight="1" spans="1:29">
      <c r="A42" s="356"/>
      <c r="B42" s="357"/>
      <c r="C42" s="358"/>
      <c r="D42" s="365" t="s">
        <v>2644</v>
      </c>
      <c r="E42" s="360"/>
      <c r="F42" s="351">
        <v>800</v>
      </c>
      <c r="G42" s="361">
        <v>0.087653</v>
      </c>
      <c r="H42" s="351">
        <f t="shared" si="5"/>
        <v>9126.89810959123</v>
      </c>
      <c r="I42" s="362">
        <v>2629.59</v>
      </c>
      <c r="J42" s="363">
        <v>2630</v>
      </c>
      <c r="K42" s="363">
        <v>2630</v>
      </c>
      <c r="L42" s="363">
        <v>4383</v>
      </c>
      <c r="M42" s="363">
        <v>2629</v>
      </c>
      <c r="N42" s="363">
        <v>2630</v>
      </c>
      <c r="O42" s="363">
        <v>2629</v>
      </c>
      <c r="P42" s="363">
        <v>2630</v>
      </c>
      <c r="Q42" s="363"/>
      <c r="R42" s="363"/>
      <c r="S42" s="363"/>
      <c r="T42" s="363"/>
      <c r="U42" s="363"/>
      <c r="V42" s="363"/>
      <c r="W42" s="363"/>
      <c r="X42" s="363"/>
      <c r="Y42" s="363"/>
      <c r="Z42" s="363"/>
      <c r="AA42" s="363"/>
      <c r="AB42" s="354">
        <f t="shared" si="6"/>
        <v>22790.59</v>
      </c>
      <c r="AC42" s="364">
        <f t="shared" si="2"/>
        <v>260010</v>
      </c>
    </row>
    <row r="43" customHeight="1" spans="1:29">
      <c r="A43" s="356"/>
      <c r="B43" s="357"/>
      <c r="C43" s="358"/>
      <c r="D43" s="365" t="s">
        <v>2645</v>
      </c>
      <c r="E43" s="360"/>
      <c r="F43" s="351">
        <v>500</v>
      </c>
      <c r="G43" s="361">
        <v>0.060358</v>
      </c>
      <c r="H43" s="351">
        <f t="shared" si="5"/>
        <v>8283.90602737003</v>
      </c>
      <c r="I43" s="362">
        <v>1810.74</v>
      </c>
      <c r="J43" s="363">
        <v>1811</v>
      </c>
      <c r="K43" s="363">
        <v>1811</v>
      </c>
      <c r="L43" s="363">
        <v>3018</v>
      </c>
      <c r="M43" s="363">
        <v>1811</v>
      </c>
      <c r="N43" s="363">
        <v>1810</v>
      </c>
      <c r="O43" s="363">
        <v>1811</v>
      </c>
      <c r="P43" s="363">
        <v>1811</v>
      </c>
      <c r="Q43" s="363"/>
      <c r="R43" s="363"/>
      <c r="S43" s="363"/>
      <c r="T43" s="363"/>
      <c r="U43" s="363"/>
      <c r="V43" s="363"/>
      <c r="W43" s="363"/>
      <c r="X43" s="363"/>
      <c r="Y43" s="363"/>
      <c r="Z43" s="363"/>
      <c r="AA43" s="363"/>
      <c r="AB43" s="354">
        <f t="shared" si="6"/>
        <v>15693.74</v>
      </c>
      <c r="AC43" s="364">
        <f t="shared" si="2"/>
        <v>260010</v>
      </c>
    </row>
    <row r="44" customHeight="1" spans="1:29">
      <c r="A44" s="356"/>
      <c r="B44" s="357"/>
      <c r="C44" s="358"/>
      <c r="D44" s="366" t="s">
        <v>2646</v>
      </c>
      <c r="E44" s="366"/>
      <c r="F44" s="351">
        <v>500</v>
      </c>
      <c r="G44" s="361">
        <v>0.0526</v>
      </c>
      <c r="H44" s="351">
        <v>9505.70342205323</v>
      </c>
      <c r="I44" s="362"/>
      <c r="J44" s="363"/>
      <c r="K44" s="363"/>
      <c r="L44" s="363"/>
      <c r="M44" s="363"/>
      <c r="N44" s="363"/>
      <c r="O44" s="363"/>
      <c r="P44" s="363"/>
      <c r="Q44" s="363">
        <v>1578</v>
      </c>
      <c r="R44" s="363">
        <v>0</v>
      </c>
      <c r="S44" s="363">
        <v>1578</v>
      </c>
      <c r="T44" s="363">
        <v>1578</v>
      </c>
      <c r="U44" s="363">
        <v>1578</v>
      </c>
      <c r="V44" s="363">
        <v>1578</v>
      </c>
      <c r="W44" s="363">
        <v>1684</v>
      </c>
      <c r="X44" s="363">
        <v>1578</v>
      </c>
      <c r="Y44" s="363">
        <v>1052</v>
      </c>
      <c r="Z44" s="363">
        <v>1052</v>
      </c>
      <c r="AA44" s="363">
        <v>1052</v>
      </c>
      <c r="AB44" s="354">
        <f t="shared" si="6"/>
        <v>14308</v>
      </c>
      <c r="AC44" s="364">
        <f t="shared" si="2"/>
        <v>272020</v>
      </c>
    </row>
    <row r="45" customHeight="1" spans="1:29">
      <c r="A45" s="356"/>
      <c r="B45" s="357"/>
      <c r="C45" s="358"/>
      <c r="D45" s="366" t="s">
        <v>2647</v>
      </c>
      <c r="E45" s="366" t="s">
        <v>2648</v>
      </c>
      <c r="F45" s="351">
        <v>0</v>
      </c>
      <c r="G45" s="361">
        <v>0.0132</v>
      </c>
      <c r="H45" s="351">
        <v>0</v>
      </c>
      <c r="I45" s="362"/>
      <c r="J45" s="363"/>
      <c r="K45" s="363"/>
      <c r="L45" s="363"/>
      <c r="M45" s="363"/>
      <c r="N45" s="363"/>
      <c r="O45" s="363"/>
      <c r="P45" s="363"/>
      <c r="Q45" s="363">
        <v>396</v>
      </c>
      <c r="R45" s="363">
        <v>0</v>
      </c>
      <c r="S45" s="363">
        <v>396</v>
      </c>
      <c r="T45" s="363">
        <v>396</v>
      </c>
      <c r="U45" s="363">
        <v>396</v>
      </c>
      <c r="V45" s="363">
        <v>396</v>
      </c>
      <c r="W45" s="363">
        <v>423</v>
      </c>
      <c r="X45" s="363">
        <v>396</v>
      </c>
      <c r="Y45" s="363">
        <v>264</v>
      </c>
      <c r="Z45" s="363">
        <v>264</v>
      </c>
      <c r="AA45" s="363">
        <v>264</v>
      </c>
      <c r="AB45" s="354">
        <f t="shared" si="6"/>
        <v>3591</v>
      </c>
      <c r="AC45" s="364">
        <f t="shared" si="2"/>
        <v>272050</v>
      </c>
    </row>
    <row r="46" customHeight="1" spans="1:29">
      <c r="A46" s="356"/>
      <c r="B46" s="357"/>
      <c r="C46" s="358"/>
      <c r="D46" s="359" t="s">
        <v>2649</v>
      </c>
      <c r="E46" s="360"/>
      <c r="F46" s="351">
        <v>300</v>
      </c>
      <c r="G46" s="361">
        <v>0.006489</v>
      </c>
      <c r="H46" s="351">
        <f t="shared" ref="H46:H61" si="7">F46/G46</f>
        <v>46232.0850670365</v>
      </c>
      <c r="I46" s="367">
        <v>300</v>
      </c>
      <c r="J46" s="368">
        <v>300</v>
      </c>
      <c r="K46" s="368"/>
      <c r="L46" s="368">
        <v>310</v>
      </c>
      <c r="M46" s="368">
        <v>300</v>
      </c>
      <c r="N46" s="368">
        <v>300</v>
      </c>
      <c r="O46" s="368"/>
      <c r="P46" s="368">
        <v>300</v>
      </c>
      <c r="Q46" s="368"/>
      <c r="R46" s="368">
        <v>72</v>
      </c>
      <c r="S46" s="368">
        <v>195</v>
      </c>
      <c r="T46" s="368">
        <v>195</v>
      </c>
      <c r="U46" s="368">
        <v>194</v>
      </c>
      <c r="V46" s="368">
        <v>195</v>
      </c>
      <c r="W46" s="368">
        <v>208</v>
      </c>
      <c r="X46" s="368">
        <v>194</v>
      </c>
      <c r="Y46" s="368">
        <v>130</v>
      </c>
      <c r="Z46" s="368">
        <v>130</v>
      </c>
      <c r="AA46" s="368">
        <v>130</v>
      </c>
      <c r="AB46" s="354">
        <f t="shared" si="6"/>
        <v>3453</v>
      </c>
      <c r="AC46" s="364">
        <f t="shared" si="2"/>
        <v>532130</v>
      </c>
    </row>
    <row r="47" customHeight="1" spans="1:29">
      <c r="A47" s="356"/>
      <c r="B47" s="357"/>
      <c r="C47" s="358"/>
      <c r="D47" s="359" t="s">
        <v>2611</v>
      </c>
      <c r="E47" s="360" t="s">
        <v>2612</v>
      </c>
      <c r="F47" s="351">
        <v>0</v>
      </c>
      <c r="G47" s="361">
        <v>0.004223</v>
      </c>
      <c r="H47" s="351">
        <f t="shared" si="7"/>
        <v>0</v>
      </c>
      <c r="I47" s="362">
        <v>126.69</v>
      </c>
      <c r="J47" s="363">
        <v>127</v>
      </c>
      <c r="K47" s="363">
        <v>127</v>
      </c>
      <c r="L47" s="363">
        <v>211</v>
      </c>
      <c r="M47" s="363">
        <v>127</v>
      </c>
      <c r="N47" s="363">
        <v>126</v>
      </c>
      <c r="O47" s="363">
        <v>127</v>
      </c>
      <c r="P47" s="363">
        <v>127</v>
      </c>
      <c r="Q47" s="363"/>
      <c r="R47" s="363">
        <v>126</v>
      </c>
      <c r="S47" s="363">
        <v>127</v>
      </c>
      <c r="T47" s="363">
        <v>127</v>
      </c>
      <c r="U47" s="363">
        <v>127</v>
      </c>
      <c r="V47" s="363">
        <v>126</v>
      </c>
      <c r="W47" s="363">
        <v>135</v>
      </c>
      <c r="X47" s="363">
        <v>127</v>
      </c>
      <c r="Y47" s="363">
        <v>85</v>
      </c>
      <c r="Z47" s="363">
        <v>84</v>
      </c>
      <c r="AA47" s="363">
        <v>84</v>
      </c>
      <c r="AB47" s="354">
        <f t="shared" si="6"/>
        <v>2246.69</v>
      </c>
      <c r="AC47" s="364">
        <f t="shared" si="2"/>
        <v>532010</v>
      </c>
    </row>
    <row r="48" customHeight="1" spans="1:29">
      <c r="A48" s="356"/>
      <c r="B48" s="357"/>
      <c r="C48" s="358"/>
      <c r="D48" s="359" t="s">
        <v>2613</v>
      </c>
      <c r="E48" s="360" t="s">
        <v>2614</v>
      </c>
      <c r="F48" s="351">
        <v>0</v>
      </c>
      <c r="G48" s="361">
        <v>0.004429</v>
      </c>
      <c r="H48" s="351">
        <f t="shared" si="7"/>
        <v>0</v>
      </c>
      <c r="I48" s="362">
        <v>132.87</v>
      </c>
      <c r="J48" s="363">
        <v>133</v>
      </c>
      <c r="K48" s="363">
        <v>133</v>
      </c>
      <c r="L48" s="363">
        <v>222</v>
      </c>
      <c r="M48" s="363">
        <v>133</v>
      </c>
      <c r="N48" s="363">
        <v>132</v>
      </c>
      <c r="O48" s="363">
        <v>133</v>
      </c>
      <c r="P48" s="363">
        <v>133</v>
      </c>
      <c r="Q48" s="363"/>
      <c r="R48" s="363">
        <v>133</v>
      </c>
      <c r="S48" s="363">
        <v>133</v>
      </c>
      <c r="T48" s="363">
        <v>133</v>
      </c>
      <c r="U48" s="363">
        <v>133</v>
      </c>
      <c r="V48" s="363">
        <v>133</v>
      </c>
      <c r="W48" s="363">
        <v>141</v>
      </c>
      <c r="X48" s="363">
        <v>133</v>
      </c>
      <c r="Y48" s="363">
        <v>89</v>
      </c>
      <c r="Z48" s="363">
        <v>88</v>
      </c>
      <c r="AA48" s="363">
        <v>89</v>
      </c>
      <c r="AB48" s="354">
        <f t="shared" si="6"/>
        <v>2356.87</v>
      </c>
      <c r="AC48" s="364">
        <f t="shared" si="2"/>
        <v>532140</v>
      </c>
    </row>
    <row r="49" customHeight="1" spans="1:29">
      <c r="A49" s="356"/>
      <c r="B49" s="357"/>
      <c r="C49" s="358"/>
      <c r="D49" s="359" t="s">
        <v>2650</v>
      </c>
      <c r="E49" s="360"/>
      <c r="F49" s="351">
        <v>500</v>
      </c>
      <c r="G49" s="361">
        <v>0.061079</v>
      </c>
      <c r="H49" s="351">
        <f t="shared" si="7"/>
        <v>8186.11961557982</v>
      </c>
      <c r="I49" s="362">
        <v>1832.37</v>
      </c>
      <c r="J49" s="363">
        <v>1833</v>
      </c>
      <c r="K49" s="363">
        <v>1832</v>
      </c>
      <c r="L49" s="363">
        <v>3054</v>
      </c>
      <c r="M49" s="363">
        <v>1833</v>
      </c>
      <c r="N49" s="363">
        <v>1832</v>
      </c>
      <c r="O49" s="363">
        <v>1832</v>
      </c>
      <c r="P49" s="363">
        <v>1833</v>
      </c>
      <c r="Q49" s="363"/>
      <c r="R49" s="363">
        <v>1832</v>
      </c>
      <c r="S49" s="363">
        <v>1832</v>
      </c>
      <c r="T49" s="363">
        <v>1833</v>
      </c>
      <c r="U49" s="363">
        <v>1832</v>
      </c>
      <c r="V49" s="363">
        <v>1833</v>
      </c>
      <c r="W49" s="363">
        <v>1954</v>
      </c>
      <c r="X49" s="363">
        <v>1832</v>
      </c>
      <c r="Y49" s="363">
        <v>1222</v>
      </c>
      <c r="Z49" s="363">
        <v>1222</v>
      </c>
      <c r="AA49" s="363">
        <v>1221</v>
      </c>
      <c r="AB49" s="354">
        <f t="shared" si="6"/>
        <v>32494.37</v>
      </c>
      <c r="AC49" s="364">
        <f t="shared" si="2"/>
        <v>532010</v>
      </c>
    </row>
    <row r="50" customHeight="1" spans="1:29">
      <c r="A50" s="356"/>
      <c r="B50" s="357"/>
      <c r="C50" s="358"/>
      <c r="D50" s="359" t="s">
        <v>2616</v>
      </c>
      <c r="E50" s="360" t="s">
        <v>2617</v>
      </c>
      <c r="F50" s="351">
        <v>0</v>
      </c>
      <c r="G50" s="361">
        <v>0.023896</v>
      </c>
      <c r="H50" s="351">
        <f t="shared" si="7"/>
        <v>0</v>
      </c>
      <c r="I50" s="362">
        <v>716.88</v>
      </c>
      <c r="J50" s="363">
        <v>717</v>
      </c>
      <c r="K50" s="363">
        <v>717</v>
      </c>
      <c r="L50" s="363">
        <v>1195</v>
      </c>
      <c r="M50" s="363">
        <v>717</v>
      </c>
      <c r="N50" s="363">
        <v>717</v>
      </c>
      <c r="O50" s="363">
        <v>717</v>
      </c>
      <c r="P50" s="363">
        <v>717</v>
      </c>
      <c r="Q50" s="363"/>
      <c r="R50" s="363">
        <v>716</v>
      </c>
      <c r="S50" s="363">
        <v>717</v>
      </c>
      <c r="T50" s="363">
        <v>717</v>
      </c>
      <c r="U50" s="363">
        <v>717</v>
      </c>
      <c r="V50" s="363">
        <v>717</v>
      </c>
      <c r="W50" s="363">
        <v>765</v>
      </c>
      <c r="X50" s="363">
        <v>717</v>
      </c>
      <c r="Y50" s="363">
        <v>477</v>
      </c>
      <c r="Z50" s="363">
        <v>478</v>
      </c>
      <c r="AA50" s="363">
        <v>478</v>
      </c>
      <c r="AB50" s="354">
        <f t="shared" si="6"/>
        <v>12712.88</v>
      </c>
      <c r="AC50" s="364">
        <f t="shared" si="2"/>
        <v>532010</v>
      </c>
    </row>
    <row r="51" customHeight="1" spans="1:29">
      <c r="A51" s="356"/>
      <c r="B51" s="357"/>
      <c r="C51" s="358"/>
      <c r="D51" s="359" t="s">
        <v>2651</v>
      </c>
      <c r="E51" s="360"/>
      <c r="F51" s="351">
        <v>300</v>
      </c>
      <c r="G51" s="361">
        <v>0.001957</v>
      </c>
      <c r="H51" s="351">
        <f t="shared" si="7"/>
        <v>153295.861011753</v>
      </c>
      <c r="I51" s="367">
        <v>300</v>
      </c>
      <c r="J51" s="368"/>
      <c r="K51" s="368"/>
      <c r="L51" s="368"/>
      <c r="M51" s="368">
        <v>300</v>
      </c>
      <c r="N51" s="368"/>
      <c r="O51" s="368"/>
      <c r="P51" s="368"/>
      <c r="Q51" s="368"/>
      <c r="R51" s="368"/>
      <c r="S51" s="368">
        <v>27</v>
      </c>
      <c r="T51" s="368">
        <v>58</v>
      </c>
      <c r="U51" s="368">
        <v>59</v>
      </c>
      <c r="V51" s="368">
        <v>59</v>
      </c>
      <c r="W51" s="368">
        <v>62</v>
      </c>
      <c r="X51" s="368">
        <v>59</v>
      </c>
      <c r="Y51" s="368">
        <v>39</v>
      </c>
      <c r="Z51" s="368">
        <v>39</v>
      </c>
      <c r="AA51" s="368">
        <v>40</v>
      </c>
      <c r="AB51" s="354">
        <f t="shared" si="6"/>
        <v>1042</v>
      </c>
      <c r="AC51" s="364">
        <f t="shared" si="2"/>
        <v>532450</v>
      </c>
    </row>
    <row r="52" customHeight="1" spans="1:29">
      <c r="A52" s="356"/>
      <c r="B52" s="357"/>
      <c r="C52" s="358"/>
      <c r="D52" s="359" t="s">
        <v>2619</v>
      </c>
      <c r="E52" s="360" t="s">
        <v>2620</v>
      </c>
      <c r="F52" s="351">
        <v>0</v>
      </c>
      <c r="G52" s="361">
        <v>4.635</v>
      </c>
      <c r="H52" s="351">
        <f t="shared" si="7"/>
        <v>0</v>
      </c>
      <c r="I52" s="362">
        <v>139050</v>
      </c>
      <c r="J52" s="363">
        <v>139050</v>
      </c>
      <c r="K52" s="363">
        <v>139050</v>
      </c>
      <c r="L52" s="363">
        <v>231750</v>
      </c>
      <c r="M52" s="363">
        <v>139050</v>
      </c>
      <c r="N52" s="363">
        <v>139050</v>
      </c>
      <c r="O52" s="363">
        <v>139050</v>
      </c>
      <c r="P52" s="363">
        <v>139050</v>
      </c>
      <c r="Q52" s="363"/>
      <c r="R52" s="363">
        <v>139050</v>
      </c>
      <c r="S52" s="363">
        <v>139050</v>
      </c>
      <c r="T52" s="363">
        <v>139050</v>
      </c>
      <c r="U52" s="363">
        <v>139050</v>
      </c>
      <c r="V52" s="363">
        <v>139050</v>
      </c>
      <c r="W52" s="363">
        <v>148320</v>
      </c>
      <c r="X52" s="363">
        <v>139050</v>
      </c>
      <c r="Y52" s="363">
        <v>92700</v>
      </c>
      <c r="Z52" s="363">
        <v>92700</v>
      </c>
      <c r="AA52" s="363">
        <v>92700</v>
      </c>
      <c r="AB52" s="354">
        <f t="shared" si="6"/>
        <v>2465820</v>
      </c>
      <c r="AC52" s="364">
        <f t="shared" si="2"/>
        <v>532000</v>
      </c>
    </row>
    <row r="53" customHeight="1" spans="1:29">
      <c r="A53" s="356"/>
      <c r="B53" s="357"/>
      <c r="C53" s="358"/>
      <c r="D53" s="359" t="s">
        <v>2621</v>
      </c>
      <c r="E53" s="360" t="s">
        <v>2622</v>
      </c>
      <c r="F53" s="351">
        <v>0</v>
      </c>
      <c r="G53" s="361">
        <v>28.634</v>
      </c>
      <c r="H53" s="351">
        <f t="shared" si="7"/>
        <v>0</v>
      </c>
      <c r="I53" s="362">
        <v>859020</v>
      </c>
      <c r="J53" s="363">
        <v>859020</v>
      </c>
      <c r="K53" s="363">
        <v>859020</v>
      </c>
      <c r="L53" s="363">
        <v>1431700</v>
      </c>
      <c r="M53" s="363">
        <v>859020</v>
      </c>
      <c r="N53" s="363">
        <v>859020</v>
      </c>
      <c r="O53" s="363">
        <v>859020</v>
      </c>
      <c r="P53" s="363">
        <v>859020</v>
      </c>
      <c r="Q53" s="363"/>
      <c r="R53" s="363">
        <v>859020</v>
      </c>
      <c r="S53" s="363">
        <v>859020</v>
      </c>
      <c r="T53" s="363">
        <v>859020</v>
      </c>
      <c r="U53" s="363">
        <v>859020</v>
      </c>
      <c r="V53" s="363">
        <v>859020</v>
      </c>
      <c r="W53" s="363">
        <v>916288</v>
      </c>
      <c r="X53" s="363">
        <v>859020</v>
      </c>
      <c r="Y53" s="363">
        <v>572680</v>
      </c>
      <c r="Z53" s="363">
        <v>572680</v>
      </c>
      <c r="AA53" s="363">
        <v>572680</v>
      </c>
      <c r="AB53" s="354">
        <f t="shared" si="6"/>
        <v>15233288</v>
      </c>
      <c r="AC53" s="364">
        <f t="shared" si="2"/>
        <v>532000</v>
      </c>
    </row>
    <row r="54" customHeight="1" spans="1:29">
      <c r="A54" s="356"/>
      <c r="B54" s="357"/>
      <c r="C54" s="358"/>
      <c r="D54" s="359" t="s">
        <v>2623</v>
      </c>
      <c r="E54" s="360" t="s">
        <v>2624</v>
      </c>
      <c r="F54" s="351">
        <v>0</v>
      </c>
      <c r="G54" s="361">
        <v>2</v>
      </c>
      <c r="H54" s="351">
        <f t="shared" si="7"/>
        <v>0</v>
      </c>
      <c r="I54" s="362">
        <v>60000</v>
      </c>
      <c r="J54" s="363">
        <v>60000</v>
      </c>
      <c r="K54" s="363">
        <v>60000</v>
      </c>
      <c r="L54" s="363">
        <v>100000</v>
      </c>
      <c r="M54" s="363">
        <v>60000</v>
      </c>
      <c r="N54" s="363">
        <v>60000</v>
      </c>
      <c r="O54" s="363">
        <v>60000</v>
      </c>
      <c r="P54" s="363">
        <v>60000</v>
      </c>
      <c r="Q54" s="363"/>
      <c r="R54" s="363">
        <v>60000</v>
      </c>
      <c r="S54" s="363">
        <v>60000</v>
      </c>
      <c r="T54" s="363">
        <v>60000</v>
      </c>
      <c r="U54" s="363">
        <v>60000</v>
      </c>
      <c r="V54" s="363">
        <v>60000</v>
      </c>
      <c r="W54" s="363">
        <v>64000</v>
      </c>
      <c r="X54" s="363">
        <v>60000</v>
      </c>
      <c r="Y54" s="363">
        <v>40000</v>
      </c>
      <c r="Z54" s="363">
        <v>40000</v>
      </c>
      <c r="AA54" s="363">
        <v>40000</v>
      </c>
      <c r="AB54" s="354">
        <f t="shared" si="6"/>
        <v>1064000</v>
      </c>
      <c r="AC54" s="364">
        <f t="shared" si="2"/>
        <v>532000</v>
      </c>
    </row>
    <row r="55" customHeight="1" spans="1:29">
      <c r="A55" s="356"/>
      <c r="B55" s="357"/>
      <c r="C55" s="358"/>
      <c r="D55" s="359" t="s">
        <v>2625</v>
      </c>
      <c r="E55" s="360" t="s">
        <v>2626</v>
      </c>
      <c r="F55" s="351">
        <v>0</v>
      </c>
      <c r="G55" s="361">
        <v>120</v>
      </c>
      <c r="H55" s="351">
        <f t="shared" si="7"/>
        <v>0</v>
      </c>
      <c r="I55" s="362">
        <v>3600000</v>
      </c>
      <c r="J55" s="363">
        <v>3600000</v>
      </c>
      <c r="K55" s="363">
        <v>3600000</v>
      </c>
      <c r="L55" s="363">
        <v>6000000</v>
      </c>
      <c r="M55" s="363">
        <v>3600000</v>
      </c>
      <c r="N55" s="363">
        <v>3600000</v>
      </c>
      <c r="O55" s="363">
        <v>3600000</v>
      </c>
      <c r="P55" s="363">
        <v>3600000</v>
      </c>
      <c r="Q55" s="363"/>
      <c r="R55" s="363">
        <v>3600000</v>
      </c>
      <c r="S55" s="363">
        <v>3600000</v>
      </c>
      <c r="T55" s="363">
        <v>3600000</v>
      </c>
      <c r="U55" s="363">
        <v>3600000</v>
      </c>
      <c r="V55" s="363">
        <v>3600000</v>
      </c>
      <c r="W55" s="363">
        <v>3840000</v>
      </c>
      <c r="X55" s="363">
        <v>3600000</v>
      </c>
      <c r="Y55" s="363">
        <v>2400000</v>
      </c>
      <c r="Z55" s="363">
        <v>2400000</v>
      </c>
      <c r="AA55" s="363">
        <v>2400000</v>
      </c>
      <c r="AB55" s="354">
        <f t="shared" si="6"/>
        <v>63840000</v>
      </c>
      <c r="AC55" s="364">
        <f t="shared" si="2"/>
        <v>532000</v>
      </c>
    </row>
    <row r="56" customHeight="1" spans="1:29">
      <c r="A56" s="356"/>
      <c r="B56" s="357"/>
      <c r="C56" s="358"/>
      <c r="D56" s="359" t="s">
        <v>2627</v>
      </c>
      <c r="E56" s="360" t="s">
        <v>2628</v>
      </c>
      <c r="F56" s="351">
        <v>0</v>
      </c>
      <c r="G56" s="361">
        <v>1</v>
      </c>
      <c r="H56" s="351">
        <f t="shared" si="7"/>
        <v>0</v>
      </c>
      <c r="I56" s="362">
        <v>30000</v>
      </c>
      <c r="J56" s="363">
        <v>30000</v>
      </c>
      <c r="K56" s="363">
        <v>30000</v>
      </c>
      <c r="L56" s="363">
        <v>50000</v>
      </c>
      <c r="M56" s="363">
        <v>30000</v>
      </c>
      <c r="N56" s="363">
        <v>30000</v>
      </c>
      <c r="O56" s="363">
        <v>30000</v>
      </c>
      <c r="P56" s="363">
        <v>30000</v>
      </c>
      <c r="Q56" s="363"/>
      <c r="R56" s="363">
        <v>30000</v>
      </c>
      <c r="S56" s="363">
        <v>30000</v>
      </c>
      <c r="T56" s="363">
        <v>30000</v>
      </c>
      <c r="U56" s="363">
        <v>30000</v>
      </c>
      <c r="V56" s="363">
        <v>30000</v>
      </c>
      <c r="W56" s="363">
        <v>32000</v>
      </c>
      <c r="X56" s="363">
        <v>30000</v>
      </c>
      <c r="Y56" s="363">
        <v>20000</v>
      </c>
      <c r="Z56" s="363">
        <v>20000</v>
      </c>
      <c r="AA56" s="363">
        <v>20000</v>
      </c>
      <c r="AB56" s="354">
        <f t="shared" si="6"/>
        <v>532000</v>
      </c>
      <c r="AC56" s="364">
        <f t="shared" si="2"/>
        <v>532000</v>
      </c>
    </row>
    <row r="57" customHeight="1" spans="1:29">
      <c r="A57" s="356"/>
      <c r="B57" s="369"/>
      <c r="C57" s="370"/>
      <c r="D57" s="371" t="s">
        <v>2629</v>
      </c>
      <c r="E57" s="372"/>
      <c r="F57" s="373">
        <v>0</v>
      </c>
      <c r="G57" s="374">
        <v>1</v>
      </c>
      <c r="H57" s="373">
        <f t="shared" si="7"/>
        <v>0</v>
      </c>
      <c r="I57" s="375">
        <v>30000</v>
      </c>
      <c r="J57" s="375">
        <v>30000</v>
      </c>
      <c r="K57" s="375">
        <v>30000</v>
      </c>
      <c r="L57" s="375">
        <v>50000</v>
      </c>
      <c r="M57" s="375">
        <v>30000</v>
      </c>
      <c r="N57" s="375">
        <v>30000</v>
      </c>
      <c r="O57" s="375">
        <v>30000</v>
      </c>
      <c r="P57" s="375">
        <v>30000</v>
      </c>
      <c r="Q57" s="375"/>
      <c r="R57" s="375">
        <v>30000</v>
      </c>
      <c r="S57" s="375">
        <v>30000</v>
      </c>
      <c r="T57" s="375">
        <v>30000</v>
      </c>
      <c r="U57" s="376">
        <v>30000</v>
      </c>
      <c r="V57" s="376">
        <v>30000</v>
      </c>
      <c r="W57" s="376">
        <v>32000</v>
      </c>
      <c r="X57" s="376">
        <v>30000</v>
      </c>
      <c r="Y57" s="376">
        <v>20000</v>
      </c>
      <c r="Z57" s="375">
        <v>20000</v>
      </c>
      <c r="AA57" s="375">
        <v>20000</v>
      </c>
      <c r="AB57" s="354">
        <f t="shared" si="6"/>
        <v>532000</v>
      </c>
      <c r="AC57" s="377">
        <f t="shared" si="2"/>
        <v>532000</v>
      </c>
    </row>
    <row r="58" customHeight="1" spans="1:29">
      <c r="A58" s="356"/>
      <c r="B58" s="380" t="s">
        <v>2652</v>
      </c>
      <c r="C58" s="381">
        <v>1</v>
      </c>
      <c r="D58" s="382" t="s">
        <v>2604</v>
      </c>
      <c r="E58" s="383" t="s">
        <v>2605</v>
      </c>
      <c r="F58" s="378">
        <v>0</v>
      </c>
      <c r="G58" s="384">
        <v>0.111137</v>
      </c>
      <c r="H58" s="378">
        <f t="shared" si="7"/>
        <v>0</v>
      </c>
      <c r="I58" s="353">
        <v>3334.11</v>
      </c>
      <c r="J58" s="353">
        <v>3335</v>
      </c>
      <c r="K58" s="353">
        <v>3334</v>
      </c>
      <c r="L58" s="353">
        <v>3334</v>
      </c>
      <c r="M58" s="353">
        <v>3334</v>
      </c>
      <c r="N58" s="353">
        <v>3334</v>
      </c>
      <c r="O58" s="353">
        <v>3334</v>
      </c>
      <c r="P58" s="353">
        <v>3334</v>
      </c>
      <c r="Q58" s="353"/>
      <c r="R58" s="353">
        <v>3334</v>
      </c>
      <c r="S58" s="353">
        <v>3334</v>
      </c>
      <c r="T58" s="353">
        <v>3335</v>
      </c>
      <c r="U58" s="353">
        <v>3334</v>
      </c>
      <c r="V58" s="353">
        <v>3334</v>
      </c>
      <c r="W58" s="353">
        <v>2778</v>
      </c>
      <c r="X58" s="353">
        <v>2779</v>
      </c>
      <c r="Y58" s="353">
        <v>2222</v>
      </c>
      <c r="Z58" s="353">
        <v>2223</v>
      </c>
      <c r="AA58" s="353">
        <v>2223</v>
      </c>
      <c r="AB58" s="354">
        <f t="shared" si="6"/>
        <v>55569.11</v>
      </c>
      <c r="AC58" s="385">
        <f t="shared" si="2"/>
        <v>500010</v>
      </c>
    </row>
    <row r="59" customHeight="1" spans="1:29">
      <c r="A59" s="356"/>
      <c r="B59" s="380"/>
      <c r="C59" s="381"/>
      <c r="D59" s="359" t="s">
        <v>2653</v>
      </c>
      <c r="E59" s="360"/>
      <c r="F59" s="351">
        <v>800</v>
      </c>
      <c r="G59" s="361">
        <v>0.019055</v>
      </c>
      <c r="H59" s="351">
        <f t="shared" si="7"/>
        <v>41983.7313041197</v>
      </c>
      <c r="I59" s="367">
        <v>800</v>
      </c>
      <c r="J59" s="368">
        <v>800</v>
      </c>
      <c r="K59" s="368">
        <v>800</v>
      </c>
      <c r="L59" s="368">
        <v>115</v>
      </c>
      <c r="M59" s="368">
        <v>800</v>
      </c>
      <c r="N59" s="368">
        <v>800</v>
      </c>
      <c r="O59" s="368"/>
      <c r="P59" s="368">
        <v>800</v>
      </c>
      <c r="Q59" s="368"/>
      <c r="R59" s="368">
        <v>230</v>
      </c>
      <c r="S59" s="368">
        <v>572</v>
      </c>
      <c r="T59" s="368">
        <v>572</v>
      </c>
      <c r="U59" s="368">
        <v>571</v>
      </c>
      <c r="V59" s="368">
        <v>572</v>
      </c>
      <c r="W59" s="368">
        <v>476</v>
      </c>
      <c r="X59" s="368">
        <v>477</v>
      </c>
      <c r="Y59" s="368">
        <v>381</v>
      </c>
      <c r="Z59" s="368">
        <v>381</v>
      </c>
      <c r="AA59" s="368">
        <v>381</v>
      </c>
      <c r="AB59" s="354">
        <f t="shared" si="6"/>
        <v>9528</v>
      </c>
      <c r="AC59" s="364">
        <f t="shared" si="2"/>
        <v>500030</v>
      </c>
    </row>
    <row r="60" customHeight="1" spans="1:29">
      <c r="A60" s="356"/>
      <c r="B60" s="380"/>
      <c r="C60" s="381"/>
      <c r="D60" s="359" t="s">
        <v>2644</v>
      </c>
      <c r="E60" s="360"/>
      <c r="F60" s="351">
        <v>800</v>
      </c>
      <c r="G60" s="361">
        <v>0.087653</v>
      </c>
      <c r="H60" s="351">
        <f t="shared" si="7"/>
        <v>9126.89810959123</v>
      </c>
      <c r="I60" s="362">
        <v>2629.59</v>
      </c>
      <c r="J60" s="363">
        <v>2630</v>
      </c>
      <c r="K60" s="363">
        <v>2630</v>
      </c>
      <c r="L60" s="363">
        <v>2630</v>
      </c>
      <c r="M60" s="363">
        <v>2629</v>
      </c>
      <c r="N60" s="363">
        <v>2629</v>
      </c>
      <c r="O60" s="363">
        <v>2630</v>
      </c>
      <c r="P60" s="363">
        <v>2630</v>
      </c>
      <c r="Q60" s="363"/>
      <c r="R60" s="363">
        <v>2629</v>
      </c>
      <c r="S60" s="363">
        <v>2630</v>
      </c>
      <c r="T60" s="363">
        <v>2629</v>
      </c>
      <c r="U60" s="363">
        <v>2630</v>
      </c>
      <c r="V60" s="363">
        <v>2630</v>
      </c>
      <c r="W60" s="363">
        <v>2191</v>
      </c>
      <c r="X60" s="363">
        <v>2191</v>
      </c>
      <c r="Y60" s="363">
        <v>1753</v>
      </c>
      <c r="Z60" s="363">
        <v>1753</v>
      </c>
      <c r="AA60" s="363">
        <v>1753</v>
      </c>
      <c r="AB60" s="354">
        <f t="shared" si="6"/>
        <v>43826.59</v>
      </c>
      <c r="AC60" s="364">
        <f t="shared" si="2"/>
        <v>500000</v>
      </c>
    </row>
    <row r="61" customHeight="1" spans="1:29">
      <c r="A61" s="356"/>
      <c r="B61" s="380"/>
      <c r="C61" s="381"/>
      <c r="D61" s="365" t="s">
        <v>2654</v>
      </c>
      <c r="E61" s="360"/>
      <c r="F61" s="351">
        <v>500</v>
      </c>
      <c r="G61" s="361">
        <v>0.081267</v>
      </c>
      <c r="H61" s="351">
        <f t="shared" si="7"/>
        <v>6152.55884922539</v>
      </c>
      <c r="I61" s="362">
        <v>2438.01</v>
      </c>
      <c r="J61" s="363">
        <v>2439</v>
      </c>
      <c r="K61" s="363">
        <v>2438</v>
      </c>
      <c r="L61" s="363">
        <v>2438</v>
      </c>
      <c r="M61" s="363">
        <v>2438</v>
      </c>
      <c r="N61" s="363">
        <v>2438</v>
      </c>
      <c r="O61" s="363">
        <v>2438</v>
      </c>
      <c r="P61" s="363">
        <v>2438</v>
      </c>
      <c r="Q61" s="363"/>
      <c r="R61" s="363"/>
      <c r="S61" s="363"/>
      <c r="T61" s="363"/>
      <c r="U61" s="363"/>
      <c r="V61" s="363"/>
      <c r="W61" s="363"/>
      <c r="X61" s="363"/>
      <c r="Y61" s="363"/>
      <c r="Z61" s="363"/>
      <c r="AA61" s="363"/>
      <c r="AB61" s="354">
        <f t="shared" si="6"/>
        <v>19505.01</v>
      </c>
      <c r="AC61" s="364">
        <f t="shared" si="2"/>
        <v>240010</v>
      </c>
    </row>
    <row r="62" customHeight="1" spans="1:29">
      <c r="A62" s="356"/>
      <c r="B62" s="380"/>
      <c r="C62" s="381"/>
      <c r="D62" s="366" t="s">
        <v>2655</v>
      </c>
      <c r="E62" s="366"/>
      <c r="F62" s="351">
        <v>500</v>
      </c>
      <c r="G62" s="361">
        <v>0.0756</v>
      </c>
      <c r="H62" s="351">
        <v>6613.75661375661</v>
      </c>
      <c r="I62" s="362"/>
      <c r="J62" s="363"/>
      <c r="K62" s="363"/>
      <c r="L62" s="363"/>
      <c r="M62" s="363"/>
      <c r="N62" s="363"/>
      <c r="O62" s="363"/>
      <c r="P62" s="363"/>
      <c r="Q62" s="363">
        <v>2268</v>
      </c>
      <c r="R62" s="363">
        <v>0</v>
      </c>
      <c r="S62" s="363">
        <v>2268</v>
      </c>
      <c r="T62" s="363">
        <v>2268</v>
      </c>
      <c r="U62" s="363">
        <v>2268</v>
      </c>
      <c r="V62" s="363">
        <v>2268</v>
      </c>
      <c r="W62" s="363">
        <v>1890</v>
      </c>
      <c r="X62" s="363">
        <v>1890</v>
      </c>
      <c r="Y62" s="363">
        <v>1512</v>
      </c>
      <c r="Z62" s="363">
        <v>1512</v>
      </c>
      <c r="AA62" s="363">
        <v>1512</v>
      </c>
      <c r="AB62" s="354">
        <f t="shared" si="6"/>
        <v>19656</v>
      </c>
      <c r="AC62" s="364">
        <f t="shared" si="2"/>
        <v>260000</v>
      </c>
    </row>
    <row r="63" customHeight="1" spans="1:29">
      <c r="A63" s="356"/>
      <c r="B63" s="380"/>
      <c r="C63" s="381"/>
      <c r="D63" s="359" t="s">
        <v>2647</v>
      </c>
      <c r="E63" s="360" t="s">
        <v>2648</v>
      </c>
      <c r="F63" s="351">
        <v>0</v>
      </c>
      <c r="G63" s="361">
        <v>0.015141</v>
      </c>
      <c r="H63" s="351">
        <f t="shared" ref="H63:H78" si="8">F63/G63</f>
        <v>0</v>
      </c>
      <c r="I63" s="362">
        <v>454.23</v>
      </c>
      <c r="J63" s="363">
        <v>455</v>
      </c>
      <c r="K63" s="363">
        <v>454</v>
      </c>
      <c r="L63" s="363">
        <v>454</v>
      </c>
      <c r="M63" s="363">
        <v>454</v>
      </c>
      <c r="N63" s="363">
        <v>455</v>
      </c>
      <c r="O63" s="363">
        <v>454</v>
      </c>
      <c r="P63" s="363">
        <v>454</v>
      </c>
      <c r="Q63" s="363"/>
      <c r="R63" s="363">
        <v>454</v>
      </c>
      <c r="S63" s="363">
        <v>455</v>
      </c>
      <c r="T63" s="363">
        <v>454</v>
      </c>
      <c r="U63" s="363">
        <v>454</v>
      </c>
      <c r="V63" s="363">
        <v>454</v>
      </c>
      <c r="W63" s="363">
        <v>379</v>
      </c>
      <c r="X63" s="363">
        <v>378</v>
      </c>
      <c r="Y63" s="363">
        <v>303</v>
      </c>
      <c r="Z63" s="363">
        <v>303</v>
      </c>
      <c r="AA63" s="363">
        <v>303</v>
      </c>
      <c r="AB63" s="354">
        <f t="shared" si="6"/>
        <v>7571.23</v>
      </c>
      <c r="AC63" s="364">
        <f t="shared" si="2"/>
        <v>500050</v>
      </c>
    </row>
    <row r="64" customHeight="1" spans="1:29">
      <c r="A64" s="356"/>
      <c r="B64" s="380"/>
      <c r="C64" s="381"/>
      <c r="D64" s="359" t="s">
        <v>2656</v>
      </c>
      <c r="E64" s="360"/>
      <c r="F64" s="351">
        <v>300</v>
      </c>
      <c r="G64" s="361">
        <v>0.006489</v>
      </c>
      <c r="H64" s="351">
        <f t="shared" si="8"/>
        <v>46232.0850670365</v>
      </c>
      <c r="I64" s="367">
        <v>300</v>
      </c>
      <c r="J64" s="368">
        <v>300</v>
      </c>
      <c r="K64" s="368"/>
      <c r="L64" s="368">
        <v>300</v>
      </c>
      <c r="M64" s="368">
        <v>300</v>
      </c>
      <c r="N64" s="368"/>
      <c r="O64" s="368">
        <v>300</v>
      </c>
      <c r="P64" s="368">
        <v>300</v>
      </c>
      <c r="Q64" s="368"/>
      <c r="R64" s="368"/>
      <c r="S64" s="368">
        <v>147</v>
      </c>
      <c r="T64" s="368">
        <v>300</v>
      </c>
      <c r="U64" s="368">
        <v>90</v>
      </c>
      <c r="V64" s="368">
        <v>194</v>
      </c>
      <c r="W64" s="368">
        <v>162</v>
      </c>
      <c r="X64" s="368">
        <v>163</v>
      </c>
      <c r="Y64" s="368">
        <v>129</v>
      </c>
      <c r="Z64" s="368">
        <v>130</v>
      </c>
      <c r="AA64" s="368">
        <v>130</v>
      </c>
      <c r="AB64" s="354">
        <f t="shared" si="6"/>
        <v>3245</v>
      </c>
      <c r="AC64" s="364">
        <f t="shared" si="2"/>
        <v>500080</v>
      </c>
    </row>
    <row r="65" customHeight="1" spans="1:29">
      <c r="A65" s="356"/>
      <c r="B65" s="380"/>
      <c r="C65" s="381"/>
      <c r="D65" s="359" t="s">
        <v>2657</v>
      </c>
      <c r="E65" s="360"/>
      <c r="F65" s="351">
        <v>800</v>
      </c>
      <c r="G65" s="361">
        <v>0.004223</v>
      </c>
      <c r="H65" s="351">
        <f t="shared" si="8"/>
        <v>189438.787591759</v>
      </c>
      <c r="I65" s="367">
        <v>800</v>
      </c>
      <c r="J65" s="368"/>
      <c r="K65" s="368"/>
      <c r="L65" s="368"/>
      <c r="M65" s="368"/>
      <c r="N65" s="368"/>
      <c r="O65" s="368">
        <v>800</v>
      </c>
      <c r="P65" s="368"/>
      <c r="Q65" s="368"/>
      <c r="R65" s="368"/>
      <c r="S65" s="368"/>
      <c r="T65" s="368"/>
      <c r="U65" s="368"/>
      <c r="V65" s="368">
        <v>47</v>
      </c>
      <c r="W65" s="368">
        <v>106</v>
      </c>
      <c r="X65" s="368">
        <v>106</v>
      </c>
      <c r="Y65" s="368">
        <v>84</v>
      </c>
      <c r="Z65" s="368">
        <v>85</v>
      </c>
      <c r="AA65" s="368">
        <v>84</v>
      </c>
      <c r="AB65" s="354">
        <f t="shared" si="6"/>
        <v>2112</v>
      </c>
      <c r="AC65" s="364">
        <f t="shared" si="2"/>
        <v>500120</v>
      </c>
    </row>
    <row r="66" customHeight="1" spans="1:29">
      <c r="A66" s="356"/>
      <c r="B66" s="380"/>
      <c r="C66" s="381"/>
      <c r="D66" s="359" t="s">
        <v>2613</v>
      </c>
      <c r="E66" s="360" t="s">
        <v>2614</v>
      </c>
      <c r="F66" s="351">
        <v>0</v>
      </c>
      <c r="G66" s="361">
        <v>0.004429</v>
      </c>
      <c r="H66" s="351">
        <f t="shared" si="8"/>
        <v>0</v>
      </c>
      <c r="I66" s="362">
        <v>132.87</v>
      </c>
      <c r="J66" s="363">
        <v>133</v>
      </c>
      <c r="K66" s="363">
        <v>133</v>
      </c>
      <c r="L66" s="363">
        <v>133</v>
      </c>
      <c r="M66" s="363">
        <v>133</v>
      </c>
      <c r="N66" s="363">
        <v>133</v>
      </c>
      <c r="O66" s="363">
        <v>133</v>
      </c>
      <c r="P66" s="363">
        <v>133</v>
      </c>
      <c r="Q66" s="363"/>
      <c r="R66" s="363">
        <v>132</v>
      </c>
      <c r="S66" s="363">
        <v>133</v>
      </c>
      <c r="T66" s="363">
        <v>133</v>
      </c>
      <c r="U66" s="363">
        <v>133</v>
      </c>
      <c r="V66" s="363">
        <v>133</v>
      </c>
      <c r="W66" s="363">
        <v>111</v>
      </c>
      <c r="X66" s="363">
        <v>110</v>
      </c>
      <c r="Y66" s="363">
        <v>89</v>
      </c>
      <c r="Z66" s="363">
        <v>89</v>
      </c>
      <c r="AA66" s="363">
        <v>88</v>
      </c>
      <c r="AB66" s="354">
        <f t="shared" si="6"/>
        <v>2214.87</v>
      </c>
      <c r="AC66" s="364">
        <f t="shared" si="2"/>
        <v>500080</v>
      </c>
    </row>
    <row r="67" customHeight="1" spans="1:29">
      <c r="A67" s="356"/>
      <c r="B67" s="380"/>
      <c r="C67" s="381"/>
      <c r="D67" s="359" t="s">
        <v>2658</v>
      </c>
      <c r="E67" s="360"/>
      <c r="F67" s="351">
        <v>500</v>
      </c>
      <c r="G67" s="361">
        <v>0.061079</v>
      </c>
      <c r="H67" s="351">
        <f t="shared" si="8"/>
        <v>8186.11961557982</v>
      </c>
      <c r="I67" s="362">
        <v>1832.37</v>
      </c>
      <c r="J67" s="363">
        <v>1833</v>
      </c>
      <c r="K67" s="363">
        <v>1833</v>
      </c>
      <c r="L67" s="363">
        <v>1832</v>
      </c>
      <c r="M67" s="363">
        <v>1832</v>
      </c>
      <c r="N67" s="363">
        <v>1832</v>
      </c>
      <c r="O67" s="363">
        <v>1833</v>
      </c>
      <c r="P67" s="363">
        <v>1832</v>
      </c>
      <c r="Q67" s="363"/>
      <c r="R67" s="363">
        <v>1832</v>
      </c>
      <c r="S67" s="363">
        <v>1833</v>
      </c>
      <c r="T67" s="363">
        <v>1832</v>
      </c>
      <c r="U67" s="363">
        <v>1833</v>
      </c>
      <c r="V67" s="363">
        <v>1832</v>
      </c>
      <c r="W67" s="363">
        <v>1527</v>
      </c>
      <c r="X67" s="363">
        <v>1527</v>
      </c>
      <c r="Y67" s="363">
        <v>1221</v>
      </c>
      <c r="Z67" s="363">
        <v>1222</v>
      </c>
      <c r="AA67" s="363">
        <v>1222</v>
      </c>
      <c r="AB67" s="354">
        <f t="shared" si="6"/>
        <v>30540.37</v>
      </c>
      <c r="AC67" s="364">
        <f t="shared" si="2"/>
        <v>500010</v>
      </c>
    </row>
    <row r="68" customHeight="1" spans="1:29">
      <c r="A68" s="356"/>
      <c r="B68" s="380"/>
      <c r="C68" s="381"/>
      <c r="D68" s="359" t="s">
        <v>2616</v>
      </c>
      <c r="E68" s="360" t="s">
        <v>2617</v>
      </c>
      <c r="F68" s="351">
        <v>0</v>
      </c>
      <c r="G68" s="361">
        <v>0.023896</v>
      </c>
      <c r="H68" s="351">
        <f t="shared" si="8"/>
        <v>0</v>
      </c>
      <c r="I68" s="362">
        <v>716.88</v>
      </c>
      <c r="J68" s="363">
        <v>717</v>
      </c>
      <c r="K68" s="363">
        <v>717</v>
      </c>
      <c r="L68" s="363">
        <v>717</v>
      </c>
      <c r="M68" s="363">
        <v>717</v>
      </c>
      <c r="N68" s="363">
        <v>717</v>
      </c>
      <c r="O68" s="363">
        <v>717</v>
      </c>
      <c r="P68" s="363">
        <v>717</v>
      </c>
      <c r="Q68" s="363"/>
      <c r="R68" s="363">
        <v>717</v>
      </c>
      <c r="S68" s="363">
        <v>716</v>
      </c>
      <c r="T68" s="363">
        <v>717</v>
      </c>
      <c r="U68" s="363">
        <v>717</v>
      </c>
      <c r="V68" s="363">
        <v>717</v>
      </c>
      <c r="W68" s="363">
        <v>597</v>
      </c>
      <c r="X68" s="363">
        <v>598</v>
      </c>
      <c r="Y68" s="363">
        <v>478</v>
      </c>
      <c r="Z68" s="363">
        <v>478</v>
      </c>
      <c r="AA68" s="363">
        <v>478</v>
      </c>
      <c r="AB68" s="354">
        <f t="shared" si="6"/>
        <v>11948.88</v>
      </c>
      <c r="AC68" s="364">
        <f t="shared" ref="AC68:AC113" si="9">ROUND(AB68/G68,-1)</f>
        <v>500040</v>
      </c>
    </row>
    <row r="69" customHeight="1" spans="1:29">
      <c r="A69" s="356"/>
      <c r="B69" s="380"/>
      <c r="C69" s="381"/>
      <c r="D69" s="359" t="s">
        <v>2659</v>
      </c>
      <c r="E69" s="360"/>
      <c r="F69" s="351">
        <v>300</v>
      </c>
      <c r="G69" s="361">
        <v>0.001957</v>
      </c>
      <c r="H69" s="351">
        <f t="shared" si="8"/>
        <v>153295.861011753</v>
      </c>
      <c r="I69" s="367">
        <v>300</v>
      </c>
      <c r="J69" s="368"/>
      <c r="K69" s="368"/>
      <c r="L69" s="368"/>
      <c r="M69" s="368"/>
      <c r="N69" s="368">
        <v>300</v>
      </c>
      <c r="O69" s="368"/>
      <c r="P69" s="368"/>
      <c r="Q69" s="368"/>
      <c r="R69" s="368"/>
      <c r="S69" s="368"/>
      <c r="T69" s="368">
        <v>46</v>
      </c>
      <c r="U69" s="368">
        <v>59</v>
      </c>
      <c r="V69" s="368">
        <v>59</v>
      </c>
      <c r="W69" s="368">
        <v>49</v>
      </c>
      <c r="X69" s="368">
        <v>49</v>
      </c>
      <c r="Y69" s="368">
        <v>39</v>
      </c>
      <c r="Z69" s="368">
        <v>39</v>
      </c>
      <c r="AA69" s="368">
        <v>39</v>
      </c>
      <c r="AB69" s="354">
        <f t="shared" ref="AB69:AB100" si="10">SUM(I69:AA69)</f>
        <v>979</v>
      </c>
      <c r="AC69" s="364">
        <f t="shared" si="9"/>
        <v>500260</v>
      </c>
    </row>
    <row r="70" customHeight="1" spans="1:29">
      <c r="A70" s="356"/>
      <c r="B70" s="380"/>
      <c r="C70" s="381"/>
      <c r="D70" s="359" t="s">
        <v>2619</v>
      </c>
      <c r="E70" s="360" t="s">
        <v>2620</v>
      </c>
      <c r="F70" s="351">
        <v>0</v>
      </c>
      <c r="G70" s="361">
        <v>4.635</v>
      </c>
      <c r="H70" s="351">
        <f t="shared" si="8"/>
        <v>0</v>
      </c>
      <c r="I70" s="362">
        <v>139050</v>
      </c>
      <c r="J70" s="363">
        <v>139050</v>
      </c>
      <c r="K70" s="363">
        <v>139050</v>
      </c>
      <c r="L70" s="363">
        <v>139050</v>
      </c>
      <c r="M70" s="363">
        <v>139050</v>
      </c>
      <c r="N70" s="363">
        <v>139050</v>
      </c>
      <c r="O70" s="363">
        <v>139050</v>
      </c>
      <c r="P70" s="363">
        <v>139050</v>
      </c>
      <c r="Q70" s="363"/>
      <c r="R70" s="363">
        <v>139050</v>
      </c>
      <c r="S70" s="363">
        <v>139050</v>
      </c>
      <c r="T70" s="363">
        <v>139050</v>
      </c>
      <c r="U70" s="363">
        <v>139050</v>
      </c>
      <c r="V70" s="363">
        <v>139050</v>
      </c>
      <c r="W70" s="363">
        <v>115875</v>
      </c>
      <c r="X70" s="363">
        <v>115875</v>
      </c>
      <c r="Y70" s="363">
        <v>92700</v>
      </c>
      <c r="Z70" s="363">
        <v>92700</v>
      </c>
      <c r="AA70" s="363">
        <v>92700</v>
      </c>
      <c r="AB70" s="354">
        <f t="shared" si="10"/>
        <v>2317500</v>
      </c>
      <c r="AC70" s="364">
        <f t="shared" si="9"/>
        <v>500000</v>
      </c>
    </row>
    <row r="71" customHeight="1" spans="1:29">
      <c r="A71" s="356"/>
      <c r="B71" s="380"/>
      <c r="C71" s="381"/>
      <c r="D71" s="359" t="s">
        <v>2621</v>
      </c>
      <c r="E71" s="360" t="s">
        <v>2622</v>
      </c>
      <c r="F71" s="351">
        <v>0</v>
      </c>
      <c r="G71" s="361">
        <v>28.634</v>
      </c>
      <c r="H71" s="351">
        <f t="shared" si="8"/>
        <v>0</v>
      </c>
      <c r="I71" s="362">
        <v>859020</v>
      </c>
      <c r="J71" s="363">
        <v>859020</v>
      </c>
      <c r="K71" s="363">
        <v>859020</v>
      </c>
      <c r="L71" s="363">
        <v>859020</v>
      </c>
      <c r="M71" s="363">
        <v>859020</v>
      </c>
      <c r="N71" s="363">
        <v>859020</v>
      </c>
      <c r="O71" s="363">
        <v>859020</v>
      </c>
      <c r="P71" s="363">
        <v>859020</v>
      </c>
      <c r="Q71" s="363"/>
      <c r="R71" s="363">
        <v>859020</v>
      </c>
      <c r="S71" s="363">
        <v>859020</v>
      </c>
      <c r="T71" s="363">
        <v>859020</v>
      </c>
      <c r="U71" s="363">
        <v>859020</v>
      </c>
      <c r="V71" s="363">
        <v>859020</v>
      </c>
      <c r="W71" s="363">
        <v>715850</v>
      </c>
      <c r="X71" s="363">
        <v>715850</v>
      </c>
      <c r="Y71" s="363">
        <v>572680</v>
      </c>
      <c r="Z71" s="363">
        <v>572680</v>
      </c>
      <c r="AA71" s="363">
        <v>572680</v>
      </c>
      <c r="AB71" s="354">
        <f t="shared" si="10"/>
        <v>14317000</v>
      </c>
      <c r="AC71" s="364">
        <f t="shared" si="9"/>
        <v>500000</v>
      </c>
    </row>
    <row r="72" customHeight="1" spans="1:29">
      <c r="A72" s="356"/>
      <c r="B72" s="380"/>
      <c r="C72" s="381"/>
      <c r="D72" s="359" t="s">
        <v>2623</v>
      </c>
      <c r="E72" s="360" t="s">
        <v>2624</v>
      </c>
      <c r="F72" s="351">
        <v>0</v>
      </c>
      <c r="G72" s="361">
        <v>2</v>
      </c>
      <c r="H72" s="351">
        <f t="shared" si="8"/>
        <v>0</v>
      </c>
      <c r="I72" s="362">
        <v>60000</v>
      </c>
      <c r="J72" s="363">
        <v>60000</v>
      </c>
      <c r="K72" s="363">
        <v>60000</v>
      </c>
      <c r="L72" s="363">
        <v>60000</v>
      </c>
      <c r="M72" s="363">
        <v>60000</v>
      </c>
      <c r="N72" s="363">
        <v>60000</v>
      </c>
      <c r="O72" s="363">
        <v>60000</v>
      </c>
      <c r="P72" s="363">
        <v>60000</v>
      </c>
      <c r="Q72" s="363"/>
      <c r="R72" s="363">
        <v>60000</v>
      </c>
      <c r="S72" s="363">
        <v>60000</v>
      </c>
      <c r="T72" s="363">
        <v>60000</v>
      </c>
      <c r="U72" s="363">
        <v>60000</v>
      </c>
      <c r="V72" s="363">
        <v>60000</v>
      </c>
      <c r="W72" s="363">
        <v>50000</v>
      </c>
      <c r="X72" s="363">
        <v>50000</v>
      </c>
      <c r="Y72" s="363">
        <v>40000</v>
      </c>
      <c r="Z72" s="363">
        <v>40000</v>
      </c>
      <c r="AA72" s="363">
        <v>40000</v>
      </c>
      <c r="AB72" s="354">
        <f t="shared" si="10"/>
        <v>1000000</v>
      </c>
      <c r="AC72" s="364">
        <f t="shared" si="9"/>
        <v>500000</v>
      </c>
    </row>
    <row r="73" customHeight="1" spans="1:29">
      <c r="A73" s="356"/>
      <c r="B73" s="380"/>
      <c r="C73" s="381"/>
      <c r="D73" s="359" t="s">
        <v>2625</v>
      </c>
      <c r="E73" s="360" t="s">
        <v>2626</v>
      </c>
      <c r="F73" s="351">
        <v>0</v>
      </c>
      <c r="G73" s="361">
        <v>120</v>
      </c>
      <c r="H73" s="351">
        <f t="shared" si="8"/>
        <v>0</v>
      </c>
      <c r="I73" s="362">
        <v>3600000</v>
      </c>
      <c r="J73" s="363">
        <v>3600000</v>
      </c>
      <c r="K73" s="363">
        <v>3600000</v>
      </c>
      <c r="L73" s="363">
        <v>3600000</v>
      </c>
      <c r="M73" s="363">
        <v>3600000</v>
      </c>
      <c r="N73" s="363">
        <v>3600000</v>
      </c>
      <c r="O73" s="363">
        <v>3600000</v>
      </c>
      <c r="P73" s="363">
        <v>3600000</v>
      </c>
      <c r="Q73" s="363"/>
      <c r="R73" s="363">
        <v>3600000</v>
      </c>
      <c r="S73" s="363">
        <v>3600000</v>
      </c>
      <c r="T73" s="363">
        <v>3600000</v>
      </c>
      <c r="U73" s="363">
        <v>3600000</v>
      </c>
      <c r="V73" s="363">
        <v>3600000</v>
      </c>
      <c r="W73" s="363">
        <v>3000000</v>
      </c>
      <c r="X73" s="363">
        <v>3000000</v>
      </c>
      <c r="Y73" s="363">
        <v>2400000</v>
      </c>
      <c r="Z73" s="363">
        <v>2400000</v>
      </c>
      <c r="AA73" s="363">
        <v>2400000</v>
      </c>
      <c r="AB73" s="354">
        <f t="shared" si="10"/>
        <v>60000000</v>
      </c>
      <c r="AC73" s="364">
        <f t="shared" si="9"/>
        <v>500000</v>
      </c>
    </row>
    <row r="74" customHeight="1" spans="1:29">
      <c r="A74" s="356"/>
      <c r="B74" s="380"/>
      <c r="C74" s="381"/>
      <c r="D74" s="359" t="s">
        <v>2627</v>
      </c>
      <c r="E74" s="360" t="s">
        <v>2628</v>
      </c>
      <c r="F74" s="351">
        <v>0</v>
      </c>
      <c r="G74" s="361">
        <v>1</v>
      </c>
      <c r="H74" s="351">
        <f t="shared" si="8"/>
        <v>0</v>
      </c>
      <c r="I74" s="362">
        <v>30000</v>
      </c>
      <c r="J74" s="363">
        <v>30000</v>
      </c>
      <c r="K74" s="363">
        <v>30000</v>
      </c>
      <c r="L74" s="363">
        <v>30000</v>
      </c>
      <c r="M74" s="363">
        <v>30000</v>
      </c>
      <c r="N74" s="363">
        <v>30000</v>
      </c>
      <c r="O74" s="363">
        <v>30000</v>
      </c>
      <c r="P74" s="363">
        <v>30000</v>
      </c>
      <c r="Q74" s="363"/>
      <c r="R74" s="363">
        <v>30000</v>
      </c>
      <c r="S74" s="363">
        <v>30000</v>
      </c>
      <c r="T74" s="363">
        <v>30000</v>
      </c>
      <c r="U74" s="363">
        <v>30000</v>
      </c>
      <c r="V74" s="363">
        <v>30000</v>
      </c>
      <c r="W74" s="363">
        <v>25000</v>
      </c>
      <c r="X74" s="363">
        <v>25000</v>
      </c>
      <c r="Y74" s="363">
        <v>20000</v>
      </c>
      <c r="Z74" s="363">
        <v>20000</v>
      </c>
      <c r="AA74" s="363">
        <v>20000</v>
      </c>
      <c r="AB74" s="354">
        <f t="shared" si="10"/>
        <v>500000</v>
      </c>
      <c r="AC74" s="364">
        <f t="shared" si="9"/>
        <v>500000</v>
      </c>
    </row>
    <row r="75" customHeight="1" spans="1:29">
      <c r="A75" s="356"/>
      <c r="B75" s="386"/>
      <c r="C75" s="387"/>
      <c r="D75" s="371" t="s">
        <v>2629</v>
      </c>
      <c r="E75" s="372"/>
      <c r="F75" s="373">
        <v>0</v>
      </c>
      <c r="G75" s="374">
        <v>1</v>
      </c>
      <c r="H75" s="373">
        <f t="shared" si="8"/>
        <v>0</v>
      </c>
      <c r="I75" s="375">
        <v>30000</v>
      </c>
      <c r="J75" s="375">
        <v>30000</v>
      </c>
      <c r="K75" s="375">
        <v>30000</v>
      </c>
      <c r="L75" s="375">
        <v>30000</v>
      </c>
      <c r="M75" s="375">
        <v>30000</v>
      </c>
      <c r="N75" s="375">
        <v>30000</v>
      </c>
      <c r="O75" s="375">
        <v>30000</v>
      </c>
      <c r="P75" s="375">
        <v>30000</v>
      </c>
      <c r="Q75" s="375"/>
      <c r="R75" s="375">
        <v>30000</v>
      </c>
      <c r="S75" s="375">
        <v>30000</v>
      </c>
      <c r="T75" s="375">
        <v>30000</v>
      </c>
      <c r="U75" s="376">
        <v>30000</v>
      </c>
      <c r="V75" s="376">
        <v>30000</v>
      </c>
      <c r="W75" s="376">
        <v>25000</v>
      </c>
      <c r="X75" s="376">
        <v>25000</v>
      </c>
      <c r="Y75" s="376">
        <v>20000</v>
      </c>
      <c r="Z75" s="375">
        <v>20000</v>
      </c>
      <c r="AA75" s="375">
        <v>20000</v>
      </c>
      <c r="AB75" s="354">
        <f t="shared" si="10"/>
        <v>500000</v>
      </c>
      <c r="AC75" s="377">
        <f t="shared" si="9"/>
        <v>500000</v>
      </c>
    </row>
    <row r="76" customHeight="1" spans="1:29">
      <c r="A76" s="356"/>
      <c r="B76" s="388" t="s">
        <v>2660</v>
      </c>
      <c r="C76" s="381">
        <v>1</v>
      </c>
      <c r="D76" s="382" t="s">
        <v>2661</v>
      </c>
      <c r="E76" s="383"/>
      <c r="F76" s="389">
        <v>800</v>
      </c>
      <c r="G76" s="390">
        <v>0.16274</v>
      </c>
      <c r="H76" s="378">
        <f t="shared" si="8"/>
        <v>4915.81664003933</v>
      </c>
      <c r="I76" s="363">
        <v>4882.2</v>
      </c>
      <c r="J76" s="363">
        <v>4883</v>
      </c>
      <c r="K76" s="363">
        <v>4882</v>
      </c>
      <c r="L76" s="363">
        <v>5696</v>
      </c>
      <c r="M76" s="363">
        <v>6184</v>
      </c>
      <c r="N76" s="363">
        <v>7323</v>
      </c>
      <c r="O76" s="363">
        <v>4882</v>
      </c>
      <c r="P76" s="363">
        <v>4883</v>
      </c>
      <c r="Q76" s="363"/>
      <c r="R76" s="363">
        <v>4882</v>
      </c>
      <c r="S76" s="363">
        <v>4882</v>
      </c>
      <c r="T76" s="363">
        <v>4882</v>
      </c>
      <c r="U76" s="363">
        <v>4882</v>
      </c>
      <c r="V76" s="363">
        <v>4883</v>
      </c>
      <c r="W76" s="363">
        <v>4068</v>
      </c>
      <c r="X76" s="363">
        <v>4882</v>
      </c>
      <c r="Y76" s="363">
        <v>3255</v>
      </c>
      <c r="Z76" s="363">
        <v>3255</v>
      </c>
      <c r="AA76" s="363">
        <v>3255</v>
      </c>
      <c r="AB76" s="354">
        <f t="shared" si="10"/>
        <v>86741.2</v>
      </c>
      <c r="AC76" s="364">
        <f t="shared" si="9"/>
        <v>533000</v>
      </c>
    </row>
    <row r="77" customHeight="1" spans="1:29">
      <c r="A77" s="356"/>
      <c r="B77" s="388"/>
      <c r="C77" s="381"/>
      <c r="D77" s="359" t="s">
        <v>2662</v>
      </c>
      <c r="E77" s="360"/>
      <c r="F77" s="351">
        <v>0</v>
      </c>
      <c r="G77" s="361">
        <v>0.087653</v>
      </c>
      <c r="H77" s="351">
        <f t="shared" si="8"/>
        <v>0</v>
      </c>
      <c r="I77" s="363">
        <v>2629.59</v>
      </c>
      <c r="J77" s="363">
        <v>2630</v>
      </c>
      <c r="K77" s="363">
        <v>2630</v>
      </c>
      <c r="L77" s="363">
        <v>3068</v>
      </c>
      <c r="M77" s="363">
        <v>3330</v>
      </c>
      <c r="N77" s="363">
        <v>3945</v>
      </c>
      <c r="O77" s="363">
        <v>2629</v>
      </c>
      <c r="P77" s="363">
        <v>2630</v>
      </c>
      <c r="Q77" s="363"/>
      <c r="R77" s="363">
        <v>2630</v>
      </c>
      <c r="S77" s="363">
        <v>2629</v>
      </c>
      <c r="T77" s="363">
        <v>2630</v>
      </c>
      <c r="U77" s="363">
        <v>2629</v>
      </c>
      <c r="V77" s="363">
        <v>2630</v>
      </c>
      <c r="W77" s="363">
        <v>2191</v>
      </c>
      <c r="X77" s="363"/>
      <c r="Y77" s="363">
        <v>1753</v>
      </c>
      <c r="Z77" s="363">
        <v>1753</v>
      </c>
      <c r="AA77" s="363">
        <v>1753</v>
      </c>
      <c r="AB77" s="354">
        <f t="shared" si="10"/>
        <v>44089.59</v>
      </c>
      <c r="AC77" s="364">
        <f t="shared" si="9"/>
        <v>503000</v>
      </c>
    </row>
    <row r="78" customHeight="1" spans="1:29">
      <c r="A78" s="356"/>
      <c r="B78" s="388"/>
      <c r="C78" s="381"/>
      <c r="D78" s="365" t="s">
        <v>2663</v>
      </c>
      <c r="E78" s="360"/>
      <c r="F78" s="351">
        <v>500</v>
      </c>
      <c r="G78" s="361">
        <v>0.060358</v>
      </c>
      <c r="H78" s="351">
        <f t="shared" si="8"/>
        <v>8283.90602737003</v>
      </c>
      <c r="I78" s="362">
        <v>1810.74</v>
      </c>
      <c r="J78" s="363">
        <v>1811</v>
      </c>
      <c r="K78" s="363">
        <v>1811</v>
      </c>
      <c r="L78" s="363">
        <v>2113</v>
      </c>
      <c r="M78" s="363">
        <v>2293</v>
      </c>
      <c r="N78" s="363">
        <v>2716</v>
      </c>
      <c r="O78" s="363">
        <v>1811</v>
      </c>
      <c r="P78" s="363">
        <v>1811</v>
      </c>
      <c r="Q78" s="363"/>
      <c r="R78" s="363"/>
      <c r="S78" s="363"/>
      <c r="T78" s="363"/>
      <c r="U78" s="363"/>
      <c r="V78" s="363"/>
      <c r="W78" s="363">
        <v>-1</v>
      </c>
      <c r="X78" s="363"/>
      <c r="Y78" s="363"/>
      <c r="Z78" s="363"/>
      <c r="AA78" s="363"/>
      <c r="AB78" s="354">
        <f t="shared" si="10"/>
        <v>16175.74</v>
      </c>
      <c r="AC78" s="364">
        <f t="shared" si="9"/>
        <v>268000</v>
      </c>
    </row>
    <row r="79" customHeight="1" spans="1:29">
      <c r="A79" s="356"/>
      <c r="B79" s="388"/>
      <c r="C79" s="381"/>
      <c r="D79" s="366" t="s">
        <v>2664</v>
      </c>
      <c r="E79" s="366"/>
      <c r="F79" s="351">
        <v>500</v>
      </c>
      <c r="G79" s="361">
        <v>0.0849</v>
      </c>
      <c r="H79" s="351">
        <v>5889.28150765607</v>
      </c>
      <c r="I79" s="362"/>
      <c r="J79" s="363"/>
      <c r="K79" s="363"/>
      <c r="L79" s="363"/>
      <c r="M79" s="363"/>
      <c r="N79" s="363"/>
      <c r="O79" s="363"/>
      <c r="P79" s="363"/>
      <c r="Q79" s="363">
        <v>2547</v>
      </c>
      <c r="R79" s="363">
        <v>0</v>
      </c>
      <c r="S79" s="363">
        <v>2547</v>
      </c>
      <c r="T79" s="363">
        <v>2547</v>
      </c>
      <c r="U79" s="363">
        <v>2547</v>
      </c>
      <c r="V79" s="363">
        <v>2547</v>
      </c>
      <c r="W79" s="363">
        <v>2123</v>
      </c>
      <c r="X79" s="363">
        <v>2547</v>
      </c>
      <c r="Y79" s="363">
        <v>1698</v>
      </c>
      <c r="Z79" s="363">
        <v>1698</v>
      </c>
      <c r="AA79" s="363">
        <v>1698</v>
      </c>
      <c r="AB79" s="354">
        <f t="shared" si="10"/>
        <v>22499</v>
      </c>
      <c r="AC79" s="364">
        <f t="shared" si="9"/>
        <v>265010</v>
      </c>
    </row>
    <row r="80" customHeight="1" spans="1:29">
      <c r="A80" s="356"/>
      <c r="B80" s="388"/>
      <c r="C80" s="381"/>
      <c r="D80" s="359" t="s">
        <v>2665</v>
      </c>
      <c r="E80" s="360"/>
      <c r="F80" s="351">
        <v>0</v>
      </c>
      <c r="G80" s="361">
        <v>0.015141</v>
      </c>
      <c r="H80" s="351">
        <f t="shared" ref="H80:H96" si="11">F80/G80</f>
        <v>0</v>
      </c>
      <c r="I80" s="362">
        <v>454.23</v>
      </c>
      <c r="J80" s="363">
        <v>455</v>
      </c>
      <c r="K80" s="363">
        <v>454</v>
      </c>
      <c r="L80" s="363">
        <v>530</v>
      </c>
      <c r="M80" s="363">
        <v>575</v>
      </c>
      <c r="N80" s="363">
        <v>682</v>
      </c>
      <c r="O80" s="363">
        <v>454</v>
      </c>
      <c r="P80" s="363">
        <v>454</v>
      </c>
      <c r="Q80" s="363"/>
      <c r="R80" s="363">
        <v>454</v>
      </c>
      <c r="S80" s="363">
        <v>455</v>
      </c>
      <c r="T80" s="363">
        <v>454</v>
      </c>
      <c r="U80" s="363">
        <v>454</v>
      </c>
      <c r="V80" s="363">
        <v>454</v>
      </c>
      <c r="W80" s="363">
        <v>379</v>
      </c>
      <c r="X80" s="363">
        <v>454</v>
      </c>
      <c r="Y80" s="363">
        <v>303</v>
      </c>
      <c r="Z80" s="363">
        <v>303</v>
      </c>
      <c r="AA80" s="363">
        <v>302</v>
      </c>
      <c r="AB80" s="354">
        <f t="shared" si="10"/>
        <v>8070.23</v>
      </c>
      <c r="AC80" s="364">
        <f t="shared" si="9"/>
        <v>533010</v>
      </c>
    </row>
    <row r="81" customHeight="1" spans="1:29">
      <c r="A81" s="356"/>
      <c r="B81" s="388"/>
      <c r="C81" s="381"/>
      <c r="D81" s="359" t="s">
        <v>2666</v>
      </c>
      <c r="E81" s="360"/>
      <c r="F81" s="351">
        <v>300</v>
      </c>
      <c r="G81" s="361">
        <v>0.015141</v>
      </c>
      <c r="H81" s="351">
        <f t="shared" si="11"/>
        <v>19813.7507430157</v>
      </c>
      <c r="I81" s="362">
        <v>454.23</v>
      </c>
      <c r="J81" s="363">
        <v>455</v>
      </c>
      <c r="K81" s="363">
        <v>454</v>
      </c>
      <c r="L81" s="363">
        <v>530</v>
      </c>
      <c r="M81" s="363">
        <v>575</v>
      </c>
      <c r="N81" s="363">
        <v>682</v>
      </c>
      <c r="O81" s="363">
        <v>454</v>
      </c>
      <c r="P81" s="363">
        <v>454</v>
      </c>
      <c r="Q81" s="363"/>
      <c r="R81" s="363">
        <v>454</v>
      </c>
      <c r="S81" s="363">
        <v>455</v>
      </c>
      <c r="T81" s="363">
        <v>454</v>
      </c>
      <c r="U81" s="363">
        <v>454</v>
      </c>
      <c r="V81" s="363">
        <v>454</v>
      </c>
      <c r="W81" s="363">
        <v>379</v>
      </c>
      <c r="X81" s="363">
        <v>454</v>
      </c>
      <c r="Y81" s="363">
        <v>303</v>
      </c>
      <c r="Z81" s="363">
        <v>303</v>
      </c>
      <c r="AA81" s="363">
        <v>302</v>
      </c>
      <c r="AB81" s="354">
        <f t="shared" si="10"/>
        <v>8070.23</v>
      </c>
      <c r="AC81" s="364">
        <f t="shared" si="9"/>
        <v>533010</v>
      </c>
    </row>
    <row r="82" customHeight="1" spans="1:29">
      <c r="A82" s="356"/>
      <c r="B82" s="388"/>
      <c r="C82" s="381"/>
      <c r="D82" s="359" t="s">
        <v>2667</v>
      </c>
      <c r="E82" s="360" t="s">
        <v>2648</v>
      </c>
      <c r="F82" s="351">
        <v>0</v>
      </c>
      <c r="G82" s="361">
        <v>0.00103</v>
      </c>
      <c r="H82" s="351">
        <f t="shared" si="11"/>
        <v>0</v>
      </c>
      <c r="I82" s="362">
        <v>30.9</v>
      </c>
      <c r="J82" s="363">
        <v>31</v>
      </c>
      <c r="K82" s="363">
        <v>31</v>
      </c>
      <c r="L82" s="363">
        <v>36</v>
      </c>
      <c r="M82" s="363">
        <v>39</v>
      </c>
      <c r="N82" s="363">
        <v>47</v>
      </c>
      <c r="O82" s="363">
        <v>31</v>
      </c>
      <c r="P82" s="363">
        <v>31</v>
      </c>
      <c r="Q82" s="363"/>
      <c r="R82" s="363">
        <v>31</v>
      </c>
      <c r="S82" s="363">
        <v>30</v>
      </c>
      <c r="T82" s="363">
        <v>31</v>
      </c>
      <c r="U82" s="363">
        <v>31</v>
      </c>
      <c r="V82" s="363">
        <v>31</v>
      </c>
      <c r="W82" s="363">
        <v>26</v>
      </c>
      <c r="X82" s="363">
        <v>31</v>
      </c>
      <c r="Y82" s="363">
        <v>20</v>
      </c>
      <c r="Z82" s="363">
        <v>21</v>
      </c>
      <c r="AA82" s="363">
        <v>21</v>
      </c>
      <c r="AB82" s="354">
        <f t="shared" si="10"/>
        <v>549.9</v>
      </c>
      <c r="AC82" s="364">
        <f t="shared" si="9"/>
        <v>533880</v>
      </c>
    </row>
    <row r="83" customHeight="1" spans="1:29">
      <c r="A83" s="356"/>
      <c r="B83" s="388"/>
      <c r="C83" s="381"/>
      <c r="D83" s="359" t="s">
        <v>2613</v>
      </c>
      <c r="E83" s="360" t="s">
        <v>2614</v>
      </c>
      <c r="F83" s="351">
        <v>0</v>
      </c>
      <c r="G83" s="361">
        <v>0.004429</v>
      </c>
      <c r="H83" s="351">
        <f t="shared" si="11"/>
        <v>0</v>
      </c>
      <c r="I83" s="362">
        <v>132.87</v>
      </c>
      <c r="J83" s="363">
        <v>133</v>
      </c>
      <c r="K83" s="363">
        <v>133</v>
      </c>
      <c r="L83" s="363">
        <v>155</v>
      </c>
      <c r="M83" s="363">
        <v>169</v>
      </c>
      <c r="N83" s="363">
        <v>199</v>
      </c>
      <c r="O83" s="363">
        <v>133</v>
      </c>
      <c r="P83" s="363">
        <v>133</v>
      </c>
      <c r="Q83" s="363"/>
      <c r="R83" s="363">
        <v>132</v>
      </c>
      <c r="S83" s="363">
        <v>133</v>
      </c>
      <c r="T83" s="363">
        <v>133</v>
      </c>
      <c r="U83" s="363">
        <v>133</v>
      </c>
      <c r="V83" s="363">
        <v>133</v>
      </c>
      <c r="W83" s="363">
        <v>111</v>
      </c>
      <c r="X83" s="363">
        <v>133</v>
      </c>
      <c r="Y83" s="363">
        <v>88</v>
      </c>
      <c r="Z83" s="363">
        <v>89</v>
      </c>
      <c r="AA83" s="363">
        <v>88</v>
      </c>
      <c r="AB83" s="354">
        <f t="shared" si="10"/>
        <v>2360.87</v>
      </c>
      <c r="AC83" s="364">
        <f t="shared" si="9"/>
        <v>533050</v>
      </c>
    </row>
    <row r="84" customHeight="1" spans="1:29">
      <c r="A84" s="356"/>
      <c r="B84" s="388"/>
      <c r="C84" s="381"/>
      <c r="D84" s="359" t="s">
        <v>2647</v>
      </c>
      <c r="E84" s="360" t="s">
        <v>2648</v>
      </c>
      <c r="F84" s="351">
        <v>0</v>
      </c>
      <c r="G84" s="361">
        <v>0.017819</v>
      </c>
      <c r="H84" s="351">
        <f t="shared" si="11"/>
        <v>0</v>
      </c>
      <c r="I84" s="362">
        <v>534.57</v>
      </c>
      <c r="J84" s="363">
        <v>535</v>
      </c>
      <c r="K84" s="363">
        <v>535</v>
      </c>
      <c r="L84" s="363">
        <v>624</v>
      </c>
      <c r="M84" s="363">
        <v>676</v>
      </c>
      <c r="N84" s="363">
        <v>802</v>
      </c>
      <c r="O84" s="363">
        <v>535</v>
      </c>
      <c r="P84" s="363">
        <v>534</v>
      </c>
      <c r="Q84" s="363"/>
      <c r="R84" s="363">
        <v>535</v>
      </c>
      <c r="S84" s="363">
        <v>535</v>
      </c>
      <c r="T84" s="363">
        <v>534</v>
      </c>
      <c r="U84" s="363">
        <v>535</v>
      </c>
      <c r="V84" s="363">
        <v>534</v>
      </c>
      <c r="W84" s="363">
        <v>446</v>
      </c>
      <c r="X84" s="363">
        <v>534</v>
      </c>
      <c r="Y84" s="363">
        <v>357</v>
      </c>
      <c r="Z84" s="363">
        <v>356</v>
      </c>
      <c r="AA84" s="363">
        <v>356</v>
      </c>
      <c r="AB84" s="354">
        <f t="shared" si="10"/>
        <v>9497.57</v>
      </c>
      <c r="AC84" s="364">
        <f t="shared" si="9"/>
        <v>533000</v>
      </c>
    </row>
    <row r="85" customHeight="1" spans="1:29">
      <c r="A85" s="356"/>
      <c r="B85" s="388"/>
      <c r="C85" s="381"/>
      <c r="D85" s="359" t="s">
        <v>2668</v>
      </c>
      <c r="E85" s="360"/>
      <c r="F85" s="351">
        <v>500</v>
      </c>
      <c r="G85" s="361">
        <v>0.061079</v>
      </c>
      <c r="H85" s="351">
        <f t="shared" si="11"/>
        <v>8186.11961557982</v>
      </c>
      <c r="I85" s="362">
        <v>1832.37</v>
      </c>
      <c r="J85" s="363">
        <v>1833</v>
      </c>
      <c r="K85" s="363">
        <v>1832</v>
      </c>
      <c r="L85" s="363">
        <v>2138</v>
      </c>
      <c r="M85" s="363">
        <v>2321</v>
      </c>
      <c r="N85" s="363">
        <v>2749</v>
      </c>
      <c r="O85" s="363">
        <v>1832</v>
      </c>
      <c r="P85" s="363">
        <v>1832</v>
      </c>
      <c r="Q85" s="363"/>
      <c r="R85" s="363">
        <v>1833</v>
      </c>
      <c r="S85" s="363">
        <v>1832</v>
      </c>
      <c r="T85" s="363">
        <v>1832</v>
      </c>
      <c r="U85" s="363">
        <v>1833</v>
      </c>
      <c r="V85" s="363">
        <v>1832</v>
      </c>
      <c r="W85" s="363">
        <v>1527</v>
      </c>
      <c r="X85" s="363">
        <v>1832</v>
      </c>
      <c r="Y85" s="363">
        <v>1222</v>
      </c>
      <c r="Z85" s="363">
        <v>1222</v>
      </c>
      <c r="AA85" s="363">
        <v>1221</v>
      </c>
      <c r="AB85" s="354">
        <f t="shared" si="10"/>
        <v>32555.37</v>
      </c>
      <c r="AC85" s="364">
        <f t="shared" si="9"/>
        <v>533000</v>
      </c>
    </row>
    <row r="86" customHeight="1" spans="1:29">
      <c r="A86" s="356"/>
      <c r="B86" s="388"/>
      <c r="C86" s="381"/>
      <c r="D86" s="359" t="s">
        <v>2616</v>
      </c>
      <c r="E86" s="360" t="s">
        <v>2617</v>
      </c>
      <c r="F86" s="351">
        <v>0</v>
      </c>
      <c r="G86" s="361">
        <v>0.023896</v>
      </c>
      <c r="H86" s="351">
        <f t="shared" si="11"/>
        <v>0</v>
      </c>
      <c r="I86" s="362">
        <v>716.88</v>
      </c>
      <c r="J86" s="363">
        <v>717</v>
      </c>
      <c r="K86" s="363">
        <v>717</v>
      </c>
      <c r="L86" s="363">
        <v>837</v>
      </c>
      <c r="M86" s="363">
        <v>908</v>
      </c>
      <c r="N86" s="363">
        <v>1075</v>
      </c>
      <c r="O86" s="363">
        <v>717</v>
      </c>
      <c r="P86" s="363">
        <v>717</v>
      </c>
      <c r="Q86" s="363"/>
      <c r="R86" s="363">
        <v>717</v>
      </c>
      <c r="S86" s="363">
        <v>717</v>
      </c>
      <c r="T86" s="363">
        <v>716</v>
      </c>
      <c r="U86" s="363">
        <v>717</v>
      </c>
      <c r="V86" s="363">
        <v>717</v>
      </c>
      <c r="W86" s="363">
        <v>598</v>
      </c>
      <c r="X86" s="363">
        <v>716</v>
      </c>
      <c r="Y86" s="363">
        <v>478</v>
      </c>
      <c r="Z86" s="363">
        <v>478</v>
      </c>
      <c r="AA86" s="363">
        <v>478</v>
      </c>
      <c r="AB86" s="354">
        <f t="shared" si="10"/>
        <v>12736.88</v>
      </c>
      <c r="AC86" s="364">
        <f t="shared" si="9"/>
        <v>533010</v>
      </c>
    </row>
    <row r="87" customHeight="1" spans="1:29">
      <c r="A87" s="356"/>
      <c r="B87" s="388"/>
      <c r="C87" s="381"/>
      <c r="D87" s="359" t="s">
        <v>2669</v>
      </c>
      <c r="E87" s="360"/>
      <c r="F87" s="351">
        <v>300</v>
      </c>
      <c r="G87" s="361">
        <v>0.001957</v>
      </c>
      <c r="H87" s="351">
        <f t="shared" si="11"/>
        <v>153295.861011753</v>
      </c>
      <c r="I87" s="367">
        <v>300</v>
      </c>
      <c r="J87" s="368"/>
      <c r="K87" s="368"/>
      <c r="L87" s="368"/>
      <c r="M87" s="368">
        <v>300</v>
      </c>
      <c r="N87" s="368"/>
      <c r="O87" s="368"/>
      <c r="P87" s="368"/>
      <c r="Q87" s="368"/>
      <c r="R87" s="368"/>
      <c r="S87" s="368">
        <v>42</v>
      </c>
      <c r="T87" s="368">
        <v>59</v>
      </c>
      <c r="U87" s="368">
        <v>59</v>
      </c>
      <c r="V87" s="368">
        <v>59</v>
      </c>
      <c r="W87" s="368">
        <v>48</v>
      </c>
      <c r="X87" s="368">
        <v>59</v>
      </c>
      <c r="Y87" s="368">
        <v>39</v>
      </c>
      <c r="Z87" s="368">
        <v>39</v>
      </c>
      <c r="AA87" s="368">
        <v>40</v>
      </c>
      <c r="AB87" s="354">
        <f t="shared" si="10"/>
        <v>1044</v>
      </c>
      <c r="AC87" s="364">
        <f t="shared" si="9"/>
        <v>533470</v>
      </c>
    </row>
    <row r="88" customHeight="1" spans="1:29">
      <c r="A88" s="356"/>
      <c r="B88" s="388"/>
      <c r="C88" s="381"/>
      <c r="D88" s="359" t="s">
        <v>2619</v>
      </c>
      <c r="E88" s="360" t="s">
        <v>2620</v>
      </c>
      <c r="F88" s="351">
        <v>0</v>
      </c>
      <c r="G88" s="361">
        <v>4.635</v>
      </c>
      <c r="H88" s="351">
        <f t="shared" si="11"/>
        <v>0</v>
      </c>
      <c r="I88" s="362">
        <v>139050</v>
      </c>
      <c r="J88" s="363">
        <v>139050</v>
      </c>
      <c r="K88" s="363">
        <v>139050</v>
      </c>
      <c r="L88" s="363">
        <v>162225</v>
      </c>
      <c r="M88" s="363">
        <v>176130</v>
      </c>
      <c r="N88" s="363">
        <v>208575</v>
      </c>
      <c r="O88" s="363">
        <v>139050</v>
      </c>
      <c r="P88" s="363">
        <v>139050</v>
      </c>
      <c r="Q88" s="363"/>
      <c r="R88" s="363">
        <v>139050</v>
      </c>
      <c r="S88" s="363">
        <v>139050</v>
      </c>
      <c r="T88" s="363">
        <v>139050</v>
      </c>
      <c r="U88" s="363">
        <v>139050</v>
      </c>
      <c r="V88" s="363">
        <v>139050</v>
      </c>
      <c r="W88" s="363">
        <v>115875</v>
      </c>
      <c r="X88" s="363">
        <v>139050</v>
      </c>
      <c r="Y88" s="363">
        <v>92700</v>
      </c>
      <c r="Z88" s="363">
        <v>92700</v>
      </c>
      <c r="AA88" s="363">
        <v>92700</v>
      </c>
      <c r="AB88" s="354">
        <f t="shared" si="10"/>
        <v>2470455</v>
      </c>
      <c r="AC88" s="364">
        <f t="shared" si="9"/>
        <v>533000</v>
      </c>
    </row>
    <row r="89" customHeight="1" spans="1:29">
      <c r="A89" s="356"/>
      <c r="B89" s="388"/>
      <c r="C89" s="381"/>
      <c r="D89" s="359" t="s">
        <v>2621</v>
      </c>
      <c r="E89" s="360" t="s">
        <v>2622</v>
      </c>
      <c r="F89" s="351">
        <v>0</v>
      </c>
      <c r="G89" s="361">
        <v>28.634</v>
      </c>
      <c r="H89" s="351">
        <f t="shared" si="11"/>
        <v>0</v>
      </c>
      <c r="I89" s="362">
        <v>859020</v>
      </c>
      <c r="J89" s="363">
        <v>859020</v>
      </c>
      <c r="K89" s="363">
        <v>859020</v>
      </c>
      <c r="L89" s="363">
        <v>1002190</v>
      </c>
      <c r="M89" s="363">
        <v>1088092</v>
      </c>
      <c r="N89" s="363">
        <v>1288530</v>
      </c>
      <c r="O89" s="363">
        <v>859020</v>
      </c>
      <c r="P89" s="363">
        <v>859020</v>
      </c>
      <c r="Q89" s="363"/>
      <c r="R89" s="363">
        <v>859020</v>
      </c>
      <c r="S89" s="363">
        <v>859020</v>
      </c>
      <c r="T89" s="363">
        <v>859020</v>
      </c>
      <c r="U89" s="363">
        <v>859020</v>
      </c>
      <c r="V89" s="363">
        <v>859020</v>
      </c>
      <c r="W89" s="363">
        <v>715850</v>
      </c>
      <c r="X89" s="363">
        <v>859020</v>
      </c>
      <c r="Y89" s="363">
        <v>572680</v>
      </c>
      <c r="Z89" s="363">
        <v>572680</v>
      </c>
      <c r="AA89" s="363">
        <v>572680</v>
      </c>
      <c r="AB89" s="354">
        <f t="shared" si="10"/>
        <v>15261922</v>
      </c>
      <c r="AC89" s="364">
        <f t="shared" si="9"/>
        <v>533000</v>
      </c>
    </row>
    <row r="90" customHeight="1" spans="1:29">
      <c r="A90" s="356"/>
      <c r="B90" s="388"/>
      <c r="C90" s="381"/>
      <c r="D90" s="359" t="s">
        <v>2623</v>
      </c>
      <c r="E90" s="360" t="s">
        <v>2624</v>
      </c>
      <c r="F90" s="351">
        <v>0</v>
      </c>
      <c r="G90" s="361">
        <v>2</v>
      </c>
      <c r="H90" s="351">
        <f t="shared" si="11"/>
        <v>0</v>
      </c>
      <c r="I90" s="362">
        <v>60000</v>
      </c>
      <c r="J90" s="363">
        <v>60000</v>
      </c>
      <c r="K90" s="363">
        <v>60000</v>
      </c>
      <c r="L90" s="363">
        <v>70000</v>
      </c>
      <c r="M90" s="363">
        <v>76000</v>
      </c>
      <c r="N90" s="363">
        <v>90000</v>
      </c>
      <c r="O90" s="363">
        <v>60000</v>
      </c>
      <c r="P90" s="363">
        <v>60000</v>
      </c>
      <c r="Q90" s="363"/>
      <c r="R90" s="363">
        <v>60000</v>
      </c>
      <c r="S90" s="363">
        <v>60000</v>
      </c>
      <c r="T90" s="363">
        <v>60000</v>
      </c>
      <c r="U90" s="363">
        <v>60000</v>
      </c>
      <c r="V90" s="363">
        <v>60000</v>
      </c>
      <c r="W90" s="363">
        <v>50000</v>
      </c>
      <c r="X90" s="363">
        <v>60000</v>
      </c>
      <c r="Y90" s="363">
        <v>40000</v>
      </c>
      <c r="Z90" s="363">
        <v>40000</v>
      </c>
      <c r="AA90" s="363">
        <v>40000</v>
      </c>
      <c r="AB90" s="354">
        <f t="shared" si="10"/>
        <v>1066000</v>
      </c>
      <c r="AC90" s="364">
        <f t="shared" si="9"/>
        <v>533000</v>
      </c>
    </row>
    <row r="91" customHeight="1" spans="1:29">
      <c r="A91" s="356"/>
      <c r="B91" s="388"/>
      <c r="C91" s="381"/>
      <c r="D91" s="359" t="s">
        <v>2625</v>
      </c>
      <c r="E91" s="360" t="s">
        <v>2626</v>
      </c>
      <c r="F91" s="351">
        <v>0</v>
      </c>
      <c r="G91" s="361">
        <v>120</v>
      </c>
      <c r="H91" s="351">
        <f t="shared" si="11"/>
        <v>0</v>
      </c>
      <c r="I91" s="362">
        <v>3600000</v>
      </c>
      <c r="J91" s="363">
        <v>3600000</v>
      </c>
      <c r="K91" s="363">
        <v>3600000</v>
      </c>
      <c r="L91" s="363">
        <v>4200000</v>
      </c>
      <c r="M91" s="363">
        <v>4560000</v>
      </c>
      <c r="N91" s="363">
        <v>5400000</v>
      </c>
      <c r="O91" s="363">
        <v>3600000</v>
      </c>
      <c r="P91" s="363">
        <v>3600000</v>
      </c>
      <c r="Q91" s="363"/>
      <c r="R91" s="363">
        <v>3600000</v>
      </c>
      <c r="S91" s="363">
        <v>3600000</v>
      </c>
      <c r="T91" s="363">
        <v>3600000</v>
      </c>
      <c r="U91" s="363">
        <v>3600000</v>
      </c>
      <c r="V91" s="363">
        <v>3600000</v>
      </c>
      <c r="W91" s="363">
        <v>3000000</v>
      </c>
      <c r="X91" s="363">
        <v>3600000</v>
      </c>
      <c r="Y91" s="363">
        <v>2400000</v>
      </c>
      <c r="Z91" s="363">
        <v>2400000</v>
      </c>
      <c r="AA91" s="363">
        <v>2400000</v>
      </c>
      <c r="AB91" s="354">
        <f t="shared" si="10"/>
        <v>63960000</v>
      </c>
      <c r="AC91" s="364">
        <f t="shared" si="9"/>
        <v>533000</v>
      </c>
    </row>
    <row r="92" customHeight="1" spans="1:29">
      <c r="A92" s="356"/>
      <c r="B92" s="388"/>
      <c r="C92" s="381"/>
      <c r="D92" s="359" t="s">
        <v>2627</v>
      </c>
      <c r="E92" s="360" t="s">
        <v>2628</v>
      </c>
      <c r="F92" s="351">
        <v>0</v>
      </c>
      <c r="G92" s="361">
        <v>1</v>
      </c>
      <c r="H92" s="351">
        <f t="shared" si="11"/>
        <v>0</v>
      </c>
      <c r="I92" s="362">
        <v>30000</v>
      </c>
      <c r="J92" s="363">
        <v>30000</v>
      </c>
      <c r="K92" s="363">
        <v>30000</v>
      </c>
      <c r="L92" s="363">
        <v>35000</v>
      </c>
      <c r="M92" s="363">
        <v>38000</v>
      </c>
      <c r="N92" s="363">
        <v>45000</v>
      </c>
      <c r="O92" s="363">
        <v>30000</v>
      </c>
      <c r="P92" s="363">
        <v>30000</v>
      </c>
      <c r="Q92" s="363"/>
      <c r="R92" s="363">
        <v>30000</v>
      </c>
      <c r="S92" s="363">
        <v>30000</v>
      </c>
      <c r="T92" s="363">
        <v>30000</v>
      </c>
      <c r="U92" s="363">
        <v>30000</v>
      </c>
      <c r="V92" s="363">
        <v>30000</v>
      </c>
      <c r="W92" s="363">
        <v>25000</v>
      </c>
      <c r="X92" s="363">
        <v>30000</v>
      </c>
      <c r="Y92" s="363">
        <v>20000</v>
      </c>
      <c r="Z92" s="363">
        <v>20000</v>
      </c>
      <c r="AA92" s="363">
        <v>20000</v>
      </c>
      <c r="AB92" s="354">
        <f t="shared" si="10"/>
        <v>533000</v>
      </c>
      <c r="AC92" s="364">
        <f t="shared" si="9"/>
        <v>533000</v>
      </c>
    </row>
    <row r="93" customHeight="1" spans="1:29">
      <c r="A93" s="356"/>
      <c r="B93" s="391"/>
      <c r="C93" s="387"/>
      <c r="D93" s="371" t="s">
        <v>2629</v>
      </c>
      <c r="E93" s="372"/>
      <c r="F93" s="373">
        <v>0</v>
      </c>
      <c r="G93" s="374">
        <v>1</v>
      </c>
      <c r="H93" s="373">
        <f t="shared" si="11"/>
        <v>0</v>
      </c>
      <c r="I93" s="375">
        <v>30000</v>
      </c>
      <c r="J93" s="375">
        <v>30000</v>
      </c>
      <c r="K93" s="375">
        <v>30000</v>
      </c>
      <c r="L93" s="375">
        <v>35000</v>
      </c>
      <c r="M93" s="375">
        <v>38000</v>
      </c>
      <c r="N93" s="375">
        <v>45000</v>
      </c>
      <c r="O93" s="375">
        <v>30000</v>
      </c>
      <c r="P93" s="375">
        <v>30000</v>
      </c>
      <c r="Q93" s="375"/>
      <c r="R93" s="375">
        <v>30000</v>
      </c>
      <c r="S93" s="375">
        <v>30000</v>
      </c>
      <c r="T93" s="375">
        <v>30000</v>
      </c>
      <c r="U93" s="376">
        <v>30000</v>
      </c>
      <c r="V93" s="376">
        <v>30000</v>
      </c>
      <c r="W93" s="376">
        <v>25000</v>
      </c>
      <c r="X93" s="376">
        <v>30000</v>
      </c>
      <c r="Y93" s="376">
        <v>20000</v>
      </c>
      <c r="Z93" s="375">
        <v>20000</v>
      </c>
      <c r="AA93" s="375">
        <v>20000</v>
      </c>
      <c r="AB93" s="354">
        <f t="shared" si="10"/>
        <v>533000</v>
      </c>
      <c r="AC93" s="377">
        <f t="shared" si="9"/>
        <v>533000</v>
      </c>
    </row>
    <row r="94" customHeight="1" spans="1:29">
      <c r="A94" s="356"/>
      <c r="B94" s="392" t="s">
        <v>2670</v>
      </c>
      <c r="C94" s="358">
        <v>1</v>
      </c>
      <c r="D94" s="382" t="s">
        <v>2671</v>
      </c>
      <c r="E94" s="383"/>
      <c r="F94" s="378">
        <v>800</v>
      </c>
      <c r="G94" s="384">
        <v>0.095172</v>
      </c>
      <c r="H94" s="378">
        <f t="shared" si="11"/>
        <v>8405.83364855209</v>
      </c>
      <c r="I94" s="363">
        <v>2855.16</v>
      </c>
      <c r="J94" s="363">
        <v>2856</v>
      </c>
      <c r="K94" s="363">
        <v>2855</v>
      </c>
      <c r="L94" s="363">
        <v>3521</v>
      </c>
      <c r="M94" s="363">
        <v>2855</v>
      </c>
      <c r="N94" s="363">
        <v>2856</v>
      </c>
      <c r="O94" s="363">
        <v>2855</v>
      </c>
      <c r="P94" s="363">
        <v>2855</v>
      </c>
      <c r="Q94" s="363"/>
      <c r="R94" s="363">
        <v>2855</v>
      </c>
      <c r="S94" s="363">
        <v>2855</v>
      </c>
      <c r="T94" s="363">
        <v>2855</v>
      </c>
      <c r="U94" s="363">
        <v>2855</v>
      </c>
      <c r="V94" s="363">
        <v>2856</v>
      </c>
      <c r="W94" s="363">
        <v>2379</v>
      </c>
      <c r="X94" s="363">
        <v>2379</v>
      </c>
      <c r="Y94" s="363">
        <v>1904</v>
      </c>
      <c r="Z94" s="363">
        <v>1903</v>
      </c>
      <c r="AA94" s="363">
        <v>1904</v>
      </c>
      <c r="AB94" s="354">
        <f t="shared" si="10"/>
        <v>48253.16</v>
      </c>
      <c r="AC94" s="364">
        <f t="shared" si="9"/>
        <v>507010</v>
      </c>
    </row>
    <row r="95" customHeight="1" spans="1:29">
      <c r="A95" s="356"/>
      <c r="B95" s="357"/>
      <c r="C95" s="358"/>
      <c r="D95" s="359" t="s">
        <v>2644</v>
      </c>
      <c r="E95" s="360"/>
      <c r="F95" s="351">
        <v>800</v>
      </c>
      <c r="G95" s="361">
        <v>0.087653</v>
      </c>
      <c r="H95" s="351">
        <f t="shared" si="11"/>
        <v>9126.89810959123</v>
      </c>
      <c r="I95" s="362">
        <v>2629.59</v>
      </c>
      <c r="J95" s="363">
        <v>2630</v>
      </c>
      <c r="K95" s="363">
        <v>2630</v>
      </c>
      <c r="L95" s="363">
        <v>3243</v>
      </c>
      <c r="M95" s="363">
        <v>2629</v>
      </c>
      <c r="N95" s="363">
        <v>2630</v>
      </c>
      <c r="O95" s="363">
        <v>2630</v>
      </c>
      <c r="P95" s="363">
        <v>2629</v>
      </c>
      <c r="Q95" s="363"/>
      <c r="R95" s="363">
        <v>2630</v>
      </c>
      <c r="S95" s="363">
        <v>2629</v>
      </c>
      <c r="T95" s="363">
        <v>2630</v>
      </c>
      <c r="U95" s="363">
        <v>2630</v>
      </c>
      <c r="V95" s="363">
        <v>2629</v>
      </c>
      <c r="W95" s="363">
        <v>2191</v>
      </c>
      <c r="X95" s="363">
        <v>2192</v>
      </c>
      <c r="Y95" s="363">
        <v>1753</v>
      </c>
      <c r="Z95" s="363">
        <v>1753</v>
      </c>
      <c r="AA95" s="363">
        <v>1753</v>
      </c>
      <c r="AB95" s="354">
        <f t="shared" si="10"/>
        <v>44440.59</v>
      </c>
      <c r="AC95" s="364">
        <f t="shared" si="9"/>
        <v>507010</v>
      </c>
    </row>
    <row r="96" customHeight="1" spans="1:29">
      <c r="A96" s="356"/>
      <c r="B96" s="357"/>
      <c r="C96" s="358"/>
      <c r="D96" s="365" t="s">
        <v>2672</v>
      </c>
      <c r="E96" s="360"/>
      <c r="F96" s="351">
        <v>500</v>
      </c>
      <c r="G96" s="361">
        <v>0.038316</v>
      </c>
      <c r="H96" s="351">
        <f t="shared" si="11"/>
        <v>13049.3788495668</v>
      </c>
      <c r="I96" s="362">
        <v>1149.48</v>
      </c>
      <c r="J96" s="363">
        <v>1150</v>
      </c>
      <c r="K96" s="363">
        <v>1150</v>
      </c>
      <c r="L96" s="363">
        <v>1418</v>
      </c>
      <c r="M96" s="363">
        <v>1149</v>
      </c>
      <c r="N96" s="363">
        <v>1149</v>
      </c>
      <c r="O96" s="363">
        <v>1150</v>
      </c>
      <c r="P96" s="363">
        <v>1149</v>
      </c>
      <c r="Q96" s="363"/>
      <c r="R96" s="363"/>
      <c r="S96" s="363"/>
      <c r="T96" s="363"/>
      <c r="U96" s="363"/>
      <c r="V96" s="363"/>
      <c r="W96" s="363"/>
      <c r="X96" s="363"/>
      <c r="Y96" s="363"/>
      <c r="Z96" s="363"/>
      <c r="AA96" s="363"/>
      <c r="AB96" s="354">
        <f t="shared" si="10"/>
        <v>9464.48</v>
      </c>
      <c r="AC96" s="364">
        <f t="shared" si="9"/>
        <v>247010</v>
      </c>
    </row>
    <row r="97" customHeight="1" spans="1:29">
      <c r="A97" s="356"/>
      <c r="B97" s="357"/>
      <c r="C97" s="358"/>
      <c r="D97" s="366" t="s">
        <v>2673</v>
      </c>
      <c r="E97" s="366"/>
      <c r="F97" s="351">
        <v>500</v>
      </c>
      <c r="G97" s="361">
        <v>0.0334</v>
      </c>
      <c r="H97" s="351">
        <v>14970.0598802395</v>
      </c>
      <c r="I97" s="362"/>
      <c r="J97" s="363"/>
      <c r="K97" s="363"/>
      <c r="L97" s="363"/>
      <c r="M97" s="363"/>
      <c r="N97" s="363"/>
      <c r="O97" s="363"/>
      <c r="P97" s="363"/>
      <c r="Q97" s="363">
        <v>1002</v>
      </c>
      <c r="R97" s="363">
        <v>0</v>
      </c>
      <c r="S97" s="363">
        <v>1002</v>
      </c>
      <c r="T97" s="363">
        <v>1002</v>
      </c>
      <c r="U97" s="363">
        <v>1002</v>
      </c>
      <c r="V97" s="363">
        <v>1002</v>
      </c>
      <c r="W97" s="363">
        <v>835</v>
      </c>
      <c r="X97" s="363">
        <v>835</v>
      </c>
      <c r="Y97" s="363">
        <v>668</v>
      </c>
      <c r="Z97" s="363">
        <v>668</v>
      </c>
      <c r="AA97" s="363">
        <v>668</v>
      </c>
      <c r="AB97" s="354">
        <f t="shared" si="10"/>
        <v>8684</v>
      </c>
      <c r="AC97" s="364">
        <f t="shared" si="9"/>
        <v>260000</v>
      </c>
    </row>
    <row r="98" customHeight="1" spans="1:29">
      <c r="A98" s="356"/>
      <c r="B98" s="357"/>
      <c r="C98" s="358"/>
      <c r="D98" s="359" t="s">
        <v>2647</v>
      </c>
      <c r="E98" s="360" t="s">
        <v>2648</v>
      </c>
      <c r="F98" s="351">
        <v>0</v>
      </c>
      <c r="G98" s="361">
        <v>0.015141</v>
      </c>
      <c r="H98" s="351">
        <f t="shared" ref="H98:H113" si="12">F98/G98</f>
        <v>0</v>
      </c>
      <c r="I98" s="362">
        <v>454.23</v>
      </c>
      <c r="J98" s="363">
        <v>455</v>
      </c>
      <c r="K98" s="363">
        <v>454</v>
      </c>
      <c r="L98" s="363">
        <v>560</v>
      </c>
      <c r="M98" s="363">
        <v>454</v>
      </c>
      <c r="N98" s="363">
        <v>455</v>
      </c>
      <c r="O98" s="363">
        <v>454</v>
      </c>
      <c r="P98" s="363">
        <v>454</v>
      </c>
      <c r="Q98" s="363"/>
      <c r="R98" s="363">
        <v>454</v>
      </c>
      <c r="S98" s="363">
        <v>455</v>
      </c>
      <c r="T98" s="363">
        <v>454</v>
      </c>
      <c r="U98" s="363">
        <v>454</v>
      </c>
      <c r="V98" s="363">
        <v>454</v>
      </c>
      <c r="W98" s="363">
        <v>379</v>
      </c>
      <c r="X98" s="363">
        <v>378</v>
      </c>
      <c r="Y98" s="363">
        <v>303</v>
      </c>
      <c r="Z98" s="363">
        <v>303</v>
      </c>
      <c r="AA98" s="363">
        <v>303</v>
      </c>
      <c r="AB98" s="354">
        <f t="shared" si="10"/>
        <v>7677.23</v>
      </c>
      <c r="AC98" s="364">
        <f t="shared" si="9"/>
        <v>507050</v>
      </c>
    </row>
    <row r="99" customHeight="1" spans="1:29">
      <c r="A99" s="356"/>
      <c r="B99" s="357"/>
      <c r="C99" s="358"/>
      <c r="D99" s="359" t="s">
        <v>2649</v>
      </c>
      <c r="E99" s="360"/>
      <c r="F99" s="351">
        <v>300</v>
      </c>
      <c r="G99" s="361">
        <v>0.025441</v>
      </c>
      <c r="H99" s="351">
        <f t="shared" si="12"/>
        <v>11791.9893085964</v>
      </c>
      <c r="I99" s="362">
        <v>763.23</v>
      </c>
      <c r="J99" s="363">
        <v>764</v>
      </c>
      <c r="K99" s="363">
        <v>763</v>
      </c>
      <c r="L99" s="363">
        <v>941</v>
      </c>
      <c r="M99" s="363">
        <v>764</v>
      </c>
      <c r="N99" s="363">
        <v>763</v>
      </c>
      <c r="O99" s="363">
        <v>763</v>
      </c>
      <c r="P99" s="363">
        <v>763</v>
      </c>
      <c r="Q99" s="363"/>
      <c r="R99" s="363">
        <v>763</v>
      </c>
      <c r="S99" s="363">
        <v>764</v>
      </c>
      <c r="T99" s="363">
        <v>763</v>
      </c>
      <c r="U99" s="363">
        <v>763</v>
      </c>
      <c r="V99" s="363">
        <v>763</v>
      </c>
      <c r="W99" s="363">
        <v>636</v>
      </c>
      <c r="X99" s="363">
        <v>636</v>
      </c>
      <c r="Y99" s="363">
        <v>509</v>
      </c>
      <c r="Z99" s="363">
        <v>509</v>
      </c>
      <c r="AA99" s="363">
        <v>509</v>
      </c>
      <c r="AB99" s="354">
        <f t="shared" si="10"/>
        <v>12899.23</v>
      </c>
      <c r="AC99" s="364">
        <f t="shared" si="9"/>
        <v>507030</v>
      </c>
    </row>
    <row r="100" customHeight="1" spans="1:29">
      <c r="A100" s="356"/>
      <c r="B100" s="357"/>
      <c r="C100" s="358"/>
      <c r="D100" s="359" t="s">
        <v>2674</v>
      </c>
      <c r="E100" s="360"/>
      <c r="F100" s="351">
        <v>300</v>
      </c>
      <c r="G100" s="361">
        <v>0.018952</v>
      </c>
      <c r="H100" s="351">
        <f t="shared" si="12"/>
        <v>15829.4639088223</v>
      </c>
      <c r="I100" s="362">
        <v>568.56</v>
      </c>
      <c r="J100" s="363">
        <v>569</v>
      </c>
      <c r="K100" s="363">
        <v>569</v>
      </c>
      <c r="L100" s="363">
        <v>701</v>
      </c>
      <c r="M100" s="363">
        <v>568</v>
      </c>
      <c r="N100" s="363">
        <v>569</v>
      </c>
      <c r="O100" s="363">
        <v>569</v>
      </c>
      <c r="P100" s="363">
        <v>568</v>
      </c>
      <c r="Q100" s="363"/>
      <c r="R100" s="363">
        <v>569</v>
      </c>
      <c r="S100" s="363">
        <v>568</v>
      </c>
      <c r="T100" s="363">
        <v>569</v>
      </c>
      <c r="U100" s="363">
        <v>568</v>
      </c>
      <c r="V100" s="363">
        <v>569</v>
      </c>
      <c r="W100" s="363">
        <v>474</v>
      </c>
      <c r="X100" s="363">
        <v>473</v>
      </c>
      <c r="Y100" s="363">
        <v>380</v>
      </c>
      <c r="Z100" s="363">
        <v>379</v>
      </c>
      <c r="AA100" s="363">
        <v>379</v>
      </c>
      <c r="AB100" s="354">
        <f t="shared" si="10"/>
        <v>9609.56</v>
      </c>
      <c r="AC100" s="364">
        <f t="shared" si="9"/>
        <v>507050</v>
      </c>
    </row>
    <row r="101" customHeight="1" spans="1:29">
      <c r="A101" s="356"/>
      <c r="B101" s="357"/>
      <c r="C101" s="358"/>
      <c r="D101" s="359" t="s">
        <v>2675</v>
      </c>
      <c r="E101" s="360"/>
      <c r="F101" s="351">
        <v>500</v>
      </c>
      <c r="G101" s="361">
        <v>0.003811</v>
      </c>
      <c r="H101" s="351">
        <f t="shared" si="12"/>
        <v>131199.160325374</v>
      </c>
      <c r="I101" s="367">
        <v>500</v>
      </c>
      <c r="J101" s="368"/>
      <c r="K101" s="368"/>
      <c r="L101" s="368"/>
      <c r="M101" s="368">
        <v>500</v>
      </c>
      <c r="N101" s="368"/>
      <c r="O101" s="368"/>
      <c r="P101" s="368"/>
      <c r="Q101" s="368"/>
      <c r="R101" s="368">
        <v>56</v>
      </c>
      <c r="S101" s="368">
        <v>114</v>
      </c>
      <c r="T101" s="368">
        <v>115</v>
      </c>
      <c r="U101" s="368">
        <v>114</v>
      </c>
      <c r="V101" s="368">
        <v>114</v>
      </c>
      <c r="W101" s="368">
        <v>96</v>
      </c>
      <c r="X101" s="368">
        <v>95</v>
      </c>
      <c r="Y101" s="368">
        <v>76</v>
      </c>
      <c r="Z101" s="368">
        <v>76</v>
      </c>
      <c r="AA101" s="368">
        <v>77</v>
      </c>
      <c r="AB101" s="354">
        <f t="shared" ref="AB101:AB124" si="13">SUM(I101:AA101)</f>
        <v>1933</v>
      </c>
      <c r="AC101" s="364">
        <f t="shared" si="9"/>
        <v>507220</v>
      </c>
    </row>
    <row r="102" customHeight="1" spans="1:29">
      <c r="A102" s="356"/>
      <c r="B102" s="357"/>
      <c r="C102" s="358"/>
      <c r="D102" s="359" t="s">
        <v>2676</v>
      </c>
      <c r="E102" s="360"/>
      <c r="F102" s="351">
        <v>500</v>
      </c>
      <c r="G102" s="361">
        <v>0.003811</v>
      </c>
      <c r="H102" s="351">
        <f t="shared" si="12"/>
        <v>131199.160325374</v>
      </c>
      <c r="I102" s="367">
        <v>500</v>
      </c>
      <c r="J102" s="368"/>
      <c r="K102" s="368"/>
      <c r="L102" s="368"/>
      <c r="M102" s="368">
        <v>500</v>
      </c>
      <c r="N102" s="368"/>
      <c r="O102" s="368"/>
      <c r="P102" s="368"/>
      <c r="Q102" s="368"/>
      <c r="R102" s="368">
        <v>56</v>
      </c>
      <c r="S102" s="368">
        <v>114</v>
      </c>
      <c r="T102" s="368">
        <v>115</v>
      </c>
      <c r="U102" s="368">
        <v>114</v>
      </c>
      <c r="V102" s="368">
        <v>114</v>
      </c>
      <c r="W102" s="368">
        <v>96</v>
      </c>
      <c r="X102" s="368">
        <v>95</v>
      </c>
      <c r="Y102" s="368">
        <v>76</v>
      </c>
      <c r="Z102" s="368">
        <v>76</v>
      </c>
      <c r="AA102" s="368">
        <v>77</v>
      </c>
      <c r="AB102" s="354">
        <f t="shared" si="13"/>
        <v>1933</v>
      </c>
      <c r="AC102" s="364">
        <f t="shared" si="9"/>
        <v>507220</v>
      </c>
    </row>
    <row r="103" customHeight="1" spans="1:29">
      <c r="A103" s="356"/>
      <c r="B103" s="357"/>
      <c r="C103" s="358"/>
      <c r="D103" s="359" t="s">
        <v>2613</v>
      </c>
      <c r="E103" s="360" t="s">
        <v>2614</v>
      </c>
      <c r="F103" s="351">
        <v>0</v>
      </c>
      <c r="G103" s="361">
        <v>0.004429</v>
      </c>
      <c r="H103" s="351">
        <f t="shared" si="12"/>
        <v>0</v>
      </c>
      <c r="I103" s="362">
        <v>132.87</v>
      </c>
      <c r="J103" s="363">
        <v>133</v>
      </c>
      <c r="K103" s="363">
        <v>133</v>
      </c>
      <c r="L103" s="363">
        <v>164</v>
      </c>
      <c r="M103" s="363">
        <v>133</v>
      </c>
      <c r="N103" s="363">
        <v>133</v>
      </c>
      <c r="O103" s="363">
        <v>133</v>
      </c>
      <c r="P103" s="363">
        <v>133</v>
      </c>
      <c r="Q103" s="363"/>
      <c r="R103" s="363">
        <v>132</v>
      </c>
      <c r="S103" s="363">
        <v>133</v>
      </c>
      <c r="T103" s="363">
        <v>133</v>
      </c>
      <c r="U103" s="363">
        <v>133</v>
      </c>
      <c r="V103" s="363">
        <v>133</v>
      </c>
      <c r="W103" s="363">
        <v>111</v>
      </c>
      <c r="X103" s="363">
        <v>110</v>
      </c>
      <c r="Y103" s="363">
        <v>89</v>
      </c>
      <c r="Z103" s="363">
        <v>89</v>
      </c>
      <c r="AA103" s="363">
        <v>88</v>
      </c>
      <c r="AB103" s="354">
        <f t="shared" si="13"/>
        <v>2245.87</v>
      </c>
      <c r="AC103" s="364">
        <f t="shared" si="9"/>
        <v>507080</v>
      </c>
    </row>
    <row r="104" customHeight="1" spans="1:29">
      <c r="A104" s="356"/>
      <c r="B104" s="357"/>
      <c r="C104" s="358"/>
      <c r="D104" s="359" t="s">
        <v>2647</v>
      </c>
      <c r="E104" s="360" t="s">
        <v>2648</v>
      </c>
      <c r="F104" s="351">
        <v>0</v>
      </c>
      <c r="G104" s="361">
        <v>0.017819</v>
      </c>
      <c r="H104" s="351">
        <f t="shared" si="12"/>
        <v>0</v>
      </c>
      <c r="I104" s="362">
        <v>534.57</v>
      </c>
      <c r="J104" s="363">
        <v>535</v>
      </c>
      <c r="K104" s="363">
        <v>535</v>
      </c>
      <c r="L104" s="363">
        <v>659</v>
      </c>
      <c r="M104" s="363">
        <v>535</v>
      </c>
      <c r="N104" s="363">
        <v>534</v>
      </c>
      <c r="O104" s="363">
        <v>535</v>
      </c>
      <c r="P104" s="363">
        <v>534</v>
      </c>
      <c r="Q104" s="363"/>
      <c r="R104" s="363">
        <v>535</v>
      </c>
      <c r="S104" s="363">
        <v>534</v>
      </c>
      <c r="T104" s="363">
        <v>535</v>
      </c>
      <c r="U104" s="363">
        <v>535</v>
      </c>
      <c r="V104" s="363">
        <v>534</v>
      </c>
      <c r="W104" s="363">
        <v>446</v>
      </c>
      <c r="X104" s="363">
        <v>445</v>
      </c>
      <c r="Y104" s="363">
        <v>356</v>
      </c>
      <c r="Z104" s="363">
        <v>357</v>
      </c>
      <c r="AA104" s="363">
        <v>356</v>
      </c>
      <c r="AB104" s="354">
        <f t="shared" si="13"/>
        <v>9034.57</v>
      </c>
      <c r="AC104" s="364">
        <f t="shared" si="9"/>
        <v>507020</v>
      </c>
    </row>
    <row r="105" customHeight="1" spans="1:29">
      <c r="A105" s="356"/>
      <c r="B105" s="357"/>
      <c r="C105" s="358"/>
      <c r="D105" s="359" t="s">
        <v>2677</v>
      </c>
      <c r="E105" s="360"/>
      <c r="F105" s="351">
        <v>500</v>
      </c>
      <c r="G105" s="361">
        <v>0.061079</v>
      </c>
      <c r="H105" s="351">
        <f t="shared" si="12"/>
        <v>8186.11961557982</v>
      </c>
      <c r="I105" s="362">
        <v>1832.37</v>
      </c>
      <c r="J105" s="363">
        <v>1833</v>
      </c>
      <c r="K105" s="363">
        <v>1832</v>
      </c>
      <c r="L105" s="363">
        <v>2260</v>
      </c>
      <c r="M105" s="363">
        <v>1833</v>
      </c>
      <c r="N105" s="363">
        <v>1832</v>
      </c>
      <c r="O105" s="363">
        <v>1832</v>
      </c>
      <c r="P105" s="363">
        <v>1833</v>
      </c>
      <c r="Q105" s="363"/>
      <c r="R105" s="363">
        <v>1832</v>
      </c>
      <c r="S105" s="363">
        <v>1832</v>
      </c>
      <c r="T105" s="363">
        <v>1833</v>
      </c>
      <c r="U105" s="363">
        <v>1832</v>
      </c>
      <c r="V105" s="363">
        <v>1832</v>
      </c>
      <c r="W105" s="363">
        <v>1527</v>
      </c>
      <c r="X105" s="363">
        <v>1527</v>
      </c>
      <c r="Y105" s="363">
        <v>1222</v>
      </c>
      <c r="Z105" s="363">
        <v>1222</v>
      </c>
      <c r="AA105" s="363">
        <v>1221</v>
      </c>
      <c r="AB105" s="354">
        <f t="shared" si="13"/>
        <v>30967.37</v>
      </c>
      <c r="AC105" s="364">
        <f t="shared" si="9"/>
        <v>507010</v>
      </c>
    </row>
    <row r="106" customHeight="1" spans="1:29">
      <c r="A106" s="356"/>
      <c r="B106" s="357"/>
      <c r="C106" s="358"/>
      <c r="D106" s="359" t="s">
        <v>2616</v>
      </c>
      <c r="E106" s="360" t="s">
        <v>2617</v>
      </c>
      <c r="F106" s="351">
        <v>0</v>
      </c>
      <c r="G106" s="361">
        <v>0.023896</v>
      </c>
      <c r="H106" s="351">
        <f t="shared" si="12"/>
        <v>0</v>
      </c>
      <c r="I106" s="362">
        <v>716.88</v>
      </c>
      <c r="J106" s="363">
        <v>717</v>
      </c>
      <c r="K106" s="363">
        <v>717</v>
      </c>
      <c r="L106" s="363">
        <v>885</v>
      </c>
      <c r="M106" s="363">
        <v>716</v>
      </c>
      <c r="N106" s="363">
        <v>717</v>
      </c>
      <c r="O106" s="363">
        <v>717</v>
      </c>
      <c r="P106" s="363">
        <v>717</v>
      </c>
      <c r="Q106" s="363"/>
      <c r="R106" s="363">
        <v>717</v>
      </c>
      <c r="S106" s="363">
        <v>717</v>
      </c>
      <c r="T106" s="363">
        <v>717</v>
      </c>
      <c r="U106" s="363">
        <v>716</v>
      </c>
      <c r="V106" s="363">
        <v>717</v>
      </c>
      <c r="W106" s="363">
        <v>598</v>
      </c>
      <c r="X106" s="363">
        <v>597</v>
      </c>
      <c r="Y106" s="363">
        <v>478</v>
      </c>
      <c r="Z106" s="363">
        <v>478</v>
      </c>
      <c r="AA106" s="363">
        <v>478</v>
      </c>
      <c r="AB106" s="354">
        <f t="shared" si="13"/>
        <v>12115.88</v>
      </c>
      <c r="AC106" s="364">
        <f t="shared" si="9"/>
        <v>507030</v>
      </c>
    </row>
    <row r="107" customHeight="1" spans="1:29">
      <c r="A107" s="356"/>
      <c r="B107" s="357"/>
      <c r="C107" s="358"/>
      <c r="D107" s="359" t="s">
        <v>2678</v>
      </c>
      <c r="E107" s="360"/>
      <c r="F107" s="351">
        <v>300</v>
      </c>
      <c r="G107" s="361">
        <v>0.001957</v>
      </c>
      <c r="H107" s="351">
        <f t="shared" si="12"/>
        <v>153295.861011753</v>
      </c>
      <c r="I107" s="367">
        <v>300</v>
      </c>
      <c r="J107" s="368"/>
      <c r="K107" s="368"/>
      <c r="L107" s="368"/>
      <c r="M107" s="368">
        <v>300</v>
      </c>
      <c r="N107" s="368"/>
      <c r="O107" s="368"/>
      <c r="P107" s="368"/>
      <c r="Q107" s="368"/>
      <c r="R107" s="368"/>
      <c r="S107" s="368">
        <v>1</v>
      </c>
      <c r="T107" s="368">
        <v>60</v>
      </c>
      <c r="U107" s="368">
        <v>59</v>
      </c>
      <c r="V107" s="368">
        <v>58</v>
      </c>
      <c r="W107" s="368">
        <v>49</v>
      </c>
      <c r="X107" s="368">
        <v>49</v>
      </c>
      <c r="Y107" s="368">
        <v>39</v>
      </c>
      <c r="Z107" s="368">
        <v>40</v>
      </c>
      <c r="AA107" s="368">
        <v>39</v>
      </c>
      <c r="AB107" s="354">
        <f t="shared" si="13"/>
        <v>994</v>
      </c>
      <c r="AC107" s="364">
        <f t="shared" si="9"/>
        <v>507920</v>
      </c>
    </row>
    <row r="108" customHeight="1" spans="1:29">
      <c r="A108" s="356"/>
      <c r="B108" s="357"/>
      <c r="C108" s="358"/>
      <c r="D108" s="359" t="s">
        <v>2619</v>
      </c>
      <c r="E108" s="360" t="s">
        <v>2620</v>
      </c>
      <c r="F108" s="351">
        <v>0</v>
      </c>
      <c r="G108" s="361">
        <v>4.635</v>
      </c>
      <c r="H108" s="351">
        <f t="shared" si="12"/>
        <v>0</v>
      </c>
      <c r="I108" s="362">
        <v>139050</v>
      </c>
      <c r="J108" s="363">
        <v>139050</v>
      </c>
      <c r="K108" s="363">
        <v>139050</v>
      </c>
      <c r="L108" s="363">
        <v>171495</v>
      </c>
      <c r="M108" s="363">
        <v>139050</v>
      </c>
      <c r="N108" s="363">
        <v>139050</v>
      </c>
      <c r="O108" s="363">
        <v>139050</v>
      </c>
      <c r="P108" s="363">
        <v>139050</v>
      </c>
      <c r="Q108" s="363"/>
      <c r="R108" s="363">
        <v>139050</v>
      </c>
      <c r="S108" s="363">
        <v>139050</v>
      </c>
      <c r="T108" s="363">
        <v>139050</v>
      </c>
      <c r="U108" s="363">
        <v>139050</v>
      </c>
      <c r="V108" s="363">
        <v>139050</v>
      </c>
      <c r="W108" s="363">
        <v>115875</v>
      </c>
      <c r="X108" s="363">
        <v>115875</v>
      </c>
      <c r="Y108" s="363">
        <v>92700</v>
      </c>
      <c r="Z108" s="363">
        <v>92700</v>
      </c>
      <c r="AA108" s="363">
        <v>92700</v>
      </c>
      <c r="AB108" s="354">
        <f t="shared" si="13"/>
        <v>2349945</v>
      </c>
      <c r="AC108" s="364">
        <f t="shared" si="9"/>
        <v>507000</v>
      </c>
    </row>
    <row r="109" customHeight="1" spans="1:29">
      <c r="A109" s="356"/>
      <c r="B109" s="357"/>
      <c r="C109" s="358"/>
      <c r="D109" s="359" t="s">
        <v>2621</v>
      </c>
      <c r="E109" s="360" t="s">
        <v>2622</v>
      </c>
      <c r="F109" s="351"/>
      <c r="G109" s="361">
        <v>28.634</v>
      </c>
      <c r="H109" s="351">
        <f t="shared" si="12"/>
        <v>0</v>
      </c>
      <c r="I109" s="362">
        <v>859020</v>
      </c>
      <c r="J109" s="363">
        <v>859020</v>
      </c>
      <c r="K109" s="363">
        <v>859020</v>
      </c>
      <c r="L109" s="363">
        <v>1059458</v>
      </c>
      <c r="M109" s="363">
        <v>859020</v>
      </c>
      <c r="N109" s="363">
        <v>859020</v>
      </c>
      <c r="O109" s="363">
        <v>859020</v>
      </c>
      <c r="P109" s="363">
        <v>859020</v>
      </c>
      <c r="Q109" s="363"/>
      <c r="R109" s="363">
        <v>859020</v>
      </c>
      <c r="S109" s="363">
        <v>859020</v>
      </c>
      <c r="T109" s="363">
        <v>859020</v>
      </c>
      <c r="U109" s="363">
        <v>859020</v>
      </c>
      <c r="V109" s="363">
        <v>859020</v>
      </c>
      <c r="W109" s="363">
        <v>715850</v>
      </c>
      <c r="X109" s="363">
        <v>715850</v>
      </c>
      <c r="Y109" s="363">
        <v>572680</v>
      </c>
      <c r="Z109" s="363">
        <v>572680</v>
      </c>
      <c r="AA109" s="363">
        <v>572680</v>
      </c>
      <c r="AB109" s="354">
        <f t="shared" si="13"/>
        <v>14517438</v>
      </c>
      <c r="AC109" s="364">
        <f t="shared" si="9"/>
        <v>507000</v>
      </c>
    </row>
    <row r="110" customHeight="1" spans="1:29">
      <c r="A110" s="356"/>
      <c r="B110" s="357"/>
      <c r="C110" s="358"/>
      <c r="D110" s="359" t="s">
        <v>2623</v>
      </c>
      <c r="E110" s="360" t="s">
        <v>2624</v>
      </c>
      <c r="F110" s="351">
        <v>0</v>
      </c>
      <c r="G110" s="361">
        <v>2</v>
      </c>
      <c r="H110" s="351">
        <f t="shared" si="12"/>
        <v>0</v>
      </c>
      <c r="I110" s="362">
        <v>60000</v>
      </c>
      <c r="J110" s="363">
        <v>60000</v>
      </c>
      <c r="K110" s="363">
        <v>60000</v>
      </c>
      <c r="L110" s="363">
        <v>74000</v>
      </c>
      <c r="M110" s="363">
        <v>60000</v>
      </c>
      <c r="N110" s="363">
        <v>60000</v>
      </c>
      <c r="O110" s="363">
        <v>60000</v>
      </c>
      <c r="P110" s="363">
        <v>60000</v>
      </c>
      <c r="Q110" s="363"/>
      <c r="R110" s="363">
        <v>60000</v>
      </c>
      <c r="S110" s="363">
        <v>60000</v>
      </c>
      <c r="T110" s="363">
        <v>60000</v>
      </c>
      <c r="U110" s="363">
        <v>60000</v>
      </c>
      <c r="V110" s="363">
        <v>60000</v>
      </c>
      <c r="W110" s="363">
        <v>50000</v>
      </c>
      <c r="X110" s="363">
        <v>50000</v>
      </c>
      <c r="Y110" s="363">
        <v>40000</v>
      </c>
      <c r="Z110" s="363">
        <v>40000</v>
      </c>
      <c r="AA110" s="363">
        <v>40000</v>
      </c>
      <c r="AB110" s="354">
        <f t="shared" si="13"/>
        <v>1014000</v>
      </c>
      <c r="AC110" s="364">
        <f t="shared" si="9"/>
        <v>507000</v>
      </c>
    </row>
    <row r="111" customHeight="1" spans="1:29">
      <c r="A111" s="356"/>
      <c r="B111" s="357"/>
      <c r="C111" s="358"/>
      <c r="D111" s="359" t="s">
        <v>2625</v>
      </c>
      <c r="E111" s="360" t="s">
        <v>2626</v>
      </c>
      <c r="F111" s="351">
        <v>0</v>
      </c>
      <c r="G111" s="361">
        <v>120</v>
      </c>
      <c r="H111" s="351">
        <f t="shared" si="12"/>
        <v>0</v>
      </c>
      <c r="I111" s="362">
        <v>3600000</v>
      </c>
      <c r="J111" s="363">
        <v>3600000</v>
      </c>
      <c r="K111" s="363">
        <v>3600000</v>
      </c>
      <c r="L111" s="363">
        <v>4440000</v>
      </c>
      <c r="M111" s="363">
        <v>3600000</v>
      </c>
      <c r="N111" s="363">
        <v>3600000</v>
      </c>
      <c r="O111" s="363">
        <v>3600000</v>
      </c>
      <c r="P111" s="363">
        <v>3600000</v>
      </c>
      <c r="Q111" s="363"/>
      <c r="R111" s="363">
        <v>3600000</v>
      </c>
      <c r="S111" s="363">
        <v>3600000</v>
      </c>
      <c r="T111" s="363">
        <v>3600000</v>
      </c>
      <c r="U111" s="363">
        <v>3600000</v>
      </c>
      <c r="V111" s="363">
        <v>3600000</v>
      </c>
      <c r="W111" s="363">
        <v>3000000</v>
      </c>
      <c r="X111" s="363">
        <v>3000000</v>
      </c>
      <c r="Y111" s="363">
        <v>2400000</v>
      </c>
      <c r="Z111" s="363">
        <v>2400000</v>
      </c>
      <c r="AA111" s="363">
        <v>2400000</v>
      </c>
      <c r="AB111" s="354">
        <f t="shared" si="13"/>
        <v>60840000</v>
      </c>
      <c r="AC111" s="364">
        <f t="shared" si="9"/>
        <v>507000</v>
      </c>
    </row>
    <row r="112" customHeight="1" spans="1:29">
      <c r="A112" s="356"/>
      <c r="B112" s="357"/>
      <c r="C112" s="358"/>
      <c r="D112" s="359" t="s">
        <v>2627</v>
      </c>
      <c r="E112" s="360" t="s">
        <v>2628</v>
      </c>
      <c r="F112" s="351">
        <v>0</v>
      </c>
      <c r="G112" s="361">
        <v>1</v>
      </c>
      <c r="H112" s="351">
        <f t="shared" si="12"/>
        <v>0</v>
      </c>
      <c r="I112" s="362">
        <v>30000</v>
      </c>
      <c r="J112" s="363">
        <v>30000</v>
      </c>
      <c r="K112" s="363">
        <v>30000</v>
      </c>
      <c r="L112" s="363">
        <v>37000</v>
      </c>
      <c r="M112" s="363">
        <v>30000</v>
      </c>
      <c r="N112" s="363">
        <v>30000</v>
      </c>
      <c r="O112" s="363">
        <v>30000</v>
      </c>
      <c r="P112" s="363">
        <v>30000</v>
      </c>
      <c r="Q112" s="363"/>
      <c r="R112" s="363">
        <v>30000</v>
      </c>
      <c r="S112" s="363">
        <v>30000</v>
      </c>
      <c r="T112" s="363">
        <v>30000</v>
      </c>
      <c r="U112" s="363">
        <v>30000</v>
      </c>
      <c r="V112" s="363">
        <v>30000</v>
      </c>
      <c r="W112" s="363">
        <v>25000</v>
      </c>
      <c r="X112" s="363">
        <v>25000</v>
      </c>
      <c r="Y112" s="363">
        <v>20000</v>
      </c>
      <c r="Z112" s="363">
        <v>20000</v>
      </c>
      <c r="AA112" s="363">
        <v>20000</v>
      </c>
      <c r="AB112" s="354">
        <f t="shared" si="13"/>
        <v>507000</v>
      </c>
      <c r="AC112" s="364">
        <f t="shared" si="9"/>
        <v>507000</v>
      </c>
    </row>
    <row r="113" customHeight="1" spans="1:29">
      <c r="A113" s="356"/>
      <c r="B113" s="369"/>
      <c r="C113" s="370"/>
      <c r="D113" s="371" t="s">
        <v>2629</v>
      </c>
      <c r="E113" s="372"/>
      <c r="F113" s="373"/>
      <c r="G113" s="374">
        <v>1</v>
      </c>
      <c r="H113" s="373">
        <f t="shared" si="12"/>
        <v>0</v>
      </c>
      <c r="I113" s="375">
        <v>30000</v>
      </c>
      <c r="J113" s="375">
        <v>30000</v>
      </c>
      <c r="K113" s="375">
        <v>30000</v>
      </c>
      <c r="L113" s="375">
        <v>37000</v>
      </c>
      <c r="M113" s="375">
        <v>30000</v>
      </c>
      <c r="N113" s="375">
        <v>30000</v>
      </c>
      <c r="O113" s="375">
        <v>30000</v>
      </c>
      <c r="P113" s="375">
        <v>30000</v>
      </c>
      <c r="Q113" s="375"/>
      <c r="R113" s="375">
        <v>30000</v>
      </c>
      <c r="S113" s="375">
        <v>30000</v>
      </c>
      <c r="T113" s="375">
        <v>30000</v>
      </c>
      <c r="U113" s="376">
        <v>30000</v>
      </c>
      <c r="V113" s="376">
        <v>30000</v>
      </c>
      <c r="W113" s="376">
        <v>25000</v>
      </c>
      <c r="X113" s="376">
        <v>25000</v>
      </c>
      <c r="Y113" s="376">
        <v>20000</v>
      </c>
      <c r="Z113" s="375">
        <v>20000</v>
      </c>
      <c r="AA113" s="375">
        <v>20000</v>
      </c>
      <c r="AB113" s="354">
        <f t="shared" si="13"/>
        <v>507000</v>
      </c>
      <c r="AC113" s="377">
        <f t="shared" si="9"/>
        <v>507000</v>
      </c>
    </row>
    <row r="114" customHeight="1" spans="1:29">
      <c r="A114" s="393"/>
      <c r="B114" s="394" t="s">
        <v>2679</v>
      </c>
      <c r="C114" s="395"/>
      <c r="D114" s="396" t="s">
        <v>2680</v>
      </c>
      <c r="E114" s="396"/>
      <c r="F114" s="397"/>
      <c r="G114" s="398"/>
      <c r="H114" s="399"/>
      <c r="I114" s="399">
        <f t="shared" ref="I114:R114" si="14">SUM(I4:I113)-SUM(I115:I124)</f>
        <v>244015.829999998</v>
      </c>
      <c r="J114" s="399">
        <f t="shared" si="14"/>
        <v>240434</v>
      </c>
      <c r="K114" s="399">
        <f t="shared" si="14"/>
        <v>239218</v>
      </c>
      <c r="L114" s="399">
        <f t="shared" si="14"/>
        <v>294875</v>
      </c>
      <c r="M114" s="399">
        <f t="shared" si="14"/>
        <v>268053</v>
      </c>
      <c r="N114" s="399">
        <f t="shared" si="14"/>
        <v>261447</v>
      </c>
      <c r="O114" s="399">
        <f t="shared" si="14"/>
        <v>239518</v>
      </c>
      <c r="P114" s="399">
        <f t="shared" si="14"/>
        <v>255585</v>
      </c>
      <c r="Q114" s="399">
        <f t="shared" si="14"/>
        <v>11985</v>
      </c>
      <c r="R114" s="399">
        <f t="shared" si="14"/>
        <v>238002</v>
      </c>
      <c r="S114" s="399">
        <v>243889</v>
      </c>
      <c r="T114" s="399">
        <f>SUM(T4:T113)-SUM(T115:T124)</f>
        <v>251447</v>
      </c>
      <c r="U114" s="399">
        <v>243822</v>
      </c>
      <c r="V114" s="399">
        <v>237247</v>
      </c>
      <c r="W114" s="399">
        <v>245774</v>
      </c>
      <c r="X114" s="399">
        <v>234149</v>
      </c>
      <c r="Y114" s="399">
        <v>158217</v>
      </c>
      <c r="Z114" s="399">
        <f>SUM(Z4:Z113)-SUM(Z115:Z124)</f>
        <v>158221</v>
      </c>
      <c r="AA114" s="399">
        <f>SUM(AA4:AA113)-SUM(AA115:AA124)</f>
        <v>158218</v>
      </c>
      <c r="AB114" s="354">
        <f t="shared" si="13"/>
        <v>4224116.83</v>
      </c>
      <c r="AC114" s="400">
        <f>AB124</f>
        <v>3186000</v>
      </c>
    </row>
    <row r="115" customHeight="1" spans="1:29">
      <c r="A115" s="401"/>
      <c r="B115" s="394"/>
      <c r="C115" s="395"/>
      <c r="D115" s="396" t="s">
        <v>2604</v>
      </c>
      <c r="E115" s="396" t="s">
        <v>2605</v>
      </c>
      <c r="F115" s="397">
        <v>0</v>
      </c>
      <c r="G115" s="398"/>
      <c r="H115" s="399"/>
      <c r="I115" s="399">
        <f t="shared" ref="I115:R115" si="15">SUMIF($E$4:$E$113,$E115,I$4:I$113)</f>
        <v>6532.26</v>
      </c>
      <c r="J115" s="399">
        <f t="shared" si="15"/>
        <v>6534</v>
      </c>
      <c r="K115" s="399">
        <f t="shared" si="15"/>
        <v>6532</v>
      </c>
      <c r="L115" s="399">
        <f t="shared" si="15"/>
        <v>7598</v>
      </c>
      <c r="M115" s="399">
        <f t="shared" si="15"/>
        <v>6532</v>
      </c>
      <c r="N115" s="399">
        <f t="shared" si="15"/>
        <v>6532</v>
      </c>
      <c r="O115" s="399">
        <f t="shared" si="15"/>
        <v>6532</v>
      </c>
      <c r="P115" s="399">
        <f t="shared" si="15"/>
        <v>7599</v>
      </c>
      <c r="Q115" s="399">
        <f t="shared" si="15"/>
        <v>0</v>
      </c>
      <c r="R115" s="399">
        <f t="shared" si="15"/>
        <v>7598</v>
      </c>
      <c r="S115" s="399">
        <v>6532</v>
      </c>
      <c r="T115" s="399">
        <f t="shared" ref="T115:T124" si="16">SUMIF($E$4:$E$113,$E115,T$4:T$113)</f>
        <v>6533</v>
      </c>
      <c r="U115" s="399">
        <v>6532</v>
      </c>
      <c r="V115" s="399">
        <v>6532</v>
      </c>
      <c r="W115" s="399">
        <v>7256</v>
      </c>
      <c r="X115" s="399">
        <v>7043</v>
      </c>
      <c r="Y115" s="399">
        <v>4354</v>
      </c>
      <c r="Z115" s="399">
        <f t="shared" ref="Z115:Z124" si="17">SUMIF($E$4:$E$113,$E115,Z$4:Z$113)</f>
        <v>4355</v>
      </c>
      <c r="AA115" s="399">
        <f t="shared" ref="AA115:AA124" si="18">SUMIF($E$4:$E$113,$E115,AA$4:AA$113)</f>
        <v>4355</v>
      </c>
      <c r="AB115" s="354">
        <f t="shared" si="13"/>
        <v>115481.26</v>
      </c>
      <c r="AC115" s="402"/>
    </row>
    <row r="116" customHeight="1" spans="1:29">
      <c r="A116" s="403"/>
      <c r="B116" s="404"/>
      <c r="C116" s="405"/>
      <c r="D116" s="405" t="s">
        <v>2667</v>
      </c>
      <c r="E116" s="405" t="s">
        <v>2648</v>
      </c>
      <c r="F116" s="397">
        <v>0</v>
      </c>
      <c r="G116" s="406"/>
      <c r="H116" s="397"/>
      <c r="I116" s="399">
        <f t="shared" ref="I116:R116" si="19">SUMIF($E$4:$E$113,$E116,I$4:I$113)</f>
        <v>2008.5</v>
      </c>
      <c r="J116" s="399">
        <f t="shared" si="19"/>
        <v>2011</v>
      </c>
      <c r="K116" s="399">
        <f t="shared" si="19"/>
        <v>2009</v>
      </c>
      <c r="L116" s="399">
        <f t="shared" si="19"/>
        <v>2333</v>
      </c>
      <c r="M116" s="399">
        <f t="shared" si="19"/>
        <v>2158</v>
      </c>
      <c r="N116" s="399">
        <f t="shared" si="19"/>
        <v>2293</v>
      </c>
      <c r="O116" s="399">
        <f t="shared" si="19"/>
        <v>2009</v>
      </c>
      <c r="P116" s="399">
        <f t="shared" si="19"/>
        <v>2007</v>
      </c>
      <c r="Q116" s="399">
        <f t="shared" si="19"/>
        <v>396</v>
      </c>
      <c r="R116" s="399">
        <f t="shared" si="19"/>
        <v>2009</v>
      </c>
      <c r="S116" s="399">
        <v>2405</v>
      </c>
      <c r="T116" s="399">
        <f t="shared" si="16"/>
        <v>2404</v>
      </c>
      <c r="U116" s="399">
        <v>2405</v>
      </c>
      <c r="V116" s="399">
        <v>2403</v>
      </c>
      <c r="W116" s="399">
        <v>2099</v>
      </c>
      <c r="X116" s="399">
        <v>2162</v>
      </c>
      <c r="Y116" s="399">
        <v>1603</v>
      </c>
      <c r="Z116" s="399">
        <f t="shared" si="17"/>
        <v>1604</v>
      </c>
      <c r="AA116" s="399">
        <f t="shared" si="18"/>
        <v>1603</v>
      </c>
      <c r="AB116" s="354">
        <f t="shared" si="13"/>
        <v>37921.5</v>
      </c>
      <c r="AC116" s="407"/>
    </row>
    <row r="117" customHeight="1" spans="1:29">
      <c r="A117" s="403"/>
      <c r="B117" s="404"/>
      <c r="C117" s="405"/>
      <c r="D117" s="405" t="s">
        <v>2611</v>
      </c>
      <c r="E117" s="405" t="s">
        <v>2612</v>
      </c>
      <c r="F117" s="397">
        <v>0</v>
      </c>
      <c r="G117" s="406"/>
      <c r="H117" s="397"/>
      <c r="I117" s="399">
        <f t="shared" ref="I117:R117" si="20">SUMIF($E$4:$E$113,$E117,I$4:I$113)</f>
        <v>410.97</v>
      </c>
      <c r="J117" s="399">
        <f t="shared" si="20"/>
        <v>412</v>
      </c>
      <c r="K117" s="399">
        <f t="shared" si="20"/>
        <v>412</v>
      </c>
      <c r="L117" s="399">
        <f t="shared" si="20"/>
        <v>548</v>
      </c>
      <c r="M117" s="399">
        <f t="shared" si="20"/>
        <v>452</v>
      </c>
      <c r="N117" s="399">
        <f t="shared" si="20"/>
        <v>411</v>
      </c>
      <c r="O117" s="399">
        <f t="shared" si="20"/>
        <v>412</v>
      </c>
      <c r="P117" s="399">
        <f t="shared" si="20"/>
        <v>472</v>
      </c>
      <c r="Q117" s="399">
        <f t="shared" si="20"/>
        <v>0</v>
      </c>
      <c r="R117" s="399">
        <f t="shared" si="20"/>
        <v>471</v>
      </c>
      <c r="S117" s="399">
        <v>432</v>
      </c>
      <c r="T117" s="399">
        <f t="shared" si="16"/>
        <v>454</v>
      </c>
      <c r="U117" s="399">
        <v>433</v>
      </c>
      <c r="V117" s="399">
        <v>409</v>
      </c>
      <c r="W117" s="399">
        <v>517</v>
      </c>
      <c r="X117" s="399">
        <v>464</v>
      </c>
      <c r="Y117" s="399">
        <v>274</v>
      </c>
      <c r="Z117" s="399">
        <f t="shared" si="17"/>
        <v>273</v>
      </c>
      <c r="AA117" s="399">
        <f t="shared" si="18"/>
        <v>274</v>
      </c>
      <c r="AB117" s="354">
        <f t="shared" si="13"/>
        <v>7530.97</v>
      </c>
      <c r="AC117" s="407"/>
    </row>
    <row r="118" customHeight="1" spans="1:29">
      <c r="A118" s="403"/>
      <c r="B118" s="404"/>
      <c r="C118" s="405"/>
      <c r="D118" s="405" t="s">
        <v>2613</v>
      </c>
      <c r="E118" s="405" t="s">
        <v>2614</v>
      </c>
      <c r="F118" s="397">
        <v>0</v>
      </c>
      <c r="G118" s="406"/>
      <c r="H118" s="397"/>
      <c r="I118" s="399">
        <f t="shared" ref="I118:R118" si="21">SUMIF($E$4:$E$113,$E118,I$4:I$113)</f>
        <v>797.22</v>
      </c>
      <c r="J118" s="399">
        <f t="shared" si="21"/>
        <v>798</v>
      </c>
      <c r="K118" s="399">
        <f t="shared" si="21"/>
        <v>798</v>
      </c>
      <c r="L118" s="399">
        <f t="shared" si="21"/>
        <v>985</v>
      </c>
      <c r="M118" s="399">
        <f t="shared" si="21"/>
        <v>877</v>
      </c>
      <c r="N118" s="399">
        <f t="shared" si="21"/>
        <v>863</v>
      </c>
      <c r="O118" s="399">
        <f t="shared" si="21"/>
        <v>798</v>
      </c>
      <c r="P118" s="399">
        <f t="shared" si="21"/>
        <v>851</v>
      </c>
      <c r="Q118" s="399">
        <f t="shared" si="21"/>
        <v>0</v>
      </c>
      <c r="R118" s="399">
        <f t="shared" si="21"/>
        <v>847</v>
      </c>
      <c r="S118" s="399">
        <v>820</v>
      </c>
      <c r="T118" s="399">
        <f t="shared" si="16"/>
        <v>843</v>
      </c>
      <c r="U118" s="399">
        <v>820</v>
      </c>
      <c r="V118" s="399">
        <v>798</v>
      </c>
      <c r="W118" s="399">
        <v>828</v>
      </c>
      <c r="X118" s="399">
        <v>796</v>
      </c>
      <c r="Y118" s="399">
        <v>532</v>
      </c>
      <c r="Z118" s="399">
        <f t="shared" si="17"/>
        <v>532</v>
      </c>
      <c r="AA118" s="399">
        <f t="shared" si="18"/>
        <v>530</v>
      </c>
      <c r="AB118" s="354">
        <f t="shared" si="13"/>
        <v>14113.22</v>
      </c>
      <c r="AC118" s="407"/>
    </row>
    <row r="119" customHeight="1" spans="1:29">
      <c r="A119" s="403"/>
      <c r="B119" s="404"/>
      <c r="C119" s="405"/>
      <c r="D119" s="405" t="s">
        <v>2616</v>
      </c>
      <c r="E119" s="405" t="s">
        <v>2617</v>
      </c>
      <c r="F119" s="397">
        <v>0</v>
      </c>
      <c r="G119" s="406"/>
      <c r="H119" s="397"/>
      <c r="I119" s="399">
        <f t="shared" ref="I119:R119" si="22">SUMIF($E$4:$E$113,$E119,I$4:I$113)</f>
        <v>4301.28</v>
      </c>
      <c r="J119" s="399">
        <f t="shared" si="22"/>
        <v>4302</v>
      </c>
      <c r="K119" s="399">
        <f t="shared" si="22"/>
        <v>4302</v>
      </c>
      <c r="L119" s="399">
        <f t="shared" si="22"/>
        <v>5307</v>
      </c>
      <c r="M119" s="399">
        <f t="shared" si="22"/>
        <v>4731</v>
      </c>
      <c r="N119" s="399">
        <f t="shared" si="22"/>
        <v>4660</v>
      </c>
      <c r="O119" s="399">
        <f t="shared" si="22"/>
        <v>4302</v>
      </c>
      <c r="P119" s="399">
        <f t="shared" si="22"/>
        <v>4588</v>
      </c>
      <c r="Q119" s="399">
        <f t="shared" si="22"/>
        <v>0</v>
      </c>
      <c r="R119" s="399">
        <f t="shared" si="22"/>
        <v>4587</v>
      </c>
      <c r="S119" s="399">
        <v>4420</v>
      </c>
      <c r="T119" s="399">
        <f t="shared" si="16"/>
        <v>4540</v>
      </c>
      <c r="U119" s="399">
        <v>4421</v>
      </c>
      <c r="V119" s="399">
        <v>4302</v>
      </c>
      <c r="W119" s="399">
        <v>4470</v>
      </c>
      <c r="X119" s="399">
        <v>4299</v>
      </c>
      <c r="Y119" s="399">
        <v>2867</v>
      </c>
      <c r="Z119" s="399">
        <f t="shared" si="17"/>
        <v>2868</v>
      </c>
      <c r="AA119" s="399">
        <f t="shared" si="18"/>
        <v>2868</v>
      </c>
      <c r="AB119" s="354">
        <f t="shared" si="13"/>
        <v>76135.28</v>
      </c>
      <c r="AC119" s="407"/>
    </row>
    <row r="120" customHeight="1" spans="1:29">
      <c r="A120" s="403"/>
      <c r="B120" s="404"/>
      <c r="C120" s="405"/>
      <c r="D120" s="405" t="s">
        <v>2619</v>
      </c>
      <c r="E120" s="405" t="s">
        <v>2620</v>
      </c>
      <c r="F120" s="397">
        <v>0</v>
      </c>
      <c r="G120" s="406"/>
      <c r="H120" s="397"/>
      <c r="I120" s="399">
        <f t="shared" ref="I120:R120" si="23">SUMIF($E$4:$E$113,$E120,I$4:I$113)</f>
        <v>834300</v>
      </c>
      <c r="J120" s="399">
        <f t="shared" si="23"/>
        <v>834300</v>
      </c>
      <c r="K120" s="399">
        <f t="shared" si="23"/>
        <v>834300</v>
      </c>
      <c r="L120" s="399">
        <f t="shared" si="23"/>
        <v>1028970</v>
      </c>
      <c r="M120" s="399">
        <f t="shared" si="23"/>
        <v>917730</v>
      </c>
      <c r="N120" s="399">
        <f t="shared" si="23"/>
        <v>903825</v>
      </c>
      <c r="O120" s="399">
        <f t="shared" si="23"/>
        <v>834300</v>
      </c>
      <c r="P120" s="399">
        <f t="shared" si="23"/>
        <v>889920</v>
      </c>
      <c r="Q120" s="399">
        <f t="shared" si="23"/>
        <v>0</v>
      </c>
      <c r="R120" s="399">
        <f t="shared" si="23"/>
        <v>889920</v>
      </c>
      <c r="S120" s="399">
        <v>857475</v>
      </c>
      <c r="T120" s="399">
        <f t="shared" si="16"/>
        <v>880650</v>
      </c>
      <c r="U120" s="399">
        <v>857475</v>
      </c>
      <c r="V120" s="399">
        <v>834300</v>
      </c>
      <c r="W120" s="399">
        <v>866745</v>
      </c>
      <c r="X120" s="399">
        <v>834300</v>
      </c>
      <c r="Y120" s="399">
        <v>556200</v>
      </c>
      <c r="Z120" s="399">
        <f t="shared" si="17"/>
        <v>556200</v>
      </c>
      <c r="AA120" s="399">
        <f t="shared" si="18"/>
        <v>556200</v>
      </c>
      <c r="AB120" s="354">
        <f t="shared" si="13"/>
        <v>14767110</v>
      </c>
      <c r="AC120" s="407"/>
    </row>
    <row r="121" customHeight="1" spans="1:29">
      <c r="A121" s="403"/>
      <c r="B121" s="404"/>
      <c r="C121" s="405"/>
      <c r="D121" s="405" t="s">
        <v>2621</v>
      </c>
      <c r="E121" s="405" t="s">
        <v>2622</v>
      </c>
      <c r="F121" s="397">
        <v>0</v>
      </c>
      <c r="G121" s="406"/>
      <c r="H121" s="397"/>
      <c r="I121" s="399">
        <f t="shared" ref="I121:R121" si="24">SUMIF($E$4:$E$113,$E121,I$4:I$113)</f>
        <v>5154120</v>
      </c>
      <c r="J121" s="399">
        <f t="shared" si="24"/>
        <v>5154120</v>
      </c>
      <c r="K121" s="399">
        <f t="shared" si="24"/>
        <v>5154120</v>
      </c>
      <c r="L121" s="399">
        <f t="shared" si="24"/>
        <v>6356748</v>
      </c>
      <c r="M121" s="399">
        <f t="shared" si="24"/>
        <v>5669532</v>
      </c>
      <c r="N121" s="399">
        <f t="shared" si="24"/>
        <v>5583630</v>
      </c>
      <c r="O121" s="399">
        <f t="shared" si="24"/>
        <v>5154120</v>
      </c>
      <c r="P121" s="399">
        <f t="shared" si="24"/>
        <v>5497728</v>
      </c>
      <c r="Q121" s="399">
        <f t="shared" si="24"/>
        <v>0</v>
      </c>
      <c r="R121" s="399">
        <f t="shared" si="24"/>
        <v>5497728</v>
      </c>
      <c r="S121" s="399">
        <v>5297290</v>
      </c>
      <c r="T121" s="399">
        <f t="shared" si="16"/>
        <v>5440460</v>
      </c>
      <c r="U121" s="399">
        <v>5297290</v>
      </c>
      <c r="V121" s="399">
        <v>5154120</v>
      </c>
      <c r="W121" s="399">
        <v>5354558</v>
      </c>
      <c r="X121" s="399">
        <v>5154120</v>
      </c>
      <c r="Y121" s="399">
        <v>3436080</v>
      </c>
      <c r="Z121" s="399">
        <f t="shared" si="17"/>
        <v>3436080</v>
      </c>
      <c r="AA121" s="399">
        <f t="shared" si="18"/>
        <v>3436080</v>
      </c>
      <c r="AB121" s="354">
        <f t="shared" si="13"/>
        <v>91227924</v>
      </c>
      <c r="AC121" s="407"/>
    </row>
    <row r="122" customHeight="1" spans="1:29">
      <c r="A122" s="403"/>
      <c r="B122" s="404"/>
      <c r="C122" s="405"/>
      <c r="D122" s="405" t="s">
        <v>2623</v>
      </c>
      <c r="E122" s="405" t="s">
        <v>2624</v>
      </c>
      <c r="F122" s="397">
        <v>0</v>
      </c>
      <c r="G122" s="406"/>
      <c r="H122" s="397"/>
      <c r="I122" s="399">
        <f t="shared" ref="I122:R122" si="25">SUMIF($E$4:$E$113,$E122,I$4:I$113)</f>
        <v>360000</v>
      </c>
      <c r="J122" s="399">
        <f t="shared" si="25"/>
        <v>360000</v>
      </c>
      <c r="K122" s="399">
        <f t="shared" si="25"/>
        <v>360000</v>
      </c>
      <c r="L122" s="399">
        <f t="shared" si="25"/>
        <v>444000</v>
      </c>
      <c r="M122" s="399">
        <f t="shared" si="25"/>
        <v>396000</v>
      </c>
      <c r="N122" s="399">
        <f t="shared" si="25"/>
        <v>390000</v>
      </c>
      <c r="O122" s="399">
        <f t="shared" si="25"/>
        <v>360000</v>
      </c>
      <c r="P122" s="399">
        <f t="shared" si="25"/>
        <v>384000</v>
      </c>
      <c r="Q122" s="399">
        <f t="shared" si="25"/>
        <v>0</v>
      </c>
      <c r="R122" s="399">
        <f t="shared" si="25"/>
        <v>384000</v>
      </c>
      <c r="S122" s="399">
        <v>370000</v>
      </c>
      <c r="T122" s="399">
        <f t="shared" si="16"/>
        <v>380000</v>
      </c>
      <c r="U122" s="399">
        <v>370000</v>
      </c>
      <c r="V122" s="399">
        <v>360000</v>
      </c>
      <c r="W122" s="399">
        <v>374000</v>
      </c>
      <c r="X122" s="399">
        <v>360000</v>
      </c>
      <c r="Y122" s="399">
        <v>240000</v>
      </c>
      <c r="Z122" s="399">
        <f t="shared" si="17"/>
        <v>240000</v>
      </c>
      <c r="AA122" s="399">
        <f t="shared" si="18"/>
        <v>240000</v>
      </c>
      <c r="AB122" s="354">
        <f t="shared" si="13"/>
        <v>6372000</v>
      </c>
      <c r="AC122" s="407"/>
    </row>
    <row r="123" customHeight="1" spans="1:29">
      <c r="A123" s="403"/>
      <c r="B123" s="404"/>
      <c r="C123" s="405"/>
      <c r="D123" s="405" t="s">
        <v>2625</v>
      </c>
      <c r="E123" s="405" t="s">
        <v>2626</v>
      </c>
      <c r="F123" s="397">
        <v>0</v>
      </c>
      <c r="G123" s="406"/>
      <c r="H123" s="397"/>
      <c r="I123" s="399">
        <f t="shared" ref="I123:R123" si="26">SUMIF($E$4:$E$113,$E123,I$4:I$113)</f>
        <v>21600000</v>
      </c>
      <c r="J123" s="399">
        <f t="shared" si="26"/>
        <v>21600000</v>
      </c>
      <c r="K123" s="399">
        <f t="shared" si="26"/>
        <v>21600000</v>
      </c>
      <c r="L123" s="399">
        <f t="shared" si="26"/>
        <v>26640000</v>
      </c>
      <c r="M123" s="399">
        <f t="shared" si="26"/>
        <v>23760000</v>
      </c>
      <c r="N123" s="399">
        <f t="shared" si="26"/>
        <v>23400000</v>
      </c>
      <c r="O123" s="399">
        <f t="shared" si="26"/>
        <v>21600000</v>
      </c>
      <c r="P123" s="399">
        <f t="shared" si="26"/>
        <v>23040000</v>
      </c>
      <c r="Q123" s="399">
        <f t="shared" si="26"/>
        <v>0</v>
      </c>
      <c r="R123" s="399">
        <f t="shared" si="26"/>
        <v>23040000</v>
      </c>
      <c r="S123" s="399">
        <v>22200000</v>
      </c>
      <c r="T123" s="399">
        <f t="shared" si="16"/>
        <v>22800000</v>
      </c>
      <c r="U123" s="399">
        <v>22200000</v>
      </c>
      <c r="V123" s="399">
        <v>21600000</v>
      </c>
      <c r="W123" s="399">
        <v>22440000</v>
      </c>
      <c r="X123" s="399">
        <v>21600000</v>
      </c>
      <c r="Y123" s="399">
        <v>14400000</v>
      </c>
      <c r="Z123" s="399">
        <f t="shared" si="17"/>
        <v>14400000</v>
      </c>
      <c r="AA123" s="399">
        <f t="shared" si="18"/>
        <v>14400000</v>
      </c>
      <c r="AB123" s="354">
        <f t="shared" si="13"/>
        <v>382320000</v>
      </c>
      <c r="AC123" s="407"/>
    </row>
    <row r="124" customHeight="1" spans="1:29">
      <c r="A124" s="403"/>
      <c r="B124" s="404"/>
      <c r="C124" s="405"/>
      <c r="D124" s="405" t="s">
        <v>2627</v>
      </c>
      <c r="E124" s="405" t="s">
        <v>2628</v>
      </c>
      <c r="F124" s="397">
        <v>0</v>
      </c>
      <c r="G124" s="406"/>
      <c r="H124" s="397"/>
      <c r="I124" s="399">
        <f t="shared" ref="I124:R124" si="27">SUMIF($E$4:$E$113,$E124,I$4:I$113)</f>
        <v>180000</v>
      </c>
      <c r="J124" s="399">
        <f t="shared" si="27"/>
        <v>180000</v>
      </c>
      <c r="K124" s="399">
        <f t="shared" si="27"/>
        <v>180000</v>
      </c>
      <c r="L124" s="399">
        <f t="shared" si="27"/>
        <v>222000</v>
      </c>
      <c r="M124" s="399">
        <f t="shared" si="27"/>
        <v>198000</v>
      </c>
      <c r="N124" s="399">
        <f t="shared" si="27"/>
        <v>195000</v>
      </c>
      <c r="O124" s="399">
        <f t="shared" si="27"/>
        <v>180000</v>
      </c>
      <c r="P124" s="399">
        <f t="shared" si="27"/>
        <v>192000</v>
      </c>
      <c r="Q124" s="399">
        <f t="shared" si="27"/>
        <v>0</v>
      </c>
      <c r="R124" s="399">
        <f t="shared" si="27"/>
        <v>192000</v>
      </c>
      <c r="S124" s="399">
        <v>185000</v>
      </c>
      <c r="T124" s="399">
        <f t="shared" si="16"/>
        <v>190000</v>
      </c>
      <c r="U124" s="399">
        <v>185000</v>
      </c>
      <c r="V124" s="399">
        <v>180000</v>
      </c>
      <c r="W124" s="399">
        <v>187000</v>
      </c>
      <c r="X124" s="399">
        <v>180000</v>
      </c>
      <c r="Y124" s="399">
        <v>120000</v>
      </c>
      <c r="Z124" s="399">
        <f t="shared" si="17"/>
        <v>120000</v>
      </c>
      <c r="AA124" s="399">
        <f t="shared" si="18"/>
        <v>120000</v>
      </c>
      <c r="AB124" s="354">
        <f t="shared" si="13"/>
        <v>3186000</v>
      </c>
      <c r="AC124" s="407"/>
    </row>
    <row r="125" customHeight="1" spans="1:29">
      <c r="Z125" s="408"/>
      <c r="AA125" s="408"/>
    </row>
  </sheetData>
  <sheetProtection formatCells="0" formatColumns="0" formatRows="0" insertRows="0" insertColumns="0" insertHyperlinks="0" deleteColumns="0" deleteRows="0" sort="0" autoFilter="0" pivotTables="0"/>
  <mergeCells count="13">
    <mergeCell ref="A4:A113"/>
    <mergeCell ref="B4:B20"/>
    <mergeCell ref="B21:B38"/>
    <mergeCell ref="B39:B57"/>
    <mergeCell ref="B76:B93"/>
    <mergeCell ref="B94:B113"/>
    <mergeCell ref="C4:C20"/>
    <mergeCell ref="C21:C38"/>
    <mergeCell ref="C39:C57"/>
    <mergeCell ref="C58:C75"/>
    <mergeCell ref="C76:C93"/>
    <mergeCell ref="C94:C113"/>
    <mergeCell ref="AC114:AC124"/>
  </mergeCells>
  <pageMargins left="0" right="0" top="0.979166666666667" bottom="0.979166666666667" header="0.509027777777778" footer="0.509027777777778"/>
  <pageSetup paperSize="9" scale="8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49"/>
  <sheetViews>
    <sheetView zoomScale="70" zoomScaleNormal="70" topLeftCell="H32" workbookViewId="0">
      <selection activeCell="A38" sqref="A38"/>
    </sheetView>
  </sheetViews>
  <sheetFormatPr defaultColWidth="9" defaultRowHeight="14.25"/>
  <cols>
    <col min="1" max="1" width="25.575" style="243" customWidth="1"/>
    <col min="2" max="2" width="19.7333333333333" style="243" customWidth="1"/>
    <col min="3" max="3" width="14.5666666666667" style="243" customWidth="1"/>
    <col min="4" max="4" width="14.85" style="243" customWidth="1"/>
    <col min="5" max="5" width="9.625" style="243" customWidth="1"/>
    <col min="6" max="6" width="12.025" style="243" customWidth="1"/>
    <col min="7" max="8" width="11.9666666666667" style="243" customWidth="1"/>
    <col min="9" max="9" width="14.9916666666667" style="243" customWidth="1"/>
    <col min="10" max="10" width="12.875" style="243" customWidth="1"/>
    <col min="11" max="11" width="14.9916666666667" style="243" customWidth="1"/>
    <col min="12" max="12" width="17.5" style="243" customWidth="1"/>
    <col min="13" max="13" width="13.8833333333333" style="243" customWidth="1"/>
    <col min="14" max="14" width="21.275" style="243" customWidth="1"/>
    <col min="15" max="16" width="9.625" style="243" customWidth="1"/>
    <col min="17" max="17" width="11.5" style="243" customWidth="1"/>
    <col min="18" max="18" width="13.75" style="243" customWidth="1"/>
    <col min="19" max="19" width="12" style="243" customWidth="1"/>
    <col min="20" max="20" width="9.1" style="243"/>
    <col min="21" max="16384" width="9" style="243"/>
  </cols>
  <sheetData>
    <row r="1" ht="15.75" customHeight="1"/>
    <row r="2" ht="18.75" spans="1:14 16384:16384">
      <c r="A2" s="246" t="s">
        <v>2681</v>
      </c>
      <c r="B2" s="247"/>
      <c r="C2" s="247"/>
      <c r="D2" s="247"/>
      <c r="E2" s="247"/>
      <c r="F2" s="247"/>
      <c r="G2" s="247"/>
      <c r="H2" s="247"/>
      <c r="I2" s="247"/>
      <c r="J2" s="247"/>
      <c r="K2" s="247"/>
      <c r="L2" s="248"/>
      <c r="M2" s="243" t="s">
        <v>2682</v>
      </c>
      <c r="N2" s="243" t="s">
        <v>2683</v>
      </c>
    </row>
    <row r="3" ht="51" customHeight="1" spans="1:14 16384:16384">
      <c r="A3" s="249" t="s">
        <v>2684</v>
      </c>
      <c r="B3" s="250" t="s">
        <v>2534</v>
      </c>
      <c r="C3" s="251" t="s">
        <v>617</v>
      </c>
      <c r="D3" s="251" t="s">
        <v>123</v>
      </c>
      <c r="E3" s="252" t="s">
        <v>625</v>
      </c>
      <c r="F3" s="252" t="s">
        <v>621</v>
      </c>
      <c r="G3" s="252" t="s">
        <v>2685</v>
      </c>
      <c r="H3" s="252" t="s">
        <v>2686</v>
      </c>
      <c r="I3" s="253" t="s">
        <v>2687</v>
      </c>
      <c r="J3" s="254" t="s">
        <v>90</v>
      </c>
      <c r="K3" s="254" t="s">
        <v>2688</v>
      </c>
      <c r="L3" s="255" t="s">
        <v>2689</v>
      </c>
      <c r="M3" s="256">
        <f>布料MA!AC114</f>
        <v>3186000</v>
      </c>
      <c r="N3" s="256">
        <f>M3-I13-I40</f>
        <v>0</v>
      </c>
      <c r="XFD3" s="243">
        <f>SUM(A3:XFC3)</f>
        <v>3186000</v>
      </c>
    </row>
    <row r="4" ht="24" customHeight="1" spans="1:14 16384:16384">
      <c r="A4" s="257" t="s">
        <v>2690</v>
      </c>
      <c r="B4" s="258">
        <v>44929</v>
      </c>
      <c r="C4" s="259">
        <v>30000</v>
      </c>
      <c r="D4" s="259">
        <v>30000</v>
      </c>
      <c r="E4" s="259">
        <v>30000</v>
      </c>
      <c r="F4" s="259">
        <v>30000</v>
      </c>
      <c r="G4" s="259">
        <v>30000</v>
      </c>
      <c r="H4" s="259">
        <v>30000</v>
      </c>
      <c r="I4" s="259">
        <f t="shared" ref="I4:I12" si="0">SUM(C4:H4)</f>
        <v>180000</v>
      </c>
      <c r="J4" s="259">
        <v>138000</v>
      </c>
      <c r="K4" s="259">
        <f>I4-J4</f>
        <v>42000</v>
      </c>
      <c r="L4" s="260">
        <v>45010</v>
      </c>
      <c r="M4" s="261"/>
    </row>
    <row r="5" s="242" customFormat="1" ht="24" customHeight="1" spans="1:14 16384:16384">
      <c r="A5" s="257" t="s">
        <v>2691</v>
      </c>
      <c r="B5" s="258">
        <v>44966</v>
      </c>
      <c r="C5" s="259">
        <v>30000</v>
      </c>
      <c r="D5" s="259">
        <v>30000</v>
      </c>
      <c r="E5" s="259">
        <v>30000</v>
      </c>
      <c r="F5" s="259">
        <v>30000</v>
      </c>
      <c r="G5" s="259">
        <v>30000</v>
      </c>
      <c r="H5" s="259">
        <v>30000</v>
      </c>
      <c r="I5" s="259">
        <f t="shared" si="0"/>
        <v>180000</v>
      </c>
      <c r="J5" s="259">
        <v>138000</v>
      </c>
      <c r="K5" s="259">
        <f>I6-J5</f>
        <v>42000</v>
      </c>
      <c r="L5" s="260">
        <v>45056</v>
      </c>
      <c r="M5" s="262"/>
    </row>
    <row r="6" s="242" customFormat="1" ht="24" customHeight="1" spans="1:14 16384:16384">
      <c r="A6" s="257" t="s">
        <v>2692</v>
      </c>
      <c r="B6" s="258">
        <v>45006</v>
      </c>
      <c r="C6" s="259">
        <v>30000</v>
      </c>
      <c r="D6" s="259">
        <v>30000</v>
      </c>
      <c r="E6" s="259">
        <v>30000</v>
      </c>
      <c r="F6" s="259">
        <v>30000</v>
      </c>
      <c r="G6" s="259">
        <v>30000</v>
      </c>
      <c r="H6" s="259">
        <v>30000</v>
      </c>
      <c r="I6" s="259">
        <f t="shared" si="0"/>
        <v>180000</v>
      </c>
      <c r="J6" s="259">
        <v>138000</v>
      </c>
      <c r="K6" s="259"/>
      <c r="L6" s="260">
        <v>45102</v>
      </c>
      <c r="M6" s="262"/>
    </row>
    <row r="7" s="242" customFormat="1" ht="24" customHeight="1" spans="1:14 16384:16384">
      <c r="A7" s="257" t="s">
        <v>2693</v>
      </c>
      <c r="B7" s="258">
        <v>45056</v>
      </c>
      <c r="C7" s="259">
        <v>40000</v>
      </c>
      <c r="D7" s="259">
        <v>30000</v>
      </c>
      <c r="E7" s="259">
        <v>50000</v>
      </c>
      <c r="F7" s="259">
        <v>30000</v>
      </c>
      <c r="G7" s="259">
        <v>35000</v>
      </c>
      <c r="H7" s="259">
        <v>37000</v>
      </c>
      <c r="I7" s="259">
        <f t="shared" si="0"/>
        <v>222000</v>
      </c>
      <c r="J7" s="259"/>
      <c r="K7" s="259"/>
      <c r="L7" s="260">
        <v>45123</v>
      </c>
      <c r="M7" s="262"/>
    </row>
    <row r="8" s="243" customFormat="1" ht="24" customHeight="1" spans="1:14 16384:16384">
      <c r="A8" s="257" t="s">
        <v>2694</v>
      </c>
      <c r="B8" s="258">
        <v>45111</v>
      </c>
      <c r="C8" s="259">
        <v>30000</v>
      </c>
      <c r="D8" s="259">
        <v>40000</v>
      </c>
      <c r="E8" s="259">
        <v>30000</v>
      </c>
      <c r="F8" s="259">
        <v>30000</v>
      </c>
      <c r="G8" s="259">
        <v>38000</v>
      </c>
      <c r="H8" s="259">
        <v>30000</v>
      </c>
      <c r="I8" s="259">
        <f t="shared" si="0"/>
        <v>198000</v>
      </c>
      <c r="J8" s="259"/>
      <c r="K8" s="259"/>
      <c r="L8" s="260">
        <v>45205</v>
      </c>
      <c r="M8" s="262"/>
    </row>
    <row r="9" ht="30" customHeight="1" spans="1:14 16384:16384">
      <c r="A9" s="257" t="s">
        <v>2695</v>
      </c>
      <c r="B9" s="258">
        <v>45149</v>
      </c>
      <c r="C9" s="259">
        <v>30000</v>
      </c>
      <c r="D9" s="259">
        <v>30000</v>
      </c>
      <c r="E9" s="259">
        <v>30000</v>
      </c>
      <c r="F9" s="259">
        <v>30000</v>
      </c>
      <c r="G9" s="263">
        <v>45000</v>
      </c>
      <c r="H9" s="259">
        <v>30000</v>
      </c>
      <c r="I9" s="259">
        <f t="shared" si="0"/>
        <v>195000</v>
      </c>
      <c r="J9" s="263"/>
      <c r="K9" s="259"/>
      <c r="L9" s="260">
        <v>45231</v>
      </c>
      <c r="M9" s="264" t="s">
        <v>2696</v>
      </c>
    </row>
    <row r="10" s="243" customFormat="1" ht="30" customHeight="1" spans="1:14 16384:16384">
      <c r="A10" s="257" t="s">
        <v>2697</v>
      </c>
      <c r="B10" s="258">
        <v>45194</v>
      </c>
      <c r="C10" s="259">
        <v>30000</v>
      </c>
      <c r="D10" s="259">
        <v>30000</v>
      </c>
      <c r="E10" s="259">
        <v>30000</v>
      </c>
      <c r="F10" s="259">
        <v>30000</v>
      </c>
      <c r="G10" s="263">
        <v>30000</v>
      </c>
      <c r="H10" s="259">
        <v>30000</v>
      </c>
      <c r="I10" s="259">
        <f t="shared" si="0"/>
        <v>180000</v>
      </c>
      <c r="J10" s="263"/>
      <c r="K10" s="259"/>
      <c r="L10" s="260">
        <v>45250</v>
      </c>
      <c r="M10" s="264" t="s">
        <v>2696</v>
      </c>
    </row>
    <row r="11" s="243" customFormat="1" ht="30" customHeight="1" spans="1:14 16384:16384">
      <c r="A11" s="257" t="s">
        <v>2698</v>
      </c>
      <c r="B11" s="258">
        <v>45285</v>
      </c>
      <c r="C11" s="259">
        <v>40000</v>
      </c>
      <c r="D11" s="259">
        <v>32000</v>
      </c>
      <c r="E11" s="259">
        <v>30000</v>
      </c>
      <c r="F11" s="259">
        <v>30000</v>
      </c>
      <c r="G11" s="259">
        <v>30000</v>
      </c>
      <c r="H11" s="259">
        <v>30000</v>
      </c>
      <c r="I11" s="259">
        <f t="shared" si="0"/>
        <v>192000</v>
      </c>
      <c r="J11" s="263"/>
      <c r="K11" s="259"/>
      <c r="L11" s="260">
        <v>45371</v>
      </c>
      <c r="M11" s="264"/>
    </row>
    <row r="12" s="243" customFormat="1" ht="32" customHeight="1" spans="1:14 16384:16384">
      <c r="A12" s="257"/>
      <c r="B12" s="265" t="s">
        <v>2699</v>
      </c>
      <c r="C12" s="266">
        <v>-9309</v>
      </c>
      <c r="D12" s="266">
        <v>-2939</v>
      </c>
      <c r="E12" s="266">
        <v>-6864</v>
      </c>
      <c r="F12" s="266">
        <v>-2625</v>
      </c>
      <c r="G12" s="266">
        <v>-2976</v>
      </c>
      <c r="H12" s="266">
        <v>-6902</v>
      </c>
      <c r="I12" s="267">
        <f t="shared" si="0"/>
        <v>-31615</v>
      </c>
      <c r="J12" s="263"/>
      <c r="K12" s="259"/>
      <c r="L12" s="260"/>
    </row>
    <row r="13" ht="19" customHeight="1" spans="1:14 16384:16384">
      <c r="A13" s="268"/>
      <c r="B13" s="269" t="s">
        <v>2700</v>
      </c>
      <c r="C13" s="270">
        <f>SUM(C4:C12)</f>
        <v>250691</v>
      </c>
      <c r="D13" s="270">
        <f t="shared" ref="D13:I13" si="1">SUM(D4:D12)</f>
        <v>249061</v>
      </c>
      <c r="E13" s="270">
        <f t="shared" si="1"/>
        <v>253136</v>
      </c>
      <c r="F13" s="270">
        <f t="shared" si="1"/>
        <v>237375</v>
      </c>
      <c r="G13" s="270">
        <f t="shared" si="1"/>
        <v>265024</v>
      </c>
      <c r="H13" s="270">
        <f t="shared" si="1"/>
        <v>240098</v>
      </c>
      <c r="I13" s="270">
        <f t="shared" si="1"/>
        <v>1495385</v>
      </c>
      <c r="J13" s="269"/>
      <c r="K13" s="269"/>
      <c r="L13" s="271"/>
    </row>
    <row r="14" ht="28" customHeight="1" spans="1:14 16384:16384">
      <c r="A14" s="272" t="s">
        <v>2701</v>
      </c>
      <c r="B14" s="273"/>
      <c r="C14" s="274">
        <v>207404.5</v>
      </c>
      <c r="D14" s="274">
        <v>207016.5</v>
      </c>
      <c r="E14" s="274">
        <v>198317.5</v>
      </c>
      <c r="F14" s="274">
        <v>180929.5</v>
      </c>
      <c r="G14" s="274">
        <v>215246.5</v>
      </c>
      <c r="H14" s="274">
        <v>190041.5</v>
      </c>
      <c r="I14" s="273">
        <f>SUM(C14:H14)</f>
        <v>1198956</v>
      </c>
      <c r="J14" s="275"/>
      <c r="K14" s="275"/>
      <c r="L14" s="276"/>
    </row>
    <row r="15" ht="28" customHeight="1" spans="1:14 16384:16384">
      <c r="A15" s="277" t="s">
        <v>2702</v>
      </c>
      <c r="B15" s="278"/>
      <c r="C15" s="279">
        <v>43286.666666667</v>
      </c>
      <c r="D15" s="279">
        <v>42044.333333333</v>
      </c>
      <c r="E15" s="279">
        <v>54818.333333333</v>
      </c>
      <c r="F15" s="279">
        <v>56445.666666667</v>
      </c>
      <c r="G15" s="279">
        <v>49777.333333333</v>
      </c>
      <c r="H15" s="279">
        <v>50056.333333333</v>
      </c>
      <c r="I15" s="279">
        <f>SUM(C15:H15)</f>
        <v>296428.666666666</v>
      </c>
      <c r="J15" s="275"/>
      <c r="K15" s="275"/>
      <c r="L15" s="276"/>
    </row>
    <row r="16" spans="1:14 16384:16384">
      <c r="A16" s="268"/>
      <c r="B16" s="269" t="s">
        <v>2703</v>
      </c>
      <c r="C16" s="270">
        <f>'9283'!BN564+C14+C15</f>
        <v>250691.166666667</v>
      </c>
      <c r="D16" s="270">
        <f>'9283'!BO564+D14+D15</f>
        <v>249060.833333333</v>
      </c>
      <c r="E16" s="270">
        <f>'9283'!BP564+E14+E15</f>
        <v>253135.833333333</v>
      </c>
      <c r="F16" s="270">
        <f>'9283'!BQ564+F14+F15</f>
        <v>237375.166666667</v>
      </c>
      <c r="G16" s="270">
        <f>'9283'!BR564+G14+G15</f>
        <v>265023.833333333</v>
      </c>
      <c r="H16" s="270">
        <f>'9283'!BS564+H14+H15</f>
        <v>240097.833333333</v>
      </c>
      <c r="I16" s="270">
        <f>SUM(C16:H16)</f>
        <v>1495384.66666667</v>
      </c>
      <c r="J16" s="280"/>
      <c r="K16" s="280"/>
      <c r="L16" s="271"/>
    </row>
    <row r="17" spans="1:19">
      <c r="A17" s="268"/>
      <c r="B17" s="269" t="s">
        <v>2704</v>
      </c>
      <c r="C17" s="270"/>
      <c r="D17" s="270"/>
      <c r="E17" s="270"/>
      <c r="F17" s="270"/>
      <c r="G17" s="270"/>
      <c r="H17" s="270"/>
      <c r="I17" s="270"/>
      <c r="J17" s="280"/>
      <c r="K17" s="280"/>
      <c r="L17" s="271"/>
    </row>
    <row r="18" spans="1:19">
      <c r="A18" s="268"/>
      <c r="B18" s="269" t="s">
        <v>2705</v>
      </c>
      <c r="C18" s="281">
        <f>C13-C16-C17</f>
        <v>-0.166666667006211</v>
      </c>
      <c r="D18" s="281">
        <f t="shared" ref="C18:I18" si="2">D13-D16-D17</f>
        <v>0.166666667006211</v>
      </c>
      <c r="E18" s="281">
        <f t="shared" si="2"/>
        <v>0.166666667006211</v>
      </c>
      <c r="F18" s="281">
        <f t="shared" si="2"/>
        <v>-0.166666667006211</v>
      </c>
      <c r="G18" s="281">
        <f t="shared" si="2"/>
        <v>0.166666666977108</v>
      </c>
      <c r="H18" s="281">
        <f t="shared" si="2"/>
        <v>0.166666667006211</v>
      </c>
      <c r="I18" s="281">
        <f>SUM(C18:H18)</f>
        <v>0.333333333983319</v>
      </c>
      <c r="J18" s="280"/>
      <c r="K18" s="280"/>
      <c r="L18" s="271"/>
    </row>
    <row r="19" ht="15" spans="1:19">
      <c r="A19" s="282"/>
      <c r="B19" s="283" t="s">
        <v>2706</v>
      </c>
      <c r="C19" s="284">
        <f>SUM(C18:H18)</f>
        <v>0.333333333983319</v>
      </c>
      <c r="D19" s="285"/>
      <c r="E19" s="285"/>
      <c r="F19" s="285"/>
      <c r="G19" s="285"/>
      <c r="H19" s="285"/>
      <c r="I19" s="283"/>
      <c r="J19" s="286"/>
      <c r="K19" s="286"/>
      <c r="L19" s="287"/>
    </row>
    <row r="20" customFormat="1" ht="25" customHeight="1" spans="1:19">
      <c r="A20" s="243"/>
      <c r="B20" s="243"/>
      <c r="C20" s="288">
        <v>250691.166666667</v>
      </c>
      <c r="D20" s="288">
        <v>249060.833333333</v>
      </c>
      <c r="E20" s="288">
        <v>253135.833333333</v>
      </c>
      <c r="F20" s="288">
        <v>237375.166666667</v>
      </c>
      <c r="G20" s="288">
        <v>265023.833333333</v>
      </c>
      <c r="H20" s="288">
        <v>240097.833333333</v>
      </c>
      <c r="I20" s="288">
        <v>1495384.66666667</v>
      </c>
      <c r="J20" s="243"/>
      <c r="K20" s="243"/>
      <c r="L20" s="243"/>
      <c r="M20" s="243"/>
      <c r="N20" s="243"/>
      <c r="O20" s="243"/>
      <c r="P20" s="243"/>
      <c r="Q20" s="243"/>
      <c r="R20" s="243"/>
      <c r="S20" s="243"/>
    </row>
    <row r="21" s="244" customFormat="1" ht="25" customHeight="1" spans="1:19">
      <c r="A21" s="289"/>
      <c r="B21" s="289"/>
      <c r="C21" s="290">
        <f>C20-C16</f>
        <v>0</v>
      </c>
      <c r="D21" s="290">
        <f t="shared" ref="D21:I21" si="3">D20-D16</f>
        <v>0</v>
      </c>
      <c r="E21" s="290">
        <f t="shared" si="3"/>
        <v>0</v>
      </c>
      <c r="F21" s="290">
        <f t="shared" si="3"/>
        <v>0</v>
      </c>
      <c r="G21" s="290">
        <f t="shared" si="3"/>
        <v>0</v>
      </c>
      <c r="H21" s="290">
        <f t="shared" si="3"/>
        <v>0</v>
      </c>
      <c r="I21" s="290">
        <f t="shared" si="3"/>
        <v>3.95812094211578e-9</v>
      </c>
      <c r="J21" s="289"/>
      <c r="K21" s="289"/>
      <c r="L21" s="289"/>
      <c r="M21" s="289"/>
      <c r="N21" s="289"/>
      <c r="O21" s="289"/>
      <c r="P21" s="289"/>
      <c r="Q21" s="289"/>
      <c r="R21" s="289"/>
      <c r="S21" s="289"/>
    </row>
    <row r="22" s="244" customFormat="1" ht="25" customHeight="1" spans="1:19">
      <c r="A22" s="289"/>
      <c r="B22" s="289"/>
      <c r="C22" s="291"/>
      <c r="D22" s="291"/>
      <c r="E22" s="291"/>
      <c r="F22" s="291"/>
      <c r="G22" s="291"/>
      <c r="H22" s="291"/>
      <c r="I22" s="289"/>
      <c r="J22" s="289"/>
      <c r="K22" s="289"/>
      <c r="L22" s="289">
        <v>1276196</v>
      </c>
      <c r="M22" s="289"/>
      <c r="N22" s="289"/>
      <c r="O22" s="289"/>
      <c r="P22" s="289"/>
      <c r="Q22" s="289"/>
      <c r="R22" s="289"/>
      <c r="S22" s="289"/>
    </row>
    <row r="23" customFormat="1" ht="25" customHeight="1" spans="1:19">
      <c r="A23" s="243"/>
      <c r="B23" s="243"/>
      <c r="C23" s="243"/>
      <c r="D23" s="243"/>
      <c r="E23" s="243"/>
      <c r="F23" s="243"/>
      <c r="G23" s="243"/>
      <c r="H23" s="243"/>
      <c r="I23" s="243"/>
      <c r="J23" s="243"/>
      <c r="K23" s="243"/>
      <c r="L23" s="243">
        <f>L22-I16</f>
        <v>-219188.666666666</v>
      </c>
      <c r="M23" s="243"/>
      <c r="N23" s="243"/>
      <c r="O23" s="243"/>
      <c r="P23" s="243"/>
      <c r="Q23" s="243"/>
      <c r="R23" s="243"/>
      <c r="S23" s="243"/>
    </row>
    <row r="24" ht="15"/>
    <row r="25" ht="22" customHeight="1" spans="1:19">
      <c r="A25" s="246" t="s">
        <v>2707</v>
      </c>
      <c r="B25" s="247"/>
      <c r="C25" s="247"/>
      <c r="D25" s="247"/>
      <c r="E25" s="247"/>
      <c r="F25" s="247"/>
      <c r="G25" s="247"/>
      <c r="H25" s="247"/>
      <c r="I25" s="247"/>
      <c r="J25" s="247"/>
      <c r="K25" s="247"/>
      <c r="L25" s="248"/>
    </row>
    <row r="26" ht="22" customHeight="1" spans="1:19">
      <c r="A26" s="249" t="s">
        <v>2684</v>
      </c>
      <c r="B26" s="250" t="s">
        <v>2534</v>
      </c>
      <c r="C26" s="251" t="s">
        <v>617</v>
      </c>
      <c r="D26" s="251" t="s">
        <v>123</v>
      </c>
      <c r="E26" s="252" t="s">
        <v>625</v>
      </c>
      <c r="F26" s="252" t="s">
        <v>621</v>
      </c>
      <c r="G26" s="252" t="s">
        <v>2685</v>
      </c>
      <c r="H26" s="252" t="s">
        <v>2686</v>
      </c>
      <c r="I26" s="253" t="s">
        <v>2687</v>
      </c>
      <c r="J26" s="254" t="s">
        <v>90</v>
      </c>
      <c r="K26" s="254" t="s">
        <v>2688</v>
      </c>
      <c r="L26" s="255" t="s">
        <v>2689</v>
      </c>
    </row>
    <row r="27" ht="22" customHeight="1" spans="1:19">
      <c r="A27" s="257" t="s">
        <v>2708</v>
      </c>
      <c r="B27" s="258">
        <v>45244</v>
      </c>
      <c r="C27" s="259">
        <v>40000</v>
      </c>
      <c r="D27" s="259">
        <v>32000</v>
      </c>
      <c r="E27" s="259">
        <v>30000</v>
      </c>
      <c r="F27" s="259">
        <v>30000</v>
      </c>
      <c r="G27" s="259">
        <v>30000</v>
      </c>
      <c r="H27" s="259">
        <v>30000</v>
      </c>
      <c r="I27" s="259">
        <f t="shared" ref="I27:I38" si="4">SUM(C27:H27)</f>
        <v>192000</v>
      </c>
      <c r="J27" s="259"/>
      <c r="K27" s="259"/>
      <c r="L27" s="260">
        <v>45301</v>
      </c>
    </row>
    <row r="28" s="242" customFormat="1" ht="22" customHeight="1" spans="1:19">
      <c r="A28" s="257" t="s">
        <v>2709</v>
      </c>
      <c r="B28" s="258">
        <v>45352</v>
      </c>
      <c r="C28" s="259">
        <v>30000</v>
      </c>
      <c r="D28" s="259">
        <v>35000</v>
      </c>
      <c r="E28" s="259">
        <v>30000</v>
      </c>
      <c r="F28" s="259">
        <v>30000</v>
      </c>
      <c r="G28" s="259">
        <v>30000</v>
      </c>
      <c r="H28" s="259">
        <v>30000</v>
      </c>
      <c r="I28" s="259">
        <f t="shared" si="4"/>
        <v>185000</v>
      </c>
      <c r="J28" s="259"/>
      <c r="K28" s="259"/>
      <c r="L28" s="260">
        <v>45434</v>
      </c>
      <c r="M28" s="292" t="s">
        <v>2710</v>
      </c>
    </row>
    <row r="29" ht="22" customHeight="1" spans="1:19">
      <c r="A29" s="258" t="s">
        <v>2711</v>
      </c>
      <c r="B29" s="258">
        <v>45422</v>
      </c>
      <c r="C29" s="259">
        <f>30000</f>
        <v>30000</v>
      </c>
      <c r="D29" s="259">
        <f>40000</f>
        <v>40000</v>
      </c>
      <c r="E29" s="259">
        <f>30000</f>
        <v>30000</v>
      </c>
      <c r="F29" s="259">
        <v>30000</v>
      </c>
      <c r="G29" s="259">
        <v>30000</v>
      </c>
      <c r="H29" s="259">
        <v>30000</v>
      </c>
      <c r="I29" s="259">
        <f t="shared" si="4"/>
        <v>190000</v>
      </c>
      <c r="J29" s="259"/>
      <c r="K29" s="259"/>
      <c r="L29" s="260">
        <v>45503</v>
      </c>
      <c r="M29" s="264" t="s">
        <v>2710</v>
      </c>
    </row>
    <row r="30" s="242" customFormat="1" ht="22" customHeight="1" spans="1:19">
      <c r="A30" s="258" t="s">
        <v>2712</v>
      </c>
      <c r="B30" s="258">
        <v>45456</v>
      </c>
      <c r="C30" s="263">
        <v>30000</v>
      </c>
      <c r="D30" s="259">
        <v>35000</v>
      </c>
      <c r="E30" s="263">
        <v>30000</v>
      </c>
      <c r="F30" s="263">
        <v>30000</v>
      </c>
      <c r="G30" s="263">
        <v>30000</v>
      </c>
      <c r="H30" s="263">
        <v>30000</v>
      </c>
      <c r="I30" s="259">
        <f t="shared" si="4"/>
        <v>185000</v>
      </c>
      <c r="J30" s="263"/>
      <c r="K30" s="259"/>
      <c r="L30" s="260">
        <v>45538</v>
      </c>
      <c r="M30" s="292" t="s">
        <v>2710</v>
      </c>
    </row>
    <row r="31" s="243" customFormat="1" ht="22" customHeight="1" spans="1:19">
      <c r="A31" s="258" t="s">
        <v>2713</v>
      </c>
      <c r="B31" s="258">
        <v>45496</v>
      </c>
      <c r="C31" s="263">
        <v>30000</v>
      </c>
      <c r="D31" s="259">
        <v>30000</v>
      </c>
      <c r="E31" s="263">
        <v>30000</v>
      </c>
      <c r="F31" s="263">
        <v>30000</v>
      </c>
      <c r="G31" s="263">
        <v>30000</v>
      </c>
      <c r="H31" s="263">
        <v>30000</v>
      </c>
      <c r="I31" s="259">
        <f t="shared" si="4"/>
        <v>180000</v>
      </c>
      <c r="J31" s="263"/>
      <c r="K31" s="259"/>
      <c r="L31" s="260">
        <v>45573</v>
      </c>
      <c r="M31" s="264" t="s">
        <v>2710</v>
      </c>
    </row>
    <row r="32" s="242" customFormat="1" ht="22" customHeight="1" spans="1:19">
      <c r="A32" s="293"/>
      <c r="B32" s="294" t="s">
        <v>2714</v>
      </c>
      <c r="C32" s="263">
        <v>9309</v>
      </c>
      <c r="D32" s="259">
        <v>2939</v>
      </c>
      <c r="E32" s="263">
        <v>6864</v>
      </c>
      <c r="F32" s="263">
        <v>2625</v>
      </c>
      <c r="G32" s="263">
        <v>2976</v>
      </c>
      <c r="H32" s="263">
        <v>6902</v>
      </c>
      <c r="I32" s="259">
        <f t="shared" si="4"/>
        <v>31615</v>
      </c>
      <c r="J32" s="263"/>
      <c r="K32" s="259"/>
      <c r="L32" s="260"/>
      <c r="M32" s="292" t="s">
        <v>2710</v>
      </c>
    </row>
    <row r="33" s="242" customFormat="1" ht="22" customHeight="1" spans="1:15">
      <c r="A33" s="293" t="s">
        <v>2715</v>
      </c>
      <c r="B33" s="258">
        <v>45580</v>
      </c>
      <c r="C33" s="263">
        <v>42000</v>
      </c>
      <c r="D33" s="259">
        <v>38000</v>
      </c>
      <c r="E33" s="263">
        <v>32000</v>
      </c>
      <c r="F33" s="263">
        <v>25000</v>
      </c>
      <c r="G33" s="263">
        <v>25000</v>
      </c>
      <c r="H33" s="263">
        <v>25000</v>
      </c>
      <c r="I33" s="259">
        <f t="shared" si="4"/>
        <v>187000</v>
      </c>
      <c r="J33" s="263"/>
      <c r="K33" s="259"/>
      <c r="L33" s="260">
        <v>45646</v>
      </c>
      <c r="M33" s="292" t="s">
        <v>2710</v>
      </c>
    </row>
    <row r="34" s="242" customFormat="1" ht="22" customHeight="1" spans="1:15">
      <c r="A34" s="293" t="s">
        <v>2716</v>
      </c>
      <c r="B34" s="258">
        <v>45629</v>
      </c>
      <c r="C34" s="263">
        <v>40000</v>
      </c>
      <c r="D34" s="259">
        <v>30000</v>
      </c>
      <c r="E34" s="263">
        <v>30000</v>
      </c>
      <c r="F34" s="263">
        <v>25000</v>
      </c>
      <c r="G34" s="263">
        <v>30000</v>
      </c>
      <c r="H34" s="263">
        <v>25000</v>
      </c>
      <c r="I34" s="259">
        <f t="shared" si="4"/>
        <v>180000</v>
      </c>
      <c r="J34" s="263"/>
      <c r="K34" s="259"/>
      <c r="L34" s="260">
        <v>45721</v>
      </c>
      <c r="M34" s="292" t="s">
        <v>2710</v>
      </c>
    </row>
    <row r="35" s="242" customFormat="1" ht="22" customHeight="1" spans="1:15">
      <c r="A35" s="295" t="s">
        <v>2717</v>
      </c>
      <c r="B35" s="258">
        <v>45939</v>
      </c>
      <c r="C35" s="263">
        <f t="shared" ref="C35:H35" si="5">20000-C36</f>
        <v>11666</v>
      </c>
      <c r="D35" s="263">
        <f t="shared" si="5"/>
        <v>11666</v>
      </c>
      <c r="E35" s="263">
        <f t="shared" si="5"/>
        <v>11666</v>
      </c>
      <c r="F35" s="263">
        <f t="shared" si="5"/>
        <v>11666</v>
      </c>
      <c r="G35" s="263">
        <f t="shared" si="5"/>
        <v>11666</v>
      </c>
      <c r="H35" s="263">
        <f t="shared" si="5"/>
        <v>11666</v>
      </c>
      <c r="I35" s="259">
        <f t="shared" si="4"/>
        <v>69996</v>
      </c>
      <c r="J35" s="263"/>
      <c r="K35" s="295">
        <v>9286</v>
      </c>
      <c r="L35" s="260">
        <v>45974</v>
      </c>
      <c r="M35" s="292"/>
    </row>
    <row r="36" s="242" customFormat="1" ht="22" customHeight="1" spans="1:15">
      <c r="A36" s="295" t="s">
        <v>2717</v>
      </c>
      <c r="B36" s="258">
        <v>45939</v>
      </c>
      <c r="C36" s="263">
        <v>8334</v>
      </c>
      <c r="D36" s="263">
        <v>8334</v>
      </c>
      <c r="E36" s="263">
        <v>8334</v>
      </c>
      <c r="F36" s="263">
        <v>8334</v>
      </c>
      <c r="G36" s="263">
        <v>8334</v>
      </c>
      <c r="H36" s="263">
        <v>8334</v>
      </c>
      <c r="I36" s="259">
        <f t="shared" si="4"/>
        <v>50004</v>
      </c>
      <c r="J36" s="263"/>
      <c r="K36" s="295">
        <v>9283</v>
      </c>
      <c r="L36" s="260">
        <v>45974</v>
      </c>
      <c r="M36" s="292" t="s">
        <v>2718</v>
      </c>
    </row>
    <row r="37" s="242" customFormat="1" ht="22" customHeight="1" spans="1:15">
      <c r="A37" s="296" t="s">
        <v>2719</v>
      </c>
      <c r="B37" s="297">
        <v>46036</v>
      </c>
      <c r="C37" s="298">
        <v>20000</v>
      </c>
      <c r="D37" s="298">
        <v>20000</v>
      </c>
      <c r="E37" s="298">
        <v>20000</v>
      </c>
      <c r="F37" s="298">
        <v>20000</v>
      </c>
      <c r="G37" s="298">
        <v>20000</v>
      </c>
      <c r="H37" s="298">
        <v>20000</v>
      </c>
      <c r="I37" s="259">
        <f t="shared" si="4"/>
        <v>120000</v>
      </c>
      <c r="J37" s="298"/>
      <c r="K37" s="299"/>
      <c r="L37" s="300">
        <v>46106</v>
      </c>
      <c r="M37" s="292" t="s">
        <v>2718</v>
      </c>
      <c r="N37" s="301"/>
    </row>
    <row r="38" s="245" customFormat="1" ht="22" customHeight="1" spans="1:15">
      <c r="A38" s="302" t="s">
        <v>2720</v>
      </c>
      <c r="B38" s="303">
        <v>46227</v>
      </c>
      <c r="C38" s="304">
        <v>20000</v>
      </c>
      <c r="D38" s="304">
        <v>20000</v>
      </c>
      <c r="E38" s="304">
        <v>20000</v>
      </c>
      <c r="F38" s="304">
        <v>20000</v>
      </c>
      <c r="G38" s="304">
        <v>20000</v>
      </c>
      <c r="H38" s="304">
        <v>20000</v>
      </c>
      <c r="I38" s="305">
        <f t="shared" si="4"/>
        <v>120000</v>
      </c>
      <c r="J38" s="306"/>
      <c r="K38" s="307"/>
      <c r="L38" s="303">
        <v>46295</v>
      </c>
      <c r="M38" s="308" t="s">
        <v>2718</v>
      </c>
      <c r="N38" s="309"/>
    </row>
    <row r="39" ht="22" customHeight="1" spans="1:15">
      <c r="A39" s="257"/>
      <c r="B39" s="258"/>
      <c r="C39" s="263"/>
      <c r="D39" s="263"/>
      <c r="E39" s="263"/>
      <c r="F39" s="263"/>
      <c r="G39" s="263"/>
      <c r="H39" s="263"/>
      <c r="I39" s="263"/>
      <c r="J39" s="263"/>
      <c r="K39" s="259"/>
      <c r="L39" s="260"/>
      <c r="M39" s="310"/>
      <c r="N39" s="289"/>
    </row>
    <row r="40" ht="22" customHeight="1" spans="1:15">
      <c r="A40" s="268"/>
      <c r="B40" s="269" t="s">
        <v>2700</v>
      </c>
      <c r="C40" s="269">
        <f>SUM(C27:C39)</f>
        <v>311309</v>
      </c>
      <c r="D40" s="269">
        <f t="shared" ref="D40:I40" si="6">SUM(D27:D39)</f>
        <v>302939</v>
      </c>
      <c r="E40" s="269">
        <f t="shared" si="6"/>
        <v>278864</v>
      </c>
      <c r="F40" s="269">
        <f t="shared" si="6"/>
        <v>262625</v>
      </c>
      <c r="G40" s="269">
        <f t="shared" si="6"/>
        <v>267976</v>
      </c>
      <c r="H40" s="269">
        <f t="shared" si="6"/>
        <v>266902</v>
      </c>
      <c r="I40" s="269">
        <f t="shared" si="6"/>
        <v>1690615</v>
      </c>
      <c r="J40" s="269"/>
      <c r="K40" s="269"/>
      <c r="L40" s="271"/>
      <c r="N40" s="289"/>
    </row>
    <row r="41" ht="22" customHeight="1" spans="1:15">
      <c r="A41" s="277" t="s">
        <v>2702</v>
      </c>
      <c r="B41" s="278"/>
      <c r="C41" s="311">
        <v>183134.5</v>
      </c>
      <c r="D41" s="311">
        <v>174470.833333334</v>
      </c>
      <c r="E41" s="311">
        <v>148006.833333334</v>
      </c>
      <c r="F41" s="311">
        <v>132023.5</v>
      </c>
      <c r="G41" s="311">
        <v>139031.833333334</v>
      </c>
      <c r="H41" s="311">
        <v>139404.833333334</v>
      </c>
      <c r="I41" s="311">
        <f>SUM(C41:H41)</f>
        <v>916072.333333336</v>
      </c>
      <c r="J41" s="280"/>
      <c r="K41" s="280"/>
      <c r="L41" s="271"/>
    </row>
    <row r="42" ht="22" customHeight="1" spans="1:15">
      <c r="A42" s="268"/>
      <c r="B42" s="269" t="s">
        <v>2703</v>
      </c>
      <c r="C42" s="270">
        <f>'9283'!BH564+C41</f>
        <v>288487.211466667</v>
      </c>
      <c r="D42" s="270">
        <f>'9283'!BI564+D41</f>
        <v>278992.957600001</v>
      </c>
      <c r="E42" s="270">
        <f>'9283'!BJ564+E41</f>
        <v>255159.370400001</v>
      </c>
      <c r="F42" s="270">
        <f>'9283'!BK564+F41</f>
        <v>239109.523466667</v>
      </c>
      <c r="G42" s="270">
        <f>'9283'!BL564+G41</f>
        <v>242754.050400001</v>
      </c>
      <c r="H42" s="270">
        <f>'9283'!BM564+H41</f>
        <v>244417.269600001</v>
      </c>
      <c r="I42" s="270">
        <f>SUM(C42:H42)</f>
        <v>1548920.38293334</v>
      </c>
      <c r="J42" s="280"/>
      <c r="K42" s="280"/>
      <c r="L42" s="271"/>
    </row>
    <row r="43" ht="22" customHeight="1" spans="1:15">
      <c r="A43" s="268"/>
      <c r="B43" s="269" t="s">
        <v>2704</v>
      </c>
      <c r="C43" s="270"/>
      <c r="D43" s="270"/>
      <c r="E43" s="270"/>
      <c r="F43" s="270"/>
      <c r="G43" s="270"/>
      <c r="H43" s="270"/>
      <c r="I43" s="270"/>
      <c r="J43" s="280"/>
      <c r="K43" s="280"/>
      <c r="L43" s="271"/>
    </row>
    <row r="44" ht="22" customHeight="1" spans="1:15">
      <c r="A44" s="268"/>
      <c r="B44" s="269" t="s">
        <v>2705</v>
      </c>
      <c r="C44" s="281">
        <f t="shared" ref="C44:H44" si="7">C40-C42-C43</f>
        <v>22821.7885333333</v>
      </c>
      <c r="D44" s="281">
        <f t="shared" si="7"/>
        <v>23946.0423999993</v>
      </c>
      <c r="E44" s="281">
        <f t="shared" si="7"/>
        <v>23704.6295999993</v>
      </c>
      <c r="F44" s="281">
        <f t="shared" si="7"/>
        <v>23515.4765333333</v>
      </c>
      <c r="G44" s="281">
        <f t="shared" si="7"/>
        <v>25221.9495999994</v>
      </c>
      <c r="H44" s="281">
        <f t="shared" si="7"/>
        <v>22484.7303999994</v>
      </c>
      <c r="I44" s="281">
        <f>SUM(C44:H44)</f>
        <v>141694.617066664</v>
      </c>
      <c r="J44" s="280"/>
      <c r="K44" s="280"/>
      <c r="L44" s="271"/>
      <c r="M44" s="308" t="s">
        <v>2721</v>
      </c>
      <c r="N44" s="264" t="s">
        <v>2722</v>
      </c>
    </row>
    <row r="45" ht="22" customHeight="1" spans="1:15">
      <c r="A45" s="282"/>
      <c r="B45" s="283" t="s">
        <v>2706</v>
      </c>
      <c r="C45" s="284">
        <f>SUM(C44:H44)</f>
        <v>141694.617066664</v>
      </c>
      <c r="D45" s="285"/>
      <c r="E45" s="285"/>
      <c r="F45" s="285"/>
      <c r="G45" s="285"/>
      <c r="H45" s="285"/>
      <c r="I45" s="283"/>
      <c r="J45" s="286"/>
      <c r="K45" s="286"/>
      <c r="L45" s="287"/>
      <c r="M45" s="256">
        <f>I40+I13</f>
        <v>3186000</v>
      </c>
      <c r="N45" s="288">
        <f>I16+I42</f>
        <v>3044305.0496</v>
      </c>
      <c r="O45" s="288">
        <f>M45-N45</f>
        <v>141694.950399998</v>
      </c>
    </row>
    <row r="46" ht="23" customHeight="1" spans="1:15">
      <c r="C46" s="288">
        <v>204911.833333333</v>
      </c>
      <c r="D46" s="288">
        <v>196356.166666667</v>
      </c>
      <c r="E46" s="288">
        <v>169216.166666667</v>
      </c>
      <c r="F46" s="288">
        <v>152908.833333333</v>
      </c>
      <c r="G46" s="288">
        <v>159917.166666667</v>
      </c>
      <c r="H46" s="288">
        <v>160290.166666667</v>
      </c>
      <c r="I46" s="288">
        <v>1043600.33333333</v>
      </c>
    </row>
    <row r="47" ht="23" customHeight="1" spans="1:15">
      <c r="C47" s="288">
        <f>C46-C42</f>
        <v>-83575.3781333337</v>
      </c>
      <c r="D47" s="288">
        <f t="shared" ref="D47:I47" si="8">D46-D42</f>
        <v>-82636.7909333337</v>
      </c>
      <c r="E47" s="288">
        <f t="shared" si="8"/>
        <v>-85943.2037333336</v>
      </c>
      <c r="F47" s="288">
        <f t="shared" si="8"/>
        <v>-86200.6901333337</v>
      </c>
      <c r="G47" s="288">
        <f t="shared" si="8"/>
        <v>-82836.8837333336</v>
      </c>
      <c r="H47" s="288">
        <f t="shared" si="8"/>
        <v>-84127.1029333336</v>
      </c>
      <c r="I47" s="288">
        <f t="shared" si="8"/>
        <v>-505320.049600006</v>
      </c>
    </row>
    <row r="48" ht="23" customHeight="1"/>
    <row r="49" s="243" customFormat="1" ht="23" customHeight="1" spans="2:8">
      <c r="B49" s="243" t="s">
        <v>2723</v>
      </c>
      <c r="C49" s="288">
        <f>C42+C16</f>
        <v>539178.378133334</v>
      </c>
      <c r="D49" s="288">
        <f t="shared" ref="C49:H49" si="9">D42+D16</f>
        <v>528053.790933334</v>
      </c>
      <c r="E49" s="288">
        <f t="shared" si="9"/>
        <v>508295.203733334</v>
      </c>
      <c r="F49" s="288">
        <f t="shared" si="9"/>
        <v>476484.690133334</v>
      </c>
      <c r="G49" s="288">
        <f t="shared" si="9"/>
        <v>507777.883733334</v>
      </c>
      <c r="H49" s="288">
        <f t="shared" si="9"/>
        <v>484515.102933334</v>
      </c>
    </row>
  </sheetData>
  <sheetProtection formatCells="0" formatColumns="0" formatRows="0" insertRows="0" insertColumns="0" insertHyperlinks="0" deleteColumns="0" deleteRows="0" sort="0" autoFilter="0" pivotTables="0"/>
  <autoFilter xmlns:etc="http://www.wps.cn/officeDocument/2017/etCustomData" ref="A26:XFD47" etc:filterBottomFollowUsedRange="0">
    <extLst/>
  </autoFilter>
  <mergeCells count="4">
    <mergeCell ref="A2:L2"/>
    <mergeCell ref="C19:H19"/>
    <mergeCell ref="A25:L25"/>
    <mergeCell ref="C45:H45"/>
  </mergeCells>
  <pageMargins left="0" right="0" top="0" bottom="0" header="0.509027777777778" footer="0.509027777777778"/>
  <pageSetup paperSize="9" scale="10" orientation="landscape" horizontalDpi="600"/>
  <headerFooter/>
  <ignoredErrors>
    <ignoredError sqref="I27 I4:I10" formulaRange="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sheetPr>
  <dimension ref="A1:XFD66"/>
  <sheetViews>
    <sheetView zoomScale="70" zoomScaleNormal="70" topLeftCell="AV1" workbookViewId="0">
      <pane ySplit="1" topLeftCell="A63" activePane="bottomLeft" state="frozen"/>
      <selection/>
      <selection pane="bottomLeft" activeCell="A517" sqref="$A517:$XFD519"/>
    </sheetView>
  </sheetViews>
  <sheetFormatPr defaultColWidth="8.8" defaultRowHeight="13.5"/>
  <cols>
    <col min="1" max="1" width="23.4083333333333" style="3" customWidth="1"/>
    <col min="2" max="3" width="10.8166666666667" style="3" customWidth="1"/>
    <col min="4" max="9" width="14.275" style="3" customWidth="1"/>
    <col min="10" max="13" width="10.8166666666667" style="3" customWidth="1"/>
    <col min="14" max="16" width="14.7083333333333" style="3" customWidth="1"/>
    <col min="17" max="18" width="10.8166666666667" style="3" customWidth="1"/>
    <col min="19" max="19" width="13.85" style="3" customWidth="1"/>
    <col min="20" max="26" width="8.8" style="3" customWidth="1"/>
    <col min="27" max="27" width="11.6" style="3" customWidth="1"/>
    <col min="28" max="28" width="10.6" style="3" customWidth="1"/>
    <col min="29" max="51" width="8.8" style="3" customWidth="1"/>
    <col min="52" max="57" width="11.5" style="3" customWidth="1"/>
    <col min="58" max="74" width="8.8" style="3" customWidth="1"/>
    <col min="75" max="16384" width="8.8" style="3"/>
  </cols>
  <sheetData>
    <row r="1" s="1" customFormat="1" ht="37" customHeight="1" spans="1:73">
      <c r="A1" s="10" t="s">
        <v>2724</v>
      </c>
      <c r="B1" s="10" t="s">
        <v>10</v>
      </c>
      <c r="C1" s="10" t="s">
        <v>11</v>
      </c>
      <c r="D1" s="10" t="s">
        <v>12</v>
      </c>
      <c r="E1" s="10" t="s">
        <v>13</v>
      </c>
      <c r="F1" s="10" t="s">
        <v>14</v>
      </c>
      <c r="G1" s="10" t="s">
        <v>37</v>
      </c>
      <c r="H1" s="10" t="s">
        <v>15</v>
      </c>
      <c r="I1" s="10" t="s">
        <v>16</v>
      </c>
      <c r="J1" s="10" t="s">
        <v>17</v>
      </c>
      <c r="K1" s="10" t="s">
        <v>18</v>
      </c>
      <c r="L1" s="10" t="s">
        <v>19</v>
      </c>
      <c r="M1" s="10" t="s">
        <v>20</v>
      </c>
      <c r="N1" s="10" t="s">
        <v>21</v>
      </c>
      <c r="O1" s="10" t="s">
        <v>22</v>
      </c>
      <c r="P1" s="11" t="s">
        <v>23</v>
      </c>
      <c r="Q1" s="10" t="s">
        <v>2725</v>
      </c>
      <c r="R1" s="10" t="s">
        <v>2726</v>
      </c>
      <c r="S1" s="10" t="s">
        <v>2727</v>
      </c>
      <c r="T1" s="10" t="s">
        <v>26</v>
      </c>
      <c r="U1" s="10" t="s">
        <v>27</v>
      </c>
      <c r="V1" s="11" t="s">
        <v>29</v>
      </c>
      <c r="W1" s="11" t="s">
        <v>30</v>
      </c>
      <c r="X1" s="11" t="s">
        <v>31</v>
      </c>
      <c r="Y1" s="12" t="s">
        <v>32</v>
      </c>
      <c r="Z1" s="10" t="s">
        <v>33</v>
      </c>
      <c r="AA1" s="10" t="s">
        <v>34</v>
      </c>
      <c r="AB1" s="13" t="s">
        <v>35</v>
      </c>
      <c r="AC1" s="14" t="s">
        <v>36</v>
      </c>
      <c r="AD1" s="14" t="s">
        <v>38</v>
      </c>
      <c r="AE1" s="10" t="s">
        <v>2728</v>
      </c>
      <c r="AF1" s="15" t="s">
        <v>2729</v>
      </c>
      <c r="AG1" s="15" t="s">
        <v>45</v>
      </c>
      <c r="AH1" s="15" t="s">
        <v>46</v>
      </c>
      <c r="AI1" s="16" t="s">
        <v>49</v>
      </c>
      <c r="AJ1" s="16" t="s">
        <v>50</v>
      </c>
      <c r="AK1" s="16" t="s">
        <v>53</v>
      </c>
      <c r="AL1" s="16" t="s">
        <v>56</v>
      </c>
      <c r="AM1" s="16" t="s">
        <v>59</v>
      </c>
      <c r="AN1" s="16" t="s">
        <v>60</v>
      </c>
      <c r="AO1" s="16" t="s">
        <v>66</v>
      </c>
      <c r="AP1" s="17" t="s">
        <v>68</v>
      </c>
      <c r="AQ1" s="17" t="s">
        <v>69</v>
      </c>
      <c r="AR1" s="17" t="s">
        <v>70</v>
      </c>
      <c r="AS1" s="17" t="s">
        <v>2730</v>
      </c>
      <c r="AT1" s="17" t="s">
        <v>2731</v>
      </c>
      <c r="AU1" s="17" t="s">
        <v>2732</v>
      </c>
      <c r="AV1" s="18" t="s">
        <v>2733</v>
      </c>
      <c r="AW1" s="18" t="s">
        <v>74</v>
      </c>
      <c r="AX1" s="19" t="s">
        <v>75</v>
      </c>
      <c r="AY1" s="20"/>
      <c r="AZ1" s="20"/>
      <c r="BA1" s="20"/>
      <c r="BB1" s="20"/>
      <c r="BC1" s="20"/>
      <c r="BD1" s="20"/>
      <c r="BE1" s="20"/>
      <c r="BF1" s="20"/>
      <c r="BG1" s="20"/>
      <c r="BH1" s="20"/>
      <c r="BI1" s="20"/>
      <c r="BJ1" s="20"/>
      <c r="BK1" s="20"/>
      <c r="BL1" s="20"/>
    </row>
    <row r="2" s="1" customFormat="1" ht="37" hidden="1" customHeight="1" spans="1:73">
      <c r="A2" s="21">
        <v>44986</v>
      </c>
      <c r="B2" s="20" t="s">
        <v>2734</v>
      </c>
      <c r="C2" s="22" t="s">
        <v>2735</v>
      </c>
      <c r="D2" s="23">
        <v>4500096312</v>
      </c>
      <c r="E2" s="24"/>
      <c r="F2" s="23" t="s">
        <v>2736</v>
      </c>
      <c r="G2" s="19" t="s">
        <v>81</v>
      </c>
      <c r="H2" s="19" t="s">
        <v>81</v>
      </c>
      <c r="I2" s="18" t="s">
        <v>95</v>
      </c>
      <c r="J2" s="20">
        <v>1500</v>
      </c>
      <c r="K2" s="20">
        <v>0</v>
      </c>
      <c r="L2" s="20">
        <v>6</v>
      </c>
      <c r="M2" s="20">
        <f>J2/6</f>
        <v>250</v>
      </c>
      <c r="N2" s="25">
        <v>45056</v>
      </c>
      <c r="O2" s="25">
        <v>45052</v>
      </c>
      <c r="P2" s="26"/>
      <c r="Q2" s="26"/>
      <c r="R2" s="18"/>
      <c r="S2" s="18"/>
      <c r="T2" s="26" t="s">
        <v>2502</v>
      </c>
      <c r="U2" s="26"/>
      <c r="V2" s="26" t="s">
        <v>2737</v>
      </c>
      <c r="W2" s="26"/>
      <c r="X2" s="26"/>
      <c r="Y2" s="17" t="s">
        <v>2738</v>
      </c>
      <c r="Z2" s="20" t="s">
        <v>2739</v>
      </c>
      <c r="AA2" s="27">
        <v>5.8012</v>
      </c>
      <c r="AB2" s="28">
        <f>AA2*J2</f>
        <v>8701.8</v>
      </c>
      <c r="AC2" s="23"/>
      <c r="AD2" s="29" t="s">
        <v>89</v>
      </c>
      <c r="AE2" s="29">
        <f>J2</f>
        <v>1500</v>
      </c>
      <c r="AF2" s="29"/>
      <c r="AG2" s="19"/>
      <c r="AH2" s="30">
        <f>J2</f>
        <v>1500</v>
      </c>
      <c r="AI2" s="29"/>
      <c r="AJ2" s="29">
        <f>J2</f>
        <v>1500</v>
      </c>
      <c r="AK2" s="29"/>
      <c r="AL2" s="29"/>
      <c r="AM2" s="31"/>
      <c r="AN2" s="31"/>
      <c r="AO2" s="31" t="s">
        <v>90</v>
      </c>
      <c r="AP2" s="30">
        <f>J2/6</f>
        <v>250</v>
      </c>
      <c r="AQ2" s="30">
        <f>J2/6</f>
        <v>250</v>
      </c>
      <c r="AR2" s="30">
        <f>J2/6</f>
        <v>250</v>
      </c>
      <c r="AS2" s="30">
        <f>J2/6</f>
        <v>250</v>
      </c>
      <c r="AT2" s="30">
        <f>J2/6</f>
        <v>250</v>
      </c>
      <c r="AU2" s="30">
        <f>J2/6</f>
        <v>250</v>
      </c>
      <c r="AV2" s="18"/>
      <c r="AW2" s="18">
        <f>SUM(AP2:AV2)</f>
        <v>1500</v>
      </c>
      <c r="AX2" s="19">
        <f>J2-AW2</f>
        <v>0</v>
      </c>
      <c r="AY2" s="20"/>
      <c r="AZ2" s="20"/>
      <c r="BA2" s="20"/>
      <c r="BB2" s="20"/>
      <c r="BC2" s="20"/>
      <c r="BD2" s="20"/>
      <c r="BE2" s="20"/>
      <c r="BF2" s="20"/>
      <c r="BG2" s="20"/>
      <c r="BH2" s="20"/>
      <c r="BI2" s="20"/>
      <c r="BJ2" s="20"/>
      <c r="BK2" s="20"/>
      <c r="BL2" s="20"/>
    </row>
    <row r="3" s="1" customFormat="1" ht="24" hidden="1" customHeight="1" spans="1:73">
      <c r="A3" s="21">
        <v>45090</v>
      </c>
      <c r="B3" s="20" t="s">
        <v>91</v>
      </c>
      <c r="C3" s="22" t="s">
        <v>92</v>
      </c>
      <c r="D3" s="23">
        <v>4500106533</v>
      </c>
      <c r="E3" s="24"/>
      <c r="F3" s="23" t="s">
        <v>2740</v>
      </c>
      <c r="G3" s="19" t="s">
        <v>2741</v>
      </c>
      <c r="H3" s="19" t="s">
        <v>81</v>
      </c>
      <c r="I3" s="18" t="s">
        <v>95</v>
      </c>
      <c r="J3" s="20">
        <v>6000</v>
      </c>
      <c r="K3" s="20">
        <v>0</v>
      </c>
      <c r="L3" s="20">
        <v>6</v>
      </c>
      <c r="M3" s="20">
        <f>J3/6</f>
        <v>1000</v>
      </c>
      <c r="N3" s="25">
        <v>45159</v>
      </c>
      <c r="O3" s="25">
        <v>45211</v>
      </c>
      <c r="P3" s="26" t="s">
        <v>2742</v>
      </c>
      <c r="Q3" s="26"/>
      <c r="R3" s="18"/>
      <c r="S3" s="18"/>
      <c r="T3" s="26" t="s">
        <v>2502</v>
      </c>
      <c r="U3" s="26"/>
      <c r="V3" s="26" t="s">
        <v>86</v>
      </c>
      <c r="W3" s="26" t="s">
        <v>2743</v>
      </c>
      <c r="X3" s="26"/>
      <c r="Y3" s="17" t="s">
        <v>2744</v>
      </c>
      <c r="Z3" s="20" t="s">
        <v>100</v>
      </c>
      <c r="AA3" s="27">
        <v>5.9464</v>
      </c>
      <c r="AB3" s="28">
        <f>AA3*J3</f>
        <v>35678.4</v>
      </c>
      <c r="AC3" s="23"/>
      <c r="AD3" s="29" t="s">
        <v>89</v>
      </c>
      <c r="AE3" s="29">
        <f>J3</f>
        <v>6000</v>
      </c>
      <c r="AF3" s="29"/>
      <c r="AG3" s="19"/>
      <c r="AH3" s="30">
        <f>J3</f>
        <v>6000</v>
      </c>
      <c r="AI3" s="29"/>
      <c r="AJ3" s="29">
        <f>J3</f>
        <v>6000</v>
      </c>
      <c r="AK3" s="29"/>
      <c r="AL3" s="29"/>
      <c r="AM3" s="31"/>
      <c r="AN3" s="31"/>
      <c r="AO3" s="31"/>
      <c r="AP3" s="30"/>
      <c r="AQ3" s="30"/>
      <c r="AR3" s="30"/>
      <c r="AS3" s="30"/>
      <c r="AT3" s="30" t="s">
        <v>90</v>
      </c>
      <c r="AU3" s="30">
        <f>J3/6</f>
        <v>1000</v>
      </c>
      <c r="AV3" s="18">
        <f>J3/6</f>
        <v>1000</v>
      </c>
      <c r="AW3" s="18">
        <f>J3/6</f>
        <v>1000</v>
      </c>
      <c r="AX3" s="19">
        <f>J3/6</f>
        <v>1000</v>
      </c>
      <c r="AY3" s="20">
        <f>J3/6</f>
        <v>1000</v>
      </c>
      <c r="AZ3" s="20">
        <f>J3/6</f>
        <v>1000</v>
      </c>
      <c r="BA3" s="20">
        <f>SUM(AU3:AZ3)</f>
        <v>6000</v>
      </c>
      <c r="BB3" s="20">
        <f>J3-BA3</f>
        <v>0</v>
      </c>
      <c r="BC3" s="20"/>
      <c r="BD3" s="20"/>
      <c r="BE3" s="20"/>
      <c r="BF3" s="20"/>
      <c r="BG3" s="20"/>
      <c r="BH3" s="20"/>
      <c r="BI3" s="20"/>
      <c r="BJ3" s="20"/>
      <c r="BK3" s="20"/>
      <c r="BL3" s="20"/>
    </row>
    <row r="4" s="1" customFormat="1" ht="24" hidden="1" customHeight="1" spans="1:73">
      <c r="A4" s="21">
        <v>45166</v>
      </c>
      <c r="B4" s="20" t="s">
        <v>2745</v>
      </c>
      <c r="C4" s="22" t="s">
        <v>2746</v>
      </c>
      <c r="D4" s="23" t="s">
        <v>2747</v>
      </c>
      <c r="E4" s="24"/>
      <c r="F4" s="23"/>
      <c r="G4" s="19" t="s">
        <v>2748</v>
      </c>
      <c r="H4" s="19" t="s">
        <v>81</v>
      </c>
      <c r="I4" s="18" t="s">
        <v>95</v>
      </c>
      <c r="J4" s="20" t="e">
        <f>46116-'9283'!#REF!-'9283'!#REF!-'9283'!#REF!-'9283'!#REF!-'9283'!#REF!</f>
        <v>#REF!</v>
      </c>
      <c r="K4" s="20">
        <v>0</v>
      </c>
      <c r="L4" s="20">
        <v>6</v>
      </c>
      <c r="M4" s="20" t="e">
        <f>J4/6</f>
        <v>#REF!</v>
      </c>
      <c r="N4" s="25">
        <v>45196</v>
      </c>
      <c r="O4" s="25">
        <v>45211</v>
      </c>
      <c r="P4" s="26" t="s">
        <v>2749</v>
      </c>
      <c r="Q4" s="26"/>
      <c r="R4" s="18"/>
      <c r="S4" s="18"/>
      <c r="T4" s="26" t="s">
        <v>2502</v>
      </c>
      <c r="U4" s="26"/>
      <c r="V4" s="26" t="s">
        <v>86</v>
      </c>
      <c r="W4" s="26"/>
      <c r="X4" s="26"/>
      <c r="Y4" s="17" t="s">
        <v>2750</v>
      </c>
      <c r="Z4" s="20"/>
      <c r="AA4" s="27"/>
      <c r="AB4" s="28"/>
      <c r="AC4" s="23"/>
      <c r="AD4" s="29"/>
      <c r="AE4" s="29"/>
      <c r="AF4" s="29" t="e">
        <f>J4</f>
        <v>#REF!</v>
      </c>
      <c r="AG4" s="19"/>
      <c r="AH4" s="30"/>
      <c r="AI4" s="29"/>
      <c r="AJ4" s="29"/>
      <c r="AK4" s="29" t="e">
        <f>J4</f>
        <v>#REF!</v>
      </c>
      <c r="AL4" s="29"/>
      <c r="AM4" s="31"/>
      <c r="AN4" s="31" t="e">
        <f t="shared" ref="AN4:AN31" si="0">J4</f>
        <v>#REF!</v>
      </c>
      <c r="AO4" s="31"/>
      <c r="AP4" s="30"/>
      <c r="AQ4" s="30"/>
      <c r="AR4" s="30"/>
      <c r="AS4" s="30"/>
      <c r="AT4" s="30"/>
      <c r="AU4" s="30"/>
      <c r="AV4" s="18"/>
      <c r="AW4" s="18"/>
      <c r="AX4" s="19"/>
      <c r="AY4" s="20" t="s">
        <v>90</v>
      </c>
      <c r="AZ4" s="20" t="e">
        <f>J4/6</f>
        <v>#REF!</v>
      </c>
      <c r="BA4" s="20" t="e">
        <f>J4/6</f>
        <v>#REF!</v>
      </c>
      <c r="BB4" s="20" t="e">
        <f>J4/6</f>
        <v>#REF!</v>
      </c>
      <c r="BC4" s="20" t="e">
        <f>J4/6</f>
        <v>#REF!</v>
      </c>
      <c r="BD4" s="20" t="e">
        <f>J4/6</f>
        <v>#REF!</v>
      </c>
      <c r="BE4" s="20" t="e">
        <f>J4/6</f>
        <v>#REF!</v>
      </c>
      <c r="BF4" s="20" t="e">
        <f>SUM(AZ4:BE4)</f>
        <v>#REF!</v>
      </c>
      <c r="BG4" s="20" t="e">
        <f>J4-BF4</f>
        <v>#REF!</v>
      </c>
      <c r="BH4" s="20"/>
      <c r="BI4" s="20"/>
      <c r="BJ4" s="20"/>
      <c r="BK4" s="20"/>
      <c r="BL4" s="20"/>
    </row>
    <row r="5" s="1" customFormat="1" ht="24" hidden="1" customHeight="1" spans="1:73">
      <c r="A5" s="21">
        <v>45089</v>
      </c>
      <c r="B5" s="20" t="s">
        <v>2745</v>
      </c>
      <c r="C5" s="22" t="s">
        <v>2746</v>
      </c>
      <c r="D5" s="23" t="s">
        <v>2751</v>
      </c>
      <c r="E5" s="24"/>
      <c r="F5" s="23"/>
      <c r="G5" s="19" t="s">
        <v>2748</v>
      </c>
      <c r="H5" s="19" t="s">
        <v>81</v>
      </c>
      <c r="I5" s="18" t="s">
        <v>95</v>
      </c>
      <c r="J5" s="20">
        <v>10000</v>
      </c>
      <c r="K5" s="20">
        <v>0</v>
      </c>
      <c r="L5" s="20">
        <v>6</v>
      </c>
      <c r="M5" s="20">
        <f>J5/L5</f>
        <v>1666.66666666667</v>
      </c>
      <c r="N5" s="25">
        <v>45230</v>
      </c>
      <c r="O5" s="25">
        <v>45226</v>
      </c>
      <c r="P5" s="26" t="s">
        <v>2752</v>
      </c>
      <c r="Q5" s="26"/>
      <c r="R5" s="18"/>
      <c r="S5" s="18"/>
      <c r="T5" s="26" t="s">
        <v>2753</v>
      </c>
      <c r="U5" s="26"/>
      <c r="V5" s="26" t="s">
        <v>2754</v>
      </c>
      <c r="W5" s="26"/>
      <c r="X5" s="26"/>
      <c r="Y5" s="17" t="s">
        <v>2755</v>
      </c>
      <c r="Z5" s="20"/>
      <c r="AA5" s="27"/>
      <c r="AB5" s="28"/>
      <c r="AC5" s="23"/>
      <c r="AD5" s="29"/>
      <c r="AE5" s="29"/>
      <c r="AF5" s="29">
        <f>J5</f>
        <v>10000</v>
      </c>
      <c r="AG5" s="19"/>
      <c r="AH5" s="30"/>
      <c r="AI5" s="29"/>
      <c r="AJ5" s="29"/>
      <c r="AK5" s="29">
        <f>J5</f>
        <v>10000</v>
      </c>
      <c r="AL5" s="29"/>
      <c r="AM5" s="31"/>
      <c r="AN5" s="31">
        <f t="shared" si="0"/>
        <v>10000</v>
      </c>
      <c r="AO5" s="31"/>
      <c r="AP5" s="30"/>
      <c r="AQ5" s="30"/>
      <c r="AR5" s="30"/>
      <c r="AS5" s="30"/>
      <c r="AT5" s="30"/>
      <c r="AU5" s="30"/>
      <c r="AV5" s="18"/>
      <c r="AW5" s="18"/>
      <c r="AX5" s="19"/>
      <c r="AY5" s="20" t="s">
        <v>90</v>
      </c>
      <c r="AZ5" s="20">
        <f>J5/6</f>
        <v>1666.66666666667</v>
      </c>
      <c r="BA5" s="20">
        <f>J5/6</f>
        <v>1666.66666666667</v>
      </c>
      <c r="BB5" s="20">
        <f>J5/6</f>
        <v>1666.66666666667</v>
      </c>
      <c r="BC5" s="20">
        <f>J5/6</f>
        <v>1666.66666666667</v>
      </c>
      <c r="BD5" s="20">
        <f>J5/6</f>
        <v>1666.66666666667</v>
      </c>
      <c r="BE5" s="20">
        <f>J5/6</f>
        <v>1666.66666666667</v>
      </c>
      <c r="BF5" s="20">
        <f>SUM(AZ5:BE5)</f>
        <v>10000</v>
      </c>
      <c r="BG5" s="20">
        <f>J5-BF5</f>
        <v>0</v>
      </c>
      <c r="BH5" s="20"/>
      <c r="BI5" s="20"/>
      <c r="BJ5" s="20"/>
      <c r="BK5" s="20"/>
      <c r="BL5" s="20"/>
    </row>
    <row r="6" s="1" customFormat="1" ht="24" hidden="1" customHeight="1" spans="1:73">
      <c r="A6" s="21">
        <v>45341</v>
      </c>
      <c r="B6" s="20" t="s">
        <v>458</v>
      </c>
      <c r="C6" s="22" t="s">
        <v>255</v>
      </c>
      <c r="D6" s="23">
        <v>4500124253</v>
      </c>
      <c r="E6" s="24" t="s">
        <v>2756</v>
      </c>
      <c r="F6" s="23" t="s">
        <v>2757</v>
      </c>
      <c r="G6" s="19" t="s">
        <v>81</v>
      </c>
      <c r="H6" s="19" t="s">
        <v>95</v>
      </c>
      <c r="I6" s="18">
        <v>480</v>
      </c>
      <c r="J6" s="20">
        <v>0</v>
      </c>
      <c r="K6" s="20">
        <v>6</v>
      </c>
      <c r="L6" s="20">
        <v>80</v>
      </c>
      <c r="M6" s="20">
        <v>45376</v>
      </c>
      <c r="N6" s="25" t="s">
        <v>2758</v>
      </c>
      <c r="O6" s="25" t="s">
        <v>2759</v>
      </c>
      <c r="P6" s="26"/>
      <c r="Q6" s="26"/>
      <c r="R6" s="18" t="s">
        <v>2760</v>
      </c>
      <c r="S6" s="18"/>
      <c r="T6" s="26"/>
      <c r="U6" s="26" t="s">
        <v>2761</v>
      </c>
      <c r="V6" s="26"/>
      <c r="W6" s="26" t="s">
        <v>2762</v>
      </c>
      <c r="X6" s="26" t="s">
        <v>2763</v>
      </c>
      <c r="Y6" s="17" t="s">
        <v>2764</v>
      </c>
      <c r="Z6" s="20">
        <v>5.9155</v>
      </c>
      <c r="AA6" s="27">
        <v>2839.44</v>
      </c>
      <c r="AB6" s="28"/>
      <c r="AC6" s="23"/>
      <c r="AD6" s="29">
        <v>480</v>
      </c>
      <c r="AE6" s="29"/>
      <c r="AF6" s="29"/>
      <c r="AG6" s="19"/>
      <c r="AH6" s="30"/>
      <c r="AI6" s="29">
        <v>480</v>
      </c>
      <c r="AJ6" s="29"/>
      <c r="AK6" s="29"/>
      <c r="AL6" s="29">
        <v>480</v>
      </c>
      <c r="AM6" s="31"/>
      <c r="AN6" s="31"/>
      <c r="AO6" s="31"/>
      <c r="AP6" s="30"/>
      <c r="AQ6" s="30"/>
      <c r="AR6" s="31" t="s">
        <v>2765</v>
      </c>
      <c r="AS6" s="30"/>
      <c r="AT6" s="30"/>
      <c r="AU6" s="30"/>
      <c r="AV6" s="18"/>
      <c r="AW6" s="18"/>
      <c r="AX6" s="19"/>
      <c r="AY6" s="20"/>
      <c r="AZ6" s="20">
        <v>80</v>
      </c>
      <c r="BA6" s="20">
        <v>80</v>
      </c>
      <c r="BB6" s="20">
        <v>80</v>
      </c>
      <c r="BC6" s="20">
        <v>80</v>
      </c>
      <c r="BD6" s="20">
        <v>80</v>
      </c>
      <c r="BE6" s="20">
        <v>80</v>
      </c>
      <c r="BF6" s="20">
        <v>480</v>
      </c>
      <c r="BG6" s="20">
        <v>0</v>
      </c>
      <c r="BH6" s="20"/>
      <c r="BI6" s="20"/>
      <c r="BJ6" s="20"/>
      <c r="BK6" s="20"/>
      <c r="BL6" s="20"/>
    </row>
    <row r="7" s="1" customFormat="1" ht="24" hidden="1" customHeight="1" spans="1:73">
      <c r="A7" s="21">
        <v>45412</v>
      </c>
      <c r="B7" s="20" t="s">
        <v>153</v>
      </c>
      <c r="C7" s="22" t="s">
        <v>92</v>
      </c>
      <c r="D7" s="23">
        <v>4500132388</v>
      </c>
      <c r="E7" s="24" t="s">
        <v>2766</v>
      </c>
      <c r="F7" s="23" t="s">
        <v>2767</v>
      </c>
      <c r="G7" s="19" t="s">
        <v>155</v>
      </c>
      <c r="H7" s="19" t="s">
        <v>155</v>
      </c>
      <c r="I7" s="18" t="s">
        <v>206</v>
      </c>
      <c r="J7" s="20">
        <v>2052</v>
      </c>
      <c r="K7" s="20">
        <v>0</v>
      </c>
      <c r="L7" s="20">
        <v>108</v>
      </c>
      <c r="M7" s="20">
        <f t="shared" ref="M7:M26" si="1">J7/L7</f>
        <v>19</v>
      </c>
      <c r="N7" s="25">
        <v>45448</v>
      </c>
      <c r="O7" s="25">
        <v>45474</v>
      </c>
      <c r="P7" s="26" t="s">
        <v>2768</v>
      </c>
      <c r="Q7" s="26"/>
      <c r="R7" s="18" t="s">
        <v>2769</v>
      </c>
      <c r="S7" s="18"/>
      <c r="T7" s="26" t="s">
        <v>2770</v>
      </c>
      <c r="U7" s="26"/>
      <c r="V7" s="26" t="s">
        <v>665</v>
      </c>
      <c r="W7" s="26" t="s">
        <v>2771</v>
      </c>
      <c r="X7" s="26"/>
      <c r="Y7" s="17" t="s">
        <v>2772</v>
      </c>
      <c r="Z7" s="20" t="s">
        <v>2773</v>
      </c>
      <c r="AA7" s="27">
        <v>647.4909</v>
      </c>
      <c r="AB7" s="28">
        <f t="shared" ref="AB7:AB25" si="2">M7*AA7</f>
        <v>12302.3271</v>
      </c>
      <c r="AC7" s="23"/>
      <c r="AD7" s="29" t="s">
        <v>89</v>
      </c>
      <c r="AE7" s="29"/>
      <c r="AF7" s="29"/>
      <c r="AG7" s="19">
        <f t="shared" ref="AG7:AG26" si="3">J7</f>
        <v>2052</v>
      </c>
      <c r="AH7" s="30"/>
      <c r="AI7" s="29"/>
      <c r="AJ7" s="29"/>
      <c r="AK7" s="29"/>
      <c r="AL7" s="29"/>
      <c r="AM7" s="31"/>
      <c r="AN7" s="31">
        <f t="shared" si="0"/>
        <v>2052</v>
      </c>
      <c r="AO7" s="31"/>
      <c r="AP7" s="30"/>
      <c r="AQ7" s="30"/>
      <c r="AR7" s="30">
        <f t="shared" ref="AR7:AR26" si="4">J7</f>
        <v>2052</v>
      </c>
      <c r="AS7" s="30"/>
      <c r="AT7" s="30"/>
      <c r="AU7" s="30"/>
      <c r="AV7" s="18"/>
      <c r="AW7" s="18">
        <f t="shared" ref="AW7:AW31" si="5">J7</f>
        <v>2052</v>
      </c>
      <c r="AX7" s="19"/>
      <c r="AY7" s="20"/>
      <c r="AZ7" s="20"/>
      <c r="BA7" s="20"/>
      <c r="BB7" s="20"/>
      <c r="BC7" s="20"/>
      <c r="BD7" s="20"/>
      <c r="BE7" s="20"/>
      <c r="BF7" s="20" t="s">
        <v>165</v>
      </c>
      <c r="BG7" s="20">
        <f t="shared" ref="BG7:BG25" si="6">J7</f>
        <v>2052</v>
      </c>
      <c r="BH7" s="20">
        <f t="shared" ref="BH7:BH26" si="7">J7/6</f>
        <v>342</v>
      </c>
      <c r="BI7" s="20">
        <f t="shared" ref="BI7:BI26" si="8">J7/6</f>
        <v>342</v>
      </c>
      <c r="BJ7" s="20">
        <f t="shared" ref="BJ7:BJ26" si="9">J7/6</f>
        <v>342</v>
      </c>
      <c r="BK7" s="20">
        <f t="shared" ref="BK7:BK25" si="10">J7/6</f>
        <v>342</v>
      </c>
      <c r="BL7" s="20">
        <f t="shared" ref="BL7:BL26" si="11">J7/6</f>
        <v>342</v>
      </c>
      <c r="BM7" s="1">
        <f t="shared" ref="BM7:BM26" si="12">J7/6</f>
        <v>342</v>
      </c>
      <c r="BT7" s="1">
        <f t="shared" ref="BT7:BT26" si="13">SUM(BH7:BS7)</f>
        <v>2052</v>
      </c>
      <c r="BU7" s="1">
        <f t="shared" ref="BU7:BU26" si="14">J7-BT7</f>
        <v>0</v>
      </c>
    </row>
    <row r="8" s="1" customFormat="1" ht="24" hidden="1" customHeight="1" spans="1:73">
      <c r="A8" s="21">
        <v>45412</v>
      </c>
      <c r="B8" s="20" t="s">
        <v>153</v>
      </c>
      <c r="C8" s="22" t="s">
        <v>92</v>
      </c>
      <c r="D8" s="23">
        <v>4500132388</v>
      </c>
      <c r="E8" s="24" t="s">
        <v>2774</v>
      </c>
      <c r="F8" s="23" t="s">
        <v>2775</v>
      </c>
      <c r="G8" s="19" t="s">
        <v>155</v>
      </c>
      <c r="H8" s="19" t="s">
        <v>155</v>
      </c>
      <c r="I8" s="18" t="s">
        <v>206</v>
      </c>
      <c r="J8" s="20">
        <v>3780</v>
      </c>
      <c r="K8" s="20">
        <v>0</v>
      </c>
      <c r="L8" s="20">
        <v>108</v>
      </c>
      <c r="M8" s="20">
        <f t="shared" si="1"/>
        <v>35</v>
      </c>
      <c r="N8" s="25">
        <v>45448</v>
      </c>
      <c r="O8" s="25">
        <v>45474</v>
      </c>
      <c r="P8" s="26" t="s">
        <v>2768</v>
      </c>
      <c r="Q8" s="26"/>
      <c r="R8" s="18" t="s">
        <v>2769</v>
      </c>
      <c r="S8" s="18"/>
      <c r="T8" s="26" t="s">
        <v>2770</v>
      </c>
      <c r="U8" s="26"/>
      <c r="V8" s="26" t="s">
        <v>665</v>
      </c>
      <c r="W8" s="26" t="s">
        <v>2771</v>
      </c>
      <c r="X8" s="26"/>
      <c r="Y8" s="17" t="s">
        <v>2772</v>
      </c>
      <c r="Z8" s="20" t="s">
        <v>2773</v>
      </c>
      <c r="AA8" s="27">
        <v>647.4909</v>
      </c>
      <c r="AB8" s="28">
        <f t="shared" si="2"/>
        <v>22662.1815</v>
      </c>
      <c r="AC8" s="23"/>
      <c r="AD8" s="29" t="s">
        <v>89</v>
      </c>
      <c r="AE8" s="29"/>
      <c r="AF8" s="29"/>
      <c r="AG8" s="19">
        <f t="shared" si="3"/>
        <v>3780</v>
      </c>
      <c r="AH8" s="30"/>
      <c r="AI8" s="29"/>
      <c r="AJ8" s="29"/>
      <c r="AK8" s="29"/>
      <c r="AL8" s="29"/>
      <c r="AM8" s="31"/>
      <c r="AN8" s="31">
        <f t="shared" si="0"/>
        <v>3780</v>
      </c>
      <c r="AO8" s="31"/>
      <c r="AP8" s="30"/>
      <c r="AQ8" s="30"/>
      <c r="AR8" s="30">
        <f t="shared" si="4"/>
        <v>3780</v>
      </c>
      <c r="AS8" s="30"/>
      <c r="AT8" s="30"/>
      <c r="AU8" s="30"/>
      <c r="AV8" s="18"/>
      <c r="AW8" s="18">
        <f t="shared" si="5"/>
        <v>3780</v>
      </c>
      <c r="AX8" s="19"/>
      <c r="AY8" s="20"/>
      <c r="AZ8" s="20"/>
      <c r="BA8" s="20"/>
      <c r="BB8" s="20"/>
      <c r="BC8" s="20"/>
      <c r="BD8" s="20"/>
      <c r="BE8" s="20"/>
      <c r="BF8" s="20" t="s">
        <v>165</v>
      </c>
      <c r="BG8" s="20">
        <f t="shared" si="6"/>
        <v>3780</v>
      </c>
      <c r="BH8" s="20">
        <f t="shared" si="7"/>
        <v>630</v>
      </c>
      <c r="BI8" s="20">
        <f t="shared" si="8"/>
        <v>630</v>
      </c>
      <c r="BJ8" s="20">
        <f t="shared" si="9"/>
        <v>630</v>
      </c>
      <c r="BK8" s="20">
        <f t="shared" si="10"/>
        <v>630</v>
      </c>
      <c r="BL8" s="20">
        <f t="shared" si="11"/>
        <v>630</v>
      </c>
      <c r="BM8" s="1">
        <f t="shared" si="12"/>
        <v>630</v>
      </c>
      <c r="BT8" s="1">
        <f t="shared" si="13"/>
        <v>3780</v>
      </c>
      <c r="BU8" s="1">
        <f t="shared" si="14"/>
        <v>0</v>
      </c>
    </row>
    <row r="9" s="1" customFormat="1" ht="24" hidden="1" customHeight="1" spans="1:73">
      <c r="A9" s="21">
        <v>45418</v>
      </c>
      <c r="B9" s="20" t="s">
        <v>153</v>
      </c>
      <c r="C9" s="22" t="s">
        <v>92</v>
      </c>
      <c r="D9" s="23">
        <v>4500132486</v>
      </c>
      <c r="E9" s="24" t="s">
        <v>2776</v>
      </c>
      <c r="F9" s="23" t="s">
        <v>2777</v>
      </c>
      <c r="G9" s="19" t="s">
        <v>155</v>
      </c>
      <c r="H9" s="19" t="s">
        <v>155</v>
      </c>
      <c r="I9" s="18" t="s">
        <v>206</v>
      </c>
      <c r="J9" s="20">
        <v>972</v>
      </c>
      <c r="K9" s="20">
        <v>0</v>
      </c>
      <c r="L9" s="20">
        <v>108</v>
      </c>
      <c r="M9" s="20">
        <f t="shared" si="1"/>
        <v>9</v>
      </c>
      <c r="N9" s="25">
        <v>45455</v>
      </c>
      <c r="O9" s="25">
        <v>45474</v>
      </c>
      <c r="P9" s="26" t="s">
        <v>2768</v>
      </c>
      <c r="Q9" s="26"/>
      <c r="R9" s="18" t="s">
        <v>2769</v>
      </c>
      <c r="S9" s="18"/>
      <c r="T9" s="26" t="s">
        <v>2770</v>
      </c>
      <c r="U9" s="26"/>
      <c r="V9" s="26" t="s">
        <v>665</v>
      </c>
      <c r="W9" s="26" t="s">
        <v>2771</v>
      </c>
      <c r="X9" s="26"/>
      <c r="Y9" s="17" t="s">
        <v>2778</v>
      </c>
      <c r="Z9" s="20" t="s">
        <v>163</v>
      </c>
      <c r="AA9" s="27">
        <v>653.0097</v>
      </c>
      <c r="AB9" s="28">
        <f t="shared" si="2"/>
        <v>5877.0873</v>
      </c>
      <c r="AC9" s="23"/>
      <c r="AD9" s="29" t="s">
        <v>89</v>
      </c>
      <c r="AE9" s="29"/>
      <c r="AF9" s="29"/>
      <c r="AG9" s="19">
        <f t="shared" si="3"/>
        <v>972</v>
      </c>
      <c r="AH9" s="30"/>
      <c r="AI9" s="29"/>
      <c r="AJ9" s="29"/>
      <c r="AK9" s="29"/>
      <c r="AL9" s="29"/>
      <c r="AM9" s="31"/>
      <c r="AN9" s="31">
        <f t="shared" si="0"/>
        <v>972</v>
      </c>
      <c r="AO9" s="31"/>
      <c r="AP9" s="30"/>
      <c r="AQ9" s="30"/>
      <c r="AR9" s="30">
        <f t="shared" si="4"/>
        <v>972</v>
      </c>
      <c r="AS9" s="30"/>
      <c r="AT9" s="30"/>
      <c r="AU9" s="30"/>
      <c r="AV9" s="18"/>
      <c r="AW9" s="18">
        <f t="shared" si="5"/>
        <v>972</v>
      </c>
      <c r="AX9" s="19"/>
      <c r="AY9" s="20"/>
      <c r="AZ9" s="20"/>
      <c r="BA9" s="20"/>
      <c r="BB9" s="20"/>
      <c r="BC9" s="20"/>
      <c r="BD9" s="20"/>
      <c r="BE9" s="20"/>
      <c r="BF9" s="20" t="s">
        <v>165</v>
      </c>
      <c r="BG9" s="20">
        <f t="shared" si="6"/>
        <v>972</v>
      </c>
      <c r="BH9" s="20">
        <f t="shared" si="7"/>
        <v>162</v>
      </c>
      <c r="BI9" s="20">
        <f t="shared" si="8"/>
        <v>162</v>
      </c>
      <c r="BJ9" s="20">
        <f t="shared" si="9"/>
        <v>162</v>
      </c>
      <c r="BK9" s="20">
        <f t="shared" si="10"/>
        <v>162</v>
      </c>
      <c r="BL9" s="20">
        <f t="shared" si="11"/>
        <v>162</v>
      </c>
      <c r="BM9" s="1">
        <f t="shared" si="12"/>
        <v>162</v>
      </c>
      <c r="BT9" s="1">
        <f t="shared" si="13"/>
        <v>972</v>
      </c>
      <c r="BU9" s="1">
        <f t="shared" si="14"/>
        <v>0</v>
      </c>
    </row>
    <row r="10" s="1" customFormat="1" ht="24" hidden="1" customHeight="1" spans="1:73">
      <c r="A10" s="21">
        <v>45412</v>
      </c>
      <c r="B10" s="20" t="s">
        <v>153</v>
      </c>
      <c r="C10" s="22" t="s">
        <v>92</v>
      </c>
      <c r="D10" s="23">
        <v>4500132388</v>
      </c>
      <c r="E10" s="24" t="s">
        <v>2779</v>
      </c>
      <c r="F10" s="23" t="s">
        <v>2780</v>
      </c>
      <c r="G10" s="19" t="s">
        <v>155</v>
      </c>
      <c r="H10" s="19" t="s">
        <v>155</v>
      </c>
      <c r="I10" s="18" t="s">
        <v>206</v>
      </c>
      <c r="J10" s="20">
        <v>10152</v>
      </c>
      <c r="K10" s="20">
        <v>0</v>
      </c>
      <c r="L10" s="20">
        <v>108</v>
      </c>
      <c r="M10" s="20">
        <f t="shared" si="1"/>
        <v>94</v>
      </c>
      <c r="N10" s="25">
        <v>45456</v>
      </c>
      <c r="O10" s="25">
        <v>45474</v>
      </c>
      <c r="P10" s="26" t="s">
        <v>2768</v>
      </c>
      <c r="Q10" s="26"/>
      <c r="R10" s="18" t="s">
        <v>2769</v>
      </c>
      <c r="S10" s="18"/>
      <c r="T10" s="26" t="s">
        <v>2770</v>
      </c>
      <c r="U10" s="26"/>
      <c r="V10" s="26" t="s">
        <v>665</v>
      </c>
      <c r="W10" s="26" t="s">
        <v>2771</v>
      </c>
      <c r="X10" s="26"/>
      <c r="Y10" s="17" t="s">
        <v>2772</v>
      </c>
      <c r="Z10" s="20" t="s">
        <v>2773</v>
      </c>
      <c r="AA10" s="27">
        <v>647.4909</v>
      </c>
      <c r="AB10" s="28">
        <f t="shared" si="2"/>
        <v>60864.1446</v>
      </c>
      <c r="AC10" s="23"/>
      <c r="AD10" s="29" t="s">
        <v>89</v>
      </c>
      <c r="AE10" s="29"/>
      <c r="AF10" s="29"/>
      <c r="AG10" s="19">
        <f t="shared" si="3"/>
        <v>10152</v>
      </c>
      <c r="AH10" s="30"/>
      <c r="AI10" s="29"/>
      <c r="AJ10" s="29"/>
      <c r="AK10" s="29"/>
      <c r="AL10" s="29"/>
      <c r="AM10" s="31"/>
      <c r="AN10" s="31">
        <f t="shared" si="0"/>
        <v>10152</v>
      </c>
      <c r="AO10" s="31"/>
      <c r="AP10" s="30"/>
      <c r="AQ10" s="30"/>
      <c r="AR10" s="30">
        <f t="shared" si="4"/>
        <v>10152</v>
      </c>
      <c r="AS10" s="30"/>
      <c r="AT10" s="30"/>
      <c r="AU10" s="30"/>
      <c r="AV10" s="18"/>
      <c r="AW10" s="18">
        <f t="shared" si="5"/>
        <v>10152</v>
      </c>
      <c r="AX10" s="19"/>
      <c r="AY10" s="20"/>
      <c r="AZ10" s="20"/>
      <c r="BA10" s="20"/>
      <c r="BB10" s="20"/>
      <c r="BC10" s="20"/>
      <c r="BD10" s="20"/>
      <c r="BE10" s="20"/>
      <c r="BF10" s="20" t="s">
        <v>165</v>
      </c>
      <c r="BG10" s="20">
        <f t="shared" si="6"/>
        <v>10152</v>
      </c>
      <c r="BH10" s="20">
        <f t="shared" si="7"/>
        <v>1692</v>
      </c>
      <c r="BI10" s="20">
        <f t="shared" si="8"/>
        <v>1692</v>
      </c>
      <c r="BJ10" s="20">
        <f t="shared" si="9"/>
        <v>1692</v>
      </c>
      <c r="BK10" s="20">
        <f t="shared" si="10"/>
        <v>1692</v>
      </c>
      <c r="BL10" s="20">
        <f t="shared" si="11"/>
        <v>1692</v>
      </c>
      <c r="BM10" s="1">
        <f t="shared" si="12"/>
        <v>1692</v>
      </c>
      <c r="BT10" s="1">
        <f t="shared" si="13"/>
        <v>10152</v>
      </c>
      <c r="BU10" s="1">
        <f t="shared" si="14"/>
        <v>0</v>
      </c>
    </row>
    <row r="11" s="1" customFormat="1" ht="24" hidden="1" customHeight="1" spans="1:73">
      <c r="A11" s="21">
        <v>45412</v>
      </c>
      <c r="B11" s="20" t="s">
        <v>153</v>
      </c>
      <c r="C11" s="22" t="s">
        <v>92</v>
      </c>
      <c r="D11" s="23">
        <v>4500132388</v>
      </c>
      <c r="E11" s="24" t="s">
        <v>2781</v>
      </c>
      <c r="F11" s="23" t="s">
        <v>2782</v>
      </c>
      <c r="G11" s="19" t="s">
        <v>155</v>
      </c>
      <c r="H11" s="19" t="s">
        <v>155</v>
      </c>
      <c r="I11" s="18" t="s">
        <v>206</v>
      </c>
      <c r="J11" s="20">
        <v>5940</v>
      </c>
      <c r="K11" s="20">
        <v>0</v>
      </c>
      <c r="L11" s="20">
        <v>108</v>
      </c>
      <c r="M11" s="20">
        <f t="shared" si="1"/>
        <v>55</v>
      </c>
      <c r="N11" s="25">
        <v>45456</v>
      </c>
      <c r="O11" s="25">
        <v>45474</v>
      </c>
      <c r="P11" s="26" t="s">
        <v>2768</v>
      </c>
      <c r="Q11" s="26"/>
      <c r="R11" s="18" t="s">
        <v>2769</v>
      </c>
      <c r="S11" s="18"/>
      <c r="T11" s="26" t="s">
        <v>2770</v>
      </c>
      <c r="U11" s="26"/>
      <c r="V11" s="26" t="s">
        <v>665</v>
      </c>
      <c r="W11" s="26" t="s">
        <v>2771</v>
      </c>
      <c r="X11" s="26"/>
      <c r="Y11" s="17" t="s">
        <v>2772</v>
      </c>
      <c r="Z11" s="20" t="s">
        <v>2773</v>
      </c>
      <c r="AA11" s="27">
        <v>647.4909</v>
      </c>
      <c r="AB11" s="28">
        <f t="shared" si="2"/>
        <v>35611.9995</v>
      </c>
      <c r="AC11" s="23"/>
      <c r="AD11" s="29" t="s">
        <v>89</v>
      </c>
      <c r="AE11" s="29"/>
      <c r="AF11" s="29"/>
      <c r="AG11" s="19">
        <f t="shared" si="3"/>
        <v>5940</v>
      </c>
      <c r="AH11" s="30"/>
      <c r="AI11" s="29"/>
      <c r="AJ11" s="29"/>
      <c r="AK11" s="29"/>
      <c r="AL11" s="29"/>
      <c r="AM11" s="31"/>
      <c r="AN11" s="31">
        <f t="shared" si="0"/>
        <v>5940</v>
      </c>
      <c r="AO11" s="31"/>
      <c r="AP11" s="30"/>
      <c r="AQ11" s="30"/>
      <c r="AR11" s="30">
        <f t="shared" si="4"/>
        <v>5940</v>
      </c>
      <c r="AS11" s="30"/>
      <c r="AT11" s="30"/>
      <c r="AU11" s="30"/>
      <c r="AV11" s="18"/>
      <c r="AW11" s="18">
        <f t="shared" si="5"/>
        <v>5940</v>
      </c>
      <c r="AX11" s="19"/>
      <c r="AY11" s="20"/>
      <c r="AZ11" s="20"/>
      <c r="BA11" s="20"/>
      <c r="BB11" s="20"/>
      <c r="BC11" s="20"/>
      <c r="BD11" s="20"/>
      <c r="BE11" s="20"/>
      <c r="BF11" s="20" t="s">
        <v>165</v>
      </c>
      <c r="BG11" s="20">
        <f t="shared" si="6"/>
        <v>5940</v>
      </c>
      <c r="BH11" s="20">
        <f t="shared" si="7"/>
        <v>990</v>
      </c>
      <c r="BI11" s="20">
        <f t="shared" si="8"/>
        <v>990</v>
      </c>
      <c r="BJ11" s="20">
        <f t="shared" si="9"/>
        <v>990</v>
      </c>
      <c r="BK11" s="20">
        <f t="shared" si="10"/>
        <v>990</v>
      </c>
      <c r="BL11" s="20">
        <f t="shared" si="11"/>
        <v>990</v>
      </c>
      <c r="BM11" s="1">
        <f t="shared" si="12"/>
        <v>990</v>
      </c>
      <c r="BT11" s="1">
        <f t="shared" si="13"/>
        <v>5940</v>
      </c>
      <c r="BU11" s="1">
        <f t="shared" si="14"/>
        <v>0</v>
      </c>
    </row>
    <row r="12" s="1" customFormat="1" ht="24" hidden="1" customHeight="1" spans="1:73">
      <c r="A12" s="21">
        <v>45412</v>
      </c>
      <c r="B12" s="20" t="s">
        <v>153</v>
      </c>
      <c r="C12" s="22" t="s">
        <v>92</v>
      </c>
      <c r="D12" s="23">
        <v>4500132388</v>
      </c>
      <c r="E12" s="24" t="s">
        <v>2783</v>
      </c>
      <c r="F12" s="23" t="s">
        <v>2784</v>
      </c>
      <c r="G12" s="19" t="s">
        <v>155</v>
      </c>
      <c r="H12" s="19" t="s">
        <v>155</v>
      </c>
      <c r="I12" s="18" t="s">
        <v>206</v>
      </c>
      <c r="J12" s="20">
        <v>4428</v>
      </c>
      <c r="K12" s="20">
        <v>0</v>
      </c>
      <c r="L12" s="20">
        <v>108</v>
      </c>
      <c r="M12" s="20">
        <f t="shared" si="1"/>
        <v>41</v>
      </c>
      <c r="N12" s="25">
        <v>45456</v>
      </c>
      <c r="O12" s="25">
        <v>45474</v>
      </c>
      <c r="P12" s="26" t="s">
        <v>2768</v>
      </c>
      <c r="Q12" s="26"/>
      <c r="R12" s="18" t="s">
        <v>2769</v>
      </c>
      <c r="S12" s="18"/>
      <c r="T12" s="26" t="s">
        <v>2770</v>
      </c>
      <c r="U12" s="26"/>
      <c r="V12" s="26" t="s">
        <v>665</v>
      </c>
      <c r="W12" s="26" t="s">
        <v>2771</v>
      </c>
      <c r="X12" s="26"/>
      <c r="Y12" s="17" t="s">
        <v>2772</v>
      </c>
      <c r="Z12" s="20" t="s">
        <v>2773</v>
      </c>
      <c r="AA12" s="27">
        <v>647.4909</v>
      </c>
      <c r="AB12" s="28">
        <f t="shared" si="2"/>
        <v>26547.1269</v>
      </c>
      <c r="AC12" s="23"/>
      <c r="AD12" s="29" t="s">
        <v>89</v>
      </c>
      <c r="AE12" s="29"/>
      <c r="AF12" s="29"/>
      <c r="AG12" s="19">
        <f t="shared" si="3"/>
        <v>4428</v>
      </c>
      <c r="AH12" s="30"/>
      <c r="AI12" s="29"/>
      <c r="AJ12" s="29"/>
      <c r="AK12" s="29"/>
      <c r="AL12" s="29"/>
      <c r="AM12" s="31"/>
      <c r="AN12" s="31">
        <f t="shared" si="0"/>
        <v>4428</v>
      </c>
      <c r="AO12" s="31"/>
      <c r="AP12" s="30"/>
      <c r="AQ12" s="30"/>
      <c r="AR12" s="30">
        <f t="shared" si="4"/>
        <v>4428</v>
      </c>
      <c r="AS12" s="30"/>
      <c r="AT12" s="30"/>
      <c r="AU12" s="30"/>
      <c r="AV12" s="18"/>
      <c r="AW12" s="18">
        <f t="shared" si="5"/>
        <v>4428</v>
      </c>
      <c r="AX12" s="19"/>
      <c r="AY12" s="20"/>
      <c r="AZ12" s="20"/>
      <c r="BA12" s="20"/>
      <c r="BB12" s="20"/>
      <c r="BC12" s="20"/>
      <c r="BD12" s="20"/>
      <c r="BE12" s="20"/>
      <c r="BF12" s="20" t="s">
        <v>165</v>
      </c>
      <c r="BG12" s="20">
        <f t="shared" si="6"/>
        <v>4428</v>
      </c>
      <c r="BH12" s="20">
        <f t="shared" si="7"/>
        <v>738</v>
      </c>
      <c r="BI12" s="20">
        <f t="shared" si="8"/>
        <v>738</v>
      </c>
      <c r="BJ12" s="20">
        <f t="shared" si="9"/>
        <v>738</v>
      </c>
      <c r="BK12" s="20">
        <f t="shared" si="10"/>
        <v>738</v>
      </c>
      <c r="BL12" s="20">
        <f t="shared" si="11"/>
        <v>738</v>
      </c>
      <c r="BM12" s="1">
        <f t="shared" si="12"/>
        <v>738</v>
      </c>
      <c r="BT12" s="1">
        <f t="shared" si="13"/>
        <v>4428</v>
      </c>
      <c r="BU12" s="1">
        <f t="shared" si="14"/>
        <v>0</v>
      </c>
    </row>
    <row r="13" s="1" customFormat="1" ht="24" hidden="1" customHeight="1" spans="1:73">
      <c r="A13" s="21">
        <v>45412</v>
      </c>
      <c r="B13" s="20" t="s">
        <v>153</v>
      </c>
      <c r="C13" s="22" t="s">
        <v>92</v>
      </c>
      <c r="D13" s="23">
        <v>4500132388</v>
      </c>
      <c r="E13" s="24" t="s">
        <v>2785</v>
      </c>
      <c r="F13" s="23" t="s">
        <v>2786</v>
      </c>
      <c r="G13" s="19" t="s">
        <v>155</v>
      </c>
      <c r="H13" s="19" t="s">
        <v>155</v>
      </c>
      <c r="I13" s="18" t="s">
        <v>206</v>
      </c>
      <c r="J13" s="20">
        <v>4752</v>
      </c>
      <c r="K13" s="20">
        <v>0</v>
      </c>
      <c r="L13" s="20">
        <v>108</v>
      </c>
      <c r="M13" s="20">
        <f t="shared" si="1"/>
        <v>44</v>
      </c>
      <c r="N13" s="25">
        <v>45456</v>
      </c>
      <c r="O13" s="25">
        <v>45474</v>
      </c>
      <c r="P13" s="26" t="s">
        <v>2768</v>
      </c>
      <c r="Q13" s="26"/>
      <c r="R13" s="18" t="s">
        <v>2769</v>
      </c>
      <c r="S13" s="18"/>
      <c r="T13" s="26" t="s">
        <v>2770</v>
      </c>
      <c r="U13" s="26"/>
      <c r="V13" s="26" t="s">
        <v>665</v>
      </c>
      <c r="W13" s="26" t="s">
        <v>2771</v>
      </c>
      <c r="X13" s="26"/>
      <c r="Y13" s="17" t="s">
        <v>2772</v>
      </c>
      <c r="Z13" s="20" t="s">
        <v>2773</v>
      </c>
      <c r="AA13" s="27">
        <v>647.4909</v>
      </c>
      <c r="AB13" s="28">
        <f t="shared" si="2"/>
        <v>28489.5996</v>
      </c>
      <c r="AC13" s="23"/>
      <c r="AD13" s="29" t="s">
        <v>89</v>
      </c>
      <c r="AE13" s="29"/>
      <c r="AF13" s="29"/>
      <c r="AG13" s="19">
        <f t="shared" si="3"/>
        <v>4752</v>
      </c>
      <c r="AH13" s="30"/>
      <c r="AI13" s="29"/>
      <c r="AJ13" s="29"/>
      <c r="AK13" s="29"/>
      <c r="AL13" s="29"/>
      <c r="AM13" s="31"/>
      <c r="AN13" s="31">
        <f t="shared" si="0"/>
        <v>4752</v>
      </c>
      <c r="AO13" s="31"/>
      <c r="AP13" s="30"/>
      <c r="AQ13" s="30"/>
      <c r="AR13" s="30">
        <f t="shared" si="4"/>
        <v>4752</v>
      </c>
      <c r="AS13" s="30"/>
      <c r="AT13" s="30"/>
      <c r="AU13" s="30"/>
      <c r="AV13" s="18"/>
      <c r="AW13" s="18">
        <f t="shared" si="5"/>
        <v>4752</v>
      </c>
      <c r="AX13" s="19"/>
      <c r="AY13" s="20"/>
      <c r="AZ13" s="20"/>
      <c r="BA13" s="20"/>
      <c r="BB13" s="20"/>
      <c r="BC13" s="20"/>
      <c r="BD13" s="20"/>
      <c r="BE13" s="20"/>
      <c r="BF13" s="20" t="s">
        <v>165</v>
      </c>
      <c r="BG13" s="20">
        <f t="shared" si="6"/>
        <v>4752</v>
      </c>
      <c r="BH13" s="20">
        <f t="shared" si="7"/>
        <v>792</v>
      </c>
      <c r="BI13" s="20">
        <f t="shared" si="8"/>
        <v>792</v>
      </c>
      <c r="BJ13" s="20">
        <f t="shared" si="9"/>
        <v>792</v>
      </c>
      <c r="BK13" s="20">
        <f t="shared" si="10"/>
        <v>792</v>
      </c>
      <c r="BL13" s="20">
        <f t="shared" si="11"/>
        <v>792</v>
      </c>
      <c r="BM13" s="1">
        <f t="shared" si="12"/>
        <v>792</v>
      </c>
      <c r="BT13" s="1">
        <f t="shared" si="13"/>
        <v>4752</v>
      </c>
      <c r="BU13" s="1">
        <f t="shared" si="14"/>
        <v>0</v>
      </c>
    </row>
    <row r="14" s="1" customFormat="1" ht="24" hidden="1" customHeight="1" spans="1:73">
      <c r="A14" s="21">
        <v>45418</v>
      </c>
      <c r="B14" s="20" t="s">
        <v>153</v>
      </c>
      <c r="C14" s="22" t="s">
        <v>92</v>
      </c>
      <c r="D14" s="23">
        <v>4500132486</v>
      </c>
      <c r="E14" s="24" t="s">
        <v>2787</v>
      </c>
      <c r="F14" s="23" t="s">
        <v>2788</v>
      </c>
      <c r="G14" s="19" t="s">
        <v>155</v>
      </c>
      <c r="H14" s="19" t="s">
        <v>155</v>
      </c>
      <c r="I14" s="18" t="s">
        <v>206</v>
      </c>
      <c r="J14" s="20">
        <v>864</v>
      </c>
      <c r="K14" s="20">
        <v>0</v>
      </c>
      <c r="L14" s="20">
        <v>108</v>
      </c>
      <c r="M14" s="20">
        <f t="shared" si="1"/>
        <v>8</v>
      </c>
      <c r="N14" s="25">
        <v>45457</v>
      </c>
      <c r="O14" s="25">
        <v>45474</v>
      </c>
      <c r="P14" s="26" t="s">
        <v>2768</v>
      </c>
      <c r="Q14" s="26"/>
      <c r="R14" s="18" t="s">
        <v>86</v>
      </c>
      <c r="S14" s="18"/>
      <c r="T14" s="26" t="s">
        <v>2770</v>
      </c>
      <c r="U14" s="26"/>
      <c r="V14" s="26" t="s">
        <v>665</v>
      </c>
      <c r="W14" s="26" t="s">
        <v>2789</v>
      </c>
      <c r="X14" s="26"/>
      <c r="Y14" s="17" t="s">
        <v>2778</v>
      </c>
      <c r="Z14" s="20" t="s">
        <v>163</v>
      </c>
      <c r="AA14" s="27">
        <v>653.0097</v>
      </c>
      <c r="AB14" s="28">
        <f t="shared" si="2"/>
        <v>5224.0776</v>
      </c>
      <c r="AC14" s="23"/>
      <c r="AD14" s="29" t="s">
        <v>89</v>
      </c>
      <c r="AE14" s="29"/>
      <c r="AF14" s="29"/>
      <c r="AG14" s="19">
        <f t="shared" si="3"/>
        <v>864</v>
      </c>
      <c r="AH14" s="30"/>
      <c r="AI14" s="29"/>
      <c r="AJ14" s="29"/>
      <c r="AK14" s="29"/>
      <c r="AL14" s="29"/>
      <c r="AM14" s="31"/>
      <c r="AN14" s="31">
        <f t="shared" si="0"/>
        <v>864</v>
      </c>
      <c r="AO14" s="31"/>
      <c r="AP14" s="30"/>
      <c r="AQ14" s="30"/>
      <c r="AR14" s="30">
        <f t="shared" si="4"/>
        <v>864</v>
      </c>
      <c r="AS14" s="30"/>
      <c r="AT14" s="30"/>
      <c r="AU14" s="30"/>
      <c r="AV14" s="18"/>
      <c r="AW14" s="18">
        <f t="shared" si="5"/>
        <v>864</v>
      </c>
      <c r="AX14" s="19"/>
      <c r="AY14" s="20"/>
      <c r="AZ14" s="20"/>
      <c r="BA14" s="20"/>
      <c r="BB14" s="20"/>
      <c r="BC14" s="20"/>
      <c r="BD14" s="20"/>
      <c r="BE14" s="20"/>
      <c r="BF14" s="20" t="s">
        <v>165</v>
      </c>
      <c r="BG14" s="20">
        <f t="shared" si="6"/>
        <v>864</v>
      </c>
      <c r="BH14" s="20">
        <f t="shared" si="7"/>
        <v>144</v>
      </c>
      <c r="BI14" s="20">
        <f t="shared" si="8"/>
        <v>144</v>
      </c>
      <c r="BJ14" s="20">
        <f t="shared" si="9"/>
        <v>144</v>
      </c>
      <c r="BK14" s="20">
        <f t="shared" si="10"/>
        <v>144</v>
      </c>
      <c r="BL14" s="20">
        <f t="shared" si="11"/>
        <v>144</v>
      </c>
      <c r="BM14" s="1">
        <f t="shared" si="12"/>
        <v>144</v>
      </c>
      <c r="BT14" s="1">
        <f t="shared" si="13"/>
        <v>864</v>
      </c>
      <c r="BU14" s="1">
        <f t="shared" si="14"/>
        <v>0</v>
      </c>
    </row>
    <row r="15" s="1" customFormat="1" ht="24" hidden="1" customHeight="1" spans="1:73">
      <c r="A15" s="21">
        <v>45418</v>
      </c>
      <c r="B15" s="20" t="s">
        <v>153</v>
      </c>
      <c r="C15" s="22" t="s">
        <v>92</v>
      </c>
      <c r="D15" s="23">
        <v>4500132486</v>
      </c>
      <c r="E15" s="24" t="s">
        <v>2790</v>
      </c>
      <c r="F15" s="23" t="s">
        <v>2791</v>
      </c>
      <c r="G15" s="19" t="s">
        <v>155</v>
      </c>
      <c r="H15" s="19" t="s">
        <v>155</v>
      </c>
      <c r="I15" s="18" t="s">
        <v>206</v>
      </c>
      <c r="J15" s="20">
        <v>1404</v>
      </c>
      <c r="K15" s="20">
        <v>0</v>
      </c>
      <c r="L15" s="20">
        <v>108</v>
      </c>
      <c r="M15" s="20">
        <f t="shared" si="1"/>
        <v>13</v>
      </c>
      <c r="N15" s="25">
        <v>45462</v>
      </c>
      <c r="O15" s="25">
        <v>45474</v>
      </c>
      <c r="P15" s="26" t="s">
        <v>2768</v>
      </c>
      <c r="Q15" s="26"/>
      <c r="R15" s="18" t="s">
        <v>86</v>
      </c>
      <c r="S15" s="18"/>
      <c r="T15" s="26" t="s">
        <v>2770</v>
      </c>
      <c r="U15" s="26"/>
      <c r="V15" s="26" t="s">
        <v>665</v>
      </c>
      <c r="W15" s="26" t="s">
        <v>2792</v>
      </c>
      <c r="X15" s="26"/>
      <c r="Y15" s="17" t="s">
        <v>2778</v>
      </c>
      <c r="Z15" s="20" t="s">
        <v>163</v>
      </c>
      <c r="AA15" s="27">
        <v>652.1889</v>
      </c>
      <c r="AB15" s="28">
        <f t="shared" si="2"/>
        <v>8478.4557</v>
      </c>
      <c r="AC15" s="23"/>
      <c r="AD15" s="29" t="s">
        <v>89</v>
      </c>
      <c r="AE15" s="29"/>
      <c r="AF15" s="29"/>
      <c r="AG15" s="19">
        <f t="shared" si="3"/>
        <v>1404</v>
      </c>
      <c r="AH15" s="30"/>
      <c r="AI15" s="29"/>
      <c r="AJ15" s="29"/>
      <c r="AK15" s="29"/>
      <c r="AL15" s="29"/>
      <c r="AM15" s="31"/>
      <c r="AN15" s="31">
        <f t="shared" si="0"/>
        <v>1404</v>
      </c>
      <c r="AO15" s="31"/>
      <c r="AP15" s="30"/>
      <c r="AQ15" s="30"/>
      <c r="AR15" s="30">
        <f t="shared" si="4"/>
        <v>1404</v>
      </c>
      <c r="AS15" s="30"/>
      <c r="AT15" s="30"/>
      <c r="AU15" s="30"/>
      <c r="AV15" s="18"/>
      <c r="AW15" s="18">
        <f t="shared" si="5"/>
        <v>1404</v>
      </c>
      <c r="AX15" s="19"/>
      <c r="AY15" s="20"/>
      <c r="AZ15" s="20"/>
      <c r="BA15" s="20"/>
      <c r="BB15" s="20"/>
      <c r="BC15" s="20"/>
      <c r="BD15" s="20"/>
      <c r="BE15" s="20"/>
      <c r="BF15" s="20" t="s">
        <v>165</v>
      </c>
      <c r="BG15" s="20">
        <f t="shared" si="6"/>
        <v>1404</v>
      </c>
      <c r="BH15" s="20">
        <f t="shared" si="7"/>
        <v>234</v>
      </c>
      <c r="BI15" s="20">
        <f t="shared" si="8"/>
        <v>234</v>
      </c>
      <c r="BJ15" s="20">
        <f t="shared" si="9"/>
        <v>234</v>
      </c>
      <c r="BK15" s="20">
        <f t="shared" si="10"/>
        <v>234</v>
      </c>
      <c r="BL15" s="20">
        <f t="shared" si="11"/>
        <v>234</v>
      </c>
      <c r="BM15" s="1">
        <f t="shared" si="12"/>
        <v>234</v>
      </c>
      <c r="BT15" s="1">
        <f t="shared" si="13"/>
        <v>1404</v>
      </c>
      <c r="BU15" s="1">
        <f t="shared" si="14"/>
        <v>0</v>
      </c>
    </row>
    <row r="16" s="1" customFormat="1" ht="24" hidden="1" customHeight="1" spans="1:73">
      <c r="A16" s="21">
        <v>45418</v>
      </c>
      <c r="B16" s="20" t="s">
        <v>153</v>
      </c>
      <c r="C16" s="22" t="s">
        <v>92</v>
      </c>
      <c r="D16" s="23">
        <v>4500132486</v>
      </c>
      <c r="E16" s="24" t="s">
        <v>2793</v>
      </c>
      <c r="F16" s="23" t="s">
        <v>2794</v>
      </c>
      <c r="G16" s="19" t="s">
        <v>155</v>
      </c>
      <c r="H16" s="19" t="s">
        <v>155</v>
      </c>
      <c r="I16" s="18" t="s">
        <v>206</v>
      </c>
      <c r="J16" s="20">
        <v>1080</v>
      </c>
      <c r="K16" s="20">
        <v>0</v>
      </c>
      <c r="L16" s="20">
        <v>108</v>
      </c>
      <c r="M16" s="20">
        <f t="shared" si="1"/>
        <v>10</v>
      </c>
      <c r="N16" s="25">
        <v>45462</v>
      </c>
      <c r="O16" s="25">
        <v>45474</v>
      </c>
      <c r="P16" s="26" t="s">
        <v>2768</v>
      </c>
      <c r="Q16" s="26"/>
      <c r="R16" s="18" t="s">
        <v>86</v>
      </c>
      <c r="S16" s="18"/>
      <c r="T16" s="26" t="s">
        <v>2770</v>
      </c>
      <c r="U16" s="26"/>
      <c r="V16" s="26" t="s">
        <v>665</v>
      </c>
      <c r="W16" s="26" t="s">
        <v>2792</v>
      </c>
      <c r="X16" s="26"/>
      <c r="Y16" s="17" t="s">
        <v>2778</v>
      </c>
      <c r="Z16" s="20" t="s">
        <v>163</v>
      </c>
      <c r="AA16" s="27">
        <v>652.1889</v>
      </c>
      <c r="AB16" s="28">
        <f t="shared" si="2"/>
        <v>6521.889</v>
      </c>
      <c r="AC16" s="23"/>
      <c r="AD16" s="29" t="s">
        <v>89</v>
      </c>
      <c r="AE16" s="29"/>
      <c r="AF16" s="29"/>
      <c r="AG16" s="19">
        <f t="shared" si="3"/>
        <v>1080</v>
      </c>
      <c r="AH16" s="30"/>
      <c r="AI16" s="29"/>
      <c r="AJ16" s="29"/>
      <c r="AK16" s="29"/>
      <c r="AL16" s="29"/>
      <c r="AM16" s="31"/>
      <c r="AN16" s="31">
        <f t="shared" si="0"/>
        <v>1080</v>
      </c>
      <c r="AO16" s="31"/>
      <c r="AP16" s="30"/>
      <c r="AQ16" s="30"/>
      <c r="AR16" s="30">
        <f t="shared" si="4"/>
        <v>1080</v>
      </c>
      <c r="AS16" s="30"/>
      <c r="AT16" s="30"/>
      <c r="AU16" s="30"/>
      <c r="AV16" s="18"/>
      <c r="AW16" s="18">
        <f t="shared" si="5"/>
        <v>1080</v>
      </c>
      <c r="AX16" s="19"/>
      <c r="AY16" s="20"/>
      <c r="AZ16" s="20"/>
      <c r="BA16" s="20"/>
      <c r="BB16" s="20"/>
      <c r="BC16" s="20"/>
      <c r="BD16" s="20"/>
      <c r="BE16" s="20"/>
      <c r="BF16" s="20" t="s">
        <v>165</v>
      </c>
      <c r="BG16" s="20">
        <f t="shared" si="6"/>
        <v>1080</v>
      </c>
      <c r="BH16" s="20">
        <f t="shared" si="7"/>
        <v>180</v>
      </c>
      <c r="BI16" s="20">
        <f t="shared" si="8"/>
        <v>180</v>
      </c>
      <c r="BJ16" s="20">
        <f t="shared" si="9"/>
        <v>180</v>
      </c>
      <c r="BK16" s="20">
        <f t="shared" si="10"/>
        <v>180</v>
      </c>
      <c r="BL16" s="20">
        <f t="shared" si="11"/>
        <v>180</v>
      </c>
      <c r="BM16" s="1">
        <f t="shared" si="12"/>
        <v>180</v>
      </c>
      <c r="BT16" s="1">
        <f t="shared" si="13"/>
        <v>1080</v>
      </c>
      <c r="BU16" s="1">
        <f t="shared" si="14"/>
        <v>0</v>
      </c>
    </row>
    <row r="17" s="1" customFormat="1" ht="24" hidden="1" customHeight="1" spans="1:74">
      <c r="A17" s="21">
        <v>45418</v>
      </c>
      <c r="B17" s="20" t="s">
        <v>153</v>
      </c>
      <c r="C17" s="22" t="s">
        <v>92</v>
      </c>
      <c r="D17" s="23">
        <v>4500132486</v>
      </c>
      <c r="E17" s="24" t="s">
        <v>2795</v>
      </c>
      <c r="F17" s="23" t="s">
        <v>2796</v>
      </c>
      <c r="G17" s="19" t="s">
        <v>155</v>
      </c>
      <c r="H17" s="19" t="s">
        <v>155</v>
      </c>
      <c r="I17" s="18" t="s">
        <v>206</v>
      </c>
      <c r="J17" s="20">
        <v>1728</v>
      </c>
      <c r="K17" s="20">
        <v>0</v>
      </c>
      <c r="L17" s="20">
        <v>108</v>
      </c>
      <c r="M17" s="20">
        <f t="shared" si="1"/>
        <v>16</v>
      </c>
      <c r="N17" s="25">
        <v>45464</v>
      </c>
      <c r="O17" s="25">
        <v>45474</v>
      </c>
      <c r="P17" s="26" t="s">
        <v>2768</v>
      </c>
      <c r="Q17" s="26"/>
      <c r="R17" s="18" t="s">
        <v>86</v>
      </c>
      <c r="S17" s="18"/>
      <c r="T17" s="26" t="s">
        <v>2770</v>
      </c>
      <c r="U17" s="26"/>
      <c r="V17" s="26" t="s">
        <v>665</v>
      </c>
      <c r="W17" s="26" t="s">
        <v>2792</v>
      </c>
      <c r="X17" s="26"/>
      <c r="Y17" s="17" t="s">
        <v>2778</v>
      </c>
      <c r="Z17" s="20" t="s">
        <v>163</v>
      </c>
      <c r="AA17" s="27">
        <v>652.1889</v>
      </c>
      <c r="AB17" s="28">
        <f t="shared" si="2"/>
        <v>10435.0224</v>
      </c>
      <c r="AC17" s="23"/>
      <c r="AD17" s="29" t="s">
        <v>89</v>
      </c>
      <c r="AE17" s="29"/>
      <c r="AF17" s="29"/>
      <c r="AG17" s="19">
        <f t="shared" si="3"/>
        <v>1728</v>
      </c>
      <c r="AH17" s="30"/>
      <c r="AI17" s="29"/>
      <c r="AJ17" s="29"/>
      <c r="AK17" s="29"/>
      <c r="AL17" s="29"/>
      <c r="AM17" s="31"/>
      <c r="AN17" s="31">
        <f t="shared" si="0"/>
        <v>1728</v>
      </c>
      <c r="AO17" s="31"/>
      <c r="AP17" s="30"/>
      <c r="AQ17" s="30"/>
      <c r="AR17" s="30">
        <f t="shared" si="4"/>
        <v>1728</v>
      </c>
      <c r="AS17" s="30"/>
      <c r="AT17" s="30"/>
      <c r="AU17" s="30"/>
      <c r="AV17" s="18"/>
      <c r="AW17" s="18">
        <f t="shared" si="5"/>
        <v>1728</v>
      </c>
      <c r="AX17" s="19"/>
      <c r="AY17" s="20"/>
      <c r="AZ17" s="20"/>
      <c r="BA17" s="20"/>
      <c r="BB17" s="20"/>
      <c r="BC17" s="20"/>
      <c r="BD17" s="20"/>
      <c r="BE17" s="20"/>
      <c r="BF17" s="20" t="s">
        <v>165</v>
      </c>
      <c r="BG17" s="20">
        <f t="shared" si="6"/>
        <v>1728</v>
      </c>
      <c r="BH17" s="20">
        <f t="shared" si="7"/>
        <v>288</v>
      </c>
      <c r="BI17" s="20">
        <f t="shared" si="8"/>
        <v>288</v>
      </c>
      <c r="BJ17" s="20">
        <f t="shared" si="9"/>
        <v>288</v>
      </c>
      <c r="BK17" s="20">
        <f t="shared" si="10"/>
        <v>288</v>
      </c>
      <c r="BL17" s="20">
        <f t="shared" si="11"/>
        <v>288</v>
      </c>
      <c r="BM17" s="1">
        <f t="shared" si="12"/>
        <v>288</v>
      </c>
      <c r="BT17" s="1">
        <f t="shared" si="13"/>
        <v>1728</v>
      </c>
      <c r="BU17" s="1">
        <f t="shared" si="14"/>
        <v>0</v>
      </c>
    </row>
    <row r="18" s="1" customFormat="1" ht="24" hidden="1" customHeight="1" spans="1:74">
      <c r="A18" s="21">
        <v>45418</v>
      </c>
      <c r="B18" s="20" t="s">
        <v>153</v>
      </c>
      <c r="C18" s="22" t="s">
        <v>92</v>
      </c>
      <c r="D18" s="23">
        <v>4500132486</v>
      </c>
      <c r="E18" s="24" t="s">
        <v>2797</v>
      </c>
      <c r="F18" s="23" t="s">
        <v>2798</v>
      </c>
      <c r="G18" s="19" t="s">
        <v>155</v>
      </c>
      <c r="H18" s="19" t="s">
        <v>155</v>
      </c>
      <c r="I18" s="18" t="s">
        <v>206</v>
      </c>
      <c r="J18" s="20">
        <v>864</v>
      </c>
      <c r="K18" s="20">
        <v>0</v>
      </c>
      <c r="L18" s="20">
        <v>108</v>
      </c>
      <c r="M18" s="20">
        <f t="shared" si="1"/>
        <v>8</v>
      </c>
      <c r="N18" s="25">
        <v>45464</v>
      </c>
      <c r="O18" s="25">
        <v>45474</v>
      </c>
      <c r="P18" s="26" t="s">
        <v>2768</v>
      </c>
      <c r="Q18" s="26"/>
      <c r="R18" s="18" t="s">
        <v>86</v>
      </c>
      <c r="S18" s="18"/>
      <c r="T18" s="26" t="s">
        <v>2770</v>
      </c>
      <c r="U18" s="26"/>
      <c r="V18" s="26" t="s">
        <v>665</v>
      </c>
      <c r="W18" s="26" t="s">
        <v>2792</v>
      </c>
      <c r="X18" s="26"/>
      <c r="Y18" s="17" t="s">
        <v>2778</v>
      </c>
      <c r="Z18" s="20" t="s">
        <v>163</v>
      </c>
      <c r="AA18" s="27">
        <v>653.0097</v>
      </c>
      <c r="AB18" s="28">
        <f t="shared" si="2"/>
        <v>5224.0776</v>
      </c>
      <c r="AC18" s="23"/>
      <c r="AD18" s="29" t="s">
        <v>89</v>
      </c>
      <c r="AE18" s="29"/>
      <c r="AF18" s="29"/>
      <c r="AG18" s="19">
        <f t="shared" si="3"/>
        <v>864</v>
      </c>
      <c r="AH18" s="30"/>
      <c r="AI18" s="29"/>
      <c r="AJ18" s="29"/>
      <c r="AK18" s="29"/>
      <c r="AL18" s="29"/>
      <c r="AM18" s="31"/>
      <c r="AN18" s="31">
        <f t="shared" si="0"/>
        <v>864</v>
      </c>
      <c r="AO18" s="31"/>
      <c r="AP18" s="30"/>
      <c r="AQ18" s="30"/>
      <c r="AR18" s="30">
        <f t="shared" si="4"/>
        <v>864</v>
      </c>
      <c r="AS18" s="30"/>
      <c r="AT18" s="30"/>
      <c r="AU18" s="30"/>
      <c r="AV18" s="18"/>
      <c r="AW18" s="18">
        <f t="shared" si="5"/>
        <v>864</v>
      </c>
      <c r="AX18" s="19"/>
      <c r="AY18" s="20"/>
      <c r="AZ18" s="20"/>
      <c r="BA18" s="20"/>
      <c r="BB18" s="20"/>
      <c r="BC18" s="20"/>
      <c r="BD18" s="20"/>
      <c r="BE18" s="20"/>
      <c r="BF18" s="20" t="s">
        <v>165</v>
      </c>
      <c r="BG18" s="20">
        <f t="shared" si="6"/>
        <v>864</v>
      </c>
      <c r="BH18" s="20">
        <f t="shared" si="7"/>
        <v>144</v>
      </c>
      <c r="BI18" s="20">
        <f t="shared" si="8"/>
        <v>144</v>
      </c>
      <c r="BJ18" s="20">
        <f t="shared" si="9"/>
        <v>144</v>
      </c>
      <c r="BK18" s="20">
        <f t="shared" si="10"/>
        <v>144</v>
      </c>
      <c r="BL18" s="20">
        <f t="shared" si="11"/>
        <v>144</v>
      </c>
      <c r="BM18" s="1">
        <f t="shared" si="12"/>
        <v>144</v>
      </c>
      <c r="BT18" s="1">
        <f t="shared" si="13"/>
        <v>864</v>
      </c>
      <c r="BU18" s="1">
        <f t="shared" si="14"/>
        <v>0</v>
      </c>
    </row>
    <row r="19" s="1" customFormat="1" ht="24" hidden="1" customHeight="1" spans="1:74">
      <c r="A19" s="21">
        <v>45418</v>
      </c>
      <c r="B19" s="20" t="s">
        <v>153</v>
      </c>
      <c r="C19" s="22" t="s">
        <v>92</v>
      </c>
      <c r="D19" s="23">
        <v>4500132486</v>
      </c>
      <c r="E19" s="24" t="s">
        <v>2799</v>
      </c>
      <c r="F19" s="23" t="s">
        <v>2800</v>
      </c>
      <c r="G19" s="19" t="s">
        <v>155</v>
      </c>
      <c r="H19" s="19" t="s">
        <v>155</v>
      </c>
      <c r="I19" s="18" t="s">
        <v>206</v>
      </c>
      <c r="J19" s="20">
        <v>432</v>
      </c>
      <c r="K19" s="20">
        <v>0</v>
      </c>
      <c r="L19" s="20">
        <v>108</v>
      </c>
      <c r="M19" s="20">
        <f t="shared" si="1"/>
        <v>4</v>
      </c>
      <c r="N19" s="25">
        <v>45464</v>
      </c>
      <c r="O19" s="25">
        <v>45474</v>
      </c>
      <c r="P19" s="26" t="s">
        <v>2768</v>
      </c>
      <c r="Q19" s="26"/>
      <c r="R19" s="18" t="s">
        <v>86</v>
      </c>
      <c r="S19" s="18"/>
      <c r="T19" s="26" t="s">
        <v>2770</v>
      </c>
      <c r="U19" s="26"/>
      <c r="V19" s="26" t="s">
        <v>665</v>
      </c>
      <c r="W19" s="26" t="s">
        <v>2792</v>
      </c>
      <c r="X19" s="26"/>
      <c r="Y19" s="17" t="s">
        <v>2778</v>
      </c>
      <c r="Z19" s="20" t="s">
        <v>163</v>
      </c>
      <c r="AA19" s="27">
        <v>653.0097</v>
      </c>
      <c r="AB19" s="28">
        <f t="shared" si="2"/>
        <v>2612.0388</v>
      </c>
      <c r="AC19" s="23"/>
      <c r="AD19" s="29" t="s">
        <v>89</v>
      </c>
      <c r="AE19" s="29"/>
      <c r="AF19" s="29"/>
      <c r="AG19" s="19">
        <f t="shared" si="3"/>
        <v>432</v>
      </c>
      <c r="AH19" s="30"/>
      <c r="AI19" s="29"/>
      <c r="AJ19" s="29"/>
      <c r="AK19" s="29"/>
      <c r="AL19" s="29"/>
      <c r="AM19" s="31"/>
      <c r="AN19" s="31">
        <f t="shared" si="0"/>
        <v>432</v>
      </c>
      <c r="AO19" s="31"/>
      <c r="AP19" s="30"/>
      <c r="AQ19" s="30"/>
      <c r="AR19" s="30">
        <f t="shared" si="4"/>
        <v>432</v>
      </c>
      <c r="AS19" s="30"/>
      <c r="AT19" s="30"/>
      <c r="AU19" s="30"/>
      <c r="AV19" s="18"/>
      <c r="AW19" s="18">
        <f t="shared" si="5"/>
        <v>432</v>
      </c>
      <c r="AX19" s="19"/>
      <c r="AY19" s="20"/>
      <c r="AZ19" s="20"/>
      <c r="BA19" s="20"/>
      <c r="BB19" s="20"/>
      <c r="BC19" s="20"/>
      <c r="BD19" s="20"/>
      <c r="BE19" s="20"/>
      <c r="BF19" s="20" t="s">
        <v>165</v>
      </c>
      <c r="BG19" s="20">
        <f t="shared" si="6"/>
        <v>432</v>
      </c>
      <c r="BH19" s="20">
        <f t="shared" si="7"/>
        <v>72</v>
      </c>
      <c r="BI19" s="20">
        <f t="shared" si="8"/>
        <v>72</v>
      </c>
      <c r="BJ19" s="20">
        <f t="shared" si="9"/>
        <v>72</v>
      </c>
      <c r="BK19" s="20">
        <f t="shared" si="10"/>
        <v>72</v>
      </c>
      <c r="BL19" s="20">
        <f t="shared" si="11"/>
        <v>72</v>
      </c>
      <c r="BM19" s="1">
        <f t="shared" si="12"/>
        <v>72</v>
      </c>
      <c r="BT19" s="1">
        <f t="shared" si="13"/>
        <v>432</v>
      </c>
      <c r="BU19" s="1">
        <f t="shared" si="14"/>
        <v>0</v>
      </c>
    </row>
    <row r="20" s="1" customFormat="1" ht="24" hidden="1" customHeight="1" spans="1:74">
      <c r="A20" s="21">
        <v>45418</v>
      </c>
      <c r="B20" s="20" t="s">
        <v>153</v>
      </c>
      <c r="C20" s="22" t="s">
        <v>92</v>
      </c>
      <c r="D20" s="23">
        <v>4500132486</v>
      </c>
      <c r="E20" s="24" t="s">
        <v>2801</v>
      </c>
      <c r="F20" s="23" t="s">
        <v>2802</v>
      </c>
      <c r="G20" s="19" t="s">
        <v>155</v>
      </c>
      <c r="H20" s="19" t="s">
        <v>155</v>
      </c>
      <c r="I20" s="18" t="s">
        <v>206</v>
      </c>
      <c r="J20" s="20">
        <v>756</v>
      </c>
      <c r="K20" s="20">
        <v>0</v>
      </c>
      <c r="L20" s="20">
        <v>108</v>
      </c>
      <c r="M20" s="20">
        <f t="shared" si="1"/>
        <v>7</v>
      </c>
      <c r="N20" s="25">
        <v>45469</v>
      </c>
      <c r="O20" s="25">
        <v>45474</v>
      </c>
      <c r="P20" s="26" t="s">
        <v>2768</v>
      </c>
      <c r="Q20" s="26"/>
      <c r="R20" s="18" t="s">
        <v>86</v>
      </c>
      <c r="S20" s="18"/>
      <c r="T20" s="26" t="s">
        <v>2770</v>
      </c>
      <c r="U20" s="26"/>
      <c r="V20" s="26" t="s">
        <v>665</v>
      </c>
      <c r="W20" s="26" t="s">
        <v>2792</v>
      </c>
      <c r="X20" s="26"/>
      <c r="Y20" s="17" t="s">
        <v>2778</v>
      </c>
      <c r="Z20" s="20" t="s">
        <v>163</v>
      </c>
      <c r="AA20" s="27">
        <v>653.0097</v>
      </c>
      <c r="AB20" s="28">
        <f t="shared" si="2"/>
        <v>4571.0679</v>
      </c>
      <c r="AC20" s="23"/>
      <c r="AD20" s="29" t="s">
        <v>89</v>
      </c>
      <c r="AE20" s="29"/>
      <c r="AF20" s="29"/>
      <c r="AG20" s="19">
        <f t="shared" si="3"/>
        <v>756</v>
      </c>
      <c r="AH20" s="30"/>
      <c r="AI20" s="29"/>
      <c r="AJ20" s="29"/>
      <c r="AK20" s="29"/>
      <c r="AL20" s="29"/>
      <c r="AM20" s="31"/>
      <c r="AN20" s="31">
        <f t="shared" si="0"/>
        <v>756</v>
      </c>
      <c r="AO20" s="31"/>
      <c r="AP20" s="30"/>
      <c r="AQ20" s="30"/>
      <c r="AR20" s="30">
        <f t="shared" si="4"/>
        <v>756</v>
      </c>
      <c r="AS20" s="30"/>
      <c r="AT20" s="30"/>
      <c r="AU20" s="30"/>
      <c r="AV20" s="18"/>
      <c r="AW20" s="18">
        <f t="shared" si="5"/>
        <v>756</v>
      </c>
      <c r="AX20" s="19"/>
      <c r="AY20" s="20"/>
      <c r="AZ20" s="20"/>
      <c r="BA20" s="20"/>
      <c r="BB20" s="20"/>
      <c r="BC20" s="20"/>
      <c r="BD20" s="20"/>
      <c r="BE20" s="20"/>
      <c r="BF20" s="20" t="s">
        <v>165</v>
      </c>
      <c r="BG20" s="20">
        <f t="shared" si="6"/>
        <v>756</v>
      </c>
      <c r="BH20" s="20">
        <f t="shared" si="7"/>
        <v>126</v>
      </c>
      <c r="BI20" s="20">
        <f t="shared" si="8"/>
        <v>126</v>
      </c>
      <c r="BJ20" s="20">
        <f t="shared" si="9"/>
        <v>126</v>
      </c>
      <c r="BK20" s="20">
        <f t="shared" si="10"/>
        <v>126</v>
      </c>
      <c r="BL20" s="20">
        <f t="shared" si="11"/>
        <v>126</v>
      </c>
      <c r="BM20" s="1">
        <f t="shared" si="12"/>
        <v>126</v>
      </c>
      <c r="BT20" s="1">
        <f t="shared" si="13"/>
        <v>756</v>
      </c>
      <c r="BU20" s="1">
        <f t="shared" si="14"/>
        <v>0</v>
      </c>
    </row>
    <row r="21" s="1" customFormat="1" ht="24" hidden="1" customHeight="1" spans="1:74">
      <c r="A21" s="21">
        <v>45418</v>
      </c>
      <c r="B21" s="20" t="s">
        <v>153</v>
      </c>
      <c r="C21" s="22" t="s">
        <v>92</v>
      </c>
      <c r="D21" s="23">
        <v>4500132486</v>
      </c>
      <c r="E21" s="24" t="s">
        <v>2803</v>
      </c>
      <c r="F21" s="23" t="s">
        <v>2804</v>
      </c>
      <c r="G21" s="19" t="s">
        <v>155</v>
      </c>
      <c r="H21" s="19" t="s">
        <v>155</v>
      </c>
      <c r="I21" s="18" t="s">
        <v>206</v>
      </c>
      <c r="J21" s="20">
        <v>1080</v>
      </c>
      <c r="K21" s="20">
        <v>0</v>
      </c>
      <c r="L21" s="20">
        <v>108</v>
      </c>
      <c r="M21" s="20">
        <f t="shared" si="1"/>
        <v>10</v>
      </c>
      <c r="N21" s="25">
        <v>45469</v>
      </c>
      <c r="O21" s="25">
        <v>45474</v>
      </c>
      <c r="P21" s="26" t="s">
        <v>2768</v>
      </c>
      <c r="Q21" s="26"/>
      <c r="R21" s="18" t="s">
        <v>86</v>
      </c>
      <c r="S21" s="18"/>
      <c r="T21" s="26" t="s">
        <v>2770</v>
      </c>
      <c r="U21" s="26"/>
      <c r="V21" s="26" t="s">
        <v>665</v>
      </c>
      <c r="W21" s="26" t="s">
        <v>2792</v>
      </c>
      <c r="X21" s="26"/>
      <c r="Y21" s="17" t="s">
        <v>2778</v>
      </c>
      <c r="Z21" s="20" t="s">
        <v>163</v>
      </c>
      <c r="AA21" s="27">
        <v>652.1889</v>
      </c>
      <c r="AB21" s="28">
        <f t="shared" si="2"/>
        <v>6521.889</v>
      </c>
      <c r="AC21" s="23"/>
      <c r="AD21" s="29" t="s">
        <v>89</v>
      </c>
      <c r="AE21" s="29"/>
      <c r="AF21" s="29"/>
      <c r="AG21" s="19">
        <f t="shared" si="3"/>
        <v>1080</v>
      </c>
      <c r="AH21" s="30"/>
      <c r="AI21" s="29"/>
      <c r="AJ21" s="29"/>
      <c r="AK21" s="29"/>
      <c r="AL21" s="29"/>
      <c r="AM21" s="31"/>
      <c r="AN21" s="31">
        <f t="shared" si="0"/>
        <v>1080</v>
      </c>
      <c r="AO21" s="31"/>
      <c r="AP21" s="30"/>
      <c r="AQ21" s="30"/>
      <c r="AR21" s="30">
        <f t="shared" si="4"/>
        <v>1080</v>
      </c>
      <c r="AS21" s="30"/>
      <c r="AT21" s="30"/>
      <c r="AU21" s="30"/>
      <c r="AV21" s="18"/>
      <c r="AW21" s="18">
        <f t="shared" si="5"/>
        <v>1080</v>
      </c>
      <c r="AX21" s="19"/>
      <c r="AY21" s="20"/>
      <c r="AZ21" s="20"/>
      <c r="BA21" s="20"/>
      <c r="BB21" s="20"/>
      <c r="BC21" s="20"/>
      <c r="BD21" s="20"/>
      <c r="BE21" s="20"/>
      <c r="BF21" s="20" t="s">
        <v>165</v>
      </c>
      <c r="BG21" s="20">
        <f t="shared" si="6"/>
        <v>1080</v>
      </c>
      <c r="BH21" s="20">
        <f t="shared" si="7"/>
        <v>180</v>
      </c>
      <c r="BI21" s="20">
        <f t="shared" si="8"/>
        <v>180</v>
      </c>
      <c r="BJ21" s="20">
        <f t="shared" si="9"/>
        <v>180</v>
      </c>
      <c r="BK21" s="20">
        <f t="shared" si="10"/>
        <v>180</v>
      </c>
      <c r="BL21" s="20">
        <f t="shared" si="11"/>
        <v>180</v>
      </c>
      <c r="BM21" s="1">
        <f t="shared" si="12"/>
        <v>180</v>
      </c>
      <c r="BT21" s="1">
        <f t="shared" si="13"/>
        <v>1080</v>
      </c>
      <c r="BU21" s="1">
        <f t="shared" si="14"/>
        <v>0</v>
      </c>
    </row>
    <row r="22" s="1" customFormat="1" ht="24" hidden="1" customHeight="1" spans="1:74">
      <c r="A22" s="21">
        <v>45418</v>
      </c>
      <c r="B22" s="20" t="s">
        <v>153</v>
      </c>
      <c r="C22" s="22" t="s">
        <v>92</v>
      </c>
      <c r="D22" s="23">
        <v>4500132486</v>
      </c>
      <c r="E22" s="24" t="s">
        <v>2805</v>
      </c>
      <c r="F22" s="23" t="s">
        <v>2806</v>
      </c>
      <c r="G22" s="19" t="s">
        <v>155</v>
      </c>
      <c r="H22" s="19" t="s">
        <v>155</v>
      </c>
      <c r="I22" s="18" t="s">
        <v>206</v>
      </c>
      <c r="J22" s="20">
        <v>756</v>
      </c>
      <c r="K22" s="20">
        <v>0</v>
      </c>
      <c r="L22" s="20">
        <v>108</v>
      </c>
      <c r="M22" s="20">
        <f t="shared" si="1"/>
        <v>7</v>
      </c>
      <c r="N22" s="25">
        <v>45471</v>
      </c>
      <c r="O22" s="25">
        <v>45474</v>
      </c>
      <c r="P22" s="26" t="s">
        <v>2768</v>
      </c>
      <c r="Q22" s="26"/>
      <c r="R22" s="18" t="s">
        <v>86</v>
      </c>
      <c r="S22" s="18"/>
      <c r="T22" s="26" t="s">
        <v>2770</v>
      </c>
      <c r="U22" s="26"/>
      <c r="V22" s="26" t="s">
        <v>665</v>
      </c>
      <c r="W22" s="26" t="s">
        <v>2792</v>
      </c>
      <c r="X22" s="26"/>
      <c r="Y22" s="17" t="s">
        <v>2778</v>
      </c>
      <c r="Z22" s="20" t="s">
        <v>163</v>
      </c>
      <c r="AA22" s="27">
        <v>653.0097</v>
      </c>
      <c r="AB22" s="28">
        <f t="shared" si="2"/>
        <v>4571.0679</v>
      </c>
      <c r="AC22" s="23"/>
      <c r="AD22" s="29" t="s">
        <v>89</v>
      </c>
      <c r="AE22" s="29"/>
      <c r="AF22" s="29"/>
      <c r="AG22" s="19">
        <f t="shared" si="3"/>
        <v>756</v>
      </c>
      <c r="AH22" s="30"/>
      <c r="AI22" s="29"/>
      <c r="AJ22" s="29"/>
      <c r="AK22" s="29"/>
      <c r="AL22" s="29"/>
      <c r="AM22" s="31"/>
      <c r="AN22" s="31">
        <f t="shared" si="0"/>
        <v>756</v>
      </c>
      <c r="AO22" s="31"/>
      <c r="AP22" s="30"/>
      <c r="AQ22" s="30"/>
      <c r="AR22" s="30">
        <f t="shared" si="4"/>
        <v>756</v>
      </c>
      <c r="AS22" s="30"/>
      <c r="AT22" s="30"/>
      <c r="AU22" s="30"/>
      <c r="AV22" s="18"/>
      <c r="AW22" s="18">
        <f t="shared" si="5"/>
        <v>756</v>
      </c>
      <c r="AX22" s="19"/>
      <c r="AY22" s="20"/>
      <c r="AZ22" s="20"/>
      <c r="BA22" s="20"/>
      <c r="BB22" s="20"/>
      <c r="BC22" s="20"/>
      <c r="BD22" s="20"/>
      <c r="BE22" s="20"/>
      <c r="BF22" s="20" t="s">
        <v>165</v>
      </c>
      <c r="BG22" s="20">
        <f t="shared" si="6"/>
        <v>756</v>
      </c>
      <c r="BH22" s="20">
        <f t="shared" si="7"/>
        <v>126</v>
      </c>
      <c r="BI22" s="20">
        <f t="shared" si="8"/>
        <v>126</v>
      </c>
      <c r="BJ22" s="20">
        <f t="shared" si="9"/>
        <v>126</v>
      </c>
      <c r="BK22" s="20">
        <f t="shared" si="10"/>
        <v>126</v>
      </c>
      <c r="BL22" s="20">
        <f t="shared" si="11"/>
        <v>126</v>
      </c>
      <c r="BM22" s="1">
        <f t="shared" si="12"/>
        <v>126</v>
      </c>
      <c r="BT22" s="1">
        <f t="shared" si="13"/>
        <v>756</v>
      </c>
      <c r="BU22" s="1">
        <f t="shared" si="14"/>
        <v>0</v>
      </c>
    </row>
    <row r="23" s="1" customFormat="1" ht="24" hidden="1" customHeight="1" spans="1:74">
      <c r="A23" s="21">
        <v>45418</v>
      </c>
      <c r="B23" s="20" t="s">
        <v>153</v>
      </c>
      <c r="C23" s="22" t="s">
        <v>92</v>
      </c>
      <c r="D23" s="23">
        <v>4500132486</v>
      </c>
      <c r="E23" s="24" t="s">
        <v>2807</v>
      </c>
      <c r="F23" s="23" t="s">
        <v>2808</v>
      </c>
      <c r="G23" s="19" t="s">
        <v>155</v>
      </c>
      <c r="H23" s="19" t="s">
        <v>155</v>
      </c>
      <c r="I23" s="18" t="s">
        <v>206</v>
      </c>
      <c r="J23" s="20">
        <v>1080</v>
      </c>
      <c r="K23" s="20">
        <v>0</v>
      </c>
      <c r="L23" s="20">
        <v>108</v>
      </c>
      <c r="M23" s="20">
        <f t="shared" si="1"/>
        <v>10</v>
      </c>
      <c r="N23" s="25">
        <v>45471</v>
      </c>
      <c r="O23" s="25">
        <v>45474</v>
      </c>
      <c r="P23" s="26" t="s">
        <v>2768</v>
      </c>
      <c r="Q23" s="26"/>
      <c r="R23" s="18" t="s">
        <v>86</v>
      </c>
      <c r="S23" s="18"/>
      <c r="T23" s="26" t="s">
        <v>2770</v>
      </c>
      <c r="U23" s="26"/>
      <c r="V23" s="26" t="s">
        <v>665</v>
      </c>
      <c r="W23" s="26" t="s">
        <v>2792</v>
      </c>
      <c r="X23" s="26"/>
      <c r="Y23" s="17" t="s">
        <v>2778</v>
      </c>
      <c r="Z23" s="20" t="s">
        <v>163</v>
      </c>
      <c r="AA23" s="27">
        <v>652.1889</v>
      </c>
      <c r="AB23" s="28">
        <f t="shared" si="2"/>
        <v>6521.889</v>
      </c>
      <c r="AC23" s="23"/>
      <c r="AD23" s="29" t="s">
        <v>89</v>
      </c>
      <c r="AE23" s="29"/>
      <c r="AF23" s="29"/>
      <c r="AG23" s="19">
        <f t="shared" si="3"/>
        <v>1080</v>
      </c>
      <c r="AH23" s="30"/>
      <c r="AI23" s="29"/>
      <c r="AJ23" s="29"/>
      <c r="AK23" s="29"/>
      <c r="AL23" s="29"/>
      <c r="AM23" s="31"/>
      <c r="AN23" s="31">
        <f t="shared" si="0"/>
        <v>1080</v>
      </c>
      <c r="AO23" s="31"/>
      <c r="AP23" s="30"/>
      <c r="AQ23" s="30"/>
      <c r="AR23" s="30">
        <f t="shared" si="4"/>
        <v>1080</v>
      </c>
      <c r="AS23" s="30"/>
      <c r="AT23" s="30"/>
      <c r="AU23" s="30"/>
      <c r="AV23" s="18"/>
      <c r="AW23" s="18">
        <f t="shared" si="5"/>
        <v>1080</v>
      </c>
      <c r="AX23" s="19"/>
      <c r="AY23" s="20"/>
      <c r="AZ23" s="20"/>
      <c r="BA23" s="20"/>
      <c r="BB23" s="20"/>
      <c r="BC23" s="20"/>
      <c r="BD23" s="20"/>
      <c r="BE23" s="20"/>
      <c r="BF23" s="20" t="s">
        <v>165</v>
      </c>
      <c r="BG23" s="20">
        <f t="shared" si="6"/>
        <v>1080</v>
      </c>
      <c r="BH23" s="20">
        <f t="shared" si="7"/>
        <v>180</v>
      </c>
      <c r="BI23" s="20">
        <f t="shared" si="8"/>
        <v>180</v>
      </c>
      <c r="BJ23" s="20">
        <f t="shared" si="9"/>
        <v>180</v>
      </c>
      <c r="BK23" s="20">
        <f t="shared" si="10"/>
        <v>180</v>
      </c>
      <c r="BL23" s="20">
        <f t="shared" si="11"/>
        <v>180</v>
      </c>
      <c r="BM23" s="1">
        <f t="shared" si="12"/>
        <v>180</v>
      </c>
      <c r="BT23" s="1">
        <f t="shared" si="13"/>
        <v>1080</v>
      </c>
      <c r="BU23" s="1">
        <f t="shared" si="14"/>
        <v>0</v>
      </c>
    </row>
    <row r="24" s="1" customFormat="1" ht="24" hidden="1" customHeight="1" spans="1:74">
      <c r="A24" s="21">
        <v>45418</v>
      </c>
      <c r="B24" s="20" t="s">
        <v>153</v>
      </c>
      <c r="C24" s="22" t="s">
        <v>92</v>
      </c>
      <c r="D24" s="23">
        <v>4500132486</v>
      </c>
      <c r="E24" s="24" t="s">
        <v>2809</v>
      </c>
      <c r="F24" s="23" t="s">
        <v>2810</v>
      </c>
      <c r="G24" s="19" t="s">
        <v>155</v>
      </c>
      <c r="H24" s="19" t="s">
        <v>155</v>
      </c>
      <c r="I24" s="18" t="s">
        <v>206</v>
      </c>
      <c r="J24" s="20">
        <v>1188</v>
      </c>
      <c r="K24" s="20">
        <v>0</v>
      </c>
      <c r="L24" s="20">
        <v>108</v>
      </c>
      <c r="M24" s="20">
        <f t="shared" si="1"/>
        <v>11</v>
      </c>
      <c r="N24" s="25">
        <v>45471</v>
      </c>
      <c r="O24" s="25">
        <v>45474</v>
      </c>
      <c r="P24" s="26" t="s">
        <v>2768</v>
      </c>
      <c r="Q24" s="26"/>
      <c r="R24" s="18" t="s">
        <v>86</v>
      </c>
      <c r="S24" s="18"/>
      <c r="T24" s="26" t="s">
        <v>2770</v>
      </c>
      <c r="U24" s="26"/>
      <c r="V24" s="26" t="s">
        <v>665</v>
      </c>
      <c r="W24" s="26" t="s">
        <v>2792</v>
      </c>
      <c r="X24" s="26"/>
      <c r="Y24" s="17" t="s">
        <v>2778</v>
      </c>
      <c r="Z24" s="20" t="s">
        <v>163</v>
      </c>
      <c r="AA24" s="27">
        <v>652.1889</v>
      </c>
      <c r="AB24" s="28">
        <f t="shared" si="2"/>
        <v>7174.0779</v>
      </c>
      <c r="AC24" s="23"/>
      <c r="AD24" s="29" t="s">
        <v>89</v>
      </c>
      <c r="AE24" s="29"/>
      <c r="AF24" s="29"/>
      <c r="AG24" s="19">
        <f t="shared" si="3"/>
        <v>1188</v>
      </c>
      <c r="AH24" s="30"/>
      <c r="AI24" s="29"/>
      <c r="AJ24" s="29"/>
      <c r="AK24" s="29"/>
      <c r="AL24" s="29"/>
      <c r="AM24" s="31"/>
      <c r="AN24" s="31">
        <f t="shared" si="0"/>
        <v>1188</v>
      </c>
      <c r="AO24" s="31"/>
      <c r="AP24" s="30"/>
      <c r="AQ24" s="30"/>
      <c r="AR24" s="30">
        <f t="shared" si="4"/>
        <v>1188</v>
      </c>
      <c r="AS24" s="30"/>
      <c r="AT24" s="30"/>
      <c r="AU24" s="30"/>
      <c r="AV24" s="18"/>
      <c r="AW24" s="18">
        <f t="shared" si="5"/>
        <v>1188</v>
      </c>
      <c r="AX24" s="19"/>
      <c r="AY24" s="20"/>
      <c r="AZ24" s="20"/>
      <c r="BA24" s="20"/>
      <c r="BB24" s="20"/>
      <c r="BC24" s="20"/>
      <c r="BD24" s="20"/>
      <c r="BE24" s="20"/>
      <c r="BF24" s="20" t="s">
        <v>165</v>
      </c>
      <c r="BG24" s="20">
        <f t="shared" si="6"/>
        <v>1188</v>
      </c>
      <c r="BH24" s="20">
        <f t="shared" si="7"/>
        <v>198</v>
      </c>
      <c r="BI24" s="20">
        <f t="shared" si="8"/>
        <v>198</v>
      </c>
      <c r="BJ24" s="20">
        <f t="shared" si="9"/>
        <v>198</v>
      </c>
      <c r="BK24" s="20">
        <f t="shared" si="10"/>
        <v>198</v>
      </c>
      <c r="BL24" s="20">
        <f t="shared" si="11"/>
        <v>198</v>
      </c>
      <c r="BM24" s="1">
        <f t="shared" si="12"/>
        <v>198</v>
      </c>
      <c r="BT24" s="1">
        <f t="shared" si="13"/>
        <v>1188</v>
      </c>
      <c r="BU24" s="1">
        <f t="shared" si="14"/>
        <v>0</v>
      </c>
    </row>
    <row r="25" s="1" customFormat="1" ht="24" hidden="1" customHeight="1" spans="1:74">
      <c r="A25" s="21">
        <v>45418</v>
      </c>
      <c r="B25" s="20" t="s">
        <v>153</v>
      </c>
      <c r="C25" s="22" t="s">
        <v>92</v>
      </c>
      <c r="D25" s="23">
        <v>4500132486</v>
      </c>
      <c r="E25" s="24" t="s">
        <v>2811</v>
      </c>
      <c r="F25" s="23" t="s">
        <v>2812</v>
      </c>
      <c r="G25" s="19" t="s">
        <v>155</v>
      </c>
      <c r="H25" s="19" t="s">
        <v>155</v>
      </c>
      <c r="I25" s="18" t="s">
        <v>206</v>
      </c>
      <c r="J25" s="20">
        <v>1512</v>
      </c>
      <c r="K25" s="20">
        <v>0</v>
      </c>
      <c r="L25" s="20">
        <v>108</v>
      </c>
      <c r="M25" s="20">
        <f t="shared" si="1"/>
        <v>14</v>
      </c>
      <c r="N25" s="25">
        <v>45471</v>
      </c>
      <c r="O25" s="25">
        <v>45474</v>
      </c>
      <c r="P25" s="26" t="s">
        <v>2768</v>
      </c>
      <c r="Q25" s="26"/>
      <c r="R25" s="18" t="s">
        <v>86</v>
      </c>
      <c r="S25" s="18"/>
      <c r="T25" s="26" t="s">
        <v>2770</v>
      </c>
      <c r="U25" s="26"/>
      <c r="V25" s="26" t="s">
        <v>665</v>
      </c>
      <c r="W25" s="26" t="s">
        <v>2792</v>
      </c>
      <c r="X25" s="26"/>
      <c r="Y25" s="17" t="s">
        <v>2778</v>
      </c>
      <c r="Z25" s="20" t="s">
        <v>163</v>
      </c>
      <c r="AA25" s="27">
        <v>652.1889</v>
      </c>
      <c r="AB25" s="28">
        <f t="shared" si="2"/>
        <v>9130.6446</v>
      </c>
      <c r="AC25" s="23"/>
      <c r="AD25" s="29" t="s">
        <v>89</v>
      </c>
      <c r="AE25" s="29"/>
      <c r="AF25" s="29"/>
      <c r="AG25" s="19">
        <f t="shared" si="3"/>
        <v>1512</v>
      </c>
      <c r="AH25" s="30"/>
      <c r="AI25" s="29"/>
      <c r="AJ25" s="29"/>
      <c r="AK25" s="29"/>
      <c r="AL25" s="29"/>
      <c r="AM25" s="31"/>
      <c r="AN25" s="31">
        <f t="shared" si="0"/>
        <v>1512</v>
      </c>
      <c r="AO25" s="31"/>
      <c r="AP25" s="30"/>
      <c r="AQ25" s="30"/>
      <c r="AR25" s="30">
        <f t="shared" si="4"/>
        <v>1512</v>
      </c>
      <c r="AS25" s="30"/>
      <c r="AT25" s="30"/>
      <c r="AU25" s="30"/>
      <c r="AV25" s="18"/>
      <c r="AW25" s="18">
        <f t="shared" si="5"/>
        <v>1512</v>
      </c>
      <c r="AX25" s="19"/>
      <c r="AY25" s="20"/>
      <c r="AZ25" s="20"/>
      <c r="BA25" s="20"/>
      <c r="BB25" s="20"/>
      <c r="BC25" s="20"/>
      <c r="BD25" s="20"/>
      <c r="BE25" s="20"/>
      <c r="BF25" s="20" t="s">
        <v>165</v>
      </c>
      <c r="BG25" s="20">
        <f t="shared" si="6"/>
        <v>1512</v>
      </c>
      <c r="BH25" s="20">
        <f t="shared" si="7"/>
        <v>252</v>
      </c>
      <c r="BI25" s="20">
        <f t="shared" si="8"/>
        <v>252</v>
      </c>
      <c r="BJ25" s="20">
        <f t="shared" si="9"/>
        <v>252</v>
      </c>
      <c r="BK25" s="20">
        <f t="shared" si="10"/>
        <v>252</v>
      </c>
      <c r="BL25" s="20">
        <f t="shared" si="11"/>
        <v>252</v>
      </c>
      <c r="BM25" s="1">
        <f t="shared" si="12"/>
        <v>252</v>
      </c>
      <c r="BT25" s="1">
        <f t="shared" si="13"/>
        <v>1512</v>
      </c>
      <c r="BU25" s="1">
        <f t="shared" si="14"/>
        <v>0</v>
      </c>
    </row>
    <row r="26" s="1" customFormat="1" ht="26" hidden="1" customHeight="1" spans="1:74">
      <c r="A26" s="21">
        <v>45427</v>
      </c>
      <c r="B26" s="20" t="s">
        <v>245</v>
      </c>
      <c r="C26" s="22" t="s">
        <v>246</v>
      </c>
      <c r="D26" s="23">
        <v>4500133663</v>
      </c>
      <c r="E26" s="24">
        <v>20091071</v>
      </c>
      <c r="F26" s="23" t="s">
        <v>2813</v>
      </c>
      <c r="G26" s="19" t="s">
        <v>81</v>
      </c>
      <c r="H26" s="19" t="s">
        <v>81</v>
      </c>
      <c r="I26" s="18" t="s">
        <v>95</v>
      </c>
      <c r="J26" s="20">
        <v>126</v>
      </c>
      <c r="K26" s="20">
        <v>0</v>
      </c>
      <c r="L26" s="20">
        <v>6</v>
      </c>
      <c r="M26" s="20">
        <f t="shared" si="1"/>
        <v>21</v>
      </c>
      <c r="N26" s="25">
        <v>45471</v>
      </c>
      <c r="O26" s="25">
        <v>45467</v>
      </c>
      <c r="P26" s="26" t="s">
        <v>2814</v>
      </c>
      <c r="Q26" s="26"/>
      <c r="R26" s="18"/>
      <c r="S26" s="18"/>
      <c r="T26" s="26" t="s">
        <v>2815</v>
      </c>
      <c r="U26" s="26"/>
      <c r="V26" s="26" t="s">
        <v>2816</v>
      </c>
      <c r="W26" s="26"/>
      <c r="X26" s="26"/>
      <c r="Y26" s="17" t="s">
        <v>2817</v>
      </c>
      <c r="Z26" s="20" t="s">
        <v>252</v>
      </c>
      <c r="AA26" s="27">
        <v>6.2984</v>
      </c>
      <c r="AB26" s="28">
        <f t="shared" ref="AB26:AB31" si="15">AA26*J26</f>
        <v>793.5984</v>
      </c>
      <c r="AC26" s="23"/>
      <c r="AD26" s="29" t="s">
        <v>89</v>
      </c>
      <c r="AE26" s="29"/>
      <c r="AF26" s="29"/>
      <c r="AG26" s="19">
        <f t="shared" si="3"/>
        <v>126</v>
      </c>
      <c r="AH26" s="30"/>
      <c r="AI26" s="29"/>
      <c r="AJ26" s="29"/>
      <c r="AK26" s="29"/>
      <c r="AL26" s="29"/>
      <c r="AM26" s="31"/>
      <c r="AN26" s="31">
        <f t="shared" si="0"/>
        <v>126</v>
      </c>
      <c r="AO26" s="31"/>
      <c r="AP26" s="30"/>
      <c r="AQ26" s="30"/>
      <c r="AR26" s="30">
        <f t="shared" si="4"/>
        <v>126</v>
      </c>
      <c r="AS26" s="30"/>
      <c r="AT26" s="30"/>
      <c r="AU26" s="30"/>
      <c r="AV26" s="18"/>
      <c r="AW26" s="18">
        <f t="shared" si="5"/>
        <v>126</v>
      </c>
      <c r="AX26" s="19"/>
      <c r="AY26" s="20"/>
      <c r="AZ26" s="20"/>
      <c r="BA26" s="20"/>
      <c r="BB26" s="20"/>
      <c r="BC26" s="20"/>
      <c r="BD26" s="20"/>
      <c r="BE26" s="20"/>
      <c r="BF26" s="20" t="s">
        <v>90</v>
      </c>
      <c r="BG26" s="20" t="s">
        <v>2818</v>
      </c>
      <c r="BH26" s="20">
        <f t="shared" si="7"/>
        <v>21</v>
      </c>
      <c r="BI26" s="20">
        <f t="shared" si="8"/>
        <v>21</v>
      </c>
      <c r="BJ26" s="20">
        <f t="shared" si="9"/>
        <v>21</v>
      </c>
      <c r="BK26" s="20"/>
      <c r="BL26" s="20">
        <f t="shared" si="11"/>
        <v>21</v>
      </c>
      <c r="BM26" s="1">
        <f t="shared" si="12"/>
        <v>21</v>
      </c>
      <c r="BQ26" s="1">
        <f>J26/6</f>
        <v>21</v>
      </c>
      <c r="BT26" s="1">
        <f t="shared" si="13"/>
        <v>126</v>
      </c>
      <c r="BU26" s="1">
        <f t="shared" si="14"/>
        <v>0</v>
      </c>
    </row>
    <row r="27" s="1" customFormat="1" ht="24" hidden="1" customHeight="1" spans="1:74">
      <c r="A27" s="21">
        <v>45477</v>
      </c>
      <c r="B27" s="20" t="s">
        <v>358</v>
      </c>
      <c r="C27" s="22" t="s">
        <v>359</v>
      </c>
      <c r="D27" s="23" t="s">
        <v>2819</v>
      </c>
      <c r="E27" s="24" t="s">
        <v>2820</v>
      </c>
      <c r="F27" s="23" t="s">
        <v>2821</v>
      </c>
      <c r="G27" s="19"/>
      <c r="H27" s="19" t="s">
        <v>826</v>
      </c>
      <c r="I27" s="18" t="s">
        <v>827</v>
      </c>
      <c r="J27" s="20">
        <v>44</v>
      </c>
      <c r="K27" s="20">
        <v>1</v>
      </c>
      <c r="L27" s="20">
        <v>4</v>
      </c>
      <c r="M27" s="20">
        <f t="shared" ref="M27:M42" si="16">J27/L27</f>
        <v>11</v>
      </c>
      <c r="N27" s="25">
        <v>45516</v>
      </c>
      <c r="O27" s="25">
        <v>45512</v>
      </c>
      <c r="P27" s="26" t="s">
        <v>2822</v>
      </c>
      <c r="Q27" s="26"/>
      <c r="R27" s="18"/>
      <c r="S27" s="18"/>
      <c r="T27" s="26" t="s">
        <v>2823</v>
      </c>
      <c r="U27" s="26"/>
      <c r="V27" s="26" t="s">
        <v>86</v>
      </c>
      <c r="W27" s="26" t="s">
        <v>2824</v>
      </c>
      <c r="X27" s="26"/>
      <c r="Y27" s="17" t="s">
        <v>2825</v>
      </c>
      <c r="Z27" s="20" t="s">
        <v>1755</v>
      </c>
      <c r="AA27" s="27">
        <v>6.1693</v>
      </c>
      <c r="AB27" s="28">
        <f>AA27*M27</f>
        <v>67.8623</v>
      </c>
      <c r="AC27" s="23"/>
      <c r="AD27" s="29"/>
      <c r="AE27" s="29"/>
      <c r="AF27" s="29"/>
      <c r="AG27" s="19"/>
      <c r="AH27" s="30"/>
      <c r="AI27" s="29"/>
      <c r="AJ27" s="29">
        <f>J27</f>
        <v>44</v>
      </c>
      <c r="AK27" s="29"/>
      <c r="AL27" s="29"/>
      <c r="AM27" s="31"/>
      <c r="AN27" s="31">
        <f t="shared" si="0"/>
        <v>44</v>
      </c>
      <c r="AO27" s="31"/>
      <c r="AP27" s="30"/>
      <c r="AQ27" s="30"/>
      <c r="AR27" s="30"/>
      <c r="AS27" s="30"/>
      <c r="AT27" s="30"/>
      <c r="AU27" s="30">
        <f>J27</f>
        <v>44</v>
      </c>
      <c r="AV27" s="18"/>
      <c r="AW27" s="18">
        <f t="shared" si="5"/>
        <v>44</v>
      </c>
      <c r="AX27" s="19"/>
      <c r="AY27" s="20"/>
      <c r="AZ27" s="20"/>
      <c r="BA27" s="20"/>
      <c r="BB27" s="20"/>
      <c r="BC27" s="20"/>
      <c r="BD27" s="20"/>
      <c r="BE27" s="20"/>
      <c r="BF27" s="20" t="s">
        <v>90</v>
      </c>
      <c r="BG27" s="20">
        <f t="shared" ref="BG27:BG31" si="17">J27</f>
        <v>44</v>
      </c>
      <c r="BH27" s="20"/>
      <c r="BI27" s="20"/>
      <c r="BJ27" s="20"/>
      <c r="BK27" s="20"/>
      <c r="BL27" s="20"/>
      <c r="BM27" s="1">
        <f>J27</f>
        <v>44</v>
      </c>
    </row>
    <row r="28" s="1" customFormat="1" ht="24" hidden="1" customHeight="1" spans="1:74">
      <c r="A28" s="21">
        <v>45428</v>
      </c>
      <c r="B28" s="20" t="s">
        <v>458</v>
      </c>
      <c r="C28" s="22" t="s">
        <v>255</v>
      </c>
      <c r="D28" s="23">
        <v>4500133767</v>
      </c>
      <c r="E28" s="24">
        <v>47707079</v>
      </c>
      <c r="F28" s="23" t="s">
        <v>2826</v>
      </c>
      <c r="G28" s="19" t="s">
        <v>81</v>
      </c>
      <c r="H28" s="19" t="s">
        <v>81</v>
      </c>
      <c r="I28" s="18" t="s">
        <v>2827</v>
      </c>
      <c r="J28" s="20">
        <v>240</v>
      </c>
      <c r="K28" s="20">
        <v>0</v>
      </c>
      <c r="L28" s="20">
        <v>6</v>
      </c>
      <c r="M28" s="20">
        <f t="shared" si="16"/>
        <v>40</v>
      </c>
      <c r="N28" s="25">
        <v>45471</v>
      </c>
      <c r="O28" s="25">
        <v>45467</v>
      </c>
      <c r="P28" s="26" t="s">
        <v>2828</v>
      </c>
      <c r="Q28" s="26" t="s">
        <v>83</v>
      </c>
      <c r="R28" s="18" t="s">
        <v>2829</v>
      </c>
      <c r="S28" s="18"/>
      <c r="T28" s="26" t="s">
        <v>1249</v>
      </c>
      <c r="U28" s="26"/>
      <c r="V28" s="26" t="s">
        <v>2761</v>
      </c>
      <c r="W28" s="26"/>
      <c r="X28" s="26"/>
      <c r="Y28" s="17" t="s">
        <v>2830</v>
      </c>
      <c r="Z28" s="20" t="s">
        <v>2764</v>
      </c>
      <c r="AA28" s="27">
        <v>5.712</v>
      </c>
      <c r="AB28" s="28">
        <f t="shared" si="15"/>
        <v>1370.88</v>
      </c>
      <c r="AC28" s="23"/>
      <c r="AD28" s="29" t="s">
        <v>89</v>
      </c>
      <c r="AE28" s="29"/>
      <c r="AF28" s="29"/>
      <c r="AG28" s="19">
        <f t="shared" ref="AG28:AG31" si="18">J28</f>
        <v>240</v>
      </c>
      <c r="AH28" s="30"/>
      <c r="AI28" s="29"/>
      <c r="AJ28" s="29"/>
      <c r="AK28" s="29"/>
      <c r="AL28" s="29"/>
      <c r="AM28" s="31"/>
      <c r="AN28" s="31">
        <f t="shared" si="0"/>
        <v>240</v>
      </c>
      <c r="AO28" s="31"/>
      <c r="AP28" s="30"/>
      <c r="AQ28" s="30"/>
      <c r="AR28" s="30">
        <f t="shared" ref="AR28:AR31" si="19">J28</f>
        <v>240</v>
      </c>
      <c r="AS28" s="30"/>
      <c r="AT28" s="30"/>
      <c r="AU28" s="30"/>
      <c r="AV28" s="18"/>
      <c r="AW28" s="18">
        <f t="shared" si="5"/>
        <v>240</v>
      </c>
      <c r="AX28" s="19"/>
      <c r="AY28" s="20"/>
      <c r="AZ28" s="20"/>
      <c r="BA28" s="20"/>
      <c r="BB28" s="20"/>
      <c r="BC28" s="20"/>
      <c r="BD28" s="20"/>
      <c r="BE28" s="20"/>
      <c r="BF28" s="20" t="s">
        <v>90</v>
      </c>
      <c r="BG28" s="20" t="s">
        <v>2818</v>
      </c>
      <c r="BH28" s="20">
        <f t="shared" ref="BH28:BH40" si="20">J28/6</f>
        <v>40</v>
      </c>
      <c r="BI28" s="20">
        <f t="shared" ref="BI28:BI40" si="21">J28/6</f>
        <v>40</v>
      </c>
      <c r="BJ28" s="20">
        <f t="shared" ref="BJ28:BJ40" si="22">J28/6</f>
        <v>40</v>
      </c>
      <c r="BK28" s="20">
        <f t="shared" ref="BK28:BK40" si="23">J28/6</f>
        <v>40</v>
      </c>
      <c r="BL28" s="20">
        <f t="shared" ref="BL28:BL40" si="24">J28/6</f>
        <v>40</v>
      </c>
      <c r="BM28" s="1">
        <f>J28/6</f>
        <v>40</v>
      </c>
      <c r="BT28" s="1">
        <f t="shared" ref="BT28:BT31" si="25">SUM(BH28:BS28)</f>
        <v>240</v>
      </c>
      <c r="BU28" s="1">
        <f t="shared" ref="BU28:BU31" si="26">J28-BT28</f>
        <v>0</v>
      </c>
    </row>
    <row r="29" s="2" customFormat="1" ht="33" hidden="1" customHeight="1" spans="1:74">
      <c r="A29" s="21">
        <v>45428</v>
      </c>
      <c r="B29" s="18" t="s">
        <v>458</v>
      </c>
      <c r="C29" s="18" t="s">
        <v>255</v>
      </c>
      <c r="D29" s="23">
        <v>4500133767</v>
      </c>
      <c r="E29" s="17">
        <v>47706373</v>
      </c>
      <c r="F29" s="23" t="s">
        <v>2831</v>
      </c>
      <c r="G29" s="19" t="s">
        <v>81</v>
      </c>
      <c r="H29" s="19" t="s">
        <v>81</v>
      </c>
      <c r="I29" s="18" t="s">
        <v>2827</v>
      </c>
      <c r="J29" s="20">
        <v>240</v>
      </c>
      <c r="K29" s="20">
        <v>0</v>
      </c>
      <c r="L29" s="20">
        <v>6</v>
      </c>
      <c r="M29" s="20">
        <f t="shared" si="16"/>
        <v>40</v>
      </c>
      <c r="N29" s="25">
        <v>45471</v>
      </c>
      <c r="O29" s="25">
        <v>45467</v>
      </c>
      <c r="P29" s="26" t="s">
        <v>2832</v>
      </c>
      <c r="Q29" s="18" t="s">
        <v>83</v>
      </c>
      <c r="R29" s="18" t="s">
        <v>1105</v>
      </c>
      <c r="S29" s="18"/>
      <c r="T29" s="20" t="s">
        <v>1249</v>
      </c>
      <c r="U29" s="25"/>
      <c r="V29" s="25" t="s">
        <v>2761</v>
      </c>
      <c r="W29" s="26"/>
      <c r="X29" s="26"/>
      <c r="Y29" s="17" t="s">
        <v>2830</v>
      </c>
      <c r="Z29" s="32" t="s">
        <v>2764</v>
      </c>
      <c r="AA29" s="27">
        <v>5.712</v>
      </c>
      <c r="AB29" s="28">
        <f t="shared" si="15"/>
        <v>1370.88</v>
      </c>
      <c r="AC29" s="18"/>
      <c r="AD29" s="23" t="s">
        <v>89</v>
      </c>
      <c r="AE29" s="19"/>
      <c r="AF29" s="19"/>
      <c r="AG29" s="19">
        <f t="shared" si="18"/>
        <v>240</v>
      </c>
      <c r="AH29" s="18"/>
      <c r="AI29" s="18"/>
      <c r="AJ29" s="18"/>
      <c r="AK29" s="18"/>
      <c r="AL29" s="18"/>
      <c r="AM29" s="22"/>
      <c r="AN29" s="22">
        <f t="shared" si="0"/>
        <v>240</v>
      </c>
      <c r="AO29" s="18"/>
      <c r="AP29" s="29"/>
      <c r="AQ29" s="18"/>
      <c r="AR29" s="18">
        <f t="shared" si="19"/>
        <v>240</v>
      </c>
      <c r="AS29" s="18"/>
      <c r="AT29" s="18"/>
      <c r="AU29" s="18"/>
      <c r="AV29" s="18"/>
      <c r="AW29" s="18">
        <f t="shared" si="5"/>
        <v>240</v>
      </c>
      <c r="AX29" s="18"/>
      <c r="AY29" s="33"/>
      <c r="AZ29" s="33"/>
      <c r="BA29" s="33"/>
      <c r="BB29" s="33"/>
      <c r="BC29" s="33"/>
      <c r="BD29" s="33"/>
      <c r="BE29" s="33"/>
      <c r="BF29" s="20" t="s">
        <v>90</v>
      </c>
      <c r="BG29" s="31" t="s">
        <v>2818</v>
      </c>
      <c r="BH29" s="20">
        <f t="shared" si="20"/>
        <v>40</v>
      </c>
      <c r="BI29" s="34">
        <f t="shared" si="21"/>
        <v>40</v>
      </c>
      <c r="BJ29" s="20">
        <f t="shared" si="22"/>
        <v>40</v>
      </c>
      <c r="BK29" s="20">
        <f t="shared" si="23"/>
        <v>40</v>
      </c>
      <c r="BL29" s="20">
        <f t="shared" si="24"/>
        <v>40</v>
      </c>
      <c r="BM29" s="1">
        <f>J29/6</f>
        <v>40</v>
      </c>
      <c r="BN29" s="35"/>
      <c r="BO29" s="35"/>
      <c r="BP29" s="35"/>
      <c r="BQ29" s="35"/>
      <c r="BR29" s="35"/>
      <c r="BS29" s="35"/>
      <c r="BT29" s="36">
        <f t="shared" si="25"/>
        <v>240</v>
      </c>
      <c r="BU29" s="35">
        <f t="shared" si="26"/>
        <v>0</v>
      </c>
      <c r="BV29" s="36"/>
    </row>
    <row r="30" s="2" customFormat="1" ht="33" hidden="1" customHeight="1" spans="1:74">
      <c r="A30" s="21">
        <v>45526</v>
      </c>
      <c r="B30" s="18" t="s">
        <v>277</v>
      </c>
      <c r="C30" s="22" t="s">
        <v>92</v>
      </c>
      <c r="D30" s="23">
        <v>4500143709</v>
      </c>
      <c r="E30" s="17" t="s">
        <v>2833</v>
      </c>
      <c r="F30" s="23" t="s">
        <v>2834</v>
      </c>
      <c r="G30" s="19" t="s">
        <v>297</v>
      </c>
      <c r="H30" s="19" t="s">
        <v>297</v>
      </c>
      <c r="I30" s="18" t="s">
        <v>298</v>
      </c>
      <c r="J30" s="20">
        <v>116</v>
      </c>
      <c r="K30" s="20">
        <v>1</v>
      </c>
      <c r="L30" s="20">
        <v>4</v>
      </c>
      <c r="M30" s="20">
        <f t="shared" si="16"/>
        <v>29</v>
      </c>
      <c r="N30" s="25">
        <v>45576</v>
      </c>
      <c r="O30" s="25">
        <v>45572</v>
      </c>
      <c r="P30" s="26" t="s">
        <v>2835</v>
      </c>
      <c r="Q30" s="26"/>
      <c r="R30" s="18"/>
      <c r="S30" s="18"/>
      <c r="T30" s="20" t="s">
        <v>2836</v>
      </c>
      <c r="U30" s="25"/>
      <c r="V30" s="25" t="s">
        <v>86</v>
      </c>
      <c r="W30" s="26" t="s">
        <v>2824</v>
      </c>
      <c r="X30" s="26" t="s">
        <v>520</v>
      </c>
      <c r="Y30" s="17" t="s">
        <v>2837</v>
      </c>
      <c r="Z30" s="17" t="s">
        <v>1755</v>
      </c>
      <c r="AA30" s="27">
        <v>6.1693</v>
      </c>
      <c r="AB30" s="28">
        <f t="shared" si="15"/>
        <v>715.6388</v>
      </c>
      <c r="AC30" s="18"/>
      <c r="AD30" s="23" t="s">
        <v>89</v>
      </c>
      <c r="AE30" s="19"/>
      <c r="AF30" s="19"/>
      <c r="AG30" s="19">
        <f t="shared" si="18"/>
        <v>116</v>
      </c>
      <c r="AH30" s="18"/>
      <c r="AI30" s="18"/>
      <c r="AJ30" s="18"/>
      <c r="AK30" s="18"/>
      <c r="AL30" s="18"/>
      <c r="AM30" s="22"/>
      <c r="AN30" s="22">
        <f t="shared" si="0"/>
        <v>116</v>
      </c>
      <c r="AO30" s="18"/>
      <c r="AP30" s="29"/>
      <c r="AQ30" s="18"/>
      <c r="AR30" s="18">
        <f t="shared" si="19"/>
        <v>116</v>
      </c>
      <c r="AS30" s="18"/>
      <c r="AT30" s="18"/>
      <c r="AU30" s="18"/>
      <c r="AV30" s="18"/>
      <c r="AW30" s="18">
        <f t="shared" si="5"/>
        <v>116</v>
      </c>
      <c r="AX30" s="18"/>
      <c r="AY30" s="33"/>
      <c r="AZ30" s="33"/>
      <c r="BA30" s="33"/>
      <c r="BB30" s="33"/>
      <c r="BC30" s="33"/>
      <c r="BD30" s="33"/>
      <c r="BE30" s="33"/>
      <c r="BF30" s="20" t="s">
        <v>90</v>
      </c>
      <c r="BG30" s="31">
        <f t="shared" si="17"/>
        <v>116</v>
      </c>
      <c r="BH30" s="20">
        <f>J30</f>
        <v>116</v>
      </c>
      <c r="BI30" s="20"/>
      <c r="BJ30" s="20"/>
      <c r="BK30" s="20"/>
      <c r="BL30" s="20"/>
      <c r="BM30" s="1"/>
      <c r="BN30" s="35"/>
      <c r="BO30" s="35"/>
      <c r="BP30" s="35"/>
      <c r="BQ30" s="35"/>
      <c r="BR30" s="35"/>
      <c r="BS30" s="35"/>
      <c r="BT30" s="36">
        <f t="shared" si="25"/>
        <v>116</v>
      </c>
      <c r="BU30" s="35">
        <f t="shared" si="26"/>
        <v>0</v>
      </c>
      <c r="BV30" s="36"/>
    </row>
    <row r="31" s="2" customFormat="1" ht="33" hidden="1" customHeight="1" spans="1:74">
      <c r="A31" s="21">
        <v>45526</v>
      </c>
      <c r="B31" s="18" t="s">
        <v>277</v>
      </c>
      <c r="C31" s="22" t="s">
        <v>92</v>
      </c>
      <c r="D31" s="23">
        <v>4500143730</v>
      </c>
      <c r="E31" s="17" t="s">
        <v>2838</v>
      </c>
      <c r="F31" s="23" t="s">
        <v>2839</v>
      </c>
      <c r="G31" s="19" t="s">
        <v>297</v>
      </c>
      <c r="H31" s="19" t="s">
        <v>297</v>
      </c>
      <c r="I31" s="18" t="s">
        <v>298</v>
      </c>
      <c r="J31" s="20">
        <v>1276</v>
      </c>
      <c r="K31" s="20">
        <v>1</v>
      </c>
      <c r="L31" s="20">
        <v>4</v>
      </c>
      <c r="M31" s="20">
        <f t="shared" si="16"/>
        <v>319</v>
      </c>
      <c r="N31" s="25">
        <v>45576</v>
      </c>
      <c r="O31" s="25">
        <v>45572</v>
      </c>
      <c r="P31" s="26" t="s">
        <v>2835</v>
      </c>
      <c r="Q31" s="26"/>
      <c r="R31" s="18"/>
      <c r="S31" s="18"/>
      <c r="T31" s="20" t="s">
        <v>2836</v>
      </c>
      <c r="U31" s="25"/>
      <c r="V31" s="25" t="s">
        <v>86</v>
      </c>
      <c r="W31" s="26" t="s">
        <v>2824</v>
      </c>
      <c r="X31" s="26" t="s">
        <v>520</v>
      </c>
      <c r="Y31" s="17" t="s">
        <v>2840</v>
      </c>
      <c r="Z31" s="17" t="s">
        <v>1755</v>
      </c>
      <c r="AA31" s="27">
        <v>6.1617</v>
      </c>
      <c r="AB31" s="28">
        <f t="shared" si="15"/>
        <v>7862.3292</v>
      </c>
      <c r="AC31" s="18"/>
      <c r="AD31" s="23" t="s">
        <v>89</v>
      </c>
      <c r="AE31" s="19"/>
      <c r="AF31" s="19"/>
      <c r="AG31" s="19">
        <f t="shared" si="18"/>
        <v>1276</v>
      </c>
      <c r="AH31" s="18"/>
      <c r="AI31" s="18"/>
      <c r="AJ31" s="18"/>
      <c r="AK31" s="18"/>
      <c r="AL31" s="18"/>
      <c r="AM31" s="22"/>
      <c r="AN31" s="22">
        <f t="shared" si="0"/>
        <v>1276</v>
      </c>
      <c r="AO31" s="18"/>
      <c r="AP31" s="29"/>
      <c r="AQ31" s="18"/>
      <c r="AR31" s="18">
        <f t="shared" si="19"/>
        <v>1276</v>
      </c>
      <c r="AS31" s="18"/>
      <c r="AT31" s="18"/>
      <c r="AU31" s="18"/>
      <c r="AV31" s="18"/>
      <c r="AW31" s="18">
        <f t="shared" si="5"/>
        <v>1276</v>
      </c>
      <c r="AX31" s="18"/>
      <c r="AY31" s="33"/>
      <c r="AZ31" s="33"/>
      <c r="BA31" s="33"/>
      <c r="BB31" s="33"/>
      <c r="BC31" s="33"/>
      <c r="BD31" s="33"/>
      <c r="BE31" s="33"/>
      <c r="BF31" s="20" t="s">
        <v>90</v>
      </c>
      <c r="BG31" s="31">
        <f t="shared" si="17"/>
        <v>1276</v>
      </c>
      <c r="BH31" s="20">
        <f>J31</f>
        <v>1276</v>
      </c>
      <c r="BI31" s="20"/>
      <c r="BJ31" s="20"/>
      <c r="BK31" s="20"/>
      <c r="BL31" s="20"/>
      <c r="BM31" s="1"/>
      <c r="BN31" s="35"/>
      <c r="BO31" s="35"/>
      <c r="BP31" s="35"/>
      <c r="BQ31" s="35"/>
      <c r="BR31" s="35"/>
      <c r="BS31" s="35"/>
      <c r="BT31" s="36">
        <f t="shared" si="25"/>
        <v>1276</v>
      </c>
      <c r="BU31" s="35">
        <f t="shared" si="26"/>
        <v>0</v>
      </c>
      <c r="BV31" s="36"/>
    </row>
    <row r="32" s="3" customFormat="1" ht="33" hidden="1" customHeight="1" spans="1:74">
      <c r="A32" s="37">
        <v>45534</v>
      </c>
      <c r="B32" s="18" t="s">
        <v>2841</v>
      </c>
      <c r="C32" s="22" t="s">
        <v>78</v>
      </c>
      <c r="D32" s="38">
        <v>4500144369</v>
      </c>
      <c r="E32" s="17">
        <v>4400430922</v>
      </c>
      <c r="F32" s="38" t="s">
        <v>2842</v>
      </c>
      <c r="G32" s="19" t="s">
        <v>2843</v>
      </c>
      <c r="H32" s="19" t="s">
        <v>2844</v>
      </c>
      <c r="I32" s="18" t="s">
        <v>2845</v>
      </c>
      <c r="J32" s="39">
        <v>2004</v>
      </c>
      <c r="K32" s="39">
        <v>0</v>
      </c>
      <c r="L32" s="39">
        <v>6</v>
      </c>
      <c r="M32" s="39">
        <f t="shared" si="16"/>
        <v>334</v>
      </c>
      <c r="N32" s="25">
        <v>45586</v>
      </c>
      <c r="O32" s="25">
        <v>45582</v>
      </c>
      <c r="P32" s="26"/>
      <c r="Q32" s="26" t="s">
        <v>2846</v>
      </c>
      <c r="R32" s="40" t="s">
        <v>2847</v>
      </c>
      <c r="S32" s="20" t="s">
        <v>2848</v>
      </c>
      <c r="T32" s="25"/>
      <c r="U32" s="25" t="s">
        <v>2849</v>
      </c>
      <c r="V32" s="26"/>
      <c r="W32" s="26" t="s">
        <v>2850</v>
      </c>
      <c r="X32" s="17" t="s">
        <v>2851</v>
      </c>
      <c r="Y32" s="17" t="s">
        <v>2852</v>
      </c>
      <c r="Z32" s="41">
        <v>5.8973</v>
      </c>
      <c r="AA32" s="42">
        <f t="shared" ref="AA32:AA64" si="27">Z32*J32</f>
        <v>11818.1892</v>
      </c>
      <c r="AB32" s="43"/>
      <c r="AC32" s="23" t="s">
        <v>89</v>
      </c>
      <c r="AD32" s="19"/>
      <c r="AE32" s="19"/>
      <c r="AF32" s="19"/>
      <c r="AG32" s="40"/>
      <c r="AH32" s="40"/>
      <c r="AI32" s="40">
        <f>J32</f>
        <v>2004</v>
      </c>
      <c r="AJ32" s="40"/>
      <c r="AK32" s="40"/>
      <c r="AL32" s="22"/>
      <c r="AM32" s="22">
        <f t="shared" ref="AM32:AM64" si="28">J32</f>
        <v>2004</v>
      </c>
      <c r="AN32" s="40"/>
      <c r="AO32" s="44"/>
      <c r="AP32" s="40"/>
      <c r="AQ32" s="40"/>
      <c r="AR32" s="40"/>
      <c r="AS32" s="40"/>
      <c r="AT32" s="40"/>
      <c r="AU32" s="40">
        <f>J32</f>
        <v>2004</v>
      </c>
      <c r="AV32" s="40">
        <f t="shared" ref="AV32:AV64" si="29">J32</f>
        <v>2004</v>
      </c>
      <c r="AW32" s="40"/>
      <c r="AX32" s="43"/>
      <c r="AY32" s="43"/>
      <c r="AZ32" s="43"/>
      <c r="BA32" s="43"/>
      <c r="BB32" s="43"/>
      <c r="BC32" s="43"/>
      <c r="BD32" s="43"/>
      <c r="BE32" s="20" t="s">
        <v>90</v>
      </c>
      <c r="BF32" s="31">
        <f>J32</f>
        <v>2004</v>
      </c>
      <c r="BG32" s="20"/>
      <c r="BH32" s="34"/>
      <c r="BI32" s="20">
        <f>J32</f>
        <v>2004</v>
      </c>
      <c r="BJ32" s="20"/>
      <c r="BK32" s="20"/>
      <c r="BL32" s="20"/>
      <c r="BM32" s="35"/>
      <c r="BN32" s="35"/>
      <c r="BO32" s="35"/>
      <c r="BP32" s="35"/>
      <c r="BQ32" s="35"/>
      <c r="BR32" s="35"/>
      <c r="BS32" s="36">
        <f t="shared" ref="BS32:BS64" si="30">SUM(BG32:BR32)</f>
        <v>2004</v>
      </c>
      <c r="BT32" s="35">
        <f t="shared" ref="BT32:BT64" si="31">J32-BS32</f>
        <v>0</v>
      </c>
      <c r="BU32" s="45"/>
    </row>
    <row r="33" s="4" customFormat="1" ht="33" hidden="1" customHeight="1" spans="1:73 16368:16384">
      <c r="A33" s="46">
        <v>45595</v>
      </c>
      <c r="B33" s="47" t="s">
        <v>458</v>
      </c>
      <c r="C33" s="48" t="s">
        <v>255</v>
      </c>
      <c r="D33" s="49">
        <v>4500149671</v>
      </c>
      <c r="E33" s="50" t="s">
        <v>2853</v>
      </c>
      <c r="F33" s="49" t="s">
        <v>2854</v>
      </c>
      <c r="G33" s="51"/>
      <c r="H33" s="51" t="s">
        <v>81</v>
      </c>
      <c r="I33" s="47" t="s">
        <v>95</v>
      </c>
      <c r="J33" s="52">
        <v>396</v>
      </c>
      <c r="K33" s="52">
        <v>0</v>
      </c>
      <c r="L33" s="52">
        <v>6</v>
      </c>
      <c r="M33" s="52">
        <f t="shared" si="16"/>
        <v>66</v>
      </c>
      <c r="N33" s="53">
        <v>45639</v>
      </c>
      <c r="O33" s="53">
        <v>45635</v>
      </c>
      <c r="P33" s="54"/>
      <c r="Q33" s="54" t="s">
        <v>2855</v>
      </c>
      <c r="R33" s="55" t="s">
        <v>86</v>
      </c>
      <c r="S33" s="56"/>
      <c r="T33" s="53"/>
      <c r="U33" s="53" t="s">
        <v>2856</v>
      </c>
      <c r="V33" s="54"/>
      <c r="W33" s="54"/>
      <c r="X33" s="57" t="s">
        <v>2857</v>
      </c>
      <c r="Y33" s="58" t="s">
        <v>464</v>
      </c>
      <c r="Z33" s="59">
        <v>6.2908</v>
      </c>
      <c r="AA33" s="60">
        <f t="shared" si="27"/>
        <v>2491.1568</v>
      </c>
      <c r="AB33" s="55"/>
      <c r="AC33" s="61"/>
      <c r="AD33" s="51"/>
      <c r="AE33" s="51"/>
      <c r="AF33" s="51">
        <f t="shared" ref="AF33:AF39" si="32">J33</f>
        <v>396</v>
      </c>
      <c r="AG33" s="55"/>
      <c r="AH33" s="55"/>
      <c r="AI33" s="55"/>
      <c r="AJ33" s="55"/>
      <c r="AK33" s="55"/>
      <c r="AL33" s="48"/>
      <c r="AM33" s="48">
        <f t="shared" si="28"/>
        <v>396</v>
      </c>
      <c r="AN33" s="55"/>
      <c r="AO33" s="62"/>
      <c r="AP33" s="55"/>
      <c r="AQ33" s="55">
        <f t="shared" ref="AQ33:AQ39" si="33">J33</f>
        <v>396</v>
      </c>
      <c r="AR33" s="55"/>
      <c r="AS33" s="55"/>
      <c r="AT33" s="55"/>
      <c r="AU33" s="55"/>
      <c r="AV33" s="55">
        <f t="shared" si="29"/>
        <v>396</v>
      </c>
      <c r="AW33" s="55"/>
      <c r="AX33" s="63"/>
      <c r="AY33" s="63"/>
      <c r="AZ33" s="63"/>
      <c r="BA33" s="63"/>
      <c r="BB33" s="63"/>
      <c r="BC33" s="63"/>
      <c r="BD33" s="63"/>
      <c r="BE33" s="56" t="s">
        <v>90</v>
      </c>
      <c r="BF33" s="64"/>
      <c r="BG33" s="56">
        <f t="shared" ref="BG33:BG40" si="34">J33/6</f>
        <v>66</v>
      </c>
      <c r="BH33" s="65">
        <f t="shared" si="20"/>
        <v>66</v>
      </c>
      <c r="BI33" s="56">
        <f t="shared" si="21"/>
        <v>66</v>
      </c>
      <c r="BJ33" s="56">
        <f t="shared" si="22"/>
        <v>66</v>
      </c>
      <c r="BK33" s="56">
        <f t="shared" si="23"/>
        <v>66</v>
      </c>
      <c r="BL33" s="56">
        <f t="shared" si="24"/>
        <v>66</v>
      </c>
      <c r="BM33" s="66"/>
      <c r="BN33" s="66"/>
      <c r="BO33" s="66"/>
      <c r="BP33" s="66"/>
      <c r="BQ33" s="66"/>
      <c r="BR33" s="66"/>
      <c r="BS33" s="67">
        <f t="shared" si="30"/>
        <v>396</v>
      </c>
      <c r="BT33" s="66">
        <f t="shared" si="31"/>
        <v>0</v>
      </c>
      <c r="BU33" s="68"/>
    </row>
    <row r="34" s="4" customFormat="1" ht="33" hidden="1" customHeight="1" spans="1:73 16368:16384">
      <c r="A34" s="46">
        <v>45603</v>
      </c>
      <c r="B34" s="47" t="s">
        <v>2858</v>
      </c>
      <c r="C34" s="48" t="s">
        <v>92</v>
      </c>
      <c r="D34" s="49">
        <v>4500150311</v>
      </c>
      <c r="E34" s="50" t="s">
        <v>2859</v>
      </c>
      <c r="F34" s="49" t="s">
        <v>2860</v>
      </c>
      <c r="G34" s="51" t="s">
        <v>81</v>
      </c>
      <c r="H34" s="51" t="s">
        <v>81</v>
      </c>
      <c r="I34" s="47" t="s">
        <v>95</v>
      </c>
      <c r="J34" s="52">
        <v>3174</v>
      </c>
      <c r="K34" s="52">
        <v>0</v>
      </c>
      <c r="L34" s="52">
        <v>6</v>
      </c>
      <c r="M34" s="52">
        <f t="shared" si="16"/>
        <v>529</v>
      </c>
      <c r="N34" s="53">
        <v>45645</v>
      </c>
      <c r="O34" s="53">
        <v>45642</v>
      </c>
      <c r="P34" s="54"/>
      <c r="Q34" s="54" t="s">
        <v>2861</v>
      </c>
      <c r="R34" s="55" t="s">
        <v>86</v>
      </c>
      <c r="S34" s="56"/>
      <c r="T34" s="53"/>
      <c r="U34" s="53" t="s">
        <v>2862</v>
      </c>
      <c r="V34" s="54"/>
      <c r="W34" s="54"/>
      <c r="X34" s="57" t="s">
        <v>2863</v>
      </c>
      <c r="Y34" s="58" t="s">
        <v>2864</v>
      </c>
      <c r="Z34" s="59">
        <v>5.701</v>
      </c>
      <c r="AA34" s="60">
        <f t="shared" si="27"/>
        <v>18094.974</v>
      </c>
      <c r="AB34" s="55"/>
      <c r="AC34" s="55" t="s">
        <v>89</v>
      </c>
      <c r="AD34" s="51"/>
      <c r="AE34" s="51"/>
      <c r="AF34" s="51">
        <f t="shared" si="32"/>
        <v>3174</v>
      </c>
      <c r="AG34" s="55"/>
      <c r="AH34" s="55"/>
      <c r="AI34" s="55"/>
      <c r="AJ34" s="55"/>
      <c r="AK34" s="55"/>
      <c r="AL34" s="48"/>
      <c r="AM34" s="48">
        <f t="shared" si="28"/>
        <v>3174</v>
      </c>
      <c r="AN34" s="55"/>
      <c r="AO34" s="62"/>
      <c r="AP34" s="55"/>
      <c r="AQ34" s="55">
        <f t="shared" si="33"/>
        <v>3174</v>
      </c>
      <c r="AR34" s="55"/>
      <c r="AS34" s="55"/>
      <c r="AT34" s="55"/>
      <c r="AU34" s="55"/>
      <c r="AV34" s="55">
        <f t="shared" si="29"/>
        <v>3174</v>
      </c>
      <c r="AW34" s="55"/>
      <c r="AX34" s="63"/>
      <c r="AY34" s="63"/>
      <c r="AZ34" s="63"/>
      <c r="BA34" s="63"/>
      <c r="BB34" s="63"/>
      <c r="BC34" s="63"/>
      <c r="BD34" s="63"/>
      <c r="BE34" s="56" t="s">
        <v>90</v>
      </c>
      <c r="BF34" s="64"/>
      <c r="BG34" s="56">
        <f t="shared" si="34"/>
        <v>529</v>
      </c>
      <c r="BH34" s="65">
        <f t="shared" si="20"/>
        <v>529</v>
      </c>
      <c r="BI34" s="56">
        <f t="shared" si="21"/>
        <v>529</v>
      </c>
      <c r="BJ34" s="56">
        <f t="shared" si="22"/>
        <v>529</v>
      </c>
      <c r="BK34" s="56">
        <f t="shared" si="23"/>
        <v>529</v>
      </c>
      <c r="BL34" s="56">
        <f t="shared" si="24"/>
        <v>529</v>
      </c>
      <c r="BM34" s="66"/>
      <c r="BN34" s="66"/>
      <c r="BO34" s="66"/>
      <c r="BP34" s="66"/>
      <c r="BQ34" s="66"/>
      <c r="BR34" s="66"/>
      <c r="BS34" s="67">
        <f t="shared" si="30"/>
        <v>3174</v>
      </c>
      <c r="BT34" s="66">
        <f t="shared" si="31"/>
        <v>0</v>
      </c>
      <c r="BU34" s="68"/>
    </row>
    <row r="35" s="4" customFormat="1" ht="33" hidden="1" customHeight="1" spans="1:73 16368:16384">
      <c r="A35" s="46">
        <v>45618</v>
      </c>
      <c r="B35" s="56" t="s">
        <v>254</v>
      </c>
      <c r="C35" s="48" t="s">
        <v>255</v>
      </c>
      <c r="D35" s="49">
        <v>4500151624</v>
      </c>
      <c r="E35" s="69" t="s">
        <v>2865</v>
      </c>
      <c r="F35" s="49" t="s">
        <v>2866</v>
      </c>
      <c r="G35" s="51" t="s">
        <v>81</v>
      </c>
      <c r="H35" s="51" t="s">
        <v>81</v>
      </c>
      <c r="I35" s="47" t="s">
        <v>95</v>
      </c>
      <c r="J35" s="52">
        <v>1422</v>
      </c>
      <c r="K35" s="52">
        <v>0</v>
      </c>
      <c r="L35" s="52">
        <v>6</v>
      </c>
      <c r="M35" s="52">
        <f t="shared" si="16"/>
        <v>237</v>
      </c>
      <c r="N35" s="53">
        <v>45656</v>
      </c>
      <c r="O35" s="53">
        <v>45652</v>
      </c>
      <c r="P35" s="54"/>
      <c r="Q35" s="54" t="s">
        <v>2867</v>
      </c>
      <c r="R35" s="55" t="s">
        <v>86</v>
      </c>
      <c r="S35" s="54"/>
      <c r="T35" s="54"/>
      <c r="U35" s="54" t="s">
        <v>2868</v>
      </c>
      <c r="V35" s="54"/>
      <c r="W35" s="54"/>
      <c r="X35" s="50" t="s">
        <v>257</v>
      </c>
      <c r="Y35" s="56" t="s">
        <v>252</v>
      </c>
      <c r="Z35" s="59">
        <v>6.2908</v>
      </c>
      <c r="AA35" s="60">
        <f t="shared" si="27"/>
        <v>8945.5176</v>
      </c>
      <c r="AB35" s="62"/>
      <c r="AC35" s="62" t="s">
        <v>89</v>
      </c>
      <c r="AD35" s="70"/>
      <c r="AE35" s="70"/>
      <c r="AF35" s="51">
        <f t="shared" si="32"/>
        <v>1422</v>
      </c>
      <c r="AG35" s="70"/>
      <c r="AH35" s="70"/>
      <c r="AI35" s="55"/>
      <c r="AJ35" s="55"/>
      <c r="AK35" s="70"/>
      <c r="AL35" s="70"/>
      <c r="AM35" s="48">
        <f t="shared" si="28"/>
        <v>1422</v>
      </c>
      <c r="AN35" s="71"/>
      <c r="AO35" s="71"/>
      <c r="AP35" s="71"/>
      <c r="AQ35" s="55">
        <f t="shared" si="33"/>
        <v>1422</v>
      </c>
      <c r="AR35" s="71"/>
      <c r="AS35" s="71"/>
      <c r="AT35" s="71"/>
      <c r="AU35" s="71"/>
      <c r="AV35" s="55">
        <f t="shared" si="29"/>
        <v>1422</v>
      </c>
      <c r="AW35" s="71"/>
      <c r="AX35" s="71"/>
      <c r="AY35" s="71"/>
      <c r="AZ35" s="71"/>
      <c r="BA35" s="71"/>
      <c r="BB35" s="71"/>
      <c r="BC35" s="71"/>
      <c r="BD35" s="71"/>
      <c r="BE35" s="56" t="s">
        <v>90</v>
      </c>
      <c r="BF35" s="72"/>
      <c r="BG35" s="56">
        <f t="shared" si="34"/>
        <v>237</v>
      </c>
      <c r="BH35" s="65">
        <f t="shared" si="20"/>
        <v>237</v>
      </c>
      <c r="BI35" s="56">
        <f t="shared" si="21"/>
        <v>237</v>
      </c>
      <c r="BJ35" s="56">
        <f t="shared" si="22"/>
        <v>237</v>
      </c>
      <c r="BK35" s="56">
        <f t="shared" si="23"/>
        <v>237</v>
      </c>
      <c r="BL35" s="56">
        <f t="shared" si="24"/>
        <v>237</v>
      </c>
      <c r="BM35" s="73"/>
      <c r="BN35" s="73"/>
      <c r="BO35" s="73"/>
      <c r="BP35" s="73"/>
      <c r="BQ35" s="73"/>
      <c r="BR35" s="73"/>
      <c r="BS35" s="67">
        <f t="shared" si="30"/>
        <v>1422</v>
      </c>
      <c r="BT35" s="66">
        <f t="shared" si="31"/>
        <v>0</v>
      </c>
      <c r="BU35" s="68"/>
    </row>
    <row r="36" s="4" customFormat="1" ht="33" hidden="1" customHeight="1" spans="1:73 16368:16384">
      <c r="A36" s="46">
        <v>45618</v>
      </c>
      <c r="B36" s="69" t="s">
        <v>245</v>
      </c>
      <c r="C36" s="48" t="s">
        <v>246</v>
      </c>
      <c r="D36" s="49">
        <v>4500151625</v>
      </c>
      <c r="E36" s="69">
        <v>20478293</v>
      </c>
      <c r="F36" s="49" t="s">
        <v>2869</v>
      </c>
      <c r="G36" s="51" t="s">
        <v>81</v>
      </c>
      <c r="H36" s="51" t="s">
        <v>81</v>
      </c>
      <c r="I36" s="47" t="s">
        <v>95</v>
      </c>
      <c r="J36" s="52">
        <v>78</v>
      </c>
      <c r="K36" s="52">
        <v>0</v>
      </c>
      <c r="L36" s="52">
        <v>6</v>
      </c>
      <c r="M36" s="52">
        <f t="shared" si="16"/>
        <v>13</v>
      </c>
      <c r="N36" s="53">
        <v>45656</v>
      </c>
      <c r="O36" s="53">
        <v>45652</v>
      </c>
      <c r="P36" s="54"/>
      <c r="Q36" s="54" t="s">
        <v>2867</v>
      </c>
      <c r="R36" s="55" t="s">
        <v>86</v>
      </c>
      <c r="S36" s="54"/>
      <c r="T36" s="54"/>
      <c r="U36" s="54" t="s">
        <v>2868</v>
      </c>
      <c r="V36" s="54"/>
      <c r="W36" s="54"/>
      <c r="X36" s="50" t="s">
        <v>251</v>
      </c>
      <c r="Y36" s="56" t="s">
        <v>252</v>
      </c>
      <c r="Z36" s="59">
        <v>6.2984</v>
      </c>
      <c r="AA36" s="60">
        <f t="shared" si="27"/>
        <v>491.2752</v>
      </c>
      <c r="AB36" s="62"/>
      <c r="AC36" s="62" t="s">
        <v>89</v>
      </c>
      <c r="AD36" s="70"/>
      <c r="AE36" s="70"/>
      <c r="AF36" s="51">
        <f t="shared" si="32"/>
        <v>78</v>
      </c>
      <c r="AG36" s="70"/>
      <c r="AH36" s="70"/>
      <c r="AI36" s="70"/>
      <c r="AJ36" s="74"/>
      <c r="AK36" s="70"/>
      <c r="AL36" s="70"/>
      <c r="AM36" s="48">
        <f t="shared" si="28"/>
        <v>78</v>
      </c>
      <c r="AN36" s="71"/>
      <c r="AO36" s="71"/>
      <c r="AP36" s="71"/>
      <c r="AQ36" s="55">
        <f t="shared" si="33"/>
        <v>78</v>
      </c>
      <c r="AR36" s="71"/>
      <c r="AS36" s="71"/>
      <c r="AT36" s="71"/>
      <c r="AU36" s="71"/>
      <c r="AV36" s="55">
        <f t="shared" si="29"/>
        <v>78</v>
      </c>
      <c r="AW36" s="71"/>
      <c r="AX36" s="71"/>
      <c r="AY36" s="71"/>
      <c r="AZ36" s="71"/>
      <c r="BA36" s="71"/>
      <c r="BB36" s="71"/>
      <c r="BC36" s="71"/>
      <c r="BD36" s="71"/>
      <c r="BE36" s="56" t="s">
        <v>90</v>
      </c>
      <c r="BF36" s="64"/>
      <c r="BG36" s="56">
        <f t="shared" si="34"/>
        <v>13</v>
      </c>
      <c r="BH36" s="65">
        <f t="shared" si="20"/>
        <v>13</v>
      </c>
      <c r="BI36" s="56">
        <f t="shared" si="21"/>
        <v>13</v>
      </c>
      <c r="BJ36" s="56">
        <f t="shared" si="22"/>
        <v>13</v>
      </c>
      <c r="BK36" s="56">
        <f t="shared" si="23"/>
        <v>13</v>
      </c>
      <c r="BL36" s="56">
        <f t="shared" si="24"/>
        <v>13</v>
      </c>
      <c r="BM36" s="73"/>
      <c r="BN36" s="73"/>
      <c r="BO36" s="73"/>
      <c r="BP36" s="73"/>
      <c r="BQ36" s="73"/>
      <c r="BR36" s="73"/>
      <c r="BS36" s="67">
        <f t="shared" si="30"/>
        <v>78</v>
      </c>
      <c r="BT36" s="66">
        <f t="shared" si="31"/>
        <v>0</v>
      </c>
      <c r="BU36" s="68"/>
    </row>
    <row r="37" s="4" customFormat="1" ht="33" hidden="1" customHeight="1" spans="1:73 16368:16384">
      <c r="A37" s="46">
        <v>45701</v>
      </c>
      <c r="B37" s="56" t="s">
        <v>458</v>
      </c>
      <c r="C37" s="48" t="s">
        <v>255</v>
      </c>
      <c r="D37" s="49">
        <v>4500157563</v>
      </c>
      <c r="E37" s="50" t="s">
        <v>2870</v>
      </c>
      <c r="F37" s="49" t="s">
        <v>2871</v>
      </c>
      <c r="G37" s="51" t="s">
        <v>81</v>
      </c>
      <c r="H37" s="51" t="s">
        <v>81</v>
      </c>
      <c r="I37" s="47" t="s">
        <v>95</v>
      </c>
      <c r="J37" s="52">
        <v>444</v>
      </c>
      <c r="K37" s="52">
        <v>0</v>
      </c>
      <c r="L37" s="52">
        <v>6</v>
      </c>
      <c r="M37" s="52">
        <f t="shared" si="16"/>
        <v>74</v>
      </c>
      <c r="N37" s="53">
        <v>45750</v>
      </c>
      <c r="O37" s="53">
        <v>45747</v>
      </c>
      <c r="P37" s="54"/>
      <c r="Q37" s="54" t="s">
        <v>2872</v>
      </c>
      <c r="R37" s="55" t="s">
        <v>86</v>
      </c>
      <c r="S37" s="54"/>
      <c r="T37" s="54"/>
      <c r="U37" s="54" t="s">
        <v>2873</v>
      </c>
      <c r="V37" s="54"/>
      <c r="W37" s="54"/>
      <c r="X37" s="50" t="s">
        <v>463</v>
      </c>
      <c r="Y37" s="56" t="s">
        <v>464</v>
      </c>
      <c r="Z37" s="59">
        <v>5.712</v>
      </c>
      <c r="AA37" s="60">
        <f t="shared" si="27"/>
        <v>2536.128</v>
      </c>
      <c r="AB37" s="62"/>
      <c r="AC37" s="55" t="s">
        <v>89</v>
      </c>
      <c r="AD37" s="70"/>
      <c r="AE37" s="70"/>
      <c r="AF37" s="51">
        <f t="shared" si="32"/>
        <v>444</v>
      </c>
      <c r="AG37" s="70"/>
      <c r="AH37" s="70"/>
      <c r="AI37" s="51"/>
      <c r="AJ37" s="74"/>
      <c r="AK37" s="70"/>
      <c r="AL37" s="70"/>
      <c r="AM37" s="48">
        <f t="shared" si="28"/>
        <v>444</v>
      </c>
      <c r="AN37" s="71"/>
      <c r="AO37" s="71"/>
      <c r="AP37" s="71"/>
      <c r="AQ37" s="71">
        <f t="shared" si="33"/>
        <v>444</v>
      </c>
      <c r="AR37" s="71"/>
      <c r="AS37" s="71"/>
      <c r="AT37" s="71"/>
      <c r="AU37" s="71"/>
      <c r="AV37" s="55">
        <f t="shared" si="29"/>
        <v>444</v>
      </c>
      <c r="AW37" s="71"/>
      <c r="AX37" s="71"/>
      <c r="AY37" s="71"/>
      <c r="AZ37" s="71"/>
      <c r="BA37" s="71"/>
      <c r="BB37" s="71"/>
      <c r="BC37" s="71"/>
      <c r="BD37" s="71"/>
      <c r="BE37" s="56" t="s">
        <v>90</v>
      </c>
      <c r="BF37" s="64"/>
      <c r="BG37" s="56">
        <f t="shared" si="34"/>
        <v>74</v>
      </c>
      <c r="BH37" s="65">
        <f t="shared" si="20"/>
        <v>74</v>
      </c>
      <c r="BI37" s="56">
        <f t="shared" si="21"/>
        <v>74</v>
      </c>
      <c r="BJ37" s="56">
        <f t="shared" si="22"/>
        <v>74</v>
      </c>
      <c r="BK37" s="56">
        <f t="shared" si="23"/>
        <v>74</v>
      </c>
      <c r="BL37" s="56">
        <f t="shared" si="24"/>
        <v>74</v>
      </c>
      <c r="BM37" s="73"/>
      <c r="BN37" s="73"/>
      <c r="BO37" s="73"/>
      <c r="BP37" s="73"/>
      <c r="BQ37" s="73"/>
      <c r="BR37" s="73"/>
      <c r="BS37" s="67">
        <f t="shared" si="30"/>
        <v>444</v>
      </c>
      <c r="BT37" s="66">
        <f t="shared" si="31"/>
        <v>0</v>
      </c>
      <c r="BU37" s="68"/>
    </row>
    <row r="38" s="4" customFormat="1" ht="33" hidden="1" customHeight="1" spans="1:73 16368:16384">
      <c r="A38" s="46">
        <v>45701</v>
      </c>
      <c r="B38" s="56" t="s">
        <v>458</v>
      </c>
      <c r="C38" s="48" t="s">
        <v>255</v>
      </c>
      <c r="D38" s="49">
        <v>4500157563</v>
      </c>
      <c r="E38" s="50" t="s">
        <v>2874</v>
      </c>
      <c r="F38" s="49" t="s">
        <v>2875</v>
      </c>
      <c r="G38" s="51" t="s">
        <v>81</v>
      </c>
      <c r="H38" s="51" t="s">
        <v>81</v>
      </c>
      <c r="I38" s="47" t="s">
        <v>95</v>
      </c>
      <c r="J38" s="52">
        <v>384</v>
      </c>
      <c r="K38" s="52">
        <v>0</v>
      </c>
      <c r="L38" s="52">
        <v>6</v>
      </c>
      <c r="M38" s="52">
        <f t="shared" si="16"/>
        <v>64</v>
      </c>
      <c r="N38" s="53">
        <v>45750</v>
      </c>
      <c r="O38" s="53">
        <v>45747</v>
      </c>
      <c r="P38" s="54"/>
      <c r="Q38" s="54" t="s">
        <v>2872</v>
      </c>
      <c r="R38" s="55" t="s">
        <v>86</v>
      </c>
      <c r="S38" s="54"/>
      <c r="T38" s="54"/>
      <c r="U38" s="54" t="s">
        <v>2873</v>
      </c>
      <c r="V38" s="54"/>
      <c r="W38" s="54"/>
      <c r="X38" s="50" t="s">
        <v>463</v>
      </c>
      <c r="Y38" s="56" t="s">
        <v>464</v>
      </c>
      <c r="Z38" s="59">
        <v>5.712</v>
      </c>
      <c r="AA38" s="60">
        <f t="shared" si="27"/>
        <v>2193.408</v>
      </c>
      <c r="AB38" s="62"/>
      <c r="AC38" s="55" t="s">
        <v>89</v>
      </c>
      <c r="AD38" s="70"/>
      <c r="AE38" s="70"/>
      <c r="AF38" s="51">
        <f t="shared" si="32"/>
        <v>384</v>
      </c>
      <c r="AG38" s="70"/>
      <c r="AH38" s="70"/>
      <c r="AI38" s="51"/>
      <c r="AJ38" s="74"/>
      <c r="AK38" s="70"/>
      <c r="AL38" s="70"/>
      <c r="AM38" s="48">
        <f t="shared" si="28"/>
        <v>384</v>
      </c>
      <c r="AN38" s="71"/>
      <c r="AO38" s="71"/>
      <c r="AP38" s="71"/>
      <c r="AQ38" s="71">
        <f t="shared" si="33"/>
        <v>384</v>
      </c>
      <c r="AR38" s="71"/>
      <c r="AS38" s="71"/>
      <c r="AT38" s="71"/>
      <c r="AU38" s="71"/>
      <c r="AV38" s="55">
        <f t="shared" si="29"/>
        <v>384</v>
      </c>
      <c r="AW38" s="71"/>
      <c r="AX38" s="71"/>
      <c r="AY38" s="71"/>
      <c r="AZ38" s="71"/>
      <c r="BA38" s="71"/>
      <c r="BB38" s="71"/>
      <c r="BC38" s="71"/>
      <c r="BD38" s="71"/>
      <c r="BE38" s="56" t="s">
        <v>90</v>
      </c>
      <c r="BF38" s="64"/>
      <c r="BG38" s="56">
        <f t="shared" si="34"/>
        <v>64</v>
      </c>
      <c r="BH38" s="65">
        <f t="shared" si="20"/>
        <v>64</v>
      </c>
      <c r="BI38" s="56">
        <f t="shared" si="21"/>
        <v>64</v>
      </c>
      <c r="BJ38" s="56">
        <f t="shared" si="22"/>
        <v>64</v>
      </c>
      <c r="BK38" s="56">
        <f t="shared" si="23"/>
        <v>64</v>
      </c>
      <c r="BL38" s="56">
        <f t="shared" si="24"/>
        <v>64</v>
      </c>
      <c r="BM38" s="73"/>
      <c r="BN38" s="73"/>
      <c r="BO38" s="73"/>
      <c r="BP38" s="73"/>
      <c r="BQ38" s="73"/>
      <c r="BR38" s="73"/>
      <c r="BS38" s="67">
        <f t="shared" si="30"/>
        <v>384</v>
      </c>
      <c r="BT38" s="66">
        <f t="shared" si="31"/>
        <v>0</v>
      </c>
      <c r="BU38" s="68"/>
    </row>
    <row r="39" s="4" customFormat="1" ht="33" hidden="1" customHeight="1" spans="1:73 16368:16384">
      <c r="A39" s="46">
        <v>45701</v>
      </c>
      <c r="B39" s="56" t="s">
        <v>458</v>
      </c>
      <c r="C39" s="48" t="s">
        <v>255</v>
      </c>
      <c r="D39" s="49">
        <v>4500157563</v>
      </c>
      <c r="E39" s="50" t="s">
        <v>2876</v>
      </c>
      <c r="F39" s="49" t="s">
        <v>2877</v>
      </c>
      <c r="G39" s="51" t="s">
        <v>81</v>
      </c>
      <c r="H39" s="51" t="s">
        <v>81</v>
      </c>
      <c r="I39" s="47" t="s">
        <v>95</v>
      </c>
      <c r="J39" s="52">
        <v>678</v>
      </c>
      <c r="K39" s="52">
        <v>0</v>
      </c>
      <c r="L39" s="52">
        <v>6</v>
      </c>
      <c r="M39" s="52">
        <f t="shared" si="16"/>
        <v>113</v>
      </c>
      <c r="N39" s="53">
        <v>45750</v>
      </c>
      <c r="O39" s="53">
        <v>45747</v>
      </c>
      <c r="P39" s="54"/>
      <c r="Q39" s="54" t="s">
        <v>2872</v>
      </c>
      <c r="R39" s="55" t="s">
        <v>86</v>
      </c>
      <c r="S39" s="54"/>
      <c r="T39" s="54"/>
      <c r="U39" s="54" t="s">
        <v>2873</v>
      </c>
      <c r="V39" s="54"/>
      <c r="W39" s="54"/>
      <c r="X39" s="50" t="s">
        <v>463</v>
      </c>
      <c r="Y39" s="56" t="s">
        <v>464</v>
      </c>
      <c r="Z39" s="59">
        <v>5.712</v>
      </c>
      <c r="AA39" s="60">
        <f t="shared" si="27"/>
        <v>3872.736</v>
      </c>
      <c r="AB39" s="62"/>
      <c r="AC39" s="55" t="s">
        <v>89</v>
      </c>
      <c r="AD39" s="70"/>
      <c r="AE39" s="70"/>
      <c r="AF39" s="51">
        <f t="shared" si="32"/>
        <v>678</v>
      </c>
      <c r="AG39" s="70"/>
      <c r="AH39" s="70"/>
      <c r="AI39" s="51"/>
      <c r="AJ39" s="74"/>
      <c r="AK39" s="70"/>
      <c r="AL39" s="70"/>
      <c r="AM39" s="48">
        <f t="shared" si="28"/>
        <v>678</v>
      </c>
      <c r="AN39" s="71"/>
      <c r="AO39" s="71"/>
      <c r="AP39" s="71"/>
      <c r="AQ39" s="71">
        <f t="shared" si="33"/>
        <v>678</v>
      </c>
      <c r="AR39" s="71"/>
      <c r="AS39" s="71"/>
      <c r="AT39" s="71"/>
      <c r="AU39" s="71"/>
      <c r="AV39" s="55">
        <f t="shared" si="29"/>
        <v>678</v>
      </c>
      <c r="AW39" s="71"/>
      <c r="AX39" s="71"/>
      <c r="AY39" s="71"/>
      <c r="AZ39" s="71"/>
      <c r="BA39" s="71"/>
      <c r="BB39" s="71"/>
      <c r="BC39" s="71"/>
      <c r="BD39" s="71"/>
      <c r="BE39" s="56" t="s">
        <v>90</v>
      </c>
      <c r="BF39" s="64"/>
      <c r="BG39" s="56">
        <f t="shared" si="34"/>
        <v>113</v>
      </c>
      <c r="BH39" s="65">
        <f t="shared" si="20"/>
        <v>113</v>
      </c>
      <c r="BI39" s="56">
        <f t="shared" si="21"/>
        <v>113</v>
      </c>
      <c r="BJ39" s="56">
        <f t="shared" si="22"/>
        <v>113</v>
      </c>
      <c r="BK39" s="56">
        <f t="shared" si="23"/>
        <v>113</v>
      </c>
      <c r="BL39" s="56">
        <f t="shared" si="24"/>
        <v>113</v>
      </c>
      <c r="BM39" s="73"/>
      <c r="BN39" s="73"/>
      <c r="BO39" s="73"/>
      <c r="BP39" s="73"/>
      <c r="BQ39" s="73"/>
      <c r="BR39" s="73"/>
      <c r="BS39" s="67">
        <f t="shared" si="30"/>
        <v>678</v>
      </c>
      <c r="BT39" s="66">
        <f t="shared" si="31"/>
        <v>0</v>
      </c>
      <c r="BU39" s="68"/>
    </row>
    <row r="40" s="4" customFormat="1" ht="33" hidden="1" customHeight="1" spans="1:73 16368:16384">
      <c r="A40" s="46">
        <v>45750</v>
      </c>
      <c r="B40" s="56" t="s">
        <v>2878</v>
      </c>
      <c r="C40" s="48" t="s">
        <v>2177</v>
      </c>
      <c r="D40" s="49">
        <v>4500162314</v>
      </c>
      <c r="E40" s="69" t="s">
        <v>2879</v>
      </c>
      <c r="F40" s="49" t="s">
        <v>2880</v>
      </c>
      <c r="G40" s="51" t="s">
        <v>2881</v>
      </c>
      <c r="H40" s="51" t="s">
        <v>2882</v>
      </c>
      <c r="I40" s="47" t="s">
        <v>95</v>
      </c>
      <c r="J40" s="52">
        <v>435</v>
      </c>
      <c r="K40" s="52">
        <v>0</v>
      </c>
      <c r="L40" s="52">
        <v>3</v>
      </c>
      <c r="M40" s="52">
        <f t="shared" si="16"/>
        <v>145</v>
      </c>
      <c r="N40" s="53">
        <v>45799</v>
      </c>
      <c r="O40" s="53">
        <v>45796</v>
      </c>
      <c r="P40" s="54"/>
      <c r="Q40" s="54" t="s">
        <v>2883</v>
      </c>
      <c r="R40" s="55" t="s">
        <v>86</v>
      </c>
      <c r="S40" s="54"/>
      <c r="T40" s="54"/>
      <c r="U40" s="54" t="s">
        <v>2884</v>
      </c>
      <c r="V40" s="54"/>
      <c r="W40" s="54"/>
      <c r="X40" s="50" t="s">
        <v>2885</v>
      </c>
      <c r="Y40" s="56" t="s">
        <v>2886</v>
      </c>
      <c r="Z40" s="59">
        <v>5.8523</v>
      </c>
      <c r="AA40" s="60">
        <f t="shared" si="27"/>
        <v>2545.7505</v>
      </c>
      <c r="AB40" s="62"/>
      <c r="AC40" s="61" t="s">
        <v>89</v>
      </c>
      <c r="AD40" s="70"/>
      <c r="AE40" s="70"/>
      <c r="AF40" s="51"/>
      <c r="AG40" s="70"/>
      <c r="AH40" s="70"/>
      <c r="AI40" s="51">
        <f t="shared" ref="AI40:AI47" si="35">J40</f>
        <v>435</v>
      </c>
      <c r="AJ40" s="74"/>
      <c r="AK40" s="70"/>
      <c r="AL40" s="70"/>
      <c r="AM40" s="48">
        <f t="shared" si="28"/>
        <v>435</v>
      </c>
      <c r="AN40" s="71"/>
      <c r="AO40" s="71"/>
      <c r="AP40" s="71"/>
      <c r="AQ40" s="55"/>
      <c r="AR40" s="71"/>
      <c r="AS40" s="71"/>
      <c r="AT40" s="71">
        <f t="shared" ref="AT40:AT47" si="36">J40</f>
        <v>435</v>
      </c>
      <c r="AU40" s="71"/>
      <c r="AV40" s="55">
        <f t="shared" si="29"/>
        <v>435</v>
      </c>
      <c r="AW40" s="71"/>
      <c r="AX40" s="71"/>
      <c r="AY40" s="71"/>
      <c r="AZ40" s="71"/>
      <c r="BA40" s="71"/>
      <c r="BB40" s="71"/>
      <c r="BC40" s="71"/>
      <c r="BD40" s="71"/>
      <c r="BE40" s="56" t="s">
        <v>90</v>
      </c>
      <c r="BF40" s="64"/>
      <c r="BG40" s="56">
        <f t="shared" si="34"/>
        <v>72.5</v>
      </c>
      <c r="BH40" s="65">
        <f t="shared" si="20"/>
        <v>72.5</v>
      </c>
      <c r="BI40" s="56">
        <f t="shared" si="21"/>
        <v>72.5</v>
      </c>
      <c r="BJ40" s="56">
        <f t="shared" si="22"/>
        <v>72.5</v>
      </c>
      <c r="BK40" s="56">
        <f t="shared" si="23"/>
        <v>72.5</v>
      </c>
      <c r="BL40" s="56">
        <f t="shared" si="24"/>
        <v>72.5</v>
      </c>
      <c r="BM40" s="73"/>
      <c r="BN40" s="73"/>
      <c r="BO40" s="73"/>
      <c r="BP40" s="73"/>
      <c r="BQ40" s="73"/>
      <c r="BR40" s="73"/>
      <c r="BS40" s="67">
        <f t="shared" si="30"/>
        <v>435</v>
      </c>
      <c r="BT40" s="66">
        <f t="shared" si="31"/>
        <v>0</v>
      </c>
      <c r="BU40" s="68"/>
    </row>
    <row r="41" s="5" customFormat="1" ht="33" hidden="1" customHeight="1" spans="1:73 16368:16384">
      <c r="A41" s="75">
        <v>45804</v>
      </c>
      <c r="B41" s="76" t="s">
        <v>1056</v>
      </c>
      <c r="C41" s="77" t="s">
        <v>334</v>
      </c>
      <c r="D41" s="78">
        <v>4500168127</v>
      </c>
      <c r="E41" s="79" t="s">
        <v>1176</v>
      </c>
      <c r="F41" s="78" t="s">
        <v>2887</v>
      </c>
      <c r="G41" s="80"/>
      <c r="H41" s="80" t="s">
        <v>2888</v>
      </c>
      <c r="I41" s="81" t="s">
        <v>2889</v>
      </c>
      <c r="J41" s="82">
        <v>36</v>
      </c>
      <c r="K41" s="82">
        <v>1</v>
      </c>
      <c r="L41" s="82">
        <v>4</v>
      </c>
      <c r="M41" s="82">
        <f t="shared" si="16"/>
        <v>9</v>
      </c>
      <c r="N41" s="58">
        <v>45834</v>
      </c>
      <c r="O41" s="58">
        <v>45831</v>
      </c>
      <c r="P41" s="54"/>
      <c r="Q41" s="83" t="s">
        <v>2890</v>
      </c>
      <c r="R41" s="83" t="s">
        <v>86</v>
      </c>
      <c r="S41" s="83"/>
      <c r="T41" s="83"/>
      <c r="U41" s="83" t="s">
        <v>2891</v>
      </c>
      <c r="V41" s="83" t="s">
        <v>2490</v>
      </c>
      <c r="W41" s="83"/>
      <c r="X41" s="84" t="s">
        <v>2892</v>
      </c>
      <c r="Y41" s="76" t="s">
        <v>340</v>
      </c>
      <c r="Z41" s="85">
        <v>6.0417</v>
      </c>
      <c r="AA41" s="86">
        <f t="shared" si="27"/>
        <v>217.5012</v>
      </c>
      <c r="AB41" s="87"/>
      <c r="AC41" s="88"/>
      <c r="AD41" s="89"/>
      <c r="AE41" s="89"/>
      <c r="AF41" s="80"/>
      <c r="AG41" s="89"/>
      <c r="AH41" s="89"/>
      <c r="AI41" s="80">
        <f t="shared" si="35"/>
        <v>36</v>
      </c>
      <c r="AJ41" s="90"/>
      <c r="AK41" s="89"/>
      <c r="AL41" s="89"/>
      <c r="AM41" s="77">
        <f t="shared" si="28"/>
        <v>36</v>
      </c>
      <c r="AN41" s="91"/>
      <c r="AO41" s="91"/>
      <c r="AP41" s="91"/>
      <c r="AQ41" s="92"/>
      <c r="AR41" s="91"/>
      <c r="AS41" s="91"/>
      <c r="AT41" s="91">
        <f t="shared" si="36"/>
        <v>36</v>
      </c>
      <c r="AU41" s="91"/>
      <c r="AV41" s="92">
        <f t="shared" si="29"/>
        <v>36</v>
      </c>
      <c r="AW41" s="91"/>
      <c r="AX41" s="91"/>
      <c r="AY41" s="91"/>
      <c r="AZ41" s="91"/>
      <c r="BA41" s="91"/>
      <c r="BB41" s="91"/>
      <c r="BC41" s="91"/>
      <c r="BD41" s="91"/>
      <c r="BE41" s="76" t="s">
        <v>165</v>
      </c>
      <c r="BF41" s="93"/>
      <c r="BG41" s="76"/>
      <c r="BH41" s="94"/>
      <c r="BI41" s="76"/>
      <c r="BJ41" s="76">
        <f>J41</f>
        <v>36</v>
      </c>
      <c r="BK41" s="76"/>
      <c r="BL41" s="76"/>
      <c r="BM41" s="95"/>
      <c r="BN41" s="95"/>
      <c r="BO41" s="95"/>
      <c r="BP41" s="95"/>
      <c r="BQ41" s="95"/>
      <c r="BR41" s="95"/>
      <c r="BS41" s="96">
        <f t="shared" si="30"/>
        <v>36</v>
      </c>
      <c r="BT41" s="97">
        <f t="shared" si="31"/>
        <v>0</v>
      </c>
      <c r="BU41" s="98"/>
    </row>
    <row r="42" s="5" customFormat="1" ht="33" hidden="1" customHeight="1" spans="1:73 16368:16384">
      <c r="A42" s="75">
        <v>45804</v>
      </c>
      <c r="B42" s="76" t="s">
        <v>1056</v>
      </c>
      <c r="C42" s="77" t="s">
        <v>334</v>
      </c>
      <c r="D42" s="78">
        <v>4500168127</v>
      </c>
      <c r="E42" s="79" t="s">
        <v>2893</v>
      </c>
      <c r="F42" s="78" t="s">
        <v>2894</v>
      </c>
      <c r="G42" s="80"/>
      <c r="H42" s="80" t="s">
        <v>2895</v>
      </c>
      <c r="I42" s="81" t="s">
        <v>2896</v>
      </c>
      <c r="J42" s="82">
        <v>24</v>
      </c>
      <c r="K42" s="82">
        <v>1</v>
      </c>
      <c r="L42" s="82">
        <v>4</v>
      </c>
      <c r="M42" s="82">
        <f t="shared" si="16"/>
        <v>6</v>
      </c>
      <c r="N42" s="58">
        <v>45834</v>
      </c>
      <c r="O42" s="58">
        <v>45831</v>
      </c>
      <c r="P42" s="54"/>
      <c r="Q42" s="83" t="s">
        <v>2890</v>
      </c>
      <c r="R42" s="83" t="s">
        <v>86</v>
      </c>
      <c r="S42" s="83"/>
      <c r="T42" s="83"/>
      <c r="U42" s="83" t="s">
        <v>2891</v>
      </c>
      <c r="V42" s="83" t="s">
        <v>2490</v>
      </c>
      <c r="W42" s="83"/>
      <c r="X42" s="84" t="s">
        <v>2892</v>
      </c>
      <c r="Y42" s="76" t="s">
        <v>340</v>
      </c>
      <c r="Z42" s="85">
        <v>6.0417</v>
      </c>
      <c r="AA42" s="86">
        <f t="shared" si="27"/>
        <v>145.0008</v>
      </c>
      <c r="AB42" s="87"/>
      <c r="AC42" s="88"/>
      <c r="AD42" s="89"/>
      <c r="AE42" s="89"/>
      <c r="AF42" s="80"/>
      <c r="AG42" s="89"/>
      <c r="AH42" s="89"/>
      <c r="AI42" s="80">
        <f t="shared" si="35"/>
        <v>24</v>
      </c>
      <c r="AJ42" s="90"/>
      <c r="AK42" s="89"/>
      <c r="AL42" s="89"/>
      <c r="AM42" s="77">
        <f t="shared" si="28"/>
        <v>24</v>
      </c>
      <c r="AN42" s="91"/>
      <c r="AO42" s="91"/>
      <c r="AP42" s="91"/>
      <c r="AQ42" s="92"/>
      <c r="AR42" s="91"/>
      <c r="AS42" s="91"/>
      <c r="AT42" s="91">
        <f t="shared" si="36"/>
        <v>24</v>
      </c>
      <c r="AU42" s="91"/>
      <c r="AV42" s="92">
        <f t="shared" si="29"/>
        <v>24</v>
      </c>
      <c r="AW42" s="91"/>
      <c r="AX42" s="91"/>
      <c r="AY42" s="91"/>
      <c r="AZ42" s="91"/>
      <c r="BA42" s="91"/>
      <c r="BB42" s="91"/>
      <c r="BC42" s="91"/>
      <c r="BD42" s="91"/>
      <c r="BE42" s="76" t="s">
        <v>165</v>
      </c>
      <c r="BF42" s="93"/>
      <c r="BG42" s="76"/>
      <c r="BH42" s="94"/>
      <c r="BI42" s="76"/>
      <c r="BJ42" s="76"/>
      <c r="BK42" s="76">
        <f>J42</f>
        <v>24</v>
      </c>
      <c r="BL42" s="76"/>
      <c r="BM42" s="95"/>
      <c r="BN42" s="95"/>
      <c r="BO42" s="95"/>
      <c r="BP42" s="95"/>
      <c r="BQ42" s="95"/>
      <c r="BR42" s="95"/>
      <c r="BS42" s="96">
        <f t="shared" si="30"/>
        <v>24</v>
      </c>
      <c r="BT42" s="97">
        <f t="shared" si="31"/>
        <v>0</v>
      </c>
      <c r="BU42" s="98"/>
    </row>
    <row r="43" s="5" customFormat="1" ht="33" hidden="1" customHeight="1" spans="1:73 16368:16384">
      <c r="A43" s="75">
        <v>45821</v>
      </c>
      <c r="B43" s="76" t="s">
        <v>1276</v>
      </c>
      <c r="C43" s="77" t="s">
        <v>359</v>
      </c>
      <c r="D43" s="78">
        <v>4500169926</v>
      </c>
      <c r="E43" s="79" t="s">
        <v>2897</v>
      </c>
      <c r="F43" s="78" t="s">
        <v>2898</v>
      </c>
      <c r="G43" s="80" t="s">
        <v>829</v>
      </c>
      <c r="H43" s="80" t="s">
        <v>826</v>
      </c>
      <c r="I43" s="81" t="s">
        <v>827</v>
      </c>
      <c r="J43" s="82">
        <v>36</v>
      </c>
      <c r="K43" s="82">
        <v>0</v>
      </c>
      <c r="L43" s="82">
        <v>4</v>
      </c>
      <c r="M43" s="82">
        <v>9</v>
      </c>
      <c r="N43" s="58">
        <v>45856</v>
      </c>
      <c r="O43" s="58">
        <v>45852</v>
      </c>
      <c r="P43" s="54"/>
      <c r="Q43" s="83"/>
      <c r="R43" s="92"/>
      <c r="S43" s="83"/>
      <c r="T43" s="83"/>
      <c r="U43" s="83" t="s">
        <v>86</v>
      </c>
      <c r="V43" s="83" t="s">
        <v>2490</v>
      </c>
      <c r="W43" s="83"/>
      <c r="X43" s="84" t="s">
        <v>1271</v>
      </c>
      <c r="Y43" s="83" t="s">
        <v>287</v>
      </c>
      <c r="Z43" s="85">
        <v>6.0417</v>
      </c>
      <c r="AA43" s="86">
        <f t="shared" si="27"/>
        <v>217.5012</v>
      </c>
      <c r="AB43" s="87"/>
      <c r="AC43" s="88" t="s">
        <v>89</v>
      </c>
      <c r="AD43" s="80"/>
      <c r="AE43" s="80"/>
      <c r="AF43" s="80"/>
      <c r="AG43" s="77"/>
      <c r="AH43" s="91"/>
      <c r="AI43" s="92">
        <f t="shared" si="35"/>
        <v>36</v>
      </c>
      <c r="AJ43" s="91"/>
      <c r="AK43" s="91"/>
      <c r="AL43" s="92"/>
      <c r="AM43" s="77">
        <f t="shared" si="28"/>
        <v>36</v>
      </c>
      <c r="AN43" s="91"/>
      <c r="AO43" s="91"/>
      <c r="AP43" s="91"/>
      <c r="AQ43" s="92"/>
      <c r="AR43" s="91"/>
      <c r="AS43" s="91"/>
      <c r="AT43" s="91">
        <f t="shared" si="36"/>
        <v>36</v>
      </c>
      <c r="AU43" s="76"/>
      <c r="AV43" s="92">
        <f t="shared" si="29"/>
        <v>36</v>
      </c>
      <c r="AW43" s="91"/>
      <c r="AX43" s="94"/>
      <c r="AY43" s="76"/>
      <c r="AZ43" s="76"/>
      <c r="BA43" s="76"/>
      <c r="BB43" s="91"/>
      <c r="BC43" s="91"/>
      <c r="BD43" s="91"/>
      <c r="BE43" s="76" t="s">
        <v>90</v>
      </c>
      <c r="BF43" s="93"/>
      <c r="BG43" s="76"/>
      <c r="BH43" s="94"/>
      <c r="BI43" s="76"/>
      <c r="BJ43" s="76"/>
      <c r="BK43" s="76"/>
      <c r="BL43" s="76">
        <f t="shared" ref="BL43:BL46" si="37">J43</f>
        <v>36</v>
      </c>
      <c r="BS43" s="96">
        <f t="shared" si="30"/>
        <v>36</v>
      </c>
      <c r="BT43" s="97">
        <f t="shared" si="31"/>
        <v>0</v>
      </c>
      <c r="XEN43" s="99"/>
      <c r="XEO43" s="100"/>
      <c r="XEP43" s="101"/>
      <c r="XEQ43" s="102"/>
      <c r="XER43" s="103"/>
      <c r="XES43" s="102"/>
      <c r="XET43" s="104"/>
      <c r="XEU43" s="104"/>
      <c r="XEV43" s="96"/>
      <c r="XEW43" s="105"/>
      <c r="XEX43" s="105"/>
      <c r="XEY43" s="105"/>
      <c r="XEZ43" s="105"/>
      <c r="XFA43" s="106"/>
      <c r="XFB43" s="106"/>
      <c r="XFC43" s="107"/>
      <c r="XFD43" s="107"/>
    </row>
    <row r="44" s="5" customFormat="1" ht="33" hidden="1" customHeight="1" spans="1:73 16368:16384">
      <c r="A44" s="75">
        <v>45821</v>
      </c>
      <c r="B44" s="76" t="s">
        <v>1276</v>
      </c>
      <c r="C44" s="77" t="s">
        <v>359</v>
      </c>
      <c r="D44" s="78">
        <v>4500169926</v>
      </c>
      <c r="E44" s="79" t="s">
        <v>2899</v>
      </c>
      <c r="F44" s="78" t="s">
        <v>2900</v>
      </c>
      <c r="G44" s="80" t="s">
        <v>829</v>
      </c>
      <c r="H44" s="80" t="s">
        <v>826</v>
      </c>
      <c r="I44" s="81" t="s">
        <v>827</v>
      </c>
      <c r="J44" s="82">
        <v>16</v>
      </c>
      <c r="K44" s="82">
        <v>0</v>
      </c>
      <c r="L44" s="82">
        <v>4</v>
      </c>
      <c r="M44" s="82">
        <v>4</v>
      </c>
      <c r="N44" s="58">
        <v>45856</v>
      </c>
      <c r="O44" s="58">
        <v>45852</v>
      </c>
      <c r="P44" s="54"/>
      <c r="Q44" s="83"/>
      <c r="R44" s="92"/>
      <c r="S44" s="83"/>
      <c r="T44" s="83"/>
      <c r="U44" s="83" t="s">
        <v>86</v>
      </c>
      <c r="V44" s="83" t="s">
        <v>2490</v>
      </c>
      <c r="W44" s="83"/>
      <c r="X44" s="84" t="s">
        <v>1271</v>
      </c>
      <c r="Y44" s="83" t="s">
        <v>287</v>
      </c>
      <c r="Z44" s="85">
        <v>6.0417</v>
      </c>
      <c r="AA44" s="86">
        <f t="shared" si="27"/>
        <v>96.6672</v>
      </c>
      <c r="AB44" s="87"/>
      <c r="AC44" s="88" t="s">
        <v>89</v>
      </c>
      <c r="AD44" s="80"/>
      <c r="AE44" s="80"/>
      <c r="AF44" s="80"/>
      <c r="AG44" s="77"/>
      <c r="AH44" s="91"/>
      <c r="AI44" s="92">
        <f t="shared" si="35"/>
        <v>16</v>
      </c>
      <c r="AJ44" s="91"/>
      <c r="AK44" s="91"/>
      <c r="AL44" s="92"/>
      <c r="AM44" s="77">
        <f t="shared" si="28"/>
        <v>16</v>
      </c>
      <c r="AN44" s="91"/>
      <c r="AO44" s="91"/>
      <c r="AP44" s="91"/>
      <c r="AQ44" s="92"/>
      <c r="AR44" s="91"/>
      <c r="AS44" s="91"/>
      <c r="AT44" s="91">
        <f t="shared" si="36"/>
        <v>16</v>
      </c>
      <c r="AU44" s="76"/>
      <c r="AV44" s="92">
        <f t="shared" si="29"/>
        <v>16</v>
      </c>
      <c r="AW44" s="91"/>
      <c r="AX44" s="94"/>
      <c r="AY44" s="76"/>
      <c r="AZ44" s="76"/>
      <c r="BA44" s="76"/>
      <c r="BB44" s="91"/>
      <c r="BC44" s="91"/>
      <c r="BD44" s="91"/>
      <c r="BE44" s="76" t="s">
        <v>90</v>
      </c>
      <c r="BF44" s="93"/>
      <c r="BG44" s="76"/>
      <c r="BH44" s="94"/>
      <c r="BI44" s="76"/>
      <c r="BJ44" s="76"/>
      <c r="BK44" s="76"/>
      <c r="BL44" s="76">
        <f t="shared" si="37"/>
        <v>16</v>
      </c>
      <c r="BS44" s="96">
        <f t="shared" si="30"/>
        <v>16</v>
      </c>
      <c r="BT44" s="97">
        <f t="shared" si="31"/>
        <v>0</v>
      </c>
      <c r="XEN44" s="99"/>
      <c r="XEO44" s="100"/>
      <c r="XEP44" s="101"/>
      <c r="XEQ44" s="102"/>
      <c r="XER44" s="103"/>
      <c r="XES44" s="102"/>
      <c r="XET44" s="104"/>
      <c r="XEU44" s="104"/>
      <c r="XEV44" s="96"/>
      <c r="XEW44" s="105"/>
      <c r="XEX44" s="105"/>
      <c r="XEY44" s="105"/>
      <c r="XEZ44" s="105"/>
      <c r="XFA44" s="106"/>
      <c r="XFB44" s="106"/>
      <c r="XFC44" s="107"/>
      <c r="XFD44" s="107"/>
    </row>
    <row r="45" s="5" customFormat="1" ht="33" hidden="1" customHeight="1" spans="1:73 16368:16384">
      <c r="A45" s="75">
        <v>45821</v>
      </c>
      <c r="B45" s="76" t="s">
        <v>1276</v>
      </c>
      <c r="C45" s="77" t="s">
        <v>359</v>
      </c>
      <c r="D45" s="78">
        <v>4500169926</v>
      </c>
      <c r="E45" s="79" t="s">
        <v>2901</v>
      </c>
      <c r="F45" s="78" t="s">
        <v>2902</v>
      </c>
      <c r="G45" s="80" t="s">
        <v>829</v>
      </c>
      <c r="H45" s="80" t="s">
        <v>826</v>
      </c>
      <c r="I45" s="81" t="s">
        <v>827</v>
      </c>
      <c r="J45" s="82">
        <v>16</v>
      </c>
      <c r="K45" s="82">
        <v>0</v>
      </c>
      <c r="L45" s="82">
        <v>4</v>
      </c>
      <c r="M45" s="82">
        <v>4</v>
      </c>
      <c r="N45" s="58">
        <v>45856</v>
      </c>
      <c r="O45" s="58">
        <v>45852</v>
      </c>
      <c r="P45" s="54"/>
      <c r="Q45" s="83"/>
      <c r="R45" s="92"/>
      <c r="S45" s="83"/>
      <c r="T45" s="83"/>
      <c r="U45" s="83" t="s">
        <v>86</v>
      </c>
      <c r="V45" s="83" t="s">
        <v>2490</v>
      </c>
      <c r="W45" s="83"/>
      <c r="X45" s="84" t="s">
        <v>1271</v>
      </c>
      <c r="Y45" s="83" t="s">
        <v>287</v>
      </c>
      <c r="Z45" s="85">
        <v>6.0417</v>
      </c>
      <c r="AA45" s="86">
        <f t="shared" si="27"/>
        <v>96.6672</v>
      </c>
      <c r="AB45" s="87"/>
      <c r="AC45" s="88" t="s">
        <v>89</v>
      </c>
      <c r="AD45" s="80"/>
      <c r="AE45" s="80"/>
      <c r="AF45" s="80"/>
      <c r="AG45" s="77"/>
      <c r="AH45" s="91"/>
      <c r="AI45" s="92">
        <f t="shared" si="35"/>
        <v>16</v>
      </c>
      <c r="AJ45" s="91"/>
      <c r="AK45" s="91"/>
      <c r="AL45" s="92"/>
      <c r="AM45" s="77">
        <f t="shared" si="28"/>
        <v>16</v>
      </c>
      <c r="AN45" s="91"/>
      <c r="AO45" s="91"/>
      <c r="AP45" s="91"/>
      <c r="AQ45" s="92"/>
      <c r="AR45" s="91"/>
      <c r="AS45" s="91"/>
      <c r="AT45" s="91">
        <f t="shared" si="36"/>
        <v>16</v>
      </c>
      <c r="AU45" s="76"/>
      <c r="AV45" s="92">
        <f t="shared" si="29"/>
        <v>16</v>
      </c>
      <c r="AW45" s="91"/>
      <c r="AX45" s="94"/>
      <c r="AY45" s="76"/>
      <c r="AZ45" s="76"/>
      <c r="BA45" s="76"/>
      <c r="BB45" s="91"/>
      <c r="BC45" s="91"/>
      <c r="BD45" s="91"/>
      <c r="BE45" s="76" t="s">
        <v>90</v>
      </c>
      <c r="BF45" s="93"/>
      <c r="BG45" s="76"/>
      <c r="BH45" s="94"/>
      <c r="BI45" s="76"/>
      <c r="BJ45" s="76"/>
      <c r="BK45" s="76"/>
      <c r="BL45" s="76">
        <f t="shared" si="37"/>
        <v>16</v>
      </c>
      <c r="BS45" s="96">
        <f t="shared" si="30"/>
        <v>16</v>
      </c>
      <c r="BT45" s="97">
        <f t="shared" si="31"/>
        <v>0</v>
      </c>
      <c r="XEN45" s="99"/>
      <c r="XEO45" s="100"/>
      <c r="XEP45" s="101"/>
      <c r="XEQ45" s="102"/>
      <c r="XER45" s="103"/>
      <c r="XES45" s="102"/>
      <c r="XET45" s="104"/>
      <c r="XEU45" s="104"/>
      <c r="XEV45" s="96"/>
      <c r="XEW45" s="105"/>
      <c r="XEX45" s="105"/>
      <c r="XEY45" s="105"/>
      <c r="XEZ45" s="105"/>
      <c r="XFA45" s="106"/>
      <c r="XFB45" s="106"/>
      <c r="XFC45" s="107"/>
      <c r="XFD45" s="107"/>
    </row>
    <row r="46" s="5" customFormat="1" ht="33" hidden="1" customHeight="1" spans="1:73 16368:16384">
      <c r="A46" s="75">
        <v>45821</v>
      </c>
      <c r="B46" s="76" t="s">
        <v>1276</v>
      </c>
      <c r="C46" s="77" t="s">
        <v>359</v>
      </c>
      <c r="D46" s="78">
        <v>4500169926</v>
      </c>
      <c r="E46" s="79" t="s">
        <v>2903</v>
      </c>
      <c r="F46" s="78" t="s">
        <v>2904</v>
      </c>
      <c r="G46" s="80" t="s">
        <v>829</v>
      </c>
      <c r="H46" s="80" t="s">
        <v>826</v>
      </c>
      <c r="I46" s="81" t="s">
        <v>827</v>
      </c>
      <c r="J46" s="82">
        <v>16</v>
      </c>
      <c r="K46" s="82">
        <v>0</v>
      </c>
      <c r="L46" s="82">
        <v>4</v>
      </c>
      <c r="M46" s="82">
        <v>4</v>
      </c>
      <c r="N46" s="58">
        <v>45856</v>
      </c>
      <c r="O46" s="58">
        <v>45852</v>
      </c>
      <c r="P46" s="54"/>
      <c r="Q46" s="83"/>
      <c r="R46" s="92"/>
      <c r="S46" s="83"/>
      <c r="T46" s="83"/>
      <c r="U46" s="83" t="s">
        <v>86</v>
      </c>
      <c r="V46" s="83" t="s">
        <v>2490</v>
      </c>
      <c r="W46" s="83"/>
      <c r="X46" s="84" t="s">
        <v>1271</v>
      </c>
      <c r="Y46" s="83" t="s">
        <v>287</v>
      </c>
      <c r="Z46" s="85">
        <v>6.0417</v>
      </c>
      <c r="AA46" s="86">
        <f t="shared" si="27"/>
        <v>96.6672</v>
      </c>
      <c r="AB46" s="87"/>
      <c r="AC46" s="88" t="s">
        <v>89</v>
      </c>
      <c r="AD46" s="80"/>
      <c r="AE46" s="80"/>
      <c r="AF46" s="80"/>
      <c r="AG46" s="77"/>
      <c r="AH46" s="91"/>
      <c r="AI46" s="92">
        <f t="shared" si="35"/>
        <v>16</v>
      </c>
      <c r="AJ46" s="91"/>
      <c r="AK46" s="91"/>
      <c r="AL46" s="92"/>
      <c r="AM46" s="77">
        <f t="shared" si="28"/>
        <v>16</v>
      </c>
      <c r="AN46" s="91"/>
      <c r="AO46" s="91"/>
      <c r="AP46" s="91"/>
      <c r="AQ46" s="92"/>
      <c r="AR46" s="91"/>
      <c r="AS46" s="91"/>
      <c r="AT46" s="91">
        <f t="shared" si="36"/>
        <v>16</v>
      </c>
      <c r="AU46" s="76"/>
      <c r="AV46" s="92">
        <f t="shared" si="29"/>
        <v>16</v>
      </c>
      <c r="AW46" s="91"/>
      <c r="AX46" s="94"/>
      <c r="AY46" s="76"/>
      <c r="AZ46" s="76"/>
      <c r="BA46" s="76"/>
      <c r="BB46" s="91"/>
      <c r="BC46" s="91"/>
      <c r="BD46" s="91"/>
      <c r="BE46" s="76" t="s">
        <v>90</v>
      </c>
      <c r="BF46" s="93"/>
      <c r="BG46" s="76"/>
      <c r="BH46" s="94"/>
      <c r="BI46" s="76"/>
      <c r="BJ46" s="76"/>
      <c r="BK46" s="76"/>
      <c r="BL46" s="76">
        <f t="shared" si="37"/>
        <v>16</v>
      </c>
      <c r="BS46" s="96">
        <f t="shared" si="30"/>
        <v>16</v>
      </c>
      <c r="BT46" s="97">
        <f t="shared" si="31"/>
        <v>0</v>
      </c>
      <c r="XEN46" s="99"/>
      <c r="XEO46" s="100"/>
      <c r="XEP46" s="101"/>
      <c r="XEQ46" s="102"/>
      <c r="XER46" s="103"/>
      <c r="XES46" s="102"/>
      <c r="XET46" s="104"/>
      <c r="XEU46" s="104"/>
      <c r="XEV46" s="96"/>
      <c r="XEW46" s="105"/>
      <c r="XEX46" s="105"/>
      <c r="XEY46" s="105"/>
      <c r="XEZ46" s="105"/>
      <c r="XFA46" s="106"/>
      <c r="XFB46" s="106"/>
      <c r="XFC46" s="107"/>
      <c r="XFD46" s="107"/>
    </row>
    <row r="47" s="5" customFormat="1" ht="33" hidden="1" customHeight="1" spans="1:73 16368:16384">
      <c r="A47" s="75">
        <v>45808</v>
      </c>
      <c r="B47" s="76" t="s">
        <v>1184</v>
      </c>
      <c r="C47" s="77" t="s">
        <v>1185</v>
      </c>
      <c r="D47" s="78">
        <v>4500168594</v>
      </c>
      <c r="E47" s="79"/>
      <c r="F47" s="78" t="s">
        <v>2905</v>
      </c>
      <c r="G47" s="80" t="s">
        <v>235</v>
      </c>
      <c r="H47" s="80" t="s">
        <v>81</v>
      </c>
      <c r="I47" s="81" t="s">
        <v>95</v>
      </c>
      <c r="J47" s="82">
        <v>24</v>
      </c>
      <c r="K47" s="82">
        <v>0</v>
      </c>
      <c r="L47" s="82">
        <v>6</v>
      </c>
      <c r="M47" s="82">
        <f t="shared" ref="M47:M64" si="38">J47/L47</f>
        <v>4</v>
      </c>
      <c r="N47" s="58">
        <v>45840</v>
      </c>
      <c r="O47" s="58">
        <v>45842</v>
      </c>
      <c r="P47" s="83"/>
      <c r="Q47" s="83"/>
      <c r="R47" s="92"/>
      <c r="S47" s="83"/>
      <c r="T47" s="83"/>
      <c r="U47" s="83" t="s">
        <v>1189</v>
      </c>
      <c r="V47" s="83"/>
      <c r="W47" s="83"/>
      <c r="X47" s="84" t="s">
        <v>2906</v>
      </c>
      <c r="Y47" s="76" t="s">
        <v>1245</v>
      </c>
      <c r="Z47" s="85">
        <v>5.7828</v>
      </c>
      <c r="AA47" s="86">
        <f t="shared" si="27"/>
        <v>138.7872</v>
      </c>
      <c r="AB47" s="87"/>
      <c r="AC47" s="88" t="s">
        <v>89</v>
      </c>
      <c r="AD47" s="89"/>
      <c r="AE47" s="89"/>
      <c r="AF47" s="80"/>
      <c r="AG47" s="89"/>
      <c r="AH47" s="89"/>
      <c r="AI47" s="80">
        <f t="shared" si="35"/>
        <v>24</v>
      </c>
      <c r="AJ47" s="90"/>
      <c r="AK47" s="89"/>
      <c r="AL47" s="89"/>
      <c r="AM47" s="77">
        <f t="shared" si="28"/>
        <v>24</v>
      </c>
      <c r="AN47" s="91"/>
      <c r="AO47" s="91"/>
      <c r="AP47" s="91"/>
      <c r="AQ47" s="92"/>
      <c r="AR47" s="91"/>
      <c r="AS47" s="91"/>
      <c r="AT47" s="91">
        <f t="shared" si="36"/>
        <v>24</v>
      </c>
      <c r="AU47" s="91"/>
      <c r="AV47" s="92">
        <f t="shared" si="29"/>
        <v>24</v>
      </c>
      <c r="AW47" s="91"/>
      <c r="AX47" s="91"/>
      <c r="AY47" s="91"/>
      <c r="AZ47" s="91"/>
      <c r="BA47" s="91"/>
      <c r="BB47" s="91"/>
      <c r="BC47" s="91"/>
      <c r="BD47" s="91"/>
      <c r="BE47" s="76" t="s">
        <v>90</v>
      </c>
      <c r="BF47" s="93"/>
      <c r="BG47" s="76">
        <f t="shared" ref="BG47:BG56" si="39">J47/6</f>
        <v>4</v>
      </c>
      <c r="BH47" s="94">
        <f t="shared" ref="BH47:BH56" si="40">J47/6</f>
        <v>4</v>
      </c>
      <c r="BI47" s="76">
        <f t="shared" ref="BI47:BI56" si="41">J47/6</f>
        <v>4</v>
      </c>
      <c r="BJ47" s="76">
        <f t="shared" ref="BJ47:BJ56" si="42">J47/6</f>
        <v>4</v>
      </c>
      <c r="BK47" s="76">
        <f t="shared" ref="BK47:BK56" si="43">J47/6</f>
        <v>4</v>
      </c>
      <c r="BL47" s="76">
        <f t="shared" ref="BL47:BL56" si="44">J47/6</f>
        <v>4</v>
      </c>
      <c r="BM47" s="95"/>
      <c r="BN47" s="95"/>
      <c r="BO47" s="95"/>
      <c r="BP47" s="95"/>
      <c r="BQ47" s="95"/>
      <c r="BR47" s="95"/>
      <c r="BS47" s="96">
        <f t="shared" si="30"/>
        <v>24</v>
      </c>
      <c r="BT47" s="97">
        <f t="shared" si="31"/>
        <v>0</v>
      </c>
      <c r="BU47" s="98"/>
    </row>
    <row r="48" s="5" customFormat="1" ht="33" hidden="1" customHeight="1" spans="1:73 16368:16384">
      <c r="A48" s="75">
        <v>45721</v>
      </c>
      <c r="B48" s="76" t="s">
        <v>581</v>
      </c>
      <c r="C48" s="77" t="s">
        <v>246</v>
      </c>
      <c r="D48" s="84">
        <v>4500159211</v>
      </c>
      <c r="E48" s="84"/>
      <c r="F48" s="84" t="s">
        <v>2907</v>
      </c>
      <c r="G48" s="80" t="s">
        <v>81</v>
      </c>
      <c r="H48" s="80" t="s">
        <v>81</v>
      </c>
      <c r="I48" s="81" t="s">
        <v>95</v>
      </c>
      <c r="J48" s="82">
        <v>72</v>
      </c>
      <c r="K48" s="82">
        <v>0</v>
      </c>
      <c r="L48" s="82">
        <v>6</v>
      </c>
      <c r="M48" s="82">
        <f t="shared" si="38"/>
        <v>12</v>
      </c>
      <c r="N48" s="58">
        <v>45730</v>
      </c>
      <c r="O48" s="58">
        <v>45866</v>
      </c>
      <c r="P48" s="83"/>
      <c r="Q48" s="83"/>
      <c r="R48" s="92" t="s">
        <v>2908</v>
      </c>
      <c r="S48" s="108">
        <f>J48</f>
        <v>72</v>
      </c>
      <c r="T48" s="83"/>
      <c r="U48" s="83" t="s">
        <v>2909</v>
      </c>
      <c r="V48" s="83"/>
      <c r="W48" s="83"/>
      <c r="X48" s="84" t="s">
        <v>2910</v>
      </c>
      <c r="Y48" s="76" t="s">
        <v>585</v>
      </c>
      <c r="Z48" s="85">
        <v>5.905</v>
      </c>
      <c r="AA48" s="86">
        <f t="shared" si="27"/>
        <v>425.16</v>
      </c>
      <c r="AB48" s="87"/>
      <c r="AC48" s="92" t="s">
        <v>89</v>
      </c>
      <c r="AD48" s="89"/>
      <c r="AE48" s="89"/>
      <c r="AF48" s="80">
        <f t="shared" ref="AF48:AF52" si="45">J48</f>
        <v>72</v>
      </c>
      <c r="AG48" s="89"/>
      <c r="AH48" s="89"/>
      <c r="AI48" s="80"/>
      <c r="AJ48" s="90"/>
      <c r="AK48" s="89"/>
      <c r="AL48" s="89"/>
      <c r="AM48" s="77">
        <f t="shared" si="28"/>
        <v>72</v>
      </c>
      <c r="AN48" s="91"/>
      <c r="AO48" s="91"/>
      <c r="AP48" s="91"/>
      <c r="AQ48" s="91">
        <f t="shared" ref="AQ48:AQ64" si="46">J48</f>
        <v>72</v>
      </c>
      <c r="AR48" s="91"/>
      <c r="AS48" s="91"/>
      <c r="AT48" s="91"/>
      <c r="AU48" s="91"/>
      <c r="AV48" s="92">
        <f t="shared" si="29"/>
        <v>72</v>
      </c>
      <c r="AW48" s="91"/>
      <c r="AX48" s="91"/>
      <c r="AY48" s="91"/>
      <c r="AZ48" s="91"/>
      <c r="BA48" s="91"/>
      <c r="BB48" s="91"/>
      <c r="BC48" s="91"/>
      <c r="BD48" s="91"/>
      <c r="BE48" s="76" t="s">
        <v>165</v>
      </c>
      <c r="BF48" s="93"/>
      <c r="BG48" s="76">
        <f t="shared" si="39"/>
        <v>12</v>
      </c>
      <c r="BH48" s="94">
        <f t="shared" si="40"/>
        <v>12</v>
      </c>
      <c r="BI48" s="76">
        <f t="shared" si="41"/>
        <v>12</v>
      </c>
      <c r="BJ48" s="76">
        <f t="shared" si="42"/>
        <v>12</v>
      </c>
      <c r="BK48" s="76">
        <f t="shared" si="43"/>
        <v>12</v>
      </c>
      <c r="BL48" s="76">
        <f t="shared" si="44"/>
        <v>12</v>
      </c>
      <c r="BM48" s="95"/>
      <c r="BN48" s="95"/>
      <c r="BO48" s="95"/>
      <c r="BP48" s="95"/>
      <c r="BQ48" s="95"/>
      <c r="BR48" s="95"/>
      <c r="BS48" s="96">
        <f t="shared" si="30"/>
        <v>72</v>
      </c>
      <c r="BT48" s="97">
        <f t="shared" si="31"/>
        <v>0</v>
      </c>
      <c r="BU48" s="98"/>
    </row>
    <row r="49" s="6" customFormat="1" ht="33" hidden="1" customHeight="1" spans="1:74 16368:16384">
      <c r="A49" s="109">
        <v>45810</v>
      </c>
      <c r="B49" s="110" t="s">
        <v>458</v>
      </c>
      <c r="C49" s="111" t="s">
        <v>255</v>
      </c>
      <c r="D49" s="112">
        <v>4500168685</v>
      </c>
      <c r="E49" s="113" t="s">
        <v>2911</v>
      </c>
      <c r="F49" s="112" t="s">
        <v>2912</v>
      </c>
      <c r="G49" s="114" t="s">
        <v>81</v>
      </c>
      <c r="H49" s="114" t="s">
        <v>81</v>
      </c>
      <c r="I49" s="115" t="s">
        <v>95</v>
      </c>
      <c r="J49" s="116">
        <v>546</v>
      </c>
      <c r="K49" s="116">
        <v>0</v>
      </c>
      <c r="L49" s="116">
        <v>6</v>
      </c>
      <c r="M49" s="116">
        <f t="shared" si="38"/>
        <v>91</v>
      </c>
      <c r="N49" s="117">
        <v>45870</v>
      </c>
      <c r="O49" s="117">
        <v>45883</v>
      </c>
      <c r="P49" s="83"/>
      <c r="Q49" s="118"/>
      <c r="R49" s="119"/>
      <c r="S49" s="83"/>
      <c r="T49" s="118"/>
      <c r="U49" s="118" t="s">
        <v>462</v>
      </c>
      <c r="V49" s="118"/>
      <c r="W49" s="118"/>
      <c r="X49" s="120" t="s">
        <v>2913</v>
      </c>
      <c r="Y49" s="110" t="s">
        <v>2914</v>
      </c>
      <c r="Z49" s="121">
        <v>6.1607</v>
      </c>
      <c r="AA49" s="122">
        <f t="shared" si="27"/>
        <v>3363.7422</v>
      </c>
      <c r="AB49" s="123"/>
      <c r="AC49" s="124" t="s">
        <v>89</v>
      </c>
      <c r="AD49" s="89"/>
      <c r="AE49" s="89"/>
      <c r="AF49" s="114">
        <f t="shared" si="45"/>
        <v>546</v>
      </c>
      <c r="AG49" s="89"/>
      <c r="AH49" s="89"/>
      <c r="AI49" s="114"/>
      <c r="AJ49" s="125"/>
      <c r="AK49" s="89"/>
      <c r="AL49" s="89"/>
      <c r="AM49" s="111">
        <f t="shared" si="28"/>
        <v>546</v>
      </c>
      <c r="AN49" s="126"/>
      <c r="AO49" s="91"/>
      <c r="AP49" s="91"/>
      <c r="AQ49" s="119">
        <f t="shared" si="46"/>
        <v>546</v>
      </c>
      <c r="AR49" s="91"/>
      <c r="AS49" s="91"/>
      <c r="AT49" s="126"/>
      <c r="AU49" s="126"/>
      <c r="AV49" s="119">
        <f t="shared" si="29"/>
        <v>546</v>
      </c>
      <c r="AW49" s="126"/>
      <c r="AX49" s="126"/>
      <c r="AY49" s="126"/>
      <c r="AZ49" s="126"/>
      <c r="BA49" s="126"/>
      <c r="BB49" s="126"/>
      <c r="BC49" s="126"/>
      <c r="BD49" s="126"/>
      <c r="BE49" s="110" t="s">
        <v>90</v>
      </c>
      <c r="BF49" s="127"/>
      <c r="BG49" s="110">
        <f t="shared" si="39"/>
        <v>91</v>
      </c>
      <c r="BH49" s="128">
        <f t="shared" si="40"/>
        <v>91</v>
      </c>
      <c r="BI49" s="110">
        <f t="shared" si="41"/>
        <v>91</v>
      </c>
      <c r="BJ49" s="110">
        <f t="shared" si="42"/>
        <v>91</v>
      </c>
      <c r="BK49" s="110">
        <f t="shared" si="43"/>
        <v>91</v>
      </c>
      <c r="BL49" s="110">
        <f t="shared" si="44"/>
        <v>91</v>
      </c>
      <c r="BM49" s="95"/>
      <c r="BN49" s="95"/>
      <c r="BO49" s="95"/>
      <c r="BP49" s="95"/>
      <c r="BQ49" s="95"/>
      <c r="BR49" s="95"/>
      <c r="BS49" s="129">
        <f t="shared" si="30"/>
        <v>546</v>
      </c>
      <c r="BT49" s="130">
        <f t="shared" si="31"/>
        <v>0</v>
      </c>
      <c r="BU49" s="98"/>
    </row>
    <row r="50" s="6" customFormat="1" ht="33" hidden="1" customHeight="1" spans="1:74 16368:16384">
      <c r="A50" s="109">
        <v>45810</v>
      </c>
      <c r="B50" s="110" t="s">
        <v>458</v>
      </c>
      <c r="C50" s="111" t="s">
        <v>255</v>
      </c>
      <c r="D50" s="112">
        <v>4500168685</v>
      </c>
      <c r="E50" s="113" t="s">
        <v>2915</v>
      </c>
      <c r="F50" s="112" t="s">
        <v>2916</v>
      </c>
      <c r="G50" s="114" t="s">
        <v>81</v>
      </c>
      <c r="H50" s="114" t="s">
        <v>81</v>
      </c>
      <c r="I50" s="115" t="s">
        <v>95</v>
      </c>
      <c r="J50" s="116">
        <v>396</v>
      </c>
      <c r="K50" s="116">
        <v>0</v>
      </c>
      <c r="L50" s="116">
        <v>6</v>
      </c>
      <c r="M50" s="116">
        <f t="shared" si="38"/>
        <v>66</v>
      </c>
      <c r="N50" s="117">
        <v>45870</v>
      </c>
      <c r="O50" s="117">
        <v>45883</v>
      </c>
      <c r="P50" s="83"/>
      <c r="Q50" s="118"/>
      <c r="R50" s="119"/>
      <c r="S50" s="83"/>
      <c r="T50" s="118"/>
      <c r="U50" s="118" t="s">
        <v>462</v>
      </c>
      <c r="V50" s="118"/>
      <c r="W50" s="118"/>
      <c r="X50" s="120" t="s">
        <v>2913</v>
      </c>
      <c r="Y50" s="110" t="s">
        <v>2914</v>
      </c>
      <c r="Z50" s="121">
        <v>6.1607</v>
      </c>
      <c r="AA50" s="122">
        <f t="shared" si="27"/>
        <v>2439.6372</v>
      </c>
      <c r="AB50" s="123"/>
      <c r="AC50" s="124" t="s">
        <v>89</v>
      </c>
      <c r="AD50" s="89"/>
      <c r="AE50" s="89"/>
      <c r="AF50" s="114">
        <f t="shared" si="45"/>
        <v>396</v>
      </c>
      <c r="AG50" s="89"/>
      <c r="AH50" s="89"/>
      <c r="AI50" s="114"/>
      <c r="AJ50" s="125"/>
      <c r="AK50" s="89"/>
      <c r="AL50" s="89"/>
      <c r="AM50" s="111">
        <f t="shared" si="28"/>
        <v>396</v>
      </c>
      <c r="AN50" s="126"/>
      <c r="AO50" s="91"/>
      <c r="AP50" s="91"/>
      <c r="AQ50" s="119">
        <f t="shared" si="46"/>
        <v>396</v>
      </c>
      <c r="AR50" s="91"/>
      <c r="AS50" s="91"/>
      <c r="AT50" s="126"/>
      <c r="AU50" s="126"/>
      <c r="AV50" s="119">
        <f t="shared" si="29"/>
        <v>396</v>
      </c>
      <c r="AW50" s="126"/>
      <c r="AX50" s="126"/>
      <c r="AY50" s="126"/>
      <c r="AZ50" s="126"/>
      <c r="BA50" s="126"/>
      <c r="BB50" s="126"/>
      <c r="BC50" s="126"/>
      <c r="BD50" s="126"/>
      <c r="BE50" s="110" t="s">
        <v>90</v>
      </c>
      <c r="BF50" s="127"/>
      <c r="BG50" s="110">
        <f t="shared" si="39"/>
        <v>66</v>
      </c>
      <c r="BH50" s="128">
        <f t="shared" si="40"/>
        <v>66</v>
      </c>
      <c r="BI50" s="110">
        <f t="shared" si="41"/>
        <v>66</v>
      </c>
      <c r="BJ50" s="110">
        <f t="shared" si="42"/>
        <v>66</v>
      </c>
      <c r="BK50" s="110">
        <f t="shared" si="43"/>
        <v>66</v>
      </c>
      <c r="BL50" s="110">
        <f t="shared" si="44"/>
        <v>66</v>
      </c>
      <c r="BM50" s="95"/>
      <c r="BN50" s="95"/>
      <c r="BO50" s="95"/>
      <c r="BP50" s="95"/>
      <c r="BQ50" s="95"/>
      <c r="BR50" s="95"/>
      <c r="BS50" s="129">
        <f t="shared" si="30"/>
        <v>396</v>
      </c>
      <c r="BT50" s="130">
        <f t="shared" si="31"/>
        <v>0</v>
      </c>
      <c r="BU50" s="98"/>
    </row>
    <row r="51" s="6" customFormat="1" ht="33" hidden="1" customHeight="1" spans="1:74 16368:16384">
      <c r="A51" s="109">
        <v>45810</v>
      </c>
      <c r="B51" s="110" t="s">
        <v>458</v>
      </c>
      <c r="C51" s="111" t="s">
        <v>255</v>
      </c>
      <c r="D51" s="112">
        <v>4500168685</v>
      </c>
      <c r="E51" s="113" t="s">
        <v>2917</v>
      </c>
      <c r="F51" s="112" t="s">
        <v>2918</v>
      </c>
      <c r="G51" s="114" t="s">
        <v>81</v>
      </c>
      <c r="H51" s="114" t="s">
        <v>81</v>
      </c>
      <c r="I51" s="115" t="s">
        <v>95</v>
      </c>
      <c r="J51" s="116">
        <v>414</v>
      </c>
      <c r="K51" s="116">
        <v>0</v>
      </c>
      <c r="L51" s="116">
        <v>6</v>
      </c>
      <c r="M51" s="116">
        <f t="shared" si="38"/>
        <v>69</v>
      </c>
      <c r="N51" s="117">
        <v>45870</v>
      </c>
      <c r="O51" s="117">
        <v>45883</v>
      </c>
      <c r="P51" s="83"/>
      <c r="Q51" s="118"/>
      <c r="R51" s="119"/>
      <c r="S51" s="83"/>
      <c r="T51" s="118"/>
      <c r="U51" s="118" t="s">
        <v>462</v>
      </c>
      <c r="V51" s="118"/>
      <c r="W51" s="118"/>
      <c r="X51" s="120" t="s">
        <v>2913</v>
      </c>
      <c r="Y51" s="110" t="s">
        <v>2914</v>
      </c>
      <c r="Z51" s="121">
        <v>6.1607</v>
      </c>
      <c r="AA51" s="122">
        <f t="shared" si="27"/>
        <v>2550.5298</v>
      </c>
      <c r="AB51" s="123"/>
      <c r="AC51" s="124" t="s">
        <v>89</v>
      </c>
      <c r="AD51" s="89"/>
      <c r="AE51" s="89"/>
      <c r="AF51" s="114">
        <f t="shared" si="45"/>
        <v>414</v>
      </c>
      <c r="AG51" s="89"/>
      <c r="AH51" s="89"/>
      <c r="AI51" s="114"/>
      <c r="AJ51" s="125"/>
      <c r="AK51" s="89"/>
      <c r="AL51" s="89"/>
      <c r="AM51" s="111">
        <f t="shared" si="28"/>
        <v>414</v>
      </c>
      <c r="AN51" s="126"/>
      <c r="AO51" s="91"/>
      <c r="AP51" s="91"/>
      <c r="AQ51" s="119">
        <f t="shared" si="46"/>
        <v>414</v>
      </c>
      <c r="AR51" s="91"/>
      <c r="AS51" s="91"/>
      <c r="AT51" s="126"/>
      <c r="AU51" s="126"/>
      <c r="AV51" s="119">
        <f t="shared" si="29"/>
        <v>414</v>
      </c>
      <c r="AW51" s="126"/>
      <c r="AX51" s="126"/>
      <c r="AY51" s="126"/>
      <c r="AZ51" s="126"/>
      <c r="BA51" s="126"/>
      <c r="BB51" s="126"/>
      <c r="BC51" s="126"/>
      <c r="BD51" s="126"/>
      <c r="BE51" s="110" t="s">
        <v>90</v>
      </c>
      <c r="BF51" s="127"/>
      <c r="BG51" s="110">
        <f t="shared" si="39"/>
        <v>69</v>
      </c>
      <c r="BH51" s="128">
        <f t="shared" si="40"/>
        <v>69</v>
      </c>
      <c r="BI51" s="110">
        <f t="shared" si="41"/>
        <v>69</v>
      </c>
      <c r="BJ51" s="110">
        <f t="shared" si="42"/>
        <v>69</v>
      </c>
      <c r="BK51" s="110">
        <f t="shared" si="43"/>
        <v>69</v>
      </c>
      <c r="BL51" s="110">
        <f t="shared" si="44"/>
        <v>69</v>
      </c>
      <c r="BM51" s="95"/>
      <c r="BN51" s="95"/>
      <c r="BO51" s="95"/>
      <c r="BP51" s="95"/>
      <c r="BQ51" s="95"/>
      <c r="BR51" s="95"/>
      <c r="BS51" s="129">
        <f t="shared" si="30"/>
        <v>414</v>
      </c>
      <c r="BT51" s="130">
        <f t="shared" si="31"/>
        <v>0</v>
      </c>
      <c r="BU51" s="98"/>
    </row>
    <row r="52" s="6" customFormat="1" ht="33" hidden="1" customHeight="1" spans="1:74 16368:16384">
      <c r="A52" s="109">
        <v>45810</v>
      </c>
      <c r="B52" s="110" t="s">
        <v>458</v>
      </c>
      <c r="C52" s="111" t="s">
        <v>255</v>
      </c>
      <c r="D52" s="112">
        <v>4500168685</v>
      </c>
      <c r="E52" s="113" t="s">
        <v>2919</v>
      </c>
      <c r="F52" s="112" t="s">
        <v>2920</v>
      </c>
      <c r="G52" s="114" t="s">
        <v>81</v>
      </c>
      <c r="H52" s="114" t="s">
        <v>81</v>
      </c>
      <c r="I52" s="115" t="s">
        <v>95</v>
      </c>
      <c r="J52" s="116">
        <v>144</v>
      </c>
      <c r="K52" s="116">
        <v>0</v>
      </c>
      <c r="L52" s="116">
        <v>6</v>
      </c>
      <c r="M52" s="116">
        <f t="shared" si="38"/>
        <v>24</v>
      </c>
      <c r="N52" s="117">
        <v>45870</v>
      </c>
      <c r="O52" s="117">
        <v>45883</v>
      </c>
      <c r="P52" s="83"/>
      <c r="Q52" s="118"/>
      <c r="R52" s="119"/>
      <c r="S52" s="83"/>
      <c r="T52" s="118"/>
      <c r="U52" s="118" t="s">
        <v>462</v>
      </c>
      <c r="V52" s="118"/>
      <c r="W52" s="118"/>
      <c r="X52" s="120" t="s">
        <v>2913</v>
      </c>
      <c r="Y52" s="110" t="s">
        <v>2914</v>
      </c>
      <c r="Z52" s="121">
        <v>6.1607</v>
      </c>
      <c r="AA52" s="122">
        <f t="shared" si="27"/>
        <v>887.1408</v>
      </c>
      <c r="AB52" s="123"/>
      <c r="AC52" s="124" t="s">
        <v>89</v>
      </c>
      <c r="AD52" s="89"/>
      <c r="AE52" s="89"/>
      <c r="AF52" s="114">
        <f t="shared" si="45"/>
        <v>144</v>
      </c>
      <c r="AG52" s="89"/>
      <c r="AH52" s="89"/>
      <c r="AI52" s="114"/>
      <c r="AJ52" s="125"/>
      <c r="AK52" s="89"/>
      <c r="AL52" s="89"/>
      <c r="AM52" s="111">
        <f t="shared" si="28"/>
        <v>144</v>
      </c>
      <c r="AN52" s="126"/>
      <c r="AO52" s="91"/>
      <c r="AP52" s="91"/>
      <c r="AQ52" s="119">
        <f t="shared" si="46"/>
        <v>144</v>
      </c>
      <c r="AR52" s="91"/>
      <c r="AS52" s="91"/>
      <c r="AT52" s="126"/>
      <c r="AU52" s="126"/>
      <c r="AV52" s="119">
        <f t="shared" si="29"/>
        <v>144</v>
      </c>
      <c r="AW52" s="126"/>
      <c r="AX52" s="126"/>
      <c r="AY52" s="126"/>
      <c r="AZ52" s="126"/>
      <c r="BA52" s="126"/>
      <c r="BB52" s="126"/>
      <c r="BC52" s="126"/>
      <c r="BD52" s="126"/>
      <c r="BE52" s="110" t="s">
        <v>90</v>
      </c>
      <c r="BF52" s="127"/>
      <c r="BG52" s="110">
        <f t="shared" si="39"/>
        <v>24</v>
      </c>
      <c r="BH52" s="128">
        <f t="shared" si="40"/>
        <v>24</v>
      </c>
      <c r="BI52" s="110">
        <f t="shared" si="41"/>
        <v>24</v>
      </c>
      <c r="BJ52" s="110">
        <f t="shared" si="42"/>
        <v>24</v>
      </c>
      <c r="BK52" s="110">
        <f t="shared" si="43"/>
        <v>24</v>
      </c>
      <c r="BL52" s="110">
        <f t="shared" si="44"/>
        <v>24</v>
      </c>
      <c r="BM52" s="95"/>
      <c r="BN52" s="95"/>
      <c r="BO52" s="95"/>
      <c r="BP52" s="95"/>
      <c r="BQ52" s="95"/>
      <c r="BR52" s="95"/>
      <c r="BS52" s="129">
        <f t="shared" si="30"/>
        <v>144</v>
      </c>
      <c r="BT52" s="130">
        <f t="shared" si="31"/>
        <v>0</v>
      </c>
      <c r="BU52" s="98"/>
    </row>
    <row r="53" s="7" customFormat="1" ht="33" hidden="1" customHeight="1" spans="1:74 16368:16384">
      <c r="A53" s="131">
        <v>45611</v>
      </c>
      <c r="B53" s="132" t="s">
        <v>724</v>
      </c>
      <c r="C53" s="133" t="s">
        <v>725</v>
      </c>
      <c r="D53" s="134">
        <v>4500151414</v>
      </c>
      <c r="E53" s="135" t="s">
        <v>726</v>
      </c>
      <c r="F53" s="134" t="s">
        <v>2921</v>
      </c>
      <c r="G53" s="136" t="s">
        <v>81</v>
      </c>
      <c r="H53" s="136" t="s">
        <v>81</v>
      </c>
      <c r="I53" s="137" t="s">
        <v>95</v>
      </c>
      <c r="J53" s="138">
        <v>1236</v>
      </c>
      <c r="K53" s="138">
        <v>0</v>
      </c>
      <c r="L53" s="138">
        <v>6</v>
      </c>
      <c r="M53" s="139">
        <f t="shared" si="38"/>
        <v>206</v>
      </c>
      <c r="N53" s="140">
        <v>45847</v>
      </c>
      <c r="O53" s="140">
        <v>45843</v>
      </c>
      <c r="P53" s="83"/>
      <c r="Q53" s="141" t="s">
        <v>2922</v>
      </c>
      <c r="R53" s="142" t="s">
        <v>2847</v>
      </c>
      <c r="S53" s="108">
        <f>M53</f>
        <v>206</v>
      </c>
      <c r="T53" s="141"/>
      <c r="U53" s="143" t="s">
        <v>2923</v>
      </c>
      <c r="V53" s="143"/>
      <c r="W53" s="143" t="s">
        <v>2924</v>
      </c>
      <c r="X53" s="144" t="s">
        <v>2925</v>
      </c>
      <c r="Y53" s="145" t="s">
        <v>675</v>
      </c>
      <c r="Z53" s="146">
        <v>5.8973</v>
      </c>
      <c r="AA53" s="147">
        <f t="shared" si="27"/>
        <v>7289.0628</v>
      </c>
      <c r="AB53" s="148"/>
      <c r="AC53" s="149" t="s">
        <v>89</v>
      </c>
      <c r="AD53" s="150"/>
      <c r="AE53" s="150"/>
      <c r="AF53" s="151">
        <f>'9283'!I62</f>
        <v>1800</v>
      </c>
      <c r="AG53" s="150"/>
      <c r="AH53" s="150"/>
      <c r="AI53" s="152"/>
      <c r="AJ53" s="153"/>
      <c r="AK53" s="150"/>
      <c r="AL53" s="150"/>
      <c r="AM53" s="154">
        <f t="shared" si="28"/>
        <v>1236</v>
      </c>
      <c r="AN53" s="155"/>
      <c r="AO53" s="156"/>
      <c r="AP53" s="156"/>
      <c r="AQ53" s="157">
        <f t="shared" si="46"/>
        <v>1236</v>
      </c>
      <c r="AR53" s="156"/>
      <c r="AS53" s="156"/>
      <c r="AT53" s="155"/>
      <c r="AU53" s="155"/>
      <c r="AV53" s="157">
        <f t="shared" si="29"/>
        <v>1236</v>
      </c>
      <c r="AW53" s="155"/>
      <c r="AX53" s="155"/>
      <c r="AY53" s="155"/>
      <c r="AZ53" s="155"/>
      <c r="BA53" s="155"/>
      <c r="BB53" s="155"/>
      <c r="BC53" s="155"/>
      <c r="BD53" s="155"/>
      <c r="BE53" s="145" t="s">
        <v>90</v>
      </c>
      <c r="BF53" s="158"/>
      <c r="BG53" s="145">
        <f t="shared" si="39"/>
        <v>206</v>
      </c>
      <c r="BH53" s="159">
        <f t="shared" si="40"/>
        <v>206</v>
      </c>
      <c r="BI53" s="145">
        <f t="shared" si="41"/>
        <v>206</v>
      </c>
      <c r="BJ53" s="145">
        <f t="shared" si="42"/>
        <v>206</v>
      </c>
      <c r="BK53" s="145">
        <f t="shared" si="43"/>
        <v>206</v>
      </c>
      <c r="BL53" s="145">
        <f t="shared" si="44"/>
        <v>206</v>
      </c>
      <c r="BM53" s="160"/>
      <c r="BN53" s="160"/>
      <c r="BO53" s="160"/>
      <c r="BP53" s="160"/>
      <c r="BQ53" s="160"/>
      <c r="BR53" s="160"/>
      <c r="BS53" s="161">
        <f t="shared" si="30"/>
        <v>1236</v>
      </c>
      <c r="BT53" s="162">
        <f t="shared" si="31"/>
        <v>0</v>
      </c>
      <c r="BU53" s="163"/>
    </row>
    <row r="54" s="7" customFormat="1" ht="33" hidden="1" customHeight="1" spans="1:74 16368:16384">
      <c r="A54" s="131">
        <v>45611</v>
      </c>
      <c r="B54" s="132" t="s">
        <v>724</v>
      </c>
      <c r="C54" s="133" t="s">
        <v>725</v>
      </c>
      <c r="D54" s="134">
        <v>4500151414</v>
      </c>
      <c r="E54" s="135" t="s">
        <v>732</v>
      </c>
      <c r="F54" s="134" t="s">
        <v>2926</v>
      </c>
      <c r="G54" s="136" t="s">
        <v>81</v>
      </c>
      <c r="H54" s="136" t="s">
        <v>81</v>
      </c>
      <c r="I54" s="137" t="s">
        <v>95</v>
      </c>
      <c r="J54" s="138">
        <v>546</v>
      </c>
      <c r="K54" s="138">
        <v>0</v>
      </c>
      <c r="L54" s="138">
        <v>6</v>
      </c>
      <c r="M54" s="139">
        <f t="shared" si="38"/>
        <v>91</v>
      </c>
      <c r="N54" s="140">
        <v>45847</v>
      </c>
      <c r="O54" s="140">
        <v>45843</v>
      </c>
      <c r="P54" s="83"/>
      <c r="Q54" s="141" t="s">
        <v>2922</v>
      </c>
      <c r="R54" s="142" t="s">
        <v>2847</v>
      </c>
      <c r="S54" s="108">
        <f>M54</f>
        <v>91</v>
      </c>
      <c r="T54" s="141"/>
      <c r="U54" s="143" t="s">
        <v>2923</v>
      </c>
      <c r="V54" s="143"/>
      <c r="W54" s="143" t="s">
        <v>2924</v>
      </c>
      <c r="X54" s="144" t="s">
        <v>2925</v>
      </c>
      <c r="Y54" s="145" t="s">
        <v>675</v>
      </c>
      <c r="Z54" s="146">
        <v>5.8973</v>
      </c>
      <c r="AA54" s="147">
        <f t="shared" si="27"/>
        <v>3219.9258</v>
      </c>
      <c r="AB54" s="148"/>
      <c r="AC54" s="149" t="s">
        <v>89</v>
      </c>
      <c r="AD54" s="150"/>
      <c r="AE54" s="150"/>
      <c r="AF54" s="151">
        <f>J53</f>
        <v>1236</v>
      </c>
      <c r="AG54" s="150"/>
      <c r="AH54" s="150"/>
      <c r="AI54" s="152"/>
      <c r="AJ54" s="153"/>
      <c r="AK54" s="150"/>
      <c r="AL54" s="150"/>
      <c r="AM54" s="154">
        <f t="shared" si="28"/>
        <v>546</v>
      </c>
      <c r="AN54" s="155"/>
      <c r="AO54" s="156"/>
      <c r="AP54" s="156"/>
      <c r="AQ54" s="157">
        <f t="shared" si="46"/>
        <v>546</v>
      </c>
      <c r="AR54" s="156"/>
      <c r="AS54" s="156"/>
      <c r="AT54" s="155"/>
      <c r="AU54" s="155"/>
      <c r="AV54" s="157">
        <f t="shared" si="29"/>
        <v>546</v>
      </c>
      <c r="AW54" s="155"/>
      <c r="AX54" s="155"/>
      <c r="AY54" s="155"/>
      <c r="AZ54" s="155"/>
      <c r="BA54" s="155"/>
      <c r="BB54" s="155"/>
      <c r="BC54" s="155"/>
      <c r="BD54" s="155"/>
      <c r="BE54" s="145" t="s">
        <v>90</v>
      </c>
      <c r="BF54" s="158"/>
      <c r="BG54" s="145">
        <f t="shared" si="39"/>
        <v>91</v>
      </c>
      <c r="BH54" s="159">
        <f t="shared" si="40"/>
        <v>91</v>
      </c>
      <c r="BI54" s="145">
        <f t="shared" si="41"/>
        <v>91</v>
      </c>
      <c r="BJ54" s="145">
        <f t="shared" si="42"/>
        <v>91</v>
      </c>
      <c r="BK54" s="145">
        <f t="shared" si="43"/>
        <v>91</v>
      </c>
      <c r="BL54" s="145">
        <f t="shared" si="44"/>
        <v>91</v>
      </c>
      <c r="BM54" s="160"/>
      <c r="BN54" s="160"/>
      <c r="BO54" s="160"/>
      <c r="BP54" s="160"/>
      <c r="BQ54" s="160"/>
      <c r="BR54" s="160"/>
      <c r="BS54" s="161">
        <f t="shared" si="30"/>
        <v>546</v>
      </c>
      <c r="BT54" s="162">
        <f t="shared" si="31"/>
        <v>0</v>
      </c>
      <c r="BU54" s="163"/>
    </row>
    <row r="55" s="7" customFormat="1" ht="33" customHeight="1" spans="1:74 16368:16384">
      <c r="A55" s="131">
        <v>45611</v>
      </c>
      <c r="B55" s="132" t="s">
        <v>724</v>
      </c>
      <c r="C55" s="133" t="s">
        <v>725</v>
      </c>
      <c r="D55" s="134">
        <v>4500151404</v>
      </c>
      <c r="E55" s="135" t="s">
        <v>726</v>
      </c>
      <c r="F55" s="134" t="s">
        <v>2927</v>
      </c>
      <c r="G55" s="136" t="s">
        <v>81</v>
      </c>
      <c r="H55" s="136" t="s">
        <v>81</v>
      </c>
      <c r="I55" s="137" t="s">
        <v>95</v>
      </c>
      <c r="J55" s="138">
        <v>1302</v>
      </c>
      <c r="K55" s="138">
        <v>0</v>
      </c>
      <c r="L55" s="138">
        <v>6</v>
      </c>
      <c r="M55" s="139">
        <f t="shared" si="38"/>
        <v>217</v>
      </c>
      <c r="N55" s="140">
        <v>45817</v>
      </c>
      <c r="O55" s="140">
        <v>45813</v>
      </c>
      <c r="P55" s="83"/>
      <c r="Q55" s="141" t="s">
        <v>2928</v>
      </c>
      <c r="R55" s="119" t="s">
        <v>2908</v>
      </c>
      <c r="S55" s="83"/>
      <c r="T55" s="141"/>
      <c r="U55" s="141" t="s">
        <v>2923</v>
      </c>
      <c r="V55" s="141"/>
      <c r="W55" s="141" t="s">
        <v>2924</v>
      </c>
      <c r="X55" s="164" t="s">
        <v>2929</v>
      </c>
      <c r="Y55" s="145" t="s">
        <v>675</v>
      </c>
      <c r="Z55" s="146">
        <v>5.712</v>
      </c>
      <c r="AA55" s="147">
        <f t="shared" si="27"/>
        <v>7437.024</v>
      </c>
      <c r="AB55" s="148"/>
      <c r="AC55" s="149" t="s">
        <v>89</v>
      </c>
      <c r="AD55" s="152"/>
      <c r="AE55" s="152"/>
      <c r="AF55" s="151">
        <f t="shared" ref="AF55:AF64" si="47">J55</f>
        <v>1302</v>
      </c>
      <c r="AG55" s="152"/>
      <c r="AH55" s="152"/>
      <c r="AI55" s="152"/>
      <c r="AJ55" s="153"/>
      <c r="AK55" s="152"/>
      <c r="AL55" s="152"/>
      <c r="AM55" s="154">
        <f t="shared" si="28"/>
        <v>1302</v>
      </c>
      <c r="AN55" s="155"/>
      <c r="AO55" s="155"/>
      <c r="AP55" s="155"/>
      <c r="AQ55" s="157">
        <f t="shared" si="46"/>
        <v>1302</v>
      </c>
      <c r="AR55" s="155"/>
      <c r="AS55" s="155"/>
      <c r="AT55" s="155"/>
      <c r="AU55" s="155"/>
      <c r="AV55" s="157">
        <f t="shared" si="29"/>
        <v>1302</v>
      </c>
      <c r="AW55" s="155"/>
      <c r="AX55" s="155"/>
      <c r="AY55" s="155"/>
      <c r="AZ55" s="155"/>
      <c r="BA55" s="155"/>
      <c r="BB55" s="155"/>
      <c r="BC55" s="155"/>
      <c r="BD55" s="155"/>
      <c r="BE55" s="145" t="s">
        <v>90</v>
      </c>
      <c r="BF55" s="158"/>
      <c r="BG55" s="145">
        <f t="shared" si="39"/>
        <v>217</v>
      </c>
      <c r="BH55" s="159">
        <f t="shared" si="40"/>
        <v>217</v>
      </c>
      <c r="BI55" s="145">
        <f t="shared" si="41"/>
        <v>217</v>
      </c>
      <c r="BJ55" s="145">
        <f t="shared" si="42"/>
        <v>217</v>
      </c>
      <c r="BK55" s="145">
        <f t="shared" si="43"/>
        <v>217</v>
      </c>
      <c r="BL55" s="145">
        <f t="shared" si="44"/>
        <v>217</v>
      </c>
      <c r="BM55" s="165"/>
      <c r="BN55" s="165"/>
      <c r="BO55" s="165"/>
      <c r="BP55" s="165"/>
      <c r="BQ55" s="165"/>
      <c r="BR55" s="165"/>
      <c r="BS55" s="161">
        <f t="shared" si="30"/>
        <v>1302</v>
      </c>
      <c r="BT55" s="162">
        <f t="shared" si="31"/>
        <v>0</v>
      </c>
      <c r="BU55" s="166"/>
    </row>
    <row r="56" s="7" customFormat="1" ht="33" customHeight="1" spans="1:74 16368:16384">
      <c r="A56" s="131">
        <v>45629</v>
      </c>
      <c r="B56" s="132" t="s">
        <v>724</v>
      </c>
      <c r="C56" s="133" t="s">
        <v>725</v>
      </c>
      <c r="D56" s="134">
        <v>4500151404</v>
      </c>
      <c r="E56" s="135" t="s">
        <v>732</v>
      </c>
      <c r="F56" s="134" t="s">
        <v>2930</v>
      </c>
      <c r="G56" s="136" t="s">
        <v>81</v>
      </c>
      <c r="H56" s="136" t="s">
        <v>81</v>
      </c>
      <c r="I56" s="137" t="s">
        <v>95</v>
      </c>
      <c r="J56" s="138">
        <v>648</v>
      </c>
      <c r="K56" s="138">
        <v>0</v>
      </c>
      <c r="L56" s="138">
        <v>6</v>
      </c>
      <c r="M56" s="139">
        <f t="shared" si="38"/>
        <v>108</v>
      </c>
      <c r="N56" s="140">
        <v>45817</v>
      </c>
      <c r="O56" s="140">
        <v>45813</v>
      </c>
      <c r="P56" s="83"/>
      <c r="Q56" s="141" t="s">
        <v>2928</v>
      </c>
      <c r="R56" s="119" t="s">
        <v>2908</v>
      </c>
      <c r="S56" s="83"/>
      <c r="T56" s="141"/>
      <c r="U56" s="141" t="s">
        <v>2931</v>
      </c>
      <c r="V56" s="141"/>
      <c r="W56" s="141"/>
      <c r="X56" s="164" t="s">
        <v>2929</v>
      </c>
      <c r="Y56" s="145" t="s">
        <v>675</v>
      </c>
      <c r="Z56" s="146">
        <v>5.8973</v>
      </c>
      <c r="AA56" s="147">
        <f t="shared" si="27"/>
        <v>3821.4504</v>
      </c>
      <c r="AB56" s="148"/>
      <c r="AC56" s="148" t="s">
        <v>89</v>
      </c>
      <c r="AD56" s="152"/>
      <c r="AE56" s="152"/>
      <c r="AF56" s="151">
        <f t="shared" si="47"/>
        <v>648</v>
      </c>
      <c r="AG56" s="152"/>
      <c r="AH56" s="152"/>
      <c r="AI56" s="152"/>
      <c r="AJ56" s="153"/>
      <c r="AK56" s="152"/>
      <c r="AL56" s="152"/>
      <c r="AM56" s="154">
        <f t="shared" si="28"/>
        <v>648</v>
      </c>
      <c r="AN56" s="155"/>
      <c r="AO56" s="155"/>
      <c r="AP56" s="155"/>
      <c r="AQ56" s="157">
        <f t="shared" si="46"/>
        <v>648</v>
      </c>
      <c r="AR56" s="155"/>
      <c r="AS56" s="155"/>
      <c r="AT56" s="155"/>
      <c r="AU56" s="155"/>
      <c r="AV56" s="157">
        <f t="shared" si="29"/>
        <v>648</v>
      </c>
      <c r="AW56" s="155"/>
      <c r="AX56" s="155"/>
      <c r="AY56" s="155"/>
      <c r="AZ56" s="155"/>
      <c r="BA56" s="155"/>
      <c r="BB56" s="155"/>
      <c r="BC56" s="155"/>
      <c r="BD56" s="155"/>
      <c r="BE56" s="145" t="s">
        <v>90</v>
      </c>
      <c r="BF56" s="158"/>
      <c r="BG56" s="145">
        <f t="shared" si="39"/>
        <v>108</v>
      </c>
      <c r="BH56" s="159">
        <f t="shared" si="40"/>
        <v>108</v>
      </c>
      <c r="BI56" s="145">
        <f t="shared" si="41"/>
        <v>108</v>
      </c>
      <c r="BJ56" s="145">
        <f t="shared" si="42"/>
        <v>108</v>
      </c>
      <c r="BK56" s="145">
        <f t="shared" si="43"/>
        <v>108</v>
      </c>
      <c r="BL56" s="145">
        <f t="shared" si="44"/>
        <v>108</v>
      </c>
      <c r="BM56" s="165"/>
      <c r="BN56" s="165"/>
      <c r="BO56" s="165"/>
      <c r="BP56" s="165"/>
      <c r="BQ56" s="165"/>
      <c r="BR56" s="165"/>
      <c r="BS56" s="161">
        <f t="shared" si="30"/>
        <v>648</v>
      </c>
      <c r="BT56" s="162">
        <f t="shared" si="31"/>
        <v>0</v>
      </c>
      <c r="BU56" s="166"/>
    </row>
    <row r="57" s="7" customFormat="1" ht="33" hidden="1" customHeight="1" spans="1:74 16368:16384">
      <c r="A57" s="131">
        <v>45972</v>
      </c>
      <c r="B57" s="132" t="s">
        <v>563</v>
      </c>
      <c r="C57" s="133" t="s">
        <v>255</v>
      </c>
      <c r="D57" s="134">
        <v>4500185298</v>
      </c>
      <c r="E57" s="164">
        <v>2522697</v>
      </c>
      <c r="F57" s="134" t="s">
        <v>2932</v>
      </c>
      <c r="G57" s="136" t="s">
        <v>81</v>
      </c>
      <c r="H57" s="136" t="s">
        <v>81</v>
      </c>
      <c r="I57" s="137" t="s">
        <v>95</v>
      </c>
      <c r="J57" s="138">
        <v>1500</v>
      </c>
      <c r="K57" s="138">
        <v>0</v>
      </c>
      <c r="L57" s="138">
        <v>6</v>
      </c>
      <c r="M57" s="139">
        <f t="shared" si="38"/>
        <v>250</v>
      </c>
      <c r="N57" s="140">
        <v>46013</v>
      </c>
      <c r="O57" s="140">
        <v>46009</v>
      </c>
      <c r="P57" s="141"/>
      <c r="Q57" s="141" t="s">
        <v>2933</v>
      </c>
      <c r="R57" s="119" t="s">
        <v>2908</v>
      </c>
      <c r="S57" s="141" t="s">
        <v>2934</v>
      </c>
      <c r="T57" s="141"/>
      <c r="U57" s="143" t="s">
        <v>2935</v>
      </c>
      <c r="V57" s="143"/>
      <c r="W57" s="143" t="s">
        <v>2936</v>
      </c>
      <c r="X57" s="144" t="s">
        <v>2937</v>
      </c>
      <c r="Y57" s="145" t="s">
        <v>464</v>
      </c>
      <c r="Z57" s="146">
        <v>6.1607</v>
      </c>
      <c r="AA57" s="147">
        <f t="shared" si="27"/>
        <v>9241.05</v>
      </c>
      <c r="AB57" s="148"/>
      <c r="AC57" s="149" t="s">
        <v>89</v>
      </c>
      <c r="AD57" s="152"/>
      <c r="AE57" s="152"/>
      <c r="AF57" s="151">
        <f t="shared" si="47"/>
        <v>1500</v>
      </c>
      <c r="AG57" s="152"/>
      <c r="AH57" s="152"/>
      <c r="AI57" s="152"/>
      <c r="AJ57" s="155"/>
      <c r="AK57" s="152"/>
      <c r="AL57" s="152"/>
      <c r="AM57" s="154">
        <f t="shared" si="28"/>
        <v>1500</v>
      </c>
      <c r="AN57" s="155"/>
      <c r="AO57" s="155"/>
      <c r="AP57" s="155"/>
      <c r="AQ57" s="155">
        <f t="shared" si="46"/>
        <v>1500</v>
      </c>
      <c r="AR57" s="155"/>
      <c r="AS57" s="155"/>
      <c r="AT57" s="155"/>
      <c r="AU57" s="155"/>
      <c r="AV57" s="157">
        <f t="shared" si="29"/>
        <v>1500</v>
      </c>
      <c r="AW57" s="155"/>
      <c r="AX57" s="155"/>
      <c r="AY57" s="155"/>
      <c r="AZ57" s="155"/>
      <c r="BA57" s="155"/>
      <c r="BB57" s="155"/>
      <c r="BC57" s="155"/>
      <c r="BD57" s="155"/>
      <c r="BE57" s="145" t="s">
        <v>90</v>
      </c>
      <c r="BF57" s="158"/>
      <c r="BG57" s="167">
        <f t="shared" ref="BG57:BG60" si="48">J57/100*2.63</f>
        <v>39.45</v>
      </c>
      <c r="BH57" s="167">
        <f t="shared" ref="BH57:BH60" si="49">J57/100*8.56</f>
        <v>128.4</v>
      </c>
      <c r="BI57" s="167">
        <f t="shared" ref="BI57:BI60" si="50">J57/100*20.74</f>
        <v>311.1</v>
      </c>
      <c r="BJ57" s="167">
        <f t="shared" ref="BJ57:BJ60" si="51">J57/100*32.33</f>
        <v>484.95</v>
      </c>
      <c r="BK57" s="167">
        <f t="shared" ref="BK57:BK60" si="52">J57/100*16.24</f>
        <v>243.6</v>
      </c>
      <c r="BL57" s="167">
        <f t="shared" ref="BL57:BL60" si="53">J57/100*19.51</f>
        <v>292.65</v>
      </c>
      <c r="BM57" s="165"/>
      <c r="BN57" s="165"/>
      <c r="BO57" s="165"/>
      <c r="BP57" s="165"/>
      <c r="BQ57" s="165"/>
      <c r="BR57" s="165"/>
      <c r="BS57" s="168">
        <f t="shared" si="30"/>
        <v>1500.15</v>
      </c>
      <c r="BT57" s="162">
        <f t="shared" si="31"/>
        <v>-0.149999999999864</v>
      </c>
      <c r="BU57" s="166"/>
    </row>
    <row r="58" s="7" customFormat="1" ht="33" hidden="1" customHeight="1" spans="1:74 16368:16384">
      <c r="A58" s="131">
        <v>46010</v>
      </c>
      <c r="B58" s="169" t="s">
        <v>254</v>
      </c>
      <c r="C58" s="170" t="s">
        <v>255</v>
      </c>
      <c r="D58" s="171">
        <v>4500187429</v>
      </c>
      <c r="E58" s="172">
        <v>21347326</v>
      </c>
      <c r="F58" s="171" t="s">
        <v>2938</v>
      </c>
      <c r="G58" s="136" t="s">
        <v>81</v>
      </c>
      <c r="H58" s="136" t="s">
        <v>81</v>
      </c>
      <c r="I58" s="137" t="s">
        <v>95</v>
      </c>
      <c r="J58" s="138">
        <v>1446</v>
      </c>
      <c r="K58" s="138">
        <v>0</v>
      </c>
      <c r="L58" s="138">
        <v>6</v>
      </c>
      <c r="M58" s="139">
        <f t="shared" si="38"/>
        <v>241</v>
      </c>
      <c r="N58" s="140">
        <v>46048</v>
      </c>
      <c r="O58" s="140">
        <v>46044</v>
      </c>
      <c r="P58" s="141" t="s">
        <v>2939</v>
      </c>
      <c r="Q58" s="141"/>
      <c r="R58" s="142"/>
      <c r="S58" s="141" t="s">
        <v>2940</v>
      </c>
      <c r="T58" s="141"/>
      <c r="U58" s="143" t="s">
        <v>2941</v>
      </c>
      <c r="V58" s="143"/>
      <c r="W58" s="143"/>
      <c r="X58" s="144" t="s">
        <v>2942</v>
      </c>
      <c r="Y58" s="173" t="s">
        <v>252</v>
      </c>
      <c r="Z58" s="146">
        <v>6.1607</v>
      </c>
      <c r="AA58" s="147">
        <f t="shared" si="27"/>
        <v>8908.3722</v>
      </c>
      <c r="AB58" s="148"/>
      <c r="AC58" s="149" t="s">
        <v>89</v>
      </c>
      <c r="AD58" s="155"/>
      <c r="AE58" s="155"/>
      <c r="AF58" s="155">
        <f t="shared" si="47"/>
        <v>1446</v>
      </c>
      <c r="AG58" s="154"/>
      <c r="AH58" s="155"/>
      <c r="AI58" s="155"/>
      <c r="AJ58" s="155"/>
      <c r="AK58" s="145"/>
      <c r="AL58" s="157"/>
      <c r="AM58" s="154">
        <f t="shared" si="28"/>
        <v>1446</v>
      </c>
      <c r="AN58" s="167"/>
      <c r="AO58" s="167"/>
      <c r="AP58" s="167"/>
      <c r="AQ58" s="167">
        <f t="shared" si="46"/>
        <v>1446</v>
      </c>
      <c r="AR58" s="167"/>
      <c r="AS58" s="174"/>
      <c r="AT58" s="175"/>
      <c r="AU58" s="145"/>
      <c r="AV58" s="158">
        <f t="shared" si="29"/>
        <v>1446</v>
      </c>
      <c r="AW58" s="167"/>
      <c r="AX58" s="167"/>
      <c r="AY58" s="167"/>
      <c r="AZ58" s="167"/>
      <c r="BA58" s="167"/>
      <c r="BB58" s="167"/>
      <c r="BC58" s="174"/>
      <c r="BD58" s="175"/>
      <c r="BE58" s="142" t="s">
        <v>90</v>
      </c>
      <c r="BF58" s="176"/>
      <c r="BG58" s="167">
        <f t="shared" si="48"/>
        <v>38.0298</v>
      </c>
      <c r="BH58" s="167">
        <f t="shared" si="49"/>
        <v>123.7776</v>
      </c>
      <c r="BI58" s="167">
        <f t="shared" si="50"/>
        <v>299.9004</v>
      </c>
      <c r="BJ58" s="167">
        <f t="shared" si="51"/>
        <v>467.4918</v>
      </c>
      <c r="BK58" s="167">
        <f t="shared" si="52"/>
        <v>234.8304</v>
      </c>
      <c r="BL58" s="167">
        <f t="shared" si="53"/>
        <v>282.1146</v>
      </c>
      <c r="BS58" s="168">
        <f t="shared" si="30"/>
        <v>1446.1446</v>
      </c>
      <c r="BT58" s="162">
        <f t="shared" si="31"/>
        <v>-0.144600000000082</v>
      </c>
    </row>
    <row r="59" s="7" customFormat="1" ht="33" hidden="1" customHeight="1" spans="1:74 16368:16384">
      <c r="A59" s="131">
        <v>46010</v>
      </c>
      <c r="B59" s="177" t="s">
        <v>245</v>
      </c>
      <c r="C59" s="170" t="s">
        <v>246</v>
      </c>
      <c r="D59" s="171">
        <v>4500188118</v>
      </c>
      <c r="E59" s="172">
        <v>21347327</v>
      </c>
      <c r="F59" s="171" t="s">
        <v>2943</v>
      </c>
      <c r="G59" s="136" t="s">
        <v>81</v>
      </c>
      <c r="H59" s="136" t="s">
        <v>81</v>
      </c>
      <c r="I59" s="137" t="s">
        <v>95</v>
      </c>
      <c r="J59" s="138">
        <v>54</v>
      </c>
      <c r="K59" s="138">
        <v>0</v>
      </c>
      <c r="L59" s="138">
        <v>6</v>
      </c>
      <c r="M59" s="139">
        <f t="shared" si="38"/>
        <v>9</v>
      </c>
      <c r="N59" s="140">
        <v>46048</v>
      </c>
      <c r="O59" s="140">
        <v>46044</v>
      </c>
      <c r="P59" s="141" t="s">
        <v>2939</v>
      </c>
      <c r="Q59" s="141"/>
      <c r="R59" s="142"/>
      <c r="S59" s="141" t="s">
        <v>2940</v>
      </c>
      <c r="T59" s="141"/>
      <c r="U59" s="143" t="s">
        <v>2941</v>
      </c>
      <c r="V59" s="143"/>
      <c r="W59" s="143"/>
      <c r="X59" s="144" t="s">
        <v>2944</v>
      </c>
      <c r="Y59" s="173" t="s">
        <v>252</v>
      </c>
      <c r="Z59" s="146">
        <v>6.1681</v>
      </c>
      <c r="AA59" s="147">
        <f t="shared" si="27"/>
        <v>333.0774</v>
      </c>
      <c r="AB59" s="148"/>
      <c r="AC59" s="149" t="s">
        <v>89</v>
      </c>
      <c r="AD59" s="155"/>
      <c r="AE59" s="155"/>
      <c r="AF59" s="155">
        <f t="shared" si="47"/>
        <v>54</v>
      </c>
      <c r="AG59" s="154"/>
      <c r="AH59" s="155"/>
      <c r="AI59" s="155"/>
      <c r="AJ59" s="155"/>
      <c r="AK59" s="145"/>
      <c r="AL59" s="157"/>
      <c r="AM59" s="154">
        <f t="shared" si="28"/>
        <v>54</v>
      </c>
      <c r="AN59" s="167"/>
      <c r="AO59" s="167"/>
      <c r="AP59" s="167"/>
      <c r="AQ59" s="167">
        <f t="shared" si="46"/>
        <v>54</v>
      </c>
      <c r="AR59" s="167"/>
      <c r="AS59" s="174"/>
      <c r="AT59" s="175"/>
      <c r="AU59" s="145"/>
      <c r="AV59" s="158">
        <f t="shared" si="29"/>
        <v>54</v>
      </c>
      <c r="AW59" s="167"/>
      <c r="AX59" s="167"/>
      <c r="AY59" s="167"/>
      <c r="AZ59" s="167"/>
      <c r="BA59" s="167"/>
      <c r="BB59" s="167"/>
      <c r="BC59" s="174"/>
      <c r="BD59" s="175"/>
      <c r="BE59" s="142" t="s">
        <v>90</v>
      </c>
      <c r="BF59" s="176"/>
      <c r="BG59" s="167">
        <f t="shared" si="48"/>
        <v>1.4202</v>
      </c>
      <c r="BH59" s="167">
        <f t="shared" si="49"/>
        <v>4.6224</v>
      </c>
      <c r="BI59" s="167">
        <f t="shared" si="50"/>
        <v>11.1996</v>
      </c>
      <c r="BJ59" s="167">
        <f t="shared" si="51"/>
        <v>17.4582</v>
      </c>
      <c r="BK59" s="167">
        <f t="shared" si="52"/>
        <v>8.7696</v>
      </c>
      <c r="BL59" s="167">
        <f t="shared" si="53"/>
        <v>10.5354</v>
      </c>
      <c r="BS59" s="168">
        <f t="shared" si="30"/>
        <v>54.0054</v>
      </c>
      <c r="BT59" s="162">
        <f t="shared" si="31"/>
        <v>-0.00540000000000163</v>
      </c>
    </row>
    <row r="60" s="8" customFormat="1" ht="33" hidden="1" customHeight="1" spans="1:74 16368:16384">
      <c r="A60" s="178">
        <v>46006</v>
      </c>
      <c r="B60" s="179" t="s">
        <v>563</v>
      </c>
      <c r="C60" s="180" t="s">
        <v>255</v>
      </c>
      <c r="D60" s="181">
        <v>4500188951</v>
      </c>
      <c r="E60" s="182">
        <v>2522719</v>
      </c>
      <c r="F60" s="181" t="s">
        <v>2945</v>
      </c>
      <c r="G60" s="183" t="s">
        <v>81</v>
      </c>
      <c r="H60" s="183" t="s">
        <v>81</v>
      </c>
      <c r="I60" s="184" t="s">
        <v>95</v>
      </c>
      <c r="J60" s="185">
        <v>1500</v>
      </c>
      <c r="K60" s="185">
        <v>0</v>
      </c>
      <c r="L60" s="185">
        <v>6</v>
      </c>
      <c r="M60" s="186">
        <f t="shared" si="38"/>
        <v>250</v>
      </c>
      <c r="N60" s="187">
        <v>46048</v>
      </c>
      <c r="O60" s="187">
        <v>46044</v>
      </c>
      <c r="P60" s="141" t="s">
        <v>2939</v>
      </c>
      <c r="Q60" s="188" t="s">
        <v>83</v>
      </c>
      <c r="R60" s="119" t="s">
        <v>2908</v>
      </c>
      <c r="S60" s="141" t="s">
        <v>2946</v>
      </c>
      <c r="T60" s="188"/>
      <c r="U60" s="189" t="s">
        <v>86</v>
      </c>
      <c r="V60" s="189" t="s">
        <v>2947</v>
      </c>
      <c r="W60" s="189" t="s">
        <v>2948</v>
      </c>
      <c r="X60" s="190" t="s">
        <v>2949</v>
      </c>
      <c r="Y60" s="191" t="s">
        <v>464</v>
      </c>
      <c r="Z60" s="192">
        <v>6.1607</v>
      </c>
      <c r="AA60" s="193">
        <f t="shared" si="27"/>
        <v>9241.05</v>
      </c>
      <c r="AB60" s="194"/>
      <c r="AC60" s="195" t="s">
        <v>89</v>
      </c>
      <c r="AD60" s="196"/>
      <c r="AE60" s="196"/>
      <c r="AF60" s="197">
        <f t="shared" si="47"/>
        <v>1500</v>
      </c>
      <c r="AG60" s="198"/>
      <c r="AH60" s="196"/>
      <c r="AI60" s="197"/>
      <c r="AJ60" s="197"/>
      <c r="AK60" s="199"/>
      <c r="AL60" s="200"/>
      <c r="AM60" s="201">
        <f t="shared" si="28"/>
        <v>1500</v>
      </c>
      <c r="AN60" s="202"/>
      <c r="AO60" s="203"/>
      <c r="AP60" s="203"/>
      <c r="AQ60" s="202">
        <f t="shared" si="46"/>
        <v>1500</v>
      </c>
      <c r="AR60" s="203"/>
      <c r="AS60" s="204"/>
      <c r="AT60" s="205"/>
      <c r="AU60" s="206"/>
      <c r="AV60" s="207">
        <f t="shared" si="29"/>
        <v>1500</v>
      </c>
      <c r="AW60" s="202"/>
      <c r="AX60" s="202"/>
      <c r="AY60" s="202"/>
      <c r="AZ60" s="202"/>
      <c r="BA60" s="202"/>
      <c r="BB60" s="202"/>
      <c r="BC60" s="208"/>
      <c r="BD60" s="205"/>
      <c r="BE60" s="206" t="s">
        <v>90</v>
      </c>
      <c r="BF60" s="209"/>
      <c r="BG60" s="202">
        <f t="shared" si="48"/>
        <v>39.45</v>
      </c>
      <c r="BH60" s="202">
        <f t="shared" si="49"/>
        <v>128.4</v>
      </c>
      <c r="BI60" s="202">
        <f t="shared" si="50"/>
        <v>311.1</v>
      </c>
      <c r="BJ60" s="202">
        <f t="shared" si="51"/>
        <v>484.95</v>
      </c>
      <c r="BK60" s="202">
        <f t="shared" si="52"/>
        <v>243.6</v>
      </c>
      <c r="BL60" s="202">
        <f t="shared" si="53"/>
        <v>292.65</v>
      </c>
      <c r="BM60" s="210"/>
      <c r="BN60" s="210"/>
      <c r="BO60" s="210"/>
      <c r="BP60" s="210"/>
      <c r="BQ60" s="210"/>
      <c r="BR60" s="210"/>
      <c r="BS60" s="211">
        <f t="shared" si="30"/>
        <v>1500.15</v>
      </c>
      <c r="BT60" s="212">
        <f t="shared" si="31"/>
        <v>-0.149999999999864</v>
      </c>
      <c r="BU60" s="210"/>
    </row>
    <row r="61" s="7" customFormat="1" ht="33" hidden="1" customHeight="1" spans="1:74 16368:16384">
      <c r="A61" s="131">
        <v>46034</v>
      </c>
      <c r="B61" s="169" t="s">
        <v>563</v>
      </c>
      <c r="C61" s="170" t="s">
        <v>255</v>
      </c>
      <c r="D61" s="171">
        <v>4500191138</v>
      </c>
      <c r="E61" s="172">
        <v>2522745</v>
      </c>
      <c r="F61" s="171" t="s">
        <v>2950</v>
      </c>
      <c r="G61" s="136" t="s">
        <v>81</v>
      </c>
      <c r="H61" s="136" t="s">
        <v>81</v>
      </c>
      <c r="I61" s="137" t="s">
        <v>95</v>
      </c>
      <c r="J61" s="213">
        <v>1500</v>
      </c>
      <c r="K61" s="138">
        <v>0</v>
      </c>
      <c r="L61" s="138">
        <v>6</v>
      </c>
      <c r="M61" s="139">
        <f t="shared" si="38"/>
        <v>250</v>
      </c>
      <c r="N61" s="140">
        <v>46097</v>
      </c>
      <c r="O61" s="140">
        <v>46093</v>
      </c>
      <c r="P61" s="141" t="s">
        <v>2939</v>
      </c>
      <c r="Q61" s="141"/>
      <c r="R61" s="142" t="s">
        <v>2951</v>
      </c>
      <c r="S61" s="141" t="s">
        <v>2952</v>
      </c>
      <c r="T61" s="141"/>
      <c r="U61" s="143" t="s">
        <v>86</v>
      </c>
      <c r="V61" s="143" t="s">
        <v>2490</v>
      </c>
      <c r="W61" s="143"/>
      <c r="X61" s="144" t="s">
        <v>2953</v>
      </c>
      <c r="Y61" s="173" t="s">
        <v>464</v>
      </c>
      <c r="Z61" s="146">
        <v>5.5938</v>
      </c>
      <c r="AA61" s="147">
        <f t="shared" si="27"/>
        <v>8390.7</v>
      </c>
      <c r="AB61" s="148"/>
      <c r="AC61" s="149" t="s">
        <v>89</v>
      </c>
      <c r="AD61" s="155"/>
      <c r="AE61" s="155"/>
      <c r="AF61" s="155">
        <f t="shared" si="47"/>
        <v>1500</v>
      </c>
      <c r="AG61" s="154"/>
      <c r="AH61" s="167"/>
      <c r="AI61" s="167"/>
      <c r="AJ61" s="175"/>
      <c r="AK61" s="145"/>
      <c r="AL61" s="158"/>
      <c r="AM61" s="154">
        <f t="shared" si="28"/>
        <v>1500</v>
      </c>
      <c r="AN61" s="167"/>
      <c r="AO61" s="167"/>
      <c r="AP61" s="167"/>
      <c r="AQ61" s="167">
        <f t="shared" si="46"/>
        <v>1500</v>
      </c>
      <c r="AR61" s="167"/>
      <c r="AS61" s="174"/>
      <c r="AT61" s="175"/>
      <c r="AU61" s="142"/>
      <c r="AV61" s="158">
        <f t="shared" si="29"/>
        <v>1500</v>
      </c>
      <c r="AW61" s="167"/>
      <c r="AX61" s="167"/>
      <c r="AY61" s="167"/>
      <c r="AZ61" s="167"/>
      <c r="BA61" s="167"/>
      <c r="BB61" s="167"/>
      <c r="BC61" s="174"/>
      <c r="BD61" s="175"/>
      <c r="BE61" s="142" t="s">
        <v>90</v>
      </c>
      <c r="BF61" s="158"/>
      <c r="BG61" s="167">
        <f>J61/6</f>
        <v>250</v>
      </c>
      <c r="BH61" s="167">
        <f>J61/6</f>
        <v>250</v>
      </c>
      <c r="BI61" s="167">
        <f>J61/6</f>
        <v>250</v>
      </c>
      <c r="BJ61" s="167">
        <f>J61/6</f>
        <v>250</v>
      </c>
      <c r="BK61" s="167">
        <f>J61/6</f>
        <v>250</v>
      </c>
      <c r="BL61" s="167">
        <f>J61/6</f>
        <v>250</v>
      </c>
      <c r="BS61" s="168">
        <f t="shared" si="30"/>
        <v>1500</v>
      </c>
      <c r="BT61" s="162">
        <f t="shared" si="31"/>
        <v>0</v>
      </c>
      <c r="XEN61" s="214"/>
      <c r="XEO61" s="215"/>
      <c r="XEP61" s="216"/>
      <c r="XEQ61" s="217"/>
      <c r="XER61" s="218"/>
      <c r="XES61" s="217"/>
      <c r="XET61" s="219"/>
      <c r="XEU61" s="219"/>
      <c r="XEV61" s="220"/>
      <c r="XEW61" s="221"/>
      <c r="XEX61" s="221"/>
      <c r="XEY61" s="221"/>
      <c r="XEZ61" s="222"/>
      <c r="XFA61" s="223"/>
      <c r="XFB61" s="223"/>
      <c r="XFC61" s="224"/>
      <c r="XFD61" s="224"/>
    </row>
    <row r="62" s="7" customFormat="1" ht="33" customHeight="1" spans="1:74 16368:16384">
      <c r="A62" s="131">
        <v>46181</v>
      </c>
      <c r="B62" s="137" t="s">
        <v>254</v>
      </c>
      <c r="C62" s="133" t="s">
        <v>255</v>
      </c>
      <c r="D62" s="134">
        <v>4500206440</v>
      </c>
      <c r="E62" s="225">
        <v>21812852</v>
      </c>
      <c r="F62" s="134" t="s">
        <v>2954</v>
      </c>
      <c r="G62" s="136" t="s">
        <v>81</v>
      </c>
      <c r="H62" s="136" t="s">
        <v>81</v>
      </c>
      <c r="I62" s="132" t="s">
        <v>82</v>
      </c>
      <c r="J62" s="138">
        <v>1044</v>
      </c>
      <c r="K62" s="138">
        <v>0</v>
      </c>
      <c r="L62" s="138">
        <v>6</v>
      </c>
      <c r="M62" s="139">
        <f t="shared" si="38"/>
        <v>174</v>
      </c>
      <c r="N62" s="140">
        <v>46223</v>
      </c>
      <c r="O62" s="140">
        <v>46219</v>
      </c>
      <c r="P62" s="226" t="s">
        <v>2955</v>
      </c>
      <c r="Q62" s="141"/>
      <c r="R62" s="142" t="s">
        <v>2847</v>
      </c>
      <c r="S62" s="227" t="s">
        <v>2956</v>
      </c>
      <c r="T62" s="176"/>
      <c r="U62" s="226" t="s">
        <v>2957</v>
      </c>
      <c r="V62" s="226" t="s">
        <v>2524</v>
      </c>
      <c r="W62" s="141"/>
      <c r="X62" s="228" t="s">
        <v>2958</v>
      </c>
      <c r="Y62" s="152" t="s">
        <v>2081</v>
      </c>
      <c r="Z62" s="229">
        <v>6.4732</v>
      </c>
      <c r="AA62" s="147">
        <f t="shared" si="27"/>
        <v>6758.0208</v>
      </c>
      <c r="AB62" s="176"/>
      <c r="AC62" s="230" t="s">
        <v>89</v>
      </c>
      <c r="AD62" s="151"/>
      <c r="AE62" s="151"/>
      <c r="AF62" s="151">
        <f t="shared" si="47"/>
        <v>1044</v>
      </c>
      <c r="AG62" s="157"/>
      <c r="AH62" s="157"/>
      <c r="AI62" s="157"/>
      <c r="AJ62" s="157"/>
      <c r="AK62" s="157"/>
      <c r="AL62" s="154"/>
      <c r="AM62" s="154">
        <f t="shared" si="28"/>
        <v>1044</v>
      </c>
      <c r="AN62" s="157"/>
      <c r="AO62" s="148"/>
      <c r="AP62" s="157"/>
      <c r="AQ62" s="157">
        <f t="shared" si="46"/>
        <v>1044</v>
      </c>
      <c r="AR62" s="157"/>
      <c r="AS62" s="157"/>
      <c r="AT62" s="157"/>
      <c r="AU62" s="145"/>
      <c r="AV62" s="157">
        <f t="shared" si="29"/>
        <v>1044</v>
      </c>
      <c r="AW62" s="167"/>
      <c r="AX62" s="167"/>
      <c r="AY62" s="167"/>
      <c r="AZ62" s="167"/>
      <c r="BA62" s="167"/>
      <c r="BB62" s="167"/>
      <c r="BC62" s="174"/>
      <c r="BD62" s="175"/>
      <c r="BE62" s="137" t="s">
        <v>90</v>
      </c>
      <c r="BF62" s="142"/>
      <c r="BG62" s="167">
        <f>J62/6</f>
        <v>174</v>
      </c>
      <c r="BH62" s="167">
        <f>J62/6</f>
        <v>174</v>
      </c>
      <c r="BI62" s="167">
        <f>J62/6</f>
        <v>174</v>
      </c>
      <c r="BJ62" s="167">
        <f>J62/6</f>
        <v>174</v>
      </c>
      <c r="BK62" s="167">
        <f>J62/6</f>
        <v>174</v>
      </c>
      <c r="BL62" s="167">
        <f>J62/6</f>
        <v>174</v>
      </c>
      <c r="BM62" s="165"/>
      <c r="BN62" s="165"/>
      <c r="BO62" s="165"/>
      <c r="BP62" s="165"/>
      <c r="BQ62" s="165"/>
      <c r="BR62" s="165"/>
      <c r="BS62" s="168">
        <f t="shared" si="30"/>
        <v>1044</v>
      </c>
      <c r="BT62" s="162">
        <f t="shared" si="31"/>
        <v>0</v>
      </c>
      <c r="BU62" s="166"/>
      <c r="BV62" s="166"/>
    </row>
    <row r="63" s="7" customFormat="1" ht="33" customHeight="1" spans="1:74 16368:16384">
      <c r="A63" s="131">
        <v>46181</v>
      </c>
      <c r="B63" s="137" t="s">
        <v>245</v>
      </c>
      <c r="C63" s="133" t="s">
        <v>246</v>
      </c>
      <c r="D63" s="134">
        <v>4500206441</v>
      </c>
      <c r="E63" s="225">
        <v>21812853</v>
      </c>
      <c r="F63" s="134" t="s">
        <v>2959</v>
      </c>
      <c r="G63" s="136" t="s">
        <v>81</v>
      </c>
      <c r="H63" s="136" t="s">
        <v>81</v>
      </c>
      <c r="I63" s="132" t="s">
        <v>82</v>
      </c>
      <c r="J63" s="138">
        <v>456</v>
      </c>
      <c r="K63" s="138">
        <v>0</v>
      </c>
      <c r="L63" s="138">
        <v>6</v>
      </c>
      <c r="M63" s="139">
        <f t="shared" si="38"/>
        <v>76</v>
      </c>
      <c r="N63" s="140">
        <v>46223</v>
      </c>
      <c r="O63" s="140">
        <v>46219</v>
      </c>
      <c r="P63" s="226" t="s">
        <v>2955</v>
      </c>
      <c r="Q63" s="141"/>
      <c r="R63" s="142" t="s">
        <v>2847</v>
      </c>
      <c r="S63" s="227" t="s">
        <v>2960</v>
      </c>
      <c r="T63" s="176"/>
      <c r="U63" s="226" t="s">
        <v>2961</v>
      </c>
      <c r="V63" s="226" t="s">
        <v>2524</v>
      </c>
      <c r="W63" s="226" t="s">
        <v>2294</v>
      </c>
      <c r="X63" s="164" t="s">
        <v>2962</v>
      </c>
      <c r="Y63" s="152" t="s">
        <v>2081</v>
      </c>
      <c r="Z63" s="229">
        <v>6.481</v>
      </c>
      <c r="AA63" s="147">
        <f t="shared" si="27"/>
        <v>2955.336</v>
      </c>
      <c r="AB63" s="176"/>
      <c r="AC63" s="230" t="s">
        <v>89</v>
      </c>
      <c r="AD63" s="151"/>
      <c r="AE63" s="151"/>
      <c r="AF63" s="151">
        <f t="shared" si="47"/>
        <v>456</v>
      </c>
      <c r="AG63" s="157"/>
      <c r="AH63" s="157"/>
      <c r="AI63" s="157"/>
      <c r="AJ63" s="157"/>
      <c r="AK63" s="157"/>
      <c r="AL63" s="154"/>
      <c r="AM63" s="154">
        <f t="shared" si="28"/>
        <v>456</v>
      </c>
      <c r="AN63" s="157"/>
      <c r="AO63" s="148"/>
      <c r="AP63" s="157"/>
      <c r="AQ63" s="157">
        <f t="shared" si="46"/>
        <v>456</v>
      </c>
      <c r="AR63" s="157"/>
      <c r="AS63" s="157"/>
      <c r="AT63" s="157"/>
      <c r="AU63" s="145"/>
      <c r="AV63" s="157">
        <f t="shared" si="29"/>
        <v>456</v>
      </c>
      <c r="AW63" s="167"/>
      <c r="AX63" s="167"/>
      <c r="AY63" s="167"/>
      <c r="AZ63" s="167"/>
      <c r="BA63" s="167"/>
      <c r="BB63" s="167"/>
      <c r="BC63" s="174"/>
      <c r="BD63" s="175"/>
      <c r="BE63" s="137" t="s">
        <v>90</v>
      </c>
      <c r="BF63" s="142"/>
      <c r="BG63" s="167">
        <f>J63/6</f>
        <v>76</v>
      </c>
      <c r="BH63" s="167">
        <f>J63/6</f>
        <v>76</v>
      </c>
      <c r="BI63" s="167">
        <f>J63/6</f>
        <v>76</v>
      </c>
      <c r="BJ63" s="167">
        <f>J63/6</f>
        <v>76</v>
      </c>
      <c r="BK63" s="167">
        <f>J63/6</f>
        <v>76</v>
      </c>
      <c r="BL63" s="167">
        <f>J63/6</f>
        <v>76</v>
      </c>
      <c r="BM63" s="165"/>
      <c r="BN63" s="165"/>
      <c r="BO63" s="165"/>
      <c r="BP63" s="165"/>
      <c r="BQ63" s="165"/>
      <c r="BR63" s="165"/>
      <c r="BS63" s="168">
        <f t="shared" si="30"/>
        <v>456</v>
      </c>
      <c r="BT63" s="162">
        <f t="shared" si="31"/>
        <v>0</v>
      </c>
      <c r="BU63" s="166"/>
      <c r="BV63" s="166"/>
    </row>
    <row r="64" s="7" customFormat="1" ht="33" customHeight="1" spans="1:74 16368:16384">
      <c r="A64" s="231">
        <v>46087</v>
      </c>
      <c r="B64" s="232" t="s">
        <v>987</v>
      </c>
      <c r="C64" s="170" t="s">
        <v>334</v>
      </c>
      <c r="D64" s="233">
        <v>4500195533</v>
      </c>
      <c r="E64" s="234"/>
      <c r="F64" s="233" t="s">
        <v>2963</v>
      </c>
      <c r="G64" s="235" t="s">
        <v>81</v>
      </c>
      <c r="H64" s="176"/>
      <c r="I64" s="234" t="s">
        <v>82</v>
      </c>
      <c r="J64" s="236">
        <v>54</v>
      </c>
      <c r="K64" s="236">
        <v>0</v>
      </c>
      <c r="L64" s="236">
        <v>6</v>
      </c>
      <c r="M64" s="237">
        <f t="shared" si="38"/>
        <v>9</v>
      </c>
      <c r="N64" s="238">
        <v>46126</v>
      </c>
      <c r="O64" s="238">
        <v>46261</v>
      </c>
      <c r="P64" s="226" t="s">
        <v>2964</v>
      </c>
      <c r="Q64" s="141"/>
      <c r="R64" s="227" t="s">
        <v>2965</v>
      </c>
      <c r="S64" s="227" t="s">
        <v>2966</v>
      </c>
      <c r="T64" s="176"/>
      <c r="U64" s="226" t="s">
        <v>86</v>
      </c>
      <c r="V64" s="226" t="s">
        <v>2502</v>
      </c>
      <c r="W64" s="226"/>
      <c r="X64" s="239" t="s">
        <v>2967</v>
      </c>
      <c r="Y64" s="173" t="s">
        <v>340</v>
      </c>
      <c r="Z64" s="240">
        <v>5.7828</v>
      </c>
      <c r="AA64" s="241">
        <f t="shared" si="27"/>
        <v>312.2712</v>
      </c>
      <c r="AB64" s="176"/>
      <c r="AC64" s="230"/>
      <c r="AD64" s="151"/>
      <c r="AE64" s="151"/>
      <c r="AF64" s="151">
        <f t="shared" si="47"/>
        <v>54</v>
      </c>
      <c r="AG64" s="157"/>
      <c r="AH64" s="157"/>
      <c r="AI64" s="157"/>
      <c r="AJ64" s="157"/>
      <c r="AK64" s="157"/>
      <c r="AL64" s="154"/>
      <c r="AM64" s="154">
        <f t="shared" si="28"/>
        <v>54</v>
      </c>
      <c r="AN64" s="157"/>
      <c r="AO64" s="148"/>
      <c r="AP64" s="157"/>
      <c r="AQ64" s="157">
        <f t="shared" si="46"/>
        <v>54</v>
      </c>
      <c r="AR64" s="157"/>
      <c r="AS64" s="157"/>
      <c r="AT64" s="157"/>
      <c r="AU64" s="145"/>
      <c r="AV64" s="157">
        <f t="shared" si="29"/>
        <v>54</v>
      </c>
      <c r="AW64" s="167"/>
      <c r="AX64" s="167"/>
      <c r="AY64" s="167"/>
      <c r="AZ64" s="167"/>
      <c r="BA64" s="167"/>
      <c r="BB64" s="167"/>
      <c r="BC64" s="174"/>
      <c r="BD64" s="175"/>
      <c r="BE64" s="137" t="s">
        <v>90</v>
      </c>
      <c r="BF64" s="142"/>
      <c r="BG64" s="167">
        <f>J64/6</f>
        <v>9</v>
      </c>
      <c r="BH64" s="167">
        <f>J64/6</f>
        <v>9</v>
      </c>
      <c r="BI64" s="167">
        <f>J64/6</f>
        <v>9</v>
      </c>
      <c r="BJ64" s="167">
        <f>J64/6</f>
        <v>9</v>
      </c>
      <c r="BK64" s="167">
        <f>J64/6</f>
        <v>9</v>
      </c>
      <c r="BL64" s="167">
        <f>J64/6</f>
        <v>9</v>
      </c>
      <c r="BM64" s="165"/>
      <c r="BN64" s="165"/>
      <c r="BO64" s="165"/>
      <c r="BP64" s="165"/>
      <c r="BQ64" s="165"/>
      <c r="BR64" s="165"/>
      <c r="BS64" s="168">
        <f t="shared" si="30"/>
        <v>54</v>
      </c>
      <c r="BT64" s="162">
        <f t="shared" si="31"/>
        <v>0</v>
      </c>
      <c r="BU64" s="166"/>
      <c r="BV64" s="166"/>
    </row>
    <row r="65" s="9" customFormat="1" ht="14.25" spans="1:72 16368:16384">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S65" s="3"/>
      <c r="BT65" s="3"/>
      <c r="XEN65" s="3"/>
      <c r="XEO65" s="3"/>
      <c r="XEP65" s="3"/>
      <c r="XEQ65" s="3"/>
      <c r="XER65" s="3"/>
      <c r="XES65" s="3"/>
      <c r="XET65" s="3"/>
      <c r="XEU65" s="3"/>
      <c r="XEV65" s="3"/>
      <c r="XEW65" s="3"/>
      <c r="XEX65" s="3"/>
      <c r="XEY65" s="3"/>
      <c r="XEZ65" s="3"/>
      <c r="XFA65" s="3"/>
      <c r="XFB65" s="3"/>
      <c r="XFC65" s="3"/>
      <c r="XFD65" s="3"/>
    </row>
    <row r="66" s="9" customFormat="1" ht="14.25" spans="1:72 16368:16384">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S66" s="3"/>
      <c r="BT66" s="3"/>
      <c r="XEN66" s="3"/>
      <c r="XEO66" s="3"/>
      <c r="XEP66" s="3"/>
      <c r="XEQ66" s="3"/>
      <c r="XER66" s="3"/>
      <c r="XES66" s="3"/>
      <c r="XET66" s="3"/>
      <c r="XEU66" s="3"/>
      <c r="XEV66" s="3"/>
      <c r="XEW66" s="3"/>
      <c r="XEX66" s="3"/>
      <c r="XEY66" s="3"/>
      <c r="XEZ66" s="3"/>
      <c r="XFA66" s="3"/>
      <c r="XFB66" s="3"/>
      <c r="XFC66" s="3"/>
      <c r="XFD66" s="3"/>
    </row>
  </sheetData>
  <sheetProtection formatCells="0" formatColumns="0" formatRows="0" insertRows="0" insertColumns="0" insertHyperlinks="0" deleteColumns="0" deleteRows="0" sort="0" autoFilter="0" pivotTables="0"/>
  <autoFilter xmlns:etc="http://www.wps.cn/officeDocument/2017/etCustomData" ref="A1:XFD64" etc:filterBottomFollowUsedRange="0">
    <filterColumn colId="3">
      <customFilters>
        <customFilter operator="equal" val="4500151404"/>
      </customFilters>
    </filterColumn>
    <extLst/>
  </autoFilter>
  <conditionalFormatting sqref="S1">
    <cfRule type="cellIs" dxfId="2" priority="57" operator="equal">
      <formula>"欠"</formula>
    </cfRule>
  </conditionalFormatting>
  <conditionalFormatting sqref="W1">
    <cfRule type="containsText" dxfId="0" priority="110" operator="between" text="欠">
      <formula>NOT(ISERROR(SEARCH("欠",W1)))</formula>
    </cfRule>
  </conditionalFormatting>
  <conditionalFormatting sqref="W2">
    <cfRule type="containsText" dxfId="0" priority="111" operator="between" text="欠">
      <formula>NOT(ISERROR(SEARCH("欠",W2)))</formula>
    </cfRule>
  </conditionalFormatting>
  <conditionalFormatting sqref="W3">
    <cfRule type="containsText" dxfId="0" priority="97" operator="between" text="欠">
      <formula>NOT(ISERROR(SEARCH("欠",W3)))</formula>
    </cfRule>
  </conditionalFormatting>
  <conditionalFormatting sqref="W4">
    <cfRule type="containsText" dxfId="0" priority="96" operator="between" text="欠">
      <formula>NOT(ISERROR(SEARCH("欠",W4)))</formula>
    </cfRule>
  </conditionalFormatting>
  <conditionalFormatting sqref="W5">
    <cfRule type="containsText" dxfId="0" priority="95" operator="between" text="欠">
      <formula>NOT(ISERROR(SEARCH("欠",W5)))</formula>
    </cfRule>
  </conditionalFormatting>
  <conditionalFormatting sqref="W6">
    <cfRule type="containsText" dxfId="0" priority="94" operator="between" text="欠">
      <formula>NOT(ISERROR(SEARCH("欠",W6)))</formula>
    </cfRule>
  </conditionalFormatting>
  <conditionalFormatting sqref="W7">
    <cfRule type="containsText" dxfId="0" priority="93" operator="between" text="欠">
      <formula>NOT(ISERROR(SEARCH("欠",W7)))</formula>
    </cfRule>
  </conditionalFormatting>
  <conditionalFormatting sqref="W8">
    <cfRule type="containsText" dxfId="0" priority="92" operator="between" text="欠">
      <formula>NOT(ISERROR(SEARCH("欠",W8)))</formula>
    </cfRule>
  </conditionalFormatting>
  <conditionalFormatting sqref="W9">
    <cfRule type="containsText" dxfId="0" priority="91" operator="between" text="欠">
      <formula>NOT(ISERROR(SEARCH("欠",W9)))</formula>
    </cfRule>
  </conditionalFormatting>
  <conditionalFormatting sqref="W10">
    <cfRule type="containsText" dxfId="0" priority="90" operator="between" text="欠">
      <formula>NOT(ISERROR(SEARCH("欠",W10)))</formula>
    </cfRule>
  </conditionalFormatting>
  <conditionalFormatting sqref="W11">
    <cfRule type="containsText" dxfId="0" priority="89" operator="between" text="欠">
      <formula>NOT(ISERROR(SEARCH("欠",W11)))</formula>
    </cfRule>
  </conditionalFormatting>
  <conditionalFormatting sqref="W12">
    <cfRule type="containsText" dxfId="0" priority="88" operator="between" text="欠">
      <formula>NOT(ISERROR(SEARCH("欠",W12)))</formula>
    </cfRule>
  </conditionalFormatting>
  <conditionalFormatting sqref="W13">
    <cfRule type="containsText" dxfId="0" priority="87" operator="between" text="欠">
      <formula>NOT(ISERROR(SEARCH("欠",W13)))</formula>
    </cfRule>
  </conditionalFormatting>
  <conditionalFormatting sqref="W14">
    <cfRule type="containsText" dxfId="0" priority="86" operator="between" text="欠">
      <formula>NOT(ISERROR(SEARCH("欠",W14)))</formula>
    </cfRule>
  </conditionalFormatting>
  <conditionalFormatting sqref="W15">
    <cfRule type="containsText" dxfId="0" priority="85" operator="between" text="欠">
      <formula>NOT(ISERROR(SEARCH("欠",W15)))</formula>
    </cfRule>
  </conditionalFormatting>
  <conditionalFormatting sqref="W16">
    <cfRule type="containsText" dxfId="0" priority="84" operator="between" text="欠">
      <formula>NOT(ISERROR(SEARCH("欠",W16)))</formula>
    </cfRule>
  </conditionalFormatting>
  <conditionalFormatting sqref="W17">
    <cfRule type="containsText" dxfId="0" priority="83" operator="between" text="欠">
      <formula>NOT(ISERROR(SEARCH("欠",W17)))</formula>
    </cfRule>
  </conditionalFormatting>
  <conditionalFormatting sqref="W18">
    <cfRule type="containsText" dxfId="0" priority="82" operator="between" text="欠">
      <formula>NOT(ISERROR(SEARCH("欠",W18)))</formula>
    </cfRule>
  </conditionalFormatting>
  <conditionalFormatting sqref="W19">
    <cfRule type="containsText" dxfId="0" priority="81" operator="between" text="欠">
      <formula>NOT(ISERROR(SEARCH("欠",W19)))</formula>
    </cfRule>
  </conditionalFormatting>
  <conditionalFormatting sqref="W20">
    <cfRule type="containsText" dxfId="0" priority="80" operator="between" text="欠">
      <formula>NOT(ISERROR(SEARCH("欠",W20)))</formula>
    </cfRule>
  </conditionalFormatting>
  <conditionalFormatting sqref="W21">
    <cfRule type="containsText" dxfId="0" priority="79" operator="between" text="欠">
      <formula>NOT(ISERROR(SEARCH("欠",W21)))</formula>
    </cfRule>
  </conditionalFormatting>
  <conditionalFormatting sqref="W22">
    <cfRule type="containsText" dxfId="0" priority="78" operator="between" text="欠">
      <formula>NOT(ISERROR(SEARCH("欠",W22)))</formula>
    </cfRule>
  </conditionalFormatting>
  <conditionalFormatting sqref="W23">
    <cfRule type="containsText" dxfId="0" priority="77" operator="between" text="欠">
      <formula>NOT(ISERROR(SEARCH("欠",W23)))</formula>
    </cfRule>
  </conditionalFormatting>
  <conditionalFormatting sqref="W24">
    <cfRule type="containsText" dxfId="0" priority="76" operator="between" text="欠">
      <formula>NOT(ISERROR(SEARCH("欠",W24)))</formula>
    </cfRule>
  </conditionalFormatting>
  <conditionalFormatting sqref="W25">
    <cfRule type="containsText" dxfId="0" priority="75" operator="between" text="欠">
      <formula>NOT(ISERROR(SEARCH("欠",W25)))</formula>
    </cfRule>
  </conditionalFormatting>
  <conditionalFormatting sqref="W26">
    <cfRule type="containsText" dxfId="0" priority="74" operator="between" text="欠">
      <formula>NOT(ISERROR(SEARCH("欠",W26)))</formula>
    </cfRule>
  </conditionalFormatting>
  <conditionalFormatting sqref="W27">
    <cfRule type="containsText" dxfId="0" priority="73" operator="between" text="欠">
      <formula>NOT(ISERROR(SEARCH("欠",W27)))</formula>
    </cfRule>
  </conditionalFormatting>
  <conditionalFormatting sqref="W28">
    <cfRule type="containsText" dxfId="0" priority="70" operator="between" text="欠">
      <formula>NOT(ISERROR(SEARCH("欠",W28)))</formula>
    </cfRule>
  </conditionalFormatting>
  <conditionalFormatting sqref="W29">
    <cfRule type="containsText" dxfId="0" priority="68" operator="between" text="欠">
      <formula>NOT(ISERROR(SEARCH("欠",W29)))</formula>
    </cfRule>
  </conditionalFormatting>
  <conditionalFormatting sqref="W30">
    <cfRule type="containsText" dxfId="0" priority="66" operator="between" text="欠">
      <formula>NOT(ISERROR(SEARCH("欠",W30)))</formula>
    </cfRule>
  </conditionalFormatting>
  <conditionalFormatting sqref="W31">
    <cfRule type="containsText" dxfId="0" priority="62" operator="between" text="欠">
      <formula>NOT(ISERROR(SEARCH("欠",W31)))</formula>
    </cfRule>
  </conditionalFormatting>
  <conditionalFormatting sqref="V32">
    <cfRule type="containsText" dxfId="0" priority="56" operator="between" text="欠">
      <formula>NOT(ISERROR(SEARCH("欠",V32)))</formula>
    </cfRule>
  </conditionalFormatting>
  <conditionalFormatting sqref="V33">
    <cfRule type="containsText" dxfId="0" priority="53" operator="between" text="欠">
      <formula>NOT(ISERROR(SEARCH("欠",V33)))</formula>
    </cfRule>
  </conditionalFormatting>
  <conditionalFormatting sqref="V34">
    <cfRule type="containsText" dxfId="0" priority="52" operator="between" text="欠">
      <formula>NOT(ISERROR(SEARCH("欠",V34)))</formula>
    </cfRule>
  </conditionalFormatting>
  <conditionalFormatting sqref="S35:W35">
    <cfRule type="containsText" dxfId="0" priority="50" operator="between" text="欠">
      <formula>NOT(ISERROR(SEARCH("欠",S35)))</formula>
    </cfRule>
  </conditionalFormatting>
  <conditionalFormatting sqref="S36:W36">
    <cfRule type="containsText" dxfId="0" priority="48" operator="between" text="欠">
      <formula>NOT(ISERROR(SEARCH("欠",S36)))</formula>
    </cfRule>
  </conditionalFormatting>
  <conditionalFormatting sqref="S40">
    <cfRule type="containsText" dxfId="0" priority="42" operator="between" text="欠">
      <formula>NOT(ISERROR(SEARCH("欠",S40)))</formula>
    </cfRule>
  </conditionalFormatting>
  <conditionalFormatting sqref="T40:W40">
    <cfRule type="containsText" dxfId="0" priority="41" operator="between" text="欠">
      <formula>NOT(ISERROR(SEARCH("欠",T40)))</formula>
    </cfRule>
  </conditionalFormatting>
  <conditionalFormatting sqref="S47">
    <cfRule type="containsText" dxfId="0" priority="29" operator="between" text="欠">
      <formula>NOT(ISERROR(SEARCH("欠",S47)))</formula>
    </cfRule>
  </conditionalFormatting>
  <conditionalFormatting sqref="T47:W47">
    <cfRule type="containsText" dxfId="0" priority="30" operator="between" text="欠">
      <formula>NOT(ISERROR(SEARCH("欠",T47)))</formula>
    </cfRule>
  </conditionalFormatting>
  <conditionalFormatting sqref="S48">
    <cfRule type="containsText" dxfId="0" priority="28" operator="between" text="欠">
      <formula>NOT(ISERROR(SEARCH("欠",S48)))</formula>
    </cfRule>
  </conditionalFormatting>
  <conditionalFormatting sqref="U48">
    <cfRule type="containsText" dxfId="0" priority="27" operator="between" text="欠">
      <formula>NOT(ISERROR(SEARCH("欠",U48)))</formula>
    </cfRule>
  </conditionalFormatting>
  <conditionalFormatting sqref="S55">
    <cfRule type="containsText" dxfId="0" priority="21" operator="between" text="欠">
      <formula>NOT(ISERROR(SEARCH("欠",S55)))</formula>
    </cfRule>
  </conditionalFormatting>
  <conditionalFormatting sqref="S56">
    <cfRule type="containsText" dxfId="0" priority="20" operator="between" text="欠">
      <formula>NOT(ISERROR(SEARCH("欠",S56)))</formula>
    </cfRule>
  </conditionalFormatting>
  <conditionalFormatting sqref="U57:V57">
    <cfRule type="containsText" dxfId="0" priority="18" operator="between" text="欠">
      <formula>NOT(ISERROR(SEARCH("欠",U57)))</formula>
    </cfRule>
  </conditionalFormatting>
  <conditionalFormatting sqref="W57">
    <cfRule type="containsText" dxfId="0" priority="17" operator="between" text="欠">
      <formula>NOT(ISERROR(SEARCH("欠",W57)))</formula>
    </cfRule>
  </conditionalFormatting>
  <conditionalFormatting sqref="T60">
    <cfRule type="containsText" dxfId="0" priority="10" operator="between" text="欠">
      <formula>NOT(ISERROR(SEARCH("欠",T60)))</formula>
    </cfRule>
  </conditionalFormatting>
  <conditionalFormatting sqref="U60:V60">
    <cfRule type="containsText" dxfId="0" priority="9" operator="between" text="欠">
      <formula>NOT(ISERROR(SEARCH("欠",U60)))</formula>
    </cfRule>
  </conditionalFormatting>
  <conditionalFormatting sqref="W60">
    <cfRule type="containsText" dxfId="0" priority="11" operator="between" text="欠">
      <formula>NOT(ISERROR(SEARCH("欠",W60)))</formula>
    </cfRule>
  </conditionalFormatting>
  <conditionalFormatting sqref="S37:S39">
    <cfRule type="containsText" dxfId="0" priority="44" operator="between" text="欠">
      <formula>NOT(ISERROR(SEARCH("欠",S37)))</formula>
    </cfRule>
  </conditionalFormatting>
  <conditionalFormatting sqref="S41:S46">
    <cfRule type="containsText" dxfId="0" priority="38" operator="between" text="欠">
      <formula>NOT(ISERROR(SEARCH("欠",S41)))</formula>
    </cfRule>
  </conditionalFormatting>
  <conditionalFormatting sqref="S49:S54">
    <cfRule type="containsText" dxfId="0" priority="23" operator="between" text="欠">
      <formula>NOT(ISERROR(SEARCH("欠",S49)))</formula>
    </cfRule>
  </conditionalFormatting>
  <conditionalFormatting sqref="S58:S59">
    <cfRule type="containsText" dxfId="0" priority="12" operator="between" text="欠">
      <formula>NOT(ISERROR(SEARCH("欠",S58)))</formula>
    </cfRule>
  </conditionalFormatting>
  <conditionalFormatting sqref="S62:S64">
    <cfRule type="containsText" dxfId="0" priority="3" operator="between" text="欠">
      <formula>NOT(ISERROR(SEARCH("欠",S62)))</formula>
    </cfRule>
  </conditionalFormatting>
  <conditionalFormatting sqref="T58:T59">
    <cfRule type="containsText" dxfId="0" priority="15" operator="between" text="欠">
      <formula>NOT(ISERROR(SEARCH("欠",T58)))</formula>
    </cfRule>
  </conditionalFormatting>
  <conditionalFormatting sqref="W58:W59">
    <cfRule type="containsText" dxfId="0" priority="13" operator="between" text="欠">
      <formula>NOT(ISERROR(SEARCH("欠",W58)))</formula>
    </cfRule>
  </conditionalFormatting>
  <conditionalFormatting sqref="T37:W39">
    <cfRule type="containsText" dxfId="0" priority="46" operator="between" text="欠">
      <formula>NOT(ISERROR(SEARCH("欠",T37)))</formula>
    </cfRule>
  </conditionalFormatting>
  <conditionalFormatting sqref="T41:T42 W41:W42">
    <cfRule type="containsText" dxfId="0" priority="40" operator="between" text="欠">
      <formula>NOT(ISERROR(SEARCH("欠",T41)))</formula>
    </cfRule>
  </conditionalFormatting>
  <conditionalFormatting sqref="U41:V42">
    <cfRule type="containsText" dxfId="0" priority="39" operator="between" text="欠">
      <formula>NOT(ISERROR(SEARCH("欠",U41)))</formula>
    </cfRule>
  </conditionalFormatting>
  <conditionalFormatting sqref="T43 W43">
    <cfRule type="containsText" dxfId="0" priority="35" operator="between" text="欠">
      <formula>NOT(ISERROR(SEARCH("欠",T43)))</formula>
    </cfRule>
  </conditionalFormatting>
  <conditionalFormatting sqref="U43:V46">
    <cfRule type="containsText" dxfId="0" priority="36" operator="between" text="欠">
      <formula>NOT(ISERROR(SEARCH("欠",U43)))</formula>
    </cfRule>
  </conditionalFormatting>
  <conditionalFormatting sqref="T44 W44">
    <cfRule type="containsText" dxfId="0" priority="34" operator="between" text="欠">
      <formula>NOT(ISERROR(SEARCH("欠",T44)))</formula>
    </cfRule>
  </conditionalFormatting>
  <conditionalFormatting sqref="T45 W45">
    <cfRule type="containsText" dxfId="0" priority="33" operator="between" text="欠">
      <formula>NOT(ISERROR(SEARCH("欠",T45)))</formula>
    </cfRule>
  </conditionalFormatting>
  <conditionalFormatting sqref="T46 W46">
    <cfRule type="containsText" dxfId="0" priority="32" operator="between" text="欠">
      <formula>NOT(ISERROR(SEARCH("欠",T46)))</formula>
    </cfRule>
  </conditionalFormatting>
  <conditionalFormatting sqref="T48 V48:W48">
    <cfRule type="containsText" dxfId="0" priority="26" operator="between" text="欠">
      <formula>NOT(ISERROR(SEARCH("欠",T48)))</formula>
    </cfRule>
  </conditionalFormatting>
  <conditionalFormatting sqref="T49:W52">
    <cfRule type="containsText" dxfId="0" priority="25" operator="between" text="欠">
      <formula>NOT(ISERROR(SEARCH("欠",T49)))</formula>
    </cfRule>
  </conditionalFormatting>
  <conditionalFormatting sqref="T53:W54">
    <cfRule type="containsText" dxfId="0" priority="24" operator="between" text="欠">
      <formula>NOT(ISERROR(SEARCH("欠",T53)))</formula>
    </cfRule>
  </conditionalFormatting>
  <conditionalFormatting sqref="T55:W56 T57">
    <cfRule type="containsText" dxfId="0" priority="22" operator="between" text="欠">
      <formula>NOT(ISERROR(SEARCH("欠",T55)))</formula>
    </cfRule>
  </conditionalFormatting>
  <conditionalFormatting sqref="U58:V59">
    <cfRule type="containsText" dxfId="0" priority="14" operator="between" text="欠">
      <formula>NOT(ISERROR(SEARCH("欠",U58)))</formula>
    </cfRule>
  </conditionalFormatting>
  <conditionalFormatting sqref="S61 S65:S66">
    <cfRule type="containsText" dxfId="0" priority="4" operator="between" text="欠">
      <formula>NOT(ISERROR(SEARCH("欠",S61)))</formula>
    </cfRule>
  </conditionalFormatting>
  <conditionalFormatting sqref="T61 T65:T66">
    <cfRule type="containsText" dxfId="0" priority="7" operator="between" text="欠">
      <formula>NOT(ISERROR(SEARCH("欠",T61)))</formula>
    </cfRule>
  </conditionalFormatting>
  <conditionalFormatting sqref="U61:V61 U65:V66">
    <cfRule type="containsText" dxfId="0" priority="6" operator="between" text="欠">
      <formula>NOT(ISERROR(SEARCH("欠",U61)))</formula>
    </cfRule>
  </conditionalFormatting>
  <conditionalFormatting sqref="W61 W65:W66">
    <cfRule type="containsText" dxfId="0" priority="5" operator="between" text="欠">
      <formula>NOT(ISERROR(SEARCH("欠",W61)))</formula>
    </cfRule>
  </conditionalFormatting>
  <conditionalFormatting sqref="S62:T64">
    <cfRule type="containsText" dxfId="1" priority="2" operator="between" text="欠">
      <formula>NOT(ISERROR(SEARCH("欠",S62)))</formula>
    </cfRule>
  </conditionalFormatting>
  <conditionalFormatting sqref="U62:V64">
    <cfRule type="containsText" dxfId="1" priority="1" operator="between" text="欠">
      <formula>NOT(ISERROR(SEARCH("欠",U62)))</formula>
    </cfRule>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7" sqref="H17"/>
    </sheetView>
  </sheetViews>
  <sheetFormatPr defaultColWidth="8.8" defaultRowHeight="14.2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edit">
    <arrUserId title="Range1" rangeCreator="1475153551" othersAccessPermission="visible">
      <userID accessPermission="edit">1475153551</userID>
    </arrUserId>
  </rangeList>
  <rangeList sheetStid="3" master="" otherUserPermission="visible"/>
  <rangeList sheetStid="2" master="" otherUserPermission="visible"/>
  <rangeList sheetStid="4" master="" otherUserPermission="visible"/>
  <rangeList sheetStid="5" master="" otherUserPermission="visible"/>
  <rangeList sheetStid="6" master="" otherUserPermission="visible"/>
</allowEditUser>
</file>

<file path=customXml/item2.xml><?xml version="1.0" encoding="utf-8"?>
<comments xmlns="https://web.wps.cn/et/2018/main" xmlns:s="http://schemas.openxmlformats.org/spreadsheetml/2006/main" xmlns:r="http://schemas.openxmlformats.org/officeDocument/2006/relationships">
  <commentList sheetStid="3">
    <commentChains s:ref="O7" rgbClr="FF0000">
      <unresolved>
        <commentChain chainId="0e507dc31367e06cf96e7c5186a5301923cbcfd3">
          <item id="df84b8779402b4b3fd2f7d9cc12e4c6aa902e1db" isNormal="1">
            <s:text>
              <s:r>
                <s:t xml:space="preserve">admin:
截数</s:t>
              </s:r>
            </s:text>
          </item>
        </commentChain>
      </unresolved>
      <resolved/>
    </commentChains>
    <commentChains s:ref="Q7" rgbClr="FF0000">
      <unresolved>
        <commentChain chainId="aca667e4e14553a9389d0d2ba6c9e2a0af11d320">
          <item id="798e9cf05f6c55813aca8d0484747e844f8b1112" isNormal="1">
            <s:text>
              <s:r>
                <s:t xml:space="preserve">admin:
截数</s:t>
              </s:r>
            </s:text>
          </item>
        </commentChain>
      </unresolved>
      <resolved/>
    </commentChains>
    <commentChains s:ref="E66" rgbClr="FF0000">
      <unresolved>
        <commentChain chainId="811ad50909ecd984fde735e8c0475301ede8e0e3">
          <item id="7cb86b3118366fc19cabd79b515db8bed07f4970" isNormal="1">
            <s:text>
              <s:r>
                <s:t xml:space="preserve">工厂多备数</s:t>
              </s:r>
            </s:text>
          </item>
        </commentChain>
      </unresolved>
      <resolved/>
    </commentChains>
  </commentList>
  <commentList sheetStid="4">
    <commentChains s:ref="C29" rgbClr="FF0000">
      <unresolved>
        <commentChain chainId="3327b0e5c7495bfd014049c853dc9e0cabb56ead">
          <item id="7bfb12b7c10abab87581f41720707c438b8c2fe7" isNormal="1">
            <s:text>
              <s:r>
                <s:t xml:space="preserve">admin:
转客版2100PCS  此批只能出小猫21000pcs</s:t>
              </s:r>
            </s:text>
          </item>
        </commentChain>
      </unresolved>
      <resolved/>
    </commentChains>
    <commentChains s:ref="D29" rgbClr="FF0000">
      <unresolved>
        <commentChain chainId="2105922ee0e2941632e45eb2ff125a235a0204bb">
          <item id="c8191c71039ddba027a66b442776132f16798594" isNormal="1">
            <s:text>
              <s:r>
                <s:t xml:space="preserve">admin:
转客版2100PCS  此批只能出兔子26000pcs</s:t>
              </s:r>
            </s:text>
          </item>
        </commentChain>
      </unresolved>
      <resolved/>
    </commentChains>
    <commentChains s:ref="E29" rgbClr="FF0000">
      <unresolved>
        <commentChain chainId="1bcf223e59bade330435d9018725839b4f6d3657">
          <item id="de8b8e475d5d5dad6980fb1fde2a195756d39394" isNormal="1">
            <s:text>
              <s:r>
                <s:t xml:space="preserve">admin:
转客版2100PCS  此批只能出小狗21000pcs</s:t>
              </s:r>
            </s:text>
          </item>
        </commentChain>
      </unresolved>
      <resolved/>
    </commentChains>
  </commentList>
</comments>
</file>

<file path=customXml/item3.xml><?xml version="1.0" encoding="utf-8"?>
<autofilters xmlns="https://web.wps.cn/et/2018/main">
  <sheetItem sheetStid="1">
    <filterData filterID="1474966847">
      <hiddenRange rowFrom="3" rowTo="407"/>
      <hiddenRange rowFrom="409" rowTo="544"/>
      <hiddenRange rowFrom="548" rowTo="1007"/>
    </filterData>
    <filterData filterID="1828143256">
      <hiddenRange rowFrom="3" rowTo="502"/>
      <hiddenRange rowFrom="504" rowTo="1007"/>
    </filterData>
    <filterData filterID="1765212680">
      <hiddenRange rowFrom="3" rowTo="490"/>
      <hiddenRange rowFrom="493" rowTo="493"/>
      <hiddenRange rowFrom="495" rowTo="544"/>
      <hiddenRange rowFrom="548" rowTo="1007"/>
    </filterData>
    <filterData filterID="1848489229"/>
    <filterData filterID="1853477080"/>
    <filterData filterID="1475153551"/>
    <filterData filterID="1474709007"/>
    <autofilterInfo filterID="1765212680">
      <autoFilter xmlns="http://schemas.openxmlformats.org/spreadsheetml/2006/main" ref="A3:XFD1008">
        <filterColumn colId="3">
          <customFilters>
            <customFilter operator="equal" val="4500209889"/>
          </customFilters>
        </filterColumn>
      </autoFilter>
    </autofilterInfo>
    <autofilterInfo filterID="1474966847">
      <autoFilter xmlns="http://schemas.openxmlformats.org/spreadsheetml/2006/main" ref="A3:XFD1008">
        <filterColumn colId="3">
          <customFilters>
            <customFilter operator="equal" val="4500188043"/>
          </customFilters>
        </filterColumn>
      </autoFilter>
    </autofilterInfo>
    <autofilterInfo filterID="1828143256">
      <autoFilter xmlns="http://schemas.openxmlformats.org/spreadsheetml/2006/main" ref="A3:XFD1008">
        <filterColumn colId="3">
          <customFilters>
            <customFilter operator="equal" val="4500213430"/>
          </customFilters>
        </filterColumn>
      </autoFilter>
    </autofilterInfo>
  </sheetItem>
  <sheetItem sheetStid="5">
    <filterData filterID="1475153551"/>
    <filterData filterID="1474709007"/>
    <filterData filterID="1848489229"/>
    <filterData filterID="1853477080"/>
    <filterData filterID="1678276627"/>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526435763335" isFilterShared="0" woEtMtcEnabled="0" coreConquerUserId="1853477080"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
  <pixelatorList sheetStid="3"/>
  <pixelatorList sheetStid="2"/>
  <pixelatorList sheetStid="4"/>
  <pixelatorList sheetStid="5"/>
  <pixelatorList sheetStid="6"/>
  <pixelatorList sheetStid="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6</vt:i4>
      </vt:variant>
    </vt:vector>
  </HeadingPairs>
  <TitlesOfParts>
    <vt:vector size="6" baseType="lpstr">
      <vt:lpstr>9283</vt:lpstr>
      <vt:lpstr>MA包裝</vt:lpstr>
      <vt:lpstr>布料MA</vt:lpstr>
      <vt:lpstr>半成品MA</vt:lpstr>
      <vt:lpstr>取消订单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Jinn</dc:creator>
  <cp:lastModifiedBy>Td</cp:lastModifiedBy>
  <dcterms:created xsi:type="dcterms:W3CDTF">2022-03-15T19:54:00Z</dcterms:created>
  <dcterms:modified xsi:type="dcterms:W3CDTF">2026-09-12T10:00:00Z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CC0C7293ACDD4FD2BAD1D1DFA29B1FAD</vt:lpwstr>
  </property>
  <property fmtid="{D5CDD505-2E9C-101B-9397-08002B2CF9AE}" pid="4" name="KSOReadingLayout">
    <vt:bool>true</vt:bool>
  </property>
  <property fmtid="{D5CDD505-2E9C-101B-9397-08002B2CF9AE}" pid="5" name="CalculationRule">
    <vt:i4>0</vt:i4>
  </property>
</Properties>
</file>